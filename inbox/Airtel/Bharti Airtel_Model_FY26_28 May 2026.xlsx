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\finscan\inbox\Airtel\"/>
    </mc:Choice>
  </mc:AlternateContent>
  <xr:revisionPtr revIDLastSave="0" documentId="13_ncr:1_{0B55300D-06C4-4E1B-9A70-EFBD9CE7C177}" xr6:coauthVersionLast="47" xr6:coauthVersionMax="47" xr10:uidLastSave="{00000000-0000-0000-0000-000000000000}"/>
  <bookViews>
    <workbookView xWindow="35880" yWindow="-120" windowWidth="51840" windowHeight="21120" activeTab="1" xr2:uid="{69114EA6-C990-4F20-93BF-47B3DFAA7941}"/>
  </bookViews>
  <sheets>
    <sheet name="Capital Structure" sheetId="9" r:id="rId1"/>
    <sheet name="Model " sheetId="21" r:id="rId2"/>
    <sheet name="KPIs" sheetId="22" r:id="rId3"/>
    <sheet name="EBITDA" sheetId="2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>MonthlyOpStats</definedName>
    <definedName name="_1_30_01">MonthlyOpStats</definedName>
    <definedName name="_1_30_02">MonthlyOpStats</definedName>
    <definedName name="_1_31_01">MonthlyOpStats</definedName>
    <definedName name="_1_31_0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#N/A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#N/A</definedName>
    <definedName name="CIQWBGuid" hidden="1">"e0ca1218-7a18-4e9b-8a41-dcbf4d97c969"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#N/A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#N/A</definedName>
    <definedName name="CSHO">#N/A</definedName>
    <definedName name="CSHPRI">#N/A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DA">#N/A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hidden="1">{"BS",#N/A,FALSE,"USA"}</definedName>
    <definedName name="Fund">[6]Selections!$A$1</definedName>
    <definedName name="Fwd_Curve">#REF!</definedName>
    <definedName name="FYEMarker">#N/A</definedName>
    <definedName name="FYEMonth">#N/A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44229.1709606481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#N/A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#N/A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#N/A</definedName>
    <definedName name="NDYWGT">#N/A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#N/A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#N/A</definedName>
    <definedName name="Period">#N/A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#N/A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#N/A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#N/A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hidden="1">{#N/A,#N/A,FALSE,"Integration Systems"}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hidden="1">{#N/A,#N/A,FALSE,"Combo"}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3" l="1"/>
  <c r="L11" i="23"/>
  <c r="G11" i="23" s="1"/>
  <c r="L10" i="23"/>
  <c r="G10" i="23" s="1"/>
  <c r="L9" i="23"/>
  <c r="G9" i="23" s="1"/>
  <c r="L8" i="23"/>
  <c r="K12" i="23"/>
  <c r="J12" i="23"/>
  <c r="I12" i="23"/>
  <c r="C12" i="23"/>
  <c r="D12" i="23"/>
  <c r="E12" i="23"/>
  <c r="F12" i="23"/>
  <c r="BW5" i="9"/>
  <c r="BW2" i="9"/>
  <c r="BW4" i="9"/>
  <c r="AP7" i="9"/>
  <c r="D186" i="22"/>
  <c r="D177" i="22"/>
  <c r="D13" i="22"/>
  <c r="D12" i="22"/>
  <c r="U208" i="21"/>
  <c r="U207" i="21"/>
  <c r="U3" i="21"/>
  <c r="U210" i="21"/>
  <c r="BZ210" i="21"/>
  <c r="BZ152" i="21"/>
  <c r="BZ133" i="21"/>
  <c r="U133" i="21"/>
  <c r="BZ132" i="21"/>
  <c r="U132" i="21"/>
  <c r="BZ127" i="21"/>
  <c r="U127" i="21"/>
  <c r="U128" i="21" s="1"/>
  <c r="BZ126" i="21"/>
  <c r="U126" i="21"/>
  <c r="BZ118" i="21"/>
  <c r="AQ7" i="9"/>
  <c r="BZ112" i="21"/>
  <c r="U112" i="21"/>
  <c r="BZ111" i="21"/>
  <c r="BZ110" i="21"/>
  <c r="U110" i="21"/>
  <c r="BZ109" i="21"/>
  <c r="U109" i="21"/>
  <c r="BZ108" i="21"/>
  <c r="U108" i="21"/>
  <c r="BZ89" i="21"/>
  <c r="BZ185" i="21"/>
  <c r="BZ244" i="21"/>
  <c r="BZ81" i="21"/>
  <c r="BZ78" i="21"/>
  <c r="U78" i="21"/>
  <c r="BZ77" i="21"/>
  <c r="BZ27" i="21"/>
  <c r="U27" i="21"/>
  <c r="BZ26" i="21"/>
  <c r="U26" i="21"/>
  <c r="BZ25" i="21"/>
  <c r="U25" i="21" s="1"/>
  <c r="BZ24" i="21"/>
  <c r="U24" i="21"/>
  <c r="BZ23" i="21"/>
  <c r="U23" i="21"/>
  <c r="BZ22" i="21"/>
  <c r="U22" i="21"/>
  <c r="BZ21" i="21"/>
  <c r="U21" i="21"/>
  <c r="BZ18" i="21"/>
  <c r="BZ17" i="21"/>
  <c r="U17" i="21"/>
  <c r="BZ16" i="21"/>
  <c r="U16" i="21"/>
  <c r="U41" i="21" s="1"/>
  <c r="BZ15" i="21"/>
  <c r="BZ14" i="21"/>
  <c r="U14" i="21"/>
  <c r="BZ13" i="21"/>
  <c r="BZ7" i="21"/>
  <c r="U7" i="21"/>
  <c r="T210" i="21"/>
  <c r="T208" i="21"/>
  <c r="T207" i="21"/>
  <c r="T185" i="21"/>
  <c r="T183" i="21"/>
  <c r="T178" i="21"/>
  <c r="T175" i="21"/>
  <c r="T174" i="21"/>
  <c r="T168" i="21"/>
  <c r="T152" i="21"/>
  <c r="T128" i="21"/>
  <c r="T158" i="21"/>
  <c r="T113" i="21"/>
  <c r="T101" i="21"/>
  <c r="T100" i="21"/>
  <c r="T155" i="21"/>
  <c r="T84" i="21"/>
  <c r="T181" i="21"/>
  <c r="T85" i="21"/>
  <c r="T83" i="21"/>
  <c r="T180" i="21"/>
  <c r="T80" i="21"/>
  <c r="S80" i="21"/>
  <c r="T76" i="21"/>
  <c r="T49" i="21"/>
  <c r="S76" i="21"/>
  <c r="T75" i="21"/>
  <c r="T172" i="21"/>
  <c r="BZ59" i="21"/>
  <c r="U59" i="21"/>
  <c r="U168" i="21"/>
  <c r="T60" i="21"/>
  <c r="T46" i="21"/>
  <c r="T43" i="21"/>
  <c r="T42" i="21"/>
  <c r="T41" i="21"/>
  <c r="T40" i="21"/>
  <c r="T39" i="21"/>
  <c r="T38" i="21"/>
  <c r="T33" i="21"/>
  <c r="T29" i="21"/>
  <c r="T10" i="21"/>
  <c r="T166" i="21"/>
  <c r="T225" i="21"/>
  <c r="T8" i="21"/>
  <c r="AP38" i="9"/>
  <c r="AP28" i="9"/>
  <c r="BV2" i="9"/>
  <c r="BV6" i="9"/>
  <c r="BV5" i="9"/>
  <c r="BV4" i="9"/>
  <c r="E186" i="22"/>
  <c r="E177" i="22"/>
  <c r="E136" i="22"/>
  <c r="E131" i="22"/>
  <c r="E144" i="22" s="1"/>
  <c r="E123" i="22"/>
  <c r="E13" i="22"/>
  <c r="E12" i="22"/>
  <c r="BY86" i="21"/>
  <c r="BY85" i="21"/>
  <c r="BY84" i="21"/>
  <c r="BY83" i="21"/>
  <c r="BY80" i="21"/>
  <c r="BY177" i="21"/>
  <c r="BY236" i="21"/>
  <c r="BY76" i="21"/>
  <c r="BY29" i="21"/>
  <c r="BY257" i="21"/>
  <c r="BY210" i="21"/>
  <c r="BY185" i="21"/>
  <c r="BY244" i="21"/>
  <c r="BY178" i="21"/>
  <c r="BY237" i="21"/>
  <c r="BY175" i="21"/>
  <c r="BY234" i="21"/>
  <c r="BY174" i="21"/>
  <c r="BY233" i="21"/>
  <c r="BY168" i="21"/>
  <c r="BY227" i="21"/>
  <c r="BY152" i="21"/>
  <c r="BY128" i="21"/>
  <c r="AP26" i="9"/>
  <c r="BY113" i="21"/>
  <c r="BY75" i="21"/>
  <c r="BY60" i="21"/>
  <c r="BY43" i="21"/>
  <c r="BY42" i="21"/>
  <c r="BY41" i="21"/>
  <c r="BY40" i="21"/>
  <c r="BY39" i="21"/>
  <c r="BY38" i="21"/>
  <c r="BY10" i="21"/>
  <c r="BY8" i="21"/>
  <c r="BU5" i="9"/>
  <c r="BU4" i="9"/>
  <c r="BU28" i="9"/>
  <c r="BU19" i="9"/>
  <c r="BU16" i="9"/>
  <c r="BU12" i="9"/>
  <c r="BU7" i="9"/>
  <c r="AO8" i="9"/>
  <c r="AO33" i="9"/>
  <c r="BU14" i="9"/>
  <c r="BU15" i="9"/>
  <c r="BU23" i="9"/>
  <c r="BU13" i="9"/>
  <c r="BU21" i="9"/>
  <c r="BU22" i="9"/>
  <c r="BU6" i="9"/>
  <c r="BU8" i="9"/>
  <c r="BU17" i="9"/>
  <c r="BU18" i="9"/>
  <c r="BU26" i="9"/>
  <c r="BU11" i="9"/>
  <c r="BU20" i="9"/>
  <c r="BU24" i="9"/>
  <c r="F186" i="22"/>
  <c r="F177" i="22"/>
  <c r="F136" i="22"/>
  <c r="F131" i="22"/>
  <c r="F144" i="22"/>
  <c r="F123" i="22"/>
  <c r="F13" i="22"/>
  <c r="F12" i="22"/>
  <c r="BX118" i="21"/>
  <c r="BX108" i="21"/>
  <c r="BX86" i="21"/>
  <c r="BX183" i="21"/>
  <c r="BX242" i="21"/>
  <c r="BX85" i="21"/>
  <c r="BX182" i="21"/>
  <c r="BX241" i="21"/>
  <c r="BX83" i="21"/>
  <c r="BX80" i="21"/>
  <c r="BX177" i="21"/>
  <c r="BX236" i="21"/>
  <c r="BX76" i="21"/>
  <c r="BX173" i="21"/>
  <c r="BX232" i="21"/>
  <c r="BX29" i="21"/>
  <c r="BX257" i="21"/>
  <c r="BX210" i="21"/>
  <c r="BX185" i="21"/>
  <c r="BX244" i="21"/>
  <c r="BX181" i="21"/>
  <c r="BX240" i="21"/>
  <c r="BX178" i="21"/>
  <c r="BX237" i="21"/>
  <c r="BX175" i="21"/>
  <c r="BX234" i="21"/>
  <c r="BX174" i="21"/>
  <c r="BX168" i="21"/>
  <c r="BX227" i="21"/>
  <c r="BX152" i="21"/>
  <c r="BX128" i="21"/>
  <c r="BX113" i="21"/>
  <c r="BX75" i="21"/>
  <c r="BX172" i="21"/>
  <c r="BX60" i="21"/>
  <c r="BX43" i="21"/>
  <c r="BX42" i="21"/>
  <c r="BX41" i="21"/>
  <c r="BX40" i="21"/>
  <c r="BX39" i="21"/>
  <c r="BX38" i="21"/>
  <c r="BX10" i="21"/>
  <c r="BX166" i="21"/>
  <c r="BX8" i="21"/>
  <c r="BT15" i="9"/>
  <c r="BT23" i="9"/>
  <c r="BT5" i="9"/>
  <c r="BT4" i="9"/>
  <c r="BT18" i="9"/>
  <c r="BT16" i="9"/>
  <c r="G186" i="22"/>
  <c r="G177" i="22"/>
  <c r="G136" i="22"/>
  <c r="G131" i="22"/>
  <c r="G144" i="22"/>
  <c r="G123" i="22"/>
  <c r="G13" i="22"/>
  <c r="G12" i="22"/>
  <c r="BW86" i="21"/>
  <c r="BW85" i="21"/>
  <c r="BW182" i="21"/>
  <c r="BW241" i="21"/>
  <c r="BW83" i="21"/>
  <c r="BW180" i="21"/>
  <c r="BW239" i="21"/>
  <c r="BW80" i="21"/>
  <c r="BW177" i="21"/>
  <c r="BW236" i="21"/>
  <c r="BW76" i="21"/>
  <c r="U32" i="21"/>
  <c r="U31" i="21"/>
  <c r="BW29" i="21"/>
  <c r="BW9" i="21"/>
  <c r="BZ9" i="21"/>
  <c r="BZ10" i="21"/>
  <c r="BW257" i="21"/>
  <c r="BW210" i="21"/>
  <c r="BW185" i="21"/>
  <c r="BW244" i="21"/>
  <c r="BW181" i="21"/>
  <c r="BW240" i="21"/>
  <c r="BW178" i="21"/>
  <c r="BW237" i="21"/>
  <c r="BW175" i="21"/>
  <c r="BW234" i="21"/>
  <c r="BW174" i="21"/>
  <c r="BW233" i="21"/>
  <c r="BW168" i="21"/>
  <c r="BW152" i="21"/>
  <c r="BW128" i="21"/>
  <c r="BW113" i="21"/>
  <c r="BW75" i="21"/>
  <c r="BW172" i="21"/>
  <c r="BW60" i="21"/>
  <c r="BW43" i="21"/>
  <c r="BW42" i="21"/>
  <c r="BW41" i="21"/>
  <c r="BW40" i="21"/>
  <c r="BW39" i="21"/>
  <c r="BW38" i="21"/>
  <c r="BW8" i="21"/>
  <c r="BQ8" i="21"/>
  <c r="BS8" i="21"/>
  <c r="BS5" i="9"/>
  <c r="BS4" i="9"/>
  <c r="BS22" i="9"/>
  <c r="BS18" i="9"/>
  <c r="BS20" i="9"/>
  <c r="H186" i="22"/>
  <c r="H177" i="22"/>
  <c r="H136" i="22"/>
  <c r="H131" i="22"/>
  <c r="H144" i="22"/>
  <c r="H123" i="22"/>
  <c r="H13" i="22"/>
  <c r="H12" i="22"/>
  <c r="BU257" i="21"/>
  <c r="BT257" i="21"/>
  <c r="BS257" i="21"/>
  <c r="BQ257" i="21"/>
  <c r="BP257" i="21"/>
  <c r="BO257" i="21"/>
  <c r="BM257" i="21"/>
  <c r="BL257" i="21"/>
  <c r="BK257" i="21"/>
  <c r="BI257" i="21"/>
  <c r="BH257" i="21"/>
  <c r="BG257" i="21"/>
  <c r="BE257" i="21"/>
  <c r="BD257" i="21"/>
  <c r="BC257" i="21"/>
  <c r="BA257" i="21"/>
  <c r="AZ257" i="21"/>
  <c r="AY257" i="21"/>
  <c r="AW257" i="21"/>
  <c r="AV257" i="21"/>
  <c r="AU257" i="21"/>
  <c r="AT257" i="21"/>
  <c r="AS257" i="21"/>
  <c r="AR257" i="21"/>
  <c r="AQ257" i="21"/>
  <c r="AP257" i="21"/>
  <c r="AO257" i="21"/>
  <c r="AN257" i="21"/>
  <c r="AM257" i="21"/>
  <c r="AL257" i="21"/>
  <c r="AK257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R257" i="21"/>
  <c r="Q257" i="21"/>
  <c r="P257" i="21"/>
  <c r="O257" i="21"/>
  <c r="N257" i="21"/>
  <c r="M257" i="21"/>
  <c r="L257" i="21"/>
  <c r="E257" i="21"/>
  <c r="D257" i="21"/>
  <c r="C261" i="21"/>
  <c r="S208" i="21"/>
  <c r="S257" i="21"/>
  <c r="S207" i="21"/>
  <c r="BV133" i="21"/>
  <c r="BV257" i="21"/>
  <c r="BS28" i="9"/>
  <c r="BV132" i="21"/>
  <c r="BV127" i="21"/>
  <c r="BV126" i="21"/>
  <c r="S118" i="21"/>
  <c r="BV118" i="21"/>
  <c r="BV112" i="21"/>
  <c r="BV111" i="21"/>
  <c r="BV110" i="21"/>
  <c r="BV113" i="21"/>
  <c r="BV109" i="21"/>
  <c r="S108" i="21"/>
  <c r="BV108" i="21"/>
  <c r="BV89" i="21"/>
  <c r="BV78" i="21"/>
  <c r="BW101" i="21"/>
  <c r="BV77" i="21"/>
  <c r="S85" i="21"/>
  <c r="S182" i="21"/>
  <c r="S86" i="21"/>
  <c r="S84" i="21"/>
  <c r="S83" i="21"/>
  <c r="S81" i="21"/>
  <c r="BV59" i="21"/>
  <c r="BV27" i="21"/>
  <c r="BV26" i="21"/>
  <c r="BV25" i="21"/>
  <c r="BV24" i="21"/>
  <c r="BV23" i="21"/>
  <c r="BV22" i="21"/>
  <c r="BV21" i="21"/>
  <c r="BV18" i="21"/>
  <c r="BV17" i="21"/>
  <c r="BV16" i="21"/>
  <c r="BV15" i="21"/>
  <c r="BV14" i="21"/>
  <c r="BV13" i="21"/>
  <c r="BV9" i="21"/>
  <c r="BV7" i="21"/>
  <c r="S29" i="21"/>
  <c r="U152" i="21"/>
  <c r="BV210" i="21"/>
  <c r="BV152" i="21"/>
  <c r="S210" i="21"/>
  <c r="S185" i="21"/>
  <c r="S175" i="21"/>
  <c r="S174" i="21"/>
  <c r="S168" i="21"/>
  <c r="S152" i="21"/>
  <c r="S128" i="21"/>
  <c r="S113" i="21"/>
  <c r="S101" i="21"/>
  <c r="S100" i="21"/>
  <c r="S75" i="21"/>
  <c r="S60" i="21"/>
  <c r="S43" i="21"/>
  <c r="S42" i="21"/>
  <c r="S41" i="21"/>
  <c r="S40" i="21"/>
  <c r="S39" i="21"/>
  <c r="S38" i="21"/>
  <c r="S33" i="21"/>
  <c r="S10" i="21"/>
  <c r="S8" i="21"/>
  <c r="BR5" i="9"/>
  <c r="BR4" i="9"/>
  <c r="BR14" i="9"/>
  <c r="I186" i="22"/>
  <c r="I177" i="22"/>
  <c r="I136" i="22"/>
  <c r="I131" i="22"/>
  <c r="I144" i="22"/>
  <c r="I123" i="22"/>
  <c r="I13" i="22"/>
  <c r="I12" i="22"/>
  <c r="BU84" i="21"/>
  <c r="BU85" i="21"/>
  <c r="BU83" i="21"/>
  <c r="BU180" i="21"/>
  <c r="BU239" i="21"/>
  <c r="BU80" i="21"/>
  <c r="BU76" i="21"/>
  <c r="BU49" i="21"/>
  <c r="BU29" i="21"/>
  <c r="BU210" i="21"/>
  <c r="BU185" i="21"/>
  <c r="BU244" i="21"/>
  <c r="BU178" i="21"/>
  <c r="BU237" i="21"/>
  <c r="BU175" i="21"/>
  <c r="BU234" i="21"/>
  <c r="BU174" i="21"/>
  <c r="BU233" i="21"/>
  <c r="BU168" i="21"/>
  <c r="BU152" i="21"/>
  <c r="BU128" i="21"/>
  <c r="BU113" i="21"/>
  <c r="BU75" i="21"/>
  <c r="BU172" i="21"/>
  <c r="BU231" i="21"/>
  <c r="BU60" i="21"/>
  <c r="BU43" i="21"/>
  <c r="BU42" i="21"/>
  <c r="BU41" i="21"/>
  <c r="BU40" i="21"/>
  <c r="BU39" i="21"/>
  <c r="BU38" i="21"/>
  <c r="BU10" i="21"/>
  <c r="BU8" i="21"/>
  <c r="BQ5" i="9"/>
  <c r="BQ4" i="9"/>
  <c r="BQ19" i="9"/>
  <c r="BQ14" i="9"/>
  <c r="BQ7" i="9"/>
  <c r="J186" i="22"/>
  <c r="J177" i="22"/>
  <c r="J136" i="22"/>
  <c r="J131" i="22"/>
  <c r="J144" i="22"/>
  <c r="J123" i="22"/>
  <c r="J13" i="22"/>
  <c r="J12" i="22"/>
  <c r="BT86" i="21"/>
  <c r="BT183" i="21"/>
  <c r="BT242" i="21"/>
  <c r="BT85" i="21"/>
  <c r="BT182" i="21"/>
  <c r="BT241" i="21"/>
  <c r="BT83" i="21"/>
  <c r="BT180" i="21"/>
  <c r="BT239" i="21"/>
  <c r="BT80" i="21"/>
  <c r="BT177" i="21"/>
  <c r="BT236" i="21"/>
  <c r="BT76" i="21"/>
  <c r="BT49" i="21"/>
  <c r="BT210" i="21"/>
  <c r="BT185" i="21"/>
  <c r="BT244" i="21"/>
  <c r="BT181" i="21"/>
  <c r="BT240" i="21"/>
  <c r="BT178" i="21"/>
  <c r="BT237" i="21"/>
  <c r="BT175" i="21"/>
  <c r="BT174" i="21"/>
  <c r="BT233" i="21"/>
  <c r="BT168" i="21"/>
  <c r="BT152" i="21"/>
  <c r="BT128" i="21"/>
  <c r="BT255" i="21"/>
  <c r="BT113" i="21"/>
  <c r="BT75" i="21"/>
  <c r="BT172" i="21"/>
  <c r="BT60" i="21"/>
  <c r="BT43" i="21"/>
  <c r="BT42" i="21"/>
  <c r="BT41" i="21"/>
  <c r="BT40" i="21"/>
  <c r="BT39" i="21"/>
  <c r="BT38" i="21"/>
  <c r="BT10" i="21"/>
  <c r="BT8" i="21"/>
  <c r="BP20" i="9"/>
  <c r="BP4" i="9"/>
  <c r="BP5" i="9"/>
  <c r="K186" i="22"/>
  <c r="K177" i="22"/>
  <c r="K147" i="22"/>
  <c r="K136" i="22"/>
  <c r="K131" i="22"/>
  <c r="K144" i="22"/>
  <c r="K123" i="22"/>
  <c r="K13" i="22"/>
  <c r="K12" i="22"/>
  <c r="BS86" i="21"/>
  <c r="BS183" i="21"/>
  <c r="BS242" i="21"/>
  <c r="BS83" i="21"/>
  <c r="BS180" i="21"/>
  <c r="BS239" i="21"/>
  <c r="BS85" i="21"/>
  <c r="BS80" i="21"/>
  <c r="BS177" i="21"/>
  <c r="BS236" i="21"/>
  <c r="BS76" i="21"/>
  <c r="BS49" i="21"/>
  <c r="BS29" i="21"/>
  <c r="BS210" i="21"/>
  <c r="BS185" i="21"/>
  <c r="BS244" i="21"/>
  <c r="BS181" i="21"/>
  <c r="BS240" i="21"/>
  <c r="BS178" i="21"/>
  <c r="BS237" i="21"/>
  <c r="BS175" i="21"/>
  <c r="BS234" i="21"/>
  <c r="BS174" i="21"/>
  <c r="BS233" i="21"/>
  <c r="BS168" i="21"/>
  <c r="BS152" i="21"/>
  <c r="BS128" i="21"/>
  <c r="BS113" i="21"/>
  <c r="BS75" i="21"/>
  <c r="BS60" i="21"/>
  <c r="BS43" i="21"/>
  <c r="BS42" i="21"/>
  <c r="BS41" i="21"/>
  <c r="BS40" i="21"/>
  <c r="BS39" i="21"/>
  <c r="BS38" i="21"/>
  <c r="BS10" i="21"/>
  <c r="BS166" i="21"/>
  <c r="BR208" i="21"/>
  <c r="BR207" i="21"/>
  <c r="R81" i="21"/>
  <c r="R83" i="21"/>
  <c r="R180" i="21"/>
  <c r="R239" i="21"/>
  <c r="BO5" i="9"/>
  <c r="BO4" i="9"/>
  <c r="L186" i="22"/>
  <c r="L177" i="22"/>
  <c r="L147" i="22"/>
  <c r="L136" i="22"/>
  <c r="L131" i="22"/>
  <c r="L144" i="22"/>
  <c r="L123" i="22"/>
  <c r="L13" i="22"/>
  <c r="L12" i="22"/>
  <c r="R113" i="21"/>
  <c r="BR113" i="21"/>
  <c r="BR22" i="21"/>
  <c r="BR21" i="21"/>
  <c r="BR18" i="21"/>
  <c r="BR17" i="21"/>
  <c r="BR16" i="21"/>
  <c r="BR133" i="21"/>
  <c r="BR132" i="21"/>
  <c r="BR127" i="21"/>
  <c r="BR126" i="21"/>
  <c r="BR128" i="21" s="1"/>
  <c r="BR109" i="21"/>
  <c r="BR110" i="21"/>
  <c r="BR111" i="21"/>
  <c r="BR112" i="21"/>
  <c r="BR89" i="21"/>
  <c r="BR185" i="21"/>
  <c r="BR244" i="21" s="1"/>
  <c r="BR78" i="21"/>
  <c r="BU101" i="21"/>
  <c r="BR77" i="21"/>
  <c r="BR174" i="21"/>
  <c r="BR59" i="21"/>
  <c r="BR27" i="21"/>
  <c r="BR26" i="21"/>
  <c r="BR25" i="21"/>
  <c r="BR24" i="21"/>
  <c r="BR46" i="21" s="1"/>
  <c r="BR23" i="21"/>
  <c r="BR15" i="21"/>
  <c r="BR14" i="21"/>
  <c r="BR13" i="21"/>
  <c r="BR9" i="21"/>
  <c r="BR7" i="21"/>
  <c r="BR10" i="21" s="1"/>
  <c r="BR41" i="21"/>
  <c r="BR210" i="21"/>
  <c r="BR152" i="21"/>
  <c r="R118" i="21"/>
  <c r="BR118" i="21"/>
  <c r="R108" i="21"/>
  <c r="BR108" i="21"/>
  <c r="R86" i="21"/>
  <c r="R183" i="21"/>
  <c r="R242" i="21"/>
  <c r="R85" i="21"/>
  <c r="R84" i="21"/>
  <c r="R181" i="21"/>
  <c r="R240" i="21"/>
  <c r="R80" i="21"/>
  <c r="R76" i="21"/>
  <c r="R49" i="21"/>
  <c r="Q10" i="21"/>
  <c r="Q166" i="21"/>
  <c r="R210" i="21"/>
  <c r="R185" i="21"/>
  <c r="R244" i="21"/>
  <c r="R175" i="21"/>
  <c r="R234" i="21"/>
  <c r="R174" i="21"/>
  <c r="R233" i="21"/>
  <c r="R168" i="21"/>
  <c r="R152" i="21"/>
  <c r="R128" i="21"/>
  <c r="R101" i="21"/>
  <c r="R100" i="21"/>
  <c r="R155" i="21"/>
  <c r="R213" i="21"/>
  <c r="R75" i="21"/>
  <c r="R172" i="21"/>
  <c r="R60" i="21"/>
  <c r="R43" i="21"/>
  <c r="R42" i="21"/>
  <c r="R41" i="21"/>
  <c r="R40" i="21"/>
  <c r="R39" i="21"/>
  <c r="R38" i="21"/>
  <c r="R33" i="21"/>
  <c r="R10" i="21"/>
  <c r="R8" i="21"/>
  <c r="O49" i="9"/>
  <c r="BN5" i="9"/>
  <c r="BN4" i="9"/>
  <c r="BN19" i="9"/>
  <c r="BN16" i="9"/>
  <c r="M186" i="22"/>
  <c r="M177" i="22"/>
  <c r="M147" i="22"/>
  <c r="M136" i="22"/>
  <c r="M131" i="22"/>
  <c r="M144" i="22"/>
  <c r="M123" i="22"/>
  <c r="M13" i="22"/>
  <c r="M12" i="22"/>
  <c r="BQ128" i="21"/>
  <c r="BQ255" i="21"/>
  <c r="BQ85" i="21"/>
  <c r="BQ84" i="21"/>
  <c r="BQ181" i="21"/>
  <c r="BQ83" i="21"/>
  <c r="BQ180" i="21"/>
  <c r="BQ80" i="21"/>
  <c r="BQ177" i="21"/>
  <c r="BQ76" i="21"/>
  <c r="BQ173" i="21"/>
  <c r="BQ29" i="21"/>
  <c r="BQ210" i="21"/>
  <c r="BQ207" i="21"/>
  <c r="BQ185" i="21"/>
  <c r="BQ178" i="21"/>
  <c r="BQ175" i="21"/>
  <c r="BQ174" i="21"/>
  <c r="BQ168" i="21"/>
  <c r="BQ227" i="21"/>
  <c r="BQ152" i="21"/>
  <c r="BQ113" i="21"/>
  <c r="BQ75" i="21"/>
  <c r="BQ60" i="21"/>
  <c r="BQ43" i="21"/>
  <c r="BQ42" i="21"/>
  <c r="BQ41" i="21"/>
  <c r="BQ40" i="21"/>
  <c r="BQ39" i="21"/>
  <c r="BQ38" i="21"/>
  <c r="BQ10" i="21"/>
  <c r="BU11" i="21" s="1"/>
  <c r="O60" i="9"/>
  <c r="BM14" i="9"/>
  <c r="BM5" i="9"/>
  <c r="BM4" i="9"/>
  <c r="BM13" i="9"/>
  <c r="BM28" i="9"/>
  <c r="BM22" i="9"/>
  <c r="BM19" i="9"/>
  <c r="BM16" i="9"/>
  <c r="BM7" i="9"/>
  <c r="N215" i="22"/>
  <c r="N213" i="22"/>
  <c r="N55" i="22"/>
  <c r="N186" i="22"/>
  <c r="N177" i="22"/>
  <c r="N147" i="22"/>
  <c r="N136" i="22"/>
  <c r="N131" i="22"/>
  <c r="N144" i="22"/>
  <c r="N123" i="22"/>
  <c r="N13" i="22"/>
  <c r="N12" i="22"/>
  <c r="BP128" i="21"/>
  <c r="BP83" i="21"/>
  <c r="BP85" i="21"/>
  <c r="BP182" i="21"/>
  <c r="BP84" i="21"/>
  <c r="BP80" i="21"/>
  <c r="BP76" i="21"/>
  <c r="BP173" i="21"/>
  <c r="BP29" i="21"/>
  <c r="BP210" i="21"/>
  <c r="BP207" i="21"/>
  <c r="BP232" i="21" s="1"/>
  <c r="BP185" i="21"/>
  <c r="BP178" i="21"/>
  <c r="BP175" i="21"/>
  <c r="BP174" i="21"/>
  <c r="BP168" i="21"/>
  <c r="BP227" i="21"/>
  <c r="BP152" i="21"/>
  <c r="BP113" i="21"/>
  <c r="BP75" i="21"/>
  <c r="BP60" i="21"/>
  <c r="BP43" i="21"/>
  <c r="BP42" i="21"/>
  <c r="BP41" i="21"/>
  <c r="BP40" i="21"/>
  <c r="BP39" i="21"/>
  <c r="BP38" i="21"/>
  <c r="BP10" i="21"/>
  <c r="BP8" i="21"/>
  <c r="AS13" i="9"/>
  <c r="AS15" i="9"/>
  <c r="AS17" i="9"/>
  <c r="AS18" i="9"/>
  <c r="BL18" i="9"/>
  <c r="AS20" i="9"/>
  <c r="AS19" i="9"/>
  <c r="BL5" i="9"/>
  <c r="BL4" i="9"/>
  <c r="N64" i="9"/>
  <c r="O70" i="9"/>
  <c r="BL12" i="9"/>
  <c r="O186" i="22"/>
  <c r="O177" i="22"/>
  <c r="O147" i="22"/>
  <c r="O136" i="22"/>
  <c r="O131" i="22"/>
  <c r="O144" i="22"/>
  <c r="O123" i="22"/>
  <c r="O13" i="22"/>
  <c r="O12" i="22"/>
  <c r="BO128" i="21"/>
  <c r="BO86" i="21"/>
  <c r="BO183" i="21"/>
  <c r="BO242" i="21"/>
  <c r="BO85" i="21"/>
  <c r="BO182" i="21"/>
  <c r="BO241" i="21"/>
  <c r="BO83" i="21"/>
  <c r="BO180" i="21"/>
  <c r="BO239" i="21"/>
  <c r="BO80" i="21"/>
  <c r="BO177" i="21"/>
  <c r="BO236" i="21"/>
  <c r="BO76" i="21"/>
  <c r="BO173" i="21"/>
  <c r="BO232" i="21"/>
  <c r="BO29" i="21"/>
  <c r="BO210" i="21"/>
  <c r="BO185" i="21"/>
  <c r="BO244" i="21"/>
  <c r="BO181" i="21"/>
  <c r="BO240" i="21"/>
  <c r="BO178" i="21"/>
  <c r="BO237" i="21"/>
  <c r="BO175" i="21"/>
  <c r="BO234" i="21"/>
  <c r="BO174" i="21"/>
  <c r="BO233" i="21"/>
  <c r="BO168" i="21"/>
  <c r="BO152" i="21"/>
  <c r="BO113" i="21"/>
  <c r="BO75" i="21"/>
  <c r="BO79" i="21"/>
  <c r="BO60" i="21"/>
  <c r="BO43" i="21"/>
  <c r="BO42" i="21"/>
  <c r="BO41" i="21"/>
  <c r="BO40" i="21"/>
  <c r="BO39" i="21"/>
  <c r="BO38" i="21"/>
  <c r="BO10" i="21"/>
  <c r="BO8" i="21"/>
  <c r="BK5" i="9"/>
  <c r="BK4" i="9"/>
  <c r="P186" i="22"/>
  <c r="P177" i="22"/>
  <c r="P147" i="22"/>
  <c r="P136" i="22"/>
  <c r="P131" i="22"/>
  <c r="P144" i="22"/>
  <c r="P123" i="22"/>
  <c r="P25" i="22"/>
  <c r="P17" i="22"/>
  <c r="P13" i="22"/>
  <c r="P12" i="22"/>
  <c r="P8" i="22"/>
  <c r="BN133" i="21"/>
  <c r="BN257" i="21"/>
  <c r="BN132" i="21"/>
  <c r="BN127" i="21"/>
  <c r="BN126" i="21"/>
  <c r="BN128" i="21" s="1"/>
  <c r="BN109" i="21"/>
  <c r="BN110" i="21"/>
  <c r="BN111" i="21"/>
  <c r="BN112" i="21"/>
  <c r="BN89" i="21"/>
  <c r="BN185" i="21"/>
  <c r="BN78" i="21"/>
  <c r="BN77" i="21"/>
  <c r="BN174" i="21"/>
  <c r="BN59" i="21"/>
  <c r="BN27" i="21"/>
  <c r="BN26" i="21"/>
  <c r="BN25" i="21"/>
  <c r="BN24" i="21"/>
  <c r="BN46" i="21" s="1"/>
  <c r="BN23" i="21"/>
  <c r="BN22" i="21"/>
  <c r="BN21" i="21"/>
  <c r="BN18" i="21"/>
  <c r="BN17" i="21"/>
  <c r="BN16" i="21"/>
  <c r="BN15" i="21"/>
  <c r="BN14" i="21"/>
  <c r="BN13" i="21"/>
  <c r="BN7" i="21"/>
  <c r="BN43" i="21" s="1"/>
  <c r="BN210" i="21"/>
  <c r="BN207" i="21"/>
  <c r="BN233" i="21" s="1"/>
  <c r="BN152" i="21"/>
  <c r="Q118" i="21"/>
  <c r="BN118" i="21"/>
  <c r="BK7" i="9"/>
  <c r="Q108" i="21"/>
  <c r="BN108" i="21"/>
  <c r="Q86" i="21"/>
  <c r="Q183" i="21"/>
  <c r="Q242" i="21"/>
  <c r="Q85" i="21"/>
  <c r="Q182" i="21"/>
  <c r="Q241" i="21"/>
  <c r="Q84" i="21"/>
  <c r="Q181" i="21"/>
  <c r="Q240" i="21"/>
  <c r="Q83" i="21"/>
  <c r="Q180" i="21"/>
  <c r="Q239" i="21"/>
  <c r="Q81" i="21"/>
  <c r="BN81" i="21"/>
  <c r="BN178" i="21"/>
  <c r="Q80" i="21"/>
  <c r="Q103" i="21"/>
  <c r="Q76" i="21"/>
  <c r="Q210" i="21"/>
  <c r="Q185" i="21"/>
  <c r="Q244" i="21"/>
  <c r="Q175" i="21"/>
  <c r="Q234" i="21"/>
  <c r="Q174" i="21"/>
  <c r="Q233" i="21"/>
  <c r="Q168" i="21"/>
  <c r="Q170" i="21"/>
  <c r="Q152" i="21"/>
  <c r="Q128" i="21"/>
  <c r="Q113" i="21"/>
  <c r="Q101" i="21"/>
  <c r="Q100" i="21"/>
  <c r="Q155" i="21"/>
  <c r="Q75" i="21"/>
  <c r="Q60" i="21"/>
  <c r="Q43" i="21"/>
  <c r="Q42" i="21"/>
  <c r="Q41" i="21"/>
  <c r="Q40" i="21"/>
  <c r="Q39" i="21"/>
  <c r="Q38" i="21"/>
  <c r="Q33" i="21"/>
  <c r="Q8" i="21"/>
  <c r="O80" i="9"/>
  <c r="BJ5" i="9"/>
  <c r="BJ4" i="9"/>
  <c r="BJ17" i="9"/>
  <c r="Q25" i="22"/>
  <c r="Q186" i="22"/>
  <c r="Q177" i="22"/>
  <c r="Q147" i="22"/>
  <c r="Q136" i="22"/>
  <c r="Q131" i="22"/>
  <c r="Q144" i="22"/>
  <c r="Q123" i="22"/>
  <c r="Q17" i="22"/>
  <c r="Q13" i="22"/>
  <c r="Q12" i="22"/>
  <c r="Q8" i="22"/>
  <c r="BM113" i="21"/>
  <c r="BM86" i="21"/>
  <c r="BM183" i="21"/>
  <c r="BM85" i="21"/>
  <c r="BM84" i="21"/>
  <c r="BM83" i="21"/>
  <c r="BM180" i="21"/>
  <c r="BM80" i="21"/>
  <c r="BM177" i="21"/>
  <c r="BM76" i="21"/>
  <c r="BM29" i="21"/>
  <c r="BM210" i="21"/>
  <c r="BM207" i="21"/>
  <c r="BM185" i="21"/>
  <c r="BM175" i="21"/>
  <c r="BM174" i="21"/>
  <c r="BM233" i="21"/>
  <c r="BM168" i="21"/>
  <c r="BM152" i="21"/>
  <c r="BM128" i="21"/>
  <c r="BM178" i="21"/>
  <c r="BM75" i="21"/>
  <c r="BM172" i="21"/>
  <c r="BM60" i="21"/>
  <c r="BM43" i="21"/>
  <c r="BM42" i="21"/>
  <c r="BM41" i="21"/>
  <c r="BM40" i="21"/>
  <c r="BM39" i="21"/>
  <c r="BM38" i="21"/>
  <c r="BM10" i="21"/>
  <c r="BM8" i="21"/>
  <c r="BI5" i="9"/>
  <c r="BI4" i="9"/>
  <c r="V79" i="22"/>
  <c r="U79" i="22"/>
  <c r="R186" i="22"/>
  <c r="R177" i="22"/>
  <c r="R147" i="22"/>
  <c r="R136" i="22"/>
  <c r="R131" i="22"/>
  <c r="R144" i="22"/>
  <c r="R123" i="22"/>
  <c r="R25" i="22"/>
  <c r="R17" i="22"/>
  <c r="R13" i="22"/>
  <c r="R12" i="22"/>
  <c r="R8" i="22"/>
  <c r="BL8" i="21"/>
  <c r="BL85" i="21"/>
  <c r="BL84" i="21"/>
  <c r="BL83" i="21"/>
  <c r="BL80" i="21"/>
  <c r="BL177" i="21"/>
  <c r="BL76" i="21"/>
  <c r="BL60" i="21"/>
  <c r="BL29" i="21"/>
  <c r="BL9" i="21"/>
  <c r="BL210" i="21"/>
  <c r="BL207" i="21"/>
  <c r="BL185" i="21"/>
  <c r="BL178" i="21"/>
  <c r="BL175" i="21"/>
  <c r="BL174" i="21"/>
  <c r="BL168" i="21"/>
  <c r="BL152" i="21"/>
  <c r="BL128" i="21"/>
  <c r="BL113" i="21"/>
  <c r="BL75" i="21"/>
  <c r="BL172" i="21"/>
  <c r="BL43" i="21"/>
  <c r="BL42" i="21"/>
  <c r="BL41" i="21"/>
  <c r="BL40" i="21"/>
  <c r="BL39" i="21"/>
  <c r="BL38" i="21"/>
  <c r="BH5" i="9"/>
  <c r="BH4" i="9"/>
  <c r="BH21" i="9"/>
  <c r="BH12" i="9"/>
  <c r="S186" i="22"/>
  <c r="S177" i="22"/>
  <c r="S147" i="22"/>
  <c r="S136" i="22"/>
  <c r="S131" i="22"/>
  <c r="S144" i="22"/>
  <c r="S123" i="22"/>
  <c r="S25" i="22"/>
  <c r="S17" i="22"/>
  <c r="S13" i="22"/>
  <c r="S12" i="22"/>
  <c r="S8" i="22"/>
  <c r="BK8" i="21"/>
  <c r="BK80" i="21"/>
  <c r="BK83" i="21"/>
  <c r="BK180" i="21"/>
  <c r="BK239" i="21"/>
  <c r="BK76" i="21"/>
  <c r="BK173" i="21"/>
  <c r="BK60" i="21"/>
  <c r="BK210" i="21"/>
  <c r="BK185" i="21"/>
  <c r="BK244" i="21"/>
  <c r="BK183" i="21"/>
  <c r="BK242" i="21"/>
  <c r="BK181" i="21"/>
  <c r="BK240" i="21"/>
  <c r="BK178" i="21"/>
  <c r="BK237" i="21"/>
  <c r="BK175" i="21"/>
  <c r="BK234" i="21"/>
  <c r="BK174" i="21"/>
  <c r="BK233" i="21"/>
  <c r="BK168" i="21"/>
  <c r="BK227" i="21"/>
  <c r="BK152" i="21"/>
  <c r="BK128" i="21"/>
  <c r="BK113" i="21"/>
  <c r="BK182" i="21"/>
  <c r="BK241" i="21"/>
  <c r="BK75" i="21"/>
  <c r="BK43" i="21"/>
  <c r="BK42" i="21"/>
  <c r="BK41" i="21"/>
  <c r="BK40" i="21"/>
  <c r="BK39" i="21"/>
  <c r="BK38" i="21"/>
  <c r="BK10" i="21"/>
  <c r="BG5" i="9"/>
  <c r="BG4" i="9"/>
  <c r="BG20" i="9"/>
  <c r="BJ133" i="21"/>
  <c r="BJ257" i="21"/>
  <c r="BJ132" i="21"/>
  <c r="BJ127" i="21"/>
  <c r="BJ126" i="21"/>
  <c r="BJ128" i="21" s="1"/>
  <c r="BJ112" i="21"/>
  <c r="BJ111" i="21"/>
  <c r="BJ110" i="21"/>
  <c r="BJ109" i="21"/>
  <c r="BJ89" i="21"/>
  <c r="BJ185" i="21"/>
  <c r="BJ78" i="21"/>
  <c r="BJ77" i="21"/>
  <c r="BJ174" i="21"/>
  <c r="BJ59" i="21"/>
  <c r="BJ27" i="21"/>
  <c r="BJ26" i="21"/>
  <c r="BJ25" i="21"/>
  <c r="BJ24" i="21"/>
  <c r="BJ23" i="21"/>
  <c r="BJ22" i="21"/>
  <c r="BJ21" i="21"/>
  <c r="BJ18" i="21"/>
  <c r="BJ17" i="21"/>
  <c r="BJ16" i="21"/>
  <c r="BJ15" i="21"/>
  <c r="BJ14" i="21"/>
  <c r="BJ13" i="21"/>
  <c r="BJ7" i="21"/>
  <c r="BJ38" i="21" s="1"/>
  <c r="BJ210" i="21"/>
  <c r="BJ207" i="21"/>
  <c r="BJ152" i="21"/>
  <c r="P118" i="21"/>
  <c r="BJ118" i="21"/>
  <c r="P108" i="21"/>
  <c r="BJ108" i="21"/>
  <c r="P83" i="21"/>
  <c r="P81" i="21"/>
  <c r="P86" i="21"/>
  <c r="P183" i="21"/>
  <c r="P84" i="21"/>
  <c r="P181" i="21"/>
  <c r="P85" i="21"/>
  <c r="P182" i="21"/>
  <c r="P80" i="21"/>
  <c r="P76" i="21"/>
  <c r="P33" i="21"/>
  <c r="P29" i="21"/>
  <c r="P210" i="21"/>
  <c r="P185" i="21"/>
  <c r="P175" i="21"/>
  <c r="P174" i="21"/>
  <c r="P168" i="21"/>
  <c r="P152" i="21"/>
  <c r="P128" i="21"/>
  <c r="P113" i="21"/>
  <c r="P101" i="21"/>
  <c r="P100" i="21"/>
  <c r="P155" i="21"/>
  <c r="P75" i="21"/>
  <c r="P60" i="21"/>
  <c r="P43" i="21"/>
  <c r="P42" i="21"/>
  <c r="P41" i="21"/>
  <c r="P40" i="21"/>
  <c r="P39" i="21"/>
  <c r="P38" i="21"/>
  <c r="P10" i="21"/>
  <c r="P8" i="21"/>
  <c r="T186" i="22"/>
  <c r="T177" i="22"/>
  <c r="T147" i="22"/>
  <c r="T136" i="22"/>
  <c r="T131" i="22"/>
  <c r="T144" i="22"/>
  <c r="T123" i="22"/>
  <c r="T25" i="22"/>
  <c r="T17" i="22"/>
  <c r="T13" i="22"/>
  <c r="T12" i="22"/>
  <c r="T8" i="22"/>
  <c r="BI86" i="21"/>
  <c r="BI183" i="21"/>
  <c r="BI84" i="21"/>
  <c r="BI181" i="21"/>
  <c r="BI83" i="21"/>
  <c r="BI180" i="21"/>
  <c r="BI60" i="21"/>
  <c r="BI8" i="21"/>
  <c r="BE86" i="21"/>
  <c r="BE83" i="21"/>
  <c r="BE180" i="21"/>
  <c r="BD83" i="21"/>
  <c r="BD180" i="21"/>
  <c r="BD239" i="21"/>
  <c r="BI81" i="21"/>
  <c r="BI178" i="21"/>
  <c r="BE80" i="21"/>
  <c r="BE177" i="21"/>
  <c r="BE78" i="21"/>
  <c r="BI9" i="21"/>
  <c r="BI10" i="21"/>
  <c r="BI166" i="21"/>
  <c r="BE9" i="21"/>
  <c r="BE10" i="21"/>
  <c r="U186" i="22"/>
  <c r="U177" i="22"/>
  <c r="U147" i="22"/>
  <c r="U136" i="22"/>
  <c r="U131" i="22"/>
  <c r="U144" i="22"/>
  <c r="U123" i="22"/>
  <c r="U25" i="22"/>
  <c r="U17" i="22"/>
  <c r="U13" i="22"/>
  <c r="U12" i="22"/>
  <c r="U8" i="22"/>
  <c r="BF5" i="9"/>
  <c r="BF4" i="9"/>
  <c r="BF20" i="9"/>
  <c r="BF11" i="9"/>
  <c r="BI85" i="21"/>
  <c r="BI182" i="21"/>
  <c r="BI80" i="21"/>
  <c r="BI177" i="21"/>
  <c r="BI76" i="21"/>
  <c r="BI173" i="21"/>
  <c r="BI29" i="21"/>
  <c r="BI210" i="21"/>
  <c r="BI207" i="21"/>
  <c r="BI185" i="21"/>
  <c r="BI174" i="21"/>
  <c r="BI168" i="21"/>
  <c r="BI152" i="21"/>
  <c r="BI128" i="21"/>
  <c r="BI255" i="21"/>
  <c r="BI113" i="21"/>
  <c r="BI175" i="21"/>
  <c r="BI75" i="21"/>
  <c r="BI43" i="21"/>
  <c r="BI42" i="21"/>
  <c r="BI41" i="21"/>
  <c r="BI40" i="21"/>
  <c r="BI39" i="21"/>
  <c r="BI38" i="21"/>
  <c r="V147" i="22"/>
  <c r="W147" i="22"/>
  <c r="X147" i="22"/>
  <c r="X8" i="22"/>
  <c r="BG86" i="21"/>
  <c r="BG183" i="21"/>
  <c r="CE29" i="21"/>
  <c r="CE9" i="21"/>
  <c r="CE10" i="21"/>
  <c r="O86" i="21"/>
  <c r="O84" i="21"/>
  <c r="O181" i="21"/>
  <c r="O83" i="21"/>
  <c r="O85" i="21"/>
  <c r="O182" i="21"/>
  <c r="O76" i="21"/>
  <c r="O173" i="21"/>
  <c r="BE5" i="9"/>
  <c r="BE4" i="9"/>
  <c r="BE28" i="9"/>
  <c r="BE12" i="9"/>
  <c r="BE7" i="9"/>
  <c r="BH207" i="21"/>
  <c r="BH86" i="21"/>
  <c r="BH183" i="21"/>
  <c r="BH242" i="21"/>
  <c r="BH83" i="21"/>
  <c r="BH85" i="21"/>
  <c r="BH182" i="21"/>
  <c r="BH84" i="21"/>
  <c r="BH80" i="21"/>
  <c r="BH177" i="21"/>
  <c r="CF78" i="21"/>
  <c r="BG76" i="21"/>
  <c r="BG173" i="21"/>
  <c r="BH76" i="21"/>
  <c r="CF76" i="21"/>
  <c r="BG60" i="21"/>
  <c r="BH60" i="21"/>
  <c r="BH9" i="21"/>
  <c r="BH29" i="21"/>
  <c r="CF29" i="21"/>
  <c r="CF9" i="21"/>
  <c r="CF10" i="21"/>
  <c r="BH8" i="21"/>
  <c r="BG8" i="21"/>
  <c r="V186" i="22"/>
  <c r="V177" i="22"/>
  <c r="V136" i="22"/>
  <c r="V131" i="22"/>
  <c r="V144" i="22"/>
  <c r="V123" i="22"/>
  <c r="V25" i="22"/>
  <c r="V17" i="22"/>
  <c r="V13" i="22"/>
  <c r="V12" i="22"/>
  <c r="V8" i="22"/>
  <c r="BH210" i="21"/>
  <c r="BH185" i="21"/>
  <c r="BH178" i="21"/>
  <c r="BH175" i="21"/>
  <c r="BH174" i="21"/>
  <c r="BH168" i="21"/>
  <c r="BH152" i="21"/>
  <c r="BH128" i="21"/>
  <c r="BH255" i="21"/>
  <c r="BH113" i="21"/>
  <c r="BH75" i="21"/>
  <c r="BH43" i="21"/>
  <c r="BH42" i="21"/>
  <c r="BH41" i="21"/>
  <c r="BH40" i="21"/>
  <c r="BH39" i="21"/>
  <c r="BH38" i="21"/>
  <c r="BD5" i="9"/>
  <c r="BD4" i="9"/>
  <c r="BD19" i="9"/>
  <c r="BD12" i="9"/>
  <c r="BD11" i="9"/>
  <c r="W186" i="22"/>
  <c r="W177" i="22"/>
  <c r="W136" i="22"/>
  <c r="W131" i="22"/>
  <c r="W144" i="22"/>
  <c r="W123" i="22"/>
  <c r="W25" i="22"/>
  <c r="W17" i="22"/>
  <c r="W13" i="22"/>
  <c r="W12" i="22"/>
  <c r="W8" i="22"/>
  <c r="BG207" i="21"/>
  <c r="BG85" i="21"/>
  <c r="CE84" i="21"/>
  <c r="BG84" i="21"/>
  <c r="BG181" i="21"/>
  <c r="BG83" i="21"/>
  <c r="BG180" i="21"/>
  <c r="BG239" i="21"/>
  <c r="BG80" i="21"/>
  <c r="BG177" i="21"/>
  <c r="BG29" i="21"/>
  <c r="BG9" i="21"/>
  <c r="BG38" i="21"/>
  <c r="BG39" i="21"/>
  <c r="BG40" i="21"/>
  <c r="BG41" i="21"/>
  <c r="BG42" i="21"/>
  <c r="BG43" i="21"/>
  <c r="BG75" i="21"/>
  <c r="BG113" i="21"/>
  <c r="BG128" i="21"/>
  <c r="BG158" i="21"/>
  <c r="BG216" i="21"/>
  <c r="BG152" i="21"/>
  <c r="BG168" i="21"/>
  <c r="BG174" i="21"/>
  <c r="BG175" i="21"/>
  <c r="BG234" i="21"/>
  <c r="BG178" i="21"/>
  <c r="BG185" i="21"/>
  <c r="BG210" i="21"/>
  <c r="BC5" i="9"/>
  <c r="BC4" i="9"/>
  <c r="BC17" i="9"/>
  <c r="O80" i="21"/>
  <c r="N84" i="21"/>
  <c r="N181" i="21"/>
  <c r="BF133" i="21"/>
  <c r="BF257" i="21"/>
  <c r="BF132" i="21"/>
  <c r="BF127" i="21"/>
  <c r="BF126" i="21"/>
  <c r="BF118" i="21"/>
  <c r="BF112" i="21"/>
  <c r="BF111" i="21"/>
  <c r="BF110" i="21"/>
  <c r="BF109" i="21"/>
  <c r="BF108" i="21"/>
  <c r="BF89" i="21"/>
  <c r="BF185" i="21"/>
  <c r="BF77" i="21"/>
  <c r="BF174" i="21"/>
  <c r="BF59" i="21"/>
  <c r="BF27" i="21"/>
  <c r="BF26" i="21"/>
  <c r="BF25" i="21"/>
  <c r="BF24" i="21"/>
  <c r="BF23" i="21"/>
  <c r="BF22" i="21"/>
  <c r="BF21" i="21"/>
  <c r="BF18" i="21"/>
  <c r="BF17" i="21"/>
  <c r="BF16" i="21"/>
  <c r="BF15" i="21"/>
  <c r="BF14" i="21"/>
  <c r="BF13" i="21"/>
  <c r="BF7" i="21"/>
  <c r="BF210" i="21"/>
  <c r="BF207" i="21"/>
  <c r="BF152" i="21"/>
  <c r="X186" i="22"/>
  <c r="X177" i="22"/>
  <c r="X136" i="22"/>
  <c r="X131" i="22"/>
  <c r="X144" i="22"/>
  <c r="X123" i="22"/>
  <c r="X25" i="22"/>
  <c r="X17" i="22"/>
  <c r="X13" i="22"/>
  <c r="X12" i="22"/>
  <c r="O81" i="21"/>
  <c r="CH76" i="21"/>
  <c r="CH173" i="21"/>
  <c r="CH60" i="21"/>
  <c r="CH33" i="21"/>
  <c r="CH29" i="21"/>
  <c r="CH8" i="21"/>
  <c r="N8" i="21"/>
  <c r="CH210" i="21"/>
  <c r="CH185" i="21"/>
  <c r="CH175" i="21"/>
  <c r="CH174" i="21"/>
  <c r="CH168" i="21"/>
  <c r="CH152" i="21"/>
  <c r="CH128" i="21"/>
  <c r="CH113" i="21"/>
  <c r="CH101" i="21"/>
  <c r="CH100" i="21"/>
  <c r="CH86" i="21"/>
  <c r="CH183" i="21"/>
  <c r="CH85" i="21"/>
  <c r="CH182" i="21"/>
  <c r="CH84" i="21"/>
  <c r="CH181" i="21"/>
  <c r="CH83" i="21"/>
  <c r="CH180" i="21"/>
  <c r="CH81" i="21"/>
  <c r="CH178" i="21"/>
  <c r="CH80" i="21"/>
  <c r="CH103" i="21"/>
  <c r="CH145" i="21"/>
  <c r="CH201" i="21"/>
  <c r="CH267" i="21"/>
  <c r="CH75" i="21"/>
  <c r="CH172" i="21"/>
  <c r="CH43" i="21"/>
  <c r="CH42" i="21"/>
  <c r="CH41" i="21"/>
  <c r="CH40" i="21"/>
  <c r="CH39" i="21"/>
  <c r="CH38" i="21"/>
  <c r="CH10" i="21"/>
  <c r="O33" i="21"/>
  <c r="O29" i="21"/>
  <c r="BB7" i="21"/>
  <c r="O210" i="21"/>
  <c r="O185" i="21"/>
  <c r="O175" i="21"/>
  <c r="O174" i="21"/>
  <c r="O168" i="21"/>
  <c r="O152" i="21"/>
  <c r="O128" i="21"/>
  <c r="O113" i="21"/>
  <c r="O101" i="21"/>
  <c r="O100" i="21"/>
  <c r="O75" i="21"/>
  <c r="O60" i="21"/>
  <c r="O43" i="21"/>
  <c r="O42" i="21"/>
  <c r="O41" i="21"/>
  <c r="O40" i="21"/>
  <c r="O39" i="21"/>
  <c r="O38" i="21"/>
  <c r="O10" i="21"/>
  <c r="O19" i="21"/>
  <c r="O8" i="21"/>
  <c r="Y8" i="22"/>
  <c r="Z8" i="22"/>
  <c r="AA8" i="22"/>
  <c r="AE8" i="22"/>
  <c r="AF8" i="22"/>
  <c r="AG8" i="22"/>
  <c r="AH8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V12" i="22"/>
  <c r="AW12" i="22"/>
  <c r="AX12" i="22"/>
  <c r="AY12" i="22"/>
  <c r="AZ12" i="22"/>
  <c r="BA12" i="22"/>
  <c r="BB12" i="22"/>
  <c r="BC12" i="22"/>
  <c r="BD12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Y17" i="22"/>
  <c r="Z17" i="22"/>
  <c r="AA17" i="22"/>
  <c r="AB17" i="22"/>
  <c r="AC17" i="22"/>
  <c r="AD17" i="22"/>
  <c r="AE17" i="22"/>
  <c r="AF17" i="22"/>
  <c r="AG17" i="22"/>
  <c r="AH17" i="22"/>
  <c r="Y25" i="22"/>
  <c r="Z25" i="22"/>
  <c r="AA25" i="22"/>
  <c r="AB25" i="22"/>
  <c r="AC25" i="22"/>
  <c r="AD25" i="22"/>
  <c r="AE25" i="22"/>
  <c r="AF25" i="22"/>
  <c r="AG25" i="22"/>
  <c r="AH25" i="22"/>
  <c r="Y123" i="22"/>
  <c r="Z123" i="22"/>
  <c r="AA123" i="22"/>
  <c r="AB123" i="22"/>
  <c r="AC123" i="22"/>
  <c r="AD123" i="22"/>
  <c r="AE123" i="22"/>
  <c r="AF123" i="22"/>
  <c r="AG123" i="22"/>
  <c r="AH123" i="22"/>
  <c r="AI123" i="22"/>
  <c r="AJ123" i="22"/>
  <c r="AK123" i="22"/>
  <c r="AL123" i="22"/>
  <c r="AM123" i="22"/>
  <c r="AN123" i="22"/>
  <c r="AO123" i="22"/>
  <c r="AP123" i="22"/>
  <c r="AQ123" i="22"/>
  <c r="AR123" i="22"/>
  <c r="AS123" i="22"/>
  <c r="AT123" i="22"/>
  <c r="AU123" i="22"/>
  <c r="AV123" i="22"/>
  <c r="AW123" i="22"/>
  <c r="AX123" i="22"/>
  <c r="AY123" i="22"/>
  <c r="AZ123" i="22"/>
  <c r="BA123" i="22"/>
  <c r="BB123" i="22"/>
  <c r="BC123" i="22"/>
  <c r="BD123" i="22"/>
  <c r="Y131" i="22"/>
  <c r="Y144" i="22"/>
  <c r="Z131" i="22"/>
  <c r="Z144" i="22"/>
  <c r="AA131" i="22"/>
  <c r="AA144" i="22"/>
  <c r="AB131" i="22"/>
  <c r="AB144" i="22"/>
  <c r="AC131" i="22"/>
  <c r="AC144" i="22"/>
  <c r="AD131" i="22"/>
  <c r="AD144" i="22"/>
  <c r="AE131" i="22"/>
  <c r="AE144" i="22"/>
  <c r="AF131" i="22"/>
  <c r="AF144" i="22"/>
  <c r="AG131" i="22"/>
  <c r="AG144" i="22"/>
  <c r="AH131" i="22"/>
  <c r="AH144" i="22"/>
  <c r="AI131" i="22"/>
  <c r="AI144" i="22"/>
  <c r="AJ131" i="22"/>
  <c r="AJ144" i="22"/>
  <c r="AK131" i="22"/>
  <c r="AK144" i="22"/>
  <c r="AL131" i="22"/>
  <c r="AL144" i="22"/>
  <c r="AM131" i="22"/>
  <c r="AM144" i="22"/>
  <c r="AN131" i="22"/>
  <c r="AN144" i="22"/>
  <c r="AO131" i="22"/>
  <c r="AO144" i="22"/>
  <c r="AP131" i="22"/>
  <c r="AP144" i="22"/>
  <c r="AQ131" i="22"/>
  <c r="AQ144" i="22"/>
  <c r="AR131" i="22"/>
  <c r="AR144" i="22"/>
  <c r="Y136" i="22"/>
  <c r="Z136" i="22"/>
  <c r="AA136" i="22"/>
  <c r="AB136" i="22"/>
  <c r="AC136" i="22"/>
  <c r="AD136" i="22"/>
  <c r="AE136" i="22"/>
  <c r="AF136" i="22"/>
  <c r="AG136" i="22"/>
  <c r="AH136" i="22"/>
  <c r="AI136" i="22"/>
  <c r="AJ136" i="22"/>
  <c r="AK136" i="22"/>
  <c r="AL136" i="22"/>
  <c r="AM136" i="22"/>
  <c r="AN136" i="22"/>
  <c r="AO136" i="22"/>
  <c r="AP136" i="22"/>
  <c r="AQ136" i="22"/>
  <c r="AR136" i="22"/>
  <c r="AS136" i="22"/>
  <c r="AT136" i="22"/>
  <c r="AU136" i="22"/>
  <c r="AV136" i="22"/>
  <c r="AW136" i="22"/>
  <c r="AX136" i="22"/>
  <c r="AY136" i="22"/>
  <c r="AZ136" i="22"/>
  <c r="BA136" i="22"/>
  <c r="BB136" i="22"/>
  <c r="BC136" i="22"/>
  <c r="BD136" i="22"/>
  <c r="Y147" i="22"/>
  <c r="Z147" i="22"/>
  <c r="AA147" i="22"/>
  <c r="AB147" i="22"/>
  <c r="AC147" i="22"/>
  <c r="AD147" i="22"/>
  <c r="AE147" i="22"/>
  <c r="AF147" i="22"/>
  <c r="AG147" i="22"/>
  <c r="AH147" i="22"/>
  <c r="AI147" i="22"/>
  <c r="AJ147" i="22"/>
  <c r="AK147" i="22"/>
  <c r="AL147" i="22"/>
  <c r="AM147" i="22"/>
  <c r="AN147" i="22"/>
  <c r="AO147" i="22"/>
  <c r="AQ147" i="22"/>
  <c r="Y177" i="22"/>
  <c r="Z177" i="22"/>
  <c r="AA177" i="22"/>
  <c r="AB177" i="22"/>
  <c r="AC177" i="22"/>
  <c r="AD177" i="22"/>
  <c r="AE177" i="22"/>
  <c r="AF177" i="22"/>
  <c r="AG177" i="22"/>
  <c r="AH177" i="22"/>
  <c r="AI177" i="22"/>
  <c r="AJ177" i="22"/>
  <c r="AK177" i="22"/>
  <c r="AL177" i="22"/>
  <c r="AM177" i="22"/>
  <c r="AN177" i="22"/>
  <c r="AO177" i="22"/>
  <c r="AP177" i="22"/>
  <c r="AQ177" i="22"/>
  <c r="AR177" i="22"/>
  <c r="AS177" i="22"/>
  <c r="AT177" i="22"/>
  <c r="AU177" i="22"/>
  <c r="AV177" i="22"/>
  <c r="AW177" i="22"/>
  <c r="AX177" i="22"/>
  <c r="AY177" i="22"/>
  <c r="AZ177" i="22"/>
  <c r="BA177" i="22"/>
  <c r="BB177" i="22"/>
  <c r="BC177" i="22"/>
  <c r="BD177" i="22"/>
  <c r="Y186" i="22"/>
  <c r="Z186" i="22"/>
  <c r="AA186" i="22"/>
  <c r="AB186" i="22"/>
  <c r="AC186" i="22"/>
  <c r="AD186" i="22"/>
  <c r="AE186" i="22"/>
  <c r="AF186" i="22"/>
  <c r="AG186" i="22"/>
  <c r="AH186" i="22"/>
  <c r="AI186" i="22"/>
  <c r="AJ186" i="22"/>
  <c r="AK186" i="22"/>
  <c r="AL186" i="22"/>
  <c r="AM186" i="22"/>
  <c r="AN186" i="22"/>
  <c r="AO186" i="22"/>
  <c r="AP186" i="22"/>
  <c r="AQ186" i="22"/>
  <c r="Z7" i="21"/>
  <c r="Z68" i="21"/>
  <c r="Z72" i="21"/>
  <c r="AD7" i="21"/>
  <c r="AH7" i="21"/>
  <c r="AL7" i="21"/>
  <c r="AP7" i="21"/>
  <c r="AT7" i="21"/>
  <c r="AX7" i="21"/>
  <c r="E8" i="21"/>
  <c r="F8" i="21"/>
  <c r="G8" i="21"/>
  <c r="H8" i="21"/>
  <c r="I8" i="21"/>
  <c r="J8" i="21"/>
  <c r="K8" i="21"/>
  <c r="L8" i="21"/>
  <c r="M8" i="21"/>
  <c r="AE8" i="21"/>
  <c r="AF8" i="21"/>
  <c r="AG8" i="21"/>
  <c r="AI8" i="21"/>
  <c r="AJ8" i="21"/>
  <c r="AK8" i="21"/>
  <c r="AM8" i="21"/>
  <c r="AN8" i="21"/>
  <c r="AO8" i="21"/>
  <c r="AQ8" i="21"/>
  <c r="AR8" i="21"/>
  <c r="AS8" i="21"/>
  <c r="AU8" i="21"/>
  <c r="AV8" i="21"/>
  <c r="AW8" i="21"/>
  <c r="AY8" i="21"/>
  <c r="AZ8" i="21"/>
  <c r="BA8" i="21"/>
  <c r="BC8" i="21"/>
  <c r="BD8" i="21"/>
  <c r="BE8" i="21"/>
  <c r="CB8" i="21"/>
  <c r="CC8" i="21"/>
  <c r="CE8" i="21"/>
  <c r="CF8" i="21"/>
  <c r="BB9" i="21"/>
  <c r="BC9" i="21"/>
  <c r="BC10" i="21"/>
  <c r="Z9" i="21"/>
  <c r="AD9" i="21"/>
  <c r="AH9" i="21"/>
  <c r="AL9" i="21"/>
  <c r="AT9" i="21"/>
  <c r="AX9" i="21"/>
  <c r="BD9" i="21"/>
  <c r="CB9" i="21"/>
  <c r="CB10" i="21"/>
  <c r="CC9" i="21"/>
  <c r="CC10" i="21"/>
  <c r="CD9" i="21"/>
  <c r="CD10" i="21"/>
  <c r="D10" i="21"/>
  <c r="E10" i="21"/>
  <c r="F10" i="21"/>
  <c r="G10" i="21"/>
  <c r="H10" i="21"/>
  <c r="I10" i="21"/>
  <c r="J10" i="21"/>
  <c r="J97" i="21"/>
  <c r="J154" i="21"/>
  <c r="J212" i="21"/>
  <c r="K10" i="21"/>
  <c r="L10" i="21"/>
  <c r="M10" i="21"/>
  <c r="M61" i="21"/>
  <c r="N10" i="21"/>
  <c r="W10" i="21"/>
  <c r="W166" i="21"/>
  <c r="W225" i="21"/>
  <c r="X10" i="21"/>
  <c r="Y10" i="21"/>
  <c r="AA10" i="21"/>
  <c r="AB10" i="21"/>
  <c r="AC10" i="21"/>
  <c r="AE10" i="21"/>
  <c r="AF10" i="21"/>
  <c r="AG10" i="21"/>
  <c r="AI10" i="21"/>
  <c r="AJ10" i="21"/>
  <c r="AK10" i="21"/>
  <c r="AM10" i="21"/>
  <c r="AN10" i="21"/>
  <c r="AO10" i="21"/>
  <c r="AQ10" i="21"/>
  <c r="AR10" i="21"/>
  <c r="AS10" i="21"/>
  <c r="AS166" i="21"/>
  <c r="AS225" i="21"/>
  <c r="AU10" i="21"/>
  <c r="AV10" i="21"/>
  <c r="AW10" i="21"/>
  <c r="AW166" i="21"/>
  <c r="AY10" i="21"/>
  <c r="AZ10" i="21"/>
  <c r="BA10" i="21"/>
  <c r="BA166" i="21"/>
  <c r="BB13" i="21"/>
  <c r="AP13" i="21"/>
  <c r="AT13" i="21"/>
  <c r="AT38" i="21"/>
  <c r="AX13" i="21"/>
  <c r="AX38" i="21"/>
  <c r="BB14" i="21"/>
  <c r="AP14" i="21"/>
  <c r="AT14" i="21"/>
  <c r="AX14" i="21"/>
  <c r="BB15" i="21"/>
  <c r="AP15" i="21"/>
  <c r="AT15" i="21"/>
  <c r="AX15" i="21"/>
  <c r="AX40" i="21"/>
  <c r="BB16" i="21"/>
  <c r="AP16" i="21"/>
  <c r="AX16" i="21"/>
  <c r="BB17" i="21"/>
  <c r="AP17" i="21"/>
  <c r="AT17" i="21"/>
  <c r="AX17" i="21"/>
  <c r="AX42" i="21"/>
  <c r="BB18" i="21"/>
  <c r="AP18" i="21"/>
  <c r="AT18" i="21"/>
  <c r="AX18" i="21"/>
  <c r="E19" i="21"/>
  <c r="E44" i="21"/>
  <c r="F19" i="21"/>
  <c r="F98" i="21"/>
  <c r="G19" i="21"/>
  <c r="W19" i="21"/>
  <c r="X19" i="21"/>
  <c r="X52" i="21"/>
  <c r="X54" i="21"/>
  <c r="Y19" i="21"/>
  <c r="AA19" i="21"/>
  <c r="AA52" i="21"/>
  <c r="AA54" i="21"/>
  <c r="AB19" i="21"/>
  <c r="AC19" i="21"/>
  <c r="AC52" i="21"/>
  <c r="AC54" i="21"/>
  <c r="AE19" i="21"/>
  <c r="AE52" i="21"/>
  <c r="AE54" i="21"/>
  <c r="AF19" i="21"/>
  <c r="AG19" i="21"/>
  <c r="AG52" i="21"/>
  <c r="AG54" i="21"/>
  <c r="AI19" i="21"/>
  <c r="AJ19" i="21"/>
  <c r="AK19" i="21"/>
  <c r="BB21" i="21"/>
  <c r="Z21" i="21"/>
  <c r="AD21" i="21"/>
  <c r="AH21" i="21"/>
  <c r="AL21" i="21"/>
  <c r="AP21" i="21"/>
  <c r="AT21" i="21"/>
  <c r="AX21" i="21"/>
  <c r="D22" i="21"/>
  <c r="D28" i="21"/>
  <c r="D30" i="21"/>
  <c r="D35" i="21"/>
  <c r="E22" i="21"/>
  <c r="F22" i="21"/>
  <c r="Z22" i="21"/>
  <c r="G22" i="21"/>
  <c r="AD22" i="21"/>
  <c r="H22" i="21"/>
  <c r="AH22" i="21"/>
  <c r="I22" i="21"/>
  <c r="AL22" i="21"/>
  <c r="J22" i="21"/>
  <c r="AP22" i="21"/>
  <c r="K22" i="21"/>
  <c r="AT22" i="21"/>
  <c r="BB22" i="21"/>
  <c r="AX22" i="21"/>
  <c r="BB23" i="21"/>
  <c r="Z23" i="21"/>
  <c r="AD23" i="21"/>
  <c r="AH23" i="21"/>
  <c r="AL23" i="21"/>
  <c r="AP23" i="21"/>
  <c r="AT23" i="21"/>
  <c r="AX23" i="21"/>
  <c r="BB24" i="21"/>
  <c r="Z24" i="21"/>
  <c r="AD24" i="21"/>
  <c r="AH24" i="21"/>
  <c r="AL24" i="21"/>
  <c r="AP24" i="21"/>
  <c r="AT24" i="21"/>
  <c r="AX24" i="21"/>
  <c r="BB25" i="21"/>
  <c r="Z25" i="21"/>
  <c r="AD25" i="21"/>
  <c r="AH25" i="21"/>
  <c r="AL25" i="21"/>
  <c r="AP25" i="21"/>
  <c r="AT25" i="21"/>
  <c r="AX25" i="21"/>
  <c r="BB26" i="21"/>
  <c r="Z26" i="21"/>
  <c r="AD26" i="21"/>
  <c r="AH26" i="21"/>
  <c r="AL26" i="21"/>
  <c r="AP26" i="21"/>
  <c r="AT26" i="21"/>
  <c r="AX26" i="21"/>
  <c r="BB27" i="21"/>
  <c r="Z27" i="21"/>
  <c r="AD27" i="21"/>
  <c r="AH27" i="21"/>
  <c r="AL27" i="21"/>
  <c r="AP27" i="21"/>
  <c r="AT27" i="21"/>
  <c r="AX27" i="21"/>
  <c r="K29" i="21"/>
  <c r="AT29" i="21"/>
  <c r="L29" i="21"/>
  <c r="M29" i="21"/>
  <c r="N29" i="21"/>
  <c r="BA29" i="21"/>
  <c r="AZ29" i="21"/>
  <c r="AY29" i="21"/>
  <c r="BC29" i="21"/>
  <c r="BD29" i="21"/>
  <c r="Z29" i="21"/>
  <c r="AD29" i="21"/>
  <c r="AH29" i="21"/>
  <c r="AL29" i="21"/>
  <c r="AP29" i="21"/>
  <c r="AU29" i="21"/>
  <c r="AV29" i="21"/>
  <c r="AW29" i="21"/>
  <c r="BE29" i="21"/>
  <c r="CB29" i="21"/>
  <c r="CC29" i="21"/>
  <c r="CD29" i="21"/>
  <c r="B38" i="21"/>
  <c r="I38" i="21"/>
  <c r="J38" i="21"/>
  <c r="K38" i="21"/>
  <c r="L38" i="21"/>
  <c r="M38" i="21"/>
  <c r="N38" i="21"/>
  <c r="AM38" i="21"/>
  <c r="AN38" i="21"/>
  <c r="AO38" i="21"/>
  <c r="AQ38" i="21"/>
  <c r="AR38" i="21"/>
  <c r="AS38" i="21"/>
  <c r="AU38" i="21"/>
  <c r="AV38" i="21"/>
  <c r="AW38" i="21"/>
  <c r="AY38" i="21"/>
  <c r="AZ38" i="21"/>
  <c r="BA38" i="21"/>
  <c r="BC38" i="21"/>
  <c r="BD38" i="21"/>
  <c r="BE38" i="21"/>
  <c r="CB38" i="21"/>
  <c r="CC38" i="21"/>
  <c r="CD38" i="21"/>
  <c r="CE38" i="21"/>
  <c r="CF38" i="21"/>
  <c r="B39" i="21"/>
  <c r="I39" i="21"/>
  <c r="J39" i="21"/>
  <c r="K39" i="21"/>
  <c r="L39" i="21"/>
  <c r="M39" i="21"/>
  <c r="N39" i="21"/>
  <c r="AM39" i="21"/>
  <c r="AN39" i="21"/>
  <c r="AO39" i="21"/>
  <c r="AQ39" i="21"/>
  <c r="AR39" i="21"/>
  <c r="AS39" i="21"/>
  <c r="AU39" i="21"/>
  <c r="AV39" i="21"/>
  <c r="AW39" i="21"/>
  <c r="AY39" i="21"/>
  <c r="AZ39" i="21"/>
  <c r="BA39" i="21"/>
  <c r="BC39" i="21"/>
  <c r="BD39" i="21"/>
  <c r="BE39" i="21"/>
  <c r="CB39" i="21"/>
  <c r="CC39" i="21"/>
  <c r="CD39" i="21"/>
  <c r="CE39" i="21"/>
  <c r="CF39" i="21"/>
  <c r="B40" i="21"/>
  <c r="I40" i="21"/>
  <c r="J40" i="21"/>
  <c r="K40" i="21"/>
  <c r="L40" i="21"/>
  <c r="M40" i="21"/>
  <c r="N40" i="21"/>
  <c r="AM40" i="21"/>
  <c r="AN40" i="21"/>
  <c r="AO40" i="21"/>
  <c r="AQ40" i="21"/>
  <c r="AR40" i="21"/>
  <c r="AS40" i="21"/>
  <c r="AU40" i="21"/>
  <c r="AV40" i="21"/>
  <c r="AW40" i="21"/>
  <c r="AY40" i="21"/>
  <c r="AZ40" i="21"/>
  <c r="BA40" i="21"/>
  <c r="BC40" i="21"/>
  <c r="BD40" i="21"/>
  <c r="BE40" i="21"/>
  <c r="CB40" i="21"/>
  <c r="CC40" i="21"/>
  <c r="CD40" i="21"/>
  <c r="CE40" i="21"/>
  <c r="CF40" i="21"/>
  <c r="B41" i="21"/>
  <c r="I41" i="21"/>
  <c r="J41" i="21"/>
  <c r="K41" i="21"/>
  <c r="L41" i="21"/>
  <c r="M41" i="21"/>
  <c r="N41" i="21"/>
  <c r="AM41" i="21"/>
  <c r="AN41" i="21"/>
  <c r="AO41" i="21"/>
  <c r="AQ41" i="21"/>
  <c r="AR41" i="21"/>
  <c r="AS41" i="21"/>
  <c r="AU41" i="21"/>
  <c r="AV41" i="21"/>
  <c r="AW41" i="21"/>
  <c r="AY41" i="21"/>
  <c r="AZ41" i="21"/>
  <c r="BA41" i="21"/>
  <c r="BC41" i="21"/>
  <c r="BD41" i="21"/>
  <c r="BE41" i="21"/>
  <c r="CB41" i="21"/>
  <c r="CC41" i="21"/>
  <c r="CD41" i="21"/>
  <c r="CE41" i="21"/>
  <c r="CF41" i="21"/>
  <c r="B42" i="21"/>
  <c r="I42" i="21"/>
  <c r="J42" i="21"/>
  <c r="K42" i="21"/>
  <c r="L42" i="21"/>
  <c r="M42" i="21"/>
  <c r="N42" i="21"/>
  <c r="AM42" i="21"/>
  <c r="AN42" i="21"/>
  <c r="AO42" i="21"/>
  <c r="AQ42" i="21"/>
  <c r="AR42" i="21"/>
  <c r="AS42" i="21"/>
  <c r="AU42" i="21"/>
  <c r="AV42" i="21"/>
  <c r="AW42" i="21"/>
  <c r="AY42" i="21"/>
  <c r="AZ42" i="21"/>
  <c r="BA42" i="21"/>
  <c r="BC42" i="21"/>
  <c r="BD42" i="21"/>
  <c r="BE42" i="21"/>
  <c r="CB42" i="21"/>
  <c r="CC42" i="21"/>
  <c r="CD42" i="21"/>
  <c r="CE42" i="21"/>
  <c r="CF42" i="21"/>
  <c r="B43" i="21"/>
  <c r="I43" i="21"/>
  <c r="J43" i="21"/>
  <c r="K43" i="21"/>
  <c r="L43" i="21"/>
  <c r="M43" i="21"/>
  <c r="N43" i="21"/>
  <c r="AM43" i="21"/>
  <c r="AN43" i="21"/>
  <c r="AO43" i="21"/>
  <c r="AQ43" i="21"/>
  <c r="AR43" i="21"/>
  <c r="AS43" i="21"/>
  <c r="AU43" i="21"/>
  <c r="AV43" i="21"/>
  <c r="AW43" i="21"/>
  <c r="AY43" i="21"/>
  <c r="AZ43" i="21"/>
  <c r="BA43" i="21"/>
  <c r="BC43" i="21"/>
  <c r="BD43" i="21"/>
  <c r="BE43" i="21"/>
  <c r="CB43" i="21"/>
  <c r="CC43" i="21"/>
  <c r="CD43" i="21"/>
  <c r="CE43" i="21"/>
  <c r="CF43" i="21"/>
  <c r="B44" i="21"/>
  <c r="D44" i="21"/>
  <c r="H44" i="21"/>
  <c r="D127" i="21"/>
  <c r="D119" i="21"/>
  <c r="E127" i="21"/>
  <c r="E119" i="21"/>
  <c r="Z127" i="21"/>
  <c r="Z122" i="21"/>
  <c r="F117" i="21"/>
  <c r="F118" i="21"/>
  <c r="AD127" i="21"/>
  <c r="G117" i="21"/>
  <c r="G118" i="21"/>
  <c r="G119" i="21" s="1"/>
  <c r="AH127" i="21"/>
  <c r="H117" i="21"/>
  <c r="G8" i="9"/>
  <c r="H118" i="21"/>
  <c r="AL122" i="21"/>
  <c r="I122" i="21"/>
  <c r="I117" i="21"/>
  <c r="I118" i="21"/>
  <c r="AP122" i="21"/>
  <c r="J122" i="21"/>
  <c r="AP117" i="21"/>
  <c r="J118" i="21"/>
  <c r="AT122" i="21"/>
  <c r="K122" i="21"/>
  <c r="AT117" i="21"/>
  <c r="K118" i="21"/>
  <c r="L117" i="21"/>
  <c r="L122" i="21"/>
  <c r="M117" i="21"/>
  <c r="Z119" i="21"/>
  <c r="Z252" i="21"/>
  <c r="AA127" i="21"/>
  <c r="AA122" i="21"/>
  <c r="AA119" i="21"/>
  <c r="AA252" i="21"/>
  <c r="AB127" i="21"/>
  <c r="AB119" i="21"/>
  <c r="AB252" i="21"/>
  <c r="AC127" i="21"/>
  <c r="AC122" i="21"/>
  <c r="AC119" i="21"/>
  <c r="AC252" i="21"/>
  <c r="AD119" i="21"/>
  <c r="AE127" i="21"/>
  <c r="AE119" i="21"/>
  <c r="AE252" i="21"/>
  <c r="AF127" i="21"/>
  <c r="AF122" i="21"/>
  <c r="AF119" i="21"/>
  <c r="AF252" i="21"/>
  <c r="AG127" i="21"/>
  <c r="AG119" i="21"/>
  <c r="AH119" i="21"/>
  <c r="AI127" i="21"/>
  <c r="AI119" i="21"/>
  <c r="AJ127" i="21"/>
  <c r="AJ119" i="21"/>
  <c r="AJ252" i="21"/>
  <c r="AK127" i="21"/>
  <c r="AK119" i="21"/>
  <c r="AK252" i="21"/>
  <c r="AL119" i="21"/>
  <c r="AM127" i="21"/>
  <c r="AM128" i="21"/>
  <c r="AM119" i="21"/>
  <c r="AM252" i="21"/>
  <c r="AN127" i="21"/>
  <c r="AN119" i="21"/>
  <c r="AN252" i="21"/>
  <c r="AO127" i="21"/>
  <c r="AO119" i="21"/>
  <c r="AO252" i="21"/>
  <c r="AQ127" i="21"/>
  <c r="AQ128" i="21"/>
  <c r="AR127" i="21"/>
  <c r="AR128" i="21"/>
  <c r="AS127" i="21"/>
  <c r="AS128" i="21"/>
  <c r="AS46" i="21"/>
  <c r="BB118" i="21"/>
  <c r="F126" i="21"/>
  <c r="G126" i="21"/>
  <c r="H126" i="21"/>
  <c r="I126" i="21"/>
  <c r="AL127" i="21"/>
  <c r="J126" i="21"/>
  <c r="AP127" i="21"/>
  <c r="AP128" i="21"/>
  <c r="AP46" i="21"/>
  <c r="K126" i="21"/>
  <c r="K127" i="21"/>
  <c r="L128" i="21"/>
  <c r="M128" i="21"/>
  <c r="N128" i="21"/>
  <c r="AT128" i="21"/>
  <c r="AT158" i="21"/>
  <c r="AT216" i="21"/>
  <c r="AU128" i="21"/>
  <c r="AV128" i="21"/>
  <c r="AV255" i="21"/>
  <c r="AW128" i="21"/>
  <c r="AX126" i="21"/>
  <c r="AX127" i="21"/>
  <c r="AY128" i="21"/>
  <c r="J172" i="9"/>
  <c r="J174" i="9"/>
  <c r="AZ128" i="21"/>
  <c r="AZ158" i="21"/>
  <c r="AZ216" i="21"/>
  <c r="BA128" i="21"/>
  <c r="BA158" i="21"/>
  <c r="BA216" i="21"/>
  <c r="BB126" i="21"/>
  <c r="BB127" i="21"/>
  <c r="BC128" i="21"/>
  <c r="BD128" i="21"/>
  <c r="BE128" i="21"/>
  <c r="D101" i="21"/>
  <c r="E101" i="21"/>
  <c r="F78" i="21"/>
  <c r="F175" i="21"/>
  <c r="F234" i="21"/>
  <c r="G78" i="21"/>
  <c r="H78" i="21"/>
  <c r="H175" i="21"/>
  <c r="H234" i="21"/>
  <c r="I78" i="21"/>
  <c r="J78" i="21"/>
  <c r="J175" i="21"/>
  <c r="K78" i="21"/>
  <c r="L101" i="21"/>
  <c r="M101" i="21"/>
  <c r="N101" i="21"/>
  <c r="BB78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K101" i="21"/>
  <c r="AL101" i="21"/>
  <c r="AM101" i="21"/>
  <c r="AN101" i="21"/>
  <c r="AO101" i="21"/>
  <c r="AP101" i="21"/>
  <c r="AQ101" i="21"/>
  <c r="AR101" i="21"/>
  <c r="AS101" i="21"/>
  <c r="AT101" i="21"/>
  <c r="AU101" i="21"/>
  <c r="AV101" i="21"/>
  <c r="AW101" i="21"/>
  <c r="AX78" i="21"/>
  <c r="D113" i="21"/>
  <c r="E113" i="21"/>
  <c r="F110" i="21"/>
  <c r="F111" i="21"/>
  <c r="F112" i="21"/>
  <c r="F113" i="21"/>
  <c r="G110" i="21"/>
  <c r="G111" i="21"/>
  <c r="G112" i="21"/>
  <c r="H110" i="21"/>
  <c r="H111" i="21"/>
  <c r="H112" i="21"/>
  <c r="I110" i="21"/>
  <c r="I111" i="21"/>
  <c r="AL112" i="21"/>
  <c r="I112" i="21"/>
  <c r="I113" i="21" s="1"/>
  <c r="J110" i="21"/>
  <c r="J111" i="21"/>
  <c r="J112" i="21"/>
  <c r="K110" i="21"/>
  <c r="K111" i="21"/>
  <c r="K112" i="21"/>
  <c r="L113" i="21"/>
  <c r="M113" i="21"/>
  <c r="N113" i="21"/>
  <c r="Z113" i="21"/>
  <c r="AA113" i="21"/>
  <c r="AB113" i="21"/>
  <c r="AC113" i="21"/>
  <c r="AD113" i="21"/>
  <c r="AE113" i="21"/>
  <c r="AF113" i="21"/>
  <c r="AG113" i="21"/>
  <c r="AH113" i="21"/>
  <c r="AI112" i="21"/>
  <c r="AI113" i="21"/>
  <c r="AJ112" i="21"/>
  <c r="AJ113" i="21"/>
  <c r="AK112" i="21"/>
  <c r="AK113" i="21"/>
  <c r="AM112" i="21"/>
  <c r="AM113" i="21"/>
  <c r="AN112" i="21"/>
  <c r="AN113" i="21"/>
  <c r="AO112" i="21"/>
  <c r="AO113" i="21"/>
  <c r="AP113" i="21"/>
  <c r="AQ112" i="21"/>
  <c r="AQ113" i="21"/>
  <c r="AR112" i="21"/>
  <c r="AR113" i="21"/>
  <c r="AS112" i="21"/>
  <c r="AS113" i="21"/>
  <c r="AT113" i="21"/>
  <c r="AU113" i="21"/>
  <c r="AV113" i="21"/>
  <c r="AW113" i="21"/>
  <c r="AX110" i="21"/>
  <c r="AX111" i="21"/>
  <c r="AX112" i="21"/>
  <c r="AY113" i="21"/>
  <c r="AZ113" i="21"/>
  <c r="BA113" i="21"/>
  <c r="BB110" i="21"/>
  <c r="BB111" i="21"/>
  <c r="BB112" i="21"/>
  <c r="BC113" i="21"/>
  <c r="BD113" i="21"/>
  <c r="BE113" i="21"/>
  <c r="B52" i="21"/>
  <c r="D52" i="21"/>
  <c r="D54" i="21"/>
  <c r="H52" i="21"/>
  <c r="H54" i="21"/>
  <c r="H56" i="21"/>
  <c r="BB59" i="21"/>
  <c r="Z59" i="21"/>
  <c r="AD59" i="21"/>
  <c r="AD100" i="21"/>
  <c r="AD193" i="21"/>
  <c r="AH59" i="21"/>
  <c r="AL59" i="21"/>
  <c r="AO100" i="21"/>
  <c r="AT59" i="21"/>
  <c r="AX59" i="21"/>
  <c r="AP59" i="21"/>
  <c r="C60" i="21"/>
  <c r="F60" i="21"/>
  <c r="G60" i="21"/>
  <c r="H60" i="21"/>
  <c r="I60" i="21"/>
  <c r="J60" i="21"/>
  <c r="K60" i="21"/>
  <c r="L60" i="21"/>
  <c r="M60" i="21"/>
  <c r="N60" i="21"/>
  <c r="AQ60" i="21"/>
  <c r="AR60" i="21"/>
  <c r="AS60" i="21"/>
  <c r="AU60" i="21"/>
  <c r="AV60" i="21"/>
  <c r="AW60" i="21"/>
  <c r="AY60" i="21"/>
  <c r="AZ60" i="21"/>
  <c r="BA60" i="21"/>
  <c r="BC60" i="21"/>
  <c r="BD60" i="21"/>
  <c r="BE60" i="21"/>
  <c r="CB60" i="21"/>
  <c r="CC60" i="21"/>
  <c r="CE60" i="21"/>
  <c r="CF60" i="21"/>
  <c r="L62" i="21"/>
  <c r="L63" i="21"/>
  <c r="W62" i="21"/>
  <c r="X62" i="21"/>
  <c r="Y62" i="21"/>
  <c r="Z62" i="21"/>
  <c r="AA62" i="21"/>
  <c r="AA64" i="21"/>
  <c r="AB62" i="21"/>
  <c r="AB64" i="21"/>
  <c r="AC62" i="21"/>
  <c r="AC63" i="21"/>
  <c r="AD62" i="21"/>
  <c r="AD64" i="21"/>
  <c r="AE62" i="21"/>
  <c r="AE63" i="21"/>
  <c r="AF62" i="21"/>
  <c r="AG62" i="21"/>
  <c r="AH62" i="21"/>
  <c r="AI62" i="21"/>
  <c r="AI63" i="21"/>
  <c r="AJ62" i="21"/>
  <c r="AK62" i="21"/>
  <c r="AK63" i="21"/>
  <c r="AL62" i="21"/>
  <c r="AL64" i="21"/>
  <c r="AM62" i="21"/>
  <c r="AM64" i="21"/>
  <c r="AN62" i="21"/>
  <c r="AO62" i="21"/>
  <c r="AO63" i="21"/>
  <c r="AP62" i="21"/>
  <c r="AP63" i="21" s="1"/>
  <c r="AQ62" i="21"/>
  <c r="AR62" i="21"/>
  <c r="AR63" i="21"/>
  <c r="AS62" i="21"/>
  <c r="AS64" i="21"/>
  <c r="AT62" i="21"/>
  <c r="AU62" i="21"/>
  <c r="AV62" i="21"/>
  <c r="AV64" i="21"/>
  <c r="AW62" i="21"/>
  <c r="AX62" i="21"/>
  <c r="C63" i="21"/>
  <c r="D63" i="21"/>
  <c r="E63" i="21"/>
  <c r="F63" i="21"/>
  <c r="G63" i="21"/>
  <c r="H63" i="21"/>
  <c r="I63" i="21"/>
  <c r="J63" i="21"/>
  <c r="K63" i="21"/>
  <c r="M63" i="21"/>
  <c r="C64" i="21"/>
  <c r="D64" i="21"/>
  <c r="E64" i="21"/>
  <c r="F64" i="21"/>
  <c r="G64" i="21"/>
  <c r="H64" i="21"/>
  <c r="I64" i="21"/>
  <c r="J64" i="21"/>
  <c r="K64" i="21"/>
  <c r="M64" i="21"/>
  <c r="L65" i="21"/>
  <c r="L66" i="21"/>
  <c r="D68" i="21"/>
  <c r="E68" i="21"/>
  <c r="E69" i="21" s="1"/>
  <c r="F68" i="21"/>
  <c r="G68" i="21"/>
  <c r="H68" i="21"/>
  <c r="I68" i="21"/>
  <c r="J68" i="21"/>
  <c r="K68" i="21"/>
  <c r="L68" i="21"/>
  <c r="M68" i="21"/>
  <c r="M69" i="21" s="1"/>
  <c r="W68" i="21"/>
  <c r="W72" i="21"/>
  <c r="X68" i="21"/>
  <c r="X72" i="21"/>
  <c r="Y68" i="21"/>
  <c r="Y72" i="21"/>
  <c r="AA68" i="21"/>
  <c r="AA72" i="21"/>
  <c r="AB68" i="21"/>
  <c r="AB72" i="21"/>
  <c r="AC68" i="21"/>
  <c r="AC72" i="21"/>
  <c r="AE68" i="21"/>
  <c r="AE72" i="21"/>
  <c r="AF68" i="21"/>
  <c r="AF72" i="21"/>
  <c r="AG68" i="21"/>
  <c r="AG72" i="21"/>
  <c r="AI68" i="21"/>
  <c r="AJ68" i="21"/>
  <c r="AK68" i="21"/>
  <c r="AM68" i="21"/>
  <c r="AN68" i="21"/>
  <c r="AO68" i="21"/>
  <c r="AQ68" i="21"/>
  <c r="AR68" i="21"/>
  <c r="AS68" i="21"/>
  <c r="AU68" i="21"/>
  <c r="AV68" i="21"/>
  <c r="AV69" i="21"/>
  <c r="AW68" i="21"/>
  <c r="C69" i="21"/>
  <c r="D70" i="21"/>
  <c r="E70" i="21"/>
  <c r="F70" i="21"/>
  <c r="F72" i="21" s="1"/>
  <c r="G70" i="21"/>
  <c r="G71" i="21"/>
  <c r="H70" i="21"/>
  <c r="I70" i="21"/>
  <c r="J70" i="21"/>
  <c r="K70" i="21"/>
  <c r="L70" i="21"/>
  <c r="L71" i="21"/>
  <c r="M70" i="21"/>
  <c r="M72" i="21"/>
  <c r="AI70" i="21"/>
  <c r="AI72" i="21" s="1"/>
  <c r="AJ70" i="21"/>
  <c r="AK70" i="21"/>
  <c r="AM70" i="21"/>
  <c r="AN70" i="21"/>
  <c r="AO70" i="21"/>
  <c r="AQ70" i="21"/>
  <c r="AR70" i="21"/>
  <c r="AR72" i="21"/>
  <c r="AS70" i="21"/>
  <c r="AS72" i="21" s="1"/>
  <c r="AU70" i="21"/>
  <c r="AV70" i="21"/>
  <c r="AW70" i="21"/>
  <c r="C71" i="21"/>
  <c r="AY72" i="21"/>
  <c r="D75" i="21"/>
  <c r="D172" i="21"/>
  <c r="D231" i="21"/>
  <c r="E75" i="21"/>
  <c r="E172" i="21"/>
  <c r="E231" i="21"/>
  <c r="F75" i="21"/>
  <c r="F172" i="21"/>
  <c r="F231" i="21"/>
  <c r="G75" i="21"/>
  <c r="G172" i="21"/>
  <c r="H75" i="21"/>
  <c r="H172" i="21"/>
  <c r="H231" i="21"/>
  <c r="I75" i="21"/>
  <c r="I172" i="21"/>
  <c r="I231" i="21"/>
  <c r="J75" i="21"/>
  <c r="J172" i="21"/>
  <c r="J231" i="21"/>
  <c r="K75" i="21"/>
  <c r="K172" i="21"/>
  <c r="K231" i="21"/>
  <c r="L75" i="21"/>
  <c r="M75" i="21"/>
  <c r="M172" i="21"/>
  <c r="N75" i="21"/>
  <c r="N172" i="21"/>
  <c r="W75" i="21"/>
  <c r="X75" i="21"/>
  <c r="Y75" i="21"/>
  <c r="Y172" i="21"/>
  <c r="Y231" i="21"/>
  <c r="AA75" i="21"/>
  <c r="AB75" i="21"/>
  <c r="AC75" i="21"/>
  <c r="AC172" i="21"/>
  <c r="AC231" i="21"/>
  <c r="AE75" i="21"/>
  <c r="AE172" i="21"/>
  <c r="AE231" i="21"/>
  <c r="AF75" i="21"/>
  <c r="AG75" i="21"/>
  <c r="AI75" i="21"/>
  <c r="AI172" i="21"/>
  <c r="AI231" i="21"/>
  <c r="AJ75" i="21"/>
  <c r="AK75" i="21"/>
  <c r="AK172" i="21"/>
  <c r="AK231" i="21"/>
  <c r="AM75" i="21"/>
  <c r="AN75" i="21"/>
  <c r="AO75" i="21"/>
  <c r="AQ75" i="21"/>
  <c r="AR75" i="21"/>
  <c r="AS75" i="21"/>
  <c r="AS172" i="21"/>
  <c r="AU75" i="21"/>
  <c r="AV75" i="21"/>
  <c r="AW75" i="21"/>
  <c r="AY75" i="21"/>
  <c r="AY172" i="21"/>
  <c r="AY231" i="21"/>
  <c r="AZ75" i="21"/>
  <c r="AZ172" i="21"/>
  <c r="BA75" i="21"/>
  <c r="BC75" i="21"/>
  <c r="BD75" i="21"/>
  <c r="BE75" i="21"/>
  <c r="BE172" i="21"/>
  <c r="CB75" i="21"/>
  <c r="CC75" i="21"/>
  <c r="CD75" i="21"/>
  <c r="CE75" i="21"/>
  <c r="CF75" i="21"/>
  <c r="D76" i="21"/>
  <c r="D173" i="21"/>
  <c r="E76" i="21"/>
  <c r="E173" i="21"/>
  <c r="E232" i="21"/>
  <c r="W76" i="21"/>
  <c r="X76" i="21"/>
  <c r="Y76" i="21"/>
  <c r="Z76" i="21"/>
  <c r="AA76" i="21"/>
  <c r="AB76" i="21"/>
  <c r="AB173" i="21"/>
  <c r="AB232" i="21"/>
  <c r="AC76" i="21"/>
  <c r="AD76" i="21"/>
  <c r="AD173" i="21"/>
  <c r="AD232" i="21"/>
  <c r="AE76" i="21"/>
  <c r="AF76" i="21"/>
  <c r="AG76" i="21"/>
  <c r="AG173" i="21"/>
  <c r="AG232" i="21"/>
  <c r="AH76" i="21"/>
  <c r="AH173" i="21"/>
  <c r="AH232" i="21"/>
  <c r="AI76" i="21"/>
  <c r="AJ76" i="21"/>
  <c r="AK76" i="21"/>
  <c r="AL76" i="21"/>
  <c r="AL173" i="21"/>
  <c r="AL232" i="21"/>
  <c r="AM76" i="21"/>
  <c r="AM79" i="21"/>
  <c r="AN76" i="21"/>
  <c r="AO76" i="21"/>
  <c r="AO173" i="21"/>
  <c r="AO232" i="21"/>
  <c r="AP76" i="21"/>
  <c r="AP173" i="21"/>
  <c r="AP232" i="21"/>
  <c r="AQ76" i="21"/>
  <c r="AR76" i="21"/>
  <c r="AR173" i="21"/>
  <c r="AR232" i="21"/>
  <c r="AS76" i="21"/>
  <c r="AT76" i="21"/>
  <c r="AT173" i="21"/>
  <c r="AT232" i="21"/>
  <c r="L76" i="21"/>
  <c r="L173" i="21"/>
  <c r="L232" i="21"/>
  <c r="M76" i="21"/>
  <c r="N76" i="21"/>
  <c r="N173" i="21"/>
  <c r="BA76" i="21"/>
  <c r="AZ76" i="21"/>
  <c r="AZ173" i="21"/>
  <c r="AZ232" i="21"/>
  <c r="AY76" i="21"/>
  <c r="AY79" i="21"/>
  <c r="BC76" i="21"/>
  <c r="BD76" i="21"/>
  <c r="BD173" i="21"/>
  <c r="BD232" i="21"/>
  <c r="AU76" i="21"/>
  <c r="AU173" i="21"/>
  <c r="AU232" i="21"/>
  <c r="AV76" i="21"/>
  <c r="AV173" i="21"/>
  <c r="AV232" i="21"/>
  <c r="AW76" i="21"/>
  <c r="AW173" i="21"/>
  <c r="BE76" i="21"/>
  <c r="BE173" i="21"/>
  <c r="CB76" i="21"/>
  <c r="CC76" i="21"/>
  <c r="CD76" i="21"/>
  <c r="CE76" i="21"/>
  <c r="F77" i="21"/>
  <c r="F174" i="21"/>
  <c r="F233" i="21"/>
  <c r="G77" i="21"/>
  <c r="G174" i="21"/>
  <c r="G233" i="21"/>
  <c r="H77" i="21"/>
  <c r="H174" i="21"/>
  <c r="H233" i="21"/>
  <c r="I77" i="21"/>
  <c r="I174" i="21"/>
  <c r="I233" i="21"/>
  <c r="J77" i="21"/>
  <c r="J174" i="21"/>
  <c r="J233" i="21"/>
  <c r="K77" i="21"/>
  <c r="K174" i="21"/>
  <c r="K233" i="21"/>
  <c r="BB77" i="21"/>
  <c r="BB174" i="21"/>
  <c r="AX77" i="21"/>
  <c r="AX174" i="21"/>
  <c r="AX233" i="21"/>
  <c r="CC78" i="21"/>
  <c r="CD78" i="21"/>
  <c r="CE78" i="21"/>
  <c r="CE79" i="21"/>
  <c r="D80" i="21"/>
  <c r="D103" i="21"/>
  <c r="E80" i="21"/>
  <c r="E177" i="21"/>
  <c r="E236" i="21"/>
  <c r="W80" i="21"/>
  <c r="W177" i="21"/>
  <c r="W236" i="21"/>
  <c r="X80" i="21"/>
  <c r="X177" i="21"/>
  <c r="X236" i="21"/>
  <c r="Y80" i="21"/>
  <c r="Y177" i="21"/>
  <c r="Y236" i="21"/>
  <c r="Z80" i="21"/>
  <c r="Z177" i="21"/>
  <c r="Z236" i="21"/>
  <c r="AA80" i="21"/>
  <c r="AB80" i="21"/>
  <c r="AC80" i="21"/>
  <c r="AC177" i="21"/>
  <c r="AC236" i="21"/>
  <c r="AD80" i="21"/>
  <c r="AE80" i="21"/>
  <c r="AE177" i="21"/>
  <c r="AE236" i="21"/>
  <c r="AF80" i="21"/>
  <c r="AF177" i="21"/>
  <c r="AF236" i="21"/>
  <c r="AG80" i="21"/>
  <c r="AG177" i="21"/>
  <c r="AG236" i="21"/>
  <c r="AH80" i="21"/>
  <c r="AI80" i="21"/>
  <c r="AI103" i="21" s="1"/>
  <c r="AI177" i="21"/>
  <c r="AI236" i="21"/>
  <c r="AJ80" i="21"/>
  <c r="AJ177" i="21"/>
  <c r="AJ236" i="21"/>
  <c r="AK80" i="21"/>
  <c r="AL80" i="21"/>
  <c r="AM80" i="21"/>
  <c r="AN80" i="21"/>
  <c r="AO80" i="21"/>
  <c r="AP80" i="21"/>
  <c r="AQ80" i="21"/>
  <c r="AQ177" i="21"/>
  <c r="AQ236" i="21"/>
  <c r="AR80" i="21"/>
  <c r="AS80" i="21"/>
  <c r="AS177" i="21"/>
  <c r="AS236" i="21"/>
  <c r="AT80" i="21"/>
  <c r="AT177" i="21"/>
  <c r="AT236" i="21"/>
  <c r="L80" i="21"/>
  <c r="L177" i="21"/>
  <c r="L236" i="21"/>
  <c r="M80" i="21"/>
  <c r="N80" i="21"/>
  <c r="BA80" i="21"/>
  <c r="BA177" i="21"/>
  <c r="BA236" i="21"/>
  <c r="AZ80" i="21"/>
  <c r="AY80" i="21"/>
  <c r="AY177" i="21"/>
  <c r="AY236" i="21"/>
  <c r="BC80" i="21"/>
  <c r="BD80" i="21"/>
  <c r="BD177" i="21"/>
  <c r="BD236" i="21"/>
  <c r="AU80" i="21"/>
  <c r="AV80" i="21"/>
  <c r="AV177" i="21"/>
  <c r="AV236" i="21"/>
  <c r="AW80" i="21"/>
  <c r="AW177" i="21"/>
  <c r="AW236" i="21"/>
  <c r="CB80" i="21"/>
  <c r="CC80" i="21"/>
  <c r="CD80" i="21"/>
  <c r="CE80" i="21"/>
  <c r="CE82" i="21" s="1"/>
  <c r="CF80" i="21"/>
  <c r="E81" i="21"/>
  <c r="E178" i="21"/>
  <c r="E237" i="21"/>
  <c r="F81" i="21"/>
  <c r="F178" i="21"/>
  <c r="F237" i="21"/>
  <c r="AA81" i="21"/>
  <c r="H81" i="21"/>
  <c r="H178" i="21"/>
  <c r="H237" i="21"/>
  <c r="AJ81" i="21"/>
  <c r="AM81" i="21"/>
  <c r="AM178" i="21"/>
  <c r="AM237" i="21"/>
  <c r="AN81" i="21"/>
  <c r="AO81" i="21"/>
  <c r="AO178" i="21"/>
  <c r="AO237" i="21"/>
  <c r="AP81" i="21"/>
  <c r="AP178" i="21"/>
  <c r="AP237" i="21"/>
  <c r="AR81" i="21"/>
  <c r="AS81" i="21"/>
  <c r="AT81" i="21"/>
  <c r="AT178" i="21"/>
  <c r="AT237" i="21"/>
  <c r="L81" i="21"/>
  <c r="L178" i="21"/>
  <c r="L237" i="21"/>
  <c r="M81" i="21"/>
  <c r="M178" i="21"/>
  <c r="M237" i="21"/>
  <c r="N81" i="21"/>
  <c r="N178" i="21"/>
  <c r="AZ81" i="21"/>
  <c r="AZ178" i="21"/>
  <c r="AZ237" i="21"/>
  <c r="AY81" i="21"/>
  <c r="AU81" i="21"/>
  <c r="AV81" i="21"/>
  <c r="AV178" i="21"/>
  <c r="AV237" i="21"/>
  <c r="AW81" i="21"/>
  <c r="CB81" i="21"/>
  <c r="D83" i="21"/>
  <c r="D180" i="21"/>
  <c r="D239" i="21"/>
  <c r="E83" i="21"/>
  <c r="E180" i="21"/>
  <c r="E239" i="21"/>
  <c r="W83" i="21"/>
  <c r="X83" i="21"/>
  <c r="X180" i="21"/>
  <c r="X239" i="21"/>
  <c r="Y83" i="21"/>
  <c r="Z83" i="21"/>
  <c r="Z180" i="21"/>
  <c r="Z239" i="21"/>
  <c r="AA83" i="21"/>
  <c r="AA180" i="21"/>
  <c r="AA239" i="21"/>
  <c r="AB83" i="21"/>
  <c r="AB180" i="21"/>
  <c r="AB239" i="21"/>
  <c r="AC83" i="21"/>
  <c r="AC180" i="21"/>
  <c r="AC239" i="21"/>
  <c r="AD83" i="21"/>
  <c r="AD180" i="21"/>
  <c r="AD239" i="21"/>
  <c r="AE83" i="21"/>
  <c r="AF83" i="21"/>
  <c r="AF180" i="21"/>
  <c r="AF239" i="21"/>
  <c r="AG83" i="21"/>
  <c r="AG180" i="21"/>
  <c r="AG239" i="21"/>
  <c r="AH83" i="21"/>
  <c r="AH180" i="21"/>
  <c r="AH239" i="21"/>
  <c r="AI83" i="21"/>
  <c r="AI180" i="21"/>
  <c r="AI239" i="21"/>
  <c r="AJ83" i="21"/>
  <c r="AK83" i="21"/>
  <c r="AK180" i="21"/>
  <c r="AK239" i="21"/>
  <c r="AL83" i="21"/>
  <c r="AL180" i="21"/>
  <c r="AL239" i="21"/>
  <c r="AM83" i="21"/>
  <c r="AM180" i="21"/>
  <c r="AM239" i="21"/>
  <c r="AN83" i="21"/>
  <c r="AO83" i="21"/>
  <c r="AP83" i="21"/>
  <c r="AP180" i="21"/>
  <c r="AP239" i="21"/>
  <c r="AQ83" i="21"/>
  <c r="AQ180" i="21"/>
  <c r="AQ239" i="21"/>
  <c r="AR83" i="21"/>
  <c r="AR180" i="21"/>
  <c r="AR239" i="21"/>
  <c r="AS83" i="21"/>
  <c r="AS180" i="21"/>
  <c r="AS239" i="21"/>
  <c r="AT83" i="21"/>
  <c r="AT180" i="21"/>
  <c r="AT239" i="21"/>
  <c r="L83" i="21"/>
  <c r="L180" i="21"/>
  <c r="L239" i="21"/>
  <c r="M83" i="21"/>
  <c r="N83" i="21"/>
  <c r="N180" i="21"/>
  <c r="BA83" i="21"/>
  <c r="BA180" i="21"/>
  <c r="BA239" i="21"/>
  <c r="AZ83" i="21"/>
  <c r="AZ180" i="21"/>
  <c r="AZ239" i="21"/>
  <c r="AY83" i="21"/>
  <c r="BC83" i="21"/>
  <c r="BC180" i="21"/>
  <c r="BC239" i="21"/>
  <c r="AU83" i="21"/>
  <c r="AU180" i="21"/>
  <c r="AU239" i="21"/>
  <c r="AV83" i="21"/>
  <c r="AW83" i="21"/>
  <c r="AW180" i="21"/>
  <c r="AW239" i="21"/>
  <c r="CB83" i="21"/>
  <c r="CC83" i="21"/>
  <c r="CD83" i="21"/>
  <c r="CE83" i="21"/>
  <c r="CF83" i="21"/>
  <c r="D84" i="21"/>
  <c r="D181" i="21"/>
  <c r="D240" i="21"/>
  <c r="E84" i="21"/>
  <c r="E181" i="21"/>
  <c r="E240" i="21"/>
  <c r="W84" i="21"/>
  <c r="W181" i="21"/>
  <c r="W240" i="21"/>
  <c r="X84" i="21"/>
  <c r="Y84" i="21"/>
  <c r="Y181" i="21"/>
  <c r="Y240" i="21"/>
  <c r="Z84" i="21"/>
  <c r="Z181" i="21"/>
  <c r="Z240" i="21"/>
  <c r="AA84" i="21"/>
  <c r="AA181" i="21"/>
  <c r="AA240" i="21"/>
  <c r="AB84" i="21"/>
  <c r="AB181" i="21"/>
  <c r="AB240" i="21"/>
  <c r="AC84" i="21"/>
  <c r="AF84" i="21"/>
  <c r="AF181" i="21"/>
  <c r="AF240" i="21"/>
  <c r="AG84" i="21"/>
  <c r="AG181" i="21"/>
  <c r="AG240" i="21"/>
  <c r="AJ84" i="21"/>
  <c r="AL84" i="21"/>
  <c r="AL181" i="21"/>
  <c r="AL240" i="21"/>
  <c r="AM84" i="21"/>
  <c r="AM181" i="21"/>
  <c r="AM240" i="21"/>
  <c r="AN84" i="21"/>
  <c r="AN181" i="21"/>
  <c r="AN240" i="21"/>
  <c r="AO84" i="21"/>
  <c r="AO181" i="21"/>
  <c r="AO240" i="21"/>
  <c r="AP84" i="21"/>
  <c r="AR84" i="21"/>
  <c r="AR181" i="21"/>
  <c r="AR240" i="21"/>
  <c r="AS84" i="21"/>
  <c r="AS181" i="21"/>
  <c r="AS240" i="21"/>
  <c r="AT84" i="21"/>
  <c r="AT181" i="21"/>
  <c r="AT240" i="21"/>
  <c r="L84" i="21"/>
  <c r="L181" i="21"/>
  <c r="L240" i="21"/>
  <c r="M84" i="21"/>
  <c r="M181" i="21"/>
  <c r="M240" i="21"/>
  <c r="BA84" i="21"/>
  <c r="BA181" i="21"/>
  <c r="BA240" i="21"/>
  <c r="AZ84" i="21"/>
  <c r="AY84" i="21"/>
  <c r="BC84" i="21"/>
  <c r="BC181" i="21"/>
  <c r="BC240" i="21"/>
  <c r="BD84" i="21"/>
  <c r="BD181" i="21"/>
  <c r="AU84" i="21"/>
  <c r="AV84" i="21"/>
  <c r="AV181" i="21"/>
  <c r="AV240" i="21"/>
  <c r="AW84" i="21"/>
  <c r="AW181" i="21"/>
  <c r="AW240" i="21"/>
  <c r="BE84" i="21"/>
  <c r="CB84" i="21"/>
  <c r="CC84" i="21"/>
  <c r="CD84" i="21"/>
  <c r="CF84" i="21"/>
  <c r="D85" i="21"/>
  <c r="D182" i="21"/>
  <c r="D241" i="21"/>
  <c r="E85" i="21"/>
  <c r="E182" i="21"/>
  <c r="E241" i="21"/>
  <c r="W85" i="21"/>
  <c r="X85" i="21"/>
  <c r="X182" i="21"/>
  <c r="X241" i="21"/>
  <c r="Y85" i="21"/>
  <c r="Y182" i="21"/>
  <c r="Y241" i="21"/>
  <c r="Z85" i="21"/>
  <c r="Z182" i="21"/>
  <c r="Z241" i="21"/>
  <c r="AA85" i="21"/>
  <c r="AB85" i="21"/>
  <c r="AB182" i="21"/>
  <c r="AB241" i="21"/>
  <c r="AC85" i="21"/>
  <c r="AC182" i="21"/>
  <c r="AC241" i="21"/>
  <c r="AD85" i="21"/>
  <c r="AE85" i="21"/>
  <c r="AE182" i="21"/>
  <c r="AE241" i="21"/>
  <c r="AF85" i="21"/>
  <c r="AG85" i="21"/>
  <c r="AG182" i="21"/>
  <c r="AG241" i="21"/>
  <c r="AH85" i="21"/>
  <c r="AH182" i="21"/>
  <c r="AH241" i="21"/>
  <c r="AI85" i="21"/>
  <c r="AI182" i="21"/>
  <c r="AI241" i="21"/>
  <c r="AJ85" i="21"/>
  <c r="AJ182" i="21"/>
  <c r="AJ241" i="21"/>
  <c r="AK85" i="21"/>
  <c r="AK182" i="21"/>
  <c r="AK241" i="21"/>
  <c r="AL85" i="21"/>
  <c r="AM85" i="21"/>
  <c r="AM182" i="21"/>
  <c r="AM241" i="21"/>
  <c r="AN85" i="21"/>
  <c r="AN182" i="21"/>
  <c r="AN241" i="21"/>
  <c r="AO85" i="21"/>
  <c r="AP85" i="21"/>
  <c r="AP182" i="21"/>
  <c r="AP241" i="21"/>
  <c r="AQ85" i="21"/>
  <c r="AR85" i="21"/>
  <c r="AS85" i="21"/>
  <c r="AS182" i="21"/>
  <c r="AS241" i="21"/>
  <c r="AT85" i="21"/>
  <c r="L85" i="21"/>
  <c r="L182" i="21"/>
  <c r="L241" i="21"/>
  <c r="M85" i="21"/>
  <c r="M182" i="21"/>
  <c r="M241" i="21"/>
  <c r="N85" i="21"/>
  <c r="N182" i="21"/>
  <c r="BA85" i="21"/>
  <c r="BA182" i="21"/>
  <c r="BA241" i="21"/>
  <c r="AZ85" i="21"/>
  <c r="AZ182" i="21"/>
  <c r="AZ241" i="21"/>
  <c r="AY85" i="21"/>
  <c r="AY182" i="21"/>
  <c r="AY241" i="21"/>
  <c r="BC85" i="21"/>
  <c r="BD85" i="21"/>
  <c r="BD182" i="21"/>
  <c r="BD241" i="21"/>
  <c r="AU85" i="21"/>
  <c r="AU182" i="21"/>
  <c r="AU241" i="21"/>
  <c r="AV85" i="21"/>
  <c r="AW85" i="21"/>
  <c r="AW182" i="21"/>
  <c r="AW241" i="21"/>
  <c r="BE85" i="21"/>
  <c r="BE182" i="21"/>
  <c r="CB85" i="21"/>
  <c r="CC85" i="21"/>
  <c r="CD85" i="21"/>
  <c r="CE85" i="21"/>
  <c r="CF85" i="21"/>
  <c r="Z86" i="21"/>
  <c r="F86" i="21"/>
  <c r="F183" i="21"/>
  <c r="F242" i="21"/>
  <c r="G86" i="21"/>
  <c r="G183" i="21"/>
  <c r="G242" i="21"/>
  <c r="AH86" i="21"/>
  <c r="I86" i="21"/>
  <c r="I183" i="21"/>
  <c r="I242" i="21"/>
  <c r="AP86" i="21"/>
  <c r="AR86" i="21"/>
  <c r="AR183" i="21"/>
  <c r="AR242" i="21"/>
  <c r="AS86" i="21"/>
  <c r="AS183" i="21"/>
  <c r="AS242" i="21"/>
  <c r="AT86" i="21"/>
  <c r="AT183" i="21"/>
  <c r="AT242" i="21"/>
  <c r="L86" i="21"/>
  <c r="L183" i="21"/>
  <c r="L242" i="21"/>
  <c r="M86" i="21"/>
  <c r="N86" i="21"/>
  <c r="AY86" i="21"/>
  <c r="AY183" i="21"/>
  <c r="AY242" i="21"/>
  <c r="BC86" i="21"/>
  <c r="BC183" i="21"/>
  <c r="BC242" i="21"/>
  <c r="AV86" i="21"/>
  <c r="AV183" i="21"/>
  <c r="AV242" i="21"/>
  <c r="AW86" i="21"/>
  <c r="AW183" i="21"/>
  <c r="AW242" i="21"/>
  <c r="CB86" i="21"/>
  <c r="F89" i="21"/>
  <c r="F185" i="21"/>
  <c r="F244" i="21"/>
  <c r="G89" i="21"/>
  <c r="G185" i="21"/>
  <c r="G244" i="21"/>
  <c r="H89" i="21"/>
  <c r="H185" i="21"/>
  <c r="H244" i="21"/>
  <c r="I89" i="21"/>
  <c r="I185" i="21"/>
  <c r="I244" i="21"/>
  <c r="J89" i="21"/>
  <c r="J185" i="21"/>
  <c r="J244" i="21"/>
  <c r="K89" i="21"/>
  <c r="K185" i="21"/>
  <c r="K244" i="21"/>
  <c r="BB89" i="21"/>
  <c r="BB185" i="21"/>
  <c r="AX89" i="21"/>
  <c r="AX185" i="21"/>
  <c r="AX244" i="21"/>
  <c r="D98" i="21"/>
  <c r="H98" i="21"/>
  <c r="D100" i="21"/>
  <c r="D193" i="21"/>
  <c r="D259" i="21"/>
  <c r="E100" i="21"/>
  <c r="F100" i="21"/>
  <c r="G100" i="21"/>
  <c r="H100" i="21"/>
  <c r="H155" i="21"/>
  <c r="H213" i="21"/>
  <c r="I100" i="21"/>
  <c r="I155" i="21"/>
  <c r="I213" i="21"/>
  <c r="J100" i="21"/>
  <c r="K100" i="21"/>
  <c r="L100" i="21"/>
  <c r="M100" i="21"/>
  <c r="M146" i="21" s="1"/>
  <c r="M202" i="21" s="1"/>
  <c r="M155" i="21"/>
  <c r="M213" i="21"/>
  <c r="N100" i="21"/>
  <c r="N193" i="21"/>
  <c r="F108" i="21"/>
  <c r="G108" i="21"/>
  <c r="H108" i="21"/>
  <c r="I108" i="21"/>
  <c r="J108" i="21"/>
  <c r="K108" i="21"/>
  <c r="AX108" i="21"/>
  <c r="BB108" i="21"/>
  <c r="F109" i="21"/>
  <c r="G109" i="21"/>
  <c r="H109" i="21"/>
  <c r="I109" i="21"/>
  <c r="J109" i="21"/>
  <c r="K109" i="21"/>
  <c r="AX109" i="21"/>
  <c r="BB109" i="21"/>
  <c r="W113" i="21"/>
  <c r="X113" i="21"/>
  <c r="Y113" i="21"/>
  <c r="AX118" i="21"/>
  <c r="W119" i="21"/>
  <c r="W252" i="21"/>
  <c r="X119" i="21"/>
  <c r="Y119" i="21"/>
  <c r="Y252" i="21"/>
  <c r="W127" i="21"/>
  <c r="X127" i="21"/>
  <c r="Y127" i="21"/>
  <c r="C124" i="21"/>
  <c r="F132" i="21"/>
  <c r="G132" i="21"/>
  <c r="H132" i="21"/>
  <c r="I132" i="21"/>
  <c r="J132" i="21"/>
  <c r="K132" i="21"/>
  <c r="L132" i="21"/>
  <c r="AX132" i="21"/>
  <c r="BB132" i="21"/>
  <c r="F133" i="21"/>
  <c r="F257" i="21"/>
  <c r="G133" i="21"/>
  <c r="H133" i="21"/>
  <c r="I133" i="21"/>
  <c r="I257" i="21"/>
  <c r="J133" i="21"/>
  <c r="J257" i="21"/>
  <c r="K133" i="21"/>
  <c r="K257" i="21"/>
  <c r="AX133" i="21"/>
  <c r="AX257" i="21"/>
  <c r="BB133" i="21"/>
  <c r="BB257" i="21"/>
  <c r="D152" i="21"/>
  <c r="E152" i="21"/>
  <c r="F152" i="21"/>
  <c r="G152" i="21"/>
  <c r="H152" i="21"/>
  <c r="I152" i="21"/>
  <c r="J152" i="21"/>
  <c r="K152" i="21"/>
  <c r="L152" i="21"/>
  <c r="M152" i="21"/>
  <c r="N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K152" i="21"/>
  <c r="AL152" i="21"/>
  <c r="AM152" i="21"/>
  <c r="AN152" i="21"/>
  <c r="AO152" i="21"/>
  <c r="AP152" i="21"/>
  <c r="AQ152" i="21"/>
  <c r="AR152" i="21"/>
  <c r="AS152" i="21"/>
  <c r="AT152" i="21"/>
  <c r="AU152" i="21"/>
  <c r="AV152" i="21"/>
  <c r="AW152" i="21"/>
  <c r="AX152" i="21"/>
  <c r="AY152" i="21"/>
  <c r="AZ152" i="21"/>
  <c r="BA152" i="21"/>
  <c r="BB152" i="21"/>
  <c r="BC152" i="21"/>
  <c r="BD152" i="21"/>
  <c r="BE152" i="21"/>
  <c r="B164" i="21"/>
  <c r="C167" i="21"/>
  <c r="B168" i="21"/>
  <c r="B227" i="21"/>
  <c r="D168" i="21"/>
  <c r="E168" i="21"/>
  <c r="F168" i="21"/>
  <c r="G168" i="21"/>
  <c r="H168" i="21"/>
  <c r="I168" i="21"/>
  <c r="J168" i="21"/>
  <c r="K168" i="21"/>
  <c r="K227" i="21"/>
  <c r="L168" i="21"/>
  <c r="L227" i="21"/>
  <c r="M168" i="21"/>
  <c r="N168" i="21"/>
  <c r="W168" i="21"/>
  <c r="X168" i="21"/>
  <c r="X227" i="21"/>
  <c r="Y168" i="21"/>
  <c r="Y227" i="21"/>
  <c r="AA168" i="21"/>
  <c r="AB168" i="21"/>
  <c r="AC168" i="21"/>
  <c r="AE168" i="21"/>
  <c r="AF168" i="21"/>
  <c r="AF227" i="21"/>
  <c r="AG168" i="21"/>
  <c r="AI168" i="21"/>
  <c r="AJ168" i="21"/>
  <c r="AK168" i="21"/>
  <c r="AM168" i="21"/>
  <c r="AN168" i="21"/>
  <c r="AN227" i="21"/>
  <c r="AO168" i="21"/>
  <c r="AO227" i="21"/>
  <c r="AQ168" i="21"/>
  <c r="AR168" i="21"/>
  <c r="AS168" i="21"/>
  <c r="AS227" i="21"/>
  <c r="AS228" i="21"/>
  <c r="AU168" i="21"/>
  <c r="AV168" i="21"/>
  <c r="AW168" i="21"/>
  <c r="AY168" i="21"/>
  <c r="AY227" i="21"/>
  <c r="AZ168" i="21"/>
  <c r="BA168" i="21"/>
  <c r="BC168" i="21"/>
  <c r="BD168" i="21"/>
  <c r="BE168" i="21"/>
  <c r="BE169" i="21"/>
  <c r="B169" i="21"/>
  <c r="B228" i="21"/>
  <c r="B170" i="21"/>
  <c r="B229" i="21"/>
  <c r="B172" i="21"/>
  <c r="B231" i="21"/>
  <c r="B173" i="21"/>
  <c r="B232" i="21"/>
  <c r="B174" i="21"/>
  <c r="B233" i="21"/>
  <c r="D174" i="21"/>
  <c r="D233" i="21"/>
  <c r="E174" i="21"/>
  <c r="L174" i="21"/>
  <c r="L233" i="21"/>
  <c r="M174" i="21"/>
  <c r="M233" i="21"/>
  <c r="N174" i="21"/>
  <c r="W174" i="21"/>
  <c r="W233" i="21"/>
  <c r="X174" i="21"/>
  <c r="X233" i="21"/>
  <c r="Y174" i="21"/>
  <c r="Y233" i="21"/>
  <c r="Z174" i="21"/>
  <c r="Z233" i="21"/>
  <c r="AA174" i="21"/>
  <c r="AA233" i="21"/>
  <c r="AB174" i="21"/>
  <c r="AB233" i="21"/>
  <c r="AC174" i="21"/>
  <c r="AC233" i="21"/>
  <c r="AD174" i="21"/>
  <c r="AD233" i="21"/>
  <c r="AE174" i="21"/>
  <c r="AE233" i="21"/>
  <c r="AF174" i="21"/>
  <c r="AF233" i="21"/>
  <c r="AG174" i="21"/>
  <c r="AG233" i="21"/>
  <c r="AH174" i="21"/>
  <c r="AH233" i="21"/>
  <c r="AI174" i="21"/>
  <c r="AI233" i="21"/>
  <c r="AJ174" i="21"/>
  <c r="AJ233" i="21"/>
  <c r="AK174" i="21"/>
  <c r="AK233" i="21"/>
  <c r="AL174" i="21"/>
  <c r="AL233" i="21"/>
  <c r="AM174" i="21"/>
  <c r="AM233" i="21"/>
  <c r="AN174" i="21"/>
  <c r="AN233" i="21"/>
  <c r="AO174" i="21"/>
  <c r="AO233" i="21"/>
  <c r="AP174" i="21"/>
  <c r="AP233" i="21"/>
  <c r="AQ174" i="21"/>
  <c r="AQ233" i="21"/>
  <c r="AR174" i="21"/>
  <c r="AR233" i="21"/>
  <c r="AS174" i="21"/>
  <c r="AS233" i="21"/>
  <c r="AT174" i="21"/>
  <c r="AT233" i="21"/>
  <c r="AU174" i="21"/>
  <c r="AU233" i="21"/>
  <c r="AV174" i="21"/>
  <c r="AV233" i="21"/>
  <c r="AW174" i="21"/>
  <c r="AW233" i="21"/>
  <c r="AY174" i="21"/>
  <c r="AY233" i="21"/>
  <c r="AZ174" i="21"/>
  <c r="AZ233" i="21"/>
  <c r="BA174" i="21"/>
  <c r="BA233" i="21"/>
  <c r="BC174" i="21"/>
  <c r="BC233" i="21"/>
  <c r="BD174" i="21"/>
  <c r="BD233" i="21"/>
  <c r="BE174" i="21"/>
  <c r="B175" i="21"/>
  <c r="B234" i="21"/>
  <c r="D175" i="21"/>
  <c r="D234" i="21"/>
  <c r="E175" i="21"/>
  <c r="E234" i="21"/>
  <c r="L175" i="21"/>
  <c r="L234" i="21"/>
  <c r="M175" i="21"/>
  <c r="M234" i="21"/>
  <c r="N175" i="21"/>
  <c r="W175" i="21"/>
  <c r="W234" i="21"/>
  <c r="X175" i="21"/>
  <c r="X234" i="21"/>
  <c r="Y175" i="21"/>
  <c r="Y234" i="21"/>
  <c r="Z175" i="21"/>
  <c r="Z234" i="21"/>
  <c r="AA175" i="21"/>
  <c r="AA234" i="21"/>
  <c r="AB175" i="21"/>
  <c r="AB234" i="21"/>
  <c r="AC175" i="21"/>
  <c r="AC234" i="21"/>
  <c r="AD175" i="21"/>
  <c r="AD234" i="21"/>
  <c r="AE175" i="21"/>
  <c r="AE234" i="21"/>
  <c r="AF175" i="21"/>
  <c r="AF234" i="21"/>
  <c r="AG175" i="21"/>
  <c r="AG234" i="21"/>
  <c r="AH175" i="21"/>
  <c r="AH234" i="21"/>
  <c r="AI175" i="21"/>
  <c r="AJ175" i="21"/>
  <c r="AJ234" i="21"/>
  <c r="AK175" i="21"/>
  <c r="AK234" i="21"/>
  <c r="AL175" i="21"/>
  <c r="AL234" i="21"/>
  <c r="AM175" i="21"/>
  <c r="AM234" i="21"/>
  <c r="AN175" i="21"/>
  <c r="AN234" i="21"/>
  <c r="AO175" i="21"/>
  <c r="AO234" i="21"/>
  <c r="AP175" i="21"/>
  <c r="AQ175" i="21"/>
  <c r="AQ234" i="21"/>
  <c r="AR175" i="21"/>
  <c r="AR234" i="21"/>
  <c r="AS175" i="21"/>
  <c r="AS234" i="21"/>
  <c r="AT175" i="21"/>
  <c r="AT234" i="21"/>
  <c r="AU175" i="21"/>
  <c r="AU234" i="21"/>
  <c r="AV175" i="21"/>
  <c r="AW175" i="21"/>
  <c r="AW234" i="21"/>
  <c r="AY175" i="21"/>
  <c r="AY234" i="21"/>
  <c r="AZ175" i="21"/>
  <c r="AZ234" i="21"/>
  <c r="BA175" i="21"/>
  <c r="BA234" i="21"/>
  <c r="BC175" i="21"/>
  <c r="BC234" i="21"/>
  <c r="BD175" i="21"/>
  <c r="BD234" i="21"/>
  <c r="B176" i="21"/>
  <c r="B235" i="21"/>
  <c r="B177" i="21"/>
  <c r="B236" i="21"/>
  <c r="B178" i="21"/>
  <c r="B237" i="21"/>
  <c r="D178" i="21"/>
  <c r="D237" i="21"/>
  <c r="W178" i="21"/>
  <c r="W237" i="21"/>
  <c r="X178" i="21"/>
  <c r="X237" i="21"/>
  <c r="Y178" i="21"/>
  <c r="Y237" i="21"/>
  <c r="Z178" i="21"/>
  <c r="Z237" i="21"/>
  <c r="AB178" i="21"/>
  <c r="AB237" i="21"/>
  <c r="AC178" i="21"/>
  <c r="AC237" i="21"/>
  <c r="AD178" i="21"/>
  <c r="AD237" i="21"/>
  <c r="AE178" i="21"/>
  <c r="AE237" i="21"/>
  <c r="AF178" i="21"/>
  <c r="AF237" i="21"/>
  <c r="AG178" i="21"/>
  <c r="AG237" i="21"/>
  <c r="AH178" i="21"/>
  <c r="AH237" i="21"/>
  <c r="AI178" i="21"/>
  <c r="AI237" i="21"/>
  <c r="AK178" i="21"/>
  <c r="AK237" i="21"/>
  <c r="AL178" i="21"/>
  <c r="AL237" i="21"/>
  <c r="AQ178" i="21"/>
  <c r="AQ237" i="21"/>
  <c r="BA178" i="21"/>
  <c r="BA237" i="21"/>
  <c r="BC178" i="21"/>
  <c r="BC237" i="21"/>
  <c r="BD178" i="21"/>
  <c r="BD237" i="21"/>
  <c r="BE178" i="21"/>
  <c r="B179" i="21"/>
  <c r="B238" i="21"/>
  <c r="B180" i="21"/>
  <c r="B239" i="21"/>
  <c r="B181" i="21"/>
  <c r="B240" i="21"/>
  <c r="AD181" i="21"/>
  <c r="AD240" i="21"/>
  <c r="AE181" i="21"/>
  <c r="AE240" i="21"/>
  <c r="AH181" i="21"/>
  <c r="AH240" i="21"/>
  <c r="AI181" i="21"/>
  <c r="AI240" i="21"/>
  <c r="AK181" i="21"/>
  <c r="AK240" i="21"/>
  <c r="AQ181" i="21"/>
  <c r="AQ240" i="21"/>
  <c r="B182" i="21"/>
  <c r="B241" i="21"/>
  <c r="B183" i="21"/>
  <c r="B242" i="21"/>
  <c r="D183" i="21"/>
  <c r="D242" i="21"/>
  <c r="E183" i="21"/>
  <c r="E242" i="21"/>
  <c r="W183" i="21"/>
  <c r="W242" i="21"/>
  <c r="X183" i="21"/>
  <c r="X242" i="21"/>
  <c r="Y183" i="21"/>
  <c r="Y242" i="21"/>
  <c r="AA183" i="21"/>
  <c r="AA242" i="21"/>
  <c r="AB183" i="21"/>
  <c r="AB242" i="21"/>
  <c r="AC183" i="21"/>
  <c r="AC242" i="21"/>
  <c r="AD183" i="21"/>
  <c r="AD242" i="21"/>
  <c r="AE183" i="21"/>
  <c r="AE242" i="21"/>
  <c r="AF183" i="21"/>
  <c r="AF242" i="21"/>
  <c r="AG183" i="21"/>
  <c r="AG242" i="21"/>
  <c r="AI183" i="21"/>
  <c r="AI242" i="21"/>
  <c r="AJ183" i="21"/>
  <c r="AJ242" i="21"/>
  <c r="AK183" i="21"/>
  <c r="AK242" i="21"/>
  <c r="AL183" i="21"/>
  <c r="AL242" i="21"/>
  <c r="AM183" i="21"/>
  <c r="AM242" i="21"/>
  <c r="AN183" i="21"/>
  <c r="AN242" i="21"/>
  <c r="AO183" i="21"/>
  <c r="AO242" i="21"/>
  <c r="AQ183" i="21"/>
  <c r="AQ242" i="21"/>
  <c r="AU183" i="21"/>
  <c r="AU242" i="21"/>
  <c r="AZ183" i="21"/>
  <c r="AZ242" i="21"/>
  <c r="BA183" i="21"/>
  <c r="BA242" i="21"/>
  <c r="BD183" i="21"/>
  <c r="BD242" i="21"/>
  <c r="B184" i="21"/>
  <c r="B243" i="21"/>
  <c r="B185" i="21"/>
  <c r="B244" i="21"/>
  <c r="D185" i="21"/>
  <c r="D244" i="21"/>
  <c r="E185" i="21"/>
  <c r="E244" i="21"/>
  <c r="L185" i="21"/>
  <c r="L244" i="21"/>
  <c r="M185" i="21"/>
  <c r="M244" i="21"/>
  <c r="N185" i="21"/>
  <c r="W185" i="21"/>
  <c r="W244" i="21"/>
  <c r="X185" i="21"/>
  <c r="X244" i="21"/>
  <c r="Y185" i="21"/>
  <c r="Y244" i="21"/>
  <c r="Z185" i="21"/>
  <c r="Z244" i="21"/>
  <c r="AA185" i="21"/>
  <c r="AA244" i="21"/>
  <c r="AB185" i="21"/>
  <c r="AB244" i="21"/>
  <c r="AC185" i="21"/>
  <c r="AC244" i="21"/>
  <c r="AD185" i="21"/>
  <c r="AD244" i="21"/>
  <c r="AE185" i="21"/>
  <c r="AE244" i="21"/>
  <c r="AF185" i="21"/>
  <c r="AF244" i="21"/>
  <c r="AG185" i="21"/>
  <c r="AG244" i="21"/>
  <c r="AH185" i="21"/>
  <c r="AH244" i="21"/>
  <c r="AI185" i="21"/>
  <c r="AI244" i="21"/>
  <c r="AJ185" i="21"/>
  <c r="AJ244" i="21"/>
  <c r="AK185" i="21"/>
  <c r="AK244" i="21"/>
  <c r="AL185" i="21"/>
  <c r="AL244" i="21"/>
  <c r="AM185" i="21"/>
  <c r="AM244" i="21"/>
  <c r="AN185" i="21"/>
  <c r="AN244" i="21"/>
  <c r="AO185" i="21"/>
  <c r="AO244" i="21"/>
  <c r="AP185" i="21"/>
  <c r="AP244" i="21"/>
  <c r="AQ185" i="21"/>
  <c r="AQ244" i="21"/>
  <c r="AR185" i="21"/>
  <c r="AR244" i="21"/>
  <c r="AS185" i="21"/>
  <c r="AS244" i="21"/>
  <c r="AT185" i="21"/>
  <c r="AT244" i="21"/>
  <c r="AU185" i="21"/>
  <c r="AU244" i="21"/>
  <c r="AV185" i="21"/>
  <c r="AV244" i="21"/>
  <c r="AW185" i="21"/>
  <c r="AW244" i="21"/>
  <c r="AY185" i="21"/>
  <c r="AY244" i="21"/>
  <c r="AZ185" i="21"/>
  <c r="AZ244" i="21"/>
  <c r="BA185" i="21"/>
  <c r="BA244" i="21"/>
  <c r="BC185" i="21"/>
  <c r="BC244" i="21"/>
  <c r="BD185" i="21"/>
  <c r="BD244" i="21"/>
  <c r="BE185" i="21"/>
  <c r="B186" i="21"/>
  <c r="B245" i="21"/>
  <c r="B187" i="21"/>
  <c r="B246" i="21"/>
  <c r="B188" i="21"/>
  <c r="B247" i="21"/>
  <c r="E188" i="21"/>
  <c r="E247" i="21"/>
  <c r="B195" i="21"/>
  <c r="B196" i="21"/>
  <c r="B262" i="21"/>
  <c r="B198" i="21"/>
  <c r="B264" i="21"/>
  <c r="B199" i="21"/>
  <c r="B265" i="21"/>
  <c r="B201" i="21"/>
  <c r="B267" i="21"/>
  <c r="C201" i="21"/>
  <c r="B202" i="21"/>
  <c r="B268" i="21"/>
  <c r="C202" i="21"/>
  <c r="B204" i="21"/>
  <c r="B270" i="21"/>
  <c r="C204" i="21"/>
  <c r="B205" i="21"/>
  <c r="B271" i="21"/>
  <c r="C205" i="21"/>
  <c r="BB207" i="21"/>
  <c r="BB233" i="21" s="1"/>
  <c r="BE207" i="21"/>
  <c r="D210" i="21"/>
  <c r="E210" i="21"/>
  <c r="F210" i="21"/>
  <c r="G210" i="21"/>
  <c r="H210" i="21"/>
  <c r="I210" i="21"/>
  <c r="J210" i="21"/>
  <c r="K210" i="21"/>
  <c r="L210" i="21"/>
  <c r="M210" i="21"/>
  <c r="N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K210" i="21"/>
  <c r="AL210" i="21"/>
  <c r="AM210" i="21"/>
  <c r="AN210" i="21"/>
  <c r="AO210" i="21"/>
  <c r="AP210" i="21"/>
  <c r="AQ210" i="21"/>
  <c r="AR210" i="21"/>
  <c r="AS210" i="21"/>
  <c r="AT210" i="21"/>
  <c r="AU210" i="21"/>
  <c r="AV210" i="21"/>
  <c r="AW210" i="21"/>
  <c r="AX210" i="21"/>
  <c r="AY210" i="21"/>
  <c r="AZ210" i="21"/>
  <c r="BA210" i="21"/>
  <c r="BB210" i="21"/>
  <c r="BC210" i="21"/>
  <c r="BD210" i="21"/>
  <c r="BE210" i="21"/>
  <c r="B225" i="21"/>
  <c r="B226" i="21"/>
  <c r="C226" i="21"/>
  <c r="B259" i="21"/>
  <c r="AU20" i="9"/>
  <c r="AV6" i="9"/>
  <c r="AW17" i="9"/>
  <c r="AX19" i="9"/>
  <c r="AZ17" i="9"/>
  <c r="BA21" i="9"/>
  <c r="AV4" i="9"/>
  <c r="AW4" i="9"/>
  <c r="AX4" i="9"/>
  <c r="AY4" i="9"/>
  <c r="AZ4" i="9"/>
  <c r="BA4" i="9"/>
  <c r="BB4" i="9"/>
  <c r="AV5" i="9"/>
  <c r="AW5" i="9"/>
  <c r="AX5" i="9"/>
  <c r="AY5" i="9"/>
  <c r="AZ5" i="9"/>
  <c r="BA5" i="9"/>
  <c r="BB5" i="9"/>
  <c r="D8" i="9"/>
  <c r="D33" i="9"/>
  <c r="AS7" i="9"/>
  <c r="AV7" i="9"/>
  <c r="AV8" i="9" s="1"/>
  <c r="AZ7" i="9"/>
  <c r="AY11" i="9"/>
  <c r="AS12" i="9"/>
  <c r="AT12" i="9"/>
  <c r="AZ12" i="9"/>
  <c r="AS14" i="9"/>
  <c r="AU14" i="9"/>
  <c r="AW14" i="9"/>
  <c r="AY21" i="9"/>
  <c r="J23" i="9"/>
  <c r="AS23" i="9"/>
  <c r="AS28" i="9"/>
  <c r="AZ28" i="9"/>
  <c r="BB175" i="21"/>
  <c r="BB234" i="21"/>
  <c r="E98" i="21"/>
  <c r="BA61" i="21"/>
  <c r="BK232" i="21"/>
  <c r="BM23" i="9"/>
  <c r="BK177" i="21"/>
  <c r="BK236" i="21"/>
  <c r="AD68" i="21"/>
  <c r="AD72" i="21"/>
  <c r="BN13" i="9"/>
  <c r="BS101" i="21"/>
  <c r="L119" i="21"/>
  <c r="BN20" i="9"/>
  <c r="BQ21" i="9"/>
  <c r="BI20" i="9"/>
  <c r="AT182" i="21"/>
  <c r="AT241" i="21"/>
  <c r="BR11" i="9"/>
  <c r="BR13" i="9"/>
  <c r="BI7" i="9"/>
  <c r="BR7" i="9"/>
  <c r="D20" i="21"/>
  <c r="AY158" i="21"/>
  <c r="AY216" i="21"/>
  <c r="BH26" i="9"/>
  <c r="K96" i="9"/>
  <c r="K98" i="9"/>
  <c r="J55" i="9"/>
  <c r="J57" i="9"/>
  <c r="Q46" i="21"/>
  <c r="Q255" i="21"/>
  <c r="Z128" i="21"/>
  <c r="Z255" i="21"/>
  <c r="J133" i="9"/>
  <c r="J135" i="9"/>
  <c r="BL79" i="21"/>
  <c r="BL82" i="21"/>
  <c r="BQ26" i="9"/>
  <c r="BR26" i="9"/>
  <c r="AZ46" i="21"/>
  <c r="BM26" i="9"/>
  <c r="BS255" i="21"/>
  <c r="AZ23" i="9"/>
  <c r="AZ20" i="9"/>
  <c r="AL113" i="21"/>
  <c r="AZ19" i="9"/>
  <c r="F127" i="21"/>
  <c r="F128" i="21"/>
  <c r="F46" i="21"/>
  <c r="AV46" i="21"/>
  <c r="Q97" i="21"/>
  <c r="Q154" i="21"/>
  <c r="Q212" i="21"/>
  <c r="AA44" i="21"/>
  <c r="Q177" i="21"/>
  <c r="Q236" i="21"/>
  <c r="Q61" i="21"/>
  <c r="AA28" i="21"/>
  <c r="Q19" i="21"/>
  <c r="Q98" i="21"/>
  <c r="AN61" i="21"/>
  <c r="O61" i="21"/>
  <c r="BL17" i="9"/>
  <c r="AX14" i="9"/>
  <c r="BE13" i="9"/>
  <c r="BL19" i="9"/>
  <c r="W61" i="21"/>
  <c r="AQ117" i="21"/>
  <c r="AQ119" i="21"/>
  <c r="L146" i="21"/>
  <c r="L202" i="21"/>
  <c r="BH7" i="9"/>
  <c r="BH11" i="9"/>
  <c r="AT13" i="9"/>
  <c r="AS19" i="21"/>
  <c r="AS61" i="21"/>
  <c r="AQ71" i="21"/>
  <c r="BE17" i="9"/>
  <c r="J61" i="21"/>
  <c r="BQ12" i="9"/>
  <c r="J166" i="21"/>
  <c r="BM61" i="21"/>
  <c r="BL173" i="21"/>
  <c r="BI158" i="21"/>
  <c r="BI216" i="21"/>
  <c r="J19" i="21"/>
  <c r="J28" i="21"/>
  <c r="J30" i="21"/>
  <c r="J34" i="21"/>
  <c r="BU79" i="21"/>
  <c r="AX15" i="9"/>
  <c r="BN15" i="9"/>
  <c r="BS158" i="21"/>
  <c r="BS216" i="21"/>
  <c r="E52" i="21"/>
  <c r="E54" i="21"/>
  <c r="BQ13" i="9"/>
  <c r="BQ20" i="9"/>
  <c r="BQ17" i="9"/>
  <c r="BN23" i="9"/>
  <c r="AV158" i="21"/>
  <c r="AV216" i="21"/>
  <c r="BM17" i="9"/>
  <c r="BS46" i="21"/>
  <c r="BM15" i="9"/>
  <c r="BI28" i="9"/>
  <c r="BM18" i="9"/>
  <c r="BN12" i="9"/>
  <c r="BQ15" i="9"/>
  <c r="AS26" i="9"/>
  <c r="BQ18" i="9"/>
  <c r="AX20" i="9"/>
  <c r="BH23" i="9"/>
  <c r="BH17" i="9"/>
  <c r="BM20" i="9"/>
  <c r="BQ61" i="21"/>
  <c r="R227" i="21"/>
  <c r="BH20" i="9"/>
  <c r="BM21" i="9"/>
  <c r="AH128" i="21"/>
  <c r="BA19" i="21"/>
  <c r="BQ11" i="9"/>
  <c r="BQ28" i="9"/>
  <c r="BU158" i="21"/>
  <c r="BU216" i="21"/>
  <c r="BQ23" i="9"/>
  <c r="BO101" i="21"/>
  <c r="BB101" i="21"/>
  <c r="BN18" i="9"/>
  <c r="BF28" i="9"/>
  <c r="BI17" i="9"/>
  <c r="AU19" i="21"/>
  <c r="AU52" i="21"/>
  <c r="AU54" i="21"/>
  <c r="J153" i="9"/>
  <c r="J155" i="9"/>
  <c r="H28" i="21"/>
  <c r="BI12" i="9"/>
  <c r="BH15" i="9"/>
  <c r="BF13" i="9"/>
  <c r="AX13" i="9"/>
  <c r="BI19" i="9"/>
  <c r="AU61" i="21"/>
  <c r="AU166" i="21"/>
  <c r="AU225" i="21"/>
  <c r="AX10" i="21"/>
  <c r="BT101" i="21"/>
  <c r="BI172" i="21"/>
  <c r="BR101" i="21"/>
  <c r="J88" i="9"/>
  <c r="J90" i="9"/>
  <c r="J147" i="9"/>
  <c r="J149" i="9"/>
  <c r="BI23" i="9"/>
  <c r="BI11" i="9"/>
  <c r="BR175" i="21"/>
  <c r="BS172" i="21"/>
  <c r="BS231" i="21"/>
  <c r="Q158" i="21"/>
  <c r="Q216" i="21"/>
  <c r="BU182" i="21"/>
  <c r="BU241" i="21"/>
  <c r="BT46" i="21"/>
  <c r="J141" i="9"/>
  <c r="J143" i="9"/>
  <c r="CD8" i="21"/>
  <c r="AK52" i="21"/>
  <c r="AK54" i="21"/>
  <c r="AX39" i="21"/>
  <c r="AZ15" i="9"/>
  <c r="G193" i="21"/>
  <c r="G259" i="21"/>
  <c r="AX68" i="21"/>
  <c r="J101" i="21"/>
  <c r="BE21" i="9"/>
  <c r="BE20" i="9"/>
  <c r="I8" i="9"/>
  <c r="I25" i="9"/>
  <c r="BF19" i="9"/>
  <c r="BH14" i="9"/>
  <c r="BI18" i="9"/>
  <c r="BE23" i="9"/>
  <c r="BE11" i="9"/>
  <c r="BG7" i="9"/>
  <c r="AA173" i="21"/>
  <c r="AA232" i="21"/>
  <c r="AM71" i="21"/>
  <c r="I61" i="21"/>
  <c r="I97" i="21"/>
  <c r="I154" i="21"/>
  <c r="I166" i="21"/>
  <c r="BG79" i="21"/>
  <c r="BG82" i="21"/>
  <c r="BG179" i="21"/>
  <c r="BG238" i="21"/>
  <c r="BG172" i="21"/>
  <c r="BG231" i="21"/>
  <c r="AI166" i="21"/>
  <c r="Q172" i="21"/>
  <c r="Q231" i="21"/>
  <c r="BQ182" i="21"/>
  <c r="BQ241" i="21"/>
  <c r="CF19" i="21"/>
  <c r="CF20" i="21"/>
  <c r="P180" i="21"/>
  <c r="BV101" i="21"/>
  <c r="AM177" i="21"/>
  <c r="AM236" i="21"/>
  <c r="BL234" i="21"/>
  <c r="BJ7" i="9"/>
  <c r="BJ19" i="9"/>
  <c r="AC44" i="21"/>
  <c r="AC28" i="21"/>
  <c r="AC30" i="21"/>
  <c r="AC34" i="21"/>
  <c r="AU19" i="9"/>
  <c r="I69" i="21"/>
  <c r="I72" i="21"/>
  <c r="AT26" i="9"/>
  <c r="J188" i="9"/>
  <c r="P177" i="21"/>
  <c r="P103" i="21"/>
  <c r="BS19" i="21"/>
  <c r="BS61" i="21"/>
  <c r="L103" i="21"/>
  <c r="L145" i="21"/>
  <c r="L201" i="21"/>
  <c r="F52" i="21"/>
  <c r="F54" i="21"/>
  <c r="F44" i="21"/>
  <c r="AD75" i="21"/>
  <c r="AD172" i="21"/>
  <c r="AD231" i="21"/>
  <c r="O79" i="21"/>
  <c r="O82" i="21"/>
  <c r="O179" i="21"/>
  <c r="O172" i="21"/>
  <c r="BH158" i="21"/>
  <c r="BH216" i="21"/>
  <c r="BE26" i="9"/>
  <c r="K114" i="9"/>
  <c r="K116" i="9"/>
  <c r="R79" i="21"/>
  <c r="M169" i="21"/>
  <c r="D227" i="21"/>
  <c r="AK166" i="21"/>
  <c r="AK61" i="21"/>
  <c r="BG10" i="21"/>
  <c r="BG233" i="21"/>
  <c r="AD10" i="21"/>
  <c r="BP14" i="9"/>
  <c r="BG236" i="21"/>
  <c r="BJ43" i="21"/>
  <c r="BJ11" i="9"/>
  <c r="BG46" i="21"/>
  <c r="AI173" i="21"/>
  <c r="AI232" i="21"/>
  <c r="BD227" i="21"/>
  <c r="AS169" i="21"/>
  <c r="AI227" i="21"/>
  <c r="AX76" i="21"/>
  <c r="AX173" i="21"/>
  <c r="AX232" i="21"/>
  <c r="AK173" i="21"/>
  <c r="AK128" i="21"/>
  <c r="AK122" i="21"/>
  <c r="AK124" i="21"/>
  <c r="AF20" i="21"/>
  <c r="AY178" i="21"/>
  <c r="AY237" i="21"/>
  <c r="AR178" i="21"/>
  <c r="AR237" i="21"/>
  <c r="AQ173" i="21"/>
  <c r="AQ232" i="21"/>
  <c r="AJ173" i="21"/>
  <c r="AJ232" i="21"/>
  <c r="BA172" i="21"/>
  <c r="AQ172" i="21"/>
  <c r="AQ231" i="21"/>
  <c r="AQ79" i="21"/>
  <c r="E8" i="9"/>
  <c r="E25" i="9"/>
  <c r="E27" i="9"/>
  <c r="BK100" i="21"/>
  <c r="BK193" i="21"/>
  <c r="BJ75" i="21"/>
  <c r="BJ172" i="21"/>
  <c r="BJ231" i="21"/>
  <c r="BJ168" i="21"/>
  <c r="BM100" i="21"/>
  <c r="BM155" i="21"/>
  <c r="BL100" i="21"/>
  <c r="BJ100" i="21"/>
  <c r="BJ193" i="21"/>
  <c r="BM182" i="21"/>
  <c r="P193" i="21"/>
  <c r="AF128" i="21"/>
  <c r="BA11" i="21"/>
  <c r="AW11" i="21"/>
  <c r="AW61" i="21"/>
  <c r="AW19" i="21"/>
  <c r="AW44" i="21"/>
  <c r="CE11" i="21"/>
  <c r="BN8" i="21"/>
  <c r="BJ8" i="21"/>
  <c r="AG128" i="21"/>
  <c r="AG255" i="21"/>
  <c r="AG122" i="21"/>
  <c r="D128" i="21"/>
  <c r="D122" i="21"/>
  <c r="D124" i="21"/>
  <c r="D190" i="21"/>
  <c r="D249" i="21"/>
  <c r="D265" i="21"/>
  <c r="AG28" i="21"/>
  <c r="AG30" i="21"/>
  <c r="AG35" i="21"/>
  <c r="AG44" i="21"/>
  <c r="X20" i="21"/>
  <c r="X28" i="21"/>
  <c r="X44" i="21"/>
  <c r="BD26" i="9"/>
  <c r="K120" i="9"/>
  <c r="K122" i="9"/>
  <c r="AI64" i="21"/>
  <c r="AS100" i="21"/>
  <c r="AR100" i="21"/>
  <c r="AR193" i="21"/>
  <c r="AQ100" i="21"/>
  <c r="BF75" i="21"/>
  <c r="BF172" i="21"/>
  <c r="BF231" i="21"/>
  <c r="BF100" i="21"/>
  <c r="BH100" i="21"/>
  <c r="R193" i="21"/>
  <c r="R259" i="21"/>
  <c r="AR71" i="21"/>
  <c r="AF166" i="21"/>
  <c r="AF61" i="21"/>
  <c r="BB38" i="21"/>
  <c r="N77" i="9"/>
  <c r="N74" i="9"/>
  <c r="AJ227" i="21"/>
  <c r="AJ228" i="21"/>
  <c r="AI28" i="21"/>
  <c r="AI52" i="21"/>
  <c r="AI54" i="21"/>
  <c r="AE61" i="21"/>
  <c r="M19" i="21"/>
  <c r="BK26" i="9"/>
  <c r="K55" i="9"/>
  <c r="K57" i="9"/>
  <c r="BQ244" i="21"/>
  <c r="BT79" i="21"/>
  <c r="BT82" i="21"/>
  <c r="BK12" i="9"/>
  <c r="AZ231" i="21"/>
  <c r="AZ79" i="21"/>
  <c r="AO172" i="21"/>
  <c r="AO79" i="21"/>
  <c r="BA227" i="21"/>
  <c r="K86" i="21"/>
  <c r="K183" i="21"/>
  <c r="K242" i="21"/>
  <c r="Q178" i="21"/>
  <c r="Q237" i="21"/>
  <c r="BP86" i="21"/>
  <c r="BP183" i="21"/>
  <c r="BP242" i="21"/>
  <c r="BR84" i="21"/>
  <c r="BR181" i="21"/>
  <c r="BR240" i="21"/>
  <c r="BP181" i="21"/>
  <c r="BP240" i="21"/>
  <c r="AZ227" i="21"/>
  <c r="BP177" i="21"/>
  <c r="BO13" i="9"/>
  <c r="BO14" i="9"/>
  <c r="AH183" i="21"/>
  <c r="AH242" i="21"/>
  <c r="H86" i="21"/>
  <c r="H183" i="21"/>
  <c r="H242" i="21"/>
  <c r="D79" i="21"/>
  <c r="D82" i="21"/>
  <c r="BI169" i="21"/>
  <c r="BF17" i="9"/>
  <c r="BL181" i="21"/>
  <c r="S181" i="21"/>
  <c r="S240" i="21"/>
  <c r="BC177" i="21"/>
  <c r="BC236" i="21"/>
  <c r="BI170" i="21"/>
  <c r="BM11" i="21"/>
  <c r="O103" i="21"/>
  <c r="O177" i="21"/>
  <c r="BH173" i="21"/>
  <c r="BH232" i="21"/>
  <c r="W172" i="21"/>
  <c r="K8" i="9"/>
  <c r="K33" i="9"/>
  <c r="S180" i="21"/>
  <c r="S239" i="21"/>
  <c r="J227" i="21"/>
  <c r="AL75" i="21"/>
  <c r="AM100" i="21"/>
  <c r="AM146" i="21" s="1"/>
  <c r="AM202" i="21" s="1"/>
  <c r="BJ81" i="21"/>
  <c r="BJ178" i="21"/>
  <c r="BJ237" i="21"/>
  <c r="P178" i="21"/>
  <c r="BD169" i="21"/>
  <c r="I227" i="21"/>
  <c r="J228" i="21" s="1"/>
  <c r="AN180" i="21"/>
  <c r="AN239" i="21"/>
  <c r="J127" i="21"/>
  <c r="BR81" i="21"/>
  <c r="BR178" i="21"/>
  <c r="BR237" i="21"/>
  <c r="R178" i="21"/>
  <c r="R237" i="21"/>
  <c r="AT28" i="9"/>
  <c r="BJ244" i="21"/>
  <c r="BR40" i="21"/>
  <c r="AI44" i="21"/>
  <c r="BJ13" i="9"/>
  <c r="BT158" i="21"/>
  <c r="BT216" i="21"/>
  <c r="AR79" i="21"/>
  <c r="BJ14" i="9"/>
  <c r="Z158" i="21"/>
  <c r="Z216" i="21"/>
  <c r="AW232" i="21"/>
  <c r="AK72" i="21"/>
  <c r="AM172" i="21"/>
  <c r="AM231" i="21"/>
  <c r="BI227" i="21"/>
  <c r="BD46" i="21"/>
  <c r="J166" i="9"/>
  <c r="J168" i="9"/>
  <c r="AM72" i="21"/>
  <c r="AQ158" i="21"/>
  <c r="AQ216" i="21"/>
  <c r="CE61" i="21"/>
  <c r="CE19" i="21"/>
  <c r="CE28" i="21"/>
  <c r="BK166" i="21"/>
  <c r="BK225" i="21"/>
  <c r="BK61" i="21"/>
  <c r="AZ21" i="9"/>
  <c r="BV174" i="21"/>
  <c r="BV233" i="21"/>
  <c r="S103" i="21"/>
  <c r="S177" i="21"/>
  <c r="S236" i="21"/>
  <c r="AZ11" i="9"/>
  <c r="J159" i="9"/>
  <c r="J161" i="9"/>
  <c r="BA46" i="21"/>
  <c r="AR172" i="21"/>
  <c r="BS182" i="21"/>
  <c r="BS241" i="21"/>
  <c r="BJ41" i="21"/>
  <c r="S183" i="21"/>
  <c r="S242" i="21"/>
  <c r="BE183" i="21"/>
  <c r="BM11" i="9"/>
  <c r="BE18" i="9"/>
  <c r="BR12" i="9"/>
  <c r="N55" i="9"/>
  <c r="N56" i="9"/>
  <c r="N54" i="9"/>
  <c r="N68" i="9"/>
  <c r="BL7" i="9"/>
  <c r="N65" i="9"/>
  <c r="N57" i="9"/>
  <c r="N46" i="9"/>
  <c r="N45" i="9"/>
  <c r="BL20" i="9"/>
  <c r="N69" i="9"/>
  <c r="N47" i="9"/>
  <c r="BL13" i="9"/>
  <c r="N44" i="9"/>
  <c r="BL28" i="9"/>
  <c r="N59" i="9"/>
  <c r="BL15" i="9"/>
  <c r="BL21" i="9"/>
  <c r="N48" i="9"/>
  <c r="N49" i="9" s="1"/>
  <c r="N66" i="9"/>
  <c r="N58" i="9"/>
  <c r="N60" i="9"/>
  <c r="BL14" i="9"/>
  <c r="BL23" i="9"/>
  <c r="N67" i="9"/>
  <c r="BH19" i="9"/>
  <c r="AX7" i="9"/>
  <c r="BA12" i="9"/>
  <c r="AZ14" i="9"/>
  <c r="BI21" i="9"/>
  <c r="BM12" i="9"/>
  <c r="AW15" i="9"/>
  <c r="BJ15" i="9"/>
  <c r="BL26" i="9"/>
  <c r="J65" i="9"/>
  <c r="J67" i="9"/>
  <c r="AI170" i="21"/>
  <c r="AX166" i="21"/>
  <c r="AU44" i="21"/>
  <c r="AS20" i="21"/>
  <c r="AS44" i="21"/>
  <c r="K188" i="9"/>
  <c r="Q8" i="9"/>
  <c r="Q33" i="9"/>
  <c r="BA28" i="21"/>
  <c r="BO23" i="9"/>
  <c r="J102" i="9"/>
  <c r="J104" i="9"/>
  <c r="BO15" i="9"/>
  <c r="AK225" i="21"/>
  <c r="AW28" i="21"/>
  <c r="AW30" i="21"/>
  <c r="AW52" i="21"/>
  <c r="AW54" i="21"/>
  <c r="BL155" i="21"/>
  <c r="BL213" i="21"/>
  <c r="BL193" i="21"/>
  <c r="AP158" i="21"/>
  <c r="AP216" i="21"/>
  <c r="W231" i="21"/>
  <c r="J179" i="9"/>
  <c r="J181" i="9"/>
  <c r="S8" i="9"/>
  <c r="S33" i="9"/>
  <c r="W8" i="9"/>
  <c r="W33" i="9"/>
  <c r="AZ6" i="9"/>
  <c r="AZ8" i="9"/>
  <c r="T8" i="9"/>
  <c r="T33" i="9"/>
  <c r="X8" i="9"/>
  <c r="X25" i="9"/>
  <c r="BE6" i="9"/>
  <c r="BE8" i="9"/>
  <c r="Z8" i="9"/>
  <c r="Z33" i="9"/>
  <c r="BB6" i="9"/>
  <c r="BW183" i="21"/>
  <c r="BW242" i="21"/>
  <c r="BL6" i="9"/>
  <c r="BL8" i="9"/>
  <c r="J8" i="9"/>
  <c r="BA255" i="21"/>
  <c r="N155" i="21"/>
  <c r="BC100" i="21"/>
  <c r="BC155" i="21"/>
  <c r="F101" i="21"/>
  <c r="N146" i="21"/>
  <c r="N202" i="21"/>
  <c r="AY28" i="9"/>
  <c r="AJ100" i="21"/>
  <c r="BS7" i="9"/>
  <c r="BW231" i="21"/>
  <c r="BU177" i="21"/>
  <c r="BU236" i="21"/>
  <c r="AF8" i="9"/>
  <c r="AF25" i="9"/>
  <c r="AF34" i="9"/>
  <c r="AV63" i="21"/>
  <c r="BK6" i="9"/>
  <c r="BK8" i="9"/>
  <c r="AU23" i="9"/>
  <c r="BB21" i="9"/>
  <c r="BK20" i="9"/>
  <c r="AY26" i="9"/>
  <c r="K153" i="9"/>
  <c r="K155" i="9"/>
  <c r="N75" i="9"/>
  <c r="BB23" i="9"/>
  <c r="BK14" i="9"/>
  <c r="K65" i="9"/>
  <c r="K67" i="9"/>
  <c r="BJ12" i="9"/>
  <c r="BK18" i="9"/>
  <c r="BK17" i="9"/>
  <c r="BD24" i="9"/>
  <c r="BJ26" i="9"/>
  <c r="K81" i="9"/>
  <c r="K83" i="9"/>
  <c r="N79" i="9"/>
  <c r="BJ23" i="9"/>
  <c r="BO22" i="9"/>
  <c r="BB11" i="9"/>
  <c r="AU12" i="9"/>
  <c r="BJ20" i="9"/>
  <c r="N76" i="9"/>
  <c r="BN22" i="9"/>
  <c r="BI26" i="9"/>
  <c r="K88" i="9"/>
  <c r="K90" i="9"/>
  <c r="N78" i="9"/>
  <c r="BJ28" i="9"/>
  <c r="BK21" i="9"/>
  <c r="BK19" i="9"/>
  <c r="BC19" i="9"/>
  <c r="BK24" i="9"/>
  <c r="BS14" i="9"/>
  <c r="BP28" i="9"/>
  <c r="AZ26" i="9"/>
  <c r="K147" i="9"/>
  <c r="K149" i="9"/>
  <c r="BL22" i="9"/>
  <c r="BA11" i="9"/>
  <c r="BI13" i="9"/>
  <c r="AZ18" i="9"/>
  <c r="BP23" i="9"/>
  <c r="BP18" i="9"/>
  <c r="BS19" i="9"/>
  <c r="K181" i="9"/>
  <c r="BK15" i="9"/>
  <c r="AV12" i="9"/>
  <c r="BK11" i="9"/>
  <c r="U8" i="9"/>
  <c r="BH18" i="9"/>
  <c r="AW26" i="9"/>
  <c r="K166" i="9"/>
  <c r="K168" i="9"/>
  <c r="BB26" i="9"/>
  <c r="K133" i="9"/>
  <c r="K135" i="9"/>
  <c r="BP21" i="9"/>
  <c r="BA19" i="9"/>
  <c r="J114" i="9"/>
  <c r="J116" i="9"/>
  <c r="BP7" i="9"/>
  <c r="BN14" i="9"/>
  <c r="BA20" i="9"/>
  <c r="AE8" i="9"/>
  <c r="AE25" i="9"/>
  <c r="AE34" i="9"/>
  <c r="AE33" i="9"/>
  <c r="J126" i="9"/>
  <c r="J128" i="9"/>
  <c r="BK23" i="9"/>
  <c r="BS21" i="9"/>
  <c r="AY17" i="9"/>
  <c r="AY7" i="9"/>
  <c r="AY12" i="9"/>
  <c r="AY14" i="9"/>
  <c r="BS23" i="9"/>
  <c r="AY20" i="9"/>
  <c r="AY13" i="9"/>
  <c r="AY18" i="9"/>
  <c r="BS11" i="9"/>
  <c r="J96" i="9"/>
  <c r="J98" i="9"/>
  <c r="AY19" i="9"/>
  <c r="BS13" i="9"/>
  <c r="BS15" i="9"/>
  <c r="AY6" i="9"/>
  <c r="AY8" i="9"/>
  <c r="AY23" i="9"/>
  <c r="BS17" i="9"/>
  <c r="AX26" i="9"/>
  <c r="K159" i="9"/>
  <c r="K161" i="9"/>
  <c r="AV18" i="9"/>
  <c r="P8" i="9"/>
  <c r="P33" i="9"/>
  <c r="BA14" i="9"/>
  <c r="BA7" i="9"/>
  <c r="AV17" i="9"/>
  <c r="BG15" i="9"/>
  <c r="AW13" i="9"/>
  <c r="BL11" i="9"/>
  <c r="BG19" i="9"/>
  <c r="BD18" i="9"/>
  <c r="AV19" i="9"/>
  <c r="K25" i="9"/>
  <c r="BE15" i="9"/>
  <c r="BK13" i="9"/>
  <c r="AU13" i="9"/>
  <c r="BL16" i="9"/>
  <c r="BO7" i="9"/>
  <c r="BJ21" i="9"/>
  <c r="BE19" i="9"/>
  <c r="BJ18" i="9"/>
  <c r="AT18" i="9"/>
  <c r="AV13" i="9"/>
  <c r="O8" i="9"/>
  <c r="BE14" i="9"/>
  <c r="BI15" i="9"/>
  <c r="Y8" i="9"/>
  <c r="Y33" i="9"/>
  <c r="Y25" i="9"/>
  <c r="Y27" i="9"/>
  <c r="AY24" i="9"/>
  <c r="AV24" i="9"/>
  <c r="K75" i="9"/>
  <c r="K77" i="9"/>
  <c r="AW24" i="9"/>
  <c r="W25" i="9"/>
  <c r="BC24" i="9"/>
  <c r="BF6" i="9"/>
  <c r="BG14" i="9"/>
  <c r="BD23" i="9"/>
  <c r="BP22" i="9"/>
  <c r="BO18" i="9"/>
  <c r="BD13" i="9"/>
  <c r="BC6" i="9"/>
  <c r="J120" i="9"/>
  <c r="J122" i="9"/>
  <c r="AW20" i="9"/>
  <c r="BO12" i="9"/>
  <c r="BC18" i="9"/>
  <c r="BF7" i="9"/>
  <c r="BF8" i="9"/>
  <c r="BD17" i="9"/>
  <c r="BD20" i="9"/>
  <c r="AU26" i="9"/>
  <c r="BO11" i="9"/>
  <c r="BO17" i="9"/>
  <c r="AW23" i="9"/>
  <c r="BO16" i="9"/>
  <c r="H8" i="9"/>
  <c r="H25" i="9"/>
  <c r="AW12" i="9"/>
  <c r="BC7" i="9"/>
  <c r="BC11" i="9"/>
  <c r="BG11" i="9"/>
  <c r="BP19" i="9"/>
  <c r="BS16" i="9"/>
  <c r="BT19" i="9"/>
  <c r="BT12" i="9"/>
  <c r="BG26" i="9"/>
  <c r="K102" i="9"/>
  <c r="K104" i="9"/>
  <c r="BC26" i="9"/>
  <c r="K126" i="9"/>
  <c r="K128" i="9"/>
  <c r="BD15" i="9"/>
  <c r="BA17" i="9"/>
  <c r="AU24" i="9"/>
  <c r="BP11" i="9"/>
  <c r="BP13" i="9"/>
  <c r="BF12" i="9"/>
  <c r="AU28" i="9"/>
  <c r="J33" i="9"/>
  <c r="BO20" i="9"/>
  <c r="AW7" i="9"/>
  <c r="BC13" i="9"/>
  <c r="BG12" i="9"/>
  <c r="BC20" i="9"/>
  <c r="BP26" i="9"/>
  <c r="BC12" i="9"/>
  <c r="BS12" i="9"/>
  <c r="BT22" i="9"/>
  <c r="BD7" i="9"/>
  <c r="BA15" i="9"/>
  <c r="BA26" i="9"/>
  <c r="K141" i="9"/>
  <c r="K143" i="9"/>
  <c r="BD6" i="9"/>
  <c r="BD8" i="9" s="1"/>
  <c r="AU6" i="9"/>
  <c r="BC28" i="9"/>
  <c r="BO19" i="9"/>
  <c r="BG17" i="9"/>
  <c r="BG23" i="9"/>
  <c r="AW28" i="9"/>
  <c r="BH13" i="9"/>
  <c r="AZ13" i="9"/>
  <c r="BQ16" i="9"/>
  <c r="AY15" i="9"/>
  <c r="AY25" i="9" s="1"/>
  <c r="AY27" i="9" s="1"/>
  <c r="AY29" i="9" s="1"/>
  <c r="BE24" i="9"/>
  <c r="BE25" i="9"/>
  <c r="BE27" i="9"/>
  <c r="BE29" i="9"/>
  <c r="BD28" i="9"/>
  <c r="BP15" i="9"/>
  <c r="AU15" i="9"/>
  <c r="BP12" i="9"/>
  <c r="X33" i="9"/>
  <c r="AW6" i="9"/>
  <c r="AW8" i="9"/>
  <c r="BO26" i="9"/>
  <c r="AW18" i="9"/>
  <c r="BF21" i="9"/>
  <c r="BC14" i="9"/>
  <c r="BD14" i="9"/>
  <c r="BP16" i="9"/>
  <c r="BA13" i="9"/>
  <c r="BP17" i="9"/>
  <c r="BC15" i="9"/>
  <c r="BA18" i="9"/>
  <c r="AU18" i="9"/>
  <c r="AS24" i="9"/>
  <c r="AU17" i="9"/>
  <c r="BA6" i="9"/>
  <c r="BC23" i="9"/>
  <c r="BC21" i="9"/>
  <c r="AW19" i="9"/>
  <c r="BB19" i="9"/>
  <c r="BB15" i="9"/>
  <c r="BB13" i="9"/>
  <c r="BB17" i="9"/>
  <c r="AV20" i="9"/>
  <c r="AV23" i="9"/>
  <c r="AV14" i="9"/>
  <c r="J81" i="9"/>
  <c r="J83" i="9"/>
  <c r="J75" i="9"/>
  <c r="J77" i="9"/>
  <c r="O33" i="9"/>
  <c r="V8" i="9"/>
  <c r="BB20" i="9"/>
  <c r="AV15" i="9"/>
  <c r="BB18" i="9"/>
  <c r="BB12" i="9"/>
  <c r="J25" i="9"/>
  <c r="J27" i="9"/>
  <c r="J34" i="9"/>
  <c r="BB7" i="9"/>
  <c r="BB8" i="9"/>
  <c r="BB24" i="9"/>
  <c r="AS6" i="9"/>
  <c r="AS8" i="9"/>
  <c r="AS25" i="9"/>
  <c r="AS27" i="9"/>
  <c r="AS29" i="9"/>
  <c r="W182" i="21"/>
  <c r="W241" i="21"/>
  <c r="F85" i="21"/>
  <c r="F182" i="21"/>
  <c r="F241" i="21"/>
  <c r="AZ181" i="21"/>
  <c r="AZ240" i="21"/>
  <c r="L8" i="9"/>
  <c r="L33" i="9"/>
  <c r="G252" i="21"/>
  <c r="G227" i="21"/>
  <c r="H169" i="21"/>
  <c r="Y180" i="21"/>
  <c r="Y239" i="21"/>
  <c r="AW178" i="21"/>
  <c r="AW237" i="21"/>
  <c r="AA63" i="21"/>
  <c r="AH252" i="21"/>
  <c r="AA124" i="21"/>
  <c r="AA128" i="21"/>
  <c r="AJ166" i="21"/>
  <c r="AJ20" i="21"/>
  <c r="AJ61" i="21"/>
  <c r="M97" i="21"/>
  <c r="M166" i="21"/>
  <c r="M170" i="21"/>
  <c r="BH181" i="21"/>
  <c r="BH240" i="21"/>
  <c r="BJ84" i="21"/>
  <c r="BJ181" i="21"/>
  <c r="BJ240" i="21"/>
  <c r="BF26" i="9"/>
  <c r="K108" i="9"/>
  <c r="K110" i="9"/>
  <c r="J108" i="9"/>
  <c r="J110" i="9"/>
  <c r="BB28" i="9"/>
  <c r="BB244" i="21"/>
  <c r="N207" i="21"/>
  <c r="N240" i="21" s="1"/>
  <c r="H257" i="21"/>
  <c r="M193" i="21"/>
  <c r="M259" i="21"/>
  <c r="C8" i="9"/>
  <c r="C25" i="9"/>
  <c r="Y122" i="21"/>
  <c r="Y124" i="21"/>
  <c r="Y134" i="21"/>
  <c r="Y128" i="21"/>
  <c r="Y158" i="21"/>
  <c r="Y216" i="21"/>
  <c r="AB61" i="21"/>
  <c r="AB166" i="21"/>
  <c r="BT166" i="21"/>
  <c r="BT61" i="21"/>
  <c r="BT19" i="21"/>
  <c r="BO21" i="9"/>
  <c r="BA23" i="9"/>
  <c r="BA28" i="9"/>
  <c r="Z183" i="21"/>
  <c r="Z242" i="21"/>
  <c r="AF173" i="21"/>
  <c r="AF232" i="21"/>
  <c r="BN101" i="21"/>
  <c r="BN175" i="21"/>
  <c r="BN234" i="21"/>
  <c r="AT19" i="9"/>
  <c r="AT20" i="9"/>
  <c r="W128" i="21"/>
  <c r="W122" i="21"/>
  <c r="W124" i="21"/>
  <c r="W134" i="21"/>
  <c r="BR23" i="9"/>
  <c r="BR20" i="9"/>
  <c r="BR16" i="9"/>
  <c r="BR15" i="9"/>
  <c r="BR19" i="9"/>
  <c r="BR17" i="9"/>
  <c r="BR22" i="9"/>
  <c r="AV28" i="9"/>
  <c r="H99" i="21"/>
  <c r="H58" i="21"/>
  <c r="BD158" i="21"/>
  <c r="BD216" i="21"/>
  <c r="BD255" i="21"/>
  <c r="AV26" i="9"/>
  <c r="K172" i="9"/>
  <c r="K174" i="9"/>
  <c r="CC19" i="21"/>
  <c r="CC20" i="21"/>
  <c r="CC61" i="21"/>
  <c r="BG28" i="9"/>
  <c r="CH207" i="21"/>
  <c r="CH158" i="21"/>
  <c r="CH216" i="21"/>
  <c r="CH46" i="21"/>
  <c r="BH28" i="9"/>
  <c r="BG13" i="9"/>
  <c r="BQ22" i="9"/>
  <c r="AU7" i="9"/>
  <c r="AU8" i="9" s="1"/>
  <c r="AU25" i="9" s="1"/>
  <c r="AU27" i="9" s="1"/>
  <c r="AU29" i="9" s="1"/>
  <c r="BJ39" i="21"/>
  <c r="BR18" i="9"/>
  <c r="K69" i="21"/>
  <c r="BD21" i="9"/>
  <c r="BR21" i="9"/>
  <c r="BG21" i="9"/>
  <c r="BG18" i="9"/>
  <c r="BR8" i="21"/>
  <c r="BT26" i="9"/>
  <c r="BO28" i="9"/>
  <c r="BB14" i="9"/>
  <c r="AT7" i="9"/>
  <c r="BR28" i="9"/>
  <c r="BX79" i="21"/>
  <c r="BX82" i="21"/>
  <c r="BX179" i="21"/>
  <c r="BX238" i="21"/>
  <c r="BX11" i="21"/>
  <c r="BN26" i="9"/>
  <c r="K45" i="9"/>
  <c r="K47" i="9"/>
  <c r="J45" i="9"/>
  <c r="J47" i="9"/>
  <c r="O25" i="9"/>
  <c r="O34" i="9"/>
  <c r="J234" i="21"/>
  <c r="D45" i="21"/>
  <c r="D134" i="21"/>
  <c r="AG47" i="21"/>
  <c r="BS26" i="9"/>
  <c r="BX46" i="21"/>
  <c r="BX255" i="21"/>
  <c r="BX158" i="21"/>
  <c r="BX216" i="21"/>
  <c r="BD240" i="21"/>
  <c r="BF14" i="9"/>
  <c r="BF23" i="9"/>
  <c r="BF15" i="9"/>
  <c r="P97" i="21"/>
  <c r="P61" i="21"/>
  <c r="Q11" i="21"/>
  <c r="P166" i="21"/>
  <c r="P19" i="21"/>
  <c r="P79" i="21"/>
  <c r="P82" i="21"/>
  <c r="P172" i="21"/>
  <c r="CH79" i="21"/>
  <c r="AT15" i="9"/>
  <c r="AT23" i="9"/>
  <c r="AT17" i="9"/>
  <c r="AT14" i="9"/>
  <c r="AX18" i="9"/>
  <c r="AX17" i="9"/>
  <c r="AX12" i="9"/>
  <c r="AX21" i="9"/>
  <c r="AX28" i="9"/>
  <c r="AX23" i="9"/>
  <c r="AX11" i="9"/>
  <c r="Z173" i="21"/>
  <c r="Z232" i="21"/>
  <c r="AC100" i="21"/>
  <c r="AC146" i="21"/>
  <c r="AC202" i="21"/>
  <c r="AB100" i="21"/>
  <c r="AB139" i="21"/>
  <c r="AB195" i="21"/>
  <c r="Z75" i="21"/>
  <c r="Z100" i="21"/>
  <c r="Z146" i="21"/>
  <c r="Z202" i="21"/>
  <c r="F8" i="9"/>
  <c r="F25" i="9"/>
  <c r="BN11" i="9"/>
  <c r="BN17" i="9"/>
  <c r="BN7" i="9"/>
  <c r="G257" i="21"/>
  <c r="BN21" i="9"/>
  <c r="BT20" i="9"/>
  <c r="BT13" i="9"/>
  <c r="BT21" i="9"/>
  <c r="BT14" i="9"/>
  <c r="BT17" i="9"/>
  <c r="BT11" i="9"/>
  <c r="BT28" i="9"/>
  <c r="BX225" i="21"/>
  <c r="BX229" i="21"/>
  <c r="BF18" i="9"/>
  <c r="BN28" i="9"/>
  <c r="BT7" i="9"/>
  <c r="BX19" i="21"/>
  <c r="BX61" i="21"/>
  <c r="BX231" i="21"/>
  <c r="BK28" i="9"/>
  <c r="BX101" i="21"/>
  <c r="BI14" i="9"/>
  <c r="BV175" i="21"/>
  <c r="BV234" i="21"/>
  <c r="BX170" i="21"/>
  <c r="BT173" i="21"/>
  <c r="BT232" i="21"/>
  <c r="BC8" i="9"/>
  <c r="BC25" i="9"/>
  <c r="BC27" i="9"/>
  <c r="BC29" i="9"/>
  <c r="AE27" i="9"/>
  <c r="AE29" i="9"/>
  <c r="AZ24" i="9"/>
  <c r="BA24" i="9"/>
  <c r="M8" i="9"/>
  <c r="M33" i="9"/>
  <c r="M25" i="9"/>
  <c r="M34" i="9"/>
  <c r="CC44" i="21"/>
  <c r="E33" i="9"/>
  <c r="BG24" i="9"/>
  <c r="M225" i="21"/>
  <c r="V33" i="9"/>
  <c r="V25" i="9"/>
  <c r="V34" i="9"/>
  <c r="BG6" i="9"/>
  <c r="BG8" i="9"/>
  <c r="BG25" i="9" s="1"/>
  <c r="BG27" i="9" s="1"/>
  <c r="BG29" i="9" s="1"/>
  <c r="AA8" i="9"/>
  <c r="R8" i="9"/>
  <c r="R33" i="9"/>
  <c r="AX6" i="9"/>
  <c r="AX8" i="9"/>
  <c r="AM8" i="9"/>
  <c r="AM33" i="9"/>
  <c r="BS6" i="9"/>
  <c r="BS8" i="9"/>
  <c r="AG8" i="9"/>
  <c r="AG33" i="9"/>
  <c r="BM6" i="9"/>
  <c r="BM8" i="9"/>
  <c r="BF24" i="9"/>
  <c r="BF25" i="9" s="1"/>
  <c r="BF27" i="9" s="1"/>
  <c r="BF29" i="9" s="1"/>
  <c r="O27" i="9"/>
  <c r="BH6" i="9"/>
  <c r="BH8" i="9"/>
  <c r="AB8" i="9"/>
  <c r="AB25" i="9"/>
  <c r="AB33" i="9"/>
  <c r="V27" i="9"/>
  <c r="V39" i="9"/>
  <c r="V41" i="9"/>
  <c r="V35" i="9"/>
  <c r="AH8" i="9"/>
  <c r="AH33" i="9"/>
  <c r="BN6" i="9"/>
  <c r="BN8" i="9"/>
  <c r="BL24" i="9"/>
  <c r="BL25" i="9" s="1"/>
  <c r="BL27" i="9" s="1"/>
  <c r="BL29" i="9" s="1"/>
  <c r="N8" i="9"/>
  <c r="N33" i="9"/>
  <c r="AT6" i="9"/>
  <c r="AT8" i="9" s="1"/>
  <c r="BO6" i="9"/>
  <c r="BO8" i="9"/>
  <c r="AI8" i="9"/>
  <c r="AI33" i="9"/>
  <c r="AX24" i="9"/>
  <c r="AX25" i="9" s="1"/>
  <c r="AX27" i="9" s="1"/>
  <c r="AX29" i="9" s="1"/>
  <c r="R25" i="9"/>
  <c r="R27" i="9"/>
  <c r="AG25" i="9"/>
  <c r="AG34" i="9"/>
  <c r="BM24" i="9"/>
  <c r="BM25" i="9"/>
  <c r="BM27" i="9"/>
  <c r="BM29" i="9"/>
  <c r="BT6" i="9"/>
  <c r="BT8" i="9"/>
  <c r="AN8" i="9"/>
  <c r="AN33" i="9"/>
  <c r="BN24" i="9"/>
  <c r="BN25" i="9"/>
  <c r="BN27" i="9"/>
  <c r="BN29" i="9"/>
  <c r="AH25" i="9"/>
  <c r="AH34" i="9"/>
  <c r="BH24" i="9"/>
  <c r="BH25" i="9"/>
  <c r="BH27" i="9"/>
  <c r="BH29" i="9"/>
  <c r="AC8" i="9"/>
  <c r="AC33" i="9"/>
  <c r="BI6" i="9"/>
  <c r="BI8" i="9"/>
  <c r="AT24" i="9"/>
  <c r="AT25" i="9" s="1"/>
  <c r="AT27" i="9" s="1"/>
  <c r="AT29" i="9" s="1"/>
  <c r="BP6" i="9"/>
  <c r="AJ8" i="9"/>
  <c r="AJ33" i="9"/>
  <c r="BS24" i="9"/>
  <c r="AM25" i="9"/>
  <c r="AM34" i="9"/>
  <c r="BT24" i="9"/>
  <c r="BO24" i="9"/>
  <c r="BI24" i="9"/>
  <c r="BI25" i="9"/>
  <c r="BI27" i="9"/>
  <c r="BI29" i="9"/>
  <c r="BJ6" i="9"/>
  <c r="BJ8" i="9"/>
  <c r="AD8" i="9"/>
  <c r="AD25" i="9"/>
  <c r="AD34" i="9"/>
  <c r="BP24" i="9"/>
  <c r="BQ6" i="9"/>
  <c r="BQ8" i="9"/>
  <c r="AK8" i="9"/>
  <c r="AK25" i="9"/>
  <c r="BJ24" i="9"/>
  <c r="BJ25" i="9" s="1"/>
  <c r="BJ27" i="9" s="1"/>
  <c r="BJ29" i="9" s="1"/>
  <c r="BR6" i="9"/>
  <c r="BR8" i="9"/>
  <c r="AL8" i="9"/>
  <c r="AL33" i="9"/>
  <c r="AL25" i="9"/>
  <c r="AL27" i="9"/>
  <c r="BQ24" i="9"/>
  <c r="BR24" i="9"/>
  <c r="BR25" i="9" s="1"/>
  <c r="BR27" i="9" s="1"/>
  <c r="BR29" i="9" s="1"/>
  <c r="AB34" i="9"/>
  <c r="AB27" i="9"/>
  <c r="P25" i="9"/>
  <c r="I33" i="9"/>
  <c r="C33" i="9"/>
  <c r="Y34" i="9"/>
  <c r="BA8" i="9"/>
  <c r="AD27" i="9"/>
  <c r="AD29" i="9"/>
  <c r="AO25" i="9"/>
  <c r="AO27" i="9"/>
  <c r="AD33" i="9"/>
  <c r="N25" i="9"/>
  <c r="Z25" i="9"/>
  <c r="S25" i="9"/>
  <c r="AC25" i="9"/>
  <c r="AC34" i="9"/>
  <c r="AG27" i="9"/>
  <c r="AG39" i="9"/>
  <c r="AG41" i="9"/>
  <c r="AX70" i="21"/>
  <c r="AX72" i="21"/>
  <c r="AY100" i="21"/>
  <c r="AZ100" i="21"/>
  <c r="AZ193" i="21"/>
  <c r="BA100" i="21"/>
  <c r="BA155" i="21"/>
  <c r="BA213" i="21"/>
  <c r="AX75" i="21"/>
  <c r="CD60" i="21"/>
  <c r="AX168" i="21"/>
  <c r="CH146" i="21"/>
  <c r="CH202" i="21"/>
  <c r="CH268" i="21"/>
  <c r="BE61" i="21"/>
  <c r="BE166" i="21"/>
  <c r="BE11" i="21"/>
  <c r="BT11" i="21"/>
  <c r="BP61" i="21"/>
  <c r="BP19" i="21"/>
  <c r="BP172" i="21"/>
  <c r="BP79" i="21"/>
  <c r="BP82" i="21"/>
  <c r="BQ158" i="21"/>
  <c r="BQ216" i="21"/>
  <c r="BX180" i="21"/>
  <c r="BX239" i="21"/>
  <c r="AG34" i="21"/>
  <c r="AX100" i="21"/>
  <c r="Z64" i="21"/>
  <c r="Z63" i="21"/>
  <c r="BS11" i="21"/>
  <c r="BR97" i="21"/>
  <c r="BR154" i="21"/>
  <c r="BR212" i="21"/>
  <c r="BO172" i="21"/>
  <c r="BO82" i="21"/>
  <c r="BO179" i="21"/>
  <c r="BO238" i="21"/>
  <c r="BP233" i="21"/>
  <c r="BP234" i="21"/>
  <c r="R19" i="21"/>
  <c r="R20" i="21"/>
  <c r="R166" i="21"/>
  <c r="R170" i="21"/>
  <c r="BC213" i="21"/>
  <c r="F69" i="21"/>
  <c r="AH63" i="21"/>
  <c r="CH237" i="21"/>
  <c r="CH241" i="21"/>
  <c r="AN178" i="21"/>
  <c r="AN237" i="21"/>
  <c r="J81" i="21"/>
  <c r="J178" i="21"/>
  <c r="J237" i="21"/>
  <c r="X173" i="21"/>
  <c r="BB60" i="21"/>
  <c r="BF60" i="21"/>
  <c r="BB168" i="21"/>
  <c r="BE100" i="21"/>
  <c r="BD100" i="21"/>
  <c r="BB75" i="21"/>
  <c r="BB172" i="21"/>
  <c r="BB100" i="21"/>
  <c r="AO122" i="21"/>
  <c r="AO124" i="21"/>
  <c r="AO128" i="21"/>
  <c r="AO130" i="21" s="1"/>
  <c r="BF81" i="21"/>
  <c r="BF178" i="21"/>
  <c r="BF237" i="21"/>
  <c r="O178" i="21"/>
  <c r="BI46" i="21"/>
  <c r="BH46" i="21"/>
  <c r="BY182" i="21"/>
  <c r="BY241" i="21"/>
  <c r="I212" i="21"/>
  <c r="I156" i="21"/>
  <c r="AJ139" i="21"/>
  <c r="AJ195" i="21"/>
  <c r="AF182" i="21"/>
  <c r="AF241" i="21"/>
  <c r="J83" i="21"/>
  <c r="J180" i="21"/>
  <c r="J239" i="21"/>
  <c r="AO180" i="21"/>
  <c r="AO239" i="21"/>
  <c r="AS231" i="21"/>
  <c r="D252" i="21"/>
  <c r="P173" i="21"/>
  <c r="BJ76" i="21"/>
  <c r="BJ173" i="21"/>
  <c r="BJ232" i="21"/>
  <c r="BQ46" i="21"/>
  <c r="BS225" i="21"/>
  <c r="G84" i="21"/>
  <c r="G181" i="21"/>
  <c r="G240" i="21"/>
  <c r="AC181" i="21"/>
  <c r="AC240" i="21"/>
  <c r="AV180" i="21"/>
  <c r="AV239" i="21"/>
  <c r="AU117" i="21"/>
  <c r="AL68" i="21"/>
  <c r="AL10" i="21"/>
  <c r="BF78" i="21"/>
  <c r="BH101" i="21"/>
  <c r="BH146" i="21"/>
  <c r="BH202" i="21"/>
  <c r="BE175" i="21"/>
  <c r="BE234" i="21"/>
  <c r="AB128" i="21"/>
  <c r="AB158" i="21"/>
  <c r="AB216" i="21"/>
  <c r="AB122" i="21"/>
  <c r="AB124" i="21"/>
  <c r="AZ166" i="21"/>
  <c r="AZ61" i="21"/>
  <c r="AZ19" i="21"/>
  <c r="AZ20" i="21"/>
  <c r="AO166" i="21"/>
  <c r="AO170" i="21"/>
  <c r="AS11" i="21"/>
  <c r="AE166" i="21"/>
  <c r="AI167" i="21"/>
  <c r="Q227" i="21"/>
  <c r="Q169" i="21"/>
  <c r="R169" i="21"/>
  <c r="AW227" i="21"/>
  <c r="BA169" i="21"/>
  <c r="AW169" i="21"/>
  <c r="K175" i="21"/>
  <c r="K101" i="21"/>
  <c r="BM158" i="21"/>
  <c r="BM216" i="21"/>
  <c r="BM255" i="21"/>
  <c r="BM46" i="21"/>
  <c r="AH158" i="21"/>
  <c r="AH216" i="21"/>
  <c r="AN172" i="21"/>
  <c r="AQ255" i="21"/>
  <c r="AQ46" i="21"/>
  <c r="AG252" i="21"/>
  <c r="Y28" i="21"/>
  <c r="BS170" i="21"/>
  <c r="S79" i="21"/>
  <c r="S82" i="21"/>
  <c r="S172" i="21"/>
  <c r="S231" i="21"/>
  <c r="BV10" i="21"/>
  <c r="AU177" i="21"/>
  <c r="AU236" i="21"/>
  <c r="AF44" i="21"/>
  <c r="AF52" i="21"/>
  <c r="AF28" i="21"/>
  <c r="AF47" i="21"/>
  <c r="BL10" i="21"/>
  <c r="BL61" i="21"/>
  <c r="BN9" i="21"/>
  <c r="BN10" i="21"/>
  <c r="R103" i="21"/>
  <c r="BR80" i="21"/>
  <c r="BU103" i="21"/>
  <c r="R177" i="21"/>
  <c r="R236" i="21"/>
  <c r="R267" i="21"/>
  <c r="K113" i="21"/>
  <c r="AD146" i="21"/>
  <c r="AD202" i="21"/>
  <c r="BG232" i="21"/>
  <c r="BE236" i="21"/>
  <c r="L169" i="21"/>
  <c r="AJ178" i="21"/>
  <c r="AJ237" i="21"/>
  <c r="H119" i="21"/>
  <c r="BI239" i="21"/>
  <c r="BN41" i="21"/>
  <c r="J72" i="21"/>
  <c r="S255" i="21"/>
  <c r="BV83" i="21"/>
  <c r="BV180" i="21"/>
  <c r="BV239" i="21"/>
  <c r="BP236" i="21"/>
  <c r="R82" i="21"/>
  <c r="BI244" i="21"/>
  <c r="CF44" i="21"/>
  <c r="CF28" i="21"/>
  <c r="CF47" i="21"/>
  <c r="CF52" i="21"/>
  <c r="CF54" i="21"/>
  <c r="CF58" i="21"/>
  <c r="AP234" i="21"/>
  <c r="AI234" i="21"/>
  <c r="AI176" i="21"/>
  <c r="AI235" i="21"/>
  <c r="N19" i="21"/>
  <c r="N20" i="21"/>
  <c r="N61" i="21"/>
  <c r="N97" i="21"/>
  <c r="N154" i="21"/>
  <c r="N212" i="21" s="1"/>
  <c r="N166" i="21"/>
  <c r="O11" i="21"/>
  <c r="N11" i="21"/>
  <c r="H61" i="21"/>
  <c r="H166" i="21"/>
  <c r="H225" i="21"/>
  <c r="H20" i="21"/>
  <c r="I11" i="21"/>
  <c r="H97" i="21"/>
  <c r="BC11" i="21"/>
  <c r="BC166" i="21"/>
  <c r="AC193" i="21"/>
  <c r="AW58" i="21"/>
  <c r="AW56" i="21"/>
  <c r="BX52" i="21"/>
  <c r="BX54" i="21"/>
  <c r="M103" i="21"/>
  <c r="M177" i="21"/>
  <c r="M236" i="21"/>
  <c r="BC173" i="21"/>
  <c r="BC232" i="21"/>
  <c r="AM173" i="21"/>
  <c r="AM232" i="21"/>
  <c r="AV100" i="21"/>
  <c r="AU100" i="21"/>
  <c r="AU146" i="21" s="1"/>
  <c r="AU202" i="21" s="1"/>
  <c r="AU155" i="21"/>
  <c r="AU213" i="21"/>
  <c r="AT70" i="21"/>
  <c r="AX60" i="21"/>
  <c r="R231" i="21"/>
  <c r="BU97" i="21"/>
  <c r="BU114" i="21"/>
  <c r="BS97" i="21"/>
  <c r="BS154" i="21"/>
  <c r="BS212" i="21"/>
  <c r="BR166" i="21"/>
  <c r="BT97" i="21"/>
  <c r="BT154" i="21"/>
  <c r="BT212" i="21"/>
  <c r="AM193" i="21"/>
  <c r="AF172" i="21"/>
  <c r="AF231" i="21"/>
  <c r="AF79" i="21"/>
  <c r="AF82" i="21"/>
  <c r="BL158" i="21"/>
  <c r="BL216" i="21"/>
  <c r="BL255" i="21"/>
  <c r="BL46" i="21"/>
  <c r="AQ182" i="21"/>
  <c r="AQ241" i="21"/>
  <c r="AY180" i="21"/>
  <c r="AY239" i="21"/>
  <c r="BB83" i="21"/>
  <c r="BB180" i="21"/>
  <c r="BB239" i="21"/>
  <c r="H71" i="21"/>
  <c r="I71" i="21"/>
  <c r="AY69" i="21"/>
  <c r="N255" i="21"/>
  <c r="N158" i="21"/>
  <c r="N216" i="21"/>
  <c r="N46" i="21"/>
  <c r="AS158" i="21"/>
  <c r="AS216" i="21"/>
  <c r="AS255" i="21"/>
  <c r="BY158" i="21"/>
  <c r="BY216" i="21"/>
  <c r="BY255" i="21"/>
  <c r="AV169" i="21"/>
  <c r="AN169" i="21"/>
  <c r="AJ169" i="21"/>
  <c r="R255" i="21"/>
  <c r="R46" i="21"/>
  <c r="R158" i="21"/>
  <c r="R216" i="21"/>
  <c r="BL19" i="21"/>
  <c r="BL166" i="21"/>
  <c r="BP11" i="21"/>
  <c r="AK177" i="21"/>
  <c r="AK236" i="21"/>
  <c r="CF61" i="21"/>
  <c r="BH244" i="21"/>
  <c r="BH234" i="21"/>
  <c r="BH237" i="21"/>
  <c r="BH227" i="21"/>
  <c r="P207" i="21"/>
  <c r="P233" i="21"/>
  <c r="O180" i="21"/>
  <c r="BF83" i="21"/>
  <c r="BF180" i="21"/>
  <c r="BF239" i="21"/>
  <c r="BE19" i="21"/>
  <c r="BE52" i="21"/>
  <c r="BE54" i="21"/>
  <c r="BI11" i="21"/>
  <c r="BS79" i="21"/>
  <c r="BS82" i="21"/>
  <c r="BS179" i="21"/>
  <c r="BS238" i="21"/>
  <c r="BS173" i="21"/>
  <c r="H193" i="21"/>
  <c r="H259" i="21"/>
  <c r="H268" i="21"/>
  <c r="M79" i="21"/>
  <c r="M82" i="21"/>
  <c r="M173" i="21"/>
  <c r="M232" i="21"/>
  <c r="D99" i="21"/>
  <c r="AY11" i="21"/>
  <c r="N177" i="21"/>
  <c r="N103" i="21"/>
  <c r="N145" i="21"/>
  <c r="N201" i="21"/>
  <c r="AN128" i="21"/>
  <c r="AN122" i="21"/>
  <c r="AN124" i="21"/>
  <c r="AN190" i="21"/>
  <c r="AN249" i="21"/>
  <c r="BM236" i="21"/>
  <c r="BM234" i="21"/>
  <c r="BM231" i="21"/>
  <c r="BY46" i="21"/>
  <c r="G83" i="21"/>
  <c r="G180" i="21"/>
  <c r="G239" i="21"/>
  <c r="P11" i="21"/>
  <c r="BH236" i="21"/>
  <c r="BK19" i="21"/>
  <c r="BK28" i="21"/>
  <c r="BP166" i="21"/>
  <c r="BP167" i="21" s="1"/>
  <c r="BP244" i="21"/>
  <c r="BP180" i="21"/>
  <c r="BP239" i="21"/>
  <c r="BR83" i="21"/>
  <c r="BR180" i="21"/>
  <c r="BR239" i="21"/>
  <c r="BQ166" i="21"/>
  <c r="BQ19" i="21"/>
  <c r="BQ172" i="21"/>
  <c r="BQ176" i="21"/>
  <c r="BQ235" i="21"/>
  <c r="Q225" i="21"/>
  <c r="E227" i="21"/>
  <c r="F169" i="21"/>
  <c r="BD172" i="21"/>
  <c r="BD176" i="21"/>
  <c r="BD235" i="21"/>
  <c r="AJ28" i="21"/>
  <c r="AJ30" i="21"/>
  <c r="AJ52" i="21"/>
  <c r="AJ54" i="21"/>
  <c r="AJ44" i="21"/>
  <c r="BO255" i="21"/>
  <c r="BO46" i="21"/>
  <c r="BO158" i="21"/>
  <c r="BO216" i="21"/>
  <c r="BP237" i="21"/>
  <c r="BQ234" i="21"/>
  <c r="BQ236" i="21"/>
  <c r="AU181" i="21"/>
  <c r="AU240" i="21"/>
  <c r="AX84" i="21"/>
  <c r="AX181" i="21"/>
  <c r="AX240" i="21"/>
  <c r="BQ237" i="21"/>
  <c r="BM242" i="21"/>
  <c r="BQ86" i="21"/>
  <c r="BQ232" i="21"/>
  <c r="BR257" i="21"/>
  <c r="AT39" i="21"/>
  <c r="BY169" i="21"/>
  <c r="BB76" i="21"/>
  <c r="BB173" i="21"/>
  <c r="BB232" i="21"/>
  <c r="BW79" i="21"/>
  <c r="BW82" i="21"/>
  <c r="BW179" i="21"/>
  <c r="BW238" i="21"/>
  <c r="BY61" i="21"/>
  <c r="BY19" i="21"/>
  <c r="BC193" i="21"/>
  <c r="BS227" i="21"/>
  <c r="BS229" i="21"/>
  <c r="BV29" i="21"/>
  <c r="AC169" i="21"/>
  <c r="AI225" i="21"/>
  <c r="AA103" i="21"/>
  <c r="BF80" i="21"/>
  <c r="BF177" i="21"/>
  <c r="BF236" i="21"/>
  <c r="BV185" i="21"/>
  <c r="BV244" i="21"/>
  <c r="BY79" i="21"/>
  <c r="BY82" i="21"/>
  <c r="BY179" i="21"/>
  <c r="BY238" i="21"/>
  <c r="BY101" i="21"/>
  <c r="AC27" i="9"/>
  <c r="AC35" i="9"/>
  <c r="AO34" i="9"/>
  <c r="BY183" i="21"/>
  <c r="BY242" i="21"/>
  <c r="AX172" i="21"/>
  <c r="AX231" i="21"/>
  <c r="BA193" i="21"/>
  <c r="AE225" i="21"/>
  <c r="BB155" i="21"/>
  <c r="BB213" i="21"/>
  <c r="AX193" i="21"/>
  <c r="BA228" i="21"/>
  <c r="AW228" i="21"/>
  <c r="BP179" i="21"/>
  <c r="BP238" i="21"/>
  <c r="BN166" i="21"/>
  <c r="BN225" i="21"/>
  <c r="U42" i="21"/>
  <c r="U39" i="21"/>
  <c r="AN231" i="21"/>
  <c r="K146" i="21"/>
  <c r="K202" i="21"/>
  <c r="AL61" i="21"/>
  <c r="AL166" i="21"/>
  <c r="AL97" i="21"/>
  <c r="AL114" i="21"/>
  <c r="AO255" i="21"/>
  <c r="AO253" i="21"/>
  <c r="BP231" i="21"/>
  <c r="AX227" i="21"/>
  <c r="BA259" i="21"/>
  <c r="X232" i="21"/>
  <c r="K234" i="21"/>
  <c r="AB140" i="21"/>
  <c r="AB196" i="21"/>
  <c r="BD193" i="21"/>
  <c r="BB169" i="21"/>
  <c r="H252" i="21"/>
  <c r="H261" i="21"/>
  <c r="BE193" i="21"/>
  <c r="AM176" i="21"/>
  <c r="AM235" i="21"/>
  <c r="H154" i="21"/>
  <c r="H156" i="21"/>
  <c r="N49" i="21"/>
  <c r="AJ47" i="21"/>
  <c r="BP170" i="21"/>
  <c r="BP225" i="21"/>
  <c r="N44" i="21"/>
  <c r="N28" i="21"/>
  <c r="BQ231" i="21"/>
  <c r="CF30" i="21"/>
  <c r="G231" i="21"/>
  <c r="AF176" i="21"/>
  <c r="AF235" i="21"/>
  <c r="BB231" i="21"/>
  <c r="BG103" i="21"/>
  <c r="BI103" i="21"/>
  <c r="AL225" i="21"/>
  <c r="BP229" i="21"/>
  <c r="BT231" i="21"/>
  <c r="U227" i="21"/>
  <c r="BV61" i="21"/>
  <c r="BY100" i="21"/>
  <c r="BY193" i="21"/>
  <c r="BW100" i="21"/>
  <c r="BW155" i="21"/>
  <c r="BW213" i="21"/>
  <c r="S169" i="21"/>
  <c r="U75" i="21"/>
  <c r="U172" i="21"/>
  <c r="U231" i="21"/>
  <c r="BV100" i="21"/>
  <c r="S227" i="21"/>
  <c r="U100" i="21"/>
  <c r="BV168" i="21"/>
  <c r="BX100" i="21"/>
  <c r="BX155" i="21"/>
  <c r="BX213" i="21"/>
  <c r="BV75" i="21"/>
  <c r="BV172" i="21"/>
  <c r="M180" i="21"/>
  <c r="M239" i="21"/>
  <c r="AX83" i="21"/>
  <c r="AX180" i="21"/>
  <c r="AX239" i="21"/>
  <c r="W180" i="21"/>
  <c r="W239" i="21"/>
  <c r="F83" i="21"/>
  <c r="F180" i="21"/>
  <c r="F239" i="21"/>
  <c r="AZ177" i="21"/>
  <c r="AZ236" i="21"/>
  <c r="BB80" i="21"/>
  <c r="BD103" i="21"/>
  <c r="AN177" i="21"/>
  <c r="AN236" i="21"/>
  <c r="AP103" i="21"/>
  <c r="AO103" i="21"/>
  <c r="J80" i="21"/>
  <c r="AN173" i="21"/>
  <c r="AN232" i="21"/>
  <c r="J76" i="21"/>
  <c r="AN79" i="21"/>
  <c r="AN82" i="21"/>
  <c r="AN179" i="21"/>
  <c r="AN238" i="21"/>
  <c r="AW79" i="21"/>
  <c r="AW82" i="21"/>
  <c r="AW172" i="21"/>
  <c r="X63" i="21"/>
  <c r="X64" i="21"/>
  <c r="AZ101" i="21"/>
  <c r="AZ146" i="21"/>
  <c r="AZ202" i="21"/>
  <c r="BA101" i="21"/>
  <c r="BA146" i="21"/>
  <c r="BA202" i="21"/>
  <c r="AX175" i="21"/>
  <c r="AX234" i="21"/>
  <c r="AX101" i="21"/>
  <c r="AX146" i="21"/>
  <c r="AX202" i="21"/>
  <c r="AY101" i="21"/>
  <c r="BC158" i="21"/>
  <c r="BC216" i="21"/>
  <c r="BC46" i="21"/>
  <c r="BC255" i="21"/>
  <c r="AD19" i="21"/>
  <c r="G20" i="21"/>
  <c r="G28" i="21"/>
  <c r="G47" i="21"/>
  <c r="G44" i="21"/>
  <c r="G98" i="21"/>
  <c r="G52" i="21"/>
  <c r="G54" i="21"/>
  <c r="H55" i="21"/>
  <c r="E97" i="21"/>
  <c r="E49" i="21"/>
  <c r="E166" i="21"/>
  <c r="F11" i="21"/>
  <c r="BG182" i="21"/>
  <c r="BG241" i="21"/>
  <c r="BH172" i="21"/>
  <c r="BH79" i="21"/>
  <c r="BH82" i="21"/>
  <c r="Q146" i="21"/>
  <c r="Q202" i="21"/>
  <c r="Q193" i="21"/>
  <c r="Q259" i="21"/>
  <c r="Q268" i="21"/>
  <c r="Q145" i="21"/>
  <c r="Q201" i="21"/>
  <c r="BB146" i="21"/>
  <c r="BB202" i="21"/>
  <c r="BB193" i="21"/>
  <c r="BN19" i="21"/>
  <c r="BN28" i="21"/>
  <c r="BP97" i="21"/>
  <c r="Q167" i="21"/>
  <c r="P170" i="21"/>
  <c r="AB155" i="21"/>
  <c r="AB193" i="21"/>
  <c r="BX87" i="21"/>
  <c r="BA231" i="21"/>
  <c r="BW146" i="21"/>
  <c r="BW202" i="21"/>
  <c r="CC52" i="21"/>
  <c r="CC54" i="21"/>
  <c r="CC56" i="21"/>
  <c r="BR19" i="21"/>
  <c r="BR20" i="21"/>
  <c r="AC47" i="21"/>
  <c r="AJ181" i="21"/>
  <c r="AJ240" i="21"/>
  <c r="I84" i="21"/>
  <c r="I181" i="21"/>
  <c r="I240" i="21"/>
  <c r="AZ82" i="21"/>
  <c r="AS146" i="21"/>
  <c r="AS202" i="21"/>
  <c r="BM193" i="21"/>
  <c r="M20" i="21"/>
  <c r="AJ167" i="21"/>
  <c r="D143" i="21"/>
  <c r="D199" i="21"/>
  <c r="D130" i="21"/>
  <c r="D142" i="21"/>
  <c r="D198" i="21"/>
  <c r="BS28" i="21"/>
  <c r="BS47" i="21"/>
  <c r="BS20" i="21"/>
  <c r="J35" i="21"/>
  <c r="J102" i="21"/>
  <c r="CD11" i="21"/>
  <c r="BA97" i="21"/>
  <c r="BA114" i="21"/>
  <c r="AV234" i="21"/>
  <c r="AC227" i="21"/>
  <c r="AC228" i="21"/>
  <c r="AX225" i="21"/>
  <c r="M98" i="21"/>
  <c r="M44" i="21"/>
  <c r="AV227" i="21"/>
  <c r="AF167" i="21"/>
  <c r="AQ227" i="21"/>
  <c r="D140" i="21"/>
  <c r="D196" i="21"/>
  <c r="K83" i="21"/>
  <c r="K180" i="21"/>
  <c r="K239" i="21"/>
  <c r="BJ80" i="21"/>
  <c r="BK103" i="21"/>
  <c r="L19" i="21"/>
  <c r="L20" i="21"/>
  <c r="L97" i="21"/>
  <c r="L114" i="21" s="1"/>
  <c r="L154" i="21"/>
  <c r="I193" i="21"/>
  <c r="I259" i="21"/>
  <c r="AD182" i="21"/>
  <c r="AD241" i="21"/>
  <c r="AE128" i="21"/>
  <c r="AE46" i="21"/>
  <c r="AE122" i="21"/>
  <c r="AE124" i="21"/>
  <c r="AE48" i="21" s="1"/>
  <c r="AE190" i="21"/>
  <c r="AE249" i="21"/>
  <c r="AD155" i="21"/>
  <c r="AD213" i="21"/>
  <c r="AR19" i="21"/>
  <c r="AR44" i="21"/>
  <c r="AR166" i="21"/>
  <c r="AR61" i="21"/>
  <c r="BQ101" i="21"/>
  <c r="BP101" i="21"/>
  <c r="BR233" i="21"/>
  <c r="AZ169" i="21"/>
  <c r="AG169" i="21"/>
  <c r="AW64" i="21"/>
  <c r="AW63" i="21"/>
  <c r="Z168" i="21"/>
  <c r="AA100" i="21"/>
  <c r="AA140" i="21"/>
  <c r="AA196" i="21"/>
  <c r="X58" i="21"/>
  <c r="X56" i="21"/>
  <c r="AW20" i="21"/>
  <c r="BB81" i="21"/>
  <c r="BB178" i="21"/>
  <c r="BB237" i="21"/>
  <c r="AG227" i="21"/>
  <c r="AX113" i="21"/>
  <c r="R173" i="21"/>
  <c r="R232" i="21"/>
  <c r="BR76" i="21"/>
  <c r="AP75" i="21"/>
  <c r="AP70" i="21"/>
  <c r="AT71" i="21"/>
  <c r="AP168" i="21"/>
  <c r="AP227" i="21"/>
  <c r="AP100" i="21"/>
  <c r="AP145" i="21"/>
  <c r="AP201" i="21"/>
  <c r="BE233" i="21"/>
  <c r="BN29" i="21"/>
  <c r="BN39" i="21"/>
  <c r="S244" i="21"/>
  <c r="S241" i="21"/>
  <c r="P145" i="21"/>
  <c r="P201" i="21"/>
  <c r="BQ11" i="21"/>
  <c r="U257" i="21"/>
  <c r="BQ240" i="21"/>
  <c r="H76" i="21"/>
  <c r="H79" i="21"/>
  <c r="Z10" i="21"/>
  <c r="AA97" i="21"/>
  <c r="BF39" i="21"/>
  <c r="BG240" i="21"/>
  <c r="BR42" i="21"/>
  <c r="AJ180" i="21"/>
  <c r="AJ239" i="21"/>
  <c r="I83" i="21"/>
  <c r="I180" i="21"/>
  <c r="I239" i="21"/>
  <c r="AS178" i="21"/>
  <c r="AS237" i="21"/>
  <c r="K81" i="21"/>
  <c r="K178" i="21"/>
  <c r="K237" i="21"/>
  <c r="Y173" i="21"/>
  <c r="F76" i="21"/>
  <c r="F79" i="21"/>
  <c r="Y79" i="21"/>
  <c r="Y82" i="21"/>
  <c r="BE158" i="21"/>
  <c r="BE216" i="21"/>
  <c r="BE255" i="21"/>
  <c r="BE46" i="21"/>
  <c r="AG46" i="21"/>
  <c r="D47" i="21"/>
  <c r="BY180" i="21"/>
  <c r="BY239" i="21"/>
  <c r="BS87" i="21"/>
  <c r="BS184" i="21"/>
  <c r="BS243" i="21"/>
  <c r="AJ34" i="21"/>
  <c r="AJ35" i="21"/>
  <c r="AL154" i="21"/>
  <c r="BD231" i="21"/>
  <c r="BT114" i="21"/>
  <c r="BT44" i="21"/>
  <c r="BT28" i="21"/>
  <c r="BT20" i="21"/>
  <c r="BT52" i="21"/>
  <c r="BT54" i="21"/>
  <c r="BX55" i="21"/>
  <c r="AA158" i="21"/>
  <c r="AA255" i="21"/>
  <c r="AA253" i="21"/>
  <c r="Y157" i="21"/>
  <c r="Y215" i="21"/>
  <c r="Y190" i="21"/>
  <c r="Y249" i="21"/>
  <c r="AA48" i="21"/>
  <c r="AA134" i="21"/>
  <c r="AC173" i="21"/>
  <c r="AC232" i="21"/>
  <c r="AC79" i="21"/>
  <c r="AC82" i="21"/>
  <c r="I175" i="21"/>
  <c r="I101" i="21"/>
  <c r="I146" i="21"/>
  <c r="I202" i="21"/>
  <c r="BY172" i="21"/>
  <c r="BY231" i="21"/>
  <c r="X47" i="21"/>
  <c r="X30" i="21"/>
  <c r="X34" i="21"/>
  <c r="AF46" i="21"/>
  <c r="AF158" i="21"/>
  <c r="AF216" i="21"/>
  <c r="AF255" i="21"/>
  <c r="AF253" i="21"/>
  <c r="AA190" i="21"/>
  <c r="AA249" i="21"/>
  <c r="Z140" i="21"/>
  <c r="Z196" i="21"/>
  <c r="Z155" i="21"/>
  <c r="Z213" i="21"/>
  <c r="Z139" i="21"/>
  <c r="Z195" i="21"/>
  <c r="N231" i="21"/>
  <c r="AO139" i="21"/>
  <c r="AO195" i="21"/>
  <c r="AO193" i="21"/>
  <c r="AO155" i="21"/>
  <c r="AO213" i="21"/>
  <c r="AO146" i="21"/>
  <c r="AO202" i="21"/>
  <c r="AO145" i="21"/>
  <c r="AO201" i="21"/>
  <c r="AI56" i="21"/>
  <c r="AI58" i="21"/>
  <c r="F146" i="21"/>
  <c r="F202" i="21"/>
  <c r="M49" i="21"/>
  <c r="BA49" i="21"/>
  <c r="AU227" i="21"/>
  <c r="AU169" i="21"/>
  <c r="AU170" i="21"/>
  <c r="H227" i="21"/>
  <c r="I169" i="21"/>
  <c r="L252" i="21"/>
  <c r="L139" i="21"/>
  <c r="L195" i="21"/>
  <c r="L140" i="21"/>
  <c r="L196" i="21"/>
  <c r="AA227" i="21"/>
  <c r="AA169" i="21"/>
  <c r="AL172" i="21"/>
  <c r="BF155" i="21"/>
  <c r="BF213" i="21"/>
  <c r="BF193" i="21"/>
  <c r="D48" i="21"/>
  <c r="D157" i="21"/>
  <c r="D215" i="21"/>
  <c r="E58" i="21"/>
  <c r="E56" i="21"/>
  <c r="E99" i="21"/>
  <c r="F55" i="21"/>
  <c r="AO231" i="21"/>
  <c r="AO176" i="21"/>
  <c r="AO235" i="21"/>
  <c r="AN228" i="21"/>
  <c r="D46" i="21"/>
  <c r="D255" i="21"/>
  <c r="D253" i="21"/>
  <c r="D262" i="21"/>
  <c r="D158" i="21"/>
  <c r="D216" i="21"/>
  <c r="AS173" i="21"/>
  <c r="AS79" i="21"/>
  <c r="AS82" i="21"/>
  <c r="AS87" i="21"/>
  <c r="AS88" i="21"/>
  <c r="M183" i="21"/>
  <c r="M242" i="21"/>
  <c r="AX86" i="21"/>
  <c r="AX183" i="21"/>
  <c r="AX242" i="21"/>
  <c r="BJ158" i="21"/>
  <c r="BJ216" i="21"/>
  <c r="AL177" i="21"/>
  <c r="AL236" i="21"/>
  <c r="AN103" i="21"/>
  <c r="BK101" i="21"/>
  <c r="BJ175" i="21"/>
  <c r="BJ101" i="21"/>
  <c r="BL101" i="21"/>
  <c r="BL146" i="21"/>
  <c r="BL202" i="21"/>
  <c r="BM101" i="21"/>
  <c r="BM146" i="21"/>
  <c r="BM173" i="21"/>
  <c r="BM232" i="21"/>
  <c r="BM79" i="21"/>
  <c r="BM82" i="21"/>
  <c r="BM179" i="21"/>
  <c r="BM238" i="21"/>
  <c r="AM169" i="21"/>
  <c r="AM227" i="21"/>
  <c r="AM228" i="21"/>
  <c r="AH168" i="21"/>
  <c r="AH227" i="21"/>
  <c r="AH75" i="21"/>
  <c r="AK100" i="21"/>
  <c r="AH100" i="21"/>
  <c r="AI100" i="21"/>
  <c r="AI146" i="21"/>
  <c r="AI202" i="21"/>
  <c r="D146" i="21"/>
  <c r="D202" i="21"/>
  <c r="D155" i="21"/>
  <c r="D213" i="21"/>
  <c r="AO182" i="21"/>
  <c r="AO241" i="21"/>
  <c r="J85" i="21"/>
  <c r="X181" i="21"/>
  <c r="X240" i="21"/>
  <c r="F84" i="21"/>
  <c r="F181" i="21"/>
  <c r="F240" i="21"/>
  <c r="N176" i="21"/>
  <c r="BH169" i="21"/>
  <c r="BL169" i="21"/>
  <c r="BU173" i="21"/>
  <c r="BU232" i="21"/>
  <c r="BV76" i="21"/>
  <c r="BJ29" i="21"/>
  <c r="BG237" i="21"/>
  <c r="BV13" i="9"/>
  <c r="BV21" i="9"/>
  <c r="AP22" i="9"/>
  <c r="BV22" i="9"/>
  <c r="BV12" i="9"/>
  <c r="BV193" i="21"/>
  <c r="BP49" i="21"/>
  <c r="AE134" i="21"/>
  <c r="AD20" i="21"/>
  <c r="AD98" i="21"/>
  <c r="AE98" i="21"/>
  <c r="AF98" i="21"/>
  <c r="AD52" i="21"/>
  <c r="AD54" i="21"/>
  <c r="AD44" i="21"/>
  <c r="AG98" i="21"/>
  <c r="BB177" i="21"/>
  <c r="BB236" i="21"/>
  <c r="L52" i="21"/>
  <c r="L54" i="21"/>
  <c r="L58" i="21"/>
  <c r="BJ177" i="21"/>
  <c r="BJ236" i="21"/>
  <c r="BX88" i="21"/>
  <c r="BX184" i="21"/>
  <c r="BX243" i="21"/>
  <c r="AE158" i="21"/>
  <c r="AE216" i="21"/>
  <c r="AB97" i="21"/>
  <c r="R176" i="21"/>
  <c r="R235" i="21"/>
  <c r="D135" i="21"/>
  <c r="AB213" i="21"/>
  <c r="BH87" i="21"/>
  <c r="BH88" i="21"/>
  <c r="BH93" i="21"/>
  <c r="BH179" i="21"/>
  <c r="BH238" i="21"/>
  <c r="AW231" i="21"/>
  <c r="AW176" i="21"/>
  <c r="AW235" i="21"/>
  <c r="J177" i="21"/>
  <c r="J236" i="21"/>
  <c r="J103" i="21"/>
  <c r="J145" i="21"/>
  <c r="J201" i="21"/>
  <c r="BS30" i="21"/>
  <c r="BS34" i="21"/>
  <c r="BH231" i="21"/>
  <c r="AW87" i="21"/>
  <c r="AW184" i="21"/>
  <c r="AW243" i="21"/>
  <c r="AW179" i="21"/>
  <c r="AW238" i="21"/>
  <c r="Q213" i="21"/>
  <c r="Q214" i="21"/>
  <c r="Q156" i="21"/>
  <c r="E170" i="21"/>
  <c r="AA155" i="21"/>
  <c r="AA213" i="21"/>
  <c r="AA139" i="21"/>
  <c r="AA195" i="21"/>
  <c r="AA193" i="21"/>
  <c r="AA146" i="21"/>
  <c r="AA202" i="21"/>
  <c r="U101" i="21"/>
  <c r="U146" i="21"/>
  <c r="U202" i="21"/>
  <c r="U175" i="21"/>
  <c r="U234" i="21" s="1"/>
  <c r="J182" i="21"/>
  <c r="J241" i="21"/>
  <c r="AK146" i="21"/>
  <c r="AK202" i="21"/>
  <c r="AK143" i="21"/>
  <c r="AK199" i="21"/>
  <c r="BJ234" i="21"/>
  <c r="AS179" i="21"/>
  <c r="AS238" i="21"/>
  <c r="X35" i="21"/>
  <c r="AL212" i="21"/>
  <c r="Y87" i="21"/>
  <c r="Y179" i="21"/>
  <c r="Y238" i="21"/>
  <c r="F173" i="21"/>
  <c r="F232" i="21"/>
  <c r="BJ146" i="21"/>
  <c r="BJ202" i="21"/>
  <c r="BM202" i="21"/>
  <c r="I228" i="21"/>
  <c r="BV173" i="21"/>
  <c r="BV232" i="21"/>
  <c r="AL231" i="21"/>
  <c r="BS88" i="21"/>
  <c r="BS90" i="21"/>
  <c r="BS187" i="21"/>
  <c r="BS246" i="21"/>
  <c r="Y232" i="21"/>
  <c r="AA114" i="21"/>
  <c r="AB49" i="21"/>
  <c r="AK160" i="21"/>
  <c r="BH186" i="21"/>
  <c r="BH245" i="21"/>
  <c r="AB29" i="9"/>
  <c r="AB39" i="9"/>
  <c r="AB41" i="9"/>
  <c r="AB35" i="9"/>
  <c r="P34" i="9"/>
  <c r="P27" i="9"/>
  <c r="K27" i="9"/>
  <c r="K34" i="9"/>
  <c r="R34" i="9"/>
  <c r="W27" i="9"/>
  <c r="W34" i="9"/>
  <c r="S27" i="9"/>
  <c r="S34" i="9"/>
  <c r="Z27" i="9"/>
  <c r="Z34" i="9"/>
  <c r="BP8" i="9"/>
  <c r="BP25" i="9"/>
  <c r="BP27" i="9"/>
  <c r="BP29" i="9"/>
  <c r="N27" i="9"/>
  <c r="N34" i="9"/>
  <c r="AA33" i="9"/>
  <c r="AA25" i="9"/>
  <c r="AA34" i="9"/>
  <c r="AZ25" i="9"/>
  <c r="AZ27" i="9"/>
  <c r="AZ29" i="9"/>
  <c r="U33" i="9"/>
  <c r="U25" i="9"/>
  <c r="U34" i="9"/>
  <c r="AC39" i="9"/>
  <c r="AC41" i="9"/>
  <c r="O35" i="9"/>
  <c r="O29" i="9"/>
  <c r="O39" i="9"/>
  <c r="O41" i="9"/>
  <c r="AC29" i="9"/>
  <c r="AF33" i="9"/>
  <c r="AL34" i="9"/>
  <c r="G33" i="9"/>
  <c r="G25" i="9"/>
  <c r="G34" i="9"/>
  <c r="BV14" i="9"/>
  <c r="BV15" i="9"/>
  <c r="V29" i="9"/>
  <c r="BV17" i="9"/>
  <c r="BV11" i="9"/>
  <c r="AP16" i="9"/>
  <c r="BV16" i="9"/>
  <c r="T169" i="21"/>
  <c r="W35" i="9"/>
  <c r="W29" i="9"/>
  <c r="W39" i="9"/>
  <c r="W41" i="9"/>
  <c r="K29" i="9"/>
  <c r="K39" i="9"/>
  <c r="K41" i="9"/>
  <c r="K35" i="9"/>
  <c r="P39" i="9"/>
  <c r="P41" i="9"/>
  <c r="P35" i="9"/>
  <c r="P29" i="9"/>
  <c r="N29" i="9"/>
  <c r="N35" i="9"/>
  <c r="N39" i="9"/>
  <c r="N41" i="9"/>
  <c r="S39" i="9"/>
  <c r="S41" i="9"/>
  <c r="S29" i="9"/>
  <c r="S35" i="9"/>
  <c r="U27" i="9"/>
  <c r="U29" i="9"/>
  <c r="Z29" i="9"/>
  <c r="Z35" i="9"/>
  <c r="Z39" i="9"/>
  <c r="Z41" i="9"/>
  <c r="U39" i="9"/>
  <c r="U41" i="9"/>
  <c r="BS25" i="9"/>
  <c r="BS27" i="9"/>
  <c r="BS29" i="9"/>
  <c r="BT25" i="9"/>
  <c r="BT27" i="9"/>
  <c r="BT29" i="9"/>
  <c r="BO25" i="9"/>
  <c r="BO27" i="9"/>
  <c r="BO29" i="9"/>
  <c r="BU25" i="9"/>
  <c r="BU27" i="9"/>
  <c r="BU29" i="9"/>
  <c r="AK33" i="9"/>
  <c r="AN25" i="9"/>
  <c r="AL39" i="9"/>
  <c r="AL41" i="9"/>
  <c r="AL35" i="9"/>
  <c r="AL29" i="9"/>
  <c r="X27" i="9"/>
  <c r="X34" i="9"/>
  <c r="J35" i="9"/>
  <c r="J29" i="9"/>
  <c r="J39" i="9"/>
  <c r="J41" i="9"/>
  <c r="H27" i="9"/>
  <c r="H34" i="9"/>
  <c r="C27" i="9"/>
  <c r="C34" i="9"/>
  <c r="E39" i="9"/>
  <c r="E41" i="9"/>
  <c r="E29" i="9"/>
  <c r="E35" i="9"/>
  <c r="Y29" i="9"/>
  <c r="Y39" i="9"/>
  <c r="Y41" i="9"/>
  <c r="Y35" i="9"/>
  <c r="I34" i="9"/>
  <c r="I27" i="9"/>
  <c r="BQ25" i="9"/>
  <c r="BQ27" i="9"/>
  <c r="BQ29" i="9"/>
  <c r="AO35" i="9"/>
  <c r="AO29" i="9"/>
  <c r="AO39" i="9"/>
  <c r="AO41" i="9"/>
  <c r="AK34" i="9"/>
  <c r="AK27" i="9"/>
  <c r="R29" i="9"/>
  <c r="R35" i="9"/>
  <c r="R39" i="9"/>
  <c r="R41" i="9"/>
  <c r="F27" i="9"/>
  <c r="F34" i="9"/>
  <c r="AA27" i="9"/>
  <c r="AG29" i="9"/>
  <c r="AD35" i="9"/>
  <c r="AJ25" i="9"/>
  <c r="AE39" i="9"/>
  <c r="AE41" i="9"/>
  <c r="E34" i="9"/>
  <c r="AG35" i="9"/>
  <c r="AI25" i="9"/>
  <c r="M27" i="9"/>
  <c r="AD39" i="9"/>
  <c r="AD41" i="9"/>
  <c r="H33" i="9"/>
  <c r="D25" i="9"/>
  <c r="L25" i="9"/>
  <c r="AF27" i="9"/>
  <c r="AM27" i="9"/>
  <c r="AH27" i="9"/>
  <c r="Q25" i="9"/>
  <c r="U35" i="9"/>
  <c r="G27" i="9"/>
  <c r="AE35" i="9"/>
  <c r="T25" i="9"/>
  <c r="F33" i="9"/>
  <c r="AN34" i="9"/>
  <c r="AN27" i="9"/>
  <c r="AF29" i="9"/>
  <c r="AF35" i="9"/>
  <c r="AF39" i="9"/>
  <c r="AF41" i="9"/>
  <c r="D34" i="9"/>
  <c r="D27" i="9"/>
  <c r="AJ27" i="9"/>
  <c r="AJ34" i="9"/>
  <c r="I29" i="9"/>
  <c r="I35" i="9"/>
  <c r="I39" i="9"/>
  <c r="I41" i="9"/>
  <c r="X39" i="9"/>
  <c r="X41" i="9"/>
  <c r="X35" i="9"/>
  <c r="X29" i="9"/>
  <c r="Q27" i="9"/>
  <c r="Q34" i="9"/>
  <c r="C39" i="9"/>
  <c r="C41" i="9"/>
  <c r="C29" i="9"/>
  <c r="C35" i="9"/>
  <c r="L34" i="9"/>
  <c r="L27" i="9"/>
  <c r="AH29" i="9"/>
  <c r="AH35" i="9"/>
  <c r="AH39" i="9"/>
  <c r="AH41" i="9"/>
  <c r="M35" i="9"/>
  <c r="M29" i="9"/>
  <c r="M39" i="9"/>
  <c r="M41" i="9"/>
  <c r="AK29" i="9"/>
  <c r="AK35" i="9"/>
  <c r="AK39" i="9"/>
  <c r="AK41" i="9"/>
  <c r="H29" i="9"/>
  <c r="H39" i="9"/>
  <c r="H41" i="9"/>
  <c r="H35" i="9"/>
  <c r="G29" i="9"/>
  <c r="G35" i="9"/>
  <c r="G39" i="9"/>
  <c r="G41" i="9"/>
  <c r="F35" i="9"/>
  <c r="F39" i="9"/>
  <c r="F41" i="9"/>
  <c r="F29" i="9"/>
  <c r="AM35" i="9"/>
  <c r="AM39" i="9"/>
  <c r="AM41" i="9"/>
  <c r="AM29" i="9"/>
  <c r="T34" i="9"/>
  <c r="T27" i="9"/>
  <c r="AI27" i="9"/>
  <c r="AI34" i="9"/>
  <c r="AA29" i="9"/>
  <c r="AA39" i="9"/>
  <c r="AA41" i="9"/>
  <c r="AA35" i="9"/>
  <c r="AN35" i="9"/>
  <c r="AN29" i="9"/>
  <c r="AN39" i="9"/>
  <c r="AN41" i="9"/>
  <c r="AJ35" i="9"/>
  <c r="AJ29" i="9"/>
  <c r="AJ39" i="9"/>
  <c r="AJ41" i="9"/>
  <c r="AI29" i="9"/>
  <c r="AI39" i="9"/>
  <c r="AI41" i="9"/>
  <c r="AI35" i="9"/>
  <c r="T39" i="9"/>
  <c r="T41" i="9"/>
  <c r="T35" i="9"/>
  <c r="T29" i="9"/>
  <c r="Q29" i="9"/>
  <c r="Q39" i="9"/>
  <c r="Q41" i="9"/>
  <c r="Q35" i="9"/>
  <c r="D29" i="9"/>
  <c r="D35" i="9"/>
  <c r="D39" i="9"/>
  <c r="D41" i="9"/>
  <c r="L29" i="9"/>
  <c r="L39" i="9"/>
  <c r="L41" i="9"/>
  <c r="L35" i="9"/>
  <c r="CE30" i="21"/>
  <c r="CE35" i="21"/>
  <c r="CE47" i="21"/>
  <c r="CF35" i="21"/>
  <c r="CF34" i="21"/>
  <c r="AK58" i="21"/>
  <c r="AK56" i="21"/>
  <c r="AJ172" i="21"/>
  <c r="AJ79" i="21"/>
  <c r="AU46" i="21"/>
  <c r="AU255" i="21"/>
  <c r="AU158" i="21"/>
  <c r="AU216" i="21"/>
  <c r="CH97" i="21"/>
  <c r="CH154" i="21"/>
  <c r="CH212" i="21"/>
  <c r="CH61" i="21"/>
  <c r="CH166" i="21"/>
  <c r="CH19" i="21"/>
  <c r="BH184" i="21"/>
  <c r="BH243" i="21"/>
  <c r="BE103" i="21"/>
  <c r="L49" i="21"/>
  <c r="N235" i="21"/>
  <c r="AU229" i="21"/>
  <c r="N213" i="21"/>
  <c r="N214" i="21"/>
  <c r="J79" i="21"/>
  <c r="J82" i="21"/>
  <c r="BA268" i="21"/>
  <c r="AS193" i="21"/>
  <c r="AS155" i="21"/>
  <c r="AS213" i="21"/>
  <c r="AA30" i="21"/>
  <c r="AA35" i="21"/>
  <c r="AA47" i="21"/>
  <c r="BE181" i="21"/>
  <c r="BE240" i="21"/>
  <c r="BF84" i="21"/>
  <c r="BF181" i="21"/>
  <c r="BF240" i="21"/>
  <c r="Y64" i="21"/>
  <c r="Y63" i="21"/>
  <c r="AT75" i="21"/>
  <c r="AT60" i="21"/>
  <c r="AW100" i="21"/>
  <c r="AW146" i="21"/>
  <c r="AW202" i="21"/>
  <c r="AW225" i="21"/>
  <c r="AW167" i="21"/>
  <c r="E61" i="21"/>
  <c r="E20" i="21"/>
  <c r="S46" i="21"/>
  <c r="S158" i="21"/>
  <c r="S216" i="21"/>
  <c r="AP181" i="21"/>
  <c r="AP240" i="21"/>
  <c r="J84" i="21"/>
  <c r="J181" i="21"/>
  <c r="J240" i="21"/>
  <c r="BH90" i="21"/>
  <c r="BH187" i="21"/>
  <c r="BH246" i="21"/>
  <c r="BM103" i="21"/>
  <c r="BM145" i="21"/>
  <c r="BM201" i="21"/>
  <c r="BR44" i="21"/>
  <c r="BL103" i="21"/>
  <c r="BL145" i="21"/>
  <c r="BL201" i="21"/>
  <c r="AP146" i="21"/>
  <c r="AP202" i="21"/>
  <c r="N241" i="21"/>
  <c r="AO48" i="21"/>
  <c r="CC28" i="21"/>
  <c r="BH176" i="21"/>
  <c r="BH235" i="21"/>
  <c r="AU193" i="21"/>
  <c r="BU154" i="21"/>
  <c r="BU212" i="21"/>
  <c r="R167" i="21"/>
  <c r="N236" i="21"/>
  <c r="BD155" i="21"/>
  <c r="BD213" i="21"/>
  <c r="H84" i="21"/>
  <c r="H181" i="21"/>
  <c r="H240" i="21"/>
  <c r="CH177" i="21"/>
  <c r="CH236" i="21"/>
  <c r="AT103" i="21"/>
  <c r="AR177" i="21"/>
  <c r="AR236" i="21"/>
  <c r="D145" i="21"/>
  <c r="D201" i="21"/>
  <c r="AY82" i="21"/>
  <c r="I76" i="21"/>
  <c r="I173" i="21"/>
  <c r="I232" i="21"/>
  <c r="X172" i="21"/>
  <c r="X79" i="21"/>
  <c r="W44" i="21"/>
  <c r="W52" i="21"/>
  <c r="W54" i="21"/>
  <c r="W28" i="21"/>
  <c r="W20" i="21"/>
  <c r="BK169" i="21"/>
  <c r="BL86" i="21"/>
  <c r="BL182" i="21"/>
  <c r="BL241" i="21"/>
  <c r="BN85" i="21"/>
  <c r="BN182" i="21"/>
  <c r="BN241" i="21"/>
  <c r="AR20" i="21"/>
  <c r="BS98" i="21"/>
  <c r="E114" i="21"/>
  <c r="BJ103" i="21"/>
  <c r="BJ145" i="21"/>
  <c r="BJ201" i="21"/>
  <c r="BY155" i="21"/>
  <c r="BY213" i="21"/>
  <c r="BY87" i="21"/>
  <c r="BJ86" i="21"/>
  <c r="BJ183" i="21"/>
  <c r="BJ242" i="21"/>
  <c r="BN30" i="21"/>
  <c r="BN34" i="21"/>
  <c r="BG87" i="21"/>
  <c r="CF56" i="21"/>
  <c r="BD79" i="21"/>
  <c r="BD82" i="21"/>
  <c r="CE44" i="21"/>
  <c r="BK155" i="21"/>
  <c r="L155" i="21"/>
  <c r="L213" i="21"/>
  <c r="L193" i="21"/>
  <c r="L259" i="21"/>
  <c r="L261" i="21"/>
  <c r="K85" i="21"/>
  <c r="K182" i="21"/>
  <c r="K241" i="21"/>
  <c r="AR182" i="21"/>
  <c r="AR241" i="21"/>
  <c r="AU178" i="21"/>
  <c r="AU237" i="21"/>
  <c r="AX81" i="21"/>
  <c r="AX178" i="21"/>
  <c r="AX237" i="21"/>
  <c r="AD103" i="21"/>
  <c r="AB103" i="21"/>
  <c r="AB145" i="21"/>
  <c r="AB201" i="21"/>
  <c r="AT41" i="21"/>
  <c r="AT68" i="21"/>
  <c r="AX69" i="21"/>
  <c r="O155" i="21"/>
  <c r="O145" i="21"/>
  <c r="O201" i="21"/>
  <c r="BJ255" i="21"/>
  <c r="BJ46" i="21"/>
  <c r="BK255" i="21"/>
  <c r="BK158" i="21"/>
  <c r="BK216" i="21"/>
  <c r="BO61" i="21"/>
  <c r="BQ97" i="21"/>
  <c r="BO19" i="21"/>
  <c r="BR98" i="21"/>
  <c r="BO11" i="21"/>
  <c r="BT234" i="21"/>
  <c r="BT176" i="21"/>
  <c r="BT235" i="21"/>
  <c r="AP30" i="9"/>
  <c r="N232" i="21"/>
  <c r="G76" i="21"/>
  <c r="F80" i="21"/>
  <c r="F82" i="21"/>
  <c r="R228" i="21"/>
  <c r="BI167" i="21"/>
  <c r="BE225" i="21"/>
  <c r="CH11" i="21"/>
  <c r="BA52" i="21"/>
  <c r="BA54" i="21"/>
  <c r="BA44" i="21"/>
  <c r="BA20" i="21"/>
  <c r="K228" i="21"/>
  <c r="BB86" i="21"/>
  <c r="BB183" i="21"/>
  <c r="BB242" i="21"/>
  <c r="N183" i="21"/>
  <c r="N242" i="21"/>
  <c r="H83" i="21"/>
  <c r="H180" i="21"/>
  <c r="H239" i="21"/>
  <c r="AE180" i="21"/>
  <c r="AE239" i="21"/>
  <c r="G81" i="21"/>
  <c r="G178" i="21"/>
  <c r="G237" i="21"/>
  <c r="AA178" i="21"/>
  <c r="AA237" i="21"/>
  <c r="AP177" i="21"/>
  <c r="AP236" i="21"/>
  <c r="AS103" i="21"/>
  <c r="AQ103" i="21"/>
  <c r="AQ145" i="21"/>
  <c r="AQ201" i="21"/>
  <c r="AI145" i="21"/>
  <c r="AI201" i="21"/>
  <c r="E252" i="21"/>
  <c r="E139" i="21"/>
  <c r="E195" i="21"/>
  <c r="BR28" i="21"/>
  <c r="AL176" i="21"/>
  <c r="AL235" i="21"/>
  <c r="BR52" i="21"/>
  <c r="BR54" i="21"/>
  <c r="AD176" i="21"/>
  <c r="AD235" i="21"/>
  <c r="AX79" i="21"/>
  <c r="H212" i="21"/>
  <c r="H214" i="21"/>
  <c r="AS167" i="21"/>
  <c r="AI226" i="21"/>
  <c r="BO176" i="21"/>
  <c r="BO235" i="21"/>
  <c r="BO231" i="21"/>
  <c r="AH255" i="21"/>
  <c r="AH46" i="21"/>
  <c r="J169" i="21"/>
  <c r="H127" i="21"/>
  <c r="AH122" i="21"/>
  <c r="AH124" i="21"/>
  <c r="AH143" i="21"/>
  <c r="AK20" i="21"/>
  <c r="AK44" i="21"/>
  <c r="AK28" i="21"/>
  <c r="AB20" i="21"/>
  <c r="AB52" i="21"/>
  <c r="AB54" i="21"/>
  <c r="AE99" i="21"/>
  <c r="BP158" i="21"/>
  <c r="BP216" i="21"/>
  <c r="BP255" i="21"/>
  <c r="R11" i="21"/>
  <c r="R61" i="21"/>
  <c r="R97" i="21"/>
  <c r="R268" i="21"/>
  <c r="U13" i="21"/>
  <c r="U38" i="21"/>
  <c r="BZ38" i="21"/>
  <c r="N225" i="21"/>
  <c r="N226" i="21"/>
  <c r="N234" i="21"/>
  <c r="L28" i="21"/>
  <c r="E154" i="21"/>
  <c r="E212" i="21"/>
  <c r="BK146" i="21"/>
  <c r="BK202" i="21"/>
  <c r="AL79" i="21"/>
  <c r="AL82" i="21"/>
  <c r="AL87" i="21"/>
  <c r="N259" i="21"/>
  <c r="N267" i="21"/>
  <c r="Y176" i="21"/>
  <c r="Y235" i="21"/>
  <c r="AI193" i="21"/>
  <c r="BT58" i="21"/>
  <c r="BU176" i="21"/>
  <c r="BU235" i="21"/>
  <c r="H173" i="21"/>
  <c r="D191" i="21"/>
  <c r="D250" i="21"/>
  <c r="N114" i="21"/>
  <c r="R44" i="21"/>
  <c r="O104" i="21"/>
  <c r="E79" i="21"/>
  <c r="E82" i="21"/>
  <c r="E87" i="21"/>
  <c r="BF76" i="21"/>
  <c r="Z103" i="21"/>
  <c r="AM122" i="21"/>
  <c r="AM124" i="21"/>
  <c r="AK79" i="21"/>
  <c r="AK82" i="21"/>
  <c r="F71" i="21"/>
  <c r="E72" i="21"/>
  <c r="AU69" i="21"/>
  <c r="AQ69" i="21"/>
  <c r="G69" i="21"/>
  <c r="AJ64" i="21"/>
  <c r="AJ63" i="21"/>
  <c r="BD101" i="21"/>
  <c r="BD145" i="21"/>
  <c r="BD201" i="21"/>
  <c r="BC101" i="21"/>
  <c r="BE101" i="21"/>
  <c r="AW46" i="21"/>
  <c r="AW158" i="21"/>
  <c r="AW216" i="21"/>
  <c r="AW255" i="21"/>
  <c r="D139" i="21"/>
  <c r="D195" i="21"/>
  <c r="P255" i="21"/>
  <c r="P158" i="21"/>
  <c r="P216" i="21"/>
  <c r="P46" i="21"/>
  <c r="BV20" i="9"/>
  <c r="BV19" i="9"/>
  <c r="N237" i="21"/>
  <c r="BB79" i="21"/>
  <c r="AN130" i="21"/>
  <c r="AN135" i="21"/>
  <c r="CH82" i="21"/>
  <c r="BA30" i="21"/>
  <c r="BA47" i="21"/>
  <c r="D179" i="21"/>
  <c r="D238" i="21"/>
  <c r="D104" i="21"/>
  <c r="D148" i="21"/>
  <c r="D204" i="21"/>
  <c r="AQ146" i="21"/>
  <c r="AQ202" i="21"/>
  <c r="AQ193" i="21"/>
  <c r="AQ155" i="21"/>
  <c r="AZ255" i="21"/>
  <c r="BC169" i="21"/>
  <c r="BC227" i="21"/>
  <c r="BC228" i="21"/>
  <c r="AR227" i="21"/>
  <c r="AV228" i="21"/>
  <c r="AR169" i="21"/>
  <c r="AE79" i="21"/>
  <c r="AE82" i="21"/>
  <c r="AE173" i="21"/>
  <c r="W173" i="21"/>
  <c r="W79" i="21"/>
  <c r="W82" i="21"/>
  <c r="AQ63" i="21"/>
  <c r="AQ64" i="21"/>
  <c r="AI128" i="21"/>
  <c r="AI122" i="21"/>
  <c r="M122" i="21"/>
  <c r="AX122" i="21"/>
  <c r="AX117" i="21"/>
  <c r="AY117" i="21"/>
  <c r="BU181" i="21"/>
  <c r="BU240" i="21"/>
  <c r="BU86" i="21"/>
  <c r="BV84" i="21"/>
  <c r="BV181" i="21"/>
  <c r="BV240" i="21"/>
  <c r="BB128" i="21"/>
  <c r="BQ79" i="21"/>
  <c r="BQ82" i="21"/>
  <c r="K76" i="21"/>
  <c r="AT40" i="21"/>
  <c r="M145" i="21"/>
  <c r="M201" i="21"/>
  <c r="R87" i="21"/>
  <c r="R184" i="21"/>
  <c r="R243" i="21"/>
  <c r="BP176" i="21"/>
  <c r="BP235" i="21"/>
  <c r="AS170" i="21"/>
  <c r="D177" i="21"/>
  <c r="D236" i="21"/>
  <c r="D267" i="21"/>
  <c r="AQ82" i="21"/>
  <c r="AQ179" i="21"/>
  <c r="AQ238" i="21"/>
  <c r="AF103" i="21"/>
  <c r="BK46" i="21"/>
  <c r="BL233" i="21"/>
  <c r="BM244" i="21"/>
  <c r="BQ233" i="21"/>
  <c r="BG101" i="21"/>
  <c r="K84" i="21"/>
  <c r="K181" i="21"/>
  <c r="K240" i="21"/>
  <c r="BR234" i="21"/>
  <c r="AC124" i="21"/>
  <c r="AS229" i="21"/>
  <c r="BF233" i="21"/>
  <c r="BG176" i="21"/>
  <c r="BG235" i="21"/>
  <c r="BZ101" i="21"/>
  <c r="BZ146" i="21" s="1"/>
  <c r="BZ202" i="21" s="1"/>
  <c r="AG253" i="21"/>
  <c r="AY173" i="21"/>
  <c r="AY232" i="21"/>
  <c r="AN71" i="21"/>
  <c r="H128" i="21"/>
  <c r="AD28" i="21"/>
  <c r="AX43" i="21"/>
  <c r="AX41" i="21"/>
  <c r="BF244" i="21"/>
  <c r="BI79" i="21"/>
  <c r="BP241" i="21"/>
  <c r="BQ239" i="21"/>
  <c r="BV80" i="21"/>
  <c r="S233" i="21"/>
  <c r="N167" i="21"/>
  <c r="AN97" i="21"/>
  <c r="AN49" i="21"/>
  <c r="BE237" i="21"/>
  <c r="AL103" i="21"/>
  <c r="AX128" i="21"/>
  <c r="BJ42" i="21"/>
  <c r="BN42" i="21"/>
  <c r="BV26" i="9"/>
  <c r="BV23" i="9"/>
  <c r="BV18" i="9"/>
  <c r="BV28" i="9"/>
  <c r="AS176" i="21"/>
  <c r="AS235" i="21"/>
  <c r="AS232" i="21"/>
  <c r="AR259" i="21"/>
  <c r="AR268" i="21"/>
  <c r="S87" i="21"/>
  <c r="S104" i="21"/>
  <c r="S179" i="21"/>
  <c r="S238" i="21"/>
  <c r="AC87" i="21"/>
  <c r="AC179" i="21"/>
  <c r="AC238" i="21"/>
  <c r="BY184" i="21"/>
  <c r="BY243" i="21"/>
  <c r="BY88" i="21"/>
  <c r="BY93" i="21"/>
  <c r="AA49" i="21"/>
  <c r="AA154" i="21"/>
  <c r="AQ259" i="21"/>
  <c r="BK30" i="21"/>
  <c r="BK47" i="21"/>
  <c r="AS93" i="21"/>
  <c r="AS186" i="21"/>
  <c r="AS245" i="21"/>
  <c r="AS90" i="21"/>
  <c r="AS187" i="21"/>
  <c r="AS246" i="21"/>
  <c r="AK255" i="21"/>
  <c r="AK253" i="21"/>
  <c r="AK158" i="21"/>
  <c r="AK216" i="21"/>
  <c r="AK140" i="21"/>
  <c r="AK196" i="21"/>
  <c r="AK46" i="21"/>
  <c r="AQ139" i="21"/>
  <c r="AQ195" i="21"/>
  <c r="AQ252" i="21"/>
  <c r="AQ253" i="21"/>
  <c r="AQ140" i="21"/>
  <c r="AQ196" i="21"/>
  <c r="I79" i="21"/>
  <c r="AZ259" i="21"/>
  <c r="AR170" i="21"/>
  <c r="AR225" i="21"/>
  <c r="BJ85" i="21"/>
  <c r="BJ182" i="21"/>
  <c r="BJ241" i="21"/>
  <c r="BS114" i="21"/>
  <c r="F177" i="21"/>
  <c r="F236" i="21"/>
  <c r="F103" i="21"/>
  <c r="F145" i="21"/>
  <c r="F201" i="21"/>
  <c r="CH179" i="21"/>
  <c r="CH104" i="21"/>
  <c r="D149" i="21"/>
  <c r="D205" i="21"/>
  <c r="BJ176" i="21"/>
  <c r="BJ235" i="21"/>
  <c r="AO157" i="21"/>
  <c r="AO215" i="21"/>
  <c r="AO218" i="21" s="1"/>
  <c r="CH87" i="21"/>
  <c r="AZ179" i="21"/>
  <c r="AZ238" i="21"/>
  <c r="AZ87" i="21"/>
  <c r="BR167" i="21"/>
  <c r="AC139" i="21"/>
  <c r="AC195" i="21"/>
  <c r="H85" i="21"/>
  <c r="H182" i="21"/>
  <c r="H241" i="21"/>
  <c r="BZ43" i="21"/>
  <c r="U18" i="21"/>
  <c r="U43" i="21" s="1"/>
  <c r="AC97" i="21"/>
  <c r="AC114" i="21"/>
  <c r="Z97" i="21"/>
  <c r="Z49" i="21"/>
  <c r="BP114" i="21"/>
  <c r="BP154" i="21"/>
  <c r="BP212" i="21"/>
  <c r="AN176" i="21"/>
  <c r="AN235" i="21"/>
  <c r="BL170" i="21"/>
  <c r="BL225" i="21"/>
  <c r="BT225" i="21"/>
  <c r="BX167" i="21"/>
  <c r="AS184" i="21"/>
  <c r="AS243" i="21"/>
  <c r="AW88" i="21"/>
  <c r="Y159" i="21"/>
  <c r="Y217" i="21"/>
  <c r="BM176" i="21"/>
  <c r="BM235" i="21"/>
  <c r="AC35" i="21"/>
  <c r="BT98" i="21"/>
  <c r="AP155" i="21"/>
  <c r="AP213" i="21"/>
  <c r="BR158" i="21"/>
  <c r="BR216" i="21"/>
  <c r="P259" i="21"/>
  <c r="BQ28" i="21"/>
  <c r="BQ20" i="21"/>
  <c r="BQ52" i="21"/>
  <c r="BQ54" i="21"/>
  <c r="BN97" i="21"/>
  <c r="BN154" i="21"/>
  <c r="BN212" i="21"/>
  <c r="BR11" i="21"/>
  <c r="BO97" i="21"/>
  <c r="AO167" i="21"/>
  <c r="AO225" i="21"/>
  <c r="AE45" i="21"/>
  <c r="AE157" i="21"/>
  <c r="AE159" i="21"/>
  <c r="AE217" i="21"/>
  <c r="W255" i="21"/>
  <c r="W253" i="21"/>
  <c r="W130" i="21"/>
  <c r="W158" i="21"/>
  <c r="W216" i="21"/>
  <c r="AP193" i="21"/>
  <c r="BW87" i="21"/>
  <c r="BR255" i="21"/>
  <c r="AA34" i="21"/>
  <c r="AH157" i="21"/>
  <c r="AH134" i="21"/>
  <c r="AE227" i="21"/>
  <c r="AE228" i="21"/>
  <c r="AI169" i="21"/>
  <c r="AE170" i="21"/>
  <c r="N169" i="21"/>
  <c r="N170" i="21"/>
  <c r="F227" i="21"/>
  <c r="G169" i="21"/>
  <c r="M231" i="21"/>
  <c r="M176" i="21"/>
  <c r="M235" i="21"/>
  <c r="AY71" i="21"/>
  <c r="AU72" i="21"/>
  <c r="M255" i="21"/>
  <c r="M46" i="21"/>
  <c r="M158" i="21"/>
  <c r="M216" i="21"/>
  <c r="AX29" i="21"/>
  <c r="AW47" i="21"/>
  <c r="Z46" i="21"/>
  <c r="AA46" i="21"/>
  <c r="BA225" i="21"/>
  <c r="BA226" i="21"/>
  <c r="BA170" i="21"/>
  <c r="AH64" i="21"/>
  <c r="AL8" i="21"/>
  <c r="AH8" i="21"/>
  <c r="AH68" i="21"/>
  <c r="AH72" i="21"/>
  <c r="AH10" i="21"/>
  <c r="BK172" i="21"/>
  <c r="BK231" i="21"/>
  <c r="BK79" i="21"/>
  <c r="BK82" i="21"/>
  <c r="BO227" i="21"/>
  <c r="BO228" i="21"/>
  <c r="BO169" i="21"/>
  <c r="BS169" i="21"/>
  <c r="BU227" i="21"/>
  <c r="BU228" i="21"/>
  <c r="BU169" i="21"/>
  <c r="S97" i="21"/>
  <c r="S19" i="21"/>
  <c r="S61" i="21"/>
  <c r="S166" i="21"/>
  <c r="S11" i="21"/>
  <c r="BV40" i="21"/>
  <c r="BV42" i="21"/>
  <c r="BV81" i="21"/>
  <c r="BV178" i="21"/>
  <c r="BV237" i="21"/>
  <c r="S178" i="21"/>
  <c r="S237" i="21"/>
  <c r="BX146" i="21"/>
  <c r="BX202" i="21"/>
  <c r="BX193" i="21"/>
  <c r="R179" i="21"/>
  <c r="R238" i="21"/>
  <c r="R104" i="21"/>
  <c r="Q49" i="21"/>
  <c r="Q173" i="21"/>
  <c r="Q79" i="21"/>
  <c r="Q82" i="21"/>
  <c r="AD56" i="21"/>
  <c r="AI155" i="21"/>
  <c r="AI213" i="21"/>
  <c r="AP259" i="21"/>
  <c r="AP268" i="21"/>
  <c r="N268" i="21"/>
  <c r="AN87" i="21"/>
  <c r="AX176" i="21"/>
  <c r="AX235" i="21"/>
  <c r="AR52" i="21"/>
  <c r="AR54" i="21"/>
  <c r="AZ228" i="21"/>
  <c r="Z166" i="21"/>
  <c r="Z225" i="21"/>
  <c r="AQ87" i="21"/>
  <c r="BO87" i="21"/>
  <c r="AA145" i="21"/>
  <c r="AA201" i="21"/>
  <c r="AA143" i="21"/>
  <c r="AA199" i="21"/>
  <c r="AN191" i="21"/>
  <c r="AN250" i="21"/>
  <c r="AN271" i="21"/>
  <c r="BQ44" i="21"/>
  <c r="AN157" i="21"/>
  <c r="AN215" i="21"/>
  <c r="AN134" i="21"/>
  <c r="AN48" i="21"/>
  <c r="AJ72" i="21"/>
  <c r="AV182" i="21"/>
  <c r="AV241" i="21"/>
  <c r="AX85" i="21"/>
  <c r="AX182" i="21"/>
  <c r="AX241" i="21"/>
  <c r="H80" i="21"/>
  <c r="H82" i="21"/>
  <c r="AH177" i="21"/>
  <c r="AH236" i="21"/>
  <c r="AJ103" i="21"/>
  <c r="AJ145" i="21"/>
  <c r="AJ201" i="21"/>
  <c r="AH103" i="21"/>
  <c r="AK103" i="21"/>
  <c r="AR46" i="21"/>
  <c r="AR158" i="21"/>
  <c r="AR216" i="21"/>
  <c r="BM181" i="21"/>
  <c r="BM240" i="21"/>
  <c r="BN84" i="21"/>
  <c r="BN181" i="21"/>
  <c r="BN240" i="21"/>
  <c r="BK44" i="21"/>
  <c r="BK52" i="21"/>
  <c r="BK54" i="21"/>
  <c r="AZ176" i="21"/>
  <c r="AZ235" i="21"/>
  <c r="AQ176" i="21"/>
  <c r="AQ235" i="21"/>
  <c r="AC176" i="21"/>
  <c r="AC235" i="21"/>
  <c r="AQ228" i="21"/>
  <c r="BN52" i="21"/>
  <c r="BN54" i="21"/>
  <c r="BN20" i="21"/>
  <c r="BK20" i="21"/>
  <c r="AW34" i="21"/>
  <c r="AW35" i="21"/>
  <c r="AH139" i="21"/>
  <c r="AH195" i="21"/>
  <c r="Z61" i="21"/>
  <c r="AY259" i="21"/>
  <c r="AY268" i="21"/>
  <c r="BE167" i="21"/>
  <c r="BJ79" i="21"/>
  <c r="AM69" i="21"/>
  <c r="AY119" i="21"/>
  <c r="M267" i="21"/>
  <c r="AF54" i="21"/>
  <c r="AH52" i="21"/>
  <c r="AH54" i="21"/>
  <c r="AR117" i="21"/>
  <c r="AQ122" i="21"/>
  <c r="AQ124" i="21"/>
  <c r="Q52" i="21"/>
  <c r="Q54" i="21"/>
  <c r="Q99" i="21"/>
  <c r="Q20" i="21"/>
  <c r="Q28" i="21"/>
  <c r="Q44" i="21"/>
  <c r="BE170" i="21"/>
  <c r="BR225" i="21"/>
  <c r="BR226" i="21"/>
  <c r="R98" i="21"/>
  <c r="R225" i="21"/>
  <c r="BK170" i="21"/>
  <c r="BP87" i="21"/>
  <c r="AB225" i="21"/>
  <c r="AB170" i="21"/>
  <c r="F158" i="21"/>
  <c r="F216" i="21"/>
  <c r="F255" i="21"/>
  <c r="AX61" i="21"/>
  <c r="AX19" i="21"/>
  <c r="AX44" i="21"/>
  <c r="BA173" i="21"/>
  <c r="BA79" i="21"/>
  <c r="BA82" i="21"/>
  <c r="AN64" i="21"/>
  <c r="AN63" i="21"/>
  <c r="L124" i="21"/>
  <c r="BM166" i="21"/>
  <c r="BM19" i="21"/>
  <c r="BW255" i="21"/>
  <c r="BW158" i="21"/>
  <c r="BW216" i="21"/>
  <c r="BW46" i="21"/>
  <c r="BA154" i="21"/>
  <c r="AL49" i="21"/>
  <c r="N156" i="21"/>
  <c r="AF30" i="21"/>
  <c r="AF35" i="21"/>
  <c r="R28" i="21"/>
  <c r="R47" i="21"/>
  <c r="BS228" i="21"/>
  <c r="Y130" i="21"/>
  <c r="Y135" i="21"/>
  <c r="M268" i="21"/>
  <c r="BJ155" i="21"/>
  <c r="BJ213" i="21"/>
  <c r="BE242" i="21"/>
  <c r="BU82" i="21"/>
  <c r="BU179" i="21"/>
  <c r="BU238" i="21"/>
  <c r="L69" i="21"/>
  <c r="J69" i="21"/>
  <c r="BB8" i="21"/>
  <c r="BB10" i="21"/>
  <c r="BB39" i="21"/>
  <c r="BB42" i="21"/>
  <c r="AR155" i="21"/>
  <c r="AR213" i="21"/>
  <c r="AR146" i="21"/>
  <c r="AR202" i="21"/>
  <c r="AH130" i="21"/>
  <c r="J86" i="21"/>
  <c r="J183" i="21"/>
  <c r="J242" i="21"/>
  <c r="AP183" i="21"/>
  <c r="AP242" i="21"/>
  <c r="BF9" i="21"/>
  <c r="BF10" i="21"/>
  <c r="BD10" i="21"/>
  <c r="BF97" i="21" s="1"/>
  <c r="BF154" i="21" s="1"/>
  <c r="AZ155" i="21"/>
  <c r="AZ213" i="21"/>
  <c r="Q229" i="21"/>
  <c r="BT167" i="21"/>
  <c r="I214" i="21"/>
  <c r="H122" i="21"/>
  <c r="CE20" i="21"/>
  <c r="CE52" i="21"/>
  <c r="CE54" i="21"/>
  <c r="BE231" i="21"/>
  <c r="AH48" i="21"/>
  <c r="BH10" i="21"/>
  <c r="BJ9" i="21"/>
  <c r="BJ10" i="21"/>
  <c r="BM97" i="21"/>
  <c r="AR228" i="21"/>
  <c r="M28" i="21"/>
  <c r="M52" i="21"/>
  <c r="M54" i="21"/>
  <c r="AY181" i="21"/>
  <c r="AY240" i="21"/>
  <c r="BB84" i="21"/>
  <c r="BB181" i="21"/>
  <c r="BB240" i="21"/>
  <c r="AD177" i="21"/>
  <c r="AD236" i="21"/>
  <c r="AG103" i="21"/>
  <c r="BA167" i="21"/>
  <c r="AK130" i="21"/>
  <c r="F58" i="21"/>
  <c r="F99" i="21"/>
  <c r="F56" i="21"/>
  <c r="BE227" i="21"/>
  <c r="BI228" i="21" s="1"/>
  <c r="BE229" i="21"/>
  <c r="BE239" i="21"/>
  <c r="Z253" i="21"/>
  <c r="AS145" i="21"/>
  <c r="AS201" i="21"/>
  <c r="AW170" i="21"/>
  <c r="E169" i="21"/>
  <c r="BB85" i="21"/>
  <c r="BB182" i="21"/>
  <c r="BB241" i="21"/>
  <c r="AT63" i="21"/>
  <c r="J113" i="21"/>
  <c r="O207" i="21"/>
  <c r="O239" i="21" s="1"/>
  <c r="O238" i="21"/>
  <c r="BI82" i="21"/>
  <c r="P146" i="21"/>
  <c r="P202" i="21"/>
  <c r="BJ233" i="21"/>
  <c r="BM237" i="21"/>
  <c r="BZ39" i="21"/>
  <c r="U89" i="21"/>
  <c r="U185" i="21" s="1"/>
  <c r="U244" i="21" s="1"/>
  <c r="K169" i="21"/>
  <c r="BM241" i="21"/>
  <c r="E103" i="21"/>
  <c r="E145" i="21"/>
  <c r="E201" i="21"/>
  <c r="N79" i="21"/>
  <c r="N82" i="21"/>
  <c r="H72" i="21"/>
  <c r="K128" i="21"/>
  <c r="E28" i="21"/>
  <c r="E30" i="21"/>
  <c r="BF128" i="21"/>
  <c r="BF46" i="21"/>
  <c r="BG255" i="21"/>
  <c r="BH233" i="21"/>
  <c r="BH241" i="21"/>
  <c r="BV38" i="21"/>
  <c r="T19" i="21"/>
  <c r="T240" i="21"/>
  <c r="AY169" i="21"/>
  <c r="AE169" i="21"/>
  <c r="O169" i="21"/>
  <c r="BP46" i="21"/>
  <c r="I119" i="21"/>
  <c r="BE79" i="21"/>
  <c r="BE82" i="21"/>
  <c r="BN38" i="21"/>
  <c r="BR39" i="21"/>
  <c r="T239" i="21"/>
  <c r="BZ175" i="21"/>
  <c r="BZ234" i="21"/>
  <c r="BE241" i="21"/>
  <c r="BE232" i="21"/>
  <c r="BD228" i="21"/>
  <c r="J146" i="21"/>
  <c r="J202" i="21"/>
  <c r="AX63" i="21"/>
  <c r="BB29" i="21"/>
  <c r="AN45" i="21"/>
  <c r="BV85" i="21"/>
  <c r="BV182" i="21"/>
  <c r="BV241" i="21"/>
  <c r="BZ40" i="21"/>
  <c r="BE244" i="21"/>
  <c r="N244" i="21"/>
  <c r="AI79" i="21"/>
  <c r="AI82" i="21"/>
  <c r="BG242" i="21"/>
  <c r="P176" i="21"/>
  <c r="P235" i="21"/>
  <c r="BJ40" i="21"/>
  <c r="BM239" i="21"/>
  <c r="T173" i="21"/>
  <c r="T232" i="21"/>
  <c r="BZ86" i="21"/>
  <c r="BZ183" i="21"/>
  <c r="BZ242" i="21" s="1"/>
  <c r="BF29" i="21"/>
  <c r="BI237" i="21"/>
  <c r="BN61" i="21"/>
  <c r="Q267" i="21"/>
  <c r="AT64" i="21"/>
  <c r="G30" i="21"/>
  <c r="G102" i="21"/>
  <c r="D102" i="21"/>
  <c r="AS63" i="21"/>
  <c r="AM63" i="21"/>
  <c r="D34" i="21"/>
  <c r="AD63" i="21"/>
  <c r="L64" i="21"/>
  <c r="AE64" i="21"/>
  <c r="AD30" i="21"/>
  <c r="AD34" i="21"/>
  <c r="AD47" i="21"/>
  <c r="AK64" i="21"/>
  <c r="AR64" i="21"/>
  <c r="AC64" i="21"/>
  <c r="F28" i="21"/>
  <c r="BX93" i="21"/>
  <c r="BX186" i="21"/>
  <c r="BX245" i="21"/>
  <c r="BS93" i="21"/>
  <c r="BX90" i="21"/>
  <c r="BX187" i="21"/>
  <c r="BX246" i="21"/>
  <c r="BM87" i="21"/>
  <c r="BM88" i="21"/>
  <c r="BM90" i="21"/>
  <c r="BM187" i="21"/>
  <c r="BM246" i="21"/>
  <c r="D271" i="21"/>
  <c r="D264" i="21"/>
  <c r="BK56" i="21"/>
  <c r="BK58" i="21"/>
  <c r="P231" i="21"/>
  <c r="P213" i="21"/>
  <c r="P241" i="21"/>
  <c r="P227" i="21"/>
  <c r="P244" i="21"/>
  <c r="P234" i="21"/>
  <c r="P236" i="21"/>
  <c r="P232" i="21"/>
  <c r="P237" i="21"/>
  <c r="P240" i="21"/>
  <c r="P242" i="21"/>
  <c r="P239" i="21"/>
  <c r="P225" i="21"/>
  <c r="Q226" i="21"/>
  <c r="Q58" i="21"/>
  <c r="I225" i="21"/>
  <c r="I226" i="21"/>
  <c r="J167" i="21"/>
  <c r="I170" i="21"/>
  <c r="BS186" i="21"/>
  <c r="BS245" i="21"/>
  <c r="BY186" i="21"/>
  <c r="BY245" i="21"/>
  <c r="H229" i="21"/>
  <c r="BN56" i="21"/>
  <c r="BN58" i="21"/>
  <c r="L56" i="21"/>
  <c r="AI140" i="21"/>
  <c r="AI196" i="21"/>
  <c r="AI139" i="21"/>
  <c r="AI195" i="21"/>
  <c r="D160" i="21"/>
  <c r="D159" i="21"/>
  <c r="AX229" i="21"/>
  <c r="BE58" i="21"/>
  <c r="BE56" i="21"/>
  <c r="BE28" i="21"/>
  <c r="BE20" i="21"/>
  <c r="BE44" i="21"/>
  <c r="D218" i="21"/>
  <c r="AK193" i="21"/>
  <c r="AK145" i="21"/>
  <c r="AK201" i="21"/>
  <c r="AK155" i="21"/>
  <c r="AK142" i="21"/>
  <c r="AK139" i="21"/>
  <c r="AK195" i="21"/>
  <c r="BV231" i="21"/>
  <c r="BV176" i="21"/>
  <c r="BV235" i="21"/>
  <c r="AY155" i="21"/>
  <c r="AY213" i="21"/>
  <c r="AY193" i="21"/>
  <c r="AY146" i="21"/>
  <c r="AY202" i="21"/>
  <c r="BS35" i="21"/>
  <c r="AB154" i="21"/>
  <c r="AB114" i="21"/>
  <c r="AE215" i="21"/>
  <c r="BQ98" i="21"/>
  <c r="BN44" i="21"/>
  <c r="BD179" i="21"/>
  <c r="BD238" i="21"/>
  <c r="BD87" i="21"/>
  <c r="BQ225" i="21"/>
  <c r="BQ167" i="21"/>
  <c r="BQ170" i="21"/>
  <c r="F176" i="21"/>
  <c r="F235" i="21"/>
  <c r="Y184" i="21"/>
  <c r="Y243" i="21"/>
  <c r="Y88" i="21"/>
  <c r="Z154" i="21"/>
  <c r="Z114" i="21"/>
  <c r="AO142" i="21"/>
  <c r="AO149" i="21"/>
  <c r="AO205" i="21"/>
  <c r="AO191" i="21"/>
  <c r="AO250" i="21"/>
  <c r="AO135" i="21"/>
  <c r="BN47" i="21"/>
  <c r="AC49" i="21"/>
  <c r="AC154" i="21"/>
  <c r="AC212" i="21"/>
  <c r="AZ268" i="21"/>
  <c r="AJ55" i="21"/>
  <c r="AJ58" i="21"/>
  <c r="AJ56" i="21"/>
  <c r="AK99" i="21"/>
  <c r="R30" i="21"/>
  <c r="R35" i="21"/>
  <c r="AI229" i="21"/>
  <c r="BP20" i="21"/>
  <c r="BP44" i="21"/>
  <c r="AA130" i="21"/>
  <c r="AA157" i="21"/>
  <c r="AA215" i="21"/>
  <c r="AA218" i="21"/>
  <c r="AA45" i="21"/>
  <c r="AK87" i="21"/>
  <c r="AK179" i="21"/>
  <c r="AK238" i="21"/>
  <c r="AU56" i="21"/>
  <c r="AU58" i="21"/>
  <c r="AL182" i="21"/>
  <c r="AL241" i="21"/>
  <c r="I85" i="21"/>
  <c r="I182" i="21"/>
  <c r="I241" i="21"/>
  <c r="AA182" i="21"/>
  <c r="AA241" i="21"/>
  <c r="G85" i="21"/>
  <c r="G182" i="21"/>
  <c r="G241" i="21"/>
  <c r="AJ128" i="21"/>
  <c r="AJ122" i="21"/>
  <c r="AJ124" i="21"/>
  <c r="AT119" i="21"/>
  <c r="K117" i="21"/>
  <c r="K119" i="21"/>
  <c r="AD122" i="21"/>
  <c r="AD128" i="21"/>
  <c r="G127" i="21"/>
  <c r="G128" i="21"/>
  <c r="Y20" i="21"/>
  <c r="Y44" i="21"/>
  <c r="Y52" i="21"/>
  <c r="Y54" i="21"/>
  <c r="Z19" i="21"/>
  <c r="BB40" i="21"/>
  <c r="BB19" i="21"/>
  <c r="AV11" i="21"/>
  <c r="AV166" i="21"/>
  <c r="AV61" i="21"/>
  <c r="AZ11" i="21"/>
  <c r="AV19" i="21"/>
  <c r="AX97" i="21"/>
  <c r="CF11" i="21"/>
  <c r="AM61" i="21"/>
  <c r="AM19" i="21"/>
  <c r="AM166" i="21"/>
  <c r="AO97" i="21"/>
  <c r="AM97" i="21"/>
  <c r="K61" i="21"/>
  <c r="K166" i="21"/>
  <c r="K11" i="21"/>
  <c r="K19" i="21"/>
  <c r="K97" i="21"/>
  <c r="K49" i="21"/>
  <c r="D166" i="21"/>
  <c r="D225" i="21"/>
  <c r="D229" i="21"/>
  <c r="D61" i="21"/>
  <c r="D97" i="21"/>
  <c r="E11" i="21"/>
  <c r="BF158" i="21"/>
  <c r="BF216" i="21"/>
  <c r="O183" i="21"/>
  <c r="O242" i="21"/>
  <c r="O87" i="21"/>
  <c r="BF86" i="21"/>
  <c r="BF183" i="21"/>
  <c r="BF242" i="21"/>
  <c r="BQ179" i="21"/>
  <c r="BQ238" i="21"/>
  <c r="BQ87" i="21"/>
  <c r="R146" i="21"/>
  <c r="R202" i="21"/>
  <c r="R145" i="21"/>
  <c r="R201" i="21"/>
  <c r="S146" i="21"/>
  <c r="S202" i="21"/>
  <c r="S193" i="21"/>
  <c r="S259" i="21"/>
  <c r="S145" i="21"/>
  <c r="S201" i="21"/>
  <c r="S155" i="21"/>
  <c r="BW227" i="21"/>
  <c r="BW228" i="21"/>
  <c r="BW169" i="21"/>
  <c r="AN149" i="21"/>
  <c r="AN205" i="21"/>
  <c r="AB143" i="21"/>
  <c r="AB48" i="21"/>
  <c r="AB157" i="21"/>
  <c r="AB215" i="21"/>
  <c r="AB218" i="21"/>
  <c r="AB134" i="21"/>
  <c r="AB45" i="21"/>
  <c r="AB190" i="21"/>
  <c r="AB249" i="21"/>
  <c r="AB130" i="21"/>
  <c r="AB135" i="21"/>
  <c r="BG166" i="21"/>
  <c r="BG167" i="21"/>
  <c r="BG19" i="21"/>
  <c r="BG11" i="21"/>
  <c r="BK11" i="21"/>
  <c r="BG61" i="21"/>
  <c r="BY146" i="21"/>
  <c r="BY202" i="21"/>
  <c r="BK34" i="21"/>
  <c r="BK35" i="21"/>
  <c r="Y47" i="21"/>
  <c r="Y30" i="21"/>
  <c r="AX155" i="21"/>
  <c r="Z172" i="21"/>
  <c r="Z79" i="21"/>
  <c r="Z82" i="21"/>
  <c r="M154" i="21"/>
  <c r="M114" i="21"/>
  <c r="BO20" i="21"/>
  <c r="BO28" i="21"/>
  <c r="BO52" i="21"/>
  <c r="BO54" i="21"/>
  <c r="BO56" i="21"/>
  <c r="BT56" i="21"/>
  <c r="AV146" i="21"/>
  <c r="AV202" i="21"/>
  <c r="AV155" i="21"/>
  <c r="AV193" i="21"/>
  <c r="BZ11" i="21"/>
  <c r="BV166" i="21"/>
  <c r="BV97" i="21"/>
  <c r="BV11" i="21"/>
  <c r="BV19" i="21"/>
  <c r="BE155" i="21"/>
  <c r="BE213" i="21"/>
  <c r="BE146" i="21"/>
  <c r="BE202" i="21"/>
  <c r="BX20" i="21"/>
  <c r="BX28" i="21"/>
  <c r="BX44" i="21"/>
  <c r="AX52" i="21"/>
  <c r="AX54" i="21"/>
  <c r="AX56" i="21"/>
  <c r="AX28" i="21"/>
  <c r="AX20" i="21"/>
  <c r="AW193" i="21"/>
  <c r="AW155" i="21"/>
  <c r="AO46" i="21"/>
  <c r="AO140" i="21"/>
  <c r="AO196" i="21"/>
  <c r="AO158" i="21"/>
  <c r="AO216" i="21"/>
  <c r="BB227" i="21"/>
  <c r="AN46" i="21"/>
  <c r="CH239" i="21"/>
  <c r="AF225" i="21"/>
  <c r="AF170" i="21"/>
  <c r="S154" i="21"/>
  <c r="S212" i="21"/>
  <c r="S114" i="21"/>
  <c r="BI231" i="21"/>
  <c r="BI176" i="21"/>
  <c r="BI235" i="21"/>
  <c r="J20" i="21"/>
  <c r="J44" i="21"/>
  <c r="J52" i="21"/>
  <c r="J54" i="21"/>
  <c r="J98" i="21"/>
  <c r="AM158" i="21"/>
  <c r="AM255" i="21"/>
  <c r="BS52" i="21"/>
  <c r="BS54" i="21"/>
  <c r="BS44" i="21"/>
  <c r="BU183" i="21"/>
  <c r="BU242" i="21"/>
  <c r="BV86" i="21"/>
  <c r="BV183" i="21"/>
  <c r="BV242" i="21"/>
  <c r="BU87" i="21"/>
  <c r="K155" i="21"/>
  <c r="K193" i="21"/>
  <c r="K259" i="21"/>
  <c r="BC182" i="21"/>
  <c r="BC241" i="21"/>
  <c r="BF85" i="21"/>
  <c r="BF182" i="21"/>
  <c r="BF241" i="21"/>
  <c r="AV71" i="21"/>
  <c r="AV72" i="21"/>
  <c r="AL128" i="21"/>
  <c r="I127" i="21"/>
  <c r="I128" i="21"/>
  <c r="AE20" i="21"/>
  <c r="AE28" i="21"/>
  <c r="AE44" i="21"/>
  <c r="AH19" i="21"/>
  <c r="AH98" i="21"/>
  <c r="CD19" i="21"/>
  <c r="CD61" i="21"/>
  <c r="CH234" i="21"/>
  <c r="BF42" i="21"/>
  <c r="BF8" i="21"/>
  <c r="BF41" i="21"/>
  <c r="BH180" i="21"/>
  <c r="BH239" i="21"/>
  <c r="BJ83" i="21"/>
  <c r="BJ180" i="21"/>
  <c r="BJ239" i="21"/>
  <c r="BL180" i="21"/>
  <c r="BL239" i="21"/>
  <c r="BN83" i="21"/>
  <c r="BN180" i="21"/>
  <c r="BN239" i="21"/>
  <c r="BU61" i="21"/>
  <c r="BU166" i="21"/>
  <c r="BU19" i="21"/>
  <c r="BY11" i="21"/>
  <c r="BX233" i="21"/>
  <c r="BX176" i="21"/>
  <c r="BX235" i="21"/>
  <c r="T177" i="21"/>
  <c r="T236" i="21"/>
  <c r="T103" i="21"/>
  <c r="T145" i="21"/>
  <c r="T201" i="21"/>
  <c r="BZ80" i="21"/>
  <c r="D270" i="21"/>
  <c r="BM49" i="21"/>
  <c r="AB255" i="21"/>
  <c r="AB253" i="21"/>
  <c r="BF101" i="21"/>
  <c r="BF146" i="21"/>
  <c r="BF202" i="21"/>
  <c r="AH253" i="21"/>
  <c r="CH244" i="21"/>
  <c r="AC143" i="21"/>
  <c r="AC155" i="21"/>
  <c r="CH238" i="21"/>
  <c r="AB58" i="21"/>
  <c r="AB56" i="21"/>
  <c r="X122" i="21"/>
  <c r="X124" i="21"/>
  <c r="X128" i="21"/>
  <c r="AO177" i="21"/>
  <c r="AO236" i="21"/>
  <c r="AR103" i="21"/>
  <c r="AR145" i="21"/>
  <c r="AR201" i="21"/>
  <c r="AG63" i="21"/>
  <c r="AG64" i="21"/>
  <c r="AT168" i="21"/>
  <c r="AT100" i="21"/>
  <c r="D56" i="21"/>
  <c r="D58" i="21"/>
  <c r="AC58" i="21"/>
  <c r="AC56" i="21"/>
  <c r="AG55" i="21"/>
  <c r="Y61" i="21"/>
  <c r="Y166" i="21"/>
  <c r="BL231" i="21"/>
  <c r="BL236" i="21"/>
  <c r="BL232" i="21"/>
  <c r="BQ58" i="21"/>
  <c r="AF34" i="21"/>
  <c r="AJ99" i="21"/>
  <c r="BJ82" i="21"/>
  <c r="BJ87" i="21"/>
  <c r="BJ184" i="21"/>
  <c r="BJ243" i="21"/>
  <c r="AN255" i="21"/>
  <c r="AN253" i="21"/>
  <c r="AY139" i="21"/>
  <c r="AY195" i="21"/>
  <c r="AO190" i="21"/>
  <c r="AO249" i="21"/>
  <c r="AB46" i="21"/>
  <c r="BB82" i="21"/>
  <c r="BI101" i="21"/>
  <c r="BO98" i="21"/>
  <c r="AB146" i="21"/>
  <c r="AB202" i="21"/>
  <c r="P154" i="21"/>
  <c r="P49" i="21"/>
  <c r="P114" i="21"/>
  <c r="AJ225" i="21"/>
  <c r="AJ170" i="21"/>
  <c r="M227" i="21"/>
  <c r="CH169" i="21"/>
  <c r="BQ56" i="21"/>
  <c r="AG228" i="21"/>
  <c r="BW193" i="21"/>
  <c r="AN158" i="21"/>
  <c r="BF175" i="21"/>
  <c r="BF234" i="21"/>
  <c r="CE34" i="21"/>
  <c r="BK229" i="21"/>
  <c r="R52" i="21"/>
  <c r="R54" i="21"/>
  <c r="CH233" i="21"/>
  <c r="Y255" i="21"/>
  <c r="Y253" i="21"/>
  <c r="N233" i="21"/>
  <c r="N227" i="21"/>
  <c r="S52" i="21"/>
  <c r="S54" i="21"/>
  <c r="L130" i="21"/>
  <c r="AI30" i="21"/>
  <c r="AI47" i="21"/>
  <c r="N239" i="21"/>
  <c r="CH232" i="21"/>
  <c r="AX170" i="21"/>
  <c r="BN158" i="21"/>
  <c r="BN216" i="21"/>
  <c r="BN255" i="21"/>
  <c r="L268" i="21"/>
  <c r="L267" i="21"/>
  <c r="BY173" i="21"/>
  <c r="BY49" i="21"/>
  <c r="AW103" i="21"/>
  <c r="AW145" i="21"/>
  <c r="AW201" i="21"/>
  <c r="D232" i="21"/>
  <c r="D176" i="21"/>
  <c r="D235" i="21"/>
  <c r="AU172" i="21"/>
  <c r="AU231" i="21"/>
  <c r="AU79" i="21"/>
  <c r="AU82" i="21"/>
  <c r="AB172" i="21"/>
  <c r="AB79" i="21"/>
  <c r="AB82" i="21"/>
  <c r="AB179" i="21"/>
  <c r="AB238" i="21"/>
  <c r="AF64" i="21"/>
  <c r="AF63" i="21"/>
  <c r="AL70" i="21"/>
  <c r="AL168" i="21"/>
  <c r="AD252" i="21"/>
  <c r="AD139" i="21"/>
  <c r="AD195" i="21"/>
  <c r="BN80" i="21"/>
  <c r="BN103" i="21"/>
  <c r="U9" i="21"/>
  <c r="U10" i="21"/>
  <c r="U166" i="21" s="1"/>
  <c r="G101" i="21"/>
  <c r="G175" i="21"/>
  <c r="G234" i="21"/>
  <c r="G268" i="21"/>
  <c r="U81" i="21"/>
  <c r="U178" i="21"/>
  <c r="U237" i="21"/>
  <c r="BZ178" i="21"/>
  <c r="BZ237" i="21"/>
  <c r="J170" i="21"/>
  <c r="J225" i="21"/>
  <c r="AU103" i="21"/>
  <c r="AB177" i="21"/>
  <c r="AB236" i="21"/>
  <c r="AE103" i="21"/>
  <c r="D72" i="21"/>
  <c r="E71" i="21"/>
  <c r="BL227" i="21"/>
  <c r="BL228" i="21"/>
  <c r="BP169" i="21"/>
  <c r="BU255" i="21"/>
  <c r="BU46" i="21"/>
  <c r="AV103" i="21"/>
  <c r="AV145" i="21"/>
  <c r="AV201" i="21"/>
  <c r="X82" i="21"/>
  <c r="BO166" i="21"/>
  <c r="BO225" i="21"/>
  <c r="H69" i="21"/>
  <c r="H101" i="21"/>
  <c r="H146" i="21"/>
  <c r="H202" i="21"/>
  <c r="W227" i="21"/>
  <c r="W229" i="21"/>
  <c r="W170" i="21"/>
  <c r="I81" i="21"/>
  <c r="I178" i="21"/>
  <c r="I237" i="21"/>
  <c r="AJ82" i="21"/>
  <c r="AM103" i="21"/>
  <c r="AM145" i="21"/>
  <c r="AM201" i="21"/>
  <c r="I80" i="21"/>
  <c r="AA177" i="21"/>
  <c r="AA236" i="21"/>
  <c r="G80" i="21"/>
  <c r="AC103" i="21"/>
  <c r="AC145" i="21"/>
  <c r="AC201" i="21"/>
  <c r="AG58" i="21"/>
  <c r="AG56" i="21"/>
  <c r="AK55" i="21"/>
  <c r="BG169" i="21"/>
  <c r="BG227" i="21"/>
  <c r="BK176" i="21"/>
  <c r="BK235" i="21"/>
  <c r="BR114" i="21"/>
  <c r="AX80" i="21"/>
  <c r="AX82" i="21"/>
  <c r="G72" i="21"/>
  <c r="BH155" i="21"/>
  <c r="BH193" i="21"/>
  <c r="K80" i="21"/>
  <c r="AU20" i="21"/>
  <c r="AU28" i="21"/>
  <c r="E128" i="21"/>
  <c r="E122" i="21"/>
  <c r="E124" i="21"/>
  <c r="AR11" i="21"/>
  <c r="AN166" i="21"/>
  <c r="AN19" i="21"/>
  <c r="AC166" i="21"/>
  <c r="AC61" i="21"/>
  <c r="AC20" i="21"/>
  <c r="CH227" i="21"/>
  <c r="BF43" i="21"/>
  <c r="BG100" i="21"/>
  <c r="BI100" i="21"/>
  <c r="BF168" i="21"/>
  <c r="BJ60" i="21"/>
  <c r="BI234" i="21"/>
  <c r="BI236" i="21"/>
  <c r="BI233" i="21"/>
  <c r="D261" i="21"/>
  <c r="I229" i="21"/>
  <c r="BI225" i="21"/>
  <c r="D268" i="21"/>
  <c r="AC128" i="21"/>
  <c r="J117" i="21"/>
  <c r="J119" i="21"/>
  <c r="J252" i="21"/>
  <c r="AP119" i="21"/>
  <c r="F122" i="21"/>
  <c r="Z124" i="21"/>
  <c r="AI61" i="21"/>
  <c r="AI20" i="21"/>
  <c r="CH193" i="21"/>
  <c r="CH259" i="21"/>
  <c r="CH155" i="21"/>
  <c r="CH156" i="21"/>
  <c r="BF38" i="21"/>
  <c r="BI242" i="21"/>
  <c r="AR176" i="21"/>
  <c r="AR235" i="21"/>
  <c r="BL240" i="21"/>
  <c r="BM213" i="21"/>
  <c r="AS52" i="21"/>
  <c r="AS54" i="21"/>
  <c r="AS28" i="21"/>
  <c r="X252" i="21"/>
  <c r="CC79" i="21"/>
  <c r="CC82" i="21"/>
  <c r="CC87" i="21"/>
  <c r="CC88" i="21"/>
  <c r="CH117" i="21"/>
  <c r="N117" i="21"/>
  <c r="O117" i="21"/>
  <c r="M119" i="21"/>
  <c r="AG166" i="21"/>
  <c r="AG61" i="21"/>
  <c r="AG20" i="21"/>
  <c r="J11" i="21"/>
  <c r="I19" i="21"/>
  <c r="AX8" i="21"/>
  <c r="AT10" i="21"/>
  <c r="AT97" i="21"/>
  <c r="BI19" i="21"/>
  <c r="BI61" i="21"/>
  <c r="BN244" i="21"/>
  <c r="BK213" i="21"/>
  <c r="AG124" i="21"/>
  <c r="AF124" i="21"/>
  <c r="AB28" i="21"/>
  <c r="AB44" i="21"/>
  <c r="BL244" i="21"/>
  <c r="R182" i="21"/>
  <c r="R241" i="21"/>
  <c r="BR85" i="21"/>
  <c r="BR182" i="21"/>
  <c r="BR241" i="21"/>
  <c r="BV128" i="21"/>
  <c r="S49" i="21"/>
  <c r="S173" i="21"/>
  <c r="S232" i="21"/>
  <c r="BJ227" i="21"/>
  <c r="BK259" i="21"/>
  <c r="AI228" i="21"/>
  <c r="CB79" i="21"/>
  <c r="CB82" i="21"/>
  <c r="CB87" i="21"/>
  <c r="J71" i="21"/>
  <c r="AW69" i="21"/>
  <c r="H113" i="21"/>
  <c r="AI46" i="21"/>
  <c r="AT42" i="21"/>
  <c r="X166" i="21"/>
  <c r="X61" i="21"/>
  <c r="BZ29" i="21"/>
  <c r="U29" i="21"/>
  <c r="BZ83" i="21"/>
  <c r="U83" i="21"/>
  <c r="U180" i="21"/>
  <c r="U239" i="21"/>
  <c r="L228" i="21"/>
  <c r="BN40" i="21"/>
  <c r="BY181" i="21"/>
  <c r="BY240" i="21"/>
  <c r="BZ85" i="21"/>
  <c r="U85" i="21"/>
  <c r="U182" i="21"/>
  <c r="U241" i="21"/>
  <c r="AR82" i="21"/>
  <c r="AO82" i="21"/>
  <c r="BZ84" i="21"/>
  <c r="BZ181" i="21"/>
  <c r="BZ240" i="21" s="1"/>
  <c r="D87" i="21"/>
  <c r="BE228" i="21"/>
  <c r="AD79" i="21"/>
  <c r="AD82" i="21"/>
  <c r="AT46" i="21"/>
  <c r="BL176" i="21"/>
  <c r="BL235" i="21"/>
  <c r="BL237" i="21"/>
  <c r="BW173" i="21"/>
  <c r="BW49" i="21"/>
  <c r="BZ76" i="21"/>
  <c r="BZ173" i="21"/>
  <c r="BZ232" i="21"/>
  <c r="G113" i="21"/>
  <c r="BJ113" i="21"/>
  <c r="T170" i="21"/>
  <c r="T11" i="21"/>
  <c r="T182" i="21"/>
  <c r="T241" i="21"/>
  <c r="BX49" i="21"/>
  <c r="BZ100" i="21"/>
  <c r="AQ30" i="9"/>
  <c r="BW10" i="21"/>
  <c r="AX64" i="21"/>
  <c r="F119" i="21"/>
  <c r="BG244" i="21"/>
  <c r="S234" i="21"/>
  <c r="T61" i="21"/>
  <c r="T97" i="21"/>
  <c r="T154" i="21"/>
  <c r="T156" i="21"/>
  <c r="BZ168" i="21"/>
  <c r="U15" i="21"/>
  <c r="U40" i="21"/>
  <c r="G228" i="21"/>
  <c r="F228" i="21"/>
  <c r="Z227" i="21"/>
  <c r="L156" i="21"/>
  <c r="L212" i="21"/>
  <c r="L214" i="21"/>
  <c r="AJ259" i="21"/>
  <c r="AI259" i="21"/>
  <c r="AH259" i="21"/>
  <c r="AQ261" i="21"/>
  <c r="AQ267" i="21"/>
  <c r="AQ268" i="21"/>
  <c r="AL88" i="21"/>
  <c r="AL184" i="21"/>
  <c r="AL243" i="21"/>
  <c r="AR56" i="21"/>
  <c r="AR58" i="21"/>
  <c r="J104" i="21"/>
  <c r="J179" i="21"/>
  <c r="J238" i="21"/>
  <c r="BT30" i="21"/>
  <c r="BT47" i="21"/>
  <c r="AP79" i="21"/>
  <c r="AP82" i="21"/>
  <c r="AP172" i="21"/>
  <c r="BV227" i="21"/>
  <c r="BX259" i="21"/>
  <c r="BV170" i="21"/>
  <c r="BC170" i="21"/>
  <c r="BC225" i="21"/>
  <c r="BC167" i="21"/>
  <c r="AQ213" i="21"/>
  <c r="BM227" i="21"/>
  <c r="BQ169" i="21"/>
  <c r="BM170" i="21"/>
  <c r="BM169" i="21"/>
  <c r="BR100" i="21"/>
  <c r="BR60" i="21"/>
  <c r="BR168" i="21"/>
  <c r="BV169" i="21"/>
  <c r="BR75" i="21"/>
  <c r="BS100" i="21"/>
  <c r="BU100" i="21"/>
  <c r="BV60" i="21"/>
  <c r="BT100" i="21"/>
  <c r="BR61" i="21"/>
  <c r="BR58" i="21"/>
  <c r="BT227" i="21"/>
  <c r="BX169" i="21"/>
  <c r="BT170" i="21"/>
  <c r="BT169" i="21"/>
  <c r="AG99" i="21"/>
  <c r="AF99" i="21"/>
  <c r="AD58" i="21"/>
  <c r="J173" i="21"/>
  <c r="AH142" i="21"/>
  <c r="AV213" i="21"/>
  <c r="AF87" i="21"/>
  <c r="AF179" i="21"/>
  <c r="AF238" i="21"/>
  <c r="AF104" i="21"/>
  <c r="M87" i="21"/>
  <c r="M104" i="21"/>
  <c r="M179" i="21"/>
  <c r="M238" i="21"/>
  <c r="H232" i="21"/>
  <c r="H176" i="21"/>
  <c r="H235" i="21"/>
  <c r="BR55" i="21"/>
  <c r="BR56" i="21"/>
  <c r="I176" i="21"/>
  <c r="I235" i="21"/>
  <c r="I234" i="21"/>
  <c r="G99" i="21"/>
  <c r="G56" i="21"/>
  <c r="G58" i="21"/>
  <c r="G55" i="21"/>
  <c r="BY28" i="21"/>
  <c r="BY44" i="21"/>
  <c r="BY20" i="21"/>
  <c r="BY52" i="21"/>
  <c r="BY54" i="21"/>
  <c r="O98" i="21"/>
  <c r="O52" i="21"/>
  <c r="O54" i="21"/>
  <c r="O44" i="21"/>
  <c r="O28" i="21"/>
  <c r="O20" i="21"/>
  <c r="AH172" i="21"/>
  <c r="AH79" i="21"/>
  <c r="AH82" i="21"/>
  <c r="AU228" i="21"/>
  <c r="AX259" i="21"/>
  <c r="AY228" i="21"/>
  <c r="BM104" i="21"/>
  <c r="BJ179" i="21"/>
  <c r="BJ238" i="21"/>
  <c r="AL90" i="21"/>
  <c r="AL187" i="21"/>
  <c r="AL246" i="21"/>
  <c r="AH193" i="21"/>
  <c r="AH140" i="21"/>
  <c r="AH196" i="21"/>
  <c r="AH155" i="21"/>
  <c r="AH145" i="21"/>
  <c r="AH201" i="21"/>
  <c r="AH146" i="21"/>
  <c r="AH202" i="21"/>
  <c r="BL20" i="21"/>
  <c r="BL52" i="21"/>
  <c r="BL54" i="21"/>
  <c r="BL28" i="21"/>
  <c r="BL44" i="21"/>
  <c r="BN98" i="21"/>
  <c r="AP39" i="21"/>
  <c r="AT8" i="21"/>
  <c r="AP40" i="21"/>
  <c r="AP38" i="21"/>
  <c r="AP10" i="21"/>
  <c r="AP68" i="21"/>
  <c r="AP8" i="21"/>
  <c r="AP42" i="21"/>
  <c r="AP41" i="21"/>
  <c r="AP43" i="21"/>
  <c r="AP64" i="21"/>
  <c r="G35" i="21"/>
  <c r="G34" i="21"/>
  <c r="AA160" i="21"/>
  <c r="M55" i="21"/>
  <c r="L99" i="21"/>
  <c r="AB149" i="21"/>
  <c r="AB205" i="21"/>
  <c r="I114" i="21"/>
  <c r="I49" i="21"/>
  <c r="AR28" i="21"/>
  <c r="U193" i="21"/>
  <c r="U259" i="21"/>
  <c r="U155" i="21"/>
  <c r="BV49" i="21"/>
  <c r="BV79" i="21"/>
  <c r="BV82" i="21"/>
  <c r="AA216" i="21"/>
  <c r="BY228" i="21"/>
  <c r="AE55" i="21"/>
  <c r="AI55" i="21"/>
  <c r="AE56" i="21"/>
  <c r="AH99" i="21"/>
  <c r="AE58" i="21"/>
  <c r="CH231" i="21"/>
  <c r="CH176" i="21"/>
  <c r="CH235" i="21"/>
  <c r="BI87" i="21"/>
  <c r="BI179" i="21"/>
  <c r="BI238" i="21"/>
  <c r="AB87" i="21"/>
  <c r="AL179" i="21"/>
  <c r="AL238" i="21"/>
  <c r="BK145" i="21"/>
  <c r="BK201" i="21"/>
  <c r="BV146" i="21"/>
  <c r="BV202" i="21"/>
  <c r="BV155" i="21"/>
  <c r="AR119" i="21"/>
  <c r="AS117" i="21"/>
  <c r="AR122" i="21"/>
  <c r="AE255" i="21"/>
  <c r="AE253" i="21"/>
  <c r="L44" i="21"/>
  <c r="AE130" i="21"/>
  <c r="E225" i="21"/>
  <c r="E229" i="21"/>
  <c r="S228" i="21"/>
  <c r="BS232" i="21"/>
  <c r="BS176" i="21"/>
  <c r="BS235" i="21"/>
  <c r="G261" i="21"/>
  <c r="BB103" i="21"/>
  <c r="BB145" i="21"/>
  <c r="BB201" i="21"/>
  <c r="BC103" i="21"/>
  <c r="BC145" i="21"/>
  <c r="BC201" i="21"/>
  <c r="AN114" i="21"/>
  <c r="AN154" i="21"/>
  <c r="AN212" i="21"/>
  <c r="AZ170" i="21"/>
  <c r="AZ225" i="21"/>
  <c r="AZ167" i="21"/>
  <c r="AT252" i="21"/>
  <c r="AT124" i="21"/>
  <c r="AT140" i="21"/>
  <c r="AT196" i="21"/>
  <c r="BB97" i="21"/>
  <c r="AZ97" i="21"/>
  <c r="AY61" i="21"/>
  <c r="AY166" i="21"/>
  <c r="AY97" i="21"/>
  <c r="AY114" i="21"/>
  <c r="CC11" i="21"/>
  <c r="AY19" i="21"/>
  <c r="AQ61" i="21"/>
  <c r="AQ166" i="21"/>
  <c r="AQ11" i="21"/>
  <c r="AQ19" i="21"/>
  <c r="AU11" i="21"/>
  <c r="L11" i="21"/>
  <c r="M11" i="21"/>
  <c r="L61" i="21"/>
  <c r="L166" i="21"/>
  <c r="F61" i="21"/>
  <c r="F20" i="21"/>
  <c r="F97" i="21"/>
  <c r="F166" i="21"/>
  <c r="BC19" i="21"/>
  <c r="BD97" i="21"/>
  <c r="BC97" i="21"/>
  <c r="BC61" i="21"/>
  <c r="BE97" i="21"/>
  <c r="L98" i="21"/>
  <c r="CC58" i="21"/>
  <c r="BR49" i="21"/>
  <c r="BR173" i="21"/>
  <c r="BR232" i="21"/>
  <c r="AT72" i="21"/>
  <c r="AX71" i="21"/>
  <c r="P179" i="21"/>
  <c r="P238" i="21"/>
  <c r="P104" i="21"/>
  <c r="P87" i="21"/>
  <c r="E179" i="21"/>
  <c r="E238" i="21"/>
  <c r="E104" i="21"/>
  <c r="H124" i="21"/>
  <c r="H140" i="21"/>
  <c r="H196" i="21"/>
  <c r="H139" i="21"/>
  <c r="H195" i="21"/>
  <c r="BP52" i="21"/>
  <c r="BP54" i="21"/>
  <c r="BP28" i="21"/>
  <c r="AK135" i="21"/>
  <c r="AK149" i="21"/>
  <c r="AK205" i="21"/>
  <c r="AK191" i="21"/>
  <c r="AK250" i="21"/>
  <c r="AA98" i="21"/>
  <c r="AB98" i="21"/>
  <c r="Z28" i="21"/>
  <c r="AC98" i="21"/>
  <c r="Z98" i="21"/>
  <c r="AD87" i="21"/>
  <c r="AD179" i="21"/>
  <c r="AD238" i="21"/>
  <c r="BC172" i="21"/>
  <c r="BC79" i="21"/>
  <c r="BC82" i="21"/>
  <c r="AW71" i="21"/>
  <c r="AW72" i="21"/>
  <c r="AS71" i="21"/>
  <c r="AO71" i="21"/>
  <c r="AO72" i="21"/>
  <c r="K72" i="21"/>
  <c r="K71" i="21"/>
  <c r="N30" i="21"/>
  <c r="N47" i="21"/>
  <c r="AB159" i="21"/>
  <c r="AB217" i="21"/>
  <c r="AB219" i="21"/>
  <c r="BF173" i="21"/>
  <c r="BF79" i="21"/>
  <c r="BF82" i="21"/>
  <c r="O231" i="21"/>
  <c r="O176" i="21"/>
  <c r="O235" i="21"/>
  <c r="O88" i="21"/>
  <c r="O184" i="21"/>
  <c r="O243" i="21"/>
  <c r="BR177" i="21"/>
  <c r="BR236" i="21"/>
  <c r="BT103" i="21"/>
  <c r="BR103" i="21"/>
  <c r="BS103" i="21"/>
  <c r="AU176" i="21"/>
  <c r="AU235" i="21"/>
  <c r="L149" i="21"/>
  <c r="L205" i="21"/>
  <c r="L142" i="21"/>
  <c r="L198" i="21"/>
  <c r="AD166" i="21"/>
  <c r="AG97" i="21"/>
  <c r="AE97" i="21"/>
  <c r="AD61" i="21"/>
  <c r="AF97" i="21"/>
  <c r="BJ61" i="21"/>
  <c r="BJ166" i="21"/>
  <c r="BN167" i="21"/>
  <c r="BK97" i="21"/>
  <c r="BJ97" i="21"/>
  <c r="BJ19" i="21"/>
  <c r="BL97" i="21"/>
  <c r="BF103" i="21"/>
  <c r="BF145" i="21"/>
  <c r="BF201" i="21"/>
  <c r="BH103" i="21"/>
  <c r="BH145" i="21"/>
  <c r="BH201" i="21"/>
  <c r="AU145" i="21"/>
  <c r="AU201" i="21"/>
  <c r="BX56" i="21"/>
  <c r="BX58" i="21"/>
  <c r="BB176" i="21"/>
  <c r="BB235" i="21"/>
  <c r="AK232" i="21"/>
  <c r="AK176" i="21"/>
  <c r="AK235" i="21"/>
  <c r="AA56" i="21"/>
  <c r="AA58" i="21"/>
  <c r="AA20" i="21"/>
  <c r="AA61" i="21"/>
  <c r="AD97" i="21"/>
  <c r="AA166" i="21"/>
  <c r="G11" i="21"/>
  <c r="G61" i="21"/>
  <c r="G166" i="21"/>
  <c r="G97" i="21"/>
  <c r="H11" i="21"/>
  <c r="CB61" i="21"/>
  <c r="CB19" i="21"/>
  <c r="CB11" i="21"/>
  <c r="O227" i="21"/>
  <c r="P169" i="21"/>
  <c r="CH52" i="21"/>
  <c r="CH54" i="21"/>
  <c r="CH44" i="21"/>
  <c r="CH20" i="21"/>
  <c r="BR86" i="21"/>
  <c r="BR183" i="21"/>
  <c r="BR242" i="21"/>
  <c r="BQ183" i="21"/>
  <c r="BQ242" i="21"/>
  <c r="H255" i="21"/>
  <c r="H253" i="21"/>
  <c r="H262" i="21"/>
  <c r="H46" i="21"/>
  <c r="H158" i="21"/>
  <c r="H216" i="21"/>
  <c r="CD79" i="21"/>
  <c r="CD82" i="21"/>
  <c r="CD87" i="21"/>
  <c r="AA172" i="21"/>
  <c r="AA79" i="21"/>
  <c r="AA82" i="21"/>
  <c r="L172" i="21"/>
  <c r="L79" i="21"/>
  <c r="L82" i="21"/>
  <c r="N52" i="21"/>
  <c r="N54" i="21"/>
  <c r="N98" i="21"/>
  <c r="AZ52" i="21"/>
  <c r="AZ54" i="21"/>
  <c r="AZ28" i="21"/>
  <c r="AV117" i="21"/>
  <c r="AU122" i="21"/>
  <c r="AU119" i="21"/>
  <c r="BK167" i="21"/>
  <c r="BG225" i="21"/>
  <c r="BL179" i="21"/>
  <c r="BL238" i="21"/>
  <c r="BL87" i="21"/>
  <c r="BQ47" i="21"/>
  <c r="BQ30" i="21"/>
  <c r="AZ44" i="21"/>
  <c r="I167" i="21"/>
  <c r="H170" i="21"/>
  <c r="AO45" i="21"/>
  <c r="AO143" i="21"/>
  <c r="AO134" i="21"/>
  <c r="P98" i="21"/>
  <c r="P44" i="21"/>
  <c r="P52" i="21"/>
  <c r="P54" i="21"/>
  <c r="P20" i="21"/>
  <c r="P28" i="21"/>
  <c r="W157" i="21"/>
  <c r="W190" i="21"/>
  <c r="W249" i="21"/>
  <c r="H30" i="21"/>
  <c r="H47" i="21"/>
  <c r="BU28" i="21"/>
  <c r="BU44" i="21"/>
  <c r="BV98" i="21"/>
  <c r="AR69" i="21"/>
  <c r="AN69" i="21"/>
  <c r="AN72" i="21"/>
  <c r="AM253" i="21"/>
  <c r="AI98" i="21"/>
  <c r="AJ155" i="21"/>
  <c r="AJ146" i="21"/>
  <c r="AJ202" i="21"/>
  <c r="AJ193" i="21"/>
  <c r="AJ140" i="21"/>
  <c r="AJ196" i="21"/>
  <c r="BT179" i="21"/>
  <c r="BT238" i="21"/>
  <c r="BT87" i="21"/>
  <c r="AG158" i="21"/>
  <c r="AG216" i="21"/>
  <c r="AK45" i="21"/>
  <c r="AK157" i="21"/>
  <c r="AK134" i="21"/>
  <c r="AK48" i="21"/>
  <c r="AK190" i="21"/>
  <c r="AK249" i="21"/>
  <c r="AQ169" i="21"/>
  <c r="BH228" i="21"/>
  <c r="AE229" i="21"/>
  <c r="AM140" i="21"/>
  <c r="AM196" i="21"/>
  <c r="AM46" i="21"/>
  <c r="BX103" i="21"/>
  <c r="BX145" i="21"/>
  <c r="BX201" i="21"/>
  <c r="BW103" i="21"/>
  <c r="BW145" i="21"/>
  <c r="BW201" i="21"/>
  <c r="AM155" i="21"/>
  <c r="AM139" i="21"/>
  <c r="AM195" i="21"/>
  <c r="F193" i="21"/>
  <c r="F259" i="21"/>
  <c r="F155" i="21"/>
  <c r="Z145" i="21"/>
  <c r="Z201" i="21"/>
  <c r="Z193" i="21"/>
  <c r="E233" i="21"/>
  <c r="E176" i="21"/>
  <c r="E235" i="21"/>
  <c r="E146" i="21"/>
  <c r="E202" i="21"/>
  <c r="E155" i="21"/>
  <c r="E193" i="21"/>
  <c r="E259" i="21"/>
  <c r="E261" i="21"/>
  <c r="AR255" i="21"/>
  <c r="AH20" i="21"/>
  <c r="BO103" i="21"/>
  <c r="BQ103" i="21"/>
  <c r="BN177" i="21"/>
  <c r="BN236" i="21"/>
  <c r="AT43" i="21"/>
  <c r="AT19" i="21"/>
  <c r="CH49" i="21"/>
  <c r="CH114" i="21"/>
  <c r="BN113" i="21"/>
  <c r="Q114" i="21"/>
  <c r="T257" i="21"/>
  <c r="T216" i="21"/>
  <c r="T255" i="21"/>
  <c r="Q232" i="21"/>
  <c r="Q176" i="21"/>
  <c r="Q235" i="21"/>
  <c r="W64" i="21"/>
  <c r="W63" i="21"/>
  <c r="L255" i="21"/>
  <c r="L253" i="21"/>
  <c r="L262" i="21"/>
  <c r="L158" i="21"/>
  <c r="L46" i="21"/>
  <c r="AX98" i="21"/>
  <c r="AH45" i="21"/>
  <c r="AH190" i="21"/>
  <c r="AH249" i="21"/>
  <c r="AH265" i="21"/>
  <c r="N119" i="21"/>
  <c r="J193" i="21"/>
  <c r="J259" i="21"/>
  <c r="J155" i="21"/>
  <c r="AD145" i="21"/>
  <c r="AD201" i="21"/>
  <c r="AD140" i="21"/>
  <c r="AD196" i="21"/>
  <c r="BC146" i="21"/>
  <c r="BC202" i="21"/>
  <c r="Q56" i="21"/>
  <c r="AR231" i="21"/>
  <c r="AP255" i="21"/>
  <c r="O232" i="21"/>
  <c r="O213" i="21"/>
  <c r="O234" i="21"/>
  <c r="AB227" i="21"/>
  <c r="AF169" i="21"/>
  <c r="AB169" i="21"/>
  <c r="AV79" i="21"/>
  <c r="AV82" i="21"/>
  <c r="AV172" i="21"/>
  <c r="AO64" i="21"/>
  <c r="AB63" i="21"/>
  <c r="AG100" i="21"/>
  <c r="AE100" i="21"/>
  <c r="AF100" i="21"/>
  <c r="AD168" i="21"/>
  <c r="AG157" i="21"/>
  <c r="AG48" i="21"/>
  <c r="AK227" i="21"/>
  <c r="AK259" i="21"/>
  <c r="AK170" i="21"/>
  <c r="AK169" i="21"/>
  <c r="AO169" i="21"/>
  <c r="AQ72" i="21"/>
  <c r="AU71" i="21"/>
  <c r="M71" i="21"/>
  <c r="L72" i="21"/>
  <c r="AS69" i="21"/>
  <c r="AO69" i="21"/>
  <c r="AU64" i="21"/>
  <c r="AU63" i="21"/>
  <c r="O255" i="21"/>
  <c r="O158" i="21"/>
  <c r="O216" i="21"/>
  <c r="O46" i="21"/>
  <c r="BO100" i="21"/>
  <c r="BN75" i="21"/>
  <c r="BQ100" i="21"/>
  <c r="BN168" i="21"/>
  <c r="BN60" i="21"/>
  <c r="BP100" i="21"/>
  <c r="BN100" i="21"/>
  <c r="BZ8" i="21"/>
  <c r="BV8" i="21"/>
  <c r="BV43" i="21"/>
  <c r="CH242" i="21"/>
  <c r="CH240" i="21"/>
  <c r="J47" i="21"/>
  <c r="AO61" i="21"/>
  <c r="AO19" i="21"/>
  <c r="O97" i="21"/>
  <c r="O166" i="21"/>
  <c r="O170" i="21"/>
  <c r="AG172" i="21"/>
  <c r="AG79" i="21"/>
  <c r="AG82" i="21"/>
  <c r="AG104" i="21"/>
  <c r="AL252" i="21"/>
  <c r="AL124" i="21"/>
  <c r="AI252" i="21"/>
  <c r="AI124" i="21"/>
  <c r="T167" i="21"/>
  <c r="BZ227" i="21"/>
  <c r="BZ169" i="21"/>
  <c r="AT255" i="21"/>
  <c r="BW21" i="9"/>
  <c r="BW13" i="9"/>
  <c r="AQ22" i="9"/>
  <c r="BW22" i="9"/>
  <c r="BW20" i="9"/>
  <c r="BW12" i="9"/>
  <c r="AQ16" i="9"/>
  <c r="BW16" i="9"/>
  <c r="BW18" i="9"/>
  <c r="BW17" i="9"/>
  <c r="BW6" i="9"/>
  <c r="BW14" i="9"/>
  <c r="BW23" i="9"/>
  <c r="BW19" i="9"/>
  <c r="BW15" i="9"/>
  <c r="BW11" i="9"/>
  <c r="G155" i="21"/>
  <c r="AL63" i="21"/>
  <c r="AN100" i="21"/>
  <c r="AL100" i="21"/>
  <c r="AY255" i="21"/>
  <c r="AY46" i="21"/>
  <c r="BR38" i="21"/>
  <c r="BR43" i="21"/>
  <c r="T231" i="21"/>
  <c r="T176" i="21"/>
  <c r="T235" i="21"/>
  <c r="AQ38" i="9"/>
  <c r="BZ113" i="21"/>
  <c r="U111" i="21"/>
  <c r="U113" i="21"/>
  <c r="J128" i="21"/>
  <c r="BY166" i="21"/>
  <c r="BZ97" i="21"/>
  <c r="BB41" i="21"/>
  <c r="BB43" i="21"/>
  <c r="BZ177" i="21"/>
  <c r="BZ236" i="21"/>
  <c r="BZ103" i="21"/>
  <c r="U80" i="21"/>
  <c r="BZ155" i="21"/>
  <c r="T98" i="21"/>
  <c r="T52" i="21"/>
  <c r="T54" i="21"/>
  <c r="T237" i="21"/>
  <c r="T227" i="21"/>
  <c r="T233" i="21"/>
  <c r="O146" i="21"/>
  <c r="O202" i="21"/>
  <c r="O193" i="21"/>
  <c r="O259" i="21"/>
  <c r="T44" i="21"/>
  <c r="T234" i="21"/>
  <c r="AQ8" i="9"/>
  <c r="BW7" i="9"/>
  <c r="BW8" i="9" s="1"/>
  <c r="BF40" i="21"/>
  <c r="BN237" i="21"/>
  <c r="T244" i="21"/>
  <c r="T213" i="21"/>
  <c r="BF113" i="21"/>
  <c r="T242" i="21"/>
  <c r="U76" i="21"/>
  <c r="U79" i="21" s="1"/>
  <c r="U82" i="21" s="1"/>
  <c r="BZ49" i="21"/>
  <c r="U118" i="21"/>
  <c r="T146" i="21"/>
  <c r="T202" i="21"/>
  <c r="T193" i="21"/>
  <c r="T259" i="21"/>
  <c r="BZ61" i="21"/>
  <c r="BZ166" i="21"/>
  <c r="BZ19" i="21"/>
  <c r="BZ52" i="21" s="1"/>
  <c r="BZ54" i="21" s="1"/>
  <c r="BZ174" i="21"/>
  <c r="BZ233" i="21" s="1"/>
  <c r="U77" i="21"/>
  <c r="U174" i="21" s="1"/>
  <c r="U233" i="21" s="1"/>
  <c r="AP8" i="9"/>
  <c r="AP33" i="9"/>
  <c r="BV7" i="9"/>
  <c r="BV8" i="9"/>
  <c r="BZ75" i="21"/>
  <c r="BZ128" i="21"/>
  <c r="BZ255" i="21" s="1"/>
  <c r="BZ253" i="21" s="1"/>
  <c r="BZ262" i="21" s="1"/>
  <c r="T79" i="21"/>
  <c r="T82" i="21"/>
  <c r="BZ41" i="21"/>
  <c r="BZ180" i="21"/>
  <c r="BZ239" i="21" s="1"/>
  <c r="BZ42" i="21"/>
  <c r="BZ257" i="21"/>
  <c r="AQ28" i="9"/>
  <c r="BW28" i="9" s="1"/>
  <c r="BZ60" i="21"/>
  <c r="F104" i="21"/>
  <c r="F87" i="21"/>
  <c r="F179" i="21"/>
  <c r="F238" i="21"/>
  <c r="E102" i="21"/>
  <c r="E34" i="21"/>
  <c r="E35" i="21"/>
  <c r="AH199" i="21"/>
  <c r="AH160" i="21"/>
  <c r="K173" i="21"/>
  <c r="K79" i="21"/>
  <c r="BG184" i="21"/>
  <c r="BG243" i="21"/>
  <c r="BG88" i="21"/>
  <c r="W30" i="21"/>
  <c r="W47" i="21"/>
  <c r="AT79" i="21"/>
  <c r="AT82" i="21"/>
  <c r="AT172" i="21"/>
  <c r="AX255" i="21"/>
  <c r="AX158" i="21"/>
  <c r="AX216" i="21"/>
  <c r="AX46" i="21"/>
  <c r="AI255" i="21"/>
  <c r="AI158" i="21"/>
  <c r="AI216" i="21"/>
  <c r="BQ49" i="21"/>
  <c r="BQ154" i="21"/>
  <c r="BQ212" i="21"/>
  <c r="BQ114" i="21"/>
  <c r="W58" i="21"/>
  <c r="W56" i="21"/>
  <c r="AA55" i="21"/>
  <c r="CH28" i="21"/>
  <c r="CH98" i="21"/>
  <c r="AJ231" i="21"/>
  <c r="AJ176" i="21"/>
  <c r="AJ235" i="21"/>
  <c r="AU124" i="21"/>
  <c r="AJ98" i="21"/>
  <c r="BK268" i="21"/>
  <c r="AB55" i="21"/>
  <c r="CH213" i="21"/>
  <c r="CH214" i="21"/>
  <c r="BO44" i="21"/>
  <c r="BF255" i="21"/>
  <c r="BN11" i="21"/>
  <c r="AY176" i="21"/>
  <c r="AY235" i="21"/>
  <c r="AR229" i="21"/>
  <c r="BB158" i="21"/>
  <c r="BB216" i="21"/>
  <c r="BB46" i="21"/>
  <c r="BB255" i="21"/>
  <c r="AK47" i="21"/>
  <c r="AK30" i="21"/>
  <c r="G173" i="21"/>
  <c r="G232" i="21"/>
  <c r="G79" i="21"/>
  <c r="G82" i="21" s="1"/>
  <c r="CH225" i="21"/>
  <c r="CH226" i="21"/>
  <c r="CH167" i="21"/>
  <c r="CH170" i="21"/>
  <c r="AA228" i="21"/>
  <c r="E47" i="21"/>
  <c r="BA35" i="21"/>
  <c r="BA34" i="21"/>
  <c r="R114" i="21"/>
  <c r="R154" i="21"/>
  <c r="AD99" i="21"/>
  <c r="CC47" i="21"/>
  <c r="CC30" i="21"/>
  <c r="T212" i="21"/>
  <c r="AO179" i="21"/>
  <c r="AO238" i="21"/>
  <c r="BP98" i="21"/>
  <c r="W87" i="21"/>
  <c r="W179" i="21"/>
  <c r="W238" i="21"/>
  <c r="AM190" i="21"/>
  <c r="AM249" i="21"/>
  <c r="AM143" i="21"/>
  <c r="AM45" i="21"/>
  <c r="AM157" i="21"/>
  <c r="AM215" i="21"/>
  <c r="AM134" i="21"/>
  <c r="AM130" i="21"/>
  <c r="AM48" i="21"/>
  <c r="BA58" i="21"/>
  <c r="BA55" i="21"/>
  <c r="BE55" i="21"/>
  <c r="BA56" i="21"/>
  <c r="BN86" i="21"/>
  <c r="BN183" i="21"/>
  <c r="BN242" i="21"/>
  <c r="BL183" i="21"/>
  <c r="BL242" i="21"/>
  <c r="X176" i="21"/>
  <c r="X235" i="21"/>
  <c r="X231" i="21"/>
  <c r="AO87" i="21"/>
  <c r="W232" i="21"/>
  <c r="W176" i="21"/>
  <c r="W235" i="21"/>
  <c r="L30" i="21"/>
  <c r="L47" i="21"/>
  <c r="BD146" i="21"/>
  <c r="BD202" i="21"/>
  <c r="AW226" i="21"/>
  <c r="AW229" i="21"/>
  <c r="BM184" i="21"/>
  <c r="BM243" i="21"/>
  <c r="BY90" i="21"/>
  <c r="BY187" i="21"/>
  <c r="BY246" i="21"/>
  <c r="P268" i="21"/>
  <c r="U86" i="21"/>
  <c r="U183" i="21" s="1"/>
  <c r="U242" i="21" s="1"/>
  <c r="O240" i="21"/>
  <c r="R88" i="21"/>
  <c r="R90" i="21"/>
  <c r="R187" i="21"/>
  <c r="R246" i="21"/>
  <c r="AZ117" i="21"/>
  <c r="AY122" i="21"/>
  <c r="AY124" i="21"/>
  <c r="AE232" i="21"/>
  <c r="AE176" i="21"/>
  <c r="AE235" i="21"/>
  <c r="AY179" i="21"/>
  <c r="AY238" i="21"/>
  <c r="AY87" i="21"/>
  <c r="AQ262" i="21"/>
  <c r="AS259" i="21"/>
  <c r="BV103" i="21"/>
  <c r="BV145" i="21"/>
  <c r="BV201" i="21"/>
  <c r="BV177" i="21"/>
  <c r="BV236" i="21"/>
  <c r="BY103" i="21"/>
  <c r="BY145" i="21"/>
  <c r="BY201" i="21"/>
  <c r="AC157" i="21"/>
  <c r="AC215" i="21"/>
  <c r="AC45" i="21"/>
  <c r="AC48" i="21"/>
  <c r="AC190" i="21"/>
  <c r="AC249" i="21"/>
  <c r="AC134" i="21"/>
  <c r="AE87" i="21"/>
  <c r="AE179" i="21"/>
  <c r="AE238" i="21"/>
  <c r="E88" i="21"/>
  <c r="E184" i="21"/>
  <c r="E243" i="21"/>
  <c r="BE145" i="21"/>
  <c r="BE201" i="21"/>
  <c r="H87" i="21"/>
  <c r="H184" i="21"/>
  <c r="H243" i="21"/>
  <c r="H179" i="21"/>
  <c r="H238" i="21"/>
  <c r="H104" i="21"/>
  <c r="BK267" i="21"/>
  <c r="AI179" i="21"/>
  <c r="AI238" i="21"/>
  <c r="AI87" i="21"/>
  <c r="BE87" i="21"/>
  <c r="BE179" i="21"/>
  <c r="BE238" i="21"/>
  <c r="BK179" i="21"/>
  <c r="BK238" i="21"/>
  <c r="BK87" i="21"/>
  <c r="AW93" i="21"/>
  <c r="AW186" i="21"/>
  <c r="AW245" i="21"/>
  <c r="AC88" i="21"/>
  <c r="AC184" i="21"/>
  <c r="AC243" i="21"/>
  <c r="BZ193" i="21"/>
  <c r="BL104" i="21"/>
  <c r="AB191" i="21"/>
  <c r="AB250" i="21"/>
  <c r="BJ104" i="21"/>
  <c r="U84" i="21"/>
  <c r="U181" i="21" s="1"/>
  <c r="U240" i="21" s="1"/>
  <c r="BG170" i="21"/>
  <c r="Y191" i="21"/>
  <c r="Y250" i="21"/>
  <c r="I252" i="21"/>
  <c r="I261" i="21"/>
  <c r="I139" i="21"/>
  <c r="I195" i="21"/>
  <c r="O237" i="21"/>
  <c r="AH191" i="21"/>
  <c r="AH250" i="21"/>
  <c r="AH271" i="21"/>
  <c r="AH135" i="21"/>
  <c r="AH149" i="21"/>
  <c r="AH205" i="21"/>
  <c r="I124" i="21"/>
  <c r="BA232" i="21"/>
  <c r="BA176" i="21"/>
  <c r="BA235" i="21"/>
  <c r="BP88" i="21"/>
  <c r="BP184" i="21"/>
  <c r="BP243" i="21"/>
  <c r="Q30" i="21"/>
  <c r="Q47" i="21"/>
  <c r="AY252" i="21"/>
  <c r="AY261" i="21"/>
  <c r="AY140" i="21"/>
  <c r="AY196" i="21"/>
  <c r="S98" i="21"/>
  <c r="S44" i="21"/>
  <c r="S20" i="21"/>
  <c r="S28" i="21"/>
  <c r="N87" i="21"/>
  <c r="N179" i="21"/>
  <c r="N238" i="21"/>
  <c r="N104" i="21"/>
  <c r="M30" i="21"/>
  <c r="M47" i="21"/>
  <c r="BA87" i="21"/>
  <c r="BA179" i="21"/>
  <c r="BA238" i="21"/>
  <c r="BW88" i="21"/>
  <c r="BW90" i="21" s="1"/>
  <c r="BW187" i="21" s="1"/>
  <c r="BW246" i="21" s="1"/>
  <c r="BW184" i="21"/>
  <c r="BW243" i="21"/>
  <c r="AA156" i="21"/>
  <c r="AA212" i="21"/>
  <c r="AA214" i="21"/>
  <c r="BL259" i="21"/>
  <c r="AX58" i="21"/>
  <c r="AB142" i="21"/>
  <c r="O233" i="21"/>
  <c r="O244" i="21"/>
  <c r="O241" i="21"/>
  <c r="BM154" i="21"/>
  <c r="BM114" i="21"/>
  <c r="AW90" i="21"/>
  <c r="AW187" i="21"/>
  <c r="AW246" i="21"/>
  <c r="AJ97" i="21"/>
  <c r="AK97" i="21"/>
  <c r="AH166" i="21"/>
  <c r="AH97" i="21"/>
  <c r="AH61" i="21"/>
  <c r="AI97" i="21"/>
  <c r="AA104" i="21"/>
  <c r="AA148" i="21"/>
  <c r="AA204" i="21"/>
  <c r="J114" i="21"/>
  <c r="J49" i="21"/>
  <c r="BH11" i="21"/>
  <c r="BL11" i="21"/>
  <c r="BH19" i="21"/>
  <c r="BH166" i="21"/>
  <c r="BH61" i="21"/>
  <c r="BM52" i="21"/>
  <c r="BM54" i="21"/>
  <c r="BM44" i="21"/>
  <c r="BM28" i="21"/>
  <c r="BM20" i="21"/>
  <c r="Q179" i="21"/>
  <c r="Q238" i="21"/>
  <c r="Q87" i="21"/>
  <c r="Q104" i="21"/>
  <c r="BQ55" i="21"/>
  <c r="BX226" i="21"/>
  <c r="BT226" i="21"/>
  <c r="AZ88" i="21"/>
  <c r="AZ90" i="21"/>
  <c r="AZ187" i="21"/>
  <c r="AZ246" i="21"/>
  <c r="AZ184" i="21"/>
  <c r="AZ243" i="21"/>
  <c r="R186" i="21"/>
  <c r="R245" i="21"/>
  <c r="R93" i="21"/>
  <c r="S88" i="21"/>
  <c r="S184" i="21"/>
  <c r="S243" i="21"/>
  <c r="BM167" i="21"/>
  <c r="BM225" i="21"/>
  <c r="BQ226" i="21"/>
  <c r="R229" i="21"/>
  <c r="R226" i="21"/>
  <c r="AQ130" i="21"/>
  <c r="AQ143" i="21"/>
  <c r="AQ134" i="21"/>
  <c r="AQ45" i="21"/>
  <c r="AQ190" i="21"/>
  <c r="AQ249" i="21"/>
  <c r="AQ48" i="21"/>
  <c r="AQ157" i="21"/>
  <c r="AN184" i="21"/>
  <c r="AN243" i="21"/>
  <c r="AN88" i="21"/>
  <c r="AH215" i="21"/>
  <c r="AH159" i="21"/>
  <c r="AH217" i="21"/>
  <c r="W191" i="21"/>
  <c r="W250" i="21"/>
  <c r="W135" i="21"/>
  <c r="AS267" i="21"/>
  <c r="AS268" i="21"/>
  <c r="Z170" i="21"/>
  <c r="BD166" i="21"/>
  <c r="BD61" i="21"/>
  <c r="BD11" i="21"/>
  <c r="BD19" i="21"/>
  <c r="BE98" i="21"/>
  <c r="L48" i="21"/>
  <c r="L143" i="21"/>
  <c r="L199" i="21"/>
  <c r="L45" i="21"/>
  <c r="L190" i="21"/>
  <c r="L249" i="21"/>
  <c r="L265" i="21"/>
  <c r="L157" i="21"/>
  <c r="L134" i="21"/>
  <c r="BO184" i="21"/>
  <c r="BO243" i="21"/>
  <c r="BO88" i="21"/>
  <c r="O236" i="21"/>
  <c r="AO229" i="21"/>
  <c r="AO226" i="21"/>
  <c r="AS226" i="21"/>
  <c r="BP226" i="21"/>
  <c r="CH88" i="21"/>
  <c r="CH184" i="21"/>
  <c r="CH243" i="21"/>
  <c r="S176" i="21"/>
  <c r="S235" i="21"/>
  <c r="K46" i="21"/>
  <c r="K255" i="21"/>
  <c r="K158" i="21"/>
  <c r="K216" i="21"/>
  <c r="CE56" i="21"/>
  <c r="CE58" i="21"/>
  <c r="BA229" i="21"/>
  <c r="AH56" i="21"/>
  <c r="AH55" i="21"/>
  <c r="AH58" i="21"/>
  <c r="AQ88" i="21"/>
  <c r="AQ184" i="21"/>
  <c r="AQ243" i="21"/>
  <c r="AQ265" i="21"/>
  <c r="P267" i="21"/>
  <c r="T28" i="21"/>
  <c r="T20" i="21"/>
  <c r="M99" i="21"/>
  <c r="M58" i="21"/>
  <c r="M56" i="21"/>
  <c r="BB61" i="21"/>
  <c r="BB166" i="21"/>
  <c r="BB11" i="21"/>
  <c r="BA156" i="21"/>
  <c r="BA212" i="21"/>
  <c r="BA214" i="21"/>
  <c r="AF55" i="21"/>
  <c r="AF58" i="21"/>
  <c r="AI99" i="21"/>
  <c r="AF56" i="21"/>
  <c r="H177" i="21"/>
  <c r="H236" i="21"/>
  <c r="H267" i="21"/>
  <c r="H103" i="21"/>
  <c r="H145" i="21"/>
  <c r="H201" i="21"/>
  <c r="J87" i="21"/>
  <c r="J184" i="21"/>
  <c r="J243" i="21"/>
  <c r="S170" i="21"/>
  <c r="S225" i="21"/>
  <c r="S167" i="21"/>
  <c r="BO154" i="21"/>
  <c r="BO212" i="21"/>
  <c r="BO49" i="21"/>
  <c r="BO114" i="21"/>
  <c r="BE226" i="21"/>
  <c r="F30" i="21"/>
  <c r="F47" i="21"/>
  <c r="CC93" i="21"/>
  <c r="CC90" i="21"/>
  <c r="CC91" i="21"/>
  <c r="G104" i="21"/>
  <c r="G179" i="21"/>
  <c r="G238" i="21"/>
  <c r="G87" i="21"/>
  <c r="G184" i="21"/>
  <c r="G243" i="21"/>
  <c r="X134" i="21"/>
  <c r="X157" i="21"/>
  <c r="X190" i="21"/>
  <c r="X249" i="21"/>
  <c r="X130" i="21"/>
  <c r="X135" i="21"/>
  <c r="I103" i="21"/>
  <c r="I145" i="21"/>
  <c r="I201" i="21"/>
  <c r="I177" i="21"/>
  <c r="I236" i="21"/>
  <c r="I82" i="21"/>
  <c r="K213" i="21"/>
  <c r="AM170" i="21"/>
  <c r="AM225" i="21"/>
  <c r="AM167" i="21"/>
  <c r="T214" i="21"/>
  <c r="AR87" i="21"/>
  <c r="R102" i="21"/>
  <c r="BW166" i="21"/>
  <c r="BW11" i="21"/>
  <c r="BW61" i="21"/>
  <c r="BW97" i="21"/>
  <c r="BY97" i="21"/>
  <c r="BX97" i="21"/>
  <c r="BW19" i="21"/>
  <c r="X170" i="21"/>
  <c r="X225" i="21"/>
  <c r="AB167" i="21"/>
  <c r="AW97" i="21"/>
  <c r="AT166" i="21"/>
  <c r="AV97" i="21"/>
  <c r="AU97" i="21"/>
  <c r="AT61" i="21"/>
  <c r="AX11" i="21"/>
  <c r="N122" i="21"/>
  <c r="BB117" i="21"/>
  <c r="Z45" i="21"/>
  <c r="Z130" i="21"/>
  <c r="Z157" i="21"/>
  <c r="Z134" i="21"/>
  <c r="Z143" i="21"/>
  <c r="Z48" i="21"/>
  <c r="Z190" i="21"/>
  <c r="Z249" i="21"/>
  <c r="E48" i="21"/>
  <c r="E45" i="21"/>
  <c r="E130" i="21"/>
  <c r="E134" i="21"/>
  <c r="E143" i="21"/>
  <c r="E199" i="21"/>
  <c r="E190" i="21"/>
  <c r="E249" i="21"/>
  <c r="E265" i="21"/>
  <c r="E157" i="21"/>
  <c r="AJ179" i="21"/>
  <c r="AJ238" i="21"/>
  <c r="AJ87" i="21"/>
  <c r="T114" i="21"/>
  <c r="S58" i="21"/>
  <c r="S99" i="21"/>
  <c r="S55" i="21"/>
  <c r="S56" i="21"/>
  <c r="AT145" i="21"/>
  <c r="AT201" i="21"/>
  <c r="AT193" i="21"/>
  <c r="AT155" i="21"/>
  <c r="AT213" i="21"/>
  <c r="AT146" i="21"/>
  <c r="AT202" i="21"/>
  <c r="AL158" i="21"/>
  <c r="AL216" i="21"/>
  <c r="AL46" i="21"/>
  <c r="AL255" i="21"/>
  <c r="AL253" i="21"/>
  <c r="BU88" i="21"/>
  <c r="BU90" i="21"/>
  <c r="BU187" i="21"/>
  <c r="BU246" i="21"/>
  <c r="BU184" i="21"/>
  <c r="BU243" i="21"/>
  <c r="BB259" i="21"/>
  <c r="BC259" i="21"/>
  <c r="BE259" i="21"/>
  <c r="BB228" i="21"/>
  <c r="BD259" i="21"/>
  <c r="BV167" i="21"/>
  <c r="BV225" i="21"/>
  <c r="BV226" i="21"/>
  <c r="BO55" i="21"/>
  <c r="BO58" i="21"/>
  <c r="Z179" i="21"/>
  <c r="Z238" i="21"/>
  <c r="Z87" i="21"/>
  <c r="K154" i="21"/>
  <c r="K212" i="21"/>
  <c r="K114" i="21"/>
  <c r="AM44" i="21"/>
  <c r="AM52" i="21"/>
  <c r="AM54" i="21"/>
  <c r="AM28" i="21"/>
  <c r="AM20" i="21"/>
  <c r="AD158" i="21"/>
  <c r="AD216" i="21"/>
  <c r="AD255" i="21"/>
  <c r="AD253" i="21"/>
  <c r="AD46" i="21"/>
  <c r="AA191" i="21"/>
  <c r="AA250" i="21"/>
  <c r="AA271" i="21"/>
  <c r="AA149" i="21"/>
  <c r="AA205" i="21"/>
  <c r="AA142" i="21"/>
  <c r="AA135" i="21"/>
  <c r="BD88" i="21"/>
  <c r="BD184" i="21"/>
  <c r="BD243" i="21"/>
  <c r="AB212" i="21"/>
  <c r="AB214" i="21"/>
  <c r="AB156" i="21"/>
  <c r="AO159" i="21"/>
  <c r="AO217" i="21"/>
  <c r="AO219" i="21"/>
  <c r="F252" i="21"/>
  <c r="F253" i="21"/>
  <c r="F262" i="21"/>
  <c r="F139" i="21"/>
  <c r="F195" i="21"/>
  <c r="AG225" i="21"/>
  <c r="AG167" i="21"/>
  <c r="AK167" i="21"/>
  <c r="AG170" i="21"/>
  <c r="BJ259" i="21"/>
  <c r="BG228" i="21"/>
  <c r="K268" i="21"/>
  <c r="BG145" i="21"/>
  <c r="BG201" i="21"/>
  <c r="BG193" i="21"/>
  <c r="BG155" i="21"/>
  <c r="BG213" i="21"/>
  <c r="BG146" i="21"/>
  <c r="BG202" i="21"/>
  <c r="BV154" i="21"/>
  <c r="BV212" i="21"/>
  <c r="BV114" i="21"/>
  <c r="S213" i="21"/>
  <c r="S214" i="21"/>
  <c r="S156" i="21"/>
  <c r="AV225" i="21"/>
  <c r="AV170" i="21"/>
  <c r="AV167" i="21"/>
  <c r="AX87" i="21"/>
  <c r="AX184" i="21"/>
  <c r="AX243" i="21"/>
  <c r="AZ104" i="21"/>
  <c r="AO271" i="21"/>
  <c r="BZ182" i="21"/>
  <c r="BZ241" i="21"/>
  <c r="G146" i="21"/>
  <c r="G202" i="21"/>
  <c r="AR179" i="21"/>
  <c r="AR238" i="21"/>
  <c r="R34" i="21"/>
  <c r="BQ229" i="21"/>
  <c r="AB47" i="21"/>
  <c r="AB30" i="21"/>
  <c r="CH119" i="21"/>
  <c r="CH122" i="21"/>
  <c r="F124" i="21"/>
  <c r="CH229" i="21"/>
  <c r="CH228" i="21"/>
  <c r="E46" i="21"/>
  <c r="E255" i="21"/>
  <c r="E253" i="21"/>
  <c r="E158" i="21"/>
  <c r="E216" i="21"/>
  <c r="E140" i="21"/>
  <c r="E196" i="21"/>
  <c r="AX177" i="21"/>
  <c r="AX236" i="21"/>
  <c r="BA103" i="21"/>
  <c r="BA145" i="21"/>
  <c r="BA201" i="21"/>
  <c r="AZ103" i="21"/>
  <c r="AZ145" i="21"/>
  <c r="AZ201" i="21"/>
  <c r="AY103" i="21"/>
  <c r="AY145" i="21"/>
  <c r="AY201" i="21"/>
  <c r="AX103" i="21"/>
  <c r="AX145" i="21"/>
  <c r="AX201" i="21"/>
  <c r="BP103" i="21"/>
  <c r="AE104" i="21"/>
  <c r="AE148" i="21"/>
  <c r="AE204" i="21"/>
  <c r="BK228" i="21"/>
  <c r="N229" i="21"/>
  <c r="N228" i="21"/>
  <c r="M228" i="21"/>
  <c r="M229" i="21"/>
  <c r="BI146" i="21"/>
  <c r="BI202" i="21"/>
  <c r="E167" i="21"/>
  <c r="Y170" i="21"/>
  <c r="Y225" i="21"/>
  <c r="Y229" i="21"/>
  <c r="AT170" i="21"/>
  <c r="AT227" i="21"/>
  <c r="AX169" i="21"/>
  <c r="AT169" i="21"/>
  <c r="CD44" i="21"/>
  <c r="CD28" i="21"/>
  <c r="CD52" i="21"/>
  <c r="CD54" i="21"/>
  <c r="CD20" i="21"/>
  <c r="BO47" i="21"/>
  <c r="BO30" i="21"/>
  <c r="Z176" i="21"/>
  <c r="Z235" i="21"/>
  <c r="Z231" i="21"/>
  <c r="S268" i="21"/>
  <c r="S267" i="21"/>
  <c r="K28" i="21"/>
  <c r="K44" i="21"/>
  <c r="K52" i="21"/>
  <c r="K54" i="21"/>
  <c r="K20" i="21"/>
  <c r="K98" i="21"/>
  <c r="BB44" i="21"/>
  <c r="BB28" i="21"/>
  <c r="BB52" i="21"/>
  <c r="BB54" i="21"/>
  <c r="BB20" i="21"/>
  <c r="G122" i="21"/>
  <c r="G124" i="21"/>
  <c r="AD124" i="21"/>
  <c r="AO161" i="21"/>
  <c r="AO198" i="21"/>
  <c r="D161" i="21"/>
  <c r="D217" i="21"/>
  <c r="D219" i="21"/>
  <c r="AN170" i="21"/>
  <c r="AN225" i="21"/>
  <c r="AN167" i="21"/>
  <c r="AR167" i="21"/>
  <c r="BI28" i="21"/>
  <c r="BI52" i="21"/>
  <c r="BI54" i="21"/>
  <c r="BI20" i="21"/>
  <c r="BI44" i="21"/>
  <c r="L191" i="21"/>
  <c r="L250" i="21"/>
  <c r="L135" i="21"/>
  <c r="AB160" i="21"/>
  <c r="AB199" i="21"/>
  <c r="AF134" i="21"/>
  <c r="AF48" i="21"/>
  <c r="AF157" i="21"/>
  <c r="AF190" i="21"/>
  <c r="AF249" i="21"/>
  <c r="AF45" i="21"/>
  <c r="AF130" i="21"/>
  <c r="AF148" i="21"/>
  <c r="AF204" i="21"/>
  <c r="I20" i="21"/>
  <c r="AL19" i="21"/>
  <c r="AO98" i="21"/>
  <c r="I44" i="21"/>
  <c r="I28" i="21"/>
  <c r="I52" i="21"/>
  <c r="I98" i="21"/>
  <c r="AP124" i="21"/>
  <c r="AP252" i="21"/>
  <c r="AP261" i="21"/>
  <c r="AP139" i="21"/>
  <c r="AP195" i="21"/>
  <c r="AP140" i="21"/>
  <c r="AP196" i="21"/>
  <c r="AU30" i="21"/>
  <c r="AU47" i="21"/>
  <c r="J226" i="21"/>
  <c r="J229" i="21"/>
  <c r="AB231" i="21"/>
  <c r="AB176" i="21"/>
  <c r="AB235" i="21"/>
  <c r="BY232" i="21"/>
  <c r="BY176" i="21"/>
  <c r="BY235" i="21"/>
  <c r="AN216" i="21"/>
  <c r="AN159" i="21"/>
  <c r="AN217" i="21"/>
  <c r="BB179" i="21"/>
  <c r="BB238" i="21"/>
  <c r="BB104" i="21"/>
  <c r="BB87" i="21"/>
  <c r="BB184" i="21"/>
  <c r="BB243" i="21"/>
  <c r="AY130" i="21"/>
  <c r="AY157" i="21"/>
  <c r="AY48" i="21"/>
  <c r="AH44" i="21"/>
  <c r="AH28" i="21"/>
  <c r="AK98" i="21"/>
  <c r="J56" i="21"/>
  <c r="J99" i="21"/>
  <c r="J58" i="21"/>
  <c r="AX30" i="21"/>
  <c r="AX34" i="21"/>
  <c r="AX47" i="21"/>
  <c r="AX213" i="21"/>
  <c r="AL104" i="21"/>
  <c r="K124" i="21"/>
  <c r="K140" i="21"/>
  <c r="K196" i="21"/>
  <c r="K139" i="21"/>
  <c r="K195" i="21"/>
  <c r="K252" i="21"/>
  <c r="BK104" i="21"/>
  <c r="G176" i="21"/>
  <c r="G235" i="21"/>
  <c r="P229" i="21"/>
  <c r="Q228" i="21"/>
  <c r="E148" i="21"/>
  <c r="E204" i="21"/>
  <c r="AS58" i="21"/>
  <c r="AS56" i="21"/>
  <c r="AW55" i="21"/>
  <c r="BI193" i="21"/>
  <c r="BI155" i="21"/>
  <c r="BH213" i="21"/>
  <c r="BO226" i="21"/>
  <c r="BO229" i="21"/>
  <c r="BS226" i="21"/>
  <c r="AL72" i="21"/>
  <c r="AP71" i="21"/>
  <c r="AI35" i="21"/>
  <c r="AI34" i="21"/>
  <c r="X255" i="21"/>
  <c r="X253" i="21"/>
  <c r="X158" i="21"/>
  <c r="X216" i="21"/>
  <c r="AM216" i="21"/>
  <c r="AM159" i="21"/>
  <c r="AM217" i="21"/>
  <c r="AO114" i="21"/>
  <c r="AO49" i="21"/>
  <c r="AO154" i="21"/>
  <c r="Y90" i="21"/>
  <c r="Y187" i="21"/>
  <c r="Y246" i="21"/>
  <c r="Y93" i="21"/>
  <c r="Y186" i="21"/>
  <c r="Y245" i="21"/>
  <c r="CB88" i="21"/>
  <c r="CB93" i="21"/>
  <c r="CB90" i="21"/>
  <c r="CB91" i="21"/>
  <c r="M124" i="21"/>
  <c r="AX119" i="21"/>
  <c r="M140" i="21"/>
  <c r="M196" i="21"/>
  <c r="M139" i="21"/>
  <c r="M195" i="21"/>
  <c r="M252" i="21"/>
  <c r="X179" i="21"/>
  <c r="X238" i="21"/>
  <c r="X87" i="21"/>
  <c r="I158" i="21"/>
  <c r="I216" i="21"/>
  <c r="I255" i="21"/>
  <c r="I253" i="21"/>
  <c r="I262" i="21"/>
  <c r="I46" i="21"/>
  <c r="I140" i="21"/>
  <c r="I196" i="21"/>
  <c r="M212" i="21"/>
  <c r="M214" i="21"/>
  <c r="M156" i="21"/>
  <c r="BG20" i="21"/>
  <c r="BG28" i="21"/>
  <c r="BO167" i="21"/>
  <c r="Z104" i="21"/>
  <c r="Z148" i="21"/>
  <c r="Z204" i="21"/>
  <c r="BO170" i="21"/>
  <c r="D184" i="21"/>
  <c r="D243" i="21"/>
  <c r="D88" i="21"/>
  <c r="D90" i="21"/>
  <c r="J124" i="21"/>
  <c r="J139" i="21"/>
  <c r="J195" i="21"/>
  <c r="AG190" i="21"/>
  <c r="AG249" i="21"/>
  <c r="AG45" i="21"/>
  <c r="AG130" i="21"/>
  <c r="AG148" i="21"/>
  <c r="AG204" i="21"/>
  <c r="AG134" i="21"/>
  <c r="AU179" i="21"/>
  <c r="AU238" i="21"/>
  <c r="AU87" i="21"/>
  <c r="BI145" i="21"/>
  <c r="BI201" i="21"/>
  <c r="AJ226" i="21"/>
  <c r="AJ229" i="21"/>
  <c r="BG97" i="21"/>
  <c r="BI97" i="21"/>
  <c r="BH97" i="21"/>
  <c r="BF19" i="21"/>
  <c r="BF11" i="21"/>
  <c r="BF166" i="21"/>
  <c r="BJ167" i="21"/>
  <c r="BJ11" i="21"/>
  <c r="BF61" i="21"/>
  <c r="AF226" i="21"/>
  <c r="AF229" i="21"/>
  <c r="K225" i="21"/>
  <c r="K170" i="21"/>
  <c r="K167" i="21"/>
  <c r="AX154" i="21"/>
  <c r="AX156" i="21" s="1"/>
  <c r="AX212" i="21"/>
  <c r="AX114" i="21"/>
  <c r="AX49" i="21"/>
  <c r="Z44" i="21"/>
  <c r="Z52" i="21"/>
  <c r="Z54" i="21"/>
  <c r="Z99" i="21"/>
  <c r="Z20" i="21"/>
  <c r="AT139" i="21"/>
  <c r="AT195" i="21"/>
  <c r="AK198" i="21"/>
  <c r="AK161" i="21"/>
  <c r="BI229" i="21"/>
  <c r="BI226" i="21"/>
  <c r="P156" i="21"/>
  <c r="P212" i="21"/>
  <c r="P214" i="21"/>
  <c r="G255" i="21"/>
  <c r="G253" i="21"/>
  <c r="G262" i="21"/>
  <c r="G158" i="21"/>
  <c r="G216" i="21"/>
  <c r="G140" i="21"/>
  <c r="G196" i="21"/>
  <c r="G46" i="21"/>
  <c r="BG44" i="21"/>
  <c r="F140" i="21"/>
  <c r="F196" i="21"/>
  <c r="BS167" i="21"/>
  <c r="BK98" i="21"/>
  <c r="BA104" i="21"/>
  <c r="BW232" i="21"/>
  <c r="BW176" i="21"/>
  <c r="BW235" i="21"/>
  <c r="H49" i="21"/>
  <c r="H114" i="21"/>
  <c r="BV255" i="21"/>
  <c r="BV158" i="21"/>
  <c r="BV216" i="21"/>
  <c r="BV46" i="21"/>
  <c r="AC46" i="21"/>
  <c r="AC158" i="21"/>
  <c r="AC255" i="21"/>
  <c r="AC253" i="21"/>
  <c r="AC130" i="21"/>
  <c r="AC140" i="21"/>
  <c r="AC196" i="21"/>
  <c r="AC167" i="21"/>
  <c r="AC170" i="21"/>
  <c r="AC225" i="21"/>
  <c r="K177" i="21"/>
  <c r="K236" i="21"/>
  <c r="K267" i="21"/>
  <c r="K103" i="21"/>
  <c r="K145" i="21"/>
  <c r="K201" i="21"/>
  <c r="G177" i="21"/>
  <c r="G236" i="21"/>
  <c r="G267" i="21"/>
  <c r="G103" i="21"/>
  <c r="G145" i="21"/>
  <c r="G201" i="21"/>
  <c r="BP228" i="21"/>
  <c r="BL229" i="21"/>
  <c r="D170" i="21"/>
  <c r="AC213" i="21"/>
  <c r="AC218" i="21"/>
  <c r="AC156" i="21"/>
  <c r="BU52" i="21"/>
  <c r="BU54" i="21"/>
  <c r="BU20" i="21"/>
  <c r="BU98" i="21"/>
  <c r="AE47" i="21"/>
  <c r="AE30" i="21"/>
  <c r="BS55" i="21"/>
  <c r="BS56" i="21"/>
  <c r="BT99" i="21"/>
  <c r="BS58" i="21"/>
  <c r="Y34" i="21"/>
  <c r="Y35" i="21"/>
  <c r="AV20" i="21"/>
  <c r="AV44" i="21"/>
  <c r="AV52" i="21"/>
  <c r="AV54" i="21"/>
  <c r="AV28" i="21"/>
  <c r="Y56" i="21"/>
  <c r="Y58" i="21"/>
  <c r="AC55" i="21"/>
  <c r="AJ45" i="21"/>
  <c r="AJ143" i="21"/>
  <c r="AJ48" i="21"/>
  <c r="AJ130" i="21"/>
  <c r="AJ134" i="21"/>
  <c r="AJ157" i="21"/>
  <c r="AJ190" i="21"/>
  <c r="AJ249" i="21"/>
  <c r="AJ265" i="21"/>
  <c r="K82" i="21"/>
  <c r="Z156" i="21"/>
  <c r="Z212" i="21"/>
  <c r="Z214" i="21"/>
  <c r="AK213" i="21"/>
  <c r="BE47" i="21"/>
  <c r="BE30" i="21"/>
  <c r="BX47" i="21"/>
  <c r="BX30" i="21"/>
  <c r="AP253" i="21"/>
  <c r="AP262" i="21"/>
  <c r="BG52" i="21"/>
  <c r="BG54" i="21"/>
  <c r="AX179" i="21"/>
  <c r="AX238" i="21"/>
  <c r="AA159" i="21"/>
  <c r="AA217" i="21"/>
  <c r="AA219" i="21"/>
  <c r="AS47" i="21"/>
  <c r="AS30" i="21"/>
  <c r="BF227" i="21"/>
  <c r="BJ169" i="21"/>
  <c r="BF169" i="21"/>
  <c r="AN52" i="21"/>
  <c r="AN54" i="21"/>
  <c r="AN44" i="21"/>
  <c r="AN28" i="21"/>
  <c r="AN20" i="21"/>
  <c r="AL170" i="21"/>
  <c r="AL227" i="21"/>
  <c r="AP169" i="21"/>
  <c r="AL169" i="21"/>
  <c r="R99" i="21"/>
  <c r="R55" i="21"/>
  <c r="R58" i="21"/>
  <c r="R56" i="21"/>
  <c r="AP267" i="21"/>
  <c r="AR267" i="21"/>
  <c r="AC160" i="21"/>
  <c r="AC199" i="21"/>
  <c r="BU167" i="21"/>
  <c r="BU225" i="21"/>
  <c r="BU170" i="21"/>
  <c r="AW213" i="21"/>
  <c r="BV44" i="21"/>
  <c r="BV52" i="21"/>
  <c r="BV54" i="21"/>
  <c r="BV28" i="21"/>
  <c r="BY98" i="21"/>
  <c r="BV20" i="21"/>
  <c r="BQ184" i="21"/>
  <c r="BQ243" i="21"/>
  <c r="BQ88" i="21"/>
  <c r="BQ90" i="21"/>
  <c r="BQ187" i="21"/>
  <c r="BQ246" i="21"/>
  <c r="D154" i="21"/>
  <c r="D114" i="21"/>
  <c r="D49" i="21"/>
  <c r="AM114" i="21"/>
  <c r="AM154" i="21"/>
  <c r="AM212" i="21"/>
  <c r="AM49" i="21"/>
  <c r="AJ255" i="21"/>
  <c r="AJ253" i="21"/>
  <c r="AJ262" i="21"/>
  <c r="AJ46" i="21"/>
  <c r="AJ158" i="21"/>
  <c r="AJ216" i="21"/>
  <c r="AK184" i="21"/>
  <c r="AK243" i="21"/>
  <c r="AK88" i="21"/>
  <c r="L55" i="21"/>
  <c r="BO155" i="21"/>
  <c r="BO146" i="21"/>
  <c r="BO202" i="21"/>
  <c r="BO145" i="21"/>
  <c r="BO201" i="21"/>
  <c r="BO193" i="21"/>
  <c r="AZ30" i="21"/>
  <c r="AZ47" i="21"/>
  <c r="BC114" i="21"/>
  <c r="BC49" i="21"/>
  <c r="BC154" i="21"/>
  <c r="U213" i="21"/>
  <c r="U173" i="21"/>
  <c r="U232" i="21" s="1"/>
  <c r="BY170" i="21"/>
  <c r="BY225" i="21"/>
  <c r="BY167" i="21"/>
  <c r="AI253" i="21"/>
  <c r="AI262" i="21"/>
  <c r="AI261" i="21"/>
  <c r="AV179" i="21"/>
  <c r="AV238" i="21"/>
  <c r="AY104" i="21"/>
  <c r="AV87" i="21"/>
  <c r="AX104" i="21"/>
  <c r="AT44" i="21"/>
  <c r="AT52" i="21"/>
  <c r="AT54" i="21"/>
  <c r="AT28" i="21"/>
  <c r="AW98" i="21"/>
  <c r="AV98" i="21"/>
  <c r="AT20" i="21"/>
  <c r="CB52" i="21"/>
  <c r="CB54" i="21"/>
  <c r="CB20" i="21"/>
  <c r="CB44" i="21"/>
  <c r="CB28" i="21"/>
  <c r="BP47" i="21"/>
  <c r="BP30" i="21"/>
  <c r="AH176" i="21"/>
  <c r="AH235" i="21"/>
  <c r="AH231" i="21"/>
  <c r="O47" i="21"/>
  <c r="O30" i="21"/>
  <c r="BR172" i="21"/>
  <c r="BR79" i="21"/>
  <c r="BR82" i="21"/>
  <c r="BC226" i="21"/>
  <c r="BC229" i="21"/>
  <c r="BT34" i="21"/>
  <c r="BT35" i="21"/>
  <c r="AK268" i="21"/>
  <c r="AK262" i="21"/>
  <c r="AK261" i="21"/>
  <c r="AK267" i="21"/>
  <c r="BZ225" i="21"/>
  <c r="BZ167" i="21"/>
  <c r="J46" i="21"/>
  <c r="J255" i="21"/>
  <c r="J158" i="21"/>
  <c r="J216" i="21"/>
  <c r="G213" i="21"/>
  <c r="AL130" i="21"/>
  <c r="AL45" i="21"/>
  <c r="AL134" i="21"/>
  <c r="AL143" i="21"/>
  <c r="AL190" i="21"/>
  <c r="AL249" i="21"/>
  <c r="AL157" i="21"/>
  <c r="AL48" i="21"/>
  <c r="BN146" i="21"/>
  <c r="BN202" i="21"/>
  <c r="BN145" i="21"/>
  <c r="BN201" i="21"/>
  <c r="BN155" i="21"/>
  <c r="BN193" i="21"/>
  <c r="AD170" i="21"/>
  <c r="AD227" i="21"/>
  <c r="AE259" i="21"/>
  <c r="AH169" i="21"/>
  <c r="AD169" i="21"/>
  <c r="F261" i="21"/>
  <c r="F268" i="21"/>
  <c r="F267" i="21"/>
  <c r="AK159" i="21"/>
  <c r="AK217" i="21"/>
  <c r="AK215" i="21"/>
  <c r="W215" i="21"/>
  <c r="W159" i="21"/>
  <c r="W217" i="21"/>
  <c r="AR88" i="21"/>
  <c r="AR184" i="21"/>
  <c r="AR243" i="21"/>
  <c r="BF179" i="21"/>
  <c r="BF238" i="21"/>
  <c r="BG104" i="21"/>
  <c r="BI104" i="21"/>
  <c r="BF87" i="21"/>
  <c r="BH104" i="21"/>
  <c r="BP56" i="21"/>
  <c r="BP55" i="21"/>
  <c r="BP58" i="21"/>
  <c r="BR99" i="21"/>
  <c r="BS99" i="21"/>
  <c r="BT55" i="21"/>
  <c r="BJ98" i="21"/>
  <c r="BC44" i="21"/>
  <c r="BC20" i="21"/>
  <c r="BC28" i="21"/>
  <c r="BC52" i="21"/>
  <c r="BC54" i="21"/>
  <c r="BG55" i="21"/>
  <c r="BD98" i="21"/>
  <c r="BC98" i="21"/>
  <c r="AY28" i="21"/>
  <c r="AY52" i="21"/>
  <c r="AY54" i="21"/>
  <c r="AY98" i="21"/>
  <c r="AY44" i="21"/>
  <c r="AZ98" i="21"/>
  <c r="BA98" i="21"/>
  <c r="BB98" i="21"/>
  <c r="AY20" i="21"/>
  <c r="AV104" i="21"/>
  <c r="AH213" i="21"/>
  <c r="BY30" i="21"/>
  <c r="BY47" i="21"/>
  <c r="I267" i="21"/>
  <c r="I268" i="21"/>
  <c r="BX228" i="21"/>
  <c r="BT228" i="21"/>
  <c r="BT229" i="21"/>
  <c r="BW259" i="21"/>
  <c r="BV259" i="21"/>
  <c r="BR227" i="21"/>
  <c r="BR169" i="21"/>
  <c r="BR170" i="21"/>
  <c r="AJ268" i="21"/>
  <c r="AJ261" i="21"/>
  <c r="AJ267" i="21"/>
  <c r="AB259" i="21"/>
  <c r="AB264" i="21"/>
  <c r="Z259" i="21"/>
  <c r="AA259" i="21"/>
  <c r="AC259" i="21"/>
  <c r="Z229" i="21"/>
  <c r="O114" i="21"/>
  <c r="O49" i="21"/>
  <c r="O154" i="21"/>
  <c r="J213" i="21"/>
  <c r="J214" i="21"/>
  <c r="J156" i="21"/>
  <c r="AQ225" i="21"/>
  <c r="AU167" i="21"/>
  <c r="AQ167" i="21"/>
  <c r="BM228" i="21"/>
  <c r="BM229" i="21"/>
  <c r="BQ228" i="21"/>
  <c r="BM259" i="21"/>
  <c r="J268" i="21"/>
  <c r="J267" i="21"/>
  <c r="CD88" i="21"/>
  <c r="CD93" i="21"/>
  <c r="AD114" i="21"/>
  <c r="AD49" i="21"/>
  <c r="AD154" i="21"/>
  <c r="BJ225" i="21"/>
  <c r="BJ170" i="21"/>
  <c r="BD49" i="21"/>
  <c r="BD154" i="21"/>
  <c r="BD114" i="21"/>
  <c r="E262" i="21"/>
  <c r="BP193" i="21"/>
  <c r="BP155" i="21"/>
  <c r="BP146" i="21"/>
  <c r="BP202" i="21"/>
  <c r="BP145" i="21"/>
  <c r="BP201" i="21"/>
  <c r="N55" i="21"/>
  <c r="N99" i="21"/>
  <c r="N56" i="21"/>
  <c r="N58" i="21"/>
  <c r="AF154" i="21"/>
  <c r="AF212" i="21"/>
  <c r="AF49" i="21"/>
  <c r="BC87" i="21"/>
  <c r="BF104" i="21"/>
  <c r="BC179" i="21"/>
  <c r="BC238" i="21"/>
  <c r="BE104" i="21"/>
  <c r="BC104" i="21"/>
  <c r="BD104" i="21"/>
  <c r="AW104" i="21"/>
  <c r="O58" i="21"/>
  <c r="O56" i="21"/>
  <c r="O99" i="21"/>
  <c r="O55" i="21"/>
  <c r="T268" i="21"/>
  <c r="T267" i="21"/>
  <c r="BF114" i="21"/>
  <c r="BF49" i="21"/>
  <c r="BZ228" i="21"/>
  <c r="AF114" i="21"/>
  <c r="AE146" i="21"/>
  <c r="AE202" i="21"/>
  <c r="AE193" i="21"/>
  <c r="AE143" i="21"/>
  <c r="AE155" i="21"/>
  <c r="AE139" i="21"/>
  <c r="AE195" i="21"/>
  <c r="AE145" i="21"/>
  <c r="AE201" i="21"/>
  <c r="AE140" i="21"/>
  <c r="AE196" i="21"/>
  <c r="AF228" i="21"/>
  <c r="AB228" i="21"/>
  <c r="AB229" i="21"/>
  <c r="J261" i="21"/>
  <c r="J253" i="21"/>
  <c r="J262" i="21"/>
  <c r="N140" i="21"/>
  <c r="N196" i="21"/>
  <c r="N252" i="21"/>
  <c r="N139" i="21"/>
  <c r="N195" i="21"/>
  <c r="AM213" i="21"/>
  <c r="AO199" i="21"/>
  <c r="AO160" i="21"/>
  <c r="L179" i="21"/>
  <c r="L238" i="21"/>
  <c r="L270" i="21"/>
  <c r="L104" i="21"/>
  <c r="L148" i="21"/>
  <c r="L204" i="21"/>
  <c r="L87" i="21"/>
  <c r="CH56" i="21"/>
  <c r="CH55" i="21"/>
  <c r="CH99" i="21"/>
  <c r="CH58" i="21"/>
  <c r="G154" i="21"/>
  <c r="G212" i="21"/>
  <c r="G114" i="21"/>
  <c r="G49" i="21"/>
  <c r="BC231" i="21"/>
  <c r="BC176" i="21"/>
  <c r="BC235" i="21"/>
  <c r="F225" i="21"/>
  <c r="F170" i="21"/>
  <c r="F167" i="21"/>
  <c r="AY154" i="21"/>
  <c r="AY49" i="21"/>
  <c r="AT134" i="21"/>
  <c r="AT157" i="21"/>
  <c r="AT190" i="21"/>
  <c r="AT249" i="21"/>
  <c r="AT130" i="21"/>
  <c r="AT48" i="21"/>
  <c r="AT45" i="21"/>
  <c r="AT143" i="21"/>
  <c r="AE191" i="21"/>
  <c r="AE250" i="21"/>
  <c r="AE149" i="21"/>
  <c r="AE205" i="21"/>
  <c r="AE142" i="21"/>
  <c r="AE135" i="21"/>
  <c r="AR124" i="21"/>
  <c r="AR30" i="21"/>
  <c r="AR47" i="21"/>
  <c r="BQ99" i="21"/>
  <c r="J176" i="21"/>
  <c r="J235" i="21"/>
  <c r="J232" i="21"/>
  <c r="BR145" i="21"/>
  <c r="BR201" i="21"/>
  <c r="BR193" i="21"/>
  <c r="BR146" i="21"/>
  <c r="BR202" i="21"/>
  <c r="BR155" i="21"/>
  <c r="AL186" i="21"/>
  <c r="AL245" i="21"/>
  <c r="AL93" i="21"/>
  <c r="L225" i="21"/>
  <c r="L167" i="21"/>
  <c r="M167" i="21"/>
  <c r="L170" i="21"/>
  <c r="AB271" i="21"/>
  <c r="BS146" i="21"/>
  <c r="BS202" i="21"/>
  <c r="BS155" i="21"/>
  <c r="BS145" i="21"/>
  <c r="BS201" i="21"/>
  <c r="BS193" i="21"/>
  <c r="AI267" i="21"/>
  <c r="AI268" i="21"/>
  <c r="T104" i="21"/>
  <c r="T179" i="21"/>
  <c r="T238" i="21"/>
  <c r="T87" i="21"/>
  <c r="AB161" i="21"/>
  <c r="AB198" i="21"/>
  <c r="AF155" i="21"/>
  <c r="AF145" i="21"/>
  <c r="AF201" i="21"/>
  <c r="AF146" i="21"/>
  <c r="AF202" i="21"/>
  <c r="AF193" i="21"/>
  <c r="AF139" i="21"/>
  <c r="AF195" i="21"/>
  <c r="AF140" i="21"/>
  <c r="AF196" i="21"/>
  <c r="AF143" i="21"/>
  <c r="AF142" i="21"/>
  <c r="P30" i="21"/>
  <c r="P47" i="21"/>
  <c r="AO184" i="21"/>
  <c r="AO243" i="21"/>
  <c r="AO88" i="21"/>
  <c r="BF232" i="21"/>
  <c r="BF176" i="21"/>
  <c r="BF235" i="21"/>
  <c r="BF212" i="21"/>
  <c r="BF214" i="21"/>
  <c r="BF156" i="21"/>
  <c r="AH198" i="21"/>
  <c r="AH161" i="21"/>
  <c r="BZ170" i="21"/>
  <c r="AG179" i="21"/>
  <c r="AG238" i="21"/>
  <c r="AG87" i="21"/>
  <c r="AJ104" i="21"/>
  <c r="AJ148" i="21"/>
  <c r="AJ204" i="21"/>
  <c r="AH104" i="21"/>
  <c r="AH148" i="21"/>
  <c r="AH204" i="21"/>
  <c r="BN227" i="21"/>
  <c r="BO259" i="21"/>
  <c r="BN169" i="21"/>
  <c r="BN170" i="21"/>
  <c r="AG139" i="21"/>
  <c r="AG195" i="21"/>
  <c r="AG143" i="21"/>
  <c r="AG193" i="21"/>
  <c r="AG146" i="21"/>
  <c r="AG202" i="21"/>
  <c r="AG155" i="21"/>
  <c r="AG145" i="21"/>
  <c r="AG201" i="21"/>
  <c r="AG142" i="21"/>
  <c r="J140" i="21"/>
  <c r="J196" i="21"/>
  <c r="AG140" i="21"/>
  <c r="AG196" i="21"/>
  <c r="P56" i="21"/>
  <c r="P55" i="21"/>
  <c r="Q55" i="21"/>
  <c r="P99" i="21"/>
  <c r="P58" i="21"/>
  <c r="AU140" i="21"/>
  <c r="AU196" i="21"/>
  <c r="AU139" i="21"/>
  <c r="AU195" i="21"/>
  <c r="AU252" i="21"/>
  <c r="L176" i="21"/>
  <c r="L235" i="21"/>
  <c r="L231" i="21"/>
  <c r="G225" i="21"/>
  <c r="G170" i="21"/>
  <c r="H167" i="21"/>
  <c r="G167" i="21"/>
  <c r="BL49" i="21"/>
  <c r="BL114" i="21"/>
  <c r="BL154" i="21"/>
  <c r="AE114" i="21"/>
  <c r="AE49" i="21"/>
  <c r="AE154" i="21"/>
  <c r="AE212" i="21"/>
  <c r="AK271" i="21"/>
  <c r="AK264" i="21"/>
  <c r="H143" i="21"/>
  <c r="H199" i="21"/>
  <c r="H130" i="21"/>
  <c r="H48" i="21"/>
  <c r="H190" i="21"/>
  <c r="H249" i="21"/>
  <c r="H265" i="21"/>
  <c r="H45" i="21"/>
  <c r="H134" i="21"/>
  <c r="H157" i="21"/>
  <c r="P88" i="21"/>
  <c r="P90" i="21"/>
  <c r="P184" i="21"/>
  <c r="P243" i="21"/>
  <c r="F154" i="21"/>
  <c r="F212" i="21"/>
  <c r="F114" i="21"/>
  <c r="F49" i="21"/>
  <c r="AT154" i="21"/>
  <c r="AT114" i="21"/>
  <c r="AT49" i="21"/>
  <c r="AY170" i="21"/>
  <c r="AY167" i="21"/>
  <c r="AY225" i="21"/>
  <c r="AT253" i="21"/>
  <c r="AS119" i="21"/>
  <c r="AS122" i="21"/>
  <c r="BV213" i="21"/>
  <c r="BV214" i="21"/>
  <c r="BV156" i="21"/>
  <c r="AU98" i="21"/>
  <c r="AP69" i="21"/>
  <c r="AT69" i="21"/>
  <c r="AP72" i="21"/>
  <c r="BL30" i="21"/>
  <c r="BL47" i="21"/>
  <c r="AI104" i="21"/>
  <c r="BT155" i="21"/>
  <c r="BT146" i="21"/>
  <c r="BT202" i="21"/>
  <c r="BT145" i="21"/>
  <c r="BT201" i="21"/>
  <c r="BT193" i="21"/>
  <c r="BY259" i="21"/>
  <c r="BV228" i="21"/>
  <c r="AH261" i="21"/>
  <c r="AH267" i="21"/>
  <c r="AH268" i="21"/>
  <c r="AH262" i="21"/>
  <c r="AH264" i="21"/>
  <c r="BK226" i="21"/>
  <c r="BG229" i="21"/>
  <c r="BG226" i="21"/>
  <c r="AA225" i="21"/>
  <c r="AA167" i="21"/>
  <c r="AA170" i="21"/>
  <c r="AE167" i="21"/>
  <c r="BB154" i="21"/>
  <c r="BZ28" i="21"/>
  <c r="BZ47" i="21" s="1"/>
  <c r="BZ20" i="21"/>
  <c r="BG58" i="21"/>
  <c r="BG56" i="21"/>
  <c r="BZ172" i="21"/>
  <c r="BZ79" i="21"/>
  <c r="BZ82" i="21"/>
  <c r="BZ179" i="21" s="1"/>
  <c r="BZ238" i="21" s="1"/>
  <c r="AJ213" i="21"/>
  <c r="BV87" i="21"/>
  <c r="BX104" i="21"/>
  <c r="BY104" i="21"/>
  <c r="BV104" i="21"/>
  <c r="BW104" i="21"/>
  <c r="BV179" i="21"/>
  <c r="BV238" i="21"/>
  <c r="AG231" i="21"/>
  <c r="AG176" i="21"/>
  <c r="AG235" i="21"/>
  <c r="BN114" i="21"/>
  <c r="BN49" i="21"/>
  <c r="AQ170" i="21"/>
  <c r="BT88" i="21"/>
  <c r="BT90" i="21"/>
  <c r="BT187" i="21"/>
  <c r="BT246" i="21"/>
  <c r="BT184" i="21"/>
  <c r="BT243" i="21"/>
  <c r="BU47" i="21"/>
  <c r="BU30" i="21"/>
  <c r="BL88" i="21"/>
  <c r="BL184" i="21"/>
  <c r="BL243" i="21"/>
  <c r="AU130" i="21"/>
  <c r="AU45" i="21"/>
  <c r="AU134" i="21"/>
  <c r="AU143" i="21"/>
  <c r="AU190" i="21"/>
  <c r="AU249" i="21"/>
  <c r="AU157" i="21"/>
  <c r="AU48" i="21"/>
  <c r="AA179" i="21"/>
  <c r="AA238" i="21"/>
  <c r="AA87" i="21"/>
  <c r="AC104" i="21"/>
  <c r="AB104" i="21"/>
  <c r="AB148" i="21"/>
  <c r="AB204" i="21"/>
  <c r="AD104" i="21"/>
  <c r="BJ44" i="21"/>
  <c r="BJ20" i="21"/>
  <c r="BM98" i="21"/>
  <c r="BJ28" i="21"/>
  <c r="BL98" i="21"/>
  <c r="BJ52" i="21"/>
  <c r="BJ54" i="21"/>
  <c r="AG114" i="21"/>
  <c r="AG154" i="21"/>
  <c r="AG212" i="21"/>
  <c r="AG49" i="21"/>
  <c r="O93" i="21"/>
  <c r="O90" i="21"/>
  <c r="O186" i="21"/>
  <c r="O245" i="21"/>
  <c r="AD184" i="21"/>
  <c r="AD243" i="21"/>
  <c r="AD88" i="21"/>
  <c r="AD90" i="21"/>
  <c r="AD187" i="21"/>
  <c r="AD246" i="21"/>
  <c r="BZ259" i="21"/>
  <c r="BE154" i="21"/>
  <c r="BE49" i="21"/>
  <c r="BE114" i="21"/>
  <c r="AQ20" i="21"/>
  <c r="AQ28" i="21"/>
  <c r="AQ44" i="21"/>
  <c r="AQ52" i="21"/>
  <c r="AQ54" i="21"/>
  <c r="AT98" i="21"/>
  <c r="AR140" i="21"/>
  <c r="AR196" i="21"/>
  <c r="AR252" i="21"/>
  <c r="AR139" i="21"/>
  <c r="AR195" i="21"/>
  <c r="BI184" i="21"/>
  <c r="BI243" i="21"/>
  <c r="BI88" i="21"/>
  <c r="BI90" i="21"/>
  <c r="BI187" i="21"/>
  <c r="BI246" i="21"/>
  <c r="BX267" i="21"/>
  <c r="BX268" i="21"/>
  <c r="BP99" i="21"/>
  <c r="AQ97" i="21"/>
  <c r="AS97" i="21"/>
  <c r="AR97" i="21"/>
  <c r="AP97" i="21"/>
  <c r="AP19" i="21"/>
  <c r="AR98" i="21"/>
  <c r="AP166" i="21"/>
  <c r="AT11" i="21"/>
  <c r="AP61" i="21"/>
  <c r="BL56" i="21"/>
  <c r="BL58" i="21"/>
  <c r="BO99" i="21"/>
  <c r="BN99" i="21"/>
  <c r="AX267" i="21"/>
  <c r="AX268" i="21"/>
  <c r="F184" i="21"/>
  <c r="F243" i="21"/>
  <c r="M184" i="21"/>
  <c r="M243" i="21"/>
  <c r="M88" i="21"/>
  <c r="AP231" i="21"/>
  <c r="AP176" i="21"/>
  <c r="AP235" i="21"/>
  <c r="AI130" i="21"/>
  <c r="AI157" i="21"/>
  <c r="AI45" i="21"/>
  <c r="AI190" i="21"/>
  <c r="AI249" i="21"/>
  <c r="AI265" i="21"/>
  <c r="AI143" i="21"/>
  <c r="AI134" i="21"/>
  <c r="AI48" i="21"/>
  <c r="AV231" i="21"/>
  <c r="AV176" i="21"/>
  <c r="AV235" i="21"/>
  <c r="E268" i="21"/>
  <c r="E267" i="21"/>
  <c r="H102" i="21"/>
  <c r="H35" i="21"/>
  <c r="H34" i="21"/>
  <c r="BL267" i="21"/>
  <c r="BL268" i="21"/>
  <c r="BK154" i="21"/>
  <c r="BK114" i="21"/>
  <c r="BK49" i="21"/>
  <c r="AK104" i="21"/>
  <c r="AK148" i="21"/>
  <c r="AK204" i="21"/>
  <c r="AH87" i="21"/>
  <c r="AH179" i="21"/>
  <c r="AH238" i="21"/>
  <c r="T229" i="21"/>
  <c r="T228" i="21"/>
  <c r="AO20" i="21"/>
  <c r="AO44" i="21"/>
  <c r="AO28" i="21"/>
  <c r="AO52" i="21"/>
  <c r="AO54" i="21"/>
  <c r="AG159" i="21"/>
  <c r="AG217" i="21"/>
  <c r="AG215" i="21"/>
  <c r="L216" i="21"/>
  <c r="L159" i="21"/>
  <c r="E213" i="21"/>
  <c r="E156" i="21"/>
  <c r="AZ56" i="21"/>
  <c r="AZ58" i="21"/>
  <c r="AZ55" i="21"/>
  <c r="N34" i="21"/>
  <c r="N102" i="21"/>
  <c r="N35" i="21"/>
  <c r="T58" i="21"/>
  <c r="T56" i="21"/>
  <c r="T55" i="21"/>
  <c r="T99" i="21"/>
  <c r="U177" i="21"/>
  <c r="U236" i="21"/>
  <c r="U103" i="21"/>
  <c r="U145" i="21"/>
  <c r="U201" i="21" s="1"/>
  <c r="O122" i="21"/>
  <c r="BF117" i="21"/>
  <c r="O119" i="21"/>
  <c r="P117" i="21"/>
  <c r="BQ34" i="21"/>
  <c r="BQ35" i="21"/>
  <c r="AB88" i="21"/>
  <c r="AB90" i="21"/>
  <c r="AB187" i="21"/>
  <c r="AB246" i="21"/>
  <c r="AB184" i="21"/>
  <c r="AB243" i="21"/>
  <c r="O267" i="21"/>
  <c r="O268" i="21"/>
  <c r="BZ213" i="21"/>
  <c r="AL139" i="21"/>
  <c r="AL195" i="21"/>
  <c r="AL155" i="21"/>
  <c r="AL193" i="21"/>
  <c r="AL145" i="21"/>
  <c r="AL201" i="21"/>
  <c r="AL140" i="21"/>
  <c r="AL196" i="21"/>
  <c r="AL146" i="21"/>
  <c r="AL202" i="21"/>
  <c r="BQ155" i="21"/>
  <c r="BQ193" i="21"/>
  <c r="BQ145" i="21"/>
  <c r="BQ201" i="21"/>
  <c r="BQ146" i="21"/>
  <c r="BQ202" i="21"/>
  <c r="AN155" i="21"/>
  <c r="AN139" i="21"/>
  <c r="AN195" i="21"/>
  <c r="AN143" i="21"/>
  <c r="AN140" i="21"/>
  <c r="AN196" i="21"/>
  <c r="AN193" i="21"/>
  <c r="AN146" i="21"/>
  <c r="AN202" i="21"/>
  <c r="AN145" i="21"/>
  <c r="AN201" i="21"/>
  <c r="AN142" i="21"/>
  <c r="O167" i="21"/>
  <c r="O225" i="21"/>
  <c r="O229" i="21"/>
  <c r="P167" i="21"/>
  <c r="BN172" i="21"/>
  <c r="AK229" i="21"/>
  <c r="AO228" i="21"/>
  <c r="AM259" i="21"/>
  <c r="AM262" i="21"/>
  <c r="AK228" i="21"/>
  <c r="AL259" i="21"/>
  <c r="AL261" i="21"/>
  <c r="AN259" i="21"/>
  <c r="F213" i="21"/>
  <c r="AK265" i="21"/>
  <c r="AV119" i="21"/>
  <c r="AW117" i="21"/>
  <c r="AV122" i="21"/>
  <c r="AA176" i="21"/>
  <c r="AA235" i="21"/>
  <c r="AA231" i="21"/>
  <c r="P228" i="21"/>
  <c r="O228" i="21"/>
  <c r="BJ114" i="21"/>
  <c r="BJ154" i="21"/>
  <c r="BJ49" i="21"/>
  <c r="AD225" i="21"/>
  <c r="AD167" i="21"/>
  <c r="AH167" i="21"/>
  <c r="BK55" i="21"/>
  <c r="Z30" i="21"/>
  <c r="Z47" i="21"/>
  <c r="AZ49" i="21"/>
  <c r="AZ114" i="21"/>
  <c r="AZ154" i="21"/>
  <c r="AZ229" i="21"/>
  <c r="AZ226" i="21"/>
  <c r="BY55" i="21"/>
  <c r="BY58" i="21"/>
  <c r="BY56" i="21"/>
  <c r="AF88" i="21"/>
  <c r="AF90" i="21"/>
  <c r="AF187" i="21"/>
  <c r="AF246" i="21"/>
  <c r="AF184" i="21"/>
  <c r="AF243" i="21"/>
  <c r="BU155" i="21"/>
  <c r="BU145" i="21"/>
  <c r="BU201" i="21"/>
  <c r="BU193" i="21"/>
  <c r="BU146" i="21"/>
  <c r="BU202" i="21"/>
  <c r="AP87" i="21"/>
  <c r="AR104" i="21"/>
  <c r="AQ104" i="21"/>
  <c r="AQ148" i="21"/>
  <c r="AQ204" i="21"/>
  <c r="AS104" i="21"/>
  <c r="AP179" i="21"/>
  <c r="AP238" i="21"/>
  <c r="BM186" i="21"/>
  <c r="BM245" i="21"/>
  <c r="BM93" i="21"/>
  <c r="E186" i="21"/>
  <c r="E245" i="21"/>
  <c r="E90" i="21"/>
  <c r="E187" i="21"/>
  <c r="E246" i="21"/>
  <c r="E93" i="21"/>
  <c r="AM160" i="21"/>
  <c r="AM199" i="21"/>
  <c r="CC34" i="21"/>
  <c r="CC35" i="21"/>
  <c r="AT231" i="21"/>
  <c r="AT176" i="21"/>
  <c r="AT235" i="21"/>
  <c r="AY143" i="21"/>
  <c r="AY134" i="21"/>
  <c r="AY45" i="21"/>
  <c r="AT179" i="21"/>
  <c r="AT238" i="21"/>
  <c r="AT87" i="21"/>
  <c r="AE88" i="21"/>
  <c r="AE184" i="21"/>
  <c r="AE243" i="21"/>
  <c r="AZ119" i="21"/>
  <c r="AZ122" i="21"/>
  <c r="AZ124" i="21"/>
  <c r="BA117" i="21"/>
  <c r="CH47" i="21"/>
  <c r="CH30" i="21"/>
  <c r="W88" i="21"/>
  <c r="W184" i="21"/>
  <c r="W243" i="21"/>
  <c r="R212" i="21"/>
  <c r="R214" i="21"/>
  <c r="R156" i="21"/>
  <c r="W35" i="21"/>
  <c r="W34" i="21"/>
  <c r="AY190" i="21"/>
  <c r="AY249" i="21"/>
  <c r="AY265" i="21"/>
  <c r="AM135" i="21"/>
  <c r="AM191" i="21"/>
  <c r="AM250" i="21"/>
  <c r="AM271" i="21"/>
  <c r="AM142" i="21"/>
  <c r="AM149" i="21"/>
  <c r="AM205" i="21"/>
  <c r="AT104" i="21"/>
  <c r="AT148" i="21" s="1"/>
  <c r="AT204" i="21" s="1"/>
  <c r="BG90" i="21"/>
  <c r="BG187" i="21"/>
  <c r="BG246" i="21"/>
  <c r="BG186" i="21"/>
  <c r="BG245" i="21"/>
  <c r="BG93" i="21"/>
  <c r="AS124" i="21"/>
  <c r="AK218" i="21"/>
  <c r="AC214" i="21"/>
  <c r="AY88" i="21"/>
  <c r="AY184" i="21"/>
  <c r="AY243" i="21"/>
  <c r="AY90" i="21"/>
  <c r="AY187" i="21"/>
  <c r="AY246" i="21"/>
  <c r="L34" i="21"/>
  <c r="L102" i="21"/>
  <c r="L35" i="21"/>
  <c r="AK219" i="21"/>
  <c r="AK35" i="21"/>
  <c r="AK34" i="21"/>
  <c r="AU104" i="21"/>
  <c r="K232" i="21"/>
  <c r="K176" i="21"/>
  <c r="K235" i="21"/>
  <c r="S226" i="21"/>
  <c r="S229" i="21"/>
  <c r="T226" i="21"/>
  <c r="AQ191" i="21"/>
  <c r="AQ250" i="21"/>
  <c r="AQ270" i="21"/>
  <c r="AQ149" i="21"/>
  <c r="AQ205" i="21"/>
  <c r="AQ135" i="21"/>
  <c r="AQ142" i="21"/>
  <c r="BM212" i="21"/>
  <c r="BM214" i="21"/>
  <c r="BM156" i="21"/>
  <c r="BZ226" i="21"/>
  <c r="BH225" i="21"/>
  <c r="BH170" i="21"/>
  <c r="BH167" i="21"/>
  <c r="BL167" i="21"/>
  <c r="AC186" i="21"/>
  <c r="AC245" i="21"/>
  <c r="AC93" i="21"/>
  <c r="BE184" i="21"/>
  <c r="BE243" i="21"/>
  <c r="BE88" i="21"/>
  <c r="BE90" i="21"/>
  <c r="BE187" i="21"/>
  <c r="BE246" i="21"/>
  <c r="AN186" i="21"/>
  <c r="AN245" i="21"/>
  <c r="AN93" i="21"/>
  <c r="AN90" i="21"/>
  <c r="AN187" i="21"/>
  <c r="AN246" i="21"/>
  <c r="AI114" i="21"/>
  <c r="AI154" i="21"/>
  <c r="AI49" i="21"/>
  <c r="BV229" i="21"/>
  <c r="AY148" i="21"/>
  <c r="AY204" i="21"/>
  <c r="T47" i="21"/>
  <c r="T30" i="21"/>
  <c r="AY253" i="21"/>
  <c r="AY262" i="21"/>
  <c r="AQ159" i="21"/>
  <c r="AQ217" i="21"/>
  <c r="AQ219" i="21"/>
  <c r="AQ215" i="21"/>
  <c r="AQ218" i="21"/>
  <c r="Q88" i="21"/>
  <c r="Q184" i="21"/>
  <c r="Q243" i="21"/>
  <c r="Q90" i="21"/>
  <c r="Q187" i="21"/>
  <c r="Q246" i="21"/>
  <c r="BH28" i="21"/>
  <c r="BH20" i="21"/>
  <c r="BH52" i="21"/>
  <c r="BH54" i="21"/>
  <c r="BH44" i="21"/>
  <c r="AH49" i="21"/>
  <c r="AH154" i="21"/>
  <c r="AH114" i="21"/>
  <c r="BW186" i="21"/>
  <c r="BW245" i="21"/>
  <c r="BW93" i="21"/>
  <c r="N184" i="21"/>
  <c r="N243" i="21"/>
  <c r="N88" i="21"/>
  <c r="Q34" i="21"/>
  <c r="Q35" i="21"/>
  <c r="Q102" i="21"/>
  <c r="AI88" i="21"/>
  <c r="AI184" i="21"/>
  <c r="AI243" i="21"/>
  <c r="AI90" i="21"/>
  <c r="AI187" i="21"/>
  <c r="AI246" i="21"/>
  <c r="K214" i="21"/>
  <c r="BO90" i="21"/>
  <c r="BO187" i="21"/>
  <c r="BO246" i="21"/>
  <c r="BO93" i="21"/>
  <c r="BO186" i="21"/>
  <c r="BO245" i="21"/>
  <c r="BD52" i="21"/>
  <c r="BD54" i="21"/>
  <c r="BD20" i="21"/>
  <c r="BD28" i="21"/>
  <c r="BD44" i="21"/>
  <c r="AZ93" i="21"/>
  <c r="AZ186" i="21"/>
  <c r="AZ245" i="21"/>
  <c r="AH225" i="21"/>
  <c r="AH170" i="21"/>
  <c r="AL167" i="21"/>
  <c r="S30" i="21"/>
  <c r="S47" i="21"/>
  <c r="F156" i="21"/>
  <c r="AC148" i="21"/>
  <c r="AC204" i="21"/>
  <c r="BM226" i="21"/>
  <c r="AK270" i="21"/>
  <c r="K156" i="21"/>
  <c r="BB225" i="21"/>
  <c r="BB167" i="21"/>
  <c r="BB170" i="21"/>
  <c r="CH90" i="21"/>
  <c r="CH186" i="21"/>
  <c r="CH245" i="21"/>
  <c r="CH93" i="21"/>
  <c r="AK49" i="21"/>
  <c r="AK154" i="21"/>
  <c r="AK114" i="21"/>
  <c r="BP186" i="21"/>
  <c r="BP245" i="21"/>
  <c r="BP93" i="21"/>
  <c r="BP90" i="21"/>
  <c r="BP187" i="21"/>
  <c r="BP246" i="21"/>
  <c r="X191" i="21"/>
  <c r="X250" i="21"/>
  <c r="AB270" i="21"/>
  <c r="BM47" i="21"/>
  <c r="BM30" i="21"/>
  <c r="AJ154" i="21"/>
  <c r="AJ49" i="21"/>
  <c r="AJ114" i="21"/>
  <c r="BA184" i="21"/>
  <c r="BA243" i="21"/>
  <c r="BA88" i="21"/>
  <c r="CD90" i="21"/>
  <c r="CD91" i="21"/>
  <c r="L215" i="21"/>
  <c r="L218" i="21"/>
  <c r="L160" i="21"/>
  <c r="BD167" i="21"/>
  <c r="BD170" i="21"/>
  <c r="BD225" i="21"/>
  <c r="S90" i="21"/>
  <c r="S187" i="21"/>
  <c r="S246" i="21"/>
  <c r="S93" i="21"/>
  <c r="S186" i="21"/>
  <c r="S245" i="21"/>
  <c r="BK184" i="21"/>
  <c r="BK243" i="21"/>
  <c r="BK88" i="21"/>
  <c r="AQ90" i="21"/>
  <c r="AQ187" i="21"/>
  <c r="AQ246" i="21"/>
  <c r="AQ93" i="21"/>
  <c r="AQ186" i="21"/>
  <c r="AQ245" i="21"/>
  <c r="AQ199" i="21"/>
  <c r="AQ160" i="21"/>
  <c r="BM56" i="21"/>
  <c r="BM58" i="21"/>
  <c r="M102" i="21"/>
  <c r="M34" i="21"/>
  <c r="M35" i="21"/>
  <c r="I48" i="21"/>
  <c r="I157" i="21"/>
  <c r="I190" i="21"/>
  <c r="I249" i="21"/>
  <c r="I265" i="21"/>
  <c r="I130" i="21"/>
  <c r="I134" i="21"/>
  <c r="I143" i="21"/>
  <c r="I199" i="21"/>
  <c r="I45" i="21"/>
  <c r="AC90" i="21"/>
  <c r="AC187" i="21"/>
  <c r="AC246" i="21"/>
  <c r="F35" i="21"/>
  <c r="Z35" i="21"/>
  <c r="F34" i="21"/>
  <c r="F102" i="21"/>
  <c r="K87" i="21"/>
  <c r="K184" i="21"/>
  <c r="K243" i="21"/>
  <c r="K104" i="21"/>
  <c r="K179" i="21"/>
  <c r="K238" i="21"/>
  <c r="AF215" i="21"/>
  <c r="AF159" i="21"/>
  <c r="AF217" i="21"/>
  <c r="G130" i="21"/>
  <c r="G190" i="21"/>
  <c r="G249" i="21"/>
  <c r="G265" i="21"/>
  <c r="G45" i="21"/>
  <c r="G157" i="21"/>
  <c r="G143" i="21"/>
  <c r="G199" i="21"/>
  <c r="G134" i="21"/>
  <c r="CH140" i="21"/>
  <c r="CH196" i="21"/>
  <c r="CH262" i="21"/>
  <c r="CH139" i="21"/>
  <c r="CH195" i="21"/>
  <c r="BW225" i="21"/>
  <c r="BW167" i="21"/>
  <c r="BW170" i="21"/>
  <c r="J134" i="21"/>
  <c r="J190" i="21"/>
  <c r="J249" i="21"/>
  <c r="J265" i="21"/>
  <c r="J45" i="21"/>
  <c r="J48" i="21"/>
  <c r="J130" i="21"/>
  <c r="J143" i="21"/>
  <c r="J199" i="21"/>
  <c r="J157" i="21"/>
  <c r="AX214" i="21"/>
  <c r="K47" i="21"/>
  <c r="K30" i="21"/>
  <c r="AK93" i="21"/>
  <c r="AK186" i="21"/>
  <c r="AK245" i="21"/>
  <c r="AK90" i="21"/>
  <c r="AK187" i="21"/>
  <c r="AK246" i="21"/>
  <c r="BV47" i="21"/>
  <c r="BV30" i="21"/>
  <c r="BV34" i="21"/>
  <c r="BF170" i="21"/>
  <c r="BE34" i="21"/>
  <c r="BE35" i="21"/>
  <c r="AU88" i="21"/>
  <c r="AU184" i="21"/>
  <c r="AU243" i="21"/>
  <c r="D91" i="21"/>
  <c r="D188" i="21"/>
  <c r="D247" i="21"/>
  <c r="D187" i="21"/>
  <c r="D246" i="21"/>
  <c r="BG47" i="21"/>
  <c r="BG30" i="21"/>
  <c r="X88" i="21"/>
  <c r="X90" i="21"/>
  <c r="X184" i="21"/>
  <c r="X243" i="21"/>
  <c r="AU35" i="21"/>
  <c r="AU34" i="21"/>
  <c r="BI56" i="21"/>
  <c r="BI58" i="21"/>
  <c r="BM55" i="21"/>
  <c r="BI55" i="21"/>
  <c r="BB55" i="21"/>
  <c r="BB56" i="21"/>
  <c r="BB58" i="21"/>
  <c r="CD30" i="21"/>
  <c r="CD47" i="21"/>
  <c r="BD90" i="21"/>
  <c r="BD187" i="21"/>
  <c r="BD246" i="21"/>
  <c r="BD186" i="21"/>
  <c r="BD245" i="21"/>
  <c r="BD93" i="21"/>
  <c r="BC268" i="21"/>
  <c r="BC267" i="21"/>
  <c r="Z199" i="21"/>
  <c r="Z160" i="21"/>
  <c r="BW20" i="21"/>
  <c r="BW44" i="21"/>
  <c r="BW28" i="21"/>
  <c r="BW52" i="21"/>
  <c r="BW54" i="21"/>
  <c r="BW99" i="21"/>
  <c r="BX98" i="21"/>
  <c r="G48" i="21"/>
  <c r="BU229" i="21"/>
  <c r="BU226" i="21"/>
  <c r="AC226" i="21"/>
  <c r="AC229" i="21"/>
  <c r="Z184" i="21"/>
  <c r="Z243" i="21"/>
  <c r="Z88" i="21"/>
  <c r="Z90" i="21"/>
  <c r="Z187" i="21"/>
  <c r="Z246" i="21"/>
  <c r="X229" i="21"/>
  <c r="AB226" i="21"/>
  <c r="BE268" i="21"/>
  <c r="BE267" i="21"/>
  <c r="BV56" i="21"/>
  <c r="BV58" i="21"/>
  <c r="BV55" i="21"/>
  <c r="AJ215" i="21"/>
  <c r="AJ159" i="21"/>
  <c r="AJ217" i="21"/>
  <c r="BW98" i="21"/>
  <c r="BF52" i="21"/>
  <c r="BF54" i="21"/>
  <c r="BF28" i="21"/>
  <c r="BG98" i="21"/>
  <c r="BH98" i="21"/>
  <c r="BF44" i="21"/>
  <c r="BI98" i="21"/>
  <c r="BF20" i="21"/>
  <c r="D93" i="21"/>
  <c r="D186" i="21"/>
  <c r="D245" i="21"/>
  <c r="K261" i="21"/>
  <c r="K253" i="21"/>
  <c r="K262" i="21"/>
  <c r="AL44" i="21"/>
  <c r="AL20" i="21"/>
  <c r="AM98" i="21"/>
  <c r="AL98" i="21"/>
  <c r="AN98" i="21"/>
  <c r="AL28" i="21"/>
  <c r="BI30" i="21"/>
  <c r="BI47" i="21"/>
  <c r="BB30" i="21"/>
  <c r="BB34" i="21"/>
  <c r="BB47" i="21"/>
  <c r="BJ267" i="21"/>
  <c r="BJ268" i="21"/>
  <c r="AM30" i="21"/>
  <c r="AM47" i="21"/>
  <c r="BB268" i="21"/>
  <c r="BB267" i="21"/>
  <c r="AU114" i="21"/>
  <c r="AU49" i="21"/>
  <c r="AU154" i="21"/>
  <c r="BX114" i="21"/>
  <c r="BX154" i="21"/>
  <c r="I179" i="21"/>
  <c r="I238" i="21"/>
  <c r="I104" i="21"/>
  <c r="I87" i="21"/>
  <c r="M48" i="21"/>
  <c r="M45" i="21"/>
  <c r="M157" i="21"/>
  <c r="M190" i="21"/>
  <c r="M249" i="21"/>
  <c r="M265" i="21"/>
  <c r="M143" i="21"/>
  <c r="M199" i="21"/>
  <c r="M134" i="21"/>
  <c r="M130" i="21"/>
  <c r="I30" i="21"/>
  <c r="I47" i="21"/>
  <c r="CD58" i="21"/>
  <c r="CD56" i="21"/>
  <c r="E159" i="21"/>
  <c r="E215" i="21"/>
  <c r="E218" i="21"/>
  <c r="D212" i="21"/>
  <c r="D214" i="21"/>
  <c r="D156" i="21"/>
  <c r="AL229" i="21"/>
  <c r="AP228" i="21"/>
  <c r="AO259" i="21"/>
  <c r="AL228" i="21"/>
  <c r="BV99" i="21"/>
  <c r="BU55" i="21"/>
  <c r="BU99" i="21"/>
  <c r="BU58" i="21"/>
  <c r="BU56" i="21"/>
  <c r="AC149" i="21"/>
  <c r="AC205" i="21"/>
  <c r="AC191" i="21"/>
  <c r="AC250" i="21"/>
  <c r="AC271" i="21"/>
  <c r="AC142" i="21"/>
  <c r="AC135" i="21"/>
  <c r="K229" i="21"/>
  <c r="K226" i="21"/>
  <c r="BH154" i="21"/>
  <c r="BH49" i="21"/>
  <c r="BH114" i="21"/>
  <c r="M253" i="21"/>
  <c r="M262" i="21"/>
  <c r="M261" i="21"/>
  <c r="AY159" i="21"/>
  <c r="AY217" i="21"/>
  <c r="AY219" i="21"/>
  <c r="AY215" i="21"/>
  <c r="AY218" i="21"/>
  <c r="AA161" i="21"/>
  <c r="AA198" i="21"/>
  <c r="AM58" i="21"/>
  <c r="AM55" i="21"/>
  <c r="AM56" i="21"/>
  <c r="Z215" i="21"/>
  <c r="Z218" i="21"/>
  <c r="Z159" i="21"/>
  <c r="Z217" i="21"/>
  <c r="Z219" i="21"/>
  <c r="AV154" i="21"/>
  <c r="AV49" i="21"/>
  <c r="AV114" i="21"/>
  <c r="BY114" i="21"/>
  <c r="BY154" i="21"/>
  <c r="BB122" i="21"/>
  <c r="N124" i="21"/>
  <c r="AN58" i="21"/>
  <c r="AN56" i="21"/>
  <c r="AR55" i="21"/>
  <c r="AN55" i="21"/>
  <c r="AH30" i="21"/>
  <c r="AH102" i="21"/>
  <c r="AH47" i="21"/>
  <c r="AI148" i="21"/>
  <c r="AI204" i="21"/>
  <c r="AL262" i="21"/>
  <c r="BH259" i="21"/>
  <c r="BF228" i="21"/>
  <c r="BF259" i="21"/>
  <c r="BI259" i="21"/>
  <c r="BG259" i="21"/>
  <c r="BJ228" i="21"/>
  <c r="AJ149" i="21"/>
  <c r="AJ205" i="21"/>
  <c r="AJ135" i="21"/>
  <c r="AJ191" i="21"/>
  <c r="AJ250" i="21"/>
  <c r="AJ142" i="21"/>
  <c r="AV47" i="21"/>
  <c r="AV30" i="21"/>
  <c r="BZ98" i="21"/>
  <c r="AC99" i="21"/>
  <c r="Z58" i="21"/>
  <c r="Z56" i="21"/>
  <c r="AA99" i="21"/>
  <c r="AD55" i="21"/>
  <c r="AB99" i="21"/>
  <c r="BI49" i="21"/>
  <c r="BI114" i="21"/>
  <c r="BI154" i="21"/>
  <c r="BI212" i="21"/>
  <c r="AG191" i="21"/>
  <c r="AG250" i="21"/>
  <c r="AG149" i="21"/>
  <c r="AG205" i="21"/>
  <c r="AG135" i="21"/>
  <c r="AY191" i="21"/>
  <c r="AY250" i="21"/>
  <c r="AY135" i="21"/>
  <c r="AY142" i="21"/>
  <c r="AY149" i="21"/>
  <c r="AY205" i="21"/>
  <c r="AF191" i="21"/>
  <c r="AF250" i="21"/>
  <c r="AF135" i="21"/>
  <c r="AF149" i="21"/>
  <c r="AF205" i="21"/>
  <c r="E191" i="21"/>
  <c r="E250" i="21"/>
  <c r="E149" i="21"/>
  <c r="E205" i="21"/>
  <c r="E135" i="21"/>
  <c r="E142" i="21"/>
  <c r="E198" i="21"/>
  <c r="Z142" i="21"/>
  <c r="Z191" i="21"/>
  <c r="Z250" i="21"/>
  <c r="Z271" i="21"/>
  <c r="Z135" i="21"/>
  <c r="Z149" i="21"/>
  <c r="Z205" i="21"/>
  <c r="AT225" i="21"/>
  <c r="AX226" i="21"/>
  <c r="AX167" i="21"/>
  <c r="BW154" i="21"/>
  <c r="BW114" i="21"/>
  <c r="BI213" i="21"/>
  <c r="BI214" i="21"/>
  <c r="BF167" i="21"/>
  <c r="BF225" i="21"/>
  <c r="BF226" i="21"/>
  <c r="AB34" i="21"/>
  <c r="AB35" i="21"/>
  <c r="AD35" i="21"/>
  <c r="AD102" i="21"/>
  <c r="AE102" i="21"/>
  <c r="BF98" i="21"/>
  <c r="BQ93" i="21"/>
  <c r="BQ186" i="21"/>
  <c r="BQ245" i="21"/>
  <c r="BR88" i="21"/>
  <c r="BR186" i="21"/>
  <c r="BR245" i="21"/>
  <c r="AS34" i="21"/>
  <c r="AS35" i="21"/>
  <c r="AX99" i="21"/>
  <c r="AV58" i="21"/>
  <c r="AV56" i="21"/>
  <c r="AV55" i="21"/>
  <c r="AC216" i="21"/>
  <c r="AC159" i="21"/>
  <c r="AC217" i="21"/>
  <c r="AC219" i="21"/>
  <c r="BG114" i="21"/>
  <c r="BG154" i="21"/>
  <c r="BG49" i="21"/>
  <c r="K190" i="21"/>
  <c r="K249" i="21"/>
  <c r="K265" i="21"/>
  <c r="K45" i="21"/>
  <c r="K134" i="21"/>
  <c r="K130" i="21"/>
  <c r="K143" i="21"/>
  <c r="K199" i="21"/>
  <c r="K48" i="21"/>
  <c r="K157" i="21"/>
  <c r="AP157" i="21"/>
  <c r="AP130" i="21"/>
  <c r="AP45" i="21"/>
  <c r="AP134" i="21"/>
  <c r="AP143" i="21"/>
  <c r="AP190" i="21"/>
  <c r="AP249" i="21"/>
  <c r="AP265" i="21"/>
  <c r="AP48" i="21"/>
  <c r="BO34" i="21"/>
  <c r="BO35" i="21"/>
  <c r="AX228" i="21"/>
  <c r="AT228" i="21"/>
  <c r="AU259" i="21"/>
  <c r="AU261" i="21"/>
  <c r="AT259" i="21"/>
  <c r="AT262" i="21"/>
  <c r="AW259" i="21"/>
  <c r="AV259" i="21"/>
  <c r="F190" i="21"/>
  <c r="F249" i="21"/>
  <c r="F265" i="21"/>
  <c r="F48" i="21"/>
  <c r="F157" i="21"/>
  <c r="F130" i="21"/>
  <c r="F134" i="21"/>
  <c r="F45" i="21"/>
  <c r="F143" i="21"/>
  <c r="F199" i="21"/>
  <c r="BU93" i="21"/>
  <c r="BU186" i="21"/>
  <c r="BU245" i="21"/>
  <c r="AW49" i="21"/>
  <c r="AW154" i="21"/>
  <c r="AW114" i="21"/>
  <c r="AM229" i="21"/>
  <c r="AM226" i="21"/>
  <c r="I54" i="21"/>
  <c r="AL52" i="21"/>
  <c r="AL54" i="21"/>
  <c r="X215" i="21"/>
  <c r="X159" i="21"/>
  <c r="X217" i="21"/>
  <c r="AV124" i="21"/>
  <c r="E160" i="21"/>
  <c r="AM156" i="21"/>
  <c r="AN47" i="21"/>
  <c r="AN30" i="21"/>
  <c r="BX34" i="21"/>
  <c r="BX35" i="21"/>
  <c r="AJ160" i="21"/>
  <c r="AJ199" i="21"/>
  <c r="AE35" i="21"/>
  <c r="AH35" i="21"/>
  <c r="AE34" i="21"/>
  <c r="AG102" i="21"/>
  <c r="AF102" i="21"/>
  <c r="AX140" i="21"/>
  <c r="AX196" i="21"/>
  <c r="AX139" i="21"/>
  <c r="AX195" i="21"/>
  <c r="AX252" i="21"/>
  <c r="AX124" i="21"/>
  <c r="AO212" i="21"/>
  <c r="AO214" i="21"/>
  <c r="AO156" i="21"/>
  <c r="L264" i="21"/>
  <c r="L271" i="21"/>
  <c r="AN229" i="21"/>
  <c r="AN226" i="21"/>
  <c r="AR226" i="21"/>
  <c r="AD45" i="21"/>
  <c r="AD48" i="21"/>
  <c r="AD134" i="21"/>
  <c r="AD190" i="21"/>
  <c r="AD249" i="21"/>
  <c r="AD157" i="21"/>
  <c r="AD143" i="21"/>
  <c r="AD130" i="21"/>
  <c r="AD148" i="21"/>
  <c r="AD204" i="21"/>
  <c r="K55" i="21"/>
  <c r="K99" i="21"/>
  <c r="K58" i="21"/>
  <c r="K56" i="21"/>
  <c r="AY267" i="21"/>
  <c r="BA267" i="21"/>
  <c r="AZ267" i="21"/>
  <c r="CH124" i="21"/>
  <c r="AV226" i="21"/>
  <c r="AV229" i="21"/>
  <c r="AG226" i="21"/>
  <c r="AG229" i="21"/>
  <c r="AK226" i="21"/>
  <c r="BD268" i="21"/>
  <c r="BD267" i="21"/>
  <c r="AJ88" i="21"/>
  <c r="AJ90" i="21"/>
  <c r="AJ187" i="21"/>
  <c r="AJ246" i="21"/>
  <c r="AJ184" i="21"/>
  <c r="AJ243" i="21"/>
  <c r="BC117" i="21"/>
  <c r="BB119" i="21"/>
  <c r="O91" i="21"/>
  <c r="O187" i="21"/>
  <c r="O246" i="21"/>
  <c r="T88" i="21"/>
  <c r="T184" i="21"/>
  <c r="T243" i="21"/>
  <c r="BN226" i="21"/>
  <c r="BJ226" i="21"/>
  <c r="BJ229" i="21"/>
  <c r="AH219" i="21"/>
  <c r="AH218" i="21"/>
  <c r="AY58" i="21"/>
  <c r="AY55" i="21"/>
  <c r="AY56" i="21"/>
  <c r="AZ99" i="21"/>
  <c r="BB99" i="21"/>
  <c r="BA99" i="21"/>
  <c r="AY99" i="21"/>
  <c r="CB58" i="21"/>
  <c r="CB56" i="21"/>
  <c r="AV184" i="21"/>
  <c r="AV243" i="21"/>
  <c r="AV88" i="21"/>
  <c r="AX88" i="21" s="1"/>
  <c r="AV90" i="21"/>
  <c r="AV187" i="21"/>
  <c r="AV246" i="21"/>
  <c r="O139" i="21"/>
  <c r="O195" i="21"/>
  <c r="O252" i="21"/>
  <c r="O140" i="21"/>
  <c r="O196" i="21"/>
  <c r="E214" i="21"/>
  <c r="AS157" i="21"/>
  <c r="AS130" i="21"/>
  <c r="AS148" i="21"/>
  <c r="AS204" i="21"/>
  <c r="AS190" i="21"/>
  <c r="AS249" i="21"/>
  <c r="AS265" i="21"/>
  <c r="AS48" i="21"/>
  <c r="AS134" i="21"/>
  <c r="AS143" i="21"/>
  <c r="AS45" i="21"/>
  <c r="H215" i="21"/>
  <c r="H218" i="21"/>
  <c r="H159" i="21"/>
  <c r="H160" i="21"/>
  <c r="AG161" i="21"/>
  <c r="AG198" i="21"/>
  <c r="AN161" i="21"/>
  <c r="AN198" i="21"/>
  <c r="BG117" i="21"/>
  <c r="BF119" i="21"/>
  <c r="AO47" i="21"/>
  <c r="AO30" i="21"/>
  <c r="AT212" i="21"/>
  <c r="AT214" i="21"/>
  <c r="AT156" i="21"/>
  <c r="BN228" i="21"/>
  <c r="BQ259" i="21"/>
  <c r="BN229" i="21"/>
  <c r="BS213" i="21"/>
  <c r="BS214" i="21"/>
  <c r="BS156" i="21"/>
  <c r="AR34" i="21"/>
  <c r="AR35" i="21"/>
  <c r="AT215" i="21"/>
  <c r="AT218" i="21"/>
  <c r="AT159" i="21"/>
  <c r="AT217" i="21"/>
  <c r="AT219" i="21"/>
  <c r="AE268" i="21"/>
  <c r="AE267" i="21"/>
  <c r="AE265" i="21"/>
  <c r="AE261" i="21"/>
  <c r="AC264" i="21"/>
  <c r="AC262" i="21"/>
  <c r="AC268" i="21"/>
  <c r="AC265" i="21"/>
  <c r="AC267" i="21"/>
  <c r="AC261" i="21"/>
  <c r="BC30" i="21"/>
  <c r="BC47" i="21"/>
  <c r="AB186" i="21"/>
  <c r="AB245" i="21"/>
  <c r="AB93" i="21"/>
  <c r="AR253" i="21"/>
  <c r="AR262" i="21"/>
  <c r="AR261" i="21"/>
  <c r="AA262" i="21"/>
  <c r="AA268" i="21"/>
  <c r="AA261" i="21"/>
  <c r="AA264" i="21"/>
  <c r="AA265" i="21"/>
  <c r="AA267" i="21"/>
  <c r="AB102" i="21"/>
  <c r="Z34" i="21"/>
  <c r="AC102" i="21"/>
  <c r="AA102" i="21"/>
  <c r="Z102" i="21"/>
  <c r="AP184" i="21"/>
  <c r="AP243" i="21"/>
  <c r="AP88" i="21"/>
  <c r="AI215" i="21"/>
  <c r="AI218" i="21"/>
  <c r="AI159" i="21"/>
  <c r="AI217" i="21"/>
  <c r="AI219" i="21"/>
  <c r="M93" i="21"/>
  <c r="M186" i="21"/>
  <c r="M245" i="21"/>
  <c r="AP49" i="21"/>
  <c r="AP114" i="21"/>
  <c r="AP154" i="21"/>
  <c r="AE262" i="21"/>
  <c r="AD93" i="21"/>
  <c r="AD186" i="21"/>
  <c r="AD245" i="21"/>
  <c r="BZ87" i="21"/>
  <c r="BZ184" i="21" s="1"/>
  <c r="BZ243" i="21" s="1"/>
  <c r="BL34" i="21"/>
  <c r="BL35" i="21"/>
  <c r="BN102" i="21"/>
  <c r="BO102" i="21"/>
  <c r="AY226" i="21"/>
  <c r="AY229" i="21"/>
  <c r="AG184" i="21"/>
  <c r="AG243" i="21"/>
  <c r="AG88" i="21"/>
  <c r="AG90" i="21"/>
  <c r="AG187" i="21"/>
  <c r="AG246" i="21"/>
  <c r="P35" i="21"/>
  <c r="P34" i="21"/>
  <c r="P102" i="21"/>
  <c r="AF213" i="21"/>
  <c r="AF156" i="21"/>
  <c r="AT199" i="21"/>
  <c r="AT160" i="21"/>
  <c r="AY212" i="21"/>
  <c r="AY214" i="21"/>
  <c r="AY156" i="21"/>
  <c r="AB267" i="21"/>
  <c r="AB265" i="21"/>
  <c r="AB261" i="21"/>
  <c r="AB268" i="21"/>
  <c r="AB262" i="21"/>
  <c r="BR228" i="21"/>
  <c r="BS259" i="21"/>
  <c r="BT259" i="21"/>
  <c r="BR259" i="21"/>
  <c r="BU259" i="21"/>
  <c r="BR229" i="21"/>
  <c r="BF184" i="21"/>
  <c r="BF243" i="21"/>
  <c r="AL215" i="21"/>
  <c r="AL159" i="21"/>
  <c r="AL217" i="21"/>
  <c r="G156" i="21"/>
  <c r="BR179" i="21"/>
  <c r="BR238" i="21"/>
  <c r="BR87" i="21"/>
  <c r="BT104" i="21"/>
  <c r="BS104" i="21"/>
  <c r="BR104" i="21"/>
  <c r="BU104" i="21"/>
  <c r="AO186" i="21"/>
  <c r="AO245" i="21"/>
  <c r="AO93" i="21"/>
  <c r="BN213" i="21"/>
  <c r="BN214" i="21"/>
  <c r="BN156" i="21"/>
  <c r="AZ212" i="21"/>
  <c r="AZ214" i="21"/>
  <c r="AZ156" i="21"/>
  <c r="BC99" i="21"/>
  <c r="AI160" i="21"/>
  <c r="AI199" i="21"/>
  <c r="AU159" i="21"/>
  <c r="AU217" i="21"/>
  <c r="AU219" i="21"/>
  <c r="AU215" i="21"/>
  <c r="AU218" i="21"/>
  <c r="BY267" i="21"/>
  <c r="BY268" i="21"/>
  <c r="AG213" i="21"/>
  <c r="AG214" i="21"/>
  <c r="AG156" i="21"/>
  <c r="BR213" i="21"/>
  <c r="BR214" i="21"/>
  <c r="BR156" i="21"/>
  <c r="BM267" i="21"/>
  <c r="BM268" i="21"/>
  <c r="AD226" i="21"/>
  <c r="AH226" i="21"/>
  <c r="G226" i="21"/>
  <c r="G229" i="21"/>
  <c r="H226" i="21"/>
  <c r="AM214" i="21"/>
  <c r="AM218" i="21"/>
  <c r="AM219" i="21"/>
  <c r="BJ212" i="21"/>
  <c r="BJ214" i="21"/>
  <c r="BJ156" i="21"/>
  <c r="F214" i="21"/>
  <c r="BN231" i="21"/>
  <c r="AP98" i="21"/>
  <c r="AI191" i="21"/>
  <c r="AI250" i="21"/>
  <c r="AI149" i="21"/>
  <c r="AI205" i="21"/>
  <c r="AI135" i="21"/>
  <c r="AI142" i="21"/>
  <c r="AR114" i="21"/>
  <c r="AR154" i="21"/>
  <c r="AR49" i="21"/>
  <c r="BE156" i="21"/>
  <c r="BE212" i="21"/>
  <c r="BE214" i="21"/>
  <c r="BM99" i="21"/>
  <c r="BL99" i="21"/>
  <c r="BJ56" i="21"/>
  <c r="BJ55" i="21"/>
  <c r="BJ58" i="21"/>
  <c r="BN55" i="21"/>
  <c r="BZ231" i="21"/>
  <c r="BZ176" i="21"/>
  <c r="BZ235" i="21"/>
  <c r="H142" i="21"/>
  <c r="H198" i="21"/>
  <c r="H191" i="21"/>
  <c r="H250" i="21"/>
  <c r="H149" i="21"/>
  <c r="H205" i="21"/>
  <c r="H135" i="21"/>
  <c r="H148" i="21"/>
  <c r="H204" i="21"/>
  <c r="BL156" i="21"/>
  <c r="BL212" i="21"/>
  <c r="BL214" i="21"/>
  <c r="AG160" i="21"/>
  <c r="AG199" i="21"/>
  <c r="AJ270" i="21"/>
  <c r="AH270" i="21"/>
  <c r="AF198" i="21"/>
  <c r="AF161" i="21"/>
  <c r="AR130" i="21"/>
  <c r="AR148" i="21"/>
  <c r="AR204" i="21"/>
  <c r="AR157" i="21"/>
  <c r="AR48" i="21"/>
  <c r="AR190" i="21"/>
  <c r="AR249" i="21"/>
  <c r="AR265" i="21"/>
  <c r="AR45" i="21"/>
  <c r="AR134" i="21"/>
  <c r="AR143" i="21"/>
  <c r="L184" i="21"/>
  <c r="L243" i="21"/>
  <c r="L88" i="21"/>
  <c r="L90" i="21"/>
  <c r="N261" i="21"/>
  <c r="N253" i="21"/>
  <c r="N262" i="21"/>
  <c r="BZ229" i="21"/>
  <c r="BP259" i="21"/>
  <c r="O156" i="21"/>
  <c r="O212" i="21"/>
  <c r="O214" i="21"/>
  <c r="BV268" i="21"/>
  <c r="BV267" i="21"/>
  <c r="AD229" i="21"/>
  <c r="AF259" i="21"/>
  <c r="AD228" i="21"/>
  <c r="AG259" i="21"/>
  <c r="AH228" i="21"/>
  <c r="AD259" i="21"/>
  <c r="AL265" i="21"/>
  <c r="G214" i="21"/>
  <c r="BR176" i="21"/>
  <c r="BR235" i="21"/>
  <c r="BR231" i="21"/>
  <c r="BP34" i="21"/>
  <c r="BP35" i="21"/>
  <c r="BQ102" i="21"/>
  <c r="BP102" i="21"/>
  <c r="AO58" i="21"/>
  <c r="AS55" i="21"/>
  <c r="AO55" i="21"/>
  <c r="AO56" i="21"/>
  <c r="AO99" i="21"/>
  <c r="AE156" i="21"/>
  <c r="AE213" i="21"/>
  <c r="BO267" i="21"/>
  <c r="BO268" i="21"/>
  <c r="BY226" i="21"/>
  <c r="BY229" i="21"/>
  <c r="BU213" i="21"/>
  <c r="BU214" i="21"/>
  <c r="BU156" i="21"/>
  <c r="L161" i="21"/>
  <c r="L217" i="21"/>
  <c r="L219" i="21"/>
  <c r="AQ47" i="21"/>
  <c r="AQ30" i="21"/>
  <c r="BL186" i="21"/>
  <c r="BL245" i="21"/>
  <c r="BL93" i="21"/>
  <c r="AS139" i="21"/>
  <c r="AS195" i="21"/>
  <c r="AS140" i="21"/>
  <c r="AS196" i="21"/>
  <c r="AS252" i="21"/>
  <c r="AO90" i="21"/>
  <c r="AO187" i="21"/>
  <c r="AO246" i="21"/>
  <c r="M226" i="21"/>
  <c r="L226" i="21"/>
  <c r="L229" i="21"/>
  <c r="AE160" i="21"/>
  <c r="AE199" i="21"/>
  <c r="BF122" i="21"/>
  <c r="BF124" i="21"/>
  <c r="O124" i="21"/>
  <c r="AP167" i="21"/>
  <c r="AP170" i="21"/>
  <c r="AP225" i="21"/>
  <c r="AT167" i="21"/>
  <c r="BU35" i="21"/>
  <c r="BV35" i="21"/>
  <c r="BU34" i="21"/>
  <c r="AU160" i="21"/>
  <c r="AU199" i="21"/>
  <c r="BV184" i="21"/>
  <c r="BV243" i="21"/>
  <c r="BC88" i="21"/>
  <c r="BC184" i="21"/>
  <c r="BC243" i="21"/>
  <c r="AD212" i="21"/>
  <c r="AD214" i="21"/>
  <c r="AD156" i="21"/>
  <c r="AU226" i="21"/>
  <c r="AQ226" i="21"/>
  <c r="AQ229" i="21"/>
  <c r="Z265" i="21"/>
  <c r="Z268" i="21"/>
  <c r="Z262" i="21"/>
  <c r="Z264" i="21"/>
  <c r="Z267" i="21"/>
  <c r="Z261" i="21"/>
  <c r="AY30" i="21"/>
  <c r="AY47" i="21"/>
  <c r="AV134" i="21"/>
  <c r="AV190" i="21"/>
  <c r="AV249" i="21"/>
  <c r="AV143" i="21"/>
  <c r="AV45" i="21"/>
  <c r="AV48" i="21"/>
  <c r="AV157" i="21"/>
  <c r="AV130" i="21"/>
  <c r="AV148" i="21"/>
  <c r="AV204" i="21"/>
  <c r="BQ213" i="21"/>
  <c r="BQ214" i="21"/>
  <c r="BQ156" i="21"/>
  <c r="AW119" i="21"/>
  <c r="AW122" i="21"/>
  <c r="AN262" i="21"/>
  <c r="AN265" i="21"/>
  <c r="AN264" i="21"/>
  <c r="AN268" i="21"/>
  <c r="AN261" i="21"/>
  <c r="AN267" i="21"/>
  <c r="AN160" i="21"/>
  <c r="AN199" i="21"/>
  <c r="M90" i="21"/>
  <c r="M187" i="21"/>
  <c r="M246" i="21"/>
  <c r="AS49" i="21"/>
  <c r="AS114" i="21"/>
  <c r="AS154" i="21"/>
  <c r="BI186" i="21"/>
  <c r="BI245" i="21"/>
  <c r="BI93" i="21"/>
  <c r="BZ267" i="21"/>
  <c r="BZ268" i="21"/>
  <c r="AA88" i="21"/>
  <c r="AA90" i="21"/>
  <c r="AA187" i="21"/>
  <c r="AA246" i="21"/>
  <c r="AA184" i="21"/>
  <c r="AA243" i="21"/>
  <c r="AU191" i="21"/>
  <c r="AU250" i="21"/>
  <c r="AU142" i="21"/>
  <c r="AU149" i="21"/>
  <c r="AU205" i="21"/>
  <c r="AU135" i="21"/>
  <c r="AU148" i="21"/>
  <c r="AU204" i="21"/>
  <c r="BT186" i="21"/>
  <c r="BT245" i="21"/>
  <c r="BT93" i="21"/>
  <c r="BV88" i="21"/>
  <c r="BV186" i="21"/>
  <c r="BV245" i="21"/>
  <c r="AA226" i="21"/>
  <c r="AA229" i="21"/>
  <c r="AE226" i="21"/>
  <c r="P91" i="21"/>
  <c r="P187" i="21"/>
  <c r="P246" i="21"/>
  <c r="AU253" i="21"/>
  <c r="AU262" i="21"/>
  <c r="AF160" i="21"/>
  <c r="AF199" i="21"/>
  <c r="BD212" i="21"/>
  <c r="BD214" i="21"/>
  <c r="BD156" i="21"/>
  <c r="BN259" i="21"/>
  <c r="BW268" i="21"/>
  <c r="BW267" i="21"/>
  <c r="AL160" i="21"/>
  <c r="AL199" i="21"/>
  <c r="O102" i="21"/>
  <c r="O35" i="21"/>
  <c r="O34" i="21"/>
  <c r="AT47" i="21"/>
  <c r="AT30" i="21"/>
  <c r="AN213" i="21"/>
  <c r="AN156" i="21"/>
  <c r="AJ218" i="21"/>
  <c r="AJ219" i="21"/>
  <c r="BP213" i="21"/>
  <c r="BP214" i="21"/>
  <c r="BP156" i="21"/>
  <c r="BC55" i="21"/>
  <c r="BC58" i="21"/>
  <c r="BC56" i="21"/>
  <c r="BF99" i="21"/>
  <c r="BD99" i="21"/>
  <c r="BE99" i="21"/>
  <c r="AM261" i="21"/>
  <c r="AM267" i="21"/>
  <c r="AM265" i="21"/>
  <c r="AM264" i="21"/>
  <c r="AM268" i="21"/>
  <c r="AE264" i="21"/>
  <c r="AE271" i="21"/>
  <c r="AE270" i="21"/>
  <c r="AR186" i="21"/>
  <c r="AR245" i="21"/>
  <c r="AR93" i="21"/>
  <c r="AL149" i="21"/>
  <c r="AL205" i="21"/>
  <c r="AL135" i="21"/>
  <c r="AL142" i="21"/>
  <c r="AL191" i="21"/>
  <c r="AL250" i="21"/>
  <c r="AL148" i="21"/>
  <c r="AL204" i="21"/>
  <c r="AL213" i="21"/>
  <c r="AL214" i="21"/>
  <c r="AL156" i="21"/>
  <c r="BK156" i="21"/>
  <c r="BK212" i="21"/>
  <c r="BK214" i="21"/>
  <c r="AP44" i="21"/>
  <c r="AP52" i="21"/>
  <c r="AP54" i="21"/>
  <c r="AP99" i="21"/>
  <c r="AP20" i="21"/>
  <c r="AP28" i="21"/>
  <c r="AS98" i="21"/>
  <c r="AZ35" i="21"/>
  <c r="AZ34" i="21"/>
  <c r="BC102" i="21"/>
  <c r="AF93" i="21"/>
  <c r="AF186" i="21"/>
  <c r="AF245" i="21"/>
  <c r="AV140" i="21"/>
  <c r="AV196" i="21"/>
  <c r="AV139" i="21"/>
  <c r="AV195" i="21"/>
  <c r="AV252" i="21"/>
  <c r="AL268" i="21"/>
  <c r="AL267" i="21"/>
  <c r="O226" i="21"/>
  <c r="P226" i="21"/>
  <c r="Q117" i="21"/>
  <c r="P119" i="21"/>
  <c r="P122" i="21"/>
  <c r="BJ117" i="21"/>
  <c r="AQ98" i="21"/>
  <c r="AH88" i="21"/>
  <c r="AH90" i="21"/>
  <c r="AH187" i="21"/>
  <c r="AH246" i="21"/>
  <c r="AH184" i="21"/>
  <c r="AH243" i="21"/>
  <c r="AQ114" i="21"/>
  <c r="AQ154" i="21"/>
  <c r="AQ49" i="21"/>
  <c r="AQ58" i="21"/>
  <c r="AU55" i="21"/>
  <c r="AQ56" i="21"/>
  <c r="AQ55" i="21"/>
  <c r="AT99" i="21"/>
  <c r="BJ47" i="21"/>
  <c r="BJ30" i="21"/>
  <c r="AC270" i="21"/>
  <c r="AA270" i="21"/>
  <c r="BL90" i="21"/>
  <c r="BL187" i="21"/>
  <c r="BL246" i="21"/>
  <c r="BJ99" i="21"/>
  <c r="BB212" i="21"/>
  <c r="BB214" i="21"/>
  <c r="BB156" i="21"/>
  <c r="BT213" i="21"/>
  <c r="BT214" i="21"/>
  <c r="BT156" i="21"/>
  <c r="P186" i="21"/>
  <c r="P245" i="21"/>
  <c r="P93" i="21"/>
  <c r="BJ88" i="21"/>
  <c r="AE198" i="21"/>
  <c r="AE161" i="21"/>
  <c r="AT142" i="21"/>
  <c r="AT149" i="21"/>
  <c r="AT205" i="21"/>
  <c r="AT191" i="21"/>
  <c r="AT250" i="21"/>
  <c r="AT135" i="21"/>
  <c r="F226" i="21"/>
  <c r="F229" i="21"/>
  <c r="BY35" i="21"/>
  <c r="BY34" i="21"/>
  <c r="AR90" i="21"/>
  <c r="AR187" i="21"/>
  <c r="AR246" i="21"/>
  <c r="BV102" i="21"/>
  <c r="CB47" i="21"/>
  <c r="CB30" i="21"/>
  <c r="AT58" i="21"/>
  <c r="AT56" i="21"/>
  <c r="AX55" i="21"/>
  <c r="AV99" i="21"/>
  <c r="AW99" i="21"/>
  <c r="AU99" i="21"/>
  <c r="BC212" i="21"/>
  <c r="BC214" i="21"/>
  <c r="BC156" i="21"/>
  <c r="BO213" i="21"/>
  <c r="BO214" i="21"/>
  <c r="BO156" i="21"/>
  <c r="AM198" i="21"/>
  <c r="AM161" i="21"/>
  <c r="W90" i="21"/>
  <c r="W93" i="21"/>
  <c r="BR93" i="21"/>
  <c r="W186" i="21"/>
  <c r="W245" i="21"/>
  <c r="AE90" i="21"/>
  <c r="AE187" i="21"/>
  <c r="AE246" i="21"/>
  <c r="AE93" i="21"/>
  <c r="AE186" i="21"/>
  <c r="AE245" i="21"/>
  <c r="AT184" i="21"/>
  <c r="AT243" i="21"/>
  <c r="AT88" i="21"/>
  <c r="AP90" i="21"/>
  <c r="AP187" i="21"/>
  <c r="AP246" i="21"/>
  <c r="CH34" i="21"/>
  <c r="CH35" i="21"/>
  <c r="CH102" i="21"/>
  <c r="BA122" i="21"/>
  <c r="BA119" i="21"/>
  <c r="BA124" i="21" s="1"/>
  <c r="BX99" i="21"/>
  <c r="I148" i="21"/>
  <c r="I204" i="21"/>
  <c r="AZ190" i="21"/>
  <c r="AZ249" i="21"/>
  <c r="AZ265" i="21"/>
  <c r="AZ48" i="21"/>
  <c r="AZ143" i="21"/>
  <c r="AZ134" i="21"/>
  <c r="AZ130" i="21"/>
  <c r="AZ45" i="21"/>
  <c r="AZ157" i="21"/>
  <c r="AY199" i="21"/>
  <c r="AY160" i="21"/>
  <c r="AT265" i="21"/>
  <c r="AY186" i="21"/>
  <c r="AY245" i="21"/>
  <c r="AY93" i="21"/>
  <c r="AZ139" i="21"/>
  <c r="AZ195" i="21"/>
  <c r="AZ140" i="21"/>
  <c r="AZ196" i="21"/>
  <c r="AZ252" i="21"/>
  <c r="I159" i="21"/>
  <c r="I215" i="21"/>
  <c r="I218" i="21"/>
  <c r="I160" i="21"/>
  <c r="AI212" i="21"/>
  <c r="AI214" i="21"/>
  <c r="AI156" i="21"/>
  <c r="AL226" i="21"/>
  <c r="AH229" i="21"/>
  <c r="AQ198" i="21"/>
  <c r="AQ161" i="21"/>
  <c r="BD226" i="21"/>
  <c r="BD229" i="21"/>
  <c r="BA90" i="21"/>
  <c r="BA187" i="21"/>
  <c r="BA246" i="21"/>
  <c r="BA186" i="21"/>
  <c r="BA245" i="21"/>
  <c r="BA93" i="21"/>
  <c r="BB88" i="21"/>
  <c r="N90" i="21"/>
  <c r="N186" i="21"/>
  <c r="N245" i="21"/>
  <c r="N93" i="21"/>
  <c r="BK99" i="21"/>
  <c r="BH55" i="21"/>
  <c r="BH58" i="21"/>
  <c r="BH56" i="21"/>
  <c r="BL55" i="21"/>
  <c r="CH91" i="21"/>
  <c r="CH188" i="21"/>
  <c r="CH247" i="21"/>
  <c r="CH187" i="21"/>
  <c r="CH246" i="21"/>
  <c r="T102" i="21"/>
  <c r="T34" i="21"/>
  <c r="T35" i="21"/>
  <c r="AT229" i="21"/>
  <c r="BK93" i="21"/>
  <c r="BK186" i="21"/>
  <c r="BK245" i="21"/>
  <c r="BH30" i="21"/>
  <c r="BH47" i="21"/>
  <c r="AQ271" i="21"/>
  <c r="AQ264" i="21"/>
  <c r="BD30" i="21"/>
  <c r="BD47" i="21"/>
  <c r="BH229" i="21"/>
  <c r="BL226" i="21"/>
  <c r="BH226" i="21"/>
  <c r="BF229" i="21"/>
  <c r="I142" i="21"/>
  <c r="I198" i="21"/>
  <c r="I191" i="21"/>
  <c r="I250" i="21"/>
  <c r="I149" i="21"/>
  <c r="I205" i="21"/>
  <c r="I135" i="21"/>
  <c r="BK90" i="21"/>
  <c r="BK187" i="21"/>
  <c r="BK246" i="21"/>
  <c r="AJ212" i="21"/>
  <c r="AJ214" i="21"/>
  <c r="AJ156" i="21"/>
  <c r="BB226" i="21"/>
  <c r="BB229" i="21"/>
  <c r="S35" i="21"/>
  <c r="S102" i="21"/>
  <c r="S34" i="21"/>
  <c r="AI93" i="21"/>
  <c r="AI186" i="21"/>
  <c r="AI245" i="21"/>
  <c r="BE93" i="21"/>
  <c r="BE186" i="21"/>
  <c r="BE245" i="21"/>
  <c r="BR35" i="21"/>
  <c r="I270" i="21"/>
  <c r="Z270" i="21"/>
  <c r="BM34" i="21"/>
  <c r="BM35" i="21"/>
  <c r="BN35" i="21"/>
  <c r="AK212" i="21"/>
  <c r="AK214" i="21"/>
  <c r="AK156" i="21"/>
  <c r="BD55" i="21"/>
  <c r="BD58" i="21"/>
  <c r="BD56" i="21"/>
  <c r="AH212" i="21"/>
  <c r="AH214" i="21"/>
  <c r="AH156" i="21"/>
  <c r="Q186" i="21"/>
  <c r="Q245" i="21"/>
  <c r="Q93" i="21"/>
  <c r="BN88" i="21"/>
  <c r="BN186" i="21"/>
  <c r="BN245" i="21"/>
  <c r="AL35" i="21"/>
  <c r="AG271" i="21"/>
  <c r="AG270" i="21"/>
  <c r="M149" i="21"/>
  <c r="M205" i="21"/>
  <c r="M142" i="21"/>
  <c r="M198" i="21"/>
  <c r="M135" i="21"/>
  <c r="M191" i="21"/>
  <c r="M250" i="21"/>
  <c r="M148" i="21"/>
  <c r="M204" i="21"/>
  <c r="AV212" i="21"/>
  <c r="AV214" i="21"/>
  <c r="AV156" i="21"/>
  <c r="AL30" i="21"/>
  <c r="AL47" i="21"/>
  <c r="AT55" i="21"/>
  <c r="AV265" i="21"/>
  <c r="AP58" i="21"/>
  <c r="BB252" i="21"/>
  <c r="BB139" i="21"/>
  <c r="BB195" i="21"/>
  <c r="BB140" i="21"/>
  <c r="BB196" i="21"/>
  <c r="AN99" i="21"/>
  <c r="AL55" i="21"/>
  <c r="AL58" i="21"/>
  <c r="AL56" i="21"/>
  <c r="AL99" i="21"/>
  <c r="AM99" i="21"/>
  <c r="AW267" i="21"/>
  <c r="AW268" i="21"/>
  <c r="BW212" i="21"/>
  <c r="BW214" i="21"/>
  <c r="BW156" i="21"/>
  <c r="N143" i="21"/>
  <c r="N199" i="21"/>
  <c r="N134" i="21"/>
  <c r="N157" i="21"/>
  <c r="N130" i="21"/>
  <c r="N48" i="21"/>
  <c r="N190" i="21"/>
  <c r="N249" i="21"/>
  <c r="N265" i="21"/>
  <c r="N45" i="21"/>
  <c r="BX212" i="21"/>
  <c r="BX214" i="21"/>
  <c r="BX156" i="21"/>
  <c r="AM34" i="21"/>
  <c r="AM35" i="21"/>
  <c r="BF56" i="21"/>
  <c r="BF58" i="21"/>
  <c r="BF55" i="21"/>
  <c r="BG99" i="21"/>
  <c r="BI99" i="21"/>
  <c r="BW55" i="21"/>
  <c r="BW56" i="21"/>
  <c r="BW58" i="21"/>
  <c r="AU90" i="21"/>
  <c r="AU187" i="21"/>
  <c r="AU246" i="21"/>
  <c r="AU186" i="21"/>
  <c r="AU245" i="21"/>
  <c r="AU93" i="21"/>
  <c r="BC119" i="21"/>
  <c r="BC122" i="21"/>
  <c r="BC124" i="21"/>
  <c r="BD117" i="21"/>
  <c r="AN34" i="21"/>
  <c r="AN35" i="21"/>
  <c r="I99" i="21"/>
  <c r="I55" i="21"/>
  <c r="I56" i="21"/>
  <c r="I58" i="21"/>
  <c r="J55" i="21"/>
  <c r="AT268" i="21"/>
  <c r="AT267" i="21"/>
  <c r="AT261" i="21"/>
  <c r="AY198" i="21"/>
  <c r="AY161" i="21"/>
  <c r="AV34" i="21"/>
  <c r="AV35" i="21"/>
  <c r="BG267" i="21"/>
  <c r="BG268" i="21"/>
  <c r="BB124" i="21"/>
  <c r="AC161" i="21"/>
  <c r="AC198" i="21"/>
  <c r="E217" i="21"/>
  <c r="E219" i="21"/>
  <c r="E161" i="21"/>
  <c r="BW47" i="21"/>
  <c r="BW30" i="21"/>
  <c r="BW102" i="21"/>
  <c r="X93" i="21"/>
  <c r="X186" i="21"/>
  <c r="X245" i="21"/>
  <c r="F88" i="21"/>
  <c r="K34" i="21"/>
  <c r="K35" i="21"/>
  <c r="K102" i="21"/>
  <c r="G149" i="21"/>
  <c r="G205" i="21"/>
  <c r="G142" i="21"/>
  <c r="G198" i="21"/>
  <c r="G135" i="21"/>
  <c r="G191" i="21"/>
  <c r="G250" i="21"/>
  <c r="BG212" i="21"/>
  <c r="BG214" i="21"/>
  <c r="BG156" i="21"/>
  <c r="BF30" i="21"/>
  <c r="BF47" i="21"/>
  <c r="AU267" i="21"/>
  <c r="AU268" i="21"/>
  <c r="AP160" i="21"/>
  <c r="AP199" i="21"/>
  <c r="K142" i="21"/>
  <c r="K198" i="21"/>
  <c r="K191" i="21"/>
  <c r="K250" i="21"/>
  <c r="K135" i="21"/>
  <c r="K149" i="21"/>
  <c r="K205" i="21"/>
  <c r="E271" i="21"/>
  <c r="E264" i="21"/>
  <c r="E270" i="21"/>
  <c r="BI268" i="21"/>
  <c r="BI267" i="21"/>
  <c r="G148" i="21"/>
  <c r="G204" i="21"/>
  <c r="M215" i="21"/>
  <c r="M218" i="21"/>
  <c r="M159" i="21"/>
  <c r="M160" i="21"/>
  <c r="AU156" i="21"/>
  <c r="AU212" i="21"/>
  <c r="AU214" i="21"/>
  <c r="BH102" i="21"/>
  <c r="BG35" i="21"/>
  <c r="BG34" i="21"/>
  <c r="K148" i="21"/>
  <c r="K204" i="21"/>
  <c r="J135" i="21"/>
  <c r="J191" i="21"/>
  <c r="J250" i="21"/>
  <c r="J149" i="21"/>
  <c r="J205" i="21"/>
  <c r="J148" i="21"/>
  <c r="J204" i="21"/>
  <c r="J142" i="21"/>
  <c r="J198" i="21"/>
  <c r="AF271" i="21"/>
  <c r="AF270" i="21"/>
  <c r="Z186" i="21"/>
  <c r="Z245" i="21"/>
  <c r="Z93" i="21"/>
  <c r="AQ99" i="21"/>
  <c r="F149" i="21"/>
  <c r="F205" i="21"/>
  <c r="F142" i="21"/>
  <c r="F198" i="21"/>
  <c r="F191" i="21"/>
  <c r="F250" i="21"/>
  <c r="F148" i="21"/>
  <c r="F204" i="21"/>
  <c r="F135" i="21"/>
  <c r="AY271" i="21"/>
  <c r="AY264" i="21"/>
  <c r="AJ198" i="21"/>
  <c r="AJ161" i="21"/>
  <c r="BF268" i="21"/>
  <c r="BF267" i="21"/>
  <c r="AJ102" i="21"/>
  <c r="AI102" i="21"/>
  <c r="AH34" i="21"/>
  <c r="AK102" i="21"/>
  <c r="BY212" i="21"/>
  <c r="BY214" i="21"/>
  <c r="BY156" i="21"/>
  <c r="BH99" i="21"/>
  <c r="AU265" i="21"/>
  <c r="G215" i="21"/>
  <c r="G218" i="21"/>
  <c r="G159" i="21"/>
  <c r="G160" i="21"/>
  <c r="AP215" i="21"/>
  <c r="AP218" i="21"/>
  <c r="AP159" i="21"/>
  <c r="AP217" i="21"/>
  <c r="AP219" i="21"/>
  <c r="Z161" i="21"/>
  <c r="Z198" i="21"/>
  <c r="BI35" i="21"/>
  <c r="BI34" i="21"/>
  <c r="AV267" i="21"/>
  <c r="AV268" i="21"/>
  <c r="AJ93" i="21"/>
  <c r="AJ186" i="21"/>
  <c r="AJ245" i="21"/>
  <c r="I88" i="21"/>
  <c r="I186" i="21"/>
  <c r="I245" i="21"/>
  <c r="CH143" i="21"/>
  <c r="CH199" i="21"/>
  <c r="CH157" i="21"/>
  <c r="CH45" i="21"/>
  <c r="CH48" i="21"/>
  <c r="CH134" i="21"/>
  <c r="CH190" i="21"/>
  <c r="CH249" i="21"/>
  <c r="CH265" i="21"/>
  <c r="CH130" i="21"/>
  <c r="AD135" i="21"/>
  <c r="AD191" i="21"/>
  <c r="AD250" i="21"/>
  <c r="AD142" i="21"/>
  <c r="AD149" i="21"/>
  <c r="AD205" i="21"/>
  <c r="AX48" i="21"/>
  <c r="AX45" i="21"/>
  <c r="AX157" i="21"/>
  <c r="AX143" i="21"/>
  <c r="AX130" i="21"/>
  <c r="AX134" i="21"/>
  <c r="AX190" i="21"/>
  <c r="AX249" i="21"/>
  <c r="AX265" i="21"/>
  <c r="F159" i="21"/>
  <c r="F215" i="21"/>
  <c r="F218" i="21"/>
  <c r="F160" i="21"/>
  <c r="AJ271" i="21"/>
  <c r="AJ264" i="21"/>
  <c r="BY99" i="21"/>
  <c r="CD34" i="21"/>
  <c r="CD35" i="21"/>
  <c r="AX102" i="21"/>
  <c r="J160" i="21"/>
  <c r="J159" i="21"/>
  <c r="J215" i="21"/>
  <c r="J218" i="21"/>
  <c r="AD159" i="21"/>
  <c r="AD217" i="21"/>
  <c r="AD219" i="21"/>
  <c r="AD215" i="21"/>
  <c r="AD218" i="21"/>
  <c r="K160" i="21"/>
  <c r="K159" i="21"/>
  <c r="K215" i="21"/>
  <c r="K218" i="21"/>
  <c r="X187" i="21"/>
  <c r="X246" i="21"/>
  <c r="AG218" i="21"/>
  <c r="AD160" i="21"/>
  <c r="AD199" i="21"/>
  <c r="AX261" i="21"/>
  <c r="AX253" i="21"/>
  <c r="AX262" i="21"/>
  <c r="AW212" i="21"/>
  <c r="AW214" i="21"/>
  <c r="AW156" i="21"/>
  <c r="AP191" i="21"/>
  <c r="AP250" i="21"/>
  <c r="AP142" i="21"/>
  <c r="AP135" i="21"/>
  <c r="AP149" i="21"/>
  <c r="AP205" i="21"/>
  <c r="BI156" i="21"/>
  <c r="BH268" i="21"/>
  <c r="BH267" i="21"/>
  <c r="BH212" i="21"/>
  <c r="BH214" i="21"/>
  <c r="BH156" i="21"/>
  <c r="AO262" i="21"/>
  <c r="AO261" i="21"/>
  <c r="AO268" i="21"/>
  <c r="AO267" i="21"/>
  <c r="AO265" i="21"/>
  <c r="AO264" i="21"/>
  <c r="I102" i="21"/>
  <c r="I35" i="21"/>
  <c r="I34" i="21"/>
  <c r="I184" i="21"/>
  <c r="I243" i="21"/>
  <c r="BW226" i="21"/>
  <c r="BW229" i="21"/>
  <c r="AY270" i="21"/>
  <c r="AN214" i="21"/>
  <c r="AN218" i="21"/>
  <c r="AN219" i="21"/>
  <c r="AV159" i="21"/>
  <c r="AV217" i="21"/>
  <c r="AV219" i="21"/>
  <c r="AV215" i="21"/>
  <c r="AV218" i="21"/>
  <c r="BC186" i="21"/>
  <c r="BC245" i="21"/>
  <c r="BC93" i="21"/>
  <c r="BF93" i="21"/>
  <c r="BF88" i="21"/>
  <c r="AT34" i="21"/>
  <c r="AV102" i="21"/>
  <c r="AW102" i="21"/>
  <c r="AY35" i="21"/>
  <c r="BB35" i="21"/>
  <c r="AY34" i="21"/>
  <c r="BB102" i="21"/>
  <c r="AY102" i="21"/>
  <c r="BA102" i="21"/>
  <c r="AZ102" i="21"/>
  <c r="BC90" i="21"/>
  <c r="H271" i="21"/>
  <c r="H264" i="21"/>
  <c r="H270" i="21"/>
  <c r="AU102" i="21"/>
  <c r="BL102" i="21"/>
  <c r="BJ34" i="21"/>
  <c r="BM102" i="21"/>
  <c r="BJ102" i="21"/>
  <c r="BK102" i="21"/>
  <c r="BN117" i="21"/>
  <c r="Q122" i="21"/>
  <c r="Q119" i="21"/>
  <c r="R117" i="21"/>
  <c r="BN267" i="21"/>
  <c r="BN268" i="21"/>
  <c r="AU161" i="21"/>
  <c r="AU198" i="21"/>
  <c r="BV90" i="21"/>
  <c r="BV187" i="21"/>
  <c r="BV246" i="21"/>
  <c r="AR99" i="21"/>
  <c r="AF261" i="21"/>
  <c r="AF267" i="21"/>
  <c r="AF268" i="21"/>
  <c r="AF262" i="21"/>
  <c r="AF265" i="21"/>
  <c r="AF264" i="21"/>
  <c r="AG93" i="21"/>
  <c r="AG186" i="21"/>
  <c r="AG245" i="21"/>
  <c r="AP212" i="21"/>
  <c r="AP214" i="21"/>
  <c r="AP156" i="21"/>
  <c r="AG219" i="21"/>
  <c r="AP186" i="21"/>
  <c r="AP245" i="21"/>
  <c r="AP93" i="21"/>
  <c r="O253" i="21"/>
  <c r="O262" i="21"/>
  <c r="O261" i="21"/>
  <c r="AL264" i="21"/>
  <c r="AL270" i="21"/>
  <c r="AL271" i="21"/>
  <c r="AW140" i="21"/>
  <c r="AW196" i="21"/>
  <c r="AW139" i="21"/>
  <c r="AW195" i="21"/>
  <c r="AW252" i="21"/>
  <c r="BF130" i="21"/>
  <c r="BF157" i="21"/>
  <c r="BF143" i="21"/>
  <c r="BF48" i="21"/>
  <c r="BF45" i="21"/>
  <c r="BF134" i="21"/>
  <c r="BF190" i="21"/>
  <c r="BF249" i="21"/>
  <c r="BF265" i="21"/>
  <c r="AG261" i="21"/>
  <c r="AG267" i="21"/>
  <c r="AG262" i="21"/>
  <c r="AG265" i="21"/>
  <c r="AG268" i="21"/>
  <c r="AG264" i="21"/>
  <c r="AI198" i="21"/>
  <c r="AI161" i="21"/>
  <c r="AT161" i="21"/>
  <c r="AT198" i="21"/>
  <c r="AS212" i="21"/>
  <c r="AS214" i="21"/>
  <c r="AS156" i="21"/>
  <c r="AV160" i="21"/>
  <c r="AV199" i="21"/>
  <c r="BR184" i="21"/>
  <c r="BR243" i="21"/>
  <c r="BR90" i="21"/>
  <c r="BR187" i="21"/>
  <c r="BR246" i="21"/>
  <c r="H217" i="21"/>
  <c r="H219" i="21"/>
  <c r="H161" i="21"/>
  <c r="AS159" i="21"/>
  <c r="AS217" i="21"/>
  <c r="AS219" i="21"/>
  <c r="AS215" i="21"/>
  <c r="AS218" i="21"/>
  <c r="T186" i="21"/>
  <c r="T245" i="21"/>
  <c r="BZ88" i="21"/>
  <c r="T93" i="21"/>
  <c r="BS268" i="21"/>
  <c r="BS267" i="21"/>
  <c r="P252" i="21"/>
  <c r="P140" i="21"/>
  <c r="P196" i="21"/>
  <c r="P139" i="21"/>
  <c r="P195" i="21"/>
  <c r="AL161" i="21"/>
  <c r="AL198" i="21"/>
  <c r="CB34" i="21"/>
  <c r="CB35" i="21"/>
  <c r="AO34" i="21"/>
  <c r="AO35" i="21"/>
  <c r="AR215" i="21"/>
  <c r="AR218" i="21"/>
  <c r="AR159" i="21"/>
  <c r="AR217" i="21"/>
  <c r="AR219" i="21"/>
  <c r="AH186" i="21"/>
  <c r="AH245" i="21"/>
  <c r="AH93" i="21"/>
  <c r="H88" i="21"/>
  <c r="L186" i="21"/>
  <c r="L245" i="21"/>
  <c r="L93" i="21"/>
  <c r="AR149" i="21"/>
  <c r="AR205" i="21"/>
  <c r="AR142" i="21"/>
  <c r="AR135" i="21"/>
  <c r="AR191" i="21"/>
  <c r="AR250" i="21"/>
  <c r="BU267" i="21"/>
  <c r="BU268" i="21"/>
  <c r="AF214" i="21"/>
  <c r="AF218" i="21"/>
  <c r="AF219" i="21"/>
  <c r="BF140" i="21"/>
  <c r="BF196" i="21"/>
  <c r="BF139" i="21"/>
  <c r="BF195" i="21"/>
  <c r="BF252" i="21"/>
  <c r="T90" i="21"/>
  <c r="T187" i="21"/>
  <c r="T246" i="21"/>
  <c r="AI271" i="21"/>
  <c r="AI270" i="21"/>
  <c r="AI264" i="21"/>
  <c r="AP30" i="21"/>
  <c r="AP102" i="21"/>
  <c r="AP47" i="21"/>
  <c r="BJ91" i="21"/>
  <c r="Q91" i="21"/>
  <c r="P188" i="21"/>
  <c r="P247" i="21"/>
  <c r="AP229" i="21"/>
  <c r="AP226" i="21"/>
  <c r="AT226" i="21"/>
  <c r="L91" i="21"/>
  <c r="L188" i="21"/>
  <c r="L247" i="21"/>
  <c r="L187" i="21"/>
  <c r="L246" i="21"/>
  <c r="BJ186" i="21"/>
  <c r="BJ245" i="21"/>
  <c r="BJ90" i="21"/>
  <c r="BJ187" i="21"/>
  <c r="BJ246" i="21"/>
  <c r="AP56" i="21"/>
  <c r="AS99" i="21"/>
  <c r="AP55" i="21"/>
  <c r="AA186" i="21"/>
  <c r="AA245" i="21"/>
  <c r="AA93" i="21"/>
  <c r="BV93" i="21"/>
  <c r="G88" i="21"/>
  <c r="AE214" i="21"/>
  <c r="AE218" i="21"/>
  <c r="AE219" i="21"/>
  <c r="AD267" i="21"/>
  <c r="AD261" i="21"/>
  <c r="AD268" i="21"/>
  <c r="AD262" i="21"/>
  <c r="AD265" i="21"/>
  <c r="AR212" i="21"/>
  <c r="AR214" i="21"/>
  <c r="AR156" i="21"/>
  <c r="AL219" i="21"/>
  <c r="BR267" i="21"/>
  <c r="BR268" i="21"/>
  <c r="AX186" i="21"/>
  <c r="AX245" i="21"/>
  <c r="AX90" i="21"/>
  <c r="AX187" i="21"/>
  <c r="AX246" i="21"/>
  <c r="BQ268" i="21"/>
  <c r="BQ267" i="21"/>
  <c r="BG122" i="21"/>
  <c r="BH117" i="21"/>
  <c r="BG119" i="21"/>
  <c r="P124" i="21"/>
  <c r="BJ122" i="21"/>
  <c r="AU271" i="21"/>
  <c r="AU270" i="21"/>
  <c r="AU264" i="21"/>
  <c r="BP268" i="21"/>
  <c r="BP267" i="21"/>
  <c r="BC35" i="21"/>
  <c r="BC34" i="21"/>
  <c r="BE102" i="21"/>
  <c r="BF102" i="21"/>
  <c r="BD102" i="21"/>
  <c r="AS142" i="21"/>
  <c r="AS135" i="21"/>
  <c r="AS191" i="21"/>
  <c r="AS250" i="21"/>
  <c r="AS149" i="21"/>
  <c r="AS205" i="21"/>
  <c r="AQ35" i="21"/>
  <c r="AQ34" i="21"/>
  <c r="AT102" i="21"/>
  <c r="AT271" i="21"/>
  <c r="AT270" i="21"/>
  <c r="AT264" i="21"/>
  <c r="BJ93" i="21"/>
  <c r="AQ212" i="21"/>
  <c r="AQ214" i="21"/>
  <c r="AQ156" i="21"/>
  <c r="BJ119" i="21"/>
  <c r="BK117" i="21"/>
  <c r="AV261" i="21"/>
  <c r="AV253" i="21"/>
  <c r="AV262" i="21"/>
  <c r="AW124" i="21"/>
  <c r="AV135" i="21"/>
  <c r="AV149" i="21"/>
  <c r="AV205" i="21"/>
  <c r="AV142" i="21"/>
  <c r="AV191" i="21"/>
  <c r="AV250" i="21"/>
  <c r="O143" i="21"/>
  <c r="O199" i="21"/>
  <c r="O130" i="21"/>
  <c r="O157" i="21"/>
  <c r="O45" i="21"/>
  <c r="O48" i="21"/>
  <c r="O190" i="21"/>
  <c r="O249" i="21"/>
  <c r="O265" i="21"/>
  <c r="O134" i="21"/>
  <c r="AS253" i="21"/>
  <c r="AS262" i="21"/>
  <c r="AS261" i="21"/>
  <c r="AR199" i="21"/>
  <c r="AR160" i="21"/>
  <c r="AL218" i="21"/>
  <c r="BT268" i="21"/>
  <c r="BT267" i="21"/>
  <c r="AS160" i="21"/>
  <c r="AS199" i="21"/>
  <c r="AV186" i="21"/>
  <c r="AV245" i="21"/>
  <c r="AV93" i="21"/>
  <c r="AX93" i="21"/>
  <c r="O188" i="21"/>
  <c r="O247" i="21"/>
  <c r="BF91" i="21"/>
  <c r="AZ149" i="21"/>
  <c r="AZ205" i="21"/>
  <c r="AZ142" i="21"/>
  <c r="AZ148" i="21"/>
  <c r="AZ204" i="21"/>
  <c r="AZ191" i="21"/>
  <c r="AZ250" i="21"/>
  <c r="AZ135" i="21"/>
  <c r="BA143" i="21"/>
  <c r="BA45" i="21"/>
  <c r="BA157" i="21"/>
  <c r="BA48" i="21"/>
  <c r="BA130" i="21"/>
  <c r="BA190" i="21"/>
  <c r="BA249" i="21"/>
  <c r="BA265" i="21"/>
  <c r="BA134" i="21"/>
  <c r="AZ160" i="21"/>
  <c r="AZ199" i="21"/>
  <c r="AT90" i="21"/>
  <c r="AT93" i="21"/>
  <c r="AT186" i="21"/>
  <c r="AT245" i="21"/>
  <c r="K88" i="21"/>
  <c r="W187" i="21"/>
  <c r="W246" i="21"/>
  <c r="W91" i="21"/>
  <c r="BG124" i="21"/>
  <c r="I90" i="21"/>
  <c r="I187" i="21"/>
  <c r="I246" i="21"/>
  <c r="AZ261" i="21"/>
  <c r="AZ253" i="21"/>
  <c r="AZ262" i="21"/>
  <c r="AZ215" i="21"/>
  <c r="AZ218" i="21"/>
  <c r="AZ159" i="21"/>
  <c r="AZ217" i="21"/>
  <c r="AZ219" i="21"/>
  <c r="BN93" i="21"/>
  <c r="BA252" i="21"/>
  <c r="BA140" i="21"/>
  <c r="BA196" i="21"/>
  <c r="BA139" i="21"/>
  <c r="BA195" i="21"/>
  <c r="BB90" i="21"/>
  <c r="BB187" i="21"/>
  <c r="BB246" i="21"/>
  <c r="BB186" i="21"/>
  <c r="BB245" i="21"/>
  <c r="BD34" i="21"/>
  <c r="BD35" i="21"/>
  <c r="BF35" i="21"/>
  <c r="I271" i="21"/>
  <c r="I264" i="21"/>
  <c r="BB93" i="21"/>
  <c r="BH34" i="21"/>
  <c r="BH35" i="21"/>
  <c r="BJ35" i="21"/>
  <c r="N91" i="21"/>
  <c r="N187" i="21"/>
  <c r="N246" i="21"/>
  <c r="I217" i="21"/>
  <c r="I219" i="21"/>
  <c r="I161" i="21"/>
  <c r="K264" i="21"/>
  <c r="K271" i="21"/>
  <c r="N149" i="21"/>
  <c r="N205" i="21"/>
  <c r="N135" i="21"/>
  <c r="N191" i="21"/>
  <c r="N250" i="21"/>
  <c r="N148" i="21"/>
  <c r="N204" i="21"/>
  <c r="N142" i="21"/>
  <c r="N198" i="21"/>
  <c r="K161" i="21"/>
  <c r="K217" i="21"/>
  <c r="K219" i="21"/>
  <c r="N160" i="21"/>
  <c r="N215" i="21"/>
  <c r="N218" i="21"/>
  <c r="N159" i="21"/>
  <c r="AD198" i="21"/>
  <c r="AD161" i="21"/>
  <c r="CH160" i="21"/>
  <c r="CH159" i="21"/>
  <c r="CH215" i="21"/>
  <c r="CH218" i="21"/>
  <c r="F271" i="21"/>
  <c r="F264" i="21"/>
  <c r="F270" i="21"/>
  <c r="BF34" i="21"/>
  <c r="BI102" i="21"/>
  <c r="BG102" i="21"/>
  <c r="BW34" i="21"/>
  <c r="BW35" i="21"/>
  <c r="BY102" i="21"/>
  <c r="BX102" i="21"/>
  <c r="M264" i="21"/>
  <c r="M271" i="21"/>
  <c r="M270" i="21"/>
  <c r="AD271" i="21"/>
  <c r="AD270" i="21"/>
  <c r="BE117" i="21"/>
  <c r="BD122" i="21"/>
  <c r="BD119" i="21"/>
  <c r="G217" i="21"/>
  <c r="G219" i="21"/>
  <c r="G161" i="21"/>
  <c r="BB157" i="21"/>
  <c r="BB143" i="21"/>
  <c r="BB190" i="21"/>
  <c r="BB249" i="21"/>
  <c r="BB265" i="21"/>
  <c r="BB134" i="21"/>
  <c r="BB45" i="21"/>
  <c r="BB130" i="21"/>
  <c r="BB48" i="21"/>
  <c r="BB253" i="21"/>
  <c r="BB262" i="21"/>
  <c r="BB261" i="21"/>
  <c r="F217" i="21"/>
  <c r="F219" i="21"/>
  <c r="F161" i="21"/>
  <c r="AR102" i="21"/>
  <c r="AP35" i="21"/>
  <c r="AP161" i="21"/>
  <c r="AP198" i="21"/>
  <c r="AX191" i="21"/>
  <c r="AX250" i="21"/>
  <c r="AX148" i="21"/>
  <c r="AX204" i="21"/>
  <c r="AX135" i="21"/>
  <c r="AX149" i="21"/>
  <c r="AX205" i="21"/>
  <c r="AX142" i="21"/>
  <c r="BC130" i="21"/>
  <c r="BC45" i="21"/>
  <c r="BC143" i="21"/>
  <c r="BC157" i="21"/>
  <c r="BC48" i="21"/>
  <c r="BC134" i="21"/>
  <c r="BC190" i="21"/>
  <c r="BC249" i="21"/>
  <c r="BC265" i="21"/>
  <c r="K270" i="21"/>
  <c r="AP271" i="21"/>
  <c r="AP264" i="21"/>
  <c r="AD264" i="21"/>
  <c r="AX160" i="21"/>
  <c r="AX199" i="21"/>
  <c r="CH148" i="21"/>
  <c r="CH204" i="21"/>
  <c r="CH270" i="21"/>
  <c r="CH149" i="21"/>
  <c r="CH205" i="21"/>
  <c r="CH271" i="21"/>
  <c r="CH191" i="21"/>
  <c r="CH250" i="21"/>
  <c r="CH264" i="21"/>
  <c r="CH142" i="21"/>
  <c r="CH198" i="21"/>
  <c r="CH135" i="21"/>
  <c r="J271" i="21"/>
  <c r="J264" i="21"/>
  <c r="J270" i="21"/>
  <c r="G271" i="21"/>
  <c r="G270" i="21"/>
  <c r="G264" i="21"/>
  <c r="BC252" i="21"/>
  <c r="BC139" i="21"/>
  <c r="BC195" i="21"/>
  <c r="BC140" i="21"/>
  <c r="BC196" i="21"/>
  <c r="AX215" i="21"/>
  <c r="AX218" i="21"/>
  <c r="AX159" i="21"/>
  <c r="AX217" i="21"/>
  <c r="AX219" i="21"/>
  <c r="M217" i="21"/>
  <c r="M219" i="21"/>
  <c r="M161" i="21"/>
  <c r="AO102" i="21"/>
  <c r="AL102" i="21"/>
  <c r="AN102" i="21"/>
  <c r="AM102" i="21"/>
  <c r="AL34" i="21"/>
  <c r="J217" i="21"/>
  <c r="J219" i="21"/>
  <c r="J161" i="21"/>
  <c r="F186" i="21"/>
  <c r="F245" i="21"/>
  <c r="F90" i="21"/>
  <c r="AS271" i="21"/>
  <c r="AS270" i="21"/>
  <c r="AS264" i="21"/>
  <c r="AW157" i="21"/>
  <c r="AW130" i="21"/>
  <c r="AW45" i="21"/>
  <c r="AW134" i="21"/>
  <c r="AW143" i="21"/>
  <c r="AW48" i="21"/>
  <c r="AW190" i="21"/>
  <c r="AW249" i="21"/>
  <c r="AW265" i="21"/>
  <c r="BG252" i="21"/>
  <c r="BG140" i="21"/>
  <c r="BG196" i="21"/>
  <c r="BG139" i="21"/>
  <c r="BG195" i="21"/>
  <c r="G186" i="21"/>
  <c r="G245" i="21"/>
  <c r="G90" i="21"/>
  <c r="R91" i="21"/>
  <c r="Q188" i="21"/>
  <c r="Q247" i="21"/>
  <c r="BN91" i="21"/>
  <c r="AQ102" i="21"/>
  <c r="BF160" i="21"/>
  <c r="BF199" i="21"/>
  <c r="BF186" i="21"/>
  <c r="BF245" i="21"/>
  <c r="BF90" i="21"/>
  <c r="BF187" i="21"/>
  <c r="BF246" i="21"/>
  <c r="AR271" i="21"/>
  <c r="AR264" i="21"/>
  <c r="AR270" i="21"/>
  <c r="BZ186" i="21"/>
  <c r="BZ245" i="21"/>
  <c r="U88" i="21"/>
  <c r="BZ93" i="21"/>
  <c r="BF135" i="21"/>
  <c r="BF149" i="21"/>
  <c r="BF205" i="21"/>
  <c r="BF142" i="21"/>
  <c r="BF191" i="21"/>
  <c r="BF250" i="21"/>
  <c r="BF148" i="21"/>
  <c r="BF204" i="21"/>
  <c r="R122" i="21"/>
  <c r="R119" i="21"/>
  <c r="BR117" i="21"/>
  <c r="S117" i="21"/>
  <c r="P130" i="21"/>
  <c r="P45" i="21"/>
  <c r="P134" i="21"/>
  <c r="P48" i="21"/>
  <c r="P190" i="21"/>
  <c r="P249" i="21"/>
  <c r="P265" i="21"/>
  <c r="P157" i="21"/>
  <c r="P143" i="21"/>
  <c r="P199" i="21"/>
  <c r="O160" i="21"/>
  <c r="O215" i="21"/>
  <c r="O218" i="21"/>
  <c r="O159" i="21"/>
  <c r="BK91" i="21"/>
  <c r="BJ188" i="21"/>
  <c r="BJ247" i="21"/>
  <c r="BF159" i="21"/>
  <c r="BF217" i="21"/>
  <c r="BF219" i="21"/>
  <c r="BF215" i="21"/>
  <c r="BF218" i="21"/>
  <c r="BL117" i="21"/>
  <c r="BK122" i="21"/>
  <c r="BK119" i="21"/>
  <c r="AP34" i="21"/>
  <c r="AS102" i="21"/>
  <c r="AR161" i="21"/>
  <c r="AR198" i="21"/>
  <c r="AW253" i="21"/>
  <c r="AW262" i="21"/>
  <c r="AW261" i="21"/>
  <c r="Q139" i="21"/>
  <c r="Q195" i="21"/>
  <c r="Q140" i="21"/>
  <c r="Q196" i="21"/>
  <c r="Q252" i="21"/>
  <c r="BC187" i="21"/>
  <c r="BC246" i="21"/>
  <c r="H90" i="21"/>
  <c r="H186" i="21"/>
  <c r="H245" i="21"/>
  <c r="O135" i="21"/>
  <c r="O148" i="21"/>
  <c r="O204" i="21"/>
  <c r="O149" i="21"/>
  <c r="O205" i="21"/>
  <c r="O191" i="21"/>
  <c r="O250" i="21"/>
  <c r="O142" i="21"/>
  <c r="O198" i="21"/>
  <c r="BG45" i="21"/>
  <c r="BG190" i="21"/>
  <c r="BG249" i="21"/>
  <c r="BG265" i="21"/>
  <c r="BG130" i="21"/>
  <c r="BG157" i="21"/>
  <c r="BG48" i="21"/>
  <c r="BG143" i="21"/>
  <c r="BG134" i="21"/>
  <c r="AV271" i="21"/>
  <c r="AV270" i="21"/>
  <c r="AV264" i="21"/>
  <c r="BN122" i="21"/>
  <c r="Q124" i="21"/>
  <c r="AS161" i="21"/>
  <c r="AS198" i="21"/>
  <c r="BH119" i="21"/>
  <c r="BH122" i="21"/>
  <c r="BI117" i="21"/>
  <c r="BJ140" i="21"/>
  <c r="BJ196" i="21"/>
  <c r="BJ139" i="21"/>
  <c r="BJ195" i="21"/>
  <c r="BJ252" i="21"/>
  <c r="BF188" i="21"/>
  <c r="BF247" i="21"/>
  <c r="BG91" i="21"/>
  <c r="AV161" i="21"/>
  <c r="AV198" i="21"/>
  <c r="BJ124" i="21"/>
  <c r="BF261" i="21"/>
  <c r="BF253" i="21"/>
  <c r="BF262" i="21"/>
  <c r="P253" i="21"/>
  <c r="P262" i="21"/>
  <c r="P261" i="21"/>
  <c r="BN119" i="21"/>
  <c r="BO117" i="21"/>
  <c r="BA191" i="21"/>
  <c r="BA250" i="21"/>
  <c r="BA135" i="21"/>
  <c r="BA148" i="21"/>
  <c r="BA204" i="21"/>
  <c r="BA142" i="21"/>
  <c r="BA149" i="21"/>
  <c r="BA205" i="21"/>
  <c r="BA159" i="21"/>
  <c r="BA217" i="21"/>
  <c r="BA219" i="21"/>
  <c r="BA215" i="21"/>
  <c r="BA218" i="21"/>
  <c r="AT187" i="21"/>
  <c r="AT246" i="21"/>
  <c r="AT91" i="21"/>
  <c r="K186" i="21"/>
  <c r="K245" i="21"/>
  <c r="K90" i="21"/>
  <c r="K187" i="21"/>
  <c r="K246" i="21"/>
  <c r="BA160" i="21"/>
  <c r="BA199" i="21"/>
  <c r="AZ198" i="21"/>
  <c r="AZ161" i="21"/>
  <c r="BA253" i="21"/>
  <c r="BA262" i="21"/>
  <c r="BA261" i="21"/>
  <c r="W188" i="21"/>
  <c r="W247" i="21"/>
  <c r="X91" i="21"/>
  <c r="AZ271" i="21"/>
  <c r="AZ270" i="21"/>
  <c r="AZ264" i="21"/>
  <c r="N188" i="21"/>
  <c r="N247" i="21"/>
  <c r="BB91" i="21"/>
  <c r="BN124" i="21"/>
  <c r="BH124" i="21"/>
  <c r="CH161" i="21"/>
  <c r="CH217" i="21"/>
  <c r="CH219" i="21"/>
  <c r="BC160" i="21"/>
  <c r="BC199" i="21"/>
  <c r="BC261" i="21"/>
  <c r="BC253" i="21"/>
  <c r="BC262" i="21"/>
  <c r="AX198" i="21"/>
  <c r="AX161" i="21"/>
  <c r="BE119" i="21"/>
  <c r="BE122" i="21"/>
  <c r="BE124" i="21"/>
  <c r="N161" i="21"/>
  <c r="N217" i="21"/>
  <c r="N219" i="21"/>
  <c r="BC191" i="21"/>
  <c r="BC250" i="21"/>
  <c r="BC142" i="21"/>
  <c r="BC135" i="21"/>
  <c r="BC149" i="21"/>
  <c r="BC205" i="21"/>
  <c r="BC148" i="21"/>
  <c r="BC204" i="21"/>
  <c r="AX270" i="21"/>
  <c r="AX264" i="21"/>
  <c r="AX271" i="21"/>
  <c r="BB191" i="21"/>
  <c r="BB250" i="21"/>
  <c r="BB142" i="21"/>
  <c r="BB149" i="21"/>
  <c r="BB205" i="21"/>
  <c r="BB135" i="21"/>
  <c r="BB148" i="21"/>
  <c r="BB204" i="21"/>
  <c r="BD124" i="21"/>
  <c r="BB160" i="21"/>
  <c r="BB199" i="21"/>
  <c r="BC215" i="21"/>
  <c r="BC218" i="21"/>
  <c r="BC159" i="21"/>
  <c r="BC217" i="21"/>
  <c r="BC219" i="21"/>
  <c r="F187" i="21"/>
  <c r="F246" i="21"/>
  <c r="F91" i="21"/>
  <c r="F188" i="21"/>
  <c r="F247" i="21"/>
  <c r="BD140" i="21"/>
  <c r="BD196" i="21"/>
  <c r="BD139" i="21"/>
  <c r="BD195" i="21"/>
  <c r="BD252" i="21"/>
  <c r="N270" i="21"/>
  <c r="N264" i="21"/>
  <c r="N271" i="21"/>
  <c r="BB215" i="21"/>
  <c r="BB218" i="21"/>
  <c r="BB159" i="21"/>
  <c r="BB217" i="21"/>
  <c r="BB219" i="21"/>
  <c r="BG149" i="21"/>
  <c r="BG205" i="21"/>
  <c r="BG135" i="21"/>
  <c r="BG191" i="21"/>
  <c r="BG250" i="21"/>
  <c r="BG142" i="21"/>
  <c r="BG148" i="21"/>
  <c r="BG204" i="21"/>
  <c r="BR119" i="21"/>
  <c r="BS117" i="21"/>
  <c r="BJ157" i="21"/>
  <c r="BJ134" i="21"/>
  <c r="BJ190" i="21"/>
  <c r="BJ249" i="21"/>
  <c r="BJ265" i="21"/>
  <c r="BJ143" i="21"/>
  <c r="BJ130" i="21"/>
  <c r="BJ48" i="21"/>
  <c r="BJ45" i="21"/>
  <c r="T117" i="21"/>
  <c r="S119" i="21"/>
  <c r="S122" i="21"/>
  <c r="BV117" i="21"/>
  <c r="AW199" i="21"/>
  <c r="AW160" i="21"/>
  <c r="G187" i="21"/>
  <c r="G246" i="21"/>
  <c r="G91" i="21"/>
  <c r="G188" i="21"/>
  <c r="G247" i="21"/>
  <c r="R124" i="21"/>
  <c r="BR122" i="21"/>
  <c r="AW135" i="21"/>
  <c r="AW191" i="21"/>
  <c r="AW250" i="21"/>
  <c r="AW149" i="21"/>
  <c r="AW205" i="21"/>
  <c r="AW142" i="21"/>
  <c r="AW148" i="21"/>
  <c r="AW204" i="21"/>
  <c r="BP117" i="21"/>
  <c r="BO122" i="21"/>
  <c r="BO119" i="21"/>
  <c r="BG188" i="21"/>
  <c r="BG247" i="21"/>
  <c r="BH91" i="21"/>
  <c r="Q261" i="21"/>
  <c r="Q253" i="21"/>
  <c r="Q262" i="21"/>
  <c r="BN188" i="21"/>
  <c r="BN247" i="21"/>
  <c r="BO91" i="21"/>
  <c r="AW215" i="21"/>
  <c r="AW218" i="21"/>
  <c r="AW159" i="21"/>
  <c r="AW217" i="21"/>
  <c r="AW219" i="21"/>
  <c r="BI122" i="21"/>
  <c r="BI119" i="21"/>
  <c r="BF271" i="21"/>
  <c r="BF270" i="21"/>
  <c r="BF264" i="21"/>
  <c r="BF161" i="21"/>
  <c r="BF198" i="21"/>
  <c r="R139" i="21"/>
  <c r="R195" i="21"/>
  <c r="R140" i="21"/>
  <c r="R196" i="21"/>
  <c r="R252" i="21"/>
  <c r="O161" i="21"/>
  <c r="O217" i="21"/>
  <c r="O219" i="21"/>
  <c r="BG160" i="21"/>
  <c r="BG199" i="21"/>
  <c r="U186" i="21"/>
  <c r="U245" i="21"/>
  <c r="BG261" i="21"/>
  <c r="BG253" i="21"/>
  <c r="BG262" i="21"/>
  <c r="BH48" i="21"/>
  <c r="BH143" i="21"/>
  <c r="BH134" i="21"/>
  <c r="BH190" i="21"/>
  <c r="BH249" i="21"/>
  <c r="BH265" i="21"/>
  <c r="BH45" i="21"/>
  <c r="BH130" i="21"/>
  <c r="BH157" i="21"/>
  <c r="P160" i="21"/>
  <c r="P159" i="21"/>
  <c r="P215" i="21"/>
  <c r="P218" i="21"/>
  <c r="BJ253" i="21"/>
  <c r="BJ262" i="21"/>
  <c r="BJ261" i="21"/>
  <c r="BK139" i="21"/>
  <c r="BK195" i="21"/>
  <c r="BK140" i="21"/>
  <c r="BK196" i="21"/>
  <c r="BK252" i="21"/>
  <c r="BN48" i="21"/>
  <c r="BN134" i="21"/>
  <c r="BN143" i="21"/>
  <c r="BN190" i="21"/>
  <c r="BN249" i="21"/>
  <c r="BN265" i="21"/>
  <c r="BN130" i="21"/>
  <c r="BN157" i="21"/>
  <c r="BN45" i="21"/>
  <c r="H187" i="21"/>
  <c r="H246" i="21"/>
  <c r="H91" i="21"/>
  <c r="BH139" i="21"/>
  <c r="BH195" i="21"/>
  <c r="BH140" i="21"/>
  <c r="BH196" i="21"/>
  <c r="BH252" i="21"/>
  <c r="BN139" i="21"/>
  <c r="BN195" i="21"/>
  <c r="BN252" i="21"/>
  <c r="BN140" i="21"/>
  <c r="BN196" i="21"/>
  <c r="BK188" i="21"/>
  <c r="BK247" i="21"/>
  <c r="BL91" i="21"/>
  <c r="O270" i="21"/>
  <c r="O264" i="21"/>
  <c r="O271" i="21"/>
  <c r="BK124" i="21"/>
  <c r="BR91" i="21"/>
  <c r="R188" i="21"/>
  <c r="R247" i="21"/>
  <c r="S91" i="21"/>
  <c r="Q134" i="21"/>
  <c r="Q45" i="21"/>
  <c r="Q48" i="21"/>
  <c r="Q130" i="21"/>
  <c r="Q157" i="21"/>
  <c r="Q190" i="21"/>
  <c r="Q249" i="21"/>
  <c r="Q265" i="21"/>
  <c r="Q143" i="21"/>
  <c r="Q199" i="21"/>
  <c r="BG159" i="21"/>
  <c r="BG217" i="21"/>
  <c r="BG219" i="21"/>
  <c r="BG215" i="21"/>
  <c r="BG218" i="21"/>
  <c r="BM117" i="21"/>
  <c r="BL119" i="21"/>
  <c r="BL122" i="21"/>
  <c r="P149" i="21"/>
  <c r="P205" i="21"/>
  <c r="P142" i="21"/>
  <c r="P198" i="21"/>
  <c r="P135" i="21"/>
  <c r="P191" i="21"/>
  <c r="P250" i="21"/>
  <c r="P148" i="21"/>
  <c r="P204" i="21"/>
  <c r="BA198" i="21"/>
  <c r="BA161" i="21"/>
  <c r="Y91" i="21"/>
  <c r="X188" i="21"/>
  <c r="X247" i="21"/>
  <c r="AT188" i="21"/>
  <c r="AT247" i="21"/>
  <c r="M91" i="21"/>
  <c r="M188" i="21"/>
  <c r="M247" i="21"/>
  <c r="AU91" i="21"/>
  <c r="BA264" i="21"/>
  <c r="BA270" i="21"/>
  <c r="BA271" i="21"/>
  <c r="BB188" i="21"/>
  <c r="BB247" i="21"/>
  <c r="BC91" i="21"/>
  <c r="BB198" i="21"/>
  <c r="BB161" i="21"/>
  <c r="BC161" i="21"/>
  <c r="BC198" i="21"/>
  <c r="BI124" i="21"/>
  <c r="BI130" i="21"/>
  <c r="BB264" i="21"/>
  <c r="BB271" i="21"/>
  <c r="BB270" i="21"/>
  <c r="BC264" i="21"/>
  <c r="BC271" i="21"/>
  <c r="BC270" i="21"/>
  <c r="BD253" i="21"/>
  <c r="BD262" i="21"/>
  <c r="BD261" i="21"/>
  <c r="BR124" i="21"/>
  <c r="BR143" i="21"/>
  <c r="BR199" i="21"/>
  <c r="BD190" i="21"/>
  <c r="BD249" i="21"/>
  <c r="BD265" i="21"/>
  <c r="BD143" i="21"/>
  <c r="BD157" i="21"/>
  <c r="BD130" i="21"/>
  <c r="BD45" i="21"/>
  <c r="BD134" i="21"/>
  <c r="BD48" i="21"/>
  <c r="BE143" i="21"/>
  <c r="BE190" i="21"/>
  <c r="BE249" i="21"/>
  <c r="BE265" i="21"/>
  <c r="BE45" i="21"/>
  <c r="BE134" i="21"/>
  <c r="BE130" i="21"/>
  <c r="BE48" i="21"/>
  <c r="BE157" i="21"/>
  <c r="BE140" i="21"/>
  <c r="BE196" i="21"/>
  <c r="BE252" i="21"/>
  <c r="BE139" i="21"/>
  <c r="BE195" i="21"/>
  <c r="BO124" i="21"/>
  <c r="BP119" i="21"/>
  <c r="BP122" i="21"/>
  <c r="BP124" i="21"/>
  <c r="BQ117" i="21"/>
  <c r="BR140" i="21"/>
  <c r="BR196" i="21"/>
  <c r="BR139" i="21"/>
  <c r="BR195" i="21"/>
  <c r="BR252" i="21"/>
  <c r="BP91" i="21"/>
  <c r="BO188" i="21"/>
  <c r="BO247" i="21"/>
  <c r="BL252" i="21"/>
  <c r="BL139" i="21"/>
  <c r="BL195" i="21"/>
  <c r="BL140" i="21"/>
  <c r="BL196" i="21"/>
  <c r="BN160" i="21"/>
  <c r="BN199" i="21"/>
  <c r="S140" i="21"/>
  <c r="S196" i="21"/>
  <c r="S252" i="21"/>
  <c r="S139" i="21"/>
  <c r="S195" i="21"/>
  <c r="BS122" i="21"/>
  <c r="BT117" i="21"/>
  <c r="BS119" i="21"/>
  <c r="BL188" i="21"/>
  <c r="BL247" i="21"/>
  <c r="BM91" i="21"/>
  <c r="BM188" i="21"/>
  <c r="BM247" i="21"/>
  <c r="R261" i="21"/>
  <c r="R253" i="21"/>
  <c r="R262" i="21"/>
  <c r="BI139" i="21"/>
  <c r="BI195" i="21"/>
  <c r="BI140" i="21"/>
  <c r="BI196" i="21"/>
  <c r="BI252" i="21"/>
  <c r="AW161" i="21"/>
  <c r="AW198" i="21"/>
  <c r="BJ142" i="21"/>
  <c r="BJ135" i="21"/>
  <c r="BJ191" i="21"/>
  <c r="BJ250" i="21"/>
  <c r="BJ149" i="21"/>
  <c r="BJ205" i="21"/>
  <c r="BJ148" i="21"/>
  <c r="BJ204" i="21"/>
  <c r="BG161" i="21"/>
  <c r="BG198" i="21"/>
  <c r="BO139" i="21"/>
  <c r="BO195" i="21"/>
  <c r="BO140" i="21"/>
  <c r="BO196" i="21"/>
  <c r="BO252" i="21"/>
  <c r="BM122" i="21"/>
  <c r="BM119" i="21"/>
  <c r="P217" i="21"/>
  <c r="P219" i="21"/>
  <c r="P161" i="21"/>
  <c r="T122" i="21"/>
  <c r="T119" i="21"/>
  <c r="BZ117" i="21"/>
  <c r="BN261" i="21"/>
  <c r="BN253" i="21"/>
  <c r="BN262" i="21"/>
  <c r="BH215" i="21"/>
  <c r="BH218" i="21"/>
  <c r="BH159" i="21"/>
  <c r="BH217" i="21"/>
  <c r="BH219" i="21"/>
  <c r="BI45" i="21"/>
  <c r="BI134" i="21"/>
  <c r="BI190" i="21"/>
  <c r="BI249" i="21"/>
  <c r="BI265" i="21"/>
  <c r="BI143" i="21"/>
  <c r="BJ160" i="21"/>
  <c r="BJ199" i="21"/>
  <c r="BG271" i="21"/>
  <c r="BG270" i="21"/>
  <c r="BG264" i="21"/>
  <c r="BR130" i="21"/>
  <c r="H188" i="21"/>
  <c r="H247" i="21"/>
  <c r="I91" i="21"/>
  <c r="BK253" i="21"/>
  <c r="BK262" i="21"/>
  <c r="BK261" i="21"/>
  <c r="BI91" i="21"/>
  <c r="BI188" i="21"/>
  <c r="BI247" i="21"/>
  <c r="BH188" i="21"/>
  <c r="BH247" i="21"/>
  <c r="AW264" i="21"/>
  <c r="AW271" i="21"/>
  <c r="AW270" i="21"/>
  <c r="BV119" i="21"/>
  <c r="BW117" i="21"/>
  <c r="BJ215" i="21"/>
  <c r="BJ218" i="21"/>
  <c r="BJ159" i="21"/>
  <c r="BJ217" i="21"/>
  <c r="BJ219" i="21"/>
  <c r="R143" i="21"/>
  <c r="R199" i="21"/>
  <c r="R134" i="21"/>
  <c r="R157" i="21"/>
  <c r="R190" i="21"/>
  <c r="R249" i="21"/>
  <c r="R265" i="21"/>
  <c r="R48" i="21"/>
  <c r="R45" i="21"/>
  <c r="R130" i="21"/>
  <c r="BH160" i="21"/>
  <c r="BH199" i="21"/>
  <c r="P271" i="21"/>
  <c r="P264" i="21"/>
  <c r="P270" i="21"/>
  <c r="T91" i="21"/>
  <c r="T188" i="21"/>
  <c r="T247" i="21"/>
  <c r="S188" i="21"/>
  <c r="S247" i="21"/>
  <c r="BR188" i="21"/>
  <c r="BR247" i="21"/>
  <c r="BS91" i="21"/>
  <c r="BN215" i="21"/>
  <c r="BN218" i="21"/>
  <c r="BN159" i="21"/>
  <c r="BN217" i="21"/>
  <c r="BN219" i="21"/>
  <c r="Q159" i="21"/>
  <c r="Q215" i="21"/>
  <c r="Q218" i="21"/>
  <c r="Q160" i="21"/>
  <c r="BK143" i="21"/>
  <c r="BK45" i="21"/>
  <c r="BK130" i="21"/>
  <c r="BK48" i="21"/>
  <c r="BK134" i="21"/>
  <c r="BK157" i="21"/>
  <c r="BK190" i="21"/>
  <c r="BK249" i="21"/>
  <c r="BK265" i="21"/>
  <c r="BN149" i="21"/>
  <c r="BN205" i="21"/>
  <c r="BN135" i="21"/>
  <c r="BN142" i="21"/>
  <c r="BN191" i="21"/>
  <c r="BN250" i="21"/>
  <c r="BH191" i="21"/>
  <c r="BH250" i="21"/>
  <c r="BH135" i="21"/>
  <c r="BH142" i="21"/>
  <c r="BH149" i="21"/>
  <c r="BH205" i="21"/>
  <c r="BH148" i="21"/>
  <c r="BH204" i="21"/>
  <c r="BL124" i="21"/>
  <c r="Q191" i="21"/>
  <c r="Q250" i="21"/>
  <c r="Q135" i="21"/>
  <c r="Q148" i="21"/>
  <c r="Q204" i="21"/>
  <c r="Q149" i="21"/>
  <c r="Q205" i="21"/>
  <c r="Q142" i="21"/>
  <c r="Q198" i="21"/>
  <c r="BH261" i="21"/>
  <c r="BH253" i="21"/>
  <c r="BH262" i="21"/>
  <c r="BV122" i="21"/>
  <c r="S124" i="21"/>
  <c r="AV91" i="21"/>
  <c r="AU188" i="21"/>
  <c r="AU247" i="21"/>
  <c r="Y188" i="21"/>
  <c r="Y247" i="21"/>
  <c r="Z91" i="21"/>
  <c r="BC188" i="21"/>
  <c r="BC247" i="21"/>
  <c r="BD91" i="21"/>
  <c r="BR157" i="21"/>
  <c r="BR215" i="21"/>
  <c r="BR218" i="21"/>
  <c r="BE160" i="21"/>
  <c r="BE199" i="21"/>
  <c r="BR45" i="21"/>
  <c r="BE215" i="21"/>
  <c r="BE218" i="21"/>
  <c r="BE159" i="21"/>
  <c r="BE217" i="21"/>
  <c r="BE219" i="21"/>
  <c r="BE261" i="21"/>
  <c r="BE253" i="21"/>
  <c r="BE262" i="21"/>
  <c r="BR48" i="21"/>
  <c r="BE135" i="21"/>
  <c r="BE191" i="21"/>
  <c r="BE250" i="21"/>
  <c r="BE142" i="21"/>
  <c r="BE149" i="21"/>
  <c r="BE205" i="21"/>
  <c r="BE148" i="21"/>
  <c r="BE204" i="21"/>
  <c r="BD135" i="21"/>
  <c r="BD149" i="21"/>
  <c r="BD205" i="21"/>
  <c r="BD142" i="21"/>
  <c r="BD191" i="21"/>
  <c r="BD250" i="21"/>
  <c r="BD148" i="21"/>
  <c r="BD204" i="21"/>
  <c r="BR190" i="21"/>
  <c r="BR249" i="21"/>
  <c r="BR265" i="21"/>
  <c r="BI48" i="21"/>
  <c r="BM124" i="21"/>
  <c r="BM157" i="21"/>
  <c r="BD159" i="21"/>
  <c r="BD217" i="21"/>
  <c r="BD219" i="21"/>
  <c r="BD215" i="21"/>
  <c r="BD218" i="21"/>
  <c r="BR134" i="21"/>
  <c r="BI157" i="21"/>
  <c r="BI159" i="21"/>
  <c r="BI217" i="21"/>
  <c r="BI219" i="21"/>
  <c r="BD160" i="21"/>
  <c r="BD199" i="21"/>
  <c r="BK160" i="21"/>
  <c r="BK199" i="21"/>
  <c r="BI142" i="21"/>
  <c r="BI135" i="21"/>
  <c r="BI149" i="21"/>
  <c r="BI205" i="21"/>
  <c r="BI191" i="21"/>
  <c r="BI250" i="21"/>
  <c r="BI148" i="21"/>
  <c r="BI204" i="21"/>
  <c r="BZ119" i="21"/>
  <c r="U117" i="21"/>
  <c r="U119" i="21"/>
  <c r="U252" i="21" s="1"/>
  <c r="BJ198" i="21"/>
  <c r="BJ161" i="21"/>
  <c r="BP188" i="21"/>
  <c r="BP247" i="21"/>
  <c r="BQ91" i="21"/>
  <c r="BQ188" i="21"/>
  <c r="BQ247" i="21"/>
  <c r="BS139" i="21"/>
  <c r="BS195" i="21"/>
  <c r="BS252" i="21"/>
  <c r="BS140" i="21"/>
  <c r="BS196" i="21"/>
  <c r="BI253" i="21"/>
  <c r="BI262" i="21"/>
  <c r="BI261" i="21"/>
  <c r="BU117" i="21"/>
  <c r="BT119" i="21"/>
  <c r="BT122" i="21"/>
  <c r="BT124" i="21"/>
  <c r="BK159" i="21"/>
  <c r="BK217" i="21"/>
  <c r="BK219" i="21"/>
  <c r="BK215" i="21"/>
  <c r="BK218" i="21"/>
  <c r="BH270" i="21"/>
  <c r="BH264" i="21"/>
  <c r="BH271" i="21"/>
  <c r="BX117" i="21"/>
  <c r="BW119" i="21"/>
  <c r="BW122" i="21"/>
  <c r="BW124" i="21"/>
  <c r="BS124" i="21"/>
  <c r="BL261" i="21"/>
  <c r="BL253" i="21"/>
  <c r="BL262" i="21"/>
  <c r="BQ119" i="21"/>
  <c r="BQ122" i="21"/>
  <c r="BZ122" i="21"/>
  <c r="T124" i="21"/>
  <c r="BV252" i="21"/>
  <c r="BV140" i="21"/>
  <c r="BV196" i="21"/>
  <c r="BV139" i="21"/>
  <c r="BV195" i="21"/>
  <c r="BI160" i="21"/>
  <c r="BI199" i="21"/>
  <c r="BM252" i="21"/>
  <c r="BM140" i="21"/>
  <c r="BM196" i="21"/>
  <c r="BM139" i="21"/>
  <c r="BM195" i="21"/>
  <c r="BP134" i="21"/>
  <c r="BP157" i="21"/>
  <c r="BP48" i="21"/>
  <c r="BP143" i="21"/>
  <c r="BP130" i="21"/>
  <c r="BP45" i="21"/>
  <c r="BP190" i="21"/>
  <c r="BP249" i="21"/>
  <c r="BP265" i="21"/>
  <c r="T140" i="21"/>
  <c r="T196" i="21"/>
  <c r="T252" i="21"/>
  <c r="T139" i="21"/>
  <c r="T195" i="21"/>
  <c r="Q161" i="21"/>
  <c r="Q217" i="21"/>
  <c r="Q219" i="21"/>
  <c r="BN271" i="21"/>
  <c r="BN264" i="21"/>
  <c r="BJ271" i="21"/>
  <c r="BJ264" i="21"/>
  <c r="BJ270" i="21"/>
  <c r="S261" i="21"/>
  <c r="S253" i="21"/>
  <c r="S262" i="21"/>
  <c r="BP140" i="21"/>
  <c r="BP196" i="21"/>
  <c r="BP252" i="21"/>
  <c r="BP139" i="21"/>
  <c r="BP195" i="21"/>
  <c r="BR142" i="21"/>
  <c r="BR198" i="21"/>
  <c r="BR135" i="21"/>
  <c r="BR149" i="21"/>
  <c r="BR205" i="21"/>
  <c r="BR191" i="21"/>
  <c r="BR250" i="21"/>
  <c r="BR148" i="21"/>
  <c r="BR204" i="21"/>
  <c r="BR261" i="21"/>
  <c r="BR253" i="21"/>
  <c r="BR262" i="21"/>
  <c r="BH161" i="21"/>
  <c r="BH198" i="21"/>
  <c r="R191" i="21"/>
  <c r="R250" i="21"/>
  <c r="R135" i="21"/>
  <c r="R148" i="21"/>
  <c r="R204" i="21"/>
  <c r="R149" i="21"/>
  <c r="R205" i="21"/>
  <c r="R142" i="21"/>
  <c r="R198" i="21"/>
  <c r="S48" i="21"/>
  <c r="S130" i="21"/>
  <c r="S134" i="21"/>
  <c r="S143" i="21"/>
  <c r="S199" i="21"/>
  <c r="S45" i="21"/>
  <c r="S157" i="21"/>
  <c r="S190" i="21"/>
  <c r="S249" i="21"/>
  <c r="S265" i="21"/>
  <c r="Q271" i="21"/>
  <c r="Q270" i="21"/>
  <c r="Q264" i="21"/>
  <c r="BK191" i="21"/>
  <c r="BK250" i="21"/>
  <c r="BK142" i="21"/>
  <c r="BK149" i="21"/>
  <c r="BK205" i="21"/>
  <c r="BK148" i="21"/>
  <c r="BK204" i="21"/>
  <c r="BK135" i="21"/>
  <c r="BS188" i="21"/>
  <c r="BS247" i="21"/>
  <c r="BT91" i="21"/>
  <c r="BV124" i="21"/>
  <c r="BL45" i="21"/>
  <c r="BL190" i="21"/>
  <c r="BL249" i="21"/>
  <c r="BL265" i="21"/>
  <c r="BL134" i="21"/>
  <c r="BL157" i="21"/>
  <c r="BL130" i="21"/>
  <c r="BL48" i="21"/>
  <c r="BL143" i="21"/>
  <c r="BN198" i="21"/>
  <c r="BN161" i="21"/>
  <c r="R159" i="21"/>
  <c r="R160" i="21"/>
  <c r="R215" i="21"/>
  <c r="R218" i="21"/>
  <c r="I188" i="21"/>
  <c r="I247" i="21"/>
  <c r="BO261" i="21"/>
  <c r="BO253" i="21"/>
  <c r="BO262" i="21"/>
  <c r="BO130" i="21"/>
  <c r="BO134" i="21"/>
  <c r="BO157" i="21"/>
  <c r="BO48" i="21"/>
  <c r="BO143" i="21"/>
  <c r="BO45" i="21"/>
  <c r="BO190" i="21"/>
  <c r="BO249" i="21"/>
  <c r="BO265" i="21"/>
  <c r="BR160" i="21"/>
  <c r="Z188" i="21"/>
  <c r="Z247" i="21"/>
  <c r="AA91" i="21"/>
  <c r="BI215" i="21"/>
  <c r="BI218" i="21"/>
  <c r="BQ124" i="21"/>
  <c r="BQ134" i="21"/>
  <c r="AV188" i="21"/>
  <c r="AV247" i="21"/>
  <c r="AW91" i="21"/>
  <c r="BM190" i="21"/>
  <c r="BM249" i="21"/>
  <c r="BM265" i="21"/>
  <c r="BM45" i="21"/>
  <c r="BR159" i="21"/>
  <c r="BD188" i="21"/>
  <c r="BD247" i="21"/>
  <c r="BE91" i="21"/>
  <c r="BE188" i="21"/>
  <c r="BE247" i="21"/>
  <c r="BM130" i="21"/>
  <c r="BM135" i="21"/>
  <c r="BM134" i="21"/>
  <c r="BE161" i="21"/>
  <c r="BE198" i="21"/>
  <c r="BM143" i="21"/>
  <c r="BE270" i="21"/>
  <c r="BE271" i="21"/>
  <c r="BE264" i="21"/>
  <c r="BM48" i="21"/>
  <c r="BD264" i="21"/>
  <c r="BD271" i="21"/>
  <c r="BD270" i="21"/>
  <c r="BD161" i="21"/>
  <c r="BD198" i="21"/>
  <c r="BL160" i="21"/>
  <c r="BL199" i="21"/>
  <c r="BP261" i="21"/>
  <c r="BP253" i="21"/>
  <c r="BP262" i="21"/>
  <c r="BP149" i="21"/>
  <c r="BP205" i="21"/>
  <c r="BP135" i="21"/>
  <c r="BP142" i="21"/>
  <c r="BP191" i="21"/>
  <c r="BP250" i="21"/>
  <c r="AQ24" i="9"/>
  <c r="BW24" i="9" s="1"/>
  <c r="U122" i="21"/>
  <c r="U124" i="21" s="1"/>
  <c r="BZ124" i="21"/>
  <c r="BZ190" i="21" s="1"/>
  <c r="BZ249" i="21" s="1"/>
  <c r="BZ265" i="21" s="1"/>
  <c r="BX122" i="21"/>
  <c r="BY117" i="21"/>
  <c r="BX119" i="21"/>
  <c r="BU122" i="21"/>
  <c r="BU119" i="21"/>
  <c r="BI271" i="21"/>
  <c r="BI270" i="21"/>
  <c r="BI264" i="21"/>
  <c r="BO199" i="21"/>
  <c r="BO160" i="21"/>
  <c r="BL142" i="21"/>
  <c r="BL135" i="21"/>
  <c r="BL149" i="21"/>
  <c r="BL205" i="21"/>
  <c r="BL191" i="21"/>
  <c r="BL250" i="21"/>
  <c r="BL148" i="21"/>
  <c r="BL204" i="21"/>
  <c r="BL159" i="21"/>
  <c r="BL217" i="21"/>
  <c r="BL219" i="21"/>
  <c r="BL215" i="21"/>
  <c r="BL218" i="21"/>
  <c r="S159" i="21"/>
  <c r="S215" i="21"/>
  <c r="S218" i="21"/>
  <c r="S160" i="21"/>
  <c r="BR271" i="21"/>
  <c r="BR264" i="21"/>
  <c r="BR270" i="21"/>
  <c r="BM199" i="21"/>
  <c r="BM160" i="21"/>
  <c r="BP215" i="21"/>
  <c r="BP218" i="21"/>
  <c r="BP159" i="21"/>
  <c r="BP217" i="21"/>
  <c r="BP219" i="21"/>
  <c r="BI198" i="21"/>
  <c r="BI161" i="21"/>
  <c r="BP199" i="21"/>
  <c r="BP160" i="21"/>
  <c r="BO191" i="21"/>
  <c r="BO250" i="21"/>
  <c r="BO142" i="21"/>
  <c r="BO135" i="21"/>
  <c r="BO149" i="21"/>
  <c r="BO205" i="21"/>
  <c r="T253" i="21"/>
  <c r="T262" i="21"/>
  <c r="T261" i="21"/>
  <c r="BS261" i="21"/>
  <c r="BS253" i="21"/>
  <c r="BS262" i="21"/>
  <c r="BT188" i="21"/>
  <c r="BT247" i="21"/>
  <c r="BU91" i="21"/>
  <c r="BQ143" i="21"/>
  <c r="R161" i="21"/>
  <c r="R217" i="21"/>
  <c r="R219" i="21"/>
  <c r="R264" i="21"/>
  <c r="R271" i="21"/>
  <c r="R270" i="21"/>
  <c r="BS130" i="21"/>
  <c r="BS45" i="21"/>
  <c r="BS190" i="21"/>
  <c r="BS249" i="21"/>
  <c r="BS265" i="21"/>
  <c r="BS134" i="21"/>
  <c r="BS48" i="21"/>
  <c r="BS157" i="21"/>
  <c r="BS143" i="21"/>
  <c r="BS199" i="21"/>
  <c r="BM261" i="21"/>
  <c r="BM253" i="21"/>
  <c r="BM262" i="21"/>
  <c r="BQ140" i="21"/>
  <c r="BQ196" i="21"/>
  <c r="BQ139" i="21"/>
  <c r="BQ195" i="21"/>
  <c r="BQ252" i="21"/>
  <c r="BK198" i="21"/>
  <c r="BK161" i="21"/>
  <c r="BV253" i="21"/>
  <c r="BV262" i="21"/>
  <c r="BV261" i="21"/>
  <c r="BW130" i="21"/>
  <c r="BW45" i="21"/>
  <c r="BW48" i="21"/>
  <c r="BW157" i="21"/>
  <c r="BW143" i="21"/>
  <c r="BW199" i="21"/>
  <c r="BW134" i="21"/>
  <c r="BW190" i="21"/>
  <c r="BW249" i="21"/>
  <c r="BW265" i="21"/>
  <c r="BT48" i="21"/>
  <c r="BT130" i="21"/>
  <c r="BT143" i="21"/>
  <c r="BT199" i="21"/>
  <c r="BT157" i="21"/>
  <c r="BT45" i="21"/>
  <c r="BT134" i="21"/>
  <c r="BT190" i="21"/>
  <c r="BT249" i="21"/>
  <c r="BT265" i="21"/>
  <c r="BR161" i="21"/>
  <c r="BR217" i="21"/>
  <c r="BR219" i="21"/>
  <c r="BZ140" i="21"/>
  <c r="BZ196" i="21" s="1"/>
  <c r="BZ139" i="21"/>
  <c r="BZ195" i="21" s="1"/>
  <c r="BZ252" i="21"/>
  <c r="BO159" i="21"/>
  <c r="BO217" i="21"/>
  <c r="BO219" i="21"/>
  <c r="BO215" i="21"/>
  <c r="BO218" i="21"/>
  <c r="BM159" i="21"/>
  <c r="BM217" i="21"/>
  <c r="BM219" i="21"/>
  <c r="BM215" i="21"/>
  <c r="BM218" i="21"/>
  <c r="U139" i="21"/>
  <c r="U195" i="21"/>
  <c r="BK264" i="21"/>
  <c r="BK271" i="21"/>
  <c r="BK270" i="21"/>
  <c r="BV157" i="21"/>
  <c r="BV143" i="21"/>
  <c r="BV199" i="21"/>
  <c r="BV134" i="21"/>
  <c r="BV130" i="21"/>
  <c r="BV190" i="21"/>
  <c r="BV249" i="21"/>
  <c r="BV265" i="21"/>
  <c r="BV45" i="21"/>
  <c r="BV48" i="21"/>
  <c r="S149" i="21"/>
  <c r="S205" i="21"/>
  <c r="S142" i="21"/>
  <c r="S198" i="21"/>
  <c r="S135" i="21"/>
  <c r="S191" i="21"/>
  <c r="S250" i="21"/>
  <c r="S148" i="21"/>
  <c r="S204" i="21"/>
  <c r="T157" i="21"/>
  <c r="T130" i="21"/>
  <c r="T190" i="21"/>
  <c r="T249" i="21"/>
  <c r="T265" i="21"/>
  <c r="T45" i="21"/>
  <c r="T134" i="21"/>
  <c r="T143" i="21"/>
  <c r="T199" i="21"/>
  <c r="T48" i="21"/>
  <c r="BW140" i="21"/>
  <c r="BW196" i="21"/>
  <c r="BW139" i="21"/>
  <c r="BW195" i="21"/>
  <c r="BW252" i="21"/>
  <c r="BT140" i="21"/>
  <c r="BT196" i="21"/>
  <c r="BT252" i="21"/>
  <c r="BT139" i="21"/>
  <c r="BT195" i="21"/>
  <c r="BQ190" i="21"/>
  <c r="BQ249" i="21"/>
  <c r="BQ265" i="21"/>
  <c r="AX91" i="21"/>
  <c r="AW188" i="21"/>
  <c r="AW247" i="21"/>
  <c r="BQ48" i="21"/>
  <c r="BQ130" i="21"/>
  <c r="BQ45" i="21"/>
  <c r="AB91" i="21"/>
  <c r="AA188" i="21"/>
  <c r="AA247" i="21"/>
  <c r="BQ157" i="21"/>
  <c r="BM148" i="21"/>
  <c r="BM204" i="21"/>
  <c r="BM191" i="21"/>
  <c r="BM250" i="21"/>
  <c r="BM264" i="21"/>
  <c r="BM149" i="21"/>
  <c r="BM205" i="21"/>
  <c r="BM142" i="21"/>
  <c r="BM161" i="21"/>
  <c r="BZ261" i="21"/>
  <c r="BT160" i="21"/>
  <c r="BT159" i="21"/>
  <c r="BT215" i="21"/>
  <c r="BT218" i="21"/>
  <c r="BM271" i="21"/>
  <c r="BM270" i="21"/>
  <c r="T191" i="21"/>
  <c r="T250" i="21"/>
  <c r="T142" i="21"/>
  <c r="T198" i="21"/>
  <c r="T135" i="21"/>
  <c r="T149" i="21"/>
  <c r="T205" i="21"/>
  <c r="T148" i="21"/>
  <c r="T204" i="21"/>
  <c r="BU188" i="21"/>
  <c r="BU247" i="21"/>
  <c r="BV91" i="21"/>
  <c r="BL271" i="21"/>
  <c r="BL270" i="21"/>
  <c r="BL264" i="21"/>
  <c r="BT135" i="21"/>
  <c r="BT191" i="21"/>
  <c r="BT250" i="21"/>
  <c r="BT149" i="21"/>
  <c r="BT205" i="21"/>
  <c r="BT142" i="21"/>
  <c r="BT198" i="21"/>
  <c r="BT148" i="21"/>
  <c r="BT204" i="21"/>
  <c r="BU124" i="21"/>
  <c r="BP264" i="21"/>
  <c r="BP271" i="21"/>
  <c r="BW142" i="21"/>
  <c r="BW198" i="21"/>
  <c r="BW135" i="21"/>
  <c r="BW149" i="21"/>
  <c r="BW205" i="21"/>
  <c r="BW191" i="21"/>
  <c r="BW250" i="21"/>
  <c r="BW148" i="21"/>
  <c r="BW204" i="21"/>
  <c r="BM198" i="21"/>
  <c r="S270" i="21"/>
  <c r="S271" i="21"/>
  <c r="S264" i="21"/>
  <c r="BQ160" i="21"/>
  <c r="BQ199" i="21"/>
  <c r="BO161" i="21"/>
  <c r="BO198" i="21"/>
  <c r="BL161" i="21"/>
  <c r="BL198" i="21"/>
  <c r="BX252" i="21"/>
  <c r="BX140" i="21"/>
  <c r="BX196" i="21"/>
  <c r="BX139" i="21"/>
  <c r="BX195" i="21"/>
  <c r="BP198" i="21"/>
  <c r="BP161" i="21"/>
  <c r="BS135" i="21"/>
  <c r="BS191" i="21"/>
  <c r="BS250" i="21"/>
  <c r="BS149" i="21"/>
  <c r="BS205" i="21"/>
  <c r="BS142" i="21"/>
  <c r="BS198" i="21"/>
  <c r="BS148" i="21"/>
  <c r="BS204" i="21"/>
  <c r="BS160" i="21"/>
  <c r="BS159" i="21"/>
  <c r="BS215" i="21"/>
  <c r="BS218" i="21"/>
  <c r="BO271" i="21"/>
  <c r="BO264" i="21"/>
  <c r="BY122" i="21"/>
  <c r="BY119" i="21"/>
  <c r="T160" i="21"/>
  <c r="T215" i="21"/>
  <c r="T218" i="21"/>
  <c r="T159" i="21"/>
  <c r="BV142" i="21"/>
  <c r="BV198" i="21"/>
  <c r="BV191" i="21"/>
  <c r="BV250" i="21"/>
  <c r="BV135" i="21"/>
  <c r="BV149" i="21"/>
  <c r="BV205" i="21"/>
  <c r="BV148" i="21"/>
  <c r="BV204" i="21"/>
  <c r="BU252" i="21"/>
  <c r="BU139" i="21"/>
  <c r="BU195" i="21"/>
  <c r="BU140" i="21"/>
  <c r="BU196" i="21"/>
  <c r="BQ135" i="21"/>
  <c r="BQ191" i="21"/>
  <c r="BQ250" i="21"/>
  <c r="BQ149" i="21"/>
  <c r="BQ205" i="21"/>
  <c r="BQ142" i="21"/>
  <c r="BX124" i="21"/>
  <c r="BW253" i="21"/>
  <c r="BW262" i="21"/>
  <c r="BW261" i="21"/>
  <c r="BV160" i="21"/>
  <c r="BV159" i="21"/>
  <c r="BV215" i="21"/>
  <c r="BV218" i="21"/>
  <c r="S217" i="21"/>
  <c r="S219" i="21"/>
  <c r="S161" i="21"/>
  <c r="BT253" i="21"/>
  <c r="BT262" i="21"/>
  <c r="BT261" i="21"/>
  <c r="BW160" i="21"/>
  <c r="BW215" i="21"/>
  <c r="BW218" i="21"/>
  <c r="BW159" i="21"/>
  <c r="BQ253" i="21"/>
  <c r="BQ262" i="21"/>
  <c r="BQ261" i="21"/>
  <c r="BQ215" i="21"/>
  <c r="BQ218" i="21"/>
  <c r="BQ159" i="21"/>
  <c r="BQ217" i="21"/>
  <c r="BQ219" i="21"/>
  <c r="BZ45" i="21"/>
  <c r="BZ157" i="21"/>
  <c r="BZ160" i="21" s="1"/>
  <c r="BZ134" i="21"/>
  <c r="AB188" i="21"/>
  <c r="AB247" i="21"/>
  <c r="AC91" i="21"/>
  <c r="AX188" i="21"/>
  <c r="AX247" i="21"/>
  <c r="AY91" i="21"/>
  <c r="T271" i="21"/>
  <c r="T264" i="21"/>
  <c r="T270" i="21"/>
  <c r="T217" i="21"/>
  <c r="T219" i="21"/>
  <c r="T161" i="21"/>
  <c r="BU261" i="21"/>
  <c r="BU253" i="21"/>
  <c r="BU262" i="21"/>
  <c r="BX134" i="21"/>
  <c r="BX130" i="21"/>
  <c r="BX190" i="21"/>
  <c r="BX249" i="21"/>
  <c r="BX265" i="21"/>
  <c r="BX48" i="21"/>
  <c r="BX45" i="21"/>
  <c r="BX143" i="21"/>
  <c r="BX199" i="21"/>
  <c r="BX157" i="21"/>
  <c r="BY140" i="21"/>
  <c r="BY196" i="21"/>
  <c r="BY139" i="21"/>
  <c r="BY195" i="21"/>
  <c r="BY252" i="21"/>
  <c r="BT161" i="21"/>
  <c r="BT217" i="21"/>
  <c r="BT219" i="21"/>
  <c r="BS161" i="21"/>
  <c r="BS217" i="21"/>
  <c r="BS219" i="21"/>
  <c r="AP24" i="9"/>
  <c r="BY124" i="21"/>
  <c r="BT270" i="21"/>
  <c r="BT271" i="21"/>
  <c r="BT264" i="21"/>
  <c r="BV188" i="21"/>
  <c r="BV247" i="21"/>
  <c r="BW91" i="21"/>
  <c r="BX91" i="21"/>
  <c r="BQ161" i="21"/>
  <c r="BQ198" i="21"/>
  <c r="BU143" i="21"/>
  <c r="BU199" i="21"/>
  <c r="BU157" i="21"/>
  <c r="BU48" i="21"/>
  <c r="BU130" i="21"/>
  <c r="BU45" i="21"/>
  <c r="BU134" i="21"/>
  <c r="BU190" i="21"/>
  <c r="BU249" i="21"/>
  <c r="BU265" i="21"/>
  <c r="BW270" i="21"/>
  <c r="BW271" i="21"/>
  <c r="BW264" i="21"/>
  <c r="BW161" i="21"/>
  <c r="BW217" i="21"/>
  <c r="BW219" i="21"/>
  <c r="BV161" i="21"/>
  <c r="BV217" i="21"/>
  <c r="BV219" i="21"/>
  <c r="BQ264" i="21"/>
  <c r="BQ271" i="21"/>
  <c r="BV264" i="21"/>
  <c r="BV271" i="21"/>
  <c r="BV270" i="21"/>
  <c r="BS270" i="21"/>
  <c r="BS264" i="21"/>
  <c r="BS271" i="21"/>
  <c r="BX261" i="21"/>
  <c r="BX253" i="21"/>
  <c r="BX262" i="21"/>
  <c r="AZ91" i="21"/>
  <c r="AY188" i="21"/>
  <c r="AY247" i="21"/>
  <c r="AD91" i="21"/>
  <c r="AC188" i="21"/>
  <c r="AC247" i="21"/>
  <c r="BY261" i="21"/>
  <c r="BY253" i="21"/>
  <c r="BY262" i="21"/>
  <c r="BY190" i="21"/>
  <c r="BY249" i="21"/>
  <c r="BY265" i="21"/>
  <c r="BY48" i="21"/>
  <c r="BY134" i="21"/>
  <c r="BY130" i="21"/>
  <c r="BY157" i="21"/>
  <c r="BY45" i="21"/>
  <c r="BY143" i="21"/>
  <c r="BY199" i="21"/>
  <c r="BU160" i="21"/>
  <c r="BU159" i="21"/>
  <c r="BU215" i="21"/>
  <c r="BU218" i="21"/>
  <c r="BX191" i="21"/>
  <c r="BX250" i="21"/>
  <c r="BX135" i="21"/>
  <c r="BX142" i="21"/>
  <c r="BX198" i="21"/>
  <c r="BX149" i="21"/>
  <c r="BX205" i="21"/>
  <c r="BX148" i="21"/>
  <c r="BX204" i="21"/>
  <c r="AP25" i="9"/>
  <c r="BV24" i="9"/>
  <c r="BV25" i="9"/>
  <c r="BV27" i="9"/>
  <c r="BV29" i="9"/>
  <c r="BW188" i="21"/>
  <c r="BW247" i="21"/>
  <c r="BX160" i="21"/>
  <c r="BX159" i="21"/>
  <c r="BX215" i="21"/>
  <c r="BX218" i="21"/>
  <c r="BU149" i="21"/>
  <c r="BU205" i="21"/>
  <c r="BU135" i="21"/>
  <c r="BU191" i="21"/>
  <c r="BU250" i="21"/>
  <c r="BU142" i="21"/>
  <c r="BU198" i="21"/>
  <c r="BU148" i="21"/>
  <c r="BU204" i="21"/>
  <c r="AE91" i="21"/>
  <c r="AD188" i="21"/>
  <c r="AD247" i="21"/>
  <c r="BA91" i="21"/>
  <c r="BA188" i="21"/>
  <c r="BA247" i="21"/>
  <c r="AZ188" i="21"/>
  <c r="AZ247" i="21"/>
  <c r="BU270" i="21"/>
  <c r="BU264" i="21"/>
  <c r="BU271" i="21"/>
  <c r="BU161" i="21"/>
  <c r="BU217" i="21"/>
  <c r="BU219" i="21"/>
  <c r="BX188" i="21"/>
  <c r="BX247" i="21"/>
  <c r="BY91" i="21"/>
  <c r="BY160" i="21"/>
  <c r="BY215" i="21"/>
  <c r="BY218" i="21"/>
  <c r="BY159" i="21"/>
  <c r="BY149" i="21"/>
  <c r="BY205" i="21"/>
  <c r="BY191" i="21"/>
  <c r="BY250" i="21"/>
  <c r="BY135" i="21"/>
  <c r="BY142" i="21"/>
  <c r="BY198" i="21"/>
  <c r="BY148" i="21"/>
  <c r="BY204" i="21"/>
  <c r="AP27" i="9"/>
  <c r="AP34" i="9"/>
  <c r="AP31" i="9"/>
  <c r="BX161" i="21"/>
  <c r="BX217" i="21"/>
  <c r="BX219" i="21"/>
  <c r="BX264" i="21"/>
  <c r="BX270" i="21"/>
  <c r="BX271" i="21"/>
  <c r="AF91" i="21"/>
  <c r="AE188" i="21"/>
  <c r="AE247" i="21"/>
  <c r="BY188" i="21"/>
  <c r="BY247" i="21"/>
  <c r="BY161" i="21"/>
  <c r="BY217" i="21"/>
  <c r="BY219" i="21"/>
  <c r="BY270" i="21"/>
  <c r="BY264" i="21"/>
  <c r="BY271" i="21"/>
  <c r="AP29" i="9"/>
  <c r="AP35" i="9"/>
  <c r="AP39" i="9"/>
  <c r="AP41" i="9"/>
  <c r="AF188" i="21"/>
  <c r="AF247" i="21"/>
  <c r="AG91" i="21"/>
  <c r="AH91" i="21"/>
  <c r="AG188" i="21"/>
  <c r="AG247" i="21"/>
  <c r="AI91" i="21"/>
  <c r="AH188" i="21"/>
  <c r="AH247" i="21"/>
  <c r="AI188" i="21"/>
  <c r="AI247" i="21"/>
  <c r="AJ91" i="21"/>
  <c r="AJ188" i="21"/>
  <c r="AJ247" i="21"/>
  <c r="AK91" i="21"/>
  <c r="AL91" i="21"/>
  <c r="AK188" i="21"/>
  <c r="AK247" i="21"/>
  <c r="AL188" i="21"/>
  <c r="AL247" i="21"/>
  <c r="U255" i="21" l="1"/>
  <c r="U158" i="21"/>
  <c r="U216" i="21" s="1"/>
  <c r="U140" i="21"/>
  <c r="U196" i="21" s="1"/>
  <c r="U46" i="21"/>
  <c r="BZ158" i="21"/>
  <c r="BZ216" i="21" s="1"/>
  <c r="AQ26" i="9"/>
  <c r="BZ46" i="21"/>
  <c r="U157" i="21"/>
  <c r="U143" i="21"/>
  <c r="U45" i="21"/>
  <c r="U48" i="21"/>
  <c r="BW25" i="9"/>
  <c r="AQ25" i="9"/>
  <c r="U215" i="21"/>
  <c r="U218" i="21" s="1"/>
  <c r="U159" i="21"/>
  <c r="U217" i="21" s="1"/>
  <c r="U219" i="21" s="1"/>
  <c r="U253" i="21"/>
  <c r="U262" i="21" s="1"/>
  <c r="U261" i="21"/>
  <c r="BZ130" i="21"/>
  <c r="BZ215" i="21"/>
  <c r="BZ218" i="21" s="1"/>
  <c r="BZ143" i="21"/>
  <c r="BZ199" i="21" s="1"/>
  <c r="U134" i="21"/>
  <c r="U190" i="21"/>
  <c r="U249" i="21" s="1"/>
  <c r="U265" i="21" s="1"/>
  <c r="BZ159" i="21"/>
  <c r="U130" i="21"/>
  <c r="BZ114" i="21"/>
  <c r="U267" i="21"/>
  <c r="U268" i="21"/>
  <c r="U104" i="21"/>
  <c r="U87" i="21"/>
  <c r="U179" i="21"/>
  <c r="U238" i="21" s="1"/>
  <c r="BZ145" i="21"/>
  <c r="BZ201" i="21" s="1"/>
  <c r="U49" i="21"/>
  <c r="U176" i="21"/>
  <c r="U235" i="21" s="1"/>
  <c r="BZ104" i="21"/>
  <c r="BZ48" i="21"/>
  <c r="BZ90" i="21"/>
  <c r="BZ44" i="21"/>
  <c r="U19" i="21"/>
  <c r="BZ30" i="21"/>
  <c r="BZ102" i="21" s="1"/>
  <c r="BZ154" i="21"/>
  <c r="U225" i="21"/>
  <c r="U229" i="21" s="1"/>
  <c r="U170" i="21"/>
  <c r="BZ56" i="21"/>
  <c r="BZ55" i="21"/>
  <c r="BZ58" i="21"/>
  <c r="BZ99" i="21"/>
  <c r="U28" i="21"/>
  <c r="U52" i="21"/>
  <c r="U54" i="21" s="1"/>
  <c r="U61" i="21"/>
  <c r="BZ34" i="21"/>
  <c r="U44" i="21"/>
  <c r="BZ35" i="21"/>
  <c r="U97" i="21"/>
  <c r="BA25" i="9"/>
  <c r="BA27" i="9" s="1"/>
  <c r="BA29" i="9" s="1"/>
  <c r="BB25" i="9"/>
  <c r="BB27" i="9" s="1"/>
  <c r="BB29" i="9" s="1"/>
  <c r="AW25" i="9"/>
  <c r="AW27" i="9" s="1"/>
  <c r="AW29" i="9" s="1"/>
  <c r="BD25" i="9"/>
  <c r="BD27" i="9" s="1"/>
  <c r="BD29" i="9" s="1"/>
  <c r="AV25" i="9"/>
  <c r="AV27" i="9" s="1"/>
  <c r="AV29" i="9" s="1"/>
  <c r="BK25" i="9"/>
  <c r="BK27" i="9" s="1"/>
  <c r="BK29" i="9" s="1"/>
  <c r="N80" i="9"/>
  <c r="N70" i="9"/>
  <c r="CE87" i="21"/>
  <c r="AM82" i="21"/>
  <c r="BE176" i="21"/>
  <c r="BE235" i="21" s="1"/>
  <c r="CF79" i="21"/>
  <c r="CF82" i="21" s="1"/>
  <c r="CF87" i="21" s="1"/>
  <c r="BB113" i="21"/>
  <c r="G139" i="21"/>
  <c r="G195" i="21" s="1"/>
  <c r="BI240" i="21"/>
  <c r="BI241" i="21"/>
  <c r="BI232" i="21"/>
  <c r="BN76" i="21"/>
  <c r="BR29" i="21"/>
  <c r="BV41" i="21"/>
  <c r="BV39" i="21"/>
  <c r="G8" i="23"/>
  <c r="G12" i="23" s="1"/>
  <c r="L12" i="23"/>
  <c r="BW26" i="9" l="1"/>
  <c r="BW27" i="9" s="1"/>
  <c r="BW29" i="9" s="1"/>
  <c r="AQ33" i="9"/>
  <c r="AQ27" i="9"/>
  <c r="AQ34" i="9"/>
  <c r="U160" i="21"/>
  <c r="U199" i="21"/>
  <c r="U142" i="21"/>
  <c r="U135" i="21"/>
  <c r="U191" i="21"/>
  <c r="U250" i="21" s="1"/>
  <c r="U270" i="21" s="1"/>
  <c r="U149" i="21"/>
  <c r="U205" i="21" s="1"/>
  <c r="U148" i="21"/>
  <c r="U204" i="21" s="1"/>
  <c r="BZ191" i="21"/>
  <c r="BZ250" i="21" s="1"/>
  <c r="BZ135" i="21"/>
  <c r="BZ142" i="21"/>
  <c r="BZ198" i="21" s="1"/>
  <c r="BZ149" i="21"/>
  <c r="BZ205" i="21" s="1"/>
  <c r="BZ217" i="21"/>
  <c r="BZ219" i="21" s="1"/>
  <c r="BZ161" i="21"/>
  <c r="BZ148" i="21"/>
  <c r="BZ204" i="21" s="1"/>
  <c r="U184" i="21"/>
  <c r="U243" i="21" s="1"/>
  <c r="U90" i="21"/>
  <c r="BZ187" i="21"/>
  <c r="BZ246" i="21" s="1"/>
  <c r="BZ91" i="21"/>
  <c r="BZ188" i="21" s="1"/>
  <c r="BZ247" i="21" s="1"/>
  <c r="BZ212" i="21"/>
  <c r="BZ214" i="21" s="1"/>
  <c r="BZ156" i="21"/>
  <c r="U98" i="21"/>
  <c r="U20" i="21"/>
  <c r="U47" i="21"/>
  <c r="U30" i="21"/>
  <c r="U99" i="21"/>
  <c r="U56" i="21"/>
  <c r="U58" i="21"/>
  <c r="U154" i="21"/>
  <c r="U114" i="21"/>
  <c r="BR30" i="21"/>
  <c r="BR47" i="21"/>
  <c r="BN173" i="21"/>
  <c r="BN79" i="21"/>
  <c r="BN82" i="21" s="1"/>
  <c r="BB114" i="21"/>
  <c r="BB49" i="21"/>
  <c r="CF88" i="21"/>
  <c r="CF93" i="21" s="1"/>
  <c r="CF90" i="21"/>
  <c r="CF91" i="21" s="1"/>
  <c r="AM87" i="21"/>
  <c r="AM179" i="21"/>
  <c r="AM238" i="21" s="1"/>
  <c r="AN104" i="21"/>
  <c r="AN148" i="21" s="1"/>
  <c r="AN204" i="21" s="1"/>
  <c r="AO104" i="21"/>
  <c r="AO148" i="21" s="1"/>
  <c r="AO204" i="21" s="1"/>
  <c r="AM104" i="21"/>
  <c r="AM148" i="21" s="1"/>
  <c r="AM204" i="21" s="1"/>
  <c r="AP104" i="21"/>
  <c r="AP148" i="21" s="1"/>
  <c r="AP204" i="21" s="1"/>
  <c r="CE88" i="21"/>
  <c r="CE93" i="21" s="1"/>
  <c r="CE90" i="21"/>
  <c r="CE91" i="21" s="1"/>
  <c r="AQ35" i="9" l="1"/>
  <c r="AQ29" i="9"/>
  <c r="AQ39" i="9"/>
  <c r="AQ41" i="9" s="1"/>
  <c r="BZ264" i="21"/>
  <c r="BZ271" i="21"/>
  <c r="BZ270" i="21"/>
  <c r="U264" i="21"/>
  <c r="U271" i="21"/>
  <c r="U161" i="21"/>
  <c r="U198" i="21"/>
  <c r="U187" i="21"/>
  <c r="U246" i="21" s="1"/>
  <c r="U91" i="21"/>
  <c r="U188" i="21" s="1"/>
  <c r="U247" i="21" s="1"/>
  <c r="U212" i="21"/>
  <c r="U214" i="21" s="1"/>
  <c r="U156" i="21"/>
  <c r="U102" i="21"/>
  <c r="U34" i="21"/>
  <c r="AO270" i="21"/>
  <c r="AN270" i="21"/>
  <c r="AM270" i="21"/>
  <c r="AP270" i="21"/>
  <c r="AM88" i="21"/>
  <c r="AM184" i="21"/>
  <c r="AM243" i="21" s="1"/>
  <c r="AM90" i="21"/>
  <c r="BN87" i="21"/>
  <c r="BQ104" i="21"/>
  <c r="BQ148" i="21" s="1"/>
  <c r="BQ204" i="21" s="1"/>
  <c r="BO104" i="21"/>
  <c r="BO148" i="21" s="1"/>
  <c r="BO204" i="21" s="1"/>
  <c r="BN179" i="21"/>
  <c r="BN238" i="21" s="1"/>
  <c r="BP104" i="21"/>
  <c r="BP148" i="21" s="1"/>
  <c r="BP204" i="21" s="1"/>
  <c r="BN104" i="21"/>
  <c r="BN148" i="21" s="1"/>
  <c r="BN204" i="21" s="1"/>
  <c r="BN232" i="21"/>
  <c r="BN176" i="21"/>
  <c r="BN235" i="21" s="1"/>
  <c r="BR34" i="21"/>
  <c r="BT102" i="21"/>
  <c r="BS102" i="21"/>
  <c r="BR102" i="21"/>
  <c r="BU102" i="21"/>
  <c r="BN270" i="21" l="1"/>
  <c r="BP270" i="21"/>
  <c r="BO270" i="21"/>
  <c r="BQ270" i="21"/>
  <c r="BN90" i="21"/>
  <c r="BN187" i="21" s="1"/>
  <c r="BN246" i="21" s="1"/>
  <c r="BN184" i="21"/>
  <c r="BN243" i="21" s="1"/>
  <c r="AM187" i="21"/>
  <c r="AM246" i="21" s="1"/>
  <c r="AM91" i="21"/>
  <c r="AM186" i="21"/>
  <c r="AM245" i="21" s="1"/>
  <c r="AM93" i="21"/>
  <c r="J88" i="21"/>
  <c r="J186" i="21" l="1"/>
  <c r="J245" i="21" s="1"/>
  <c r="J90" i="21"/>
  <c r="AM188" i="21"/>
  <c r="AM247" i="21" s="1"/>
  <c r="AN91" i="21"/>
  <c r="AO91" i="21" l="1"/>
  <c r="AN188" i="21"/>
  <c r="AN247" i="21" s="1"/>
  <c r="J187" i="21"/>
  <c r="J246" i="21" s="1"/>
  <c r="J91" i="21"/>
  <c r="J188" i="21" l="1"/>
  <c r="J247" i="21" s="1"/>
  <c r="K91" i="21"/>
  <c r="K188" i="21" s="1"/>
  <c r="K247" i="21" s="1"/>
  <c r="AP91" i="21"/>
  <c r="AO188" i="21"/>
  <c r="AO247" i="21" s="1"/>
  <c r="AP188" i="21" l="1"/>
  <c r="AP247" i="21" s="1"/>
  <c r="AQ91" i="21"/>
  <c r="AR91" i="21" l="1"/>
  <c r="AQ188" i="21"/>
  <c r="AQ247" i="21" s="1"/>
  <c r="AS91" i="21" l="1"/>
  <c r="AS188" i="21" s="1"/>
  <c r="AS247" i="21" s="1"/>
  <c r="AR188" i="21"/>
  <c r="AR24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Vivek Panchal</author>
    <author>Rishabh Saraf</author>
    <author>Roshni Arunkumar</author>
    <author>Stuti Menon</author>
    <author>Vijay Nema</author>
    <author>Crisil GR&amp;RS</author>
  </authors>
  <commentList>
    <comment ref="AF4" authorId="0" shapeId="0" xr:uid="{61741113-357C-44CC-81B8-3F5A5FEB769E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G4" authorId="0" shapeId="0" xr:uid="{0F33E126-55E9-4DE5-8526-8649B01A6C98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H4" authorId="0" shapeId="0" xr:uid="{6E488FDC-FC1B-4215-BA37-A3951C7DEFD6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I4" authorId="0" shapeId="0" xr:uid="{AB23FA61-FD58-47AB-81F6-A03273BBCAF8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J4" authorId="0" shapeId="0" xr:uid="{5D72545E-CA2A-4AF0-88E1-B393BB8F1C6A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K4" authorId="0" shapeId="0" xr:uid="{96EF72CC-5058-46DB-AE2F-DA601E5E0EBF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L4" authorId="0" shapeId="0" xr:uid="{5C511BA9-E845-459A-A59F-E3F1CA6ED2A1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M4" authorId="0" shapeId="0" xr:uid="{7383C61A-5454-4605-887F-58D9888801E3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N4" authorId="0" shapeId="0" xr:uid="{6DFD80A1-CF54-47B1-B124-87E07FE930D7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O4" authorId="0" shapeId="0" xr:uid="{6EA56199-977A-4D90-92E8-D558D8B272BA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P4" authorId="0" shapeId="0" xr:uid="{129B0482-622E-4067-9176-DCFEAA2D9C3A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AQ4" authorId="0" shapeId="0" xr:uid="{4DC57046-9C58-4671-9529-80C8813AE066}">
      <text>
        <r>
          <rPr>
            <b/>
            <sz val="9"/>
            <color indexed="81"/>
            <rFont val="Tahoma"/>
            <family val="2"/>
          </rPr>
          <t>From BBG</t>
        </r>
      </text>
    </comment>
    <comment ref="S11" authorId="1" shapeId="0" xr:uid="{092F41A3-DF7A-40CC-8792-B419719FD4FF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We have assumed bond numbers to be same as before as we do not have bloomberg information </t>
        </r>
      </text>
    </comment>
    <comment ref="T11" authorId="2" shapeId="0" xr:uid="{5D40C8D3-7D5C-45C3-B4A2-F3500D0B4B9A}">
      <text>
        <r>
          <rPr>
            <sz val="9"/>
            <color indexed="81"/>
            <rFont val="Tahoma"/>
            <family val="2"/>
          </rPr>
          <t>Updated with 'Amt outstanding' in Bloomberg</t>
        </r>
      </text>
    </comment>
    <comment ref="U11" authorId="2" shapeId="0" xr:uid="{2604795A-BE80-40F1-B20D-088DBE32D1F4}">
      <text>
        <r>
          <rPr>
            <sz val="9"/>
            <color indexed="81"/>
            <rFont val="Tahoma"/>
            <family val="2"/>
          </rPr>
          <t>Updated with 'Amt outstanding' in Bloomberg</t>
        </r>
      </text>
    </comment>
    <comment ref="V11" authorId="2" shapeId="0" xr:uid="{C4FD0051-62EA-407E-B843-73759D059C47}">
      <text>
        <r>
          <rPr>
            <sz val="9"/>
            <color indexed="81"/>
            <rFont val="Tahoma"/>
            <family val="2"/>
          </rPr>
          <t>Updated with 'Amt outstanding' in Bloomberg</t>
        </r>
      </text>
    </comment>
    <comment ref="Z11" authorId="2" shapeId="0" xr:uid="{F4CE3814-AD73-4AFA-817D-12FEE76864A2}">
      <text>
        <r>
          <rPr>
            <sz val="9"/>
            <color indexed="81"/>
            <rFont val="Tahoma"/>
            <family val="2"/>
          </rPr>
          <t>Updated with 'Amt outstanding' in Bloomberg</t>
        </r>
      </text>
    </comment>
    <comment ref="AA11" authorId="2" shapeId="0" xr:uid="{22F82FB9-B5E6-4A77-B580-5620E57351A9}">
      <text>
        <r>
          <rPr>
            <sz val="9"/>
            <color indexed="81"/>
            <rFont val="Tahoma"/>
            <family val="2"/>
          </rPr>
          <t>Updated with 'Amt outstanding' in Bloomberg</t>
        </r>
      </text>
    </comment>
    <comment ref="K23" authorId="3" shapeId="0" xr:uid="{0EF56D63-87B9-4C71-9F2A-2FCE73BDE86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Refinanced with the subordinated bond issuance above</t>
        </r>
      </text>
    </comment>
    <comment ref="P30" authorId="4" shapeId="0" xr:uid="{62BF9E12-87F3-4EC3-A614-A81710303486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0" authorId="4" shapeId="0" xr:uid="{FE7BC7DC-53B2-4947-9735-3109EDB04379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4" shapeId="0" xr:uid="{2A07E517-480E-4A43-89AB-AD8EB17A3380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0" authorId="4" shapeId="0" xr:uid="{7A6E9AA2-536F-48D0-B857-04D83B4A1D56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" authorId="4" shapeId="0" xr:uid="{0CBE1F4A-03D2-4D0D-AA12-063B261ECAC2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0" authorId="4" shapeId="0" xr:uid="{1E9D5989-70FE-4713-887C-E96DB59C088B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" authorId="4" shapeId="0" xr:uid="{DE30A18B-2096-4BC2-BA32-73EB745BC505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" authorId="4" shapeId="0" xr:uid="{94744D17-DE79-4D69-AC5D-D17DD862E05C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0" authorId="4" shapeId="0" xr:uid="{8DD6E361-66A0-454A-8B4E-24F79C5695CC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0" authorId="4" shapeId="0" xr:uid="{11AE54C0-6B11-41E6-9FFE-03DF0C853B04}">
      <text>
        <r>
          <rPr>
            <b/>
            <sz val="9"/>
            <color indexed="81"/>
            <rFont val="Tahoma"/>
            <family val="2"/>
          </rPr>
          <t>Annualized EBITDA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" authorId="5" shapeId="0" xr:uid="{F41F6C51-8D1E-4D8D-BB85-926F493BB42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M53" authorId="5" shapeId="0" xr:uid="{D6D11FCE-2F8C-4934-89F7-67E8AB88E18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M63" authorId="5" shapeId="0" xr:uid="{99234646-D108-417F-9C06-A6603DEF966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  <comment ref="M73" authorId="5" shapeId="0" xr:uid="{09424529-4F27-4225-A3E2-2A553FB7571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BBG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Onabule, Yejide</author>
    <author>Roshni Arunkumar</author>
    <author>Yogesh Sheth</author>
    <author>CRISIL GR&amp;RS</author>
    <author>CRISIL</author>
    <author>Crisil GR&amp;A</author>
    <author>Stuti Menon</author>
    <author>Vijay Nema</author>
    <author>Nikhil Arora</author>
    <author>Rishabh Saraf</author>
    <author>Vivek Panchal</author>
    <author>Onabule, Yedije</author>
    <author>Crisil Intergral IQ</author>
    <author>Crisil GR&amp;RS</author>
    <author>CRISIL GR&amp;A</author>
  </authors>
  <commentList>
    <comment ref="B6" authorId="0" shapeId="0" xr:uid="{CE5EA994-7CA8-4DAC-A727-BA553EF9661D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as outlined by the company
please delet columns where necessary</t>
        </r>
      </text>
    </comment>
    <comment ref="BC9" authorId="1" shapeId="0" xr:uid="{39BD6468-7EE1-4B1C-A862-0C19A8DADBF2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BD9" authorId="1" shapeId="0" xr:uid="{58B77258-F973-46C6-A7AD-B7B553CC590D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BG9" authorId="1" shapeId="0" xr:uid="{A5EC36B5-25EA-46F7-8AAD-455E58589C50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BH9" authorId="1" shapeId="0" xr:uid="{063732CB-62C7-4E06-849D-58394020F4F0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CB9" authorId="1" shapeId="0" xr:uid="{A99E0B09-C13F-4B4A-B87F-47411B7DADB2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CC9" authorId="1" shapeId="0" xr:uid="{80823426-F57C-45C3-96F5-6506DB3E78E9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CD9" authorId="1" shapeId="0" xr:uid="{B9359675-14DE-4CC9-8B04-1E8EC9351483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CE9" authorId="1" shapeId="0" xr:uid="{EDDDA21E-BFD9-4A76-BCF4-DD10CF940D19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CF9" authorId="1" shapeId="0" xr:uid="{FABBD0D1-57DA-4D24-9FF9-C8F218049B49}">
      <text>
        <r>
          <rPr>
            <sz val="9"/>
            <color indexed="81"/>
            <rFont val="Tahoma"/>
            <family val="2"/>
          </rPr>
          <t>Finance income has been subtracted here</t>
        </r>
      </text>
    </comment>
    <comment ref="D19" authorId="2" shapeId="0" xr:uid="{7D68D7BB-7AA6-4A22-A45F-FE59FADC389F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Operating expenses break up is not available
</t>
        </r>
      </text>
    </comment>
    <comment ref="E19" authorId="2" shapeId="0" xr:uid="{797F4A72-5D9C-433B-A745-54485E69E227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Operating expenses break up is not available
</t>
        </r>
      </text>
    </comment>
    <comment ref="F19" authorId="2" shapeId="0" xr:uid="{58D0D0CF-C267-4CB4-96ED-EC14C3F6C165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Operating expenses break up is not available
</t>
        </r>
      </text>
    </comment>
    <comment ref="G19" authorId="2" shapeId="0" xr:uid="{247C2BBA-FFF8-4B63-A7A3-0CA285ECD414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Operating expenses break up is not available
</t>
        </r>
      </text>
    </comment>
    <comment ref="H19" authorId="2" shapeId="0" xr:uid="{AF6F2ACE-2984-479D-A32B-D5A55A407C29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Operating expenses break up is not available
</t>
        </r>
      </text>
    </comment>
    <comment ref="BS35" authorId="3" shapeId="0" xr:uid="{77988C4F-C7DE-473B-B9B9-213A37B8324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rounding off difference</t>
        </r>
      </text>
    </comment>
    <comment ref="B37" authorId="0" shapeId="0" xr:uid="{8AB3959A-836D-4EF7-9788-85D18E0E2B05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income statement items as a % of sales</t>
        </r>
      </text>
    </comment>
    <comment ref="B58" authorId="0" shapeId="0" xr:uid="{AFE06855-D0E8-46A1-8BE0-EC39A0C37F7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This is related to CSR costs</t>
        </r>
      </text>
    </comment>
    <comment ref="BY58" authorId="4" shapeId="0" xr:uid="{556FB0FE-32FC-4A7D-93AA-AF0FD814C3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* Charity and donation: 398
* Finance Income/Derviatives MTM: (4,112)</t>
        </r>
      </text>
    </comment>
    <comment ref="B59" authorId="0" shapeId="0" xr:uid="{6FED5077-306F-4F56-9249-65635BC98C31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EBITDA reported by the  company
</t>
        </r>
      </text>
    </comment>
    <comment ref="T59" authorId="4" shapeId="0" xr:uid="{3425889F-233B-4103-BB7B-499FC82BAAC4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Report 1Q26 Pg 8/61</t>
        </r>
      </text>
    </comment>
    <comment ref="AY59" authorId="5" shapeId="0" xr:uid="{7A37D75E-2D25-4199-BD68-85396A2E81D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BC59" authorId="5" shapeId="0" xr:uid="{8FE935C2-7641-4C42-891A-CE99E64BC7B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BG59" authorId="5" shapeId="0" xr:uid="{D02D6DB1-4B0D-4B91-88E4-F224C1D9E8C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BK59" authorId="5" shapeId="0" xr:uid="{EE7E53DC-FE0B-4B45-8EA3-42A2EFF90BB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BO59" authorId="5" shapeId="0" xr:uid="{1D0F6BB9-54D0-414F-97C8-DD8D30C754A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BS59" authorId="5" shapeId="0" xr:uid="{27665CA3-DE31-450B-B17F-777848CAE7E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
FY25 Report - Pg 4/60</t>
        </r>
      </text>
    </comment>
    <comment ref="BT59" authorId="5" shapeId="0" xr:uid="{337BA707-6B91-4896-98E5-71FE578842C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
FY25 Report - Pg 4/60</t>
        </r>
      </text>
    </comment>
    <comment ref="BU59" authorId="5" shapeId="0" xr:uid="{0C3642E1-DA20-42D4-9146-908BCC4DD86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
FY25 Report - Pg 4/60</t>
        </r>
      </text>
    </comment>
    <comment ref="BW59" authorId="4" shapeId="0" xr:uid="{7879DA32-24BD-454F-BC72-CC0451007F8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FY26 Report - Pg 4/61</t>
        </r>
      </text>
    </comment>
    <comment ref="BX59" authorId="5" shapeId="0" xr:uid="{9F526683-D870-400B-BABD-81B609DB356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
FY26 Report - Pg 4/61</t>
        </r>
      </text>
    </comment>
    <comment ref="BY59" authorId="4" shapeId="0" xr:uid="{5B8DAFF4-23EE-41EB-BC6E-32D1E42EBC4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1Q26 Report - Pg 4/61</t>
        </r>
      </text>
    </comment>
    <comment ref="CB59" authorId="5" shapeId="0" xr:uid="{9E86745F-071C-4D3C-BE02-28CEBEFE4C3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CC59" authorId="5" shapeId="0" xr:uid="{350997A3-8DB1-4ECA-A20D-8EFABE7C8B8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CD59" authorId="5" shapeId="0" xr:uid="{C1E62BE5-606D-4242-A409-76C270E1EA1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CE59" authorId="5" shapeId="0" xr:uid="{BA218994-07D1-4758-9406-E4878130453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CF59" authorId="5" shapeId="0" xr:uid="{2D5A45C1-3803-462C-975B-0E0ADFC94C8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per Ind AS 116</t>
        </r>
      </text>
    </comment>
    <comment ref="M65" authorId="6" shapeId="0" xr:uid="{85DCE45E-041C-4FE1-BF75-E9B694EBC58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Annual report that has the bifurcation is unavailable as of now
</t>
        </r>
      </text>
    </comment>
    <comment ref="B68" authorId="5" shapeId="0" xr:uid="{0D877D66-1BD4-4EED-AA5E-DC66A4F812C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Without impact of
Ind AS 116</t>
        </r>
      </text>
    </comment>
    <comment ref="N68" authorId="7" shapeId="0" xr:uid="{7AE28C07-7B10-4ED2-B430-8FD91B6000B1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O68" authorId="7" shapeId="0" xr:uid="{9A4F8B5B-A699-4C31-B8AC-CAABD9A61B84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P68" authorId="7" shapeId="0" xr:uid="{AB0F7D96-B67B-46F8-8ACA-BF8ABC235116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Q68" authorId="7" shapeId="0" xr:uid="{29B2C5FD-6BC9-4EB9-9E29-8B9215E69E83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R68" authorId="7" shapeId="0" xr:uid="{CC406117-93EA-44BB-B714-1629FE1C200B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S68" authorId="7" shapeId="0" xr:uid="{0DB93286-4C7C-4CF0-91C0-FBD69E037537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U68" authorId="7" shapeId="0" xr:uid="{0C9606D6-7149-4B07-A4F4-F6BEED57FE43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AZ68" authorId="7" shapeId="0" xr:uid="{54A9FC7F-D191-4749-A197-025D590B8168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A68" authorId="7" shapeId="0" xr:uid="{339EFE3D-DA96-493D-8138-D84017E03E81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B68" authorId="7" shapeId="0" xr:uid="{240C4B74-E129-4F0A-B782-B046880E5501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C68" authorId="7" shapeId="0" xr:uid="{89A53E82-D350-4E10-8B43-F5F64DA66BCF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D68" authorId="7" shapeId="0" xr:uid="{4449E62E-7A06-4621-BA2D-7159854E5B67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E68" authorId="7" shapeId="0" xr:uid="{F61551DA-B24D-482C-AAF9-1AC5360B050C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F68" authorId="7" shapeId="0" xr:uid="{9CB01A20-92BB-4866-A085-8808929A5590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G68" authorId="7" shapeId="0" xr:uid="{33F761EE-062F-40F4-9D29-EB3D040D41CC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H68" authorId="7" shapeId="0" xr:uid="{0CE1D236-BE89-4333-A57B-37A2F3BA8A4D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I68" authorId="7" shapeId="0" xr:uid="{B7D7E459-7B0B-445A-9E8D-49729BA53224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J68" authorId="7" shapeId="0" xr:uid="{F8121323-8F67-4013-8E67-0031991AF11C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K68" authorId="7" shapeId="0" xr:uid="{9132141F-5A5A-4440-ACF1-7907B8E7F533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L68" authorId="7" shapeId="0" xr:uid="{98F0C3F4-6E97-43E9-AFDB-7C2008BECCC5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M68" authorId="7" shapeId="0" xr:uid="{4E549AA5-BA2A-4E74-BDB7-05B0E93D355B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N68" authorId="7" shapeId="0" xr:uid="{7C3AFFF7-08FF-4F9B-8540-23FC4E7B5DBB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O68" authorId="7" shapeId="0" xr:uid="{F7081C6F-F497-40EA-BB9A-2D42E95E2008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P68" authorId="7" shapeId="0" xr:uid="{EB5EA98E-AAC5-4AD0-BD12-A59912193DCD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Q68" authorId="7" shapeId="0" xr:uid="{D7EA0666-2182-4966-ADFC-139467AEA18C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R68" authorId="7" shapeId="0" xr:uid="{0763DD30-03C0-4B7C-9583-56AAD546C75E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S68" authorId="7" shapeId="0" xr:uid="{D8E3209B-B8E4-424B-9D20-B975928D2E20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T68" authorId="7" shapeId="0" xr:uid="{D73904D9-3669-496A-9E9F-24498BB4AAA9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U68" authorId="7" shapeId="0" xr:uid="{BC154433-BF8A-4F34-9E56-C7C252360E8D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V68" authorId="7" shapeId="0" xr:uid="{0F3AE38E-877D-4A90-8AB7-D1DE0CB47906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W68" authorId="7" shapeId="0" xr:uid="{9CEE7541-187E-4614-9E40-953DDD3F0C9C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X68" authorId="7" shapeId="0" xr:uid="{93A07DA1-89F3-48FA-B2C5-EE0637663DF9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Y68" authorId="7" shapeId="0" xr:uid="{CE1DDEB3-932B-4CED-9C94-3FFC8470EEB9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CH68" authorId="7" shapeId="0" xr:uid="{74F5048E-4456-4918-B760-3AC3CD251360}">
      <text>
        <r>
          <rPr>
            <sz val="9"/>
            <color indexed="81"/>
            <rFont val="Tahoma"/>
            <family val="2"/>
          </rPr>
          <t>Not available in the filings</t>
        </r>
      </text>
    </comment>
    <comment ref="B70" authorId="5" shapeId="0" xr:uid="{063C6A50-281C-4440-90A2-A2BDAAD8D69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Without impact of
Ind AS 116</t>
        </r>
      </text>
    </comment>
    <comment ref="B75" authorId="0" shapeId="0" xr:uid="{4565A2E9-7B49-48F4-8125-EB6263FA5CDD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from above</t>
        </r>
      </text>
    </comment>
    <comment ref="B76" authorId="4" shapeId="0" xr:uid="{2D245982-9B3F-4BA6-B415-A6DE936062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 reported by company:
Changes in working capital that includes
* Trade receivables
* Trade payables
* Other assets and liabilities</t>
        </r>
      </text>
    </comment>
    <comment ref="B80" authorId="8" shapeId="0" xr:uid="{1F9DFF40-D8AB-4CD6-862C-33925BBF1FB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capex includes tangible and intangible asset purchases, purchase of 3G and 4G licenses and proceeds from sale of tangibles assets and assets held for sale.</t>
        </r>
      </text>
    </comment>
    <comment ref="T80" authorId="4" shapeId="0" xr:uid="{28371443-6004-49DA-8BF7-ACA42CBAB33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PPE and intangible assets</t>
        </r>
      </text>
    </comment>
    <comment ref="T83" authorId="4" shapeId="0" xr:uid="{6386B3D7-B98C-48F8-A114-0629674F784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This includes:
1. Net movement in current investments: -126,994
2. Net Purchase of non-current investments: - 1,151
3. Repayment of loan given: 907
4. Dividend received: 1,813
5. Interest received: 4,088</t>
        </r>
      </text>
    </comment>
    <comment ref="BX83" authorId="4" shapeId="0" xr:uid="{4AC15610-5660-432F-9BF7-A12357EB97A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Net movement in current investments: (4,443)
* Net (Purchase) / Sale of non-current investments: (436) 
* Interest received : 1,026</t>
        </r>
      </text>
    </comment>
    <comment ref="BY83" authorId="4" shapeId="0" xr:uid="{83D1A3E7-9E4A-4241-B5C1-B59C38054E6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Net movement in current investments: (19,719)
* Net (Purchase) / Sale of non-current investments: (354)
* Repayment of Loan given: 634
* Interest received: 2,223</t>
        </r>
      </text>
    </comment>
    <comment ref="T84" authorId="4" shapeId="0" xr:uid="{DCAE0AD9-E308-4EDB-8102-4669D276AA80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This includes:
1. Purchase of treasury shares and proceeds from exercise of share options: -1,447
2. Dividend paid (including tax): -113,277
3. Proceeds from issuance of equity shares/perpetual bonds to NCI: 75
4. Purchase of shares from NCI: -19,056
5. Net proceeds from issue of shares: 156,949</t>
        </r>
      </text>
    </comment>
    <comment ref="BY84" authorId="4" shapeId="0" xr:uid="{7978CAF6-D54B-4771-A2E2-3D169E50F76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Purchase of treasury shares and proceeds from exercise of share options: (129)
* Dividend paid (including tax): (6,460)
* Proceeds from issuance of equity shares / perpetual bonds to NCI: 75</t>
        </r>
      </text>
    </comment>
    <comment ref="T85" authorId="4" shapeId="0" xr:uid="{B8F96CB4-91C1-4114-93D3-4EB13923E5C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This includes:
1. Net repayments of borrowings: -280,642
2. Net repayments of short-term borrowings: -44,087
3. Payment of lease liabilities: -67,197</t>
        </r>
      </text>
    </comment>
    <comment ref="T86" authorId="4" shapeId="0" xr:uid="{610DA6E7-86F6-4D01-8A60-F8D7BF6A07F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This includes:
1. Payment on maturity of derivatives (net): -5,368</t>
        </r>
      </text>
    </comment>
    <comment ref="BX86" authorId="4" shapeId="0" xr:uid="{53905ED8-5CAF-4041-9CC4-7B1CF9FD982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Purchase of treasury shares and proceeds from exercise of share options: (1,245)
* Payment on Maturity of Derivatives (net): (1,615)
* Purchase of shares from NCI : (11,271)</t>
        </r>
      </text>
    </comment>
    <comment ref="BY86" authorId="4" shapeId="0" xr:uid="{7462C2A8-BF3D-4162-B167-3E930866631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Payment on Maturity of Derivatives (net): (1,414)
* Purchase of shares from NCI: (449)</t>
        </r>
      </text>
    </comment>
    <comment ref="S88" authorId="4" shapeId="0" xr:uid="{36E3FDDB-937B-43E7-B1CA-293D99D4E23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Diffrence is between reproted and calcualted operating cash flow</t>
        </r>
      </text>
    </comment>
    <comment ref="T88" authorId="4" shapeId="0" xr:uid="{D6D47CF3-F1A8-47B9-B134-889F834D7F3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It is due to use of EBITDA instead of PBT to calculate CFO and other adjustments apart from working capital, majorly:
* Other non-cash items: 36,589
* Net gain on FVTPL investments: (3,369)
* Net gain on derivative financial instruments: (2,017)</t>
        </r>
      </text>
    </comment>
    <comment ref="BX88" authorId="4" shapeId="0" xr:uid="{3E50C3F7-BD4C-4710-BEDD-FB60449AFE3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Due to used of EBITDA for calculating operating cash flows and other adjustments before working capital changes</t>
        </r>
      </text>
    </comment>
    <comment ref="BY88" authorId="4" shapeId="0" xr:uid="{2CB9ACF9-6522-435D-B9FE-55B9C0BCA4F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calcualte CFO instead of PBT, and other adjustments apart from working capital, majorly:
* Other non-cash items: 4,239
* Net gain on FVTPL investments: (778)
* Interest income: (3,334)</t>
        </r>
      </text>
    </comment>
    <comment ref="E91" authorId="2" shapeId="0" xr:uid="{E0F0A5A5-2F4A-464B-82A3-C7122F4BF811}">
      <text>
        <r>
          <rPr>
            <sz val="9"/>
            <color indexed="81"/>
            <rFont val="Tahoma"/>
            <family val="2"/>
          </rPr>
          <t xml:space="preserve">Restated in FY14 filings
</t>
        </r>
      </text>
    </comment>
    <comment ref="M91" authorId="9" shapeId="0" xr:uid="{664646E3-B16A-40F3-BED9-51E95CD16C17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This number has been restated to 53,793 in FY20 report</t>
        </r>
      </text>
    </comment>
    <comment ref="BX91" authorId="4" shapeId="0" xr:uid="{0C779F44-F034-4D70-AE88-72836707087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Adjusted for rounding off error</t>
        </r>
      </text>
    </comment>
    <comment ref="BO93" authorId="10" shapeId="0" xr:uid="{8C27A185-61E7-4B9A-9F55-BA696A67D84F}">
      <text>
        <r>
          <rPr>
            <b/>
            <sz val="9"/>
            <color indexed="81"/>
            <rFont val="Tahoma"/>
            <family val="2"/>
          </rPr>
          <t>Round off</t>
        </r>
      </text>
    </comment>
    <comment ref="BP93" authorId="4" shapeId="0" xr:uid="{CCA50859-747E-489C-9B8B-93B03CFB567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BS93" authorId="10" shapeId="0" xr:uid="{80506839-8DEA-40CE-8565-6060F86FF691}">
      <text>
        <r>
          <rPr>
            <b/>
            <sz val="9"/>
            <color indexed="81"/>
            <rFont val="Tahoma"/>
            <family val="2"/>
          </rPr>
          <t>Round off</t>
        </r>
      </text>
    </comment>
    <comment ref="B106" authorId="0" shapeId="0" xr:uid="{44EA883C-FF37-4947-857D-C2F332845652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Only where applicable</t>
        </r>
      </text>
    </comment>
    <comment ref="B108" authorId="5" shapeId="0" xr:uid="{862A6E22-0038-42AF-91DD-0B4B0FFCA7B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including:
* Property, plant and equipment
* Capital work in progress
* Right-of-use assets </t>
        </r>
      </text>
    </comment>
    <comment ref="M108" authorId="5" shapeId="0" xr:uid="{93800C0B-B6A5-4DF0-9145-325E3AE5853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N108" authorId="5" shapeId="0" xr:uid="{E66B054E-4854-4452-96F3-C0C1A60A99E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O108" authorId="5" shapeId="0" xr:uid="{0CFCCF9F-E58A-41F1-9F1A-E568F17BA28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P108" authorId="5" shapeId="0" xr:uid="{659A29A6-8BD6-4E9F-B7DD-37F5DD4194F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CE108" authorId="5" shapeId="0" xr:uid="{69EF7072-F5F7-4869-BB39-1B0A9AC0F18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CH108" authorId="5" shapeId="0" xr:uid="{A4E7CA4F-F37E-464C-893F-4BA1E36A701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This is including capital work in progress</t>
        </r>
      </text>
    </comment>
    <comment ref="N110" authorId="5" shapeId="0" xr:uid="{23E15C4A-F602-43FC-950F-4181C17643F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10" authorId="4" shapeId="0" xr:uid="{0CBAE477-E585-4BDC-9658-90A1947947B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Not available</t>
        </r>
      </text>
    </comment>
    <comment ref="AW110" authorId="5" shapeId="0" xr:uid="{6A3B40D0-9D38-44C9-A5D2-63FC981FE8B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Y110" authorId="5" shapeId="0" xr:uid="{817DD198-1854-4FBC-8B4D-89098135E29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Z110" authorId="5" shapeId="0" xr:uid="{32FB2551-2155-4BD3-9086-46B985C7193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A110" authorId="5" shapeId="0" xr:uid="{6F054F5E-AE6D-43B9-9841-2F7B8E70772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C110" authorId="5" shapeId="0" xr:uid="{9E1640DD-6FDE-411C-B270-5352D5414CA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D110" authorId="5" shapeId="0" xr:uid="{A6A33F8E-190D-4178-B47A-BAE2E56B633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E110" authorId="5" shapeId="0" xr:uid="{CA1D5776-BDD1-40C8-9C98-888FC0749E9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G110" authorId="5" shapeId="0" xr:uid="{5B70178D-A08F-4E5D-95AA-D2F668F15C5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H110" authorId="5" shapeId="0" xr:uid="{B98BBF04-5AB8-4F08-A389-49426E17E84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I110" authorId="5" shapeId="0" xr:uid="{D0D83A85-0EEA-4766-973F-689E4371ADA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K110" authorId="5" shapeId="0" xr:uid="{8524D553-A53C-4D8B-AEF2-4FF2630697D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O110" authorId="5" shapeId="0" xr:uid="{39C6BFAB-E12A-417A-B9E7-D4AC4BDC020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S110" authorId="5" shapeId="0" xr:uid="{46DF3790-8E64-4349-8B05-39941B13E58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T110" authorId="5" shapeId="0" xr:uid="{A1062F2D-DEA9-43C4-AD56-85636101F9F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U110" authorId="5" shapeId="0" xr:uid="{11A0AA2B-496F-4DBF-BD15-8E4FF1077B8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W110" authorId="5" shapeId="0" xr:uid="{45CB1B53-B73A-4DDB-AEF9-C0A2C72B9B2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BY110" authorId="5" shapeId="0" xr:uid="{BDC7F75D-55FF-4EBC-B1E1-9831853D596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CE110" authorId="5" shapeId="0" xr:uid="{343E2185-AFDC-49E7-9079-FD460D5C55C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CH110" authorId="5" shapeId="0" xr:uid="{01A90B03-EF76-4ACA-AD5B-54576127DE2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M112" authorId="11" shapeId="0" xr:uid="{8CD30CC5-3B05-4D2C-9526-A2B5DAD8952F}">
      <text>
        <r>
          <rPr>
            <b/>
            <sz val="9"/>
            <color indexed="81"/>
            <rFont val="Tahoma"/>
            <family val="2"/>
          </rPr>
          <t>Onabule, Yedije:</t>
        </r>
        <r>
          <rPr>
            <sz val="9"/>
            <color indexed="81"/>
            <rFont val="Tahoma"/>
            <family val="2"/>
          </rPr>
          <t xml:space="preserve">
added trade payables and other financial liabilities</t>
        </r>
      </text>
    </comment>
    <comment ref="N117" authorId="9" shapeId="0" xr:uid="{5B0A38EB-9E64-48A5-B5C1-A8583F3E2274}">
      <text>
        <r>
          <rPr>
            <b/>
            <sz val="9"/>
            <color indexed="81"/>
            <rFont val="Tahoma"/>
            <family val="2"/>
          </rPr>
          <t>CIRSIL: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O117" authorId="9" shapeId="0" xr:uid="{CF72177C-A884-4F1A-AA0C-CAA0F315684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P117" authorId="9" shapeId="0" xr:uid="{4D67C839-19B4-4BDD-B8CB-753780FAB78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Q117" authorId="9" shapeId="0" xr:uid="{21E318A1-CEE0-4E97-AC41-C18C198695B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R117" authorId="9" shapeId="0" xr:uid="{EF7EC71B-28C4-4B3F-B2E0-DD86C3FC6DD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S117" authorId="9" shapeId="0" xr:uid="{22DE1657-802F-4ADA-8A82-B2FED6ECA48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T117" authorId="9" shapeId="0" xr:uid="{253BF6B2-13F2-46CB-976B-219C80E0D74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AU117" authorId="6" shapeId="0" xr:uid="{50A516E8-4209-4DAB-A9D9-BE472E08CFA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Secured debt numbers are not available
</t>
        </r>
      </text>
    </comment>
    <comment ref="AV117" authorId="6" shapeId="0" xr:uid="{C94D6E06-2B1D-4F72-B581-E9D190DED0E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Secured debt numbers are not available
</t>
        </r>
      </text>
    </comment>
    <comment ref="AW117" authorId="6" shapeId="0" xr:uid="{3F096789-D623-49B5-B0B1-19C949184E4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Secured debt numbers are not available
</t>
        </r>
      </text>
    </comment>
    <comment ref="BW117" authorId="9" shapeId="0" xr:uid="{E5759189-94CD-4E89-8A14-EEA17546413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BX117" authorId="9" shapeId="0" xr:uid="{A62F0965-CCB9-4667-A3B9-F3395911B3D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BY117" authorId="9" shapeId="0" xr:uid="{38E9509F-B494-471A-82DB-1B430B9E7AA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CH117" authorId="9" shapeId="0" xr:uid="{31321676-6672-4B5A-BF66-5B819A95983A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Assuming it to be same as FY19 due to unavilability of information in the current period report</t>
        </r>
      </text>
    </comment>
    <comment ref="T118" authorId="4" shapeId="0" xr:uid="{741788BA-521F-48EE-81BF-49DD57A6617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Report FY26 Pg 36/61</t>
        </r>
      </text>
    </comment>
    <comment ref="BU118" authorId="12" shapeId="0" xr:uid="{84D39315-3F05-4CD7-922B-C11A78FC181B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BW118" authorId="12" shapeId="0" xr:uid="{0E98E7CC-CF72-4ED9-9209-28AAB2FA4AF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BY118" authorId="12" shapeId="0" xr:uid="{B8EB95DA-24FF-41BE-AA9F-7D45470BFEE4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S122" authorId="4" shapeId="0" xr:uid="{06475089-A3CB-43B3-B901-814A1E661C8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</t>
        </r>
      </text>
    </comment>
    <comment ref="T122" authorId="4" shapeId="0" xr:uid="{42A0C344-3221-44C0-B93F-64F57430B15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 FY26 Pg 36/61</t>
        </r>
      </text>
    </comment>
    <comment ref="BW122" authorId="4" shapeId="0" xr:uid="{CD4D56CE-A646-4D8F-8F92-3BA19E08520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</t>
        </r>
      </text>
    </comment>
    <comment ref="BX122" authorId="4" shapeId="0" xr:uid="{495F9201-C289-41E9-B8E5-FC56AF6B64D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</t>
        </r>
      </text>
    </comment>
    <comment ref="BY122" authorId="12" shapeId="0" xr:uid="{1EAA800B-618E-4C3E-B389-4CC2037E30E3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S126" authorId="4" shapeId="0" xr:uid="{CA1F2D0F-9388-4CE2-B850-0CE087E046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 - cassh and cash balances</t>
        </r>
      </text>
    </comment>
    <comment ref="T126" authorId="4" shapeId="0" xr:uid="{1F99B641-5D44-453B-890D-0F012112C1F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IR pack report - FY26 Pg 36/61</t>
        </r>
      </text>
    </comment>
    <comment ref="BW126" authorId="4" shapeId="0" xr:uid="{20F36CEC-61B0-4490-9D90-41E3239D976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 - cassh and cash balances</t>
        </r>
      </text>
    </comment>
    <comment ref="BX126" authorId="4" shapeId="0" xr:uid="{47D3FB3D-10D6-4AE4-8BD3-5FB8DF51058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 - cassh and cash balances</t>
        </r>
      </text>
    </comment>
    <comment ref="BY126" authorId="12" shapeId="0" xr:uid="{2FF064C3-2A50-45EF-8FA3-8C69C3D9326E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P127" authorId="13" shapeId="0" xr:uid="{8FFC913B-DC3B-4B61-BA2B-67B3815DA92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Quarterly IR Pack Bharti Airtel Consolidated
https://assets.airtel.in/teams/simplycms/web/docs/Quarterly-IR-Pack-Bharti-Airtel-Consolidated-17052022.pdf</t>
        </r>
      </text>
    </comment>
    <comment ref="Q127" authorId="13" shapeId="0" xr:uid="{26D63C83-87ED-4653-BA09-3D981F3F0CC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Quarterly IR Pack Bharti Airtel Consolidated
https://assets.airtel.in/teams/simplycms/web/docs/Quarterly-IR-Pack-Bharti-Airtel-Consolidated-17052022.pdf</t>
        </r>
      </text>
    </comment>
    <comment ref="S127" authorId="4" shapeId="0" xr:uid="{2D6837CA-1427-41D9-A81F-B6A9E97D6CC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report: Investments &amp; Receivables</t>
        </r>
      </text>
    </comment>
    <comment ref="T127" authorId="4" shapeId="0" xr:uid="{B4004D3C-5D6D-42B9-9552-89E853A060D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investments and receivables - report FY26 Pg 36/61</t>
        </r>
      </text>
    </comment>
    <comment ref="BW127" authorId="4" shapeId="0" xr:uid="{C671F7E5-332C-498E-B7F2-3F622277183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report: Investments &amp; Receivables</t>
        </r>
      </text>
    </comment>
    <comment ref="BX127" authorId="4" shapeId="0" xr:uid="{A3B2C847-1C38-4A97-B9F4-9D4DFC1C07B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IR pack report: Investments &amp; Receivables</t>
        </r>
      </text>
    </comment>
    <comment ref="BY127" authorId="12" shapeId="0" xr:uid="{47EEE70D-C5AE-4C9E-9616-443725B45FD1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KPIs excel - Trends file-5-SCH tab</t>
        </r>
      </text>
    </comment>
    <comment ref="T132" authorId="4" shapeId="0" xr:uid="{793671FE-0606-479F-9802-7F9690D4F05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CapIQ</t>
        </r>
      </text>
    </comment>
    <comment ref="BO132" authorId="10" shapeId="0" xr:uid="{4531FE72-D0FB-4C27-8570-3A34A0A53D31}">
      <text>
        <r>
          <rPr>
            <b/>
            <sz val="9"/>
            <color indexed="81"/>
            <rFont val="Tahoma"/>
            <family val="2"/>
          </rPr>
          <t>Money control</t>
        </r>
      </text>
    </comment>
    <comment ref="BT132" authorId="4" shapeId="0" xr:uid="{48358715-ED65-4022-B541-AA6444E2F11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yahoo as on 29 oct 2024</t>
        </r>
      </text>
    </comment>
    <comment ref="B137" authorId="0" shapeId="0" xr:uid="{AA82ACD8-438D-4144-A88D-4B271B73EEA3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link the formulaes appropriately</t>
        </r>
      </text>
    </comment>
    <comment ref="B152" authorId="0" shapeId="0" xr:uid="{EBA4E9A9-57B5-4203-95D1-5C9C80099B75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copy and paste from above</t>
        </r>
      </text>
    </comment>
    <comment ref="B163" authorId="0" shapeId="0" xr:uid="{9458EEAD-5F3A-4D6B-8304-507B0F21E742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link to the relevant columns above</t>
        </r>
      </text>
    </comment>
    <comment ref="B207" authorId="2" shapeId="0" xr:uid="{E3C12F17-D90A-4970-8F52-E4699AF7C3C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Exchange rate used by the company to convert INR to USD
</t>
        </r>
      </text>
    </comment>
    <comment ref="BF208" authorId="14" shapeId="0" xr:uid="{7C874D45-6926-4FEE-AF66-D78DFC09D01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https://www.exchangerates.org.uk/historical/USD/31_03_2021</t>
        </r>
      </text>
    </comment>
    <comment ref="BG208" authorId="14" shapeId="0" xr:uid="{64AB69FD-16DF-46ED-AA3F-AE5F4EF6CA8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https://www.exchangerates.org.uk/USD-INR-spot-exchange-rates-history-2021.html</t>
        </r>
      </text>
    </comment>
    <comment ref="BH208" authorId="14" shapeId="0" xr:uid="{032CC577-0D45-45D2-9362-BB7A3224F26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https://www.exchangerates.org.uk/USD-INR-spot-exchange-rates-history-2021.html</t>
        </r>
      </text>
    </comment>
    <comment ref="BI208" authorId="5" shapeId="0" xr:uid="{3B59DA50-BF97-4D58-AEB4-B69E7029222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Investing.Com</t>
        </r>
      </text>
    </comment>
    <comment ref="BM208" authorId="5" shapeId="0" xr:uid="{78FEB45A-6C52-4F01-A9B6-716E491A5AF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Investing.Com</t>
        </r>
      </text>
    </comment>
    <comment ref="B210" authorId="0" shapeId="0" xr:uid="{6D5DA1BC-4DAE-41C6-8FE0-C1457DBE582C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copy and paste from above</t>
        </r>
      </text>
    </comment>
    <comment ref="B222" authorId="0" shapeId="0" xr:uid="{64F5795F-A001-4E1F-8BD9-8399B16DC01A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link to the relevant columns above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Yogesh Sheth</author>
    <author>CRISIL GR&amp;RS</author>
    <author>Roshni Arunkumar</author>
    <author>Crisil Intergral IQ</author>
    <author>CRISIL</author>
    <author>Gauri Joshi</author>
    <author>Crisil GR&amp;A</author>
  </authors>
  <commentList>
    <comment ref="AQ2" authorId="0" shapeId="0" xr:uid="{C0AA4346-112C-4ECB-AFC6-E9D0423866B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We have restated some of 1Q'17 numbers as per 1Q'18 filings
</t>
        </r>
      </text>
    </comment>
    <comment ref="B26" authorId="0" shapeId="0" xr:uid="{C5A7A591-452F-499C-AFD0-C025E80EFCE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Corrected the mobile services Customer base figure. The total customer base figure was present instead of Mobile services customer base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1" shapeId="0" xr:uid="{3A68E14B-94AA-408C-AE67-519A7D6CE7D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E28" authorId="1" shapeId="0" xr:uid="{951ABA43-F10C-4448-B493-AE0772234E9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F28" authorId="1" shapeId="0" xr:uid="{D4C6A4C7-5D4E-44B8-BDAF-3E6B1B82214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G28" authorId="1" shapeId="0" xr:uid="{4BDEA004-6551-465A-BEC5-8248CA888CE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H28" authorId="1" shapeId="0" xr:uid="{C977E52F-1308-4958-8D4E-71BEFC0A0F6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I28" authorId="1" shapeId="0" xr:uid="{FA1280C5-ACAF-4D0F-980A-1AA135DEEBF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J28" authorId="1" shapeId="0" xr:uid="{450687FF-A922-49BB-98D5-924B1FD84C6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K28" authorId="1" shapeId="0" xr:uid="{F02A6267-45DE-4FD1-A530-8D371B3D10B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D35" authorId="2" shapeId="0" xr:uid="{C9DD885A-6AFF-47DA-8DD3-9C5321382EDE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E35" authorId="2" shapeId="0" xr:uid="{22200F08-AC7A-4D4E-85A5-EB1BA36B795F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F35" authorId="2" shapeId="0" xr:uid="{C356F29A-57F3-40E5-A294-1306C1D46FBC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G35" authorId="2" shapeId="0" xr:uid="{ACA10E73-F1ED-4882-A7E4-8BBDD8B44A2E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H35" authorId="2" shapeId="0" xr:uid="{0D9E2DEB-4407-47E8-8BAD-AB5F6C790DF1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I35" authorId="2" shapeId="0" xr:uid="{5AD160D3-1568-4121-AF7E-63AF59A9FA9A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J35" authorId="2" shapeId="0" xr:uid="{517FCD1C-80D6-44B9-82D4-375B16E93F77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K35" authorId="2" shapeId="0" xr:uid="{7A1E8C80-2D69-44CD-A49D-178750941CF0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L35" authorId="2" shapeId="0" xr:uid="{2596D220-00A4-49AC-857E-D9A681842E99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M35" authorId="2" shapeId="0" xr:uid="{C6F7B460-0BDB-4697-A53B-7AD7AB6F7D11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N35" authorId="2" shapeId="0" xr:uid="{09EB2574-B3FD-4150-A8E8-E258E340E3B2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O35" authorId="2" shapeId="0" xr:uid="{8B9E6E3D-DC79-421D-BA56-8938FE37C98C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P35" authorId="2" shapeId="0" xr:uid="{EF55C1CC-0103-4F8B-B0AE-AEA4EA0B9136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Q35" authorId="2" shapeId="0" xr:uid="{732F4212-7E95-490F-B2E6-EAD5BB7E74EB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R35" authorId="2" shapeId="0" xr:uid="{BE239EB8-074F-443A-8BF8-40E4959C871B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S35" authorId="2" shapeId="0" xr:uid="{B0C6AFAB-3F79-468F-8622-7C7CE08C52C5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T35" authorId="2" shapeId="0" xr:uid="{61E008CA-52F5-4554-9AAE-EA137274E64B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U35" authorId="2" shapeId="0" xr:uid="{E8E34B82-F8F9-43AD-AE9A-04B4B31F0A61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V35" authorId="2" shapeId="0" xr:uid="{2AAE3D38-81A9-48DB-A342-045D95A5D449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W35" authorId="2" shapeId="0" xr:uid="{EF55F646-21F6-4D3A-806E-828A1407E4E1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X35" authorId="2" shapeId="0" xr:uid="{E9254047-A637-40AC-958F-0F935523D01A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Y35" authorId="2" shapeId="0" xr:uid="{0288C6FF-87C7-4FDF-BA93-6C4D6876358D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Z35" authorId="2" shapeId="0" xr:uid="{4A75AC8B-DE27-4DC2-95DB-8F9AA4D8A1B7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AA35" authorId="2" shapeId="0" xr:uid="{2CB15D77-E5A3-4554-B9D6-A53EDADBCA94}">
      <text>
        <r>
          <rPr>
            <sz val="9"/>
            <color indexed="81"/>
            <rFont val="Tahoma"/>
            <family val="2"/>
          </rPr>
          <t>Not available in KPI file</t>
        </r>
      </text>
    </comment>
    <comment ref="AK36" authorId="0" shapeId="0" xr:uid="{2E32386C-DC09-465C-B2B6-F883462742B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36" authorId="0" shapeId="0" xr:uid="{E76DD4E0-0513-4B24-A9ED-C6CBCBAADB2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39" authorId="0" shapeId="0" xr:uid="{2D64ABEC-4374-4386-B089-B17AA3AD1CB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39" authorId="0" shapeId="0" xr:uid="{6C1B9822-0938-43A1-9DF3-8D16A7041C5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42" authorId="0" shapeId="0" xr:uid="{CFF48FA4-CF04-453B-83D9-20EAC2D4F495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42" authorId="0" shapeId="0" xr:uid="{A0674DCD-3CE9-4BBB-92BC-6362AD3BCF6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45" authorId="0" shapeId="0" xr:uid="{0A36B779-202A-4F58-9BE6-C708C2258AEC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45" authorId="0" shapeId="0" xr:uid="{7EEA56BD-4303-443C-B5C4-2287E7CB1F9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46" authorId="0" shapeId="0" xr:uid="{DD5D505E-47ED-424F-8A5F-BCE02B1C771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46" authorId="0" shapeId="0" xr:uid="{0B1A3B75-6977-4B5B-B460-996D850073E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47" authorId="0" shapeId="0" xr:uid="{5AF15C2B-8BD7-45C1-8773-11A8C42CDD25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47" authorId="0" shapeId="0" xr:uid="{2E8B967E-6F87-41C4-B216-F2610C4E50C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E53" authorId="3" shapeId="0" xr:uid="{049F9FD9-BBFE-443F-A27F-207F93D6CA9F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F53" authorId="3" shapeId="0" xr:uid="{9855A21A-2C3A-4FC9-96C0-2B27CA603F7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G53" authorId="3" shapeId="0" xr:uid="{4D2295F5-7263-4D2A-A39F-79CDC54847F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H53" authorId="3" shapeId="0" xr:uid="{E71C7AEB-6FD9-4BC7-A0DD-20ABF663711F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I53" authorId="3" shapeId="0" xr:uid="{D9AD45E1-BFF8-4C92-A402-8816E27F094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J53" authorId="3" shapeId="0" xr:uid="{E9DFF8D8-CDF2-46EE-BD93-8C03E9CA2A8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K53" authorId="3" shapeId="0" xr:uid="{8BB72AC6-B93A-4ACF-8F13-AFE77E01C097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L53" authorId="3" shapeId="0" xr:uid="{B7742530-A778-4B8F-B068-6713D0622637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M53" authorId="3" shapeId="0" xr:uid="{9901D484-B6AE-4233-B0BD-BE30C6777363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AK54" authorId="0" shapeId="0" xr:uid="{6323E17F-0248-419F-8C6D-AB7AA060FEE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54" authorId="0" shapeId="0" xr:uid="{C584DBCD-4B7D-44C4-A56E-CCBD1EC2307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M55" authorId="3" shapeId="0" xr:uid="{8A6C4454-7D5E-4B0B-86CD-5E70FD1BA73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AK56" authorId="0" shapeId="0" xr:uid="{BFA9EDB7-BC85-4906-92A6-B1E9265F3D3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56" authorId="0" shapeId="0" xr:uid="{1586707B-77DE-452B-A388-2227715EA4F5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D111" authorId="4" shapeId="0" xr:uid="{48050A57-F62D-4B9F-9EB2-F4311D71D2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E111" authorId="4" shapeId="0" xr:uid="{FD1DCF87-3F57-44FD-B4D1-2B6B8F19F8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F111" authorId="4" shapeId="0" xr:uid="{75A75609-3EC6-46DF-8796-5906A52AD7C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G111" authorId="4" shapeId="0" xr:uid="{0C271A40-476F-41F6-B11B-DAAB028041F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H111" authorId="4" shapeId="0" xr:uid="{DCB5AC78-7E97-4036-AB68-8EDACFCF730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B123" authorId="0" shapeId="0" xr:uid="{17335A0A-37BD-4BC5-9F7D-4A545E6DC15F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 xml:space="preserve">Reported as Tower Infrastructure Services by the company
</t>
        </r>
      </text>
    </comment>
    <comment ref="E145" authorId="5" shapeId="0" xr:uid="{C3DE2DEB-D19C-4498-A50A-78859D3D0A35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F145" authorId="5" shapeId="0" xr:uid="{6FD94690-2D91-4208-A6D1-41AB9C9FC144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G145" authorId="5" shapeId="0" xr:uid="{1A2A40F1-C686-45CB-AA7F-59CA4330DC81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H145" authorId="5" shapeId="0" xr:uid="{3C394871-3DF8-40DB-9AF4-63D098F629B4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I145" authorId="5" shapeId="0" xr:uid="{818CED3E-E6F9-44C8-8CB5-2A0F0EF3B219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J145" authorId="5" shapeId="0" xr:uid="{827C354E-DE28-4B63-9CD6-25D68AE4254F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K145" authorId="5" shapeId="0" xr:uid="{8D104C42-8D0E-4924-BDF7-89EDCF117782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L145" authorId="5" shapeId="0" xr:uid="{9A5E8593-8B33-40D1-B4B9-0B094D0E900D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M145" authorId="5" shapeId="0" xr:uid="{FCFF2E8B-96AD-4A06-B601-55F3D7C3F84F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N145" authorId="5" shapeId="0" xr:uid="{07BC9E5E-3DA1-4805-B911-2198DF21A40E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O145" authorId="5" shapeId="0" xr:uid="{308B5BB9-5269-49DB-8579-2A57B452D4D0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P145" authorId="5" shapeId="0" xr:uid="{142DC9BA-5D39-4536-A3CE-870435C987E4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R145" authorId="5" shapeId="0" xr:uid="{3A136096-4224-48ED-87AB-01394AF2D818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S145" authorId="5" shapeId="0" xr:uid="{711FD512-8CA8-4CD2-BBD8-4AFC59B1F20F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T145" authorId="5" shapeId="0" xr:uid="{D69D95DF-687E-4C6D-8286-90B15D0507C5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V145" authorId="5" shapeId="0" xr:uid="{EBD6763E-19EC-43BD-A65C-02484B25D796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W145" authorId="5" shapeId="0" xr:uid="{89F34B68-2BAF-44A9-9FC6-C2935D5A8984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X145" authorId="5" shapeId="0" xr:uid="{8365CD2D-FD8C-4603-B68A-001950CC3180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AA145" authorId="5" shapeId="0" xr:uid="{0F724CC3-CA8B-4CC1-A441-3B31D9C96149}">
      <text>
        <r>
          <rPr>
            <sz val="9"/>
            <color indexed="81"/>
            <rFont val="Tahoma"/>
            <family val="2"/>
          </rPr>
          <t xml:space="preserve">From Press release
</t>
        </r>
      </text>
    </comment>
    <comment ref="B186" authorId="0" shapeId="0" xr:uid="{479F19B2-C7DE-4A7A-94B6-46047BECF74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From Q2'17, the company has started reporting operating data for 15 African countries (rather than entire Africa done till 1Q17)
</t>
        </r>
      </text>
    </comment>
    <comment ref="AF188" authorId="6" shapeId="0" xr:uid="{DA33F441-64DA-4C9F-80CB-56E39BF421F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reported</t>
        </r>
      </text>
    </comment>
    <comment ref="AG188" authorId="6" shapeId="0" xr:uid="{94448111-1584-4732-A895-72A570E5E02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 reported</t>
        </r>
      </text>
    </comment>
    <comment ref="D194" authorId="4" shapeId="0" xr:uid="{3DA3B1A8-0FFC-4243-BCB8-C9FBCC00166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N/A</t>
        </r>
      </text>
    </comment>
    <comment ref="E194" authorId="4" shapeId="0" xr:uid="{71FA1BAF-5709-400B-9E6E-6F903E81814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N/A</t>
        </r>
      </text>
    </comment>
    <comment ref="F194" authorId="4" shapeId="0" xr:uid="{E9962F3F-16C8-439A-BC89-43A93D0F20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N/A</t>
        </r>
      </text>
    </comment>
    <comment ref="AL199" authorId="0" shapeId="0" xr:uid="{9CE21865-8AC0-4351-B1FF-64FB2A50B83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201" authorId="0" shapeId="0" xr:uid="{16109018-86F2-406A-900C-20C468CA2D9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01" authorId="0" shapeId="0" xr:uid="{9CC2F86D-B25F-4342-AEF4-E56847B9111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204" authorId="0" shapeId="0" xr:uid="{3A2FCCF1-D9B6-4706-A04F-760C5D1A3A0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04" authorId="0" shapeId="0" xr:uid="{1E8817D9-AD42-40C3-9547-FA2F89B974E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206" authorId="0" shapeId="0" xr:uid="{E29F4C76-204F-4590-8771-5EA760E0F17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06" authorId="0" shapeId="0" xr:uid="{8FD1789F-C758-4999-9A9A-8EF1787B0CF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207" authorId="0" shapeId="0" xr:uid="{DE095ECD-94EE-45D7-91FB-5A5359FD32C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07" authorId="0" shapeId="0" xr:uid="{236DB68D-4947-496D-8D1C-B7D2C5FDAAE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K208" authorId="0" shapeId="0" xr:uid="{20AC1A82-CA24-424E-935F-441CEAAA594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08" authorId="0" shapeId="0" xr:uid="{56E10AC9-2C6C-4E90-96B6-F441A32621D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E213" authorId="3" shapeId="0" xr:uid="{F065FD97-A55F-45D7-8853-75D695320E49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F213" authorId="3" shapeId="0" xr:uid="{1008D1E5-903C-4605-B67B-55D4BF1787A3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G213" authorId="3" shapeId="0" xr:uid="{43833C34-78EE-419F-8FD8-6F520374C046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H213" authorId="3" shapeId="0" xr:uid="{B35D1792-047A-40AE-BF28-EE317508C2F4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I213" authorId="3" shapeId="0" xr:uid="{B6C0C95A-94F8-4F8C-A2E0-115603A2B49E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J213" authorId="3" shapeId="0" xr:uid="{45816AC5-8F1E-4E6C-A3A3-2D1EBACC96C9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K213" authorId="3" shapeId="0" xr:uid="{86B8777C-D0BA-478F-9675-468137384EAC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L213" authorId="3" shapeId="0" xr:uid="{658D0CDA-1C20-4D7F-8ED7-3AB6FA1CE018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M213" authorId="3" shapeId="0" xr:uid="{69D4DD39-F190-4C42-846F-F2D4B21EDE4F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AL214" authorId="0" shapeId="0" xr:uid="{E9F17A6C-38DB-4191-8F11-2FF93C91818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F215" authorId="3" shapeId="0" xr:uid="{083012C0-9CF3-4E16-A512-75259175BCEE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G215" authorId="3" shapeId="0" xr:uid="{7AEB85CA-A1A1-432D-BBC8-F7AC183DE291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H215" authorId="3" shapeId="0" xr:uid="{004F8447-7956-4C9B-9440-7D58A1537527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I215" authorId="3" shapeId="0" xr:uid="{DE3C5C6B-16F8-451F-8026-C03E543A3E9D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J215" authorId="3" shapeId="0" xr:uid="{FF8BCA24-E804-4620-AC9F-03461EED56C5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K215" authorId="3" shapeId="0" xr:uid="{50D3511F-F0D3-4B04-A13F-2DC69BD9DD4C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L215" authorId="3" shapeId="0" xr:uid="{FE67325A-A735-408F-8E31-B8847000D02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M215" authorId="3" shapeId="0" xr:uid="{F07E8124-841C-4CE1-A59A-90E045AE366F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GB</t>
        </r>
      </text>
    </comment>
    <comment ref="AK216" authorId="0" shapeId="0" xr:uid="{CF22B4CD-13A6-406C-AAD9-4DFEDA96B32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AL216" authorId="0" shapeId="0" xr:uid="{0AD5C091-8650-47DD-A315-118D6F0D4EA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Not given in company reports</t>
        </r>
      </text>
    </comment>
    <comment ref="D228" authorId="4" shapeId="0" xr:uid="{E94A7FE9-F93E-43A8-8B8A-FE09C440D1F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E228" authorId="4" shapeId="0" xr:uid="{F954A586-0863-44B9-ADEC-2DC0180C3A3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F228" authorId="4" shapeId="0" xr:uid="{3B1E1668-62E9-48F8-9CD4-EFFD3E6C9C8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G228" authorId="4" shapeId="0" xr:uid="{39E91F09-D948-4A46-BBBD-E4FDFB0FE1D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  <comment ref="H228" authorId="4" shapeId="0" xr:uid="{12BD0DA9-6DA8-499F-9EB4-2989557B1B4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not provided</t>
        </r>
      </text>
    </comment>
  </commentList>
</comments>
</file>

<file path=xl/sharedStrings.xml><?xml version="1.0" encoding="utf-8"?>
<sst xmlns="http://schemas.openxmlformats.org/spreadsheetml/2006/main" count="1203" uniqueCount="435">
  <si>
    <t>Exchange rate at end of period</t>
  </si>
  <si>
    <t>Amount in USD</t>
  </si>
  <si>
    <t>Amounts in millions of INR unless stated</t>
  </si>
  <si>
    <t>FY11</t>
  </si>
  <si>
    <t>FY12</t>
  </si>
  <si>
    <t>FY13</t>
  </si>
  <si>
    <t>FY14</t>
  </si>
  <si>
    <t>FY15</t>
  </si>
  <si>
    <t>FY16</t>
  </si>
  <si>
    <t>FY17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</si>
  <si>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</si>
  <si>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</si>
  <si>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</si>
  <si>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</si>
  <si>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</si>
  <si>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</si>
  <si>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</si>
  <si>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</si>
  <si>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</si>
  <si>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</si>
  <si>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</si>
  <si>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</si>
  <si>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</si>
  <si>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</si>
  <si>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</si>
  <si>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</si>
  <si>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</si>
  <si>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</si>
  <si>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</si>
  <si>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</si>
  <si>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</si>
  <si>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</si>
  <si>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</si>
  <si>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</si>
  <si>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</si>
  <si>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</si>
  <si>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</si>
  <si>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</si>
  <si>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</si>
  <si>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</si>
  <si>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</si>
  <si>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</si>
  <si>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</si>
  <si>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</si>
  <si>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Secured debt</t>
  </si>
  <si>
    <t>Lease Obligation</t>
  </si>
  <si>
    <t>Total Secured debt</t>
  </si>
  <si>
    <t>Unsecured debt</t>
  </si>
  <si>
    <t>1.5% Senior USD bond due 2025</t>
  </si>
  <si>
    <t>4.375% Senior USD Bonds due 2025</t>
  </si>
  <si>
    <t>5.125% Senior USD Bonds due 2023</t>
  </si>
  <si>
    <t>5.350% Senior USD Bonds due 2024</t>
  </si>
  <si>
    <t>3.375% Senior EUR Bonds due 2021</t>
  </si>
  <si>
    <t>3.25% Senior EUR Bonds due 2031</t>
  </si>
  <si>
    <t>4.00% Senior EUR Bonds due 2018</t>
  </si>
  <si>
    <t>3.00% Senior CHF Bonds due 2020</t>
  </si>
  <si>
    <t>8.250% subordinated INR bonds due 2020</t>
  </si>
  <si>
    <t>8.350% subordinated INR bonds due 2021</t>
  </si>
  <si>
    <t>5.65% Subordinated USD Bond - perpetual</t>
  </si>
  <si>
    <t>3.975% Subordinated USD Bond - perpetual</t>
  </si>
  <si>
    <t>DoT Obligations / Spectrum Debt</t>
  </si>
  <si>
    <t>Other unsecured debt</t>
  </si>
  <si>
    <t xml:space="preserve">Total debt </t>
  </si>
  <si>
    <t>Cash &amp; Equivalents</t>
  </si>
  <si>
    <t xml:space="preserve">Net debt </t>
  </si>
  <si>
    <t xml:space="preserve">Shareholders Equity </t>
  </si>
  <si>
    <t xml:space="preserve">Total capitalisation </t>
  </si>
  <si>
    <t xml:space="preserve">LTM EBITDA </t>
  </si>
  <si>
    <t>Debt Check</t>
  </si>
  <si>
    <t>Secured Net Leverage</t>
  </si>
  <si>
    <t>Gross Leverage ( Total debt/ EBITDA)</t>
  </si>
  <si>
    <t>Net Leverage ( Net debt/ EBITDA)</t>
  </si>
  <si>
    <t>Market Cap</t>
  </si>
  <si>
    <t>EV</t>
  </si>
  <si>
    <t>EV/EBITDA</t>
  </si>
  <si>
    <t>Liquidity Table as of end-3Q24</t>
  </si>
  <si>
    <t>INR mn</t>
  </si>
  <si>
    <t>USD mn</t>
  </si>
  <si>
    <t>Debt maturity profile</t>
  </si>
  <si>
    <t>Cash</t>
  </si>
  <si>
    <t>Available RCF</t>
  </si>
  <si>
    <t>Total liquidity</t>
  </si>
  <si>
    <t>&gt;2031</t>
  </si>
  <si>
    <t>Total</t>
  </si>
  <si>
    <t>Liquidity Table as of end-2Q24</t>
  </si>
  <si>
    <t>Liquidity Table as of end-1Q24</t>
  </si>
  <si>
    <t>Liquidity Table as of end-4Q23</t>
  </si>
  <si>
    <t>Liquidity Table as of end-3Q23</t>
  </si>
  <si>
    <t>Liquidity Table as of end-2Q23</t>
  </si>
  <si>
    <t>Liquidity Table as of end-1Q23</t>
  </si>
  <si>
    <t>Liquidity Table as of end-4Q22</t>
  </si>
  <si>
    <t>Liquidity Table as of end-3Q22</t>
  </si>
  <si>
    <t>Liquidity Table as of end-2Q22</t>
  </si>
  <si>
    <t>Liquidity Table as of end-1Q22</t>
  </si>
  <si>
    <t>Liquidity Table as of end-4Q21</t>
  </si>
  <si>
    <t>Liquidity Table as of end-3Q21</t>
  </si>
  <si>
    <t>Liquidity Table as of end-2Q21</t>
  </si>
  <si>
    <t>Liquidity Table as of end-1Q21</t>
  </si>
  <si>
    <t>Liquidity Table as of end-4Q20</t>
  </si>
  <si>
    <t>Liquidity Table as of end-3Q20</t>
  </si>
  <si>
    <t>Liquidity Table as of end-2Q20</t>
  </si>
  <si>
    <t>Liquidity Table as of end-1Q20</t>
  </si>
  <si>
    <t>Liquidity Table as of end-4Q19</t>
  </si>
  <si>
    <t>Liquidity Table as of end-3Q19</t>
  </si>
  <si>
    <t>Maturity Schedule (INR mn)</t>
  </si>
  <si>
    <t xml:space="preserve"> 31-Mar-2017</t>
  </si>
  <si>
    <t xml:space="preserve"> 31-Mar-2018</t>
  </si>
  <si>
    <t>Upto 1 year</t>
  </si>
  <si>
    <t>Between one and two years</t>
  </si>
  <si>
    <t>Between two and five years</t>
  </si>
  <si>
    <t>Over five years</t>
  </si>
  <si>
    <t>Bharti Airtel</t>
  </si>
  <si>
    <t>Annual</t>
  </si>
  <si>
    <t>LTM</t>
  </si>
  <si>
    <t>Quarter</t>
  </si>
  <si>
    <t>(INR millions)</t>
  </si>
  <si>
    <t>Act</t>
  </si>
  <si>
    <t>FY 11</t>
  </si>
  <si>
    <t>FY 12</t>
  </si>
  <si>
    <t>FY 13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</si>
  <si>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</si>
  <si>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</si>
  <si>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</si>
  <si>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</si>
  <si>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</si>
  <si>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</si>
  <si>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</si>
  <si>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</si>
  <si>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</si>
  <si>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</si>
  <si>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</si>
  <si>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FY 25</t>
  </si>
  <si>
    <t>FY 26</t>
  </si>
  <si>
    <t>1Q</t>
  </si>
  <si>
    <t>2Q</t>
  </si>
  <si>
    <t>3Q</t>
  </si>
  <si>
    <t>4Q</t>
  </si>
  <si>
    <t>Q1 20</t>
  </si>
  <si>
    <t>Q3 20</t>
  </si>
  <si>
    <t>Q4 20</t>
  </si>
  <si>
    <t>Q1 21</t>
  </si>
  <si>
    <t>Q2 21</t>
  </si>
  <si>
    <t>INCOME STATEMENT</t>
  </si>
  <si>
    <t>Restated</t>
  </si>
  <si>
    <t>Revenue from operations</t>
  </si>
  <si>
    <t xml:space="preserve">% growth </t>
  </si>
  <si>
    <t>Other income</t>
  </si>
  <si>
    <t>Total income from operations</t>
  </si>
  <si>
    <t>Expenses</t>
  </si>
  <si>
    <t>Network operating expenses</t>
  </si>
  <si>
    <t>Access Charges</t>
  </si>
  <si>
    <t>License fee / spectrum charges (revenue share)</t>
  </si>
  <si>
    <t>Employee benefits</t>
  </si>
  <si>
    <t>Sales and marketing expenses</t>
  </si>
  <si>
    <t>Other expenses</t>
  </si>
  <si>
    <t>Profit from operating activities before D&amp;A and exceptional items</t>
  </si>
  <si>
    <t>% margin</t>
  </si>
  <si>
    <t>Share of results of joint ventures and associates</t>
  </si>
  <si>
    <t>Depreciation and amortisation</t>
  </si>
  <si>
    <t>Finance costs</t>
  </si>
  <si>
    <t>Finance Income</t>
  </si>
  <si>
    <t>Net foreign exchange and derivative (gain)/loss</t>
  </si>
  <si>
    <t>Non-operating income / expenses, (net)</t>
  </si>
  <si>
    <t>Exceptional items</t>
  </si>
  <si>
    <t>Profit before tax</t>
  </si>
  <si>
    <t xml:space="preserve">Income  Tax Expense </t>
  </si>
  <si>
    <t>Net profit/loss</t>
  </si>
  <si>
    <t>Profit from discontinued operation before tax</t>
  </si>
  <si>
    <t>Tax expense of discontinued operation</t>
  </si>
  <si>
    <t>Profit for the period from discontinued operation</t>
  </si>
  <si>
    <t>Check</t>
  </si>
  <si>
    <t>As a % of Sales unless stated otherwise</t>
  </si>
  <si>
    <t>Finance costs as a % of total debt</t>
  </si>
  <si>
    <t>Finance income as a % of end of period cash</t>
  </si>
  <si>
    <t xml:space="preserve">Income  Tax Expense as a % PBT </t>
  </si>
  <si>
    <t xml:space="preserve">LTM Cash interest paid: % of debt </t>
  </si>
  <si>
    <t>Working capital/sales</t>
  </si>
  <si>
    <t xml:space="preserve">EBITDA </t>
  </si>
  <si>
    <t>Adjustment</t>
  </si>
  <si>
    <t xml:space="preserve">Adj. EBITDA </t>
  </si>
  <si>
    <t xml:space="preserve">Rent </t>
  </si>
  <si>
    <t>Adj. EBITDAR</t>
  </si>
  <si>
    <t>rent % of sales</t>
  </si>
  <si>
    <t xml:space="preserve">Depreciation </t>
  </si>
  <si>
    <t>Amortisation</t>
  </si>
  <si>
    <t>Comparable revenue</t>
  </si>
  <si>
    <t>Comparable EBITDA</t>
  </si>
  <si>
    <t>CASH FLOW</t>
  </si>
  <si>
    <t xml:space="preserve">Adj EBITDA </t>
  </si>
  <si>
    <t>Working Capital</t>
  </si>
  <si>
    <t>Taxes</t>
  </si>
  <si>
    <t>Cash interest paid</t>
  </si>
  <si>
    <t xml:space="preserve">Net cash from operations </t>
  </si>
  <si>
    <t>Net Capex</t>
  </si>
  <si>
    <t>Acquisitions / (Asset Sales)</t>
  </si>
  <si>
    <t xml:space="preserve">Free cash flow </t>
  </si>
  <si>
    <t>Other investing activities</t>
  </si>
  <si>
    <t>Dividends / Equity movements</t>
  </si>
  <si>
    <t>Principal Repayments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</si>
  <si>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</si>
  <si>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</si>
  <si>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</si>
  <si>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</si>
  <si>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</si>
  <si>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</si>
  <si>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Check - CFO</t>
  </si>
  <si>
    <t>LTM  METRICS</t>
  </si>
  <si>
    <t>Revenue</t>
  </si>
  <si>
    <t xml:space="preserve">Operating profit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</si>
  <si>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</si>
  <si>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</si>
  <si>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</si>
  <si>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</si>
  <si>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</si>
  <si>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</si>
  <si>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 xml:space="preserve">Net pension liability </t>
  </si>
  <si>
    <t>Inventory</t>
  </si>
  <si>
    <t>Trade debtors</t>
  </si>
  <si>
    <t xml:space="preserve">Trade creditors </t>
  </si>
  <si>
    <t>Net working capital</t>
  </si>
  <si>
    <t>% of revenues</t>
  </si>
  <si>
    <t>Total debt</t>
  </si>
  <si>
    <t>Unrestricted cash</t>
  </si>
  <si>
    <t>Other Liquidity sources</t>
  </si>
  <si>
    <t>Total Cash &amp; cash equivalents</t>
  </si>
  <si>
    <t>Net debt (including finance lease obligations)</t>
  </si>
  <si>
    <t>Equity (as reported on balance sheet)</t>
  </si>
  <si>
    <t>Total debt + Equity</t>
  </si>
  <si>
    <t>Net debt + Market Cap</t>
  </si>
  <si>
    <t>CREDIT RATIOS</t>
  </si>
  <si>
    <t>Leverages on the Annualized EBITDA as the restated EBITDAs not available. Company adopted IndAS 116 effective 01-Apr-19</t>
  </si>
  <si>
    <t>Secured Gross Leverage</t>
  </si>
  <si>
    <t>Total Net Leverage</t>
  </si>
  <si>
    <t xml:space="preserve">Total Gross Leverage </t>
  </si>
  <si>
    <t>EBITDA - Capex / Interest</t>
  </si>
  <si>
    <t>EBITDA/Interest</t>
  </si>
  <si>
    <t xml:space="preserve">FCF( before Dividends) / Net Debt  </t>
  </si>
  <si>
    <t xml:space="preserve">Gearing (Net debt / Equity) </t>
  </si>
  <si>
    <t>Key  Credit Metrics (INR Mn where applicable)</t>
  </si>
  <si>
    <t xml:space="preserve">Revenues </t>
  </si>
  <si>
    <t>Adj. EBITDA</t>
  </si>
  <si>
    <t>Adj. EBITDA Margin</t>
  </si>
  <si>
    <t>Total Debt</t>
  </si>
  <si>
    <t>Net Debt</t>
  </si>
  <si>
    <t>Gross Leverage</t>
  </si>
  <si>
    <t xml:space="preserve">Net Leverage </t>
  </si>
  <si>
    <t xml:space="preserve">Model Summary </t>
  </si>
  <si>
    <t xml:space="preserve">Sales </t>
  </si>
  <si>
    <t>Gross Debt</t>
  </si>
  <si>
    <t>LTM Adjusted EBITDA</t>
  </si>
  <si>
    <t>FX rate average - USD/INR</t>
  </si>
  <si>
    <t>FX rate  - USD/INR (as at end of period)</t>
  </si>
  <si>
    <t>Key  Credit Metrics (USD Mn where applicable)</t>
  </si>
  <si>
    <t>(USD millions)</t>
  </si>
  <si>
    <t>Gross Total Debt</t>
  </si>
  <si>
    <t>Net Total Debt</t>
  </si>
  <si>
    <t>Secured Gross debt</t>
  </si>
  <si>
    <t>Secured Net debt</t>
  </si>
  <si>
    <t>Total cash and cash equivalents including other sources</t>
  </si>
  <si>
    <t xml:space="preserve">Consolidated </t>
  </si>
  <si>
    <t>Q4 FY 26</t>
  </si>
  <si>
    <t>Q3 FY 26</t>
  </si>
  <si>
    <t>Q2 FY 26</t>
  </si>
  <si>
    <t>Q1 FY 26</t>
  </si>
  <si>
    <t>Q4 FY 25</t>
  </si>
  <si>
    <t>Q3 FY 25</t>
  </si>
  <si>
    <t>Q2 FY 25</t>
  </si>
  <si>
    <t>Q1 FY 25</t>
  </si>
  <si>
    <t>Q4 FY 24</t>
  </si>
  <si>
    <t>Q3 FY 24</t>
  </si>
  <si>
    <t>Q2 FY 24</t>
  </si>
  <si>
    <t>Q1 FY 24</t>
  </si>
  <si>
    <t>Q4 FY 23</t>
  </si>
  <si>
    <t>Q3 FY 23</t>
  </si>
  <si>
    <t>Q2 FY 23</t>
  </si>
  <si>
    <t>Q1 FY 23</t>
  </si>
  <si>
    <t>Q4 FY 22</t>
  </si>
  <si>
    <t>Q3 FY 22</t>
  </si>
  <si>
    <t>Q2 FY 22</t>
  </si>
  <si>
    <t>Q1 FY 22</t>
  </si>
  <si>
    <t>Q4 FY 21</t>
  </si>
  <si>
    <t>Q3 FY 21</t>
  </si>
  <si>
    <t>Q2 FY 21</t>
  </si>
  <si>
    <t>Q1 FY 21</t>
  </si>
  <si>
    <t>Q4 FY 20</t>
  </si>
  <si>
    <t>Q3 FY 20</t>
  </si>
  <si>
    <t>Q2 FY 20</t>
  </si>
  <si>
    <t>Q1 FY 20</t>
  </si>
  <si>
    <t>Q4 FY19</t>
  </si>
  <si>
    <t>Q3 FY19</t>
  </si>
  <si>
    <t>Q2 FY19</t>
  </si>
  <si>
    <t>Q1 FY 19</t>
  </si>
  <si>
    <t>Q4 FY18</t>
  </si>
  <si>
    <t>Q3 FY 18</t>
  </si>
  <si>
    <t>Q2 FY 18</t>
  </si>
  <si>
    <t>Q1 FY 18</t>
  </si>
  <si>
    <t>Q4 FY17</t>
  </si>
  <si>
    <t>Q3 FY17</t>
  </si>
  <si>
    <t>Q2 FY17</t>
  </si>
  <si>
    <t>Q1 FY 17</t>
  </si>
  <si>
    <t>Q4 FY16</t>
  </si>
  <si>
    <t>Q3 FY16</t>
  </si>
  <si>
    <t>Q2 FY16</t>
  </si>
  <si>
    <t>Q1 FY16</t>
  </si>
  <si>
    <t>Q4 FY15</t>
  </si>
  <si>
    <t>Q3 FY15</t>
  </si>
  <si>
    <t>Q1 FY15</t>
  </si>
  <si>
    <t>Q4 FY 14</t>
  </si>
  <si>
    <t>Q3 FY 14</t>
  </si>
  <si>
    <t>Q2 FY 14</t>
  </si>
  <si>
    <t>Q1 FY 14</t>
  </si>
  <si>
    <t>Q4 FY 13</t>
  </si>
  <si>
    <t>Revenues Rs Mn</t>
  </si>
  <si>
    <t>EBITDA Rs Mn</t>
  </si>
  <si>
    <t xml:space="preserve">EBITDA Margins </t>
  </si>
  <si>
    <t>ARPU</t>
  </si>
  <si>
    <t>Capex Rs Mn</t>
  </si>
  <si>
    <t xml:space="preserve">India </t>
  </si>
  <si>
    <t>Total Customers Base</t>
  </si>
  <si>
    <t>000's</t>
  </si>
  <si>
    <t>Mobile Services</t>
  </si>
  <si>
    <t>Total revenues</t>
  </si>
  <si>
    <t>Customer Base</t>
  </si>
  <si>
    <t>Net Additions</t>
  </si>
  <si>
    <t>Pre-Paid (as % of total Customer Base)</t>
  </si>
  <si>
    <t>%</t>
  </si>
  <si>
    <t>Monthly Churn</t>
  </si>
  <si>
    <t xml:space="preserve">Average Revenue Per User (ARPU) </t>
  </si>
  <si>
    <t>Rs</t>
  </si>
  <si>
    <t>US</t>
  </si>
  <si>
    <t>Voice</t>
  </si>
  <si>
    <t>Total Revenues</t>
  </si>
  <si>
    <t>Rs Mn</t>
  </si>
  <si>
    <t xml:space="preserve">Voice Average Revenue Per User (ARPU) </t>
  </si>
  <si>
    <t>Minutes on the network</t>
  </si>
  <si>
    <t>Mn</t>
  </si>
  <si>
    <t>Voice Usage per customer</t>
  </si>
  <si>
    <t>min</t>
  </si>
  <si>
    <t>Voice Realization per minute</t>
  </si>
  <si>
    <t>paisa</t>
  </si>
  <si>
    <t>Non Voice Revenue</t>
  </si>
  <si>
    <t>% of Mobile revenues</t>
  </si>
  <si>
    <t xml:space="preserve">  </t>
  </si>
  <si>
    <t>Of Which</t>
  </si>
  <si>
    <t>Messaging &amp; VAS as % of Mobile revenues</t>
  </si>
  <si>
    <t>Data as % of Mobile revenues</t>
  </si>
  <si>
    <t>Others as % of Mobile revenues</t>
  </si>
  <si>
    <t>Data</t>
  </si>
  <si>
    <t>Data Customer Base</t>
  </si>
  <si>
    <t>Of which Mobile Broadband costumers</t>
  </si>
  <si>
    <t>As % of customer base</t>
  </si>
  <si>
    <t>Total MBs on the network</t>
  </si>
  <si>
    <t>Mn MBs</t>
  </si>
  <si>
    <t xml:space="preserve">Data Average Revenue Per User (ARPU) </t>
  </si>
  <si>
    <t>Data Usage per customer</t>
  </si>
  <si>
    <t>MBs</t>
  </si>
  <si>
    <t>Data Realization per MB</t>
  </si>
  <si>
    <t>Homes Services</t>
  </si>
  <si>
    <t xml:space="preserve">EBITDA / Total revenues </t>
  </si>
  <si>
    <t>Homes Customers</t>
  </si>
  <si>
    <t xml:space="preserve">          Of which no. of Broadband (DSL) customers</t>
  </si>
  <si>
    <t xml:space="preserve">          As % of Customer Base</t>
  </si>
  <si>
    <t>Average Revenue Per User (ARPU)</t>
  </si>
  <si>
    <t>Non Voice Revenue as % of Homes Revenues</t>
  </si>
  <si>
    <t>Digital TV Services</t>
  </si>
  <si>
    <t>Digital TV Customers</t>
  </si>
  <si>
    <t>Net additions</t>
  </si>
  <si>
    <t>Average Revenue Per User (ARPU) $</t>
  </si>
  <si>
    <t>B2B Services</t>
  </si>
  <si>
    <t>Airtel Business</t>
  </si>
  <si>
    <t>Airtel Business Customer</t>
  </si>
  <si>
    <t>Minutes &amp; Network Statistics</t>
  </si>
  <si>
    <t>Mn Min</t>
  </si>
  <si>
    <t>National Long Distance Services</t>
  </si>
  <si>
    <t>International Long Distance Services</t>
  </si>
  <si>
    <t>Total Minutes on Network (Gross)</t>
  </si>
  <si>
    <t>Eliminations</t>
  </si>
  <si>
    <t>Total Minutes on Network (Net)</t>
  </si>
  <si>
    <t>Census Towns</t>
  </si>
  <si>
    <t>Nos</t>
  </si>
  <si>
    <t>Non-Census Towns &amp; Villages</t>
  </si>
  <si>
    <t>Population Coverage</t>
  </si>
  <si>
    <t>Optic Fibre Network</t>
  </si>
  <si>
    <t>R kms</t>
  </si>
  <si>
    <t>Network towers</t>
  </si>
  <si>
    <t xml:space="preserve">          Of which Mobile Broadband towers</t>
  </si>
  <si>
    <t>Total Mobile Broadband Base stations</t>
  </si>
  <si>
    <r>
      <rPr>
        <b/>
        <sz val="10"/>
        <rFont val="Calibri"/>
        <family val="2"/>
      </rPr>
      <t xml:space="preserve">Homes Services - </t>
    </r>
    <r>
      <rPr>
        <sz val="10"/>
        <rFont val="Calibri"/>
        <family val="2"/>
      </rPr>
      <t>Cities covered</t>
    </r>
  </si>
  <si>
    <r>
      <rPr>
        <b/>
        <sz val="10"/>
        <rFont val="Calibri"/>
        <family val="2"/>
      </rPr>
      <t xml:space="preserve">Airtel Business - </t>
    </r>
    <r>
      <rPr>
        <sz val="10"/>
        <rFont val="Calibri"/>
        <family val="2"/>
      </rPr>
      <t>Submarine Cable System</t>
    </r>
  </si>
  <si>
    <t>Districts Covered</t>
  </si>
  <si>
    <t>Coverage</t>
  </si>
  <si>
    <t>Bharti Infratel Consolidated</t>
  </si>
  <si>
    <t>Parameters</t>
  </si>
  <si>
    <t>Unit</t>
  </si>
  <si>
    <t>Total Towers</t>
  </si>
  <si>
    <t>No.</t>
  </si>
  <si>
    <t>Total Co-locations</t>
  </si>
  <si>
    <t>Average Sharing Factor</t>
  </si>
  <si>
    <t>Times</t>
  </si>
  <si>
    <t xml:space="preserve"> South Asia</t>
  </si>
  <si>
    <t>USD Mn</t>
  </si>
  <si>
    <t>VLR</t>
  </si>
  <si>
    <t>US¢</t>
  </si>
  <si>
    <t>Revenue per site per month</t>
  </si>
  <si>
    <t>As % of Customer Base</t>
  </si>
  <si>
    <t xml:space="preserve"> AFRICA</t>
  </si>
  <si>
    <t>Voice Revenue</t>
  </si>
  <si>
    <t>$ Mn</t>
  </si>
  <si>
    <t>Airtel Money</t>
  </si>
  <si>
    <t>Transaction Value</t>
  </si>
  <si>
    <t>US$ Mn</t>
  </si>
  <si>
    <t>Transaction Value per Subs</t>
  </si>
  <si>
    <t>US$</t>
  </si>
  <si>
    <t>Airtel Money Revenue</t>
  </si>
  <si>
    <t>Active Customers</t>
  </si>
  <si>
    <t>Airtel Money ARPU</t>
  </si>
  <si>
    <t xml:space="preserve">Network &amp; coverage </t>
  </si>
  <si>
    <t>Owned towers</t>
  </si>
  <si>
    <t>Leased towers</t>
  </si>
  <si>
    <t>Revenue Per site Per Month</t>
  </si>
  <si>
    <t>Human Resource Analysis</t>
  </si>
  <si>
    <t>Total Employees</t>
  </si>
  <si>
    <t>Number of Customers per employee</t>
  </si>
  <si>
    <t>Personnel Cost per employee per month</t>
  </si>
  <si>
    <t xml:space="preserve">Gross Revenue per employee per month </t>
  </si>
  <si>
    <t>FY 17/18</t>
  </si>
  <si>
    <t>FY 18/19</t>
  </si>
  <si>
    <t>FY 16/17</t>
  </si>
  <si>
    <t>FY15/16</t>
  </si>
  <si>
    <t>Proj</t>
  </si>
  <si>
    <t>FY</t>
  </si>
  <si>
    <t>Profit / (Loss) from Operating Activities</t>
  </si>
  <si>
    <t>Add: Charity and donation</t>
  </si>
  <si>
    <t>Less: Finance Income/Derviatives MTM</t>
  </si>
  <si>
    <t>Add: Impact of difference in effective date of Indus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</si>
</sst>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_ * #,##0_ ;_ * \-#,##0_ ;_ * &quot;-&quot;_ ;_ @_ "/>
    <numFmt numFmtId="168" formatCode="_ * #,##0.00_ ;_ * \-#,##0.00_ ;_ * &quot;-&quot;??_ ;_ @_ "/>
    <numFmt numFmtId="169" formatCode="#,##0.0_);\(#,##0.0\)"/>
    <numFmt numFmtId="170" formatCode="#0.0%_);\(#0.0%\)"/>
    <numFmt numFmtId="171" formatCode="mmm\ yyyy"/>
    <numFmt numFmtId="172" formatCode="0.0%"/>
    <numFmt numFmtId="173" formatCode="0.0"/>
    <numFmt numFmtId="174" formatCode="_(* #,##0.0_);_(* \(#,##0.0\);_(* &quot;-&quot;??_);_(@_)"/>
    <numFmt numFmtId="175" formatCode="_(* #,##0_);_(* \(#,##0\);_(* &quot;-&quot;??_);_(@_)"/>
    <numFmt numFmtId="176" formatCode="0.0\x"/>
    <numFmt numFmtId="177" formatCode="#0.0\x"/>
    <numFmt numFmtId="178" formatCode="_([$€-2]* #,##0.00_);_([$€-2]* \(#,##0.00\);_([$€-2]* &quot;-&quot;??_)"/>
    <numFmt numFmtId="179" formatCode="[$-409]mmm\-yy;@"/>
    <numFmt numFmtId="180" formatCode="_(* #,##0.0_);_(* \(#,##0.0\);_(* &quot;-&quot;?_);_(@_)"/>
    <numFmt numFmtId="181" formatCode="0.000\x"/>
    <numFmt numFmtId="182" formatCode="#,##0.0"/>
    <numFmt numFmtId="183" formatCode="#,##0.00000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#,##0;\(#,##0\)"/>
    <numFmt numFmtId="187" formatCode="&quot;$&quot;#,##0.0000_);\(&quot;$&quot;#,##0.0000\)"/>
    <numFmt numFmtId="188" formatCode="#,##0.0000"/>
    <numFmt numFmtId="189" formatCode="00.000"/>
    <numFmt numFmtId="190" formatCode="&quot;?&quot;#,##0;&quot;?&quot;\-#,##0"/>
    <numFmt numFmtId="191" formatCode="_ &quot;\&quot;* #,##0_ ;_ &quot;\&quot;* \-#,##0_ ;_ &quot;\&quot;* &quot;-&quot;_ ;_ @_ "/>
    <numFmt numFmtId="192" formatCode="&quot;\&quot;#,##0.00;[Red]&quot;\&quot;\-#,##0.00"/>
    <numFmt numFmtId="193" formatCode="_ &quot;\&quot;* #,##0.00_ ;_ &quot;\&quot;* \-#,##0.00_ ;_ &quot;\&quot;* &quot;-&quot;??_ ;_ @_ "/>
    <numFmt numFmtId="194" formatCode="&quot;\&quot;#,##0;[Red]&quot;\&quot;\-#,##0"/>
    <numFmt numFmtId="195" formatCode="#,##0;[Red]&quot;-&quot;#,##0"/>
    <numFmt numFmtId="196" formatCode="#,##0.00;[Red]&quot;-&quot;#,##0.00"/>
    <numFmt numFmtId="197" formatCode="\$#,##0\ ;\(\$#,##0\)"/>
    <numFmt numFmtId="198" formatCode=";;;"/>
    <numFmt numFmtId="199" formatCode="#,##0\ &quot;DM&quot;;\-#,##0\ &quot;DM&quot;"/>
    <numFmt numFmtId="200" formatCode="0&quot;.&quot;000%"/>
    <numFmt numFmtId="201" formatCode="&quot;￥&quot;#,##0;&quot;￥&quot;\-#,##0"/>
    <numFmt numFmtId="202" formatCode="00&quot;.&quot;000"/>
  </numFmts>
  <fonts count="10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  <charset val="2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sz val="10"/>
      <name val="Times New Roman"/>
      <family val="1"/>
    </font>
    <font>
      <sz val="10"/>
      <name val="Arial Cyr"/>
      <charset val="20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name val="Times New Roman"/>
      <family val="1"/>
    </font>
    <font>
      <i/>
      <sz val="7"/>
      <name val="Arial"/>
      <family val="2"/>
    </font>
    <font>
      <sz val="12"/>
      <name val="Tms Rmn"/>
    </font>
    <font>
      <b/>
      <sz val="10"/>
      <color indexed="50"/>
      <name val="Arial"/>
      <family val="2"/>
    </font>
    <font>
      <b/>
      <sz val="10"/>
      <color indexed="48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.VnTime"/>
      <family val="2"/>
    </font>
    <font>
      <sz val="9"/>
      <name val="ﾀﾞｯﾁ"/>
      <family val="3"/>
      <charset val="128"/>
    </font>
    <font>
      <sz val="11"/>
      <name val="??"/>
      <family val="3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name val="Times New Roman"/>
      <family val="1"/>
    </font>
    <font>
      <sz val="12"/>
      <name val="바탕체"/>
      <family val="1"/>
      <charset val="255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12"/>
      <name val="µ¸¿òÃ¼"/>
      <family val="3"/>
      <charset val="129"/>
    </font>
    <font>
      <sz val="12"/>
      <name val="Helv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3"/>
      <name val=".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9"/>
      <name val="Arial"/>
      <family val="2"/>
    </font>
    <font>
      <sz val="11"/>
      <name val="돋움"/>
      <family val="2"/>
    </font>
    <font>
      <sz val="10"/>
      <name val="굴림체"/>
      <family val="3"/>
    </font>
    <font>
      <sz val="10"/>
      <name val="明朝"/>
      <family val="1"/>
      <charset val="128"/>
    </font>
    <font>
      <sz val="12"/>
      <name val="Courier"/>
      <family val="3"/>
    </font>
    <font>
      <sz val="10"/>
      <name val=" "/>
      <family val="1"/>
      <charset val="136"/>
    </font>
    <font>
      <b/>
      <sz val="10"/>
      <name val="Calibri"/>
      <family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10"/>
      <color rgb="FF0000FF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125">
        <bgColor theme="0" tint="-4.9989318521683403E-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/>
      <right style="thin">
        <color indexed="9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9"/>
      </left>
      <right/>
      <top/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55"/>
      </bottom>
      <diagonal/>
    </border>
    <border>
      <left/>
      <right style="thin">
        <color indexed="9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9"/>
      </left>
      <right/>
      <top/>
      <bottom style="thin">
        <color indexed="55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43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/>
      <top/>
      <bottom/>
      <diagonal/>
    </border>
    <border>
      <left style="thin">
        <color indexed="43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34998626667073579"/>
      </bottom>
      <diagonal/>
    </border>
    <border>
      <left/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22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4659260841701"/>
      </bottom>
      <diagonal/>
    </border>
  </borders>
  <cellStyleXfs count="236">
    <xf numFmtId="0" fontId="0" fillId="0" borderId="0"/>
    <xf numFmtId="178" fontId="36" fillId="0" borderId="0" applyNumberFormat="0" applyFill="0" applyBorder="0" applyAlignment="0" applyProtection="0"/>
    <xf numFmtId="0" fontId="4" fillId="0" borderId="0"/>
    <xf numFmtId="178" fontId="4" fillId="0" borderId="0"/>
    <xf numFmtId="38" fontId="37" fillId="0" borderId="0" applyFont="0" applyFill="0" applyBorder="0" applyAlignment="0" applyProtection="0"/>
    <xf numFmtId="189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90" fontId="38" fillId="0" borderId="0" applyFont="0" applyFill="0" applyBorder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41" fontId="40" fillId="0" borderId="0" applyFont="0" applyFill="0" applyBorder="0" applyAlignment="0" applyProtection="0"/>
    <xf numFmtId="9" fontId="41" fillId="0" borderId="0" applyFont="0" applyFill="0" applyBorder="0" applyAlignment="0" applyProtection="0"/>
    <xf numFmtId="178" fontId="42" fillId="0" borderId="0"/>
    <xf numFmtId="178" fontId="4" fillId="0" borderId="0"/>
    <xf numFmtId="178" fontId="43" fillId="0" borderId="0"/>
    <xf numFmtId="178" fontId="4" fillId="0" borderId="0"/>
    <xf numFmtId="178" fontId="4" fillId="0" borderId="0" applyNumberFormat="0" applyFill="0" applyBorder="0" applyAlignment="0" applyProtection="0"/>
    <xf numFmtId="178" fontId="4" fillId="0" borderId="0" applyNumberFormat="0" applyFill="0" applyBorder="0" applyAlignment="0" applyProtection="0"/>
    <xf numFmtId="178" fontId="44" fillId="0" borderId="0"/>
    <xf numFmtId="178" fontId="4" fillId="0" borderId="0"/>
    <xf numFmtId="178" fontId="4" fillId="0" borderId="0" applyNumberFormat="0" applyFill="0" applyBorder="0" applyAlignment="0" applyProtection="0"/>
    <xf numFmtId="178" fontId="4" fillId="0" borderId="0"/>
    <xf numFmtId="178" fontId="4" fillId="0" borderId="0" applyNumberFormat="0" applyFill="0" applyBorder="0" applyAlignment="0" applyProtection="0"/>
    <xf numFmtId="178" fontId="2" fillId="0" borderId="0"/>
    <xf numFmtId="178" fontId="4" fillId="0" borderId="0"/>
    <xf numFmtId="178" fontId="4" fillId="0" borderId="0" applyNumberFormat="0" applyFill="0" applyBorder="0" applyAlignment="0" applyProtection="0"/>
    <xf numFmtId="178" fontId="4" fillId="0" borderId="0" applyNumberFormat="0" applyFill="0" applyBorder="0" applyAlignment="0" applyProtection="0"/>
    <xf numFmtId="178" fontId="43" fillId="0" borderId="0"/>
    <xf numFmtId="0" fontId="4" fillId="0" borderId="0"/>
    <xf numFmtId="178" fontId="45" fillId="2" borderId="0"/>
    <xf numFmtId="178" fontId="46" fillId="3" borderId="1" applyFont="0" applyFill="0" applyAlignment="0">
      <alignment vertical="center" wrapText="1"/>
    </xf>
    <xf numFmtId="178" fontId="47" fillId="2" borderId="0"/>
    <xf numFmtId="178" fontId="48" fillId="2" borderId="0"/>
    <xf numFmtId="178" fontId="49" fillId="0" borderId="0">
      <alignment wrapText="1"/>
    </xf>
    <xf numFmtId="178" fontId="50" fillId="0" borderId="0"/>
    <xf numFmtId="191" fontId="51" fillId="0" borderId="0" applyFont="0" applyFill="0" applyBorder="0" applyAlignment="0" applyProtection="0"/>
    <xf numFmtId="178" fontId="52" fillId="0" borderId="0" applyFont="0" applyFill="0" applyBorder="0" applyAlignment="0" applyProtection="0"/>
    <xf numFmtId="192" fontId="53" fillId="0" borderId="0" applyFont="0" applyFill="0" applyBorder="0" applyAlignment="0" applyProtection="0"/>
    <xf numFmtId="193" fontId="51" fillId="0" borderId="0" applyFont="0" applyFill="0" applyBorder="0" applyAlignment="0" applyProtection="0"/>
    <xf numFmtId="178" fontId="52" fillId="0" borderId="0" applyFont="0" applyFill="0" applyBorder="0" applyAlignment="0" applyProtection="0"/>
    <xf numFmtId="194" fontId="53" fillId="0" borderId="0" applyFont="0" applyFill="0" applyBorder="0" applyAlignment="0" applyProtection="0"/>
    <xf numFmtId="178" fontId="54" fillId="0" borderId="2" applyFont="0" applyFill="0" applyBorder="0" applyAlignment="0" applyProtection="0">
      <alignment horizontal="center" vertical="center"/>
    </xf>
    <xf numFmtId="167" fontId="51" fillId="0" borderId="0" applyFont="0" applyFill="0" applyBorder="0" applyAlignment="0" applyProtection="0"/>
    <xf numFmtId="178" fontId="52" fillId="0" borderId="0" applyFont="0" applyFill="0" applyBorder="0" applyAlignment="0" applyProtection="0"/>
    <xf numFmtId="195" fontId="53" fillId="0" borderId="0" applyFont="0" applyFill="0" applyBorder="0" applyAlignment="0" applyProtection="0"/>
    <xf numFmtId="168" fontId="51" fillId="0" borderId="0" applyFont="0" applyFill="0" applyBorder="0" applyAlignment="0" applyProtection="0"/>
    <xf numFmtId="178" fontId="52" fillId="0" borderId="0" applyFont="0" applyFill="0" applyBorder="0" applyAlignment="0" applyProtection="0"/>
    <xf numFmtId="196" fontId="53" fillId="0" borderId="0" applyFont="0" applyFill="0" applyBorder="0" applyAlignment="0" applyProtection="0"/>
    <xf numFmtId="182" fontId="4" fillId="0" borderId="3">
      <alignment wrapText="1"/>
      <protection locked="0"/>
    </xf>
    <xf numFmtId="0" fontId="26" fillId="0" borderId="0" applyNumberFormat="0" applyFill="0" applyBorder="0" applyAlignment="0" applyProtection="0"/>
    <xf numFmtId="178" fontId="52" fillId="0" borderId="0"/>
    <xf numFmtId="178" fontId="55" fillId="0" borderId="0"/>
    <xf numFmtId="178" fontId="52" fillId="0" borderId="0"/>
    <xf numFmtId="37" fontId="56" fillId="0" borderId="0"/>
    <xf numFmtId="0" fontId="3" fillId="0" borderId="0"/>
    <xf numFmtId="0" fontId="5" fillId="4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8" fontId="4" fillId="0" borderId="0"/>
    <xf numFmtId="3" fontId="4" fillId="0" borderId="0" applyFont="0" applyFill="0" applyBorder="0" applyAlignment="0" applyProtection="0"/>
    <xf numFmtId="186" fontId="27" fillId="0" borderId="3" applyBorder="0"/>
    <xf numFmtId="197" fontId="4" fillId="0" borderId="0" applyFont="0" applyFill="0" applyBorder="0" applyAlignment="0" applyProtection="0"/>
    <xf numFmtId="186" fontId="28" fillId="0" borderId="0">
      <protection locked="0"/>
    </xf>
    <xf numFmtId="17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29" fillId="0" borderId="4"/>
    <xf numFmtId="178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30" fillId="0" borderId="5" applyNumberFormat="0" applyAlignment="0" applyProtection="0">
      <alignment horizontal="left" vertical="center"/>
    </xf>
    <xf numFmtId="0" fontId="30" fillId="0" borderId="6">
      <alignment horizontal="left" vertical="center"/>
    </xf>
    <xf numFmtId="198" fontId="54" fillId="0" borderId="0" applyFont="0" applyFill="0" applyBorder="0" applyAlignment="0" applyProtection="0">
      <alignment horizontal="center" vertical="center"/>
    </xf>
    <xf numFmtId="0" fontId="6" fillId="0" borderId="0"/>
    <xf numFmtId="178" fontId="57" fillId="5" borderId="0">
      <alignment horizontal="left"/>
    </xf>
    <xf numFmtId="178" fontId="54" fillId="0" borderId="0" applyFont="0" applyFill="0" applyBorder="0" applyProtection="0">
      <alignment horizontal="center" vertical="center"/>
    </xf>
    <xf numFmtId="178" fontId="58" fillId="0" borderId="0" applyNumberFormat="0" applyFont="0" applyFill="0" applyAlignment="0"/>
    <xf numFmtId="0" fontId="7" fillId="6" borderId="0"/>
    <xf numFmtId="0" fontId="8" fillId="7" borderId="0"/>
    <xf numFmtId="0" fontId="9" fillId="0" borderId="0"/>
    <xf numFmtId="37" fontId="31" fillId="0" borderId="0"/>
    <xf numFmtId="178" fontId="4" fillId="0" borderId="0"/>
    <xf numFmtId="18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8" fontId="4" fillId="0" borderId="0"/>
    <xf numFmtId="178" fontId="4" fillId="0" borderId="0"/>
    <xf numFmtId="178" fontId="74" fillId="0" borderId="0"/>
    <xf numFmtId="178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8" fontId="59" fillId="0" borderId="0" applyNumberFormat="0" applyFill="0" applyBorder="0" applyAlignment="0" applyProtection="0"/>
    <xf numFmtId="178" fontId="36" fillId="0" borderId="0" applyNumberFormat="0" applyFill="0" applyBorder="0" applyAlignment="0" applyProtection="0"/>
    <xf numFmtId="40" fontId="32" fillId="8" borderId="0">
      <alignment horizontal="right"/>
    </xf>
    <xf numFmtId="0" fontId="33" fillId="8" borderId="0">
      <alignment horizontal="right"/>
    </xf>
    <xf numFmtId="0" fontId="34" fillId="8" borderId="7"/>
    <xf numFmtId="0" fontId="34" fillId="0" borderId="0" applyBorder="0">
      <alignment horizontal="centerContinuous"/>
    </xf>
    <xf numFmtId="0" fontId="35" fillId="0" borderId="0" applyBorder="0">
      <alignment horizontal="centerContinuous"/>
    </xf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8" fontId="36" fillId="0" borderId="0" applyNumberFormat="0" applyFill="0" applyBorder="0" applyAlignment="0" applyProtection="0"/>
    <xf numFmtId="0" fontId="10" fillId="9" borderId="0"/>
    <xf numFmtId="178" fontId="4" fillId="10" borderId="0"/>
    <xf numFmtId="0" fontId="2" fillId="0" borderId="0"/>
    <xf numFmtId="0" fontId="2" fillId="0" borderId="0"/>
    <xf numFmtId="178" fontId="2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>
      <alignment vertical="top"/>
    </xf>
    <xf numFmtId="178" fontId="59" fillId="0" borderId="0" applyNumberFormat="0" applyFill="0" applyBorder="0" applyAlignment="0" applyProtection="0"/>
    <xf numFmtId="0" fontId="16" fillId="0" borderId="0">
      <alignment vertical="top"/>
    </xf>
    <xf numFmtId="0" fontId="13" fillId="0" borderId="0">
      <alignment wrapText="1"/>
    </xf>
    <xf numFmtId="188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78" fontId="60" fillId="0" borderId="0" applyNumberFormat="0" applyFill="0" applyBorder="0" applyAlignment="0" applyProtection="0"/>
    <xf numFmtId="0" fontId="18" fillId="0" borderId="0"/>
    <xf numFmtId="0" fontId="18" fillId="0" borderId="0"/>
    <xf numFmtId="178" fontId="69" fillId="0" borderId="0" applyFont="0" applyFill="0" applyBorder="0" applyAlignment="0" applyProtection="0"/>
    <xf numFmtId="178" fontId="69" fillId="0" borderId="0" applyFont="0" applyFill="0" applyBorder="0" applyAlignment="0" applyProtection="0"/>
    <xf numFmtId="178" fontId="43" fillId="0" borderId="0">
      <alignment vertical="center"/>
    </xf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178" fontId="61" fillId="0" borderId="0" applyFont="0" applyFill="0" applyBorder="0" applyAlignment="0" applyProtection="0"/>
    <xf numFmtId="178" fontId="61" fillId="0" borderId="0" applyFont="0" applyFill="0" applyBorder="0" applyAlignment="0" applyProtection="0"/>
    <xf numFmtId="9" fontId="62" fillId="0" borderId="0" applyFont="0" applyFill="0" applyBorder="0" applyAlignment="0" applyProtection="0"/>
    <xf numFmtId="178" fontId="63" fillId="0" borderId="0"/>
    <xf numFmtId="199" fontId="65" fillId="0" borderId="0" applyFont="0" applyFill="0" applyBorder="0" applyAlignment="0" applyProtection="0"/>
    <xf numFmtId="200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2" fontId="65" fillId="0" borderId="0" applyFont="0" applyFill="0" applyBorder="0" applyAlignment="0" applyProtection="0"/>
    <xf numFmtId="178" fontId="66" fillId="0" borderId="0"/>
    <xf numFmtId="178" fontId="58" fillId="0" borderId="0"/>
    <xf numFmtId="41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66" fontId="4" fillId="0" borderId="0" applyFont="0" applyFill="0" applyBorder="0" applyAlignment="0" applyProtection="0"/>
    <xf numFmtId="38" fontId="67" fillId="0" borderId="0" applyFont="0" applyFill="0" applyBorder="0" applyAlignment="0" applyProtection="0"/>
    <xf numFmtId="178" fontId="4" fillId="0" borderId="0"/>
    <xf numFmtId="184" fontId="64" fillId="0" borderId="0" applyFont="0" applyFill="0" applyBorder="0" applyAlignment="0" applyProtection="0"/>
    <xf numFmtId="164" fontId="68" fillId="0" borderId="0" applyFont="0" applyFill="0" applyBorder="0" applyAlignment="0" applyProtection="0"/>
    <xf numFmtId="185" fontId="64" fillId="0" borderId="0" applyFont="0" applyFill="0" applyBorder="0" applyAlignment="0" applyProtection="0"/>
    <xf numFmtId="198" fontId="67" fillId="0" borderId="8">
      <alignment horizontal="center"/>
    </xf>
  </cellStyleXfs>
  <cellXfs count="1250">
    <xf numFmtId="0" fontId="0" fillId="0" borderId="0" xfId="0"/>
    <xf numFmtId="0" fontId="2" fillId="0" borderId="0" xfId="0" applyFont="1"/>
    <xf numFmtId="0" fontId="75" fillId="13" borderId="6" xfId="119" applyFont="1" applyFill="1" applyBorder="1" applyAlignment="1">
      <alignment horizontal="left" wrapText="1"/>
    </xf>
    <xf numFmtId="0" fontId="76" fillId="0" borderId="0" xfId="119" applyFont="1"/>
    <xf numFmtId="0" fontId="76" fillId="14" borderId="0" xfId="120" applyFont="1" applyFill="1"/>
    <xf numFmtId="175" fontId="76" fillId="0" borderId="0" xfId="56" applyNumberFormat="1" applyFont="1"/>
    <xf numFmtId="0" fontId="75" fillId="14" borderId="6" xfId="120" applyFont="1" applyFill="1" applyBorder="1"/>
    <xf numFmtId="169" fontId="76" fillId="0" borderId="0" xfId="0" applyNumberFormat="1" applyFont="1"/>
    <xf numFmtId="0" fontId="75" fillId="13" borderId="9" xfId="119" applyFont="1" applyFill="1" applyBorder="1" applyAlignment="1">
      <alignment horizontal="left" wrapText="1"/>
    </xf>
    <xf numFmtId="0" fontId="75" fillId="13" borderId="10" xfId="119" applyFont="1" applyFill="1" applyBorder="1" applyAlignment="1">
      <alignment horizontal="right" wrapText="1"/>
    </xf>
    <xf numFmtId="0" fontId="76" fillId="0" borderId="11" xfId="119" applyFont="1" applyBorder="1"/>
    <xf numFmtId="0" fontId="75" fillId="0" borderId="12" xfId="119" applyFont="1" applyBorder="1" applyAlignment="1">
      <alignment horizontal="right"/>
    </xf>
    <xf numFmtId="175" fontId="76" fillId="0" borderId="12" xfId="56" applyNumberFormat="1" applyFont="1" applyBorder="1"/>
    <xf numFmtId="0" fontId="76" fillId="0" borderId="13" xfId="119" applyFont="1" applyBorder="1"/>
    <xf numFmtId="175" fontId="76" fillId="0" borderId="14" xfId="56" applyNumberFormat="1" applyFont="1" applyBorder="1"/>
    <xf numFmtId="0" fontId="77" fillId="0" borderId="0" xfId="0" applyFont="1"/>
    <xf numFmtId="0" fontId="78" fillId="15" borderId="0" xfId="0" applyFont="1" applyFill="1" applyAlignment="1">
      <alignment horizontal="left"/>
    </xf>
    <xf numFmtId="0" fontId="76" fillId="0" borderId="0" xfId="0" applyFont="1"/>
    <xf numFmtId="0" fontId="75" fillId="15" borderId="15" xfId="0" applyFont="1" applyFill="1" applyBorder="1" applyAlignment="1">
      <alignment horizontal="centerContinuous"/>
    </xf>
    <xf numFmtId="0" fontId="75" fillId="15" borderId="0" xfId="0" applyFont="1" applyFill="1"/>
    <xf numFmtId="0" fontId="75" fillId="0" borderId="0" xfId="0" applyFont="1"/>
    <xf numFmtId="171" fontId="75" fillId="15" borderId="0" xfId="0" applyNumberFormat="1" applyFont="1" applyFill="1" applyAlignment="1">
      <alignment horizontal="center"/>
    </xf>
    <xf numFmtId="0" fontId="79" fillId="0" borderId="0" xfId="0" applyFont="1"/>
    <xf numFmtId="166" fontId="79" fillId="0" borderId="0" xfId="56" applyFont="1" applyFill="1" applyBorder="1" applyAlignment="1">
      <alignment horizontal="center"/>
    </xf>
    <xf numFmtId="0" fontId="76" fillId="0" borderId="16" xfId="0" applyFont="1" applyBorder="1"/>
    <xf numFmtId="0" fontId="75" fillId="15" borderId="16" xfId="0" applyFont="1" applyFill="1" applyBorder="1"/>
    <xf numFmtId="0" fontId="76" fillId="15" borderId="16" xfId="0" applyFont="1" applyFill="1" applyBorder="1"/>
    <xf numFmtId="169" fontId="79" fillId="0" borderId="0" xfId="0" applyNumberFormat="1" applyFont="1"/>
    <xf numFmtId="169" fontId="80" fillId="0" borderId="0" xfId="0" applyNumberFormat="1" applyFont="1"/>
    <xf numFmtId="0" fontId="81" fillId="0" borderId="0" xfId="0" applyFont="1"/>
    <xf numFmtId="0" fontId="81" fillId="13" borderId="0" xfId="0" applyFont="1" applyFill="1" applyAlignment="1">
      <alignment horizontal="left" indent="1"/>
    </xf>
    <xf numFmtId="172" fontId="82" fillId="13" borderId="0" xfId="168" applyNumberFormat="1" applyFont="1" applyFill="1"/>
    <xf numFmtId="0" fontId="81" fillId="13" borderId="0" xfId="0" applyFont="1" applyFill="1"/>
    <xf numFmtId="0" fontId="83" fillId="0" borderId="0" xfId="0" applyFont="1"/>
    <xf numFmtId="169" fontId="75" fillId="0" borderId="0" xfId="0" applyNumberFormat="1" applyFont="1"/>
    <xf numFmtId="0" fontId="76" fillId="0" borderId="0" xfId="0" applyFont="1" applyAlignment="1">
      <alignment horizontal="left"/>
    </xf>
    <xf numFmtId="172" fontId="81" fillId="13" borderId="0" xfId="168" applyNumberFormat="1" applyFont="1" applyFill="1"/>
    <xf numFmtId="172" fontId="81" fillId="0" borderId="0" xfId="168" applyNumberFormat="1" applyFont="1" applyFill="1"/>
    <xf numFmtId="169" fontId="84" fillId="0" borderId="0" xfId="0" applyNumberFormat="1" applyFont="1"/>
    <xf numFmtId="169" fontId="80" fillId="0" borderId="0" xfId="0" applyNumberFormat="1" applyFont="1" applyAlignment="1">
      <alignment horizontal="right"/>
    </xf>
    <xf numFmtId="169" fontId="85" fillId="0" borderId="0" xfId="0" applyNumberFormat="1" applyFont="1"/>
    <xf numFmtId="0" fontId="75" fillId="0" borderId="0" xfId="0" applyFont="1" applyAlignment="1">
      <alignment horizontal="left"/>
    </xf>
    <xf numFmtId="0" fontId="81" fillId="13" borderId="0" xfId="0" applyFont="1" applyFill="1" applyAlignment="1">
      <alignment horizontal="left"/>
    </xf>
    <xf numFmtId="172" fontId="81" fillId="13" borderId="0" xfId="0" applyNumberFormat="1" applyFont="1" applyFill="1"/>
    <xf numFmtId="177" fontId="76" fillId="0" borderId="0" xfId="0" applyNumberFormat="1" applyFont="1"/>
    <xf numFmtId="177" fontId="75" fillId="0" borderId="0" xfId="0" applyNumberFormat="1" applyFont="1"/>
    <xf numFmtId="177" fontId="76" fillId="0" borderId="0" xfId="0" applyNumberFormat="1" applyFont="1" applyAlignment="1">
      <alignment horizontal="right"/>
    </xf>
    <xf numFmtId="170" fontId="76" fillId="0" borderId="0" xfId="0" applyNumberFormat="1" applyFont="1"/>
    <xf numFmtId="170" fontId="75" fillId="0" borderId="0" xfId="0" applyNumberFormat="1" applyFont="1"/>
    <xf numFmtId="169" fontId="75" fillId="0" borderId="0" xfId="0" applyNumberFormat="1" applyFont="1" applyAlignment="1">
      <alignment horizontal="right"/>
    </xf>
    <xf numFmtId="172" fontId="81" fillId="13" borderId="0" xfId="168" applyNumberFormat="1" applyFont="1" applyFill="1" applyAlignment="1">
      <alignment horizontal="right"/>
    </xf>
    <xf numFmtId="0" fontId="75" fillId="0" borderId="17" xfId="0" applyFont="1" applyBorder="1"/>
    <xf numFmtId="169" fontId="75" fillId="0" borderId="17" xfId="0" applyNumberFormat="1" applyFont="1" applyBorder="1" applyAlignment="1">
      <alignment horizontal="right"/>
    </xf>
    <xf numFmtId="37" fontId="76" fillId="0" borderId="0" xfId="0" applyNumberFormat="1" applyFont="1" applyAlignment="1">
      <alignment horizontal="right"/>
    </xf>
    <xf numFmtId="169" fontId="76" fillId="0" borderId="0" xfId="0" applyNumberFormat="1" applyFont="1" applyAlignment="1">
      <alignment horizontal="right"/>
    </xf>
    <xf numFmtId="0" fontId="76" fillId="0" borderId="0" xfId="0" applyFont="1" applyAlignment="1">
      <alignment horizontal="right"/>
    </xf>
    <xf numFmtId="176" fontId="75" fillId="0" borderId="0" xfId="0" applyNumberFormat="1" applyFont="1" applyAlignment="1">
      <alignment horizontal="right"/>
    </xf>
    <xf numFmtId="176" fontId="76" fillId="0" borderId="0" xfId="0" applyNumberFormat="1" applyFont="1" applyAlignment="1">
      <alignment horizontal="right"/>
    </xf>
    <xf numFmtId="172" fontId="76" fillId="0" borderId="0" xfId="168" applyNumberFormat="1" applyFont="1" applyFill="1" applyBorder="1"/>
    <xf numFmtId="3" fontId="2" fillId="0" borderId="0" xfId="0" applyNumberFormat="1" applyFont="1"/>
    <xf numFmtId="0" fontId="76" fillId="13" borderId="0" xfId="0" applyFont="1" applyFill="1"/>
    <xf numFmtId="0" fontId="81" fillId="0" borderId="0" xfId="0" applyFont="1" applyAlignment="1">
      <alignment horizontal="left" indent="1"/>
    </xf>
    <xf numFmtId="172" fontId="82" fillId="0" borderId="0" xfId="168" applyNumberFormat="1" applyFont="1" applyFill="1"/>
    <xf numFmtId="0" fontId="86" fillId="0" borderId="0" xfId="0" applyFont="1"/>
    <xf numFmtId="0" fontId="86" fillId="0" borderId="0" xfId="0" applyFont="1" applyAlignment="1">
      <alignment horizontal="left" indent="1"/>
    </xf>
    <xf numFmtId="175" fontId="86" fillId="0" borderId="0" xfId="56" applyNumberFormat="1" applyFont="1" applyFill="1"/>
    <xf numFmtId="0" fontId="87" fillId="0" borderId="0" xfId="0" applyFont="1"/>
    <xf numFmtId="169" fontId="88" fillId="0" borderId="0" xfId="0" applyNumberFormat="1" applyFont="1"/>
    <xf numFmtId="0" fontId="89" fillId="0" borderId="0" xfId="0" applyFont="1"/>
    <xf numFmtId="0" fontId="89" fillId="0" borderId="0" xfId="0" applyFont="1" applyAlignment="1">
      <alignment horizontal="left" indent="1"/>
    </xf>
    <xf numFmtId="175" fontId="89" fillId="0" borderId="0" xfId="56" applyNumberFormat="1" applyFont="1" applyFill="1"/>
    <xf numFmtId="169" fontId="90" fillId="0" borderId="0" xfId="0" applyNumberFormat="1" applyFont="1"/>
    <xf numFmtId="176" fontId="76" fillId="0" borderId="0" xfId="0" applyNumberFormat="1" applyFont="1"/>
    <xf numFmtId="0" fontId="75" fillId="14" borderId="0" xfId="120" applyFont="1" applyFill="1"/>
    <xf numFmtId="0" fontId="75" fillId="13" borderId="6" xfId="119" applyFont="1" applyFill="1" applyBorder="1" applyAlignment="1">
      <alignment horizontal="right" vertical="center" wrapText="1"/>
    </xf>
    <xf numFmtId="37" fontId="76" fillId="0" borderId="0" xfId="168" applyNumberFormat="1" applyFont="1" applyFill="1"/>
    <xf numFmtId="17" fontId="75" fillId="13" borderId="6" xfId="119" applyNumberFormat="1" applyFont="1" applyFill="1" applyBorder="1" applyAlignment="1">
      <alignment horizontal="right" vertical="center" wrapText="1"/>
    </xf>
    <xf numFmtId="175" fontId="91" fillId="8" borderId="0" xfId="56" applyNumberFormat="1" applyFont="1" applyFill="1" applyBorder="1" applyAlignment="1">
      <alignment horizontal="right" vertical="center"/>
    </xf>
    <xf numFmtId="175" fontId="2" fillId="0" borderId="0" xfId="56" applyNumberFormat="1" applyFont="1" applyAlignment="1">
      <alignment horizontal="right" vertical="center"/>
    </xf>
    <xf numFmtId="0" fontId="76" fillId="14" borderId="0" xfId="120" applyFont="1" applyFill="1" applyAlignment="1">
      <alignment horizontal="right" vertical="center"/>
    </xf>
    <xf numFmtId="175" fontId="76" fillId="14" borderId="0" xfId="56" applyNumberFormat="1" applyFont="1" applyFill="1" applyAlignment="1">
      <alignment horizontal="right" vertical="center"/>
    </xf>
    <xf numFmtId="175" fontId="75" fillId="14" borderId="0" xfId="120" applyNumberFormat="1" applyFont="1" applyFill="1" applyAlignment="1">
      <alignment horizontal="right" vertical="center"/>
    </xf>
    <xf numFmtId="3" fontId="75" fillId="14" borderId="6" xfId="120" applyNumberFormat="1" applyFont="1" applyFill="1" applyBorder="1" applyAlignment="1">
      <alignment horizontal="right" vertical="center"/>
    </xf>
    <xf numFmtId="165" fontId="76" fillId="14" borderId="0" xfId="120" applyNumberFormat="1" applyFont="1" applyFill="1" applyAlignment="1">
      <alignment horizontal="right" vertical="center"/>
    </xf>
    <xf numFmtId="165" fontId="75" fillId="14" borderId="6" xfId="120" applyNumberFormat="1" applyFont="1" applyFill="1" applyBorder="1" applyAlignment="1">
      <alignment horizontal="right" vertical="center"/>
    </xf>
    <xf numFmtId="3" fontId="76" fillId="14" borderId="0" xfId="120" applyNumberFormat="1" applyFont="1" applyFill="1" applyAlignment="1">
      <alignment horizontal="right" vertical="center"/>
    </xf>
    <xf numFmtId="0" fontId="76" fillId="0" borderId="0" xfId="119" applyFont="1" applyAlignment="1">
      <alignment horizontal="right" vertical="center"/>
    </xf>
    <xf numFmtId="3" fontId="76" fillId="0" borderId="0" xfId="119" applyNumberFormat="1" applyFont="1" applyAlignment="1">
      <alignment horizontal="right" vertical="center"/>
    </xf>
    <xf numFmtId="176" fontId="75" fillId="14" borderId="6" xfId="12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75" fontId="76" fillId="0" borderId="0" xfId="56" applyNumberFormat="1" applyFont="1" applyAlignment="1">
      <alignment horizontal="right" vertical="center"/>
    </xf>
    <xf numFmtId="175" fontId="89" fillId="0" borderId="0" xfId="56" applyNumberFormat="1" applyFont="1" applyFill="1" applyAlignment="1">
      <alignment horizontal="right" vertical="center"/>
    </xf>
    <xf numFmtId="0" fontId="76" fillId="0" borderId="11" xfId="0" applyFont="1" applyBorder="1"/>
    <xf numFmtId="175" fontId="76" fillId="0" borderId="12" xfId="56" applyNumberFormat="1" applyFont="1" applyBorder="1" applyAlignment="1">
      <alignment horizontal="right" vertical="center"/>
    </xf>
    <xf numFmtId="0" fontId="2" fillId="0" borderId="18" xfId="0" applyFont="1" applyBorder="1"/>
    <xf numFmtId="0" fontId="2" fillId="0" borderId="19" xfId="0" applyFont="1" applyBorder="1"/>
    <xf numFmtId="37" fontId="90" fillId="0" borderId="0" xfId="168" applyNumberFormat="1" applyFont="1" applyFill="1"/>
    <xf numFmtId="0" fontId="75" fillId="0" borderId="6" xfId="119" applyFont="1" applyBorder="1"/>
    <xf numFmtId="172" fontId="76" fillId="0" borderId="0" xfId="168" applyNumberFormat="1" applyFont="1" applyFill="1" applyAlignment="1">
      <alignment horizontal="right"/>
    </xf>
    <xf numFmtId="172" fontId="92" fillId="13" borderId="0" xfId="168" applyNumberFormat="1" applyFont="1" applyFill="1"/>
    <xf numFmtId="173" fontId="76" fillId="16" borderId="0" xfId="0" applyNumberFormat="1" applyFont="1" applyFill="1"/>
    <xf numFmtId="169" fontId="84" fillId="16" borderId="0" xfId="0" applyNumberFormat="1" applyFont="1" applyFill="1"/>
    <xf numFmtId="169" fontId="80" fillId="1" borderId="0" xfId="0" applyNumberFormat="1" applyFont="1" applyFill="1"/>
    <xf numFmtId="172" fontId="81" fillId="17" borderId="0" xfId="168" applyNumberFormat="1" applyFont="1" applyFill="1"/>
    <xf numFmtId="174" fontId="90" fillId="0" borderId="0" xfId="56" applyNumberFormat="1" applyFont="1" applyFill="1" applyBorder="1"/>
    <xf numFmtId="175" fontId="76" fillId="0" borderId="0" xfId="56" applyNumberFormat="1" applyFont="1" applyFill="1"/>
    <xf numFmtId="166" fontId="90" fillId="0" borderId="0" xfId="56" applyFont="1" applyFill="1"/>
    <xf numFmtId="0" fontId="17" fillId="0" borderId="0" xfId="119" applyFont="1"/>
    <xf numFmtId="0" fontId="17" fillId="0" borderId="0" xfId="119" applyFont="1" applyAlignment="1">
      <alignment horizontal="right"/>
    </xf>
    <xf numFmtId="0" fontId="4" fillId="0" borderId="0" xfId="119"/>
    <xf numFmtId="0" fontId="4" fillId="0" borderId="0" xfId="119" applyAlignment="1">
      <alignment horizontal="right"/>
    </xf>
    <xf numFmtId="39" fontId="4" fillId="11" borderId="20" xfId="154" applyNumberFormat="1" applyFill="1" applyBorder="1" applyAlignment="1">
      <alignment horizontal="center"/>
    </xf>
    <xf numFmtId="39" fontId="4" fillId="0" borderId="20" xfId="154" applyNumberFormat="1" applyBorder="1" applyAlignment="1">
      <alignment horizontal="center"/>
    </xf>
    <xf numFmtId="39" fontId="4" fillId="11" borderId="20" xfId="134" applyNumberFormat="1" applyFill="1" applyBorder="1" applyAlignment="1">
      <alignment horizontal="center"/>
    </xf>
    <xf numFmtId="39" fontId="4" fillId="0" borderId="20" xfId="134" applyNumberFormat="1" applyBorder="1" applyAlignment="1">
      <alignment horizontal="center"/>
    </xf>
    <xf numFmtId="39" fontId="4" fillId="0" borderId="21" xfId="134" applyNumberFormat="1" applyBorder="1" applyAlignment="1">
      <alignment horizontal="center"/>
    </xf>
    <xf numFmtId="39" fontId="4" fillId="11" borderId="22" xfId="134" applyNumberFormat="1" applyFill="1" applyBorder="1" applyAlignment="1">
      <alignment horizontal="center"/>
    </xf>
    <xf numFmtId="39" fontId="4" fillId="11" borderId="22" xfId="127" applyNumberFormat="1" applyFill="1" applyBorder="1" applyAlignment="1">
      <alignment horizontal="center"/>
    </xf>
    <xf numFmtId="39" fontId="4" fillId="0" borderId="22" xfId="127" applyNumberFormat="1" applyBorder="1" applyAlignment="1">
      <alignment horizontal="center"/>
    </xf>
    <xf numFmtId="39" fontId="4" fillId="11" borderId="23" xfId="127" applyNumberFormat="1" applyFill="1" applyBorder="1" applyAlignment="1">
      <alignment horizontal="center"/>
    </xf>
    <xf numFmtId="37" fontId="4" fillId="0" borderId="23" xfId="127" applyNumberFormat="1" applyBorder="1" applyAlignment="1">
      <alignment horizontal="center"/>
    </xf>
    <xf numFmtId="169" fontId="4" fillId="11" borderId="24" xfId="154" applyNumberFormat="1" applyFill="1" applyBorder="1" applyAlignment="1">
      <alignment horizontal="center"/>
    </xf>
    <xf numFmtId="169" fontId="4" fillId="0" borderId="24" xfId="154" applyNumberFormat="1" applyBorder="1" applyAlignment="1">
      <alignment horizontal="center"/>
    </xf>
    <xf numFmtId="37" fontId="4" fillId="11" borderId="24" xfId="134" applyNumberFormat="1" applyFill="1" applyBorder="1" applyAlignment="1">
      <alignment horizontal="center"/>
    </xf>
    <xf numFmtId="37" fontId="4" fillId="0" borderId="24" xfId="134" applyNumberFormat="1" applyBorder="1" applyAlignment="1">
      <alignment horizontal="center"/>
    </xf>
    <xf numFmtId="37" fontId="4" fillId="0" borderId="25" xfId="134" applyNumberFormat="1" applyBorder="1" applyAlignment="1">
      <alignment horizontal="center"/>
    </xf>
    <xf numFmtId="37" fontId="4" fillId="11" borderId="0" xfId="134" applyNumberFormat="1" applyFill="1" applyAlignment="1">
      <alignment horizontal="center"/>
    </xf>
    <xf numFmtId="37" fontId="4" fillId="11" borderId="0" xfId="127" applyNumberFormat="1" applyFill="1" applyAlignment="1">
      <alignment horizontal="center"/>
    </xf>
    <xf numFmtId="37" fontId="4" fillId="0" borderId="0" xfId="127" applyNumberFormat="1" applyAlignment="1">
      <alignment horizontal="center"/>
    </xf>
    <xf numFmtId="37" fontId="4" fillId="11" borderId="26" xfId="127" applyNumberFormat="1" applyFill="1" applyBorder="1" applyAlignment="1">
      <alignment horizontal="center"/>
    </xf>
    <xf numFmtId="37" fontId="4" fillId="0" borderId="26" xfId="127" applyNumberFormat="1" applyBorder="1" applyAlignment="1">
      <alignment horizontal="center"/>
    </xf>
    <xf numFmtId="169" fontId="4" fillId="11" borderId="24" xfId="134" applyNumberFormat="1" applyFill="1" applyBorder="1" applyAlignment="1">
      <alignment horizontal="center"/>
    </xf>
    <xf numFmtId="169" fontId="4" fillId="0" borderId="24" xfId="134" applyNumberFormat="1" applyBorder="1" applyAlignment="1">
      <alignment horizontal="center"/>
    </xf>
    <xf numFmtId="169" fontId="4" fillId="0" borderId="25" xfId="134" applyNumberFormat="1" applyBorder="1" applyAlignment="1">
      <alignment horizontal="center"/>
    </xf>
    <xf numFmtId="169" fontId="4" fillId="11" borderId="0" xfId="134" applyNumberFormat="1" applyFill="1" applyAlignment="1">
      <alignment horizontal="center"/>
    </xf>
    <xf numFmtId="169" fontId="4" fillId="11" borderId="0" xfId="127" applyNumberFormat="1" applyFill="1" applyAlignment="1">
      <alignment horizontal="center"/>
    </xf>
    <xf numFmtId="169" fontId="4" fillId="0" borderId="0" xfId="127" applyNumberFormat="1" applyAlignment="1">
      <alignment horizontal="center"/>
    </xf>
    <xf numFmtId="169" fontId="4" fillId="11" borderId="26" xfId="127" applyNumberFormat="1" applyFill="1" applyBorder="1" applyAlignment="1">
      <alignment horizontal="center"/>
    </xf>
    <xf numFmtId="37" fontId="4" fillId="11" borderId="24" xfId="154" applyNumberFormat="1" applyFill="1" applyBorder="1" applyAlignment="1">
      <alignment horizontal="center"/>
    </xf>
    <xf numFmtId="37" fontId="4" fillId="0" borderId="24" xfId="154" applyNumberFormat="1" applyBorder="1" applyAlignment="1">
      <alignment horizontal="center"/>
    </xf>
    <xf numFmtId="172" fontId="21" fillId="11" borderId="24" xfId="185" applyNumberFormat="1" applyFont="1" applyFill="1" applyBorder="1" applyAlignment="1">
      <alignment horizontal="center"/>
    </xf>
    <xf numFmtId="172" fontId="21" fillId="0" borderId="24" xfId="185" applyNumberFormat="1" applyFont="1" applyFill="1" applyBorder="1" applyAlignment="1">
      <alignment horizontal="center"/>
    </xf>
    <xf numFmtId="172" fontId="21" fillId="0" borderId="25" xfId="185" applyNumberFormat="1" applyFont="1" applyFill="1" applyBorder="1" applyAlignment="1">
      <alignment horizontal="center"/>
    </xf>
    <xf numFmtId="172" fontId="21" fillId="11" borderId="0" xfId="185" applyNumberFormat="1" applyFont="1" applyFill="1" applyBorder="1" applyAlignment="1">
      <alignment horizontal="center"/>
    </xf>
    <xf numFmtId="172" fontId="21" fillId="0" borderId="0" xfId="185" applyNumberFormat="1" applyFont="1" applyFill="1" applyBorder="1" applyAlignment="1">
      <alignment horizontal="center"/>
    </xf>
    <xf numFmtId="172" fontId="21" fillId="11" borderId="26" xfId="185" applyNumberFormat="1" applyFont="1" applyFill="1" applyBorder="1" applyAlignment="1">
      <alignment horizontal="center"/>
    </xf>
    <xf numFmtId="172" fontId="21" fillId="0" borderId="26" xfId="185" applyNumberFormat="1" applyFont="1" applyFill="1" applyBorder="1" applyAlignment="1">
      <alignment horizontal="center"/>
    </xf>
    <xf numFmtId="172" fontId="4" fillId="11" borderId="24" xfId="185" applyNumberFormat="1" applyFont="1" applyFill="1" applyBorder="1" applyAlignment="1">
      <alignment horizontal="center"/>
    </xf>
    <xf numFmtId="172" fontId="4" fillId="0" borderId="24" xfId="185" applyNumberFormat="1" applyFont="1" applyFill="1" applyBorder="1" applyAlignment="1">
      <alignment horizontal="center"/>
    </xf>
    <xf numFmtId="172" fontId="4" fillId="0" borderId="25" xfId="185" applyNumberFormat="1" applyFont="1" applyFill="1" applyBorder="1" applyAlignment="1">
      <alignment horizontal="center"/>
    </xf>
    <xf numFmtId="172" fontId="4" fillId="11" borderId="0" xfId="185" applyNumberFormat="1" applyFont="1" applyFill="1" applyBorder="1" applyAlignment="1">
      <alignment horizontal="center"/>
    </xf>
    <xf numFmtId="172" fontId="4" fillId="0" borderId="0" xfId="185" applyNumberFormat="1" applyFont="1" applyFill="1" applyBorder="1" applyAlignment="1">
      <alignment horizontal="center"/>
    </xf>
    <xf numFmtId="172" fontId="4" fillId="11" borderId="26" xfId="185" applyNumberFormat="1" applyFont="1" applyFill="1" applyBorder="1" applyAlignment="1">
      <alignment horizontal="center"/>
    </xf>
    <xf numFmtId="172" fontId="4" fillId="0" borderId="26" xfId="185" applyNumberFormat="1" applyFont="1" applyFill="1" applyBorder="1" applyAlignment="1">
      <alignment horizontal="center"/>
    </xf>
    <xf numFmtId="169" fontId="4" fillId="0" borderId="26" xfId="127" applyNumberFormat="1" applyBorder="1" applyAlignment="1">
      <alignment horizontal="center"/>
    </xf>
    <xf numFmtId="172" fontId="4" fillId="11" borderId="24" xfId="185" applyNumberFormat="1" applyFont="1" applyFill="1" applyBorder="1" applyAlignment="1">
      <alignment horizontal="center" vertical="center"/>
    </xf>
    <xf numFmtId="172" fontId="4" fillId="0" borderId="24" xfId="185" applyNumberFormat="1" applyFont="1" applyFill="1" applyBorder="1" applyAlignment="1">
      <alignment horizontal="center" vertical="center"/>
    </xf>
    <xf numFmtId="172" fontId="4" fillId="0" borderId="25" xfId="185" applyNumberFormat="1" applyFont="1" applyFill="1" applyBorder="1" applyAlignment="1">
      <alignment horizontal="center" vertical="center"/>
    </xf>
    <xf numFmtId="172" fontId="4" fillId="11" borderId="0" xfId="185" applyNumberFormat="1" applyFont="1" applyFill="1" applyBorder="1" applyAlignment="1">
      <alignment horizontal="center" vertical="center"/>
    </xf>
    <xf numFmtId="172" fontId="4" fillId="0" borderId="0" xfId="185" applyNumberFormat="1" applyFont="1" applyFill="1" applyBorder="1" applyAlignment="1">
      <alignment horizontal="center" vertical="center"/>
    </xf>
    <xf numFmtId="172" fontId="4" fillId="11" borderId="26" xfId="185" applyNumberFormat="1" applyFont="1" applyFill="1" applyBorder="1" applyAlignment="1">
      <alignment horizontal="center" vertical="center"/>
    </xf>
    <xf numFmtId="172" fontId="4" fillId="0" borderId="26" xfId="185" applyNumberFormat="1" applyFont="1" applyFill="1" applyBorder="1" applyAlignment="1">
      <alignment horizontal="center" vertical="center"/>
    </xf>
    <xf numFmtId="39" fontId="4" fillId="11" borderId="24" xfId="154" applyNumberFormat="1" applyFill="1" applyBorder="1" applyAlignment="1">
      <alignment horizontal="center" vertical="center"/>
    </xf>
    <xf numFmtId="39" fontId="4" fillId="0" borderId="24" xfId="154" applyNumberFormat="1" applyBorder="1" applyAlignment="1">
      <alignment horizontal="center" vertical="center"/>
    </xf>
    <xf numFmtId="39" fontId="4" fillId="11" borderId="24" xfId="134" applyNumberFormat="1" applyFill="1" applyBorder="1" applyAlignment="1">
      <alignment horizontal="center" vertical="center"/>
    </xf>
    <xf numFmtId="39" fontId="4" fillId="0" borderId="24" xfId="134" applyNumberFormat="1" applyBorder="1" applyAlignment="1">
      <alignment horizontal="center" vertical="center"/>
    </xf>
    <xf numFmtId="39" fontId="4" fillId="0" borderId="25" xfId="134" applyNumberFormat="1" applyBorder="1" applyAlignment="1">
      <alignment horizontal="center" vertical="center"/>
    </xf>
    <xf numFmtId="39" fontId="4" fillId="11" borderId="0" xfId="134" applyNumberFormat="1" applyFill="1" applyAlignment="1">
      <alignment horizontal="center" vertical="center"/>
    </xf>
    <xf numFmtId="39" fontId="4" fillId="11" borderId="0" xfId="127" applyNumberFormat="1" applyFill="1" applyAlignment="1">
      <alignment horizontal="center" vertical="center"/>
    </xf>
    <xf numFmtId="39" fontId="4" fillId="0" borderId="0" xfId="127" applyNumberFormat="1" applyAlignment="1">
      <alignment horizontal="center" vertical="center"/>
    </xf>
    <xf numFmtId="39" fontId="4" fillId="11" borderId="26" xfId="127" applyNumberFormat="1" applyFill="1" applyBorder="1" applyAlignment="1">
      <alignment horizontal="center" vertical="center"/>
    </xf>
    <xf numFmtId="39" fontId="4" fillId="0" borderId="26" xfId="127" applyNumberFormat="1" applyBorder="1" applyAlignment="1">
      <alignment horizontal="center" vertical="center"/>
    </xf>
    <xf numFmtId="37" fontId="4" fillId="11" borderId="24" xfId="154" applyNumberFormat="1" applyFill="1" applyBorder="1" applyAlignment="1">
      <alignment horizontal="center" vertical="center"/>
    </xf>
    <xf numFmtId="37" fontId="4" fillId="0" borderId="24" xfId="154" applyNumberFormat="1" applyBorder="1" applyAlignment="1">
      <alignment horizontal="center" vertical="center"/>
    </xf>
    <xf numFmtId="37" fontId="4" fillId="11" borderId="24" xfId="134" applyNumberFormat="1" applyFill="1" applyBorder="1" applyAlignment="1">
      <alignment horizontal="center" vertical="center"/>
    </xf>
    <xf numFmtId="37" fontId="4" fillId="0" borderId="24" xfId="134" applyNumberFormat="1" applyBorder="1" applyAlignment="1">
      <alignment horizontal="center" vertical="center"/>
    </xf>
    <xf numFmtId="37" fontId="4" fillId="0" borderId="25" xfId="134" applyNumberFormat="1" applyBorder="1" applyAlignment="1">
      <alignment horizontal="center" vertical="center"/>
    </xf>
    <xf numFmtId="37" fontId="4" fillId="11" borderId="0" xfId="134" applyNumberFormat="1" applyFill="1" applyAlignment="1">
      <alignment horizontal="center" vertical="center"/>
    </xf>
    <xf numFmtId="37" fontId="4" fillId="11" borderId="0" xfId="127" applyNumberFormat="1" applyFill="1" applyAlignment="1">
      <alignment horizontal="center" vertical="center"/>
    </xf>
    <xf numFmtId="37" fontId="4" fillId="0" borderId="0" xfId="127" applyNumberFormat="1" applyAlignment="1">
      <alignment horizontal="center" vertical="center"/>
    </xf>
    <xf numFmtId="37" fontId="4" fillId="11" borderId="26" xfId="127" applyNumberFormat="1" applyFill="1" applyBorder="1" applyAlignment="1">
      <alignment horizontal="center" vertical="center"/>
    </xf>
    <xf numFmtId="37" fontId="4" fillId="0" borderId="26" xfId="127" applyNumberFormat="1" applyBorder="1" applyAlignment="1">
      <alignment horizontal="center" vertical="center"/>
    </xf>
    <xf numFmtId="169" fontId="4" fillId="11" borderId="24" xfId="154" applyNumberFormat="1" applyFill="1" applyBorder="1" applyAlignment="1">
      <alignment horizontal="center" vertical="center"/>
    </xf>
    <xf numFmtId="169" fontId="4" fillId="0" borderId="24" xfId="154" applyNumberFormat="1" applyBorder="1" applyAlignment="1">
      <alignment horizontal="center" vertical="center"/>
    </xf>
    <xf numFmtId="169" fontId="4" fillId="11" borderId="24" xfId="134" applyNumberFormat="1" applyFill="1" applyBorder="1" applyAlignment="1">
      <alignment horizontal="center" vertical="center"/>
    </xf>
    <xf numFmtId="169" fontId="4" fillId="0" borderId="24" xfId="134" applyNumberFormat="1" applyBorder="1" applyAlignment="1">
      <alignment horizontal="center" vertical="center"/>
    </xf>
    <xf numFmtId="169" fontId="4" fillId="0" borderId="25" xfId="134" applyNumberFormat="1" applyBorder="1" applyAlignment="1">
      <alignment horizontal="center" vertical="center"/>
    </xf>
    <xf numFmtId="169" fontId="4" fillId="11" borderId="0" xfId="134" applyNumberFormat="1" applyFill="1" applyAlignment="1">
      <alignment horizontal="center" vertical="center"/>
    </xf>
    <xf numFmtId="169" fontId="4" fillId="11" borderId="0" xfId="127" applyNumberFormat="1" applyFill="1" applyAlignment="1">
      <alignment horizontal="center" vertical="center"/>
    </xf>
    <xf numFmtId="169" fontId="4" fillId="0" borderId="0" xfId="127" applyNumberFormat="1" applyAlignment="1">
      <alignment horizontal="center" vertical="center"/>
    </xf>
    <xf numFmtId="169" fontId="4" fillId="11" borderId="26" xfId="127" applyNumberFormat="1" applyFill="1" applyBorder="1" applyAlignment="1">
      <alignment horizontal="center" vertical="center"/>
    </xf>
    <xf numFmtId="169" fontId="4" fillId="0" borderId="26" xfId="127" applyNumberFormat="1" applyBorder="1" applyAlignment="1">
      <alignment horizontal="center" vertical="center"/>
    </xf>
    <xf numFmtId="173" fontId="4" fillId="11" borderId="24" xfId="154" applyNumberFormat="1" applyFill="1" applyBorder="1" applyAlignment="1">
      <alignment horizontal="center" vertical="center"/>
    </xf>
    <xf numFmtId="173" fontId="4" fillId="0" borderId="24" xfId="154" applyNumberFormat="1" applyBorder="1" applyAlignment="1">
      <alignment horizontal="center" vertical="center"/>
    </xf>
    <xf numFmtId="173" fontId="4" fillId="11" borderId="24" xfId="134" applyNumberFormat="1" applyFill="1" applyBorder="1" applyAlignment="1">
      <alignment horizontal="center" vertical="center"/>
    </xf>
    <xf numFmtId="173" fontId="4" fillId="0" borderId="24" xfId="134" applyNumberFormat="1" applyBorder="1" applyAlignment="1">
      <alignment horizontal="center" vertical="center"/>
    </xf>
    <xf numFmtId="173" fontId="4" fillId="0" borderId="25" xfId="134" applyNumberFormat="1" applyBorder="1" applyAlignment="1">
      <alignment horizontal="center" vertical="center"/>
    </xf>
    <xf numFmtId="173" fontId="4" fillId="11" borderId="0" xfId="134" applyNumberFormat="1" applyFill="1" applyAlignment="1">
      <alignment horizontal="center" vertical="center"/>
    </xf>
    <xf numFmtId="173" fontId="4" fillId="11" borderId="0" xfId="127" applyNumberFormat="1" applyFill="1" applyAlignment="1">
      <alignment horizontal="center" vertical="center"/>
    </xf>
    <xf numFmtId="173" fontId="4" fillId="0" borderId="0" xfId="127" applyNumberFormat="1" applyAlignment="1">
      <alignment horizontal="center" vertical="center"/>
    </xf>
    <xf numFmtId="173" fontId="4" fillId="11" borderId="26" xfId="127" applyNumberFormat="1" applyFill="1" applyBorder="1" applyAlignment="1">
      <alignment horizontal="center" vertical="center"/>
    </xf>
    <xf numFmtId="173" fontId="4" fillId="0" borderId="26" xfId="127" applyNumberFormat="1" applyBorder="1" applyAlignment="1">
      <alignment horizontal="center" vertical="center"/>
    </xf>
    <xf numFmtId="1" fontId="4" fillId="11" borderId="24" xfId="154" applyNumberFormat="1" applyFill="1" applyBorder="1" applyAlignment="1">
      <alignment horizontal="center" vertical="center"/>
    </xf>
    <xf numFmtId="1" fontId="4" fillId="0" borderId="24" xfId="154" applyNumberFormat="1" applyBorder="1" applyAlignment="1">
      <alignment horizontal="center" vertical="center"/>
    </xf>
    <xf numFmtId="1" fontId="4" fillId="11" borderId="24" xfId="134" applyNumberFormat="1" applyFill="1" applyBorder="1" applyAlignment="1">
      <alignment horizontal="center" vertical="center"/>
    </xf>
    <xf numFmtId="1" fontId="4" fillId="0" borderId="24" xfId="134" applyNumberFormat="1" applyBorder="1" applyAlignment="1">
      <alignment horizontal="center" vertical="center"/>
    </xf>
    <xf numFmtId="1" fontId="4" fillId="0" borderId="25" xfId="134" applyNumberFormat="1" applyBorder="1" applyAlignment="1">
      <alignment horizontal="center" vertical="center"/>
    </xf>
    <xf numFmtId="1" fontId="4" fillId="11" borderId="0" xfId="134" applyNumberFormat="1" applyFill="1" applyAlignment="1">
      <alignment horizontal="center" vertical="center"/>
    </xf>
    <xf numFmtId="1" fontId="4" fillId="11" borderId="0" xfId="127" applyNumberFormat="1" applyFill="1" applyAlignment="1">
      <alignment horizontal="center" vertical="center"/>
    </xf>
    <xf numFmtId="1" fontId="4" fillId="0" borderId="0" xfId="127" applyNumberFormat="1" applyAlignment="1">
      <alignment horizontal="center" vertical="center"/>
    </xf>
    <xf numFmtId="1" fontId="4" fillId="11" borderId="26" xfId="127" applyNumberFormat="1" applyFill="1" applyBorder="1" applyAlignment="1">
      <alignment horizontal="center" vertical="center"/>
    </xf>
    <xf numFmtId="1" fontId="4" fillId="0" borderId="26" xfId="127" applyNumberFormat="1" applyBorder="1" applyAlignment="1">
      <alignment horizontal="center" vertical="center"/>
    </xf>
    <xf numFmtId="2" fontId="4" fillId="11" borderId="24" xfId="154" applyNumberFormat="1" applyFill="1" applyBorder="1" applyAlignment="1">
      <alignment horizontal="center"/>
    </xf>
    <xf numFmtId="2" fontId="4" fillId="0" borderId="24" xfId="154" applyNumberFormat="1" applyBorder="1" applyAlignment="1">
      <alignment horizontal="center"/>
    </xf>
    <xf numFmtId="2" fontId="4" fillId="11" borderId="24" xfId="134" applyNumberFormat="1" applyFill="1" applyBorder="1" applyAlignment="1">
      <alignment horizontal="center"/>
    </xf>
    <xf numFmtId="2" fontId="4" fillId="0" borderId="24" xfId="134" applyNumberFormat="1" applyBorder="1" applyAlignment="1">
      <alignment horizontal="center"/>
    </xf>
    <xf numFmtId="2" fontId="4" fillId="0" borderId="25" xfId="134" applyNumberFormat="1" applyBorder="1" applyAlignment="1">
      <alignment horizontal="center"/>
    </xf>
    <xf numFmtId="2" fontId="4" fillId="11" borderId="0" xfId="134" applyNumberFormat="1" applyFill="1" applyAlignment="1">
      <alignment horizontal="center"/>
    </xf>
    <xf numFmtId="2" fontId="4" fillId="11" borderId="0" xfId="127" applyNumberFormat="1" applyFill="1" applyAlignment="1">
      <alignment horizontal="center"/>
    </xf>
    <xf numFmtId="2" fontId="4" fillId="0" borderId="0" xfId="127" applyNumberFormat="1" applyAlignment="1">
      <alignment horizontal="center"/>
    </xf>
    <xf numFmtId="2" fontId="4" fillId="11" borderId="26" xfId="127" applyNumberFormat="1" applyFill="1" applyBorder="1" applyAlignment="1">
      <alignment horizontal="center"/>
    </xf>
    <xf numFmtId="2" fontId="4" fillId="0" borderId="26" xfId="127" applyNumberFormat="1" applyBorder="1" applyAlignment="1">
      <alignment horizontal="center"/>
    </xf>
    <xf numFmtId="172" fontId="4" fillId="11" borderId="24" xfId="154" applyNumberFormat="1" applyFill="1" applyBorder="1" applyAlignment="1">
      <alignment horizontal="center" vertical="center"/>
    </xf>
    <xf numFmtId="172" fontId="4" fillId="0" borderId="24" xfId="154" applyNumberFormat="1" applyBorder="1" applyAlignment="1">
      <alignment horizontal="center" vertical="center"/>
    </xf>
    <xf numFmtId="172" fontId="4" fillId="11" borderId="24" xfId="134" applyNumberFormat="1" applyFill="1" applyBorder="1" applyAlignment="1">
      <alignment horizontal="center" vertical="center"/>
    </xf>
    <xf numFmtId="172" fontId="4" fillId="0" borderId="24" xfId="134" applyNumberFormat="1" applyBorder="1" applyAlignment="1">
      <alignment horizontal="center" vertical="center"/>
    </xf>
    <xf numFmtId="172" fontId="4" fillId="0" borderId="25" xfId="134" applyNumberFormat="1" applyBorder="1" applyAlignment="1">
      <alignment horizontal="center" vertical="center"/>
    </xf>
    <xf numFmtId="172" fontId="4" fillId="11" borderId="0" xfId="134" applyNumberFormat="1" applyFill="1" applyAlignment="1">
      <alignment horizontal="center" vertical="center"/>
    </xf>
    <xf numFmtId="172" fontId="4" fillId="11" borderId="0" xfId="127" applyNumberFormat="1" applyFill="1" applyAlignment="1">
      <alignment horizontal="center" vertical="center"/>
    </xf>
    <xf numFmtId="172" fontId="4" fillId="0" borderId="0" xfId="127" applyNumberFormat="1" applyAlignment="1">
      <alignment horizontal="center" vertical="center"/>
    </xf>
    <xf numFmtId="172" fontId="4" fillId="11" borderId="26" xfId="127" applyNumberFormat="1" applyFill="1" applyBorder="1" applyAlignment="1">
      <alignment horizontal="center" vertical="center"/>
    </xf>
    <xf numFmtId="172" fontId="4" fillId="0" borderId="26" xfId="127" applyNumberFormat="1" applyBorder="1" applyAlignment="1">
      <alignment horizontal="center" vertical="center"/>
    </xf>
    <xf numFmtId="172" fontId="4" fillId="11" borderId="24" xfId="174" applyNumberFormat="1" applyFont="1" applyFill="1" applyBorder="1" applyAlignment="1">
      <alignment horizontal="center"/>
    </xf>
    <xf numFmtId="172" fontId="4" fillId="0" borderId="24" xfId="174" applyNumberFormat="1" applyFont="1" applyFill="1" applyBorder="1" applyAlignment="1">
      <alignment horizontal="center"/>
    </xf>
    <xf numFmtId="172" fontId="4" fillId="11" borderId="24" xfId="169" applyNumberFormat="1" applyFont="1" applyFill="1" applyBorder="1" applyAlignment="1">
      <alignment horizontal="center"/>
    </xf>
    <xf numFmtId="172" fontId="4" fillId="0" borderId="24" xfId="169" applyNumberFormat="1" applyFont="1" applyFill="1" applyBorder="1" applyAlignment="1">
      <alignment horizontal="center"/>
    </xf>
    <xf numFmtId="172" fontId="4" fillId="0" borderId="25" xfId="169" applyNumberFormat="1" applyFont="1" applyFill="1" applyBorder="1" applyAlignment="1">
      <alignment horizontal="center"/>
    </xf>
    <xf numFmtId="172" fontId="4" fillId="11" borderId="0" xfId="169" applyNumberFormat="1" applyFont="1" applyFill="1" applyBorder="1" applyAlignment="1">
      <alignment horizontal="center"/>
    </xf>
    <xf numFmtId="172" fontId="4" fillId="11" borderId="0" xfId="190" applyNumberFormat="1" applyFont="1" applyFill="1" applyBorder="1" applyAlignment="1">
      <alignment horizontal="center"/>
    </xf>
    <xf numFmtId="172" fontId="4" fillId="0" borderId="0" xfId="190" applyNumberFormat="1" applyFont="1" applyFill="1" applyBorder="1" applyAlignment="1">
      <alignment horizontal="center"/>
    </xf>
    <xf numFmtId="172" fontId="4" fillId="11" borderId="26" xfId="190" applyNumberFormat="1" applyFont="1" applyFill="1" applyBorder="1" applyAlignment="1">
      <alignment horizontal="center"/>
    </xf>
    <xf numFmtId="172" fontId="4" fillId="0" borderId="26" xfId="190" applyNumberFormat="1" applyFont="1" applyFill="1" applyBorder="1" applyAlignment="1">
      <alignment horizontal="center"/>
    </xf>
    <xf numFmtId="37" fontId="22" fillId="11" borderId="24" xfId="58" applyNumberFormat="1" applyFont="1" applyFill="1" applyBorder="1" applyAlignment="1">
      <alignment horizontal="center"/>
    </xf>
    <xf numFmtId="37" fontId="22" fillId="0" borderId="24" xfId="58" applyNumberFormat="1" applyFont="1" applyFill="1" applyBorder="1" applyAlignment="1">
      <alignment horizontal="center"/>
    </xf>
    <xf numFmtId="37" fontId="22" fillId="11" borderId="24" xfId="57" applyNumberFormat="1" applyFont="1" applyFill="1" applyBorder="1" applyAlignment="1">
      <alignment horizontal="center"/>
    </xf>
    <xf numFmtId="37" fontId="22" fillId="0" borderId="24" xfId="57" applyNumberFormat="1" applyFont="1" applyFill="1" applyBorder="1" applyAlignment="1">
      <alignment horizontal="center"/>
    </xf>
    <xf numFmtId="37" fontId="22" fillId="0" borderId="25" xfId="57" applyNumberFormat="1" applyFont="1" applyFill="1" applyBorder="1" applyAlignment="1">
      <alignment horizontal="center"/>
    </xf>
    <xf numFmtId="37" fontId="22" fillId="11" borderId="0" xfId="57" applyNumberFormat="1" applyFont="1" applyFill="1" applyBorder="1" applyAlignment="1">
      <alignment horizontal="center"/>
    </xf>
    <xf numFmtId="37" fontId="22" fillId="11" borderId="0" xfId="68" applyNumberFormat="1" applyFont="1" applyFill="1" applyBorder="1" applyAlignment="1">
      <alignment horizontal="center"/>
    </xf>
    <xf numFmtId="37" fontId="22" fillId="0" borderId="0" xfId="68" applyNumberFormat="1" applyFont="1" applyFill="1" applyBorder="1" applyAlignment="1">
      <alignment horizontal="center"/>
    </xf>
    <xf numFmtId="37" fontId="22" fillId="11" borderId="26" xfId="68" applyNumberFormat="1" applyFont="1" applyFill="1" applyBorder="1" applyAlignment="1">
      <alignment horizontal="center"/>
    </xf>
    <xf numFmtId="37" fontId="22" fillId="0" borderId="26" xfId="68" applyNumberFormat="1" applyFont="1" applyFill="1" applyBorder="1" applyAlignment="1">
      <alignment horizontal="center"/>
    </xf>
    <xf numFmtId="179" fontId="4" fillId="11" borderId="27" xfId="71" quotePrefix="1" applyNumberFormat="1" applyFill="1" applyBorder="1" applyAlignment="1">
      <alignment horizontal="center" vertical="center"/>
    </xf>
    <xf numFmtId="179" fontId="4" fillId="11" borderId="28" xfId="71" quotePrefix="1" applyNumberFormat="1" applyFill="1" applyBorder="1" applyAlignment="1">
      <alignment horizontal="center" vertical="center"/>
    </xf>
    <xf numFmtId="179" fontId="4" fillId="11" borderId="15" xfId="71" quotePrefix="1" applyNumberFormat="1" applyFill="1" applyBorder="1" applyAlignment="1">
      <alignment horizontal="center" vertical="center"/>
    </xf>
    <xf numFmtId="179" fontId="4" fillId="11" borderId="29" xfId="71" quotePrefix="1" applyNumberFormat="1" applyFill="1" applyBorder="1" applyAlignment="1">
      <alignment horizontal="center" vertical="center"/>
    </xf>
    <xf numFmtId="0" fontId="4" fillId="0" borderId="0" xfId="127"/>
    <xf numFmtId="37" fontId="4" fillId="11" borderId="24" xfId="99" applyNumberFormat="1" applyFill="1" applyBorder="1" applyAlignment="1">
      <alignment horizontal="center"/>
    </xf>
    <xf numFmtId="37" fontId="4" fillId="0" borderId="24" xfId="99" applyNumberFormat="1" applyBorder="1" applyAlignment="1">
      <alignment horizontal="center"/>
    </xf>
    <xf numFmtId="37" fontId="4" fillId="11" borderId="24" xfId="147" applyNumberFormat="1" applyFill="1" applyBorder="1" applyAlignment="1">
      <alignment horizontal="center"/>
    </xf>
    <xf numFmtId="37" fontId="4" fillId="0" borderId="24" xfId="147" applyNumberFormat="1" applyBorder="1" applyAlignment="1">
      <alignment horizontal="center"/>
    </xf>
    <xf numFmtId="37" fontId="4" fillId="0" borderId="25" xfId="147" applyNumberFormat="1" applyBorder="1" applyAlignment="1">
      <alignment horizontal="center"/>
    </xf>
    <xf numFmtId="37" fontId="4" fillId="11" borderId="0" xfId="147" applyNumberFormat="1" applyFill="1" applyAlignment="1">
      <alignment horizontal="center"/>
    </xf>
    <xf numFmtId="37" fontId="4" fillId="11" borderId="0" xfId="118" applyNumberFormat="1" applyFill="1" applyAlignment="1">
      <alignment horizontal="center"/>
    </xf>
    <xf numFmtId="37" fontId="4" fillId="0" borderId="0" xfId="118" applyNumberFormat="1" applyAlignment="1">
      <alignment horizontal="center"/>
    </xf>
    <xf numFmtId="37" fontId="4" fillId="11" borderId="26" xfId="118" applyNumberFormat="1" applyFill="1" applyBorder="1" applyAlignment="1">
      <alignment horizontal="center"/>
    </xf>
    <xf numFmtId="37" fontId="4" fillId="0" borderId="26" xfId="118" applyNumberFormat="1" applyBorder="1" applyAlignment="1">
      <alignment horizontal="center"/>
    </xf>
    <xf numFmtId="172" fontId="21" fillId="11" borderId="24" xfId="98" applyNumberFormat="1" applyFont="1" applyFill="1" applyBorder="1" applyAlignment="1">
      <alignment horizontal="center" vertical="center"/>
    </xf>
    <xf numFmtId="172" fontId="21" fillId="0" borderId="24" xfId="98" applyNumberFormat="1" applyFont="1" applyBorder="1" applyAlignment="1">
      <alignment horizontal="center" vertical="center"/>
    </xf>
    <xf numFmtId="172" fontId="21" fillId="11" borderId="24" xfId="146" applyNumberFormat="1" applyFont="1" applyFill="1" applyBorder="1" applyAlignment="1">
      <alignment horizontal="center" vertical="center"/>
    </xf>
    <xf numFmtId="172" fontId="21" fillId="0" borderId="24" xfId="146" applyNumberFormat="1" applyFont="1" applyBorder="1" applyAlignment="1">
      <alignment horizontal="center" vertical="center"/>
    </xf>
    <xf numFmtId="172" fontId="21" fillId="0" borderId="25" xfId="146" applyNumberFormat="1" applyFont="1" applyBorder="1" applyAlignment="1">
      <alignment horizontal="center" vertical="center"/>
    </xf>
    <xf numFmtId="172" fontId="21" fillId="11" borderId="0" xfId="146" applyNumberFormat="1" applyFont="1" applyFill="1" applyAlignment="1">
      <alignment horizontal="center" vertical="center"/>
    </xf>
    <xf numFmtId="172" fontId="21" fillId="11" borderId="0" xfId="117" applyNumberFormat="1" applyFont="1" applyFill="1" applyAlignment="1">
      <alignment horizontal="center" vertical="center"/>
    </xf>
    <xf numFmtId="172" fontId="21" fillId="0" borderId="0" xfId="117" applyNumberFormat="1" applyFont="1" applyAlignment="1">
      <alignment horizontal="center" vertical="center"/>
    </xf>
    <xf numFmtId="172" fontId="21" fillId="11" borderId="26" xfId="117" applyNumberFormat="1" applyFont="1" applyFill="1" applyBorder="1" applyAlignment="1">
      <alignment horizontal="center" vertical="center"/>
    </xf>
    <xf numFmtId="172" fontId="21" fillId="0" borderId="26" xfId="117" applyNumberFormat="1" applyFont="1" applyBorder="1" applyAlignment="1">
      <alignment horizontal="center" vertical="center"/>
    </xf>
    <xf numFmtId="37" fontId="4" fillId="11" borderId="24" xfId="98" applyNumberFormat="1" applyFill="1" applyBorder="1" applyAlignment="1">
      <alignment horizontal="center" vertical="center"/>
    </xf>
    <xf numFmtId="37" fontId="4" fillId="0" borderId="24" xfId="98" applyNumberFormat="1" applyBorder="1" applyAlignment="1">
      <alignment horizontal="center" vertical="center"/>
    </xf>
    <xf numFmtId="37" fontId="4" fillId="11" borderId="24" xfId="146" applyNumberFormat="1" applyFill="1" applyBorder="1" applyAlignment="1">
      <alignment horizontal="center" vertical="center"/>
    </xf>
    <xf numFmtId="37" fontId="4" fillId="0" borderId="24" xfId="146" applyNumberFormat="1" applyBorder="1" applyAlignment="1">
      <alignment horizontal="center" vertical="center"/>
    </xf>
    <xf numFmtId="37" fontId="4" fillId="0" borderId="25" xfId="146" applyNumberFormat="1" applyBorder="1" applyAlignment="1">
      <alignment horizontal="center" vertical="center"/>
    </xf>
    <xf numFmtId="37" fontId="4" fillId="11" borderId="0" xfId="146" applyNumberFormat="1" applyFill="1" applyAlignment="1">
      <alignment horizontal="center" vertical="center"/>
    </xf>
    <xf numFmtId="37" fontId="4" fillId="11" borderId="0" xfId="117" applyNumberFormat="1" applyFill="1" applyAlignment="1">
      <alignment horizontal="center" vertical="center"/>
    </xf>
    <xf numFmtId="37" fontId="4" fillId="0" borderId="0" xfId="117" applyNumberFormat="1" applyAlignment="1">
      <alignment horizontal="center" vertical="center"/>
    </xf>
    <xf numFmtId="37" fontId="4" fillId="11" borderId="26" xfId="117" applyNumberFormat="1" applyFill="1" applyBorder="1" applyAlignment="1">
      <alignment horizontal="center" vertical="center"/>
    </xf>
    <xf numFmtId="37" fontId="4" fillId="0" borderId="26" xfId="117" applyNumberFormat="1" applyBorder="1" applyAlignment="1">
      <alignment horizontal="center" vertical="center"/>
    </xf>
    <xf numFmtId="37" fontId="4" fillId="11" borderId="30" xfId="97" applyNumberFormat="1" applyFill="1" applyBorder="1" applyAlignment="1">
      <alignment horizontal="center" vertical="center"/>
    </xf>
    <xf numFmtId="37" fontId="4" fillId="0" borderId="30" xfId="97" applyNumberFormat="1" applyBorder="1" applyAlignment="1">
      <alignment horizontal="center" vertical="center"/>
    </xf>
    <xf numFmtId="37" fontId="4" fillId="11" borderId="30" xfId="145" applyNumberFormat="1" applyFill="1" applyBorder="1" applyAlignment="1">
      <alignment horizontal="center" vertical="center"/>
    </xf>
    <xf numFmtId="37" fontId="4" fillId="0" borderId="30" xfId="145" applyNumberFormat="1" applyBorder="1" applyAlignment="1">
      <alignment horizontal="center" vertical="center"/>
    </xf>
    <xf numFmtId="37" fontId="4" fillId="0" borderId="31" xfId="145" applyNumberFormat="1" applyBorder="1" applyAlignment="1">
      <alignment horizontal="center" vertical="center"/>
    </xf>
    <xf numFmtId="37" fontId="4" fillId="11" borderId="32" xfId="145" applyNumberFormat="1" applyFill="1" applyBorder="1" applyAlignment="1">
      <alignment horizontal="center" vertical="center"/>
    </xf>
    <xf numFmtId="37" fontId="4" fillId="11" borderId="32" xfId="116" applyNumberFormat="1" applyFill="1" applyBorder="1" applyAlignment="1">
      <alignment horizontal="center" vertical="center"/>
    </xf>
    <xf numFmtId="37" fontId="4" fillId="0" borderId="32" xfId="116" applyNumberFormat="1" applyBorder="1" applyAlignment="1">
      <alignment horizontal="center" vertical="center"/>
    </xf>
    <xf numFmtId="37" fontId="4" fillId="11" borderId="33" xfId="116" applyNumberFormat="1" applyFill="1" applyBorder="1" applyAlignment="1">
      <alignment horizontal="center" vertical="center"/>
    </xf>
    <xf numFmtId="37" fontId="4" fillId="0" borderId="33" xfId="116" applyNumberFormat="1" applyBorder="1" applyAlignment="1">
      <alignment horizontal="center" vertical="center"/>
    </xf>
    <xf numFmtId="0" fontId="4" fillId="3" borderId="0" xfId="119" applyFill="1"/>
    <xf numFmtId="39" fontId="4" fillId="11" borderId="20" xfId="155" applyNumberFormat="1" applyFill="1" applyBorder="1" applyAlignment="1">
      <alignment horizontal="center"/>
    </xf>
    <xf numFmtId="39" fontId="4" fillId="0" borderId="20" xfId="155" applyNumberFormat="1" applyBorder="1" applyAlignment="1">
      <alignment horizontal="center"/>
    </xf>
    <xf numFmtId="39" fontId="4" fillId="11" borderId="20" xfId="133" applyNumberFormat="1" applyFill="1" applyBorder="1" applyAlignment="1">
      <alignment horizontal="center"/>
    </xf>
    <xf numFmtId="39" fontId="4" fillId="0" borderId="20" xfId="133" applyNumberFormat="1" applyBorder="1" applyAlignment="1">
      <alignment horizontal="center"/>
    </xf>
    <xf numFmtId="39" fontId="4" fillId="0" borderId="21" xfId="133" applyNumberFormat="1" applyBorder="1" applyAlignment="1">
      <alignment horizontal="center"/>
    </xf>
    <xf numFmtId="39" fontId="4" fillId="11" borderId="22" xfId="133" applyNumberFormat="1" applyFill="1" applyBorder="1" applyAlignment="1">
      <alignment horizontal="center"/>
    </xf>
    <xf numFmtId="39" fontId="4" fillId="11" borderId="22" xfId="126" applyNumberFormat="1" applyFill="1" applyBorder="1" applyAlignment="1">
      <alignment horizontal="center"/>
    </xf>
    <xf numFmtId="39" fontId="4" fillId="0" borderId="22" xfId="126" applyNumberFormat="1" applyBorder="1" applyAlignment="1">
      <alignment horizontal="center"/>
    </xf>
    <xf numFmtId="39" fontId="4" fillId="11" borderId="23" xfId="126" applyNumberFormat="1" applyFill="1" applyBorder="1" applyAlignment="1">
      <alignment horizontal="center"/>
    </xf>
    <xf numFmtId="39" fontId="4" fillId="0" borderId="23" xfId="126" applyNumberFormat="1" applyBorder="1" applyAlignment="1">
      <alignment horizontal="center"/>
    </xf>
    <xf numFmtId="169" fontId="4" fillId="11" borderId="24" xfId="155" applyNumberFormat="1" applyFill="1" applyBorder="1" applyAlignment="1">
      <alignment horizontal="center"/>
    </xf>
    <xf numFmtId="169" fontId="4" fillId="0" borderId="24" xfId="155" applyNumberFormat="1" applyBorder="1" applyAlignment="1">
      <alignment horizontal="center"/>
    </xf>
    <xf numFmtId="37" fontId="4" fillId="11" borderId="24" xfId="133" applyNumberFormat="1" applyFill="1" applyBorder="1" applyAlignment="1">
      <alignment horizontal="center"/>
    </xf>
    <xf numFmtId="37" fontId="4" fillId="0" borderId="24" xfId="133" applyNumberFormat="1" applyBorder="1" applyAlignment="1">
      <alignment horizontal="center"/>
    </xf>
    <xf numFmtId="37" fontId="4" fillId="0" borderId="25" xfId="133" applyNumberFormat="1" applyBorder="1" applyAlignment="1">
      <alignment horizontal="center"/>
    </xf>
    <xf numFmtId="37" fontId="4" fillId="11" borderId="0" xfId="133" applyNumberFormat="1" applyFill="1" applyAlignment="1">
      <alignment horizontal="center"/>
    </xf>
    <xf numFmtId="37" fontId="4" fillId="11" borderId="0" xfId="126" applyNumberFormat="1" applyFill="1" applyAlignment="1">
      <alignment horizontal="center"/>
    </xf>
    <xf numFmtId="37" fontId="4" fillId="0" borderId="0" xfId="126" applyNumberFormat="1" applyAlignment="1">
      <alignment horizontal="center"/>
    </xf>
    <xf numFmtId="37" fontId="4" fillId="11" borderId="26" xfId="126" applyNumberFormat="1" applyFill="1" applyBorder="1" applyAlignment="1">
      <alignment horizontal="center"/>
    </xf>
    <xf numFmtId="37" fontId="4" fillId="0" borderId="26" xfId="126" applyNumberFormat="1" applyBorder="1" applyAlignment="1">
      <alignment horizontal="center"/>
    </xf>
    <xf numFmtId="37" fontId="4" fillId="11" borderId="24" xfId="155" applyNumberFormat="1" applyFill="1" applyBorder="1" applyAlignment="1">
      <alignment horizontal="center"/>
    </xf>
    <xf numFmtId="37" fontId="4" fillId="0" borderId="24" xfId="155" applyNumberFormat="1" applyBorder="1" applyAlignment="1">
      <alignment horizontal="center"/>
    </xf>
    <xf numFmtId="37" fontId="21" fillId="11" borderId="24" xfId="155" applyNumberFormat="1" applyFont="1" applyFill="1" applyBorder="1" applyAlignment="1">
      <alignment horizontal="center"/>
    </xf>
    <xf numFmtId="37" fontId="21" fillId="0" borderId="24" xfId="155" applyNumberFormat="1" applyFont="1" applyBorder="1" applyAlignment="1">
      <alignment horizontal="center"/>
    </xf>
    <xf numFmtId="37" fontId="21" fillId="11" borderId="24" xfId="133" applyNumberFormat="1" applyFont="1" applyFill="1" applyBorder="1" applyAlignment="1">
      <alignment horizontal="center"/>
    </xf>
    <xf numFmtId="37" fontId="21" fillId="0" borderId="24" xfId="133" applyNumberFormat="1" applyFont="1" applyBorder="1" applyAlignment="1">
      <alignment horizontal="center"/>
    </xf>
    <xf numFmtId="37" fontId="21" fillId="0" borderId="25" xfId="133" applyNumberFormat="1" applyFont="1" applyBorder="1" applyAlignment="1">
      <alignment horizontal="center"/>
    </xf>
    <xf numFmtId="37" fontId="21" fillId="11" borderId="0" xfId="133" applyNumberFormat="1" applyFont="1" applyFill="1" applyAlignment="1">
      <alignment horizontal="center"/>
    </xf>
    <xf numFmtId="37" fontId="21" fillId="11" borderId="0" xfId="126" applyNumberFormat="1" applyFont="1" applyFill="1" applyAlignment="1">
      <alignment horizontal="center"/>
    </xf>
    <xf numFmtId="37" fontId="21" fillId="0" borderId="0" xfId="126" applyNumberFormat="1" applyFont="1" applyAlignment="1">
      <alignment horizontal="center"/>
    </xf>
    <xf numFmtId="37" fontId="21" fillId="11" borderId="26" xfId="126" applyNumberFormat="1" applyFont="1" applyFill="1" applyBorder="1" applyAlignment="1">
      <alignment horizontal="center"/>
    </xf>
    <xf numFmtId="37" fontId="21" fillId="0" borderId="26" xfId="126" applyNumberFormat="1" applyFont="1" applyBorder="1" applyAlignment="1">
      <alignment horizontal="center"/>
    </xf>
    <xf numFmtId="169" fontId="4" fillId="11" borderId="24" xfId="133" applyNumberFormat="1" applyFill="1" applyBorder="1" applyAlignment="1">
      <alignment horizontal="center"/>
    </xf>
    <xf numFmtId="169" fontId="4" fillId="0" borderId="24" xfId="133" applyNumberFormat="1" applyBorder="1" applyAlignment="1">
      <alignment horizontal="center"/>
    </xf>
    <xf numFmtId="169" fontId="4" fillId="0" borderId="25" xfId="133" applyNumberFormat="1" applyBorder="1" applyAlignment="1">
      <alignment horizontal="center"/>
    </xf>
    <xf numFmtId="169" fontId="4" fillId="11" borderId="0" xfId="133" applyNumberFormat="1" applyFill="1" applyAlignment="1">
      <alignment horizontal="center"/>
    </xf>
    <xf numFmtId="169" fontId="4" fillId="11" borderId="0" xfId="126" applyNumberFormat="1" applyFill="1" applyAlignment="1">
      <alignment horizontal="center"/>
    </xf>
    <xf numFmtId="169" fontId="4" fillId="0" borderId="0" xfId="126" applyNumberFormat="1" applyAlignment="1">
      <alignment horizontal="center"/>
    </xf>
    <xf numFmtId="169" fontId="4" fillId="11" borderId="26" xfId="126" applyNumberFormat="1" applyFill="1" applyBorder="1" applyAlignment="1">
      <alignment horizontal="center"/>
    </xf>
    <xf numFmtId="169" fontId="4" fillId="0" borderId="26" xfId="126" applyNumberFormat="1" applyBorder="1" applyAlignment="1">
      <alignment horizontal="center"/>
    </xf>
    <xf numFmtId="39" fontId="4" fillId="11" borderId="24" xfId="155" applyNumberFormat="1" applyFill="1" applyBorder="1" applyAlignment="1">
      <alignment horizontal="center" vertical="center"/>
    </xf>
    <xf numFmtId="39" fontId="4" fillId="0" borderId="24" xfId="155" applyNumberFormat="1" applyBorder="1" applyAlignment="1">
      <alignment horizontal="center" vertical="center"/>
    </xf>
    <xf numFmtId="39" fontId="4" fillId="11" borderId="24" xfId="133" applyNumberFormat="1" applyFill="1" applyBorder="1" applyAlignment="1">
      <alignment horizontal="center" vertical="center"/>
    </xf>
    <xf numFmtId="39" fontId="4" fillId="0" borderId="24" xfId="133" applyNumberFormat="1" applyBorder="1" applyAlignment="1">
      <alignment horizontal="center" vertical="center"/>
    </xf>
    <xf numFmtId="39" fontId="4" fillId="0" borderId="25" xfId="133" applyNumberFormat="1" applyBorder="1" applyAlignment="1">
      <alignment horizontal="center" vertical="center"/>
    </xf>
    <xf numFmtId="39" fontId="4" fillId="11" borderId="0" xfId="133" applyNumberFormat="1" applyFill="1" applyAlignment="1">
      <alignment horizontal="center" vertical="center"/>
    </xf>
    <xf numFmtId="39" fontId="4" fillId="11" borderId="0" xfId="126" applyNumberFormat="1" applyFill="1" applyAlignment="1">
      <alignment horizontal="center" vertical="center"/>
    </xf>
    <xf numFmtId="39" fontId="4" fillId="0" borderId="0" xfId="126" applyNumberFormat="1" applyAlignment="1">
      <alignment horizontal="center" vertical="center"/>
    </xf>
    <xf numFmtId="39" fontId="4" fillId="11" borderId="26" xfId="126" applyNumberFormat="1" applyFill="1" applyBorder="1" applyAlignment="1">
      <alignment horizontal="center" vertical="center"/>
    </xf>
    <xf numFmtId="39" fontId="4" fillId="0" borderId="26" xfId="126" applyNumberFormat="1" applyBorder="1" applyAlignment="1">
      <alignment horizontal="center" vertical="center"/>
    </xf>
    <xf numFmtId="37" fontId="4" fillId="11" borderId="24" xfId="155" applyNumberFormat="1" applyFill="1" applyBorder="1" applyAlignment="1">
      <alignment horizontal="center" vertical="center"/>
    </xf>
    <xf numFmtId="37" fontId="4" fillId="0" borderId="24" xfId="155" applyNumberFormat="1" applyBorder="1" applyAlignment="1">
      <alignment horizontal="center" vertical="center"/>
    </xf>
    <xf numFmtId="37" fontId="4" fillId="11" borderId="24" xfId="133" applyNumberFormat="1" applyFill="1" applyBorder="1" applyAlignment="1">
      <alignment horizontal="center" vertical="center"/>
    </xf>
    <xf numFmtId="37" fontId="4" fillId="0" borderId="24" xfId="133" applyNumberFormat="1" applyBorder="1" applyAlignment="1">
      <alignment horizontal="center" vertical="center"/>
    </xf>
    <xf numFmtId="37" fontId="4" fillId="0" borderId="25" xfId="133" applyNumberFormat="1" applyBorder="1" applyAlignment="1">
      <alignment horizontal="center" vertical="center"/>
    </xf>
    <xf numFmtId="37" fontId="4" fillId="11" borderId="0" xfId="133" applyNumberFormat="1" applyFill="1" applyAlignment="1">
      <alignment horizontal="center" vertical="center"/>
    </xf>
    <xf numFmtId="37" fontId="4" fillId="11" borderId="0" xfId="126" applyNumberFormat="1" applyFill="1" applyAlignment="1">
      <alignment horizontal="center" vertical="center"/>
    </xf>
    <xf numFmtId="37" fontId="4" fillId="0" borderId="0" xfId="126" applyNumberFormat="1" applyAlignment="1">
      <alignment horizontal="center" vertical="center"/>
    </xf>
    <xf numFmtId="37" fontId="4" fillId="11" borderId="26" xfId="126" applyNumberFormat="1" applyFill="1" applyBorder="1" applyAlignment="1">
      <alignment horizontal="center" vertical="center"/>
    </xf>
    <xf numFmtId="37" fontId="4" fillId="0" borderId="26" xfId="126" applyNumberFormat="1" applyBorder="1" applyAlignment="1">
      <alignment horizontal="center" vertical="center"/>
    </xf>
    <xf numFmtId="169" fontId="4" fillId="11" borderId="24" xfId="155" applyNumberFormat="1" applyFill="1" applyBorder="1" applyAlignment="1">
      <alignment horizontal="center" vertical="center"/>
    </xf>
    <xf numFmtId="169" fontId="4" fillId="0" borderId="24" xfId="155" applyNumberFormat="1" applyBorder="1" applyAlignment="1">
      <alignment horizontal="center" vertical="center"/>
    </xf>
    <xf numFmtId="173" fontId="4" fillId="11" borderId="24" xfId="155" applyNumberFormat="1" applyFill="1" applyBorder="1" applyAlignment="1">
      <alignment horizontal="center" vertical="center"/>
    </xf>
    <xf numFmtId="173" fontId="4" fillId="0" borderId="24" xfId="155" applyNumberFormat="1" applyBorder="1" applyAlignment="1">
      <alignment horizontal="center" vertical="center"/>
    </xf>
    <xf numFmtId="1" fontId="4" fillId="11" borderId="24" xfId="155" applyNumberFormat="1" applyFill="1" applyBorder="1" applyAlignment="1">
      <alignment horizontal="center" vertical="center"/>
    </xf>
    <xf numFmtId="1" fontId="4" fillId="0" borderId="24" xfId="155" applyNumberFormat="1" applyBorder="1" applyAlignment="1">
      <alignment horizontal="center" vertical="center"/>
    </xf>
    <xf numFmtId="1" fontId="4" fillId="11" borderId="0" xfId="126" applyNumberFormat="1" applyFill="1" applyAlignment="1">
      <alignment horizontal="center" vertical="center"/>
    </xf>
    <xf numFmtId="1" fontId="4" fillId="0" borderId="0" xfId="126" applyNumberFormat="1" applyAlignment="1">
      <alignment horizontal="center" vertical="center"/>
    </xf>
    <xf numFmtId="1" fontId="4" fillId="11" borderId="26" xfId="126" applyNumberFormat="1" applyFill="1" applyBorder="1" applyAlignment="1">
      <alignment horizontal="center" vertical="center"/>
    </xf>
    <xf numFmtId="1" fontId="4" fillId="0" borderId="26" xfId="126" applyNumberFormat="1" applyBorder="1" applyAlignment="1">
      <alignment horizontal="center" vertical="center"/>
    </xf>
    <xf numFmtId="37" fontId="4" fillId="11" borderId="24" xfId="132" applyNumberFormat="1" applyFill="1" applyBorder="1" applyAlignment="1">
      <alignment horizontal="center"/>
    </xf>
    <xf numFmtId="37" fontId="4" fillId="0" borderId="24" xfId="132" applyNumberFormat="1" applyBorder="1" applyAlignment="1">
      <alignment horizontal="center"/>
    </xf>
    <xf numFmtId="37" fontId="4" fillId="0" borderId="25" xfId="132" applyNumberFormat="1" applyBorder="1" applyAlignment="1">
      <alignment horizontal="center"/>
    </xf>
    <xf numFmtId="37" fontId="4" fillId="11" borderId="0" xfId="132" applyNumberFormat="1" applyFill="1" applyAlignment="1">
      <alignment horizontal="center"/>
    </xf>
    <xf numFmtId="2" fontId="4" fillId="11" borderId="24" xfId="155" applyNumberFormat="1" applyFill="1" applyBorder="1" applyAlignment="1">
      <alignment horizontal="center"/>
    </xf>
    <xf numFmtId="2" fontId="4" fillId="0" borderId="24" xfId="155" applyNumberFormat="1" applyBorder="1" applyAlignment="1">
      <alignment horizontal="center"/>
    </xf>
    <xf numFmtId="2" fontId="4" fillId="11" borderId="24" xfId="132" applyNumberFormat="1" applyFill="1" applyBorder="1" applyAlignment="1">
      <alignment horizontal="center"/>
    </xf>
    <xf numFmtId="2" fontId="4" fillId="0" borderId="24" xfId="132" applyNumberFormat="1" applyBorder="1" applyAlignment="1">
      <alignment horizontal="center"/>
    </xf>
    <xf numFmtId="2" fontId="4" fillId="0" borderId="25" xfId="132" applyNumberFormat="1" applyBorder="1" applyAlignment="1">
      <alignment horizontal="center"/>
    </xf>
    <xf numFmtId="2" fontId="4" fillId="11" borderId="0" xfId="132" applyNumberFormat="1" applyFill="1" applyAlignment="1">
      <alignment horizontal="center"/>
    </xf>
    <xf numFmtId="2" fontId="4" fillId="11" borderId="0" xfId="126" applyNumberFormat="1" applyFill="1" applyAlignment="1">
      <alignment horizontal="center"/>
    </xf>
    <xf numFmtId="2" fontId="4" fillId="0" borderId="0" xfId="126" applyNumberFormat="1" applyAlignment="1">
      <alignment horizontal="center"/>
    </xf>
    <xf numFmtId="2" fontId="4" fillId="11" borderId="26" xfId="126" applyNumberFormat="1" applyFill="1" applyBorder="1" applyAlignment="1">
      <alignment horizontal="center"/>
    </xf>
    <xf numFmtId="2" fontId="4" fillId="0" borderId="26" xfId="126" applyNumberFormat="1" applyBorder="1" applyAlignment="1">
      <alignment horizontal="center"/>
    </xf>
    <xf numFmtId="1" fontId="4" fillId="11" borderId="24" xfId="132" applyNumberFormat="1" applyFill="1" applyBorder="1" applyAlignment="1">
      <alignment horizontal="center" vertical="center"/>
    </xf>
    <xf numFmtId="1" fontId="4" fillId="0" borderId="24" xfId="132" applyNumberFormat="1" applyBorder="1" applyAlignment="1">
      <alignment horizontal="center" vertical="center"/>
    </xf>
    <xf numFmtId="1" fontId="4" fillId="0" borderId="25" xfId="132" applyNumberFormat="1" applyBorder="1" applyAlignment="1">
      <alignment horizontal="center" vertical="center"/>
    </xf>
    <xf numFmtId="1" fontId="4" fillId="11" borderId="0" xfId="132" applyNumberFormat="1" applyFill="1" applyAlignment="1">
      <alignment horizontal="center" vertical="center"/>
    </xf>
    <xf numFmtId="172" fontId="4" fillId="11" borderId="24" xfId="155" applyNumberFormat="1" applyFill="1" applyBorder="1" applyAlignment="1">
      <alignment horizontal="center" vertical="center"/>
    </xf>
    <xf numFmtId="172" fontId="4" fillId="0" borderId="24" xfId="155" applyNumberFormat="1" applyBorder="1" applyAlignment="1">
      <alignment horizontal="center" vertical="center"/>
    </xf>
    <xf numFmtId="172" fontId="4" fillId="11" borderId="24" xfId="132" applyNumberFormat="1" applyFill="1" applyBorder="1" applyAlignment="1">
      <alignment horizontal="center" vertical="center"/>
    </xf>
    <xf numFmtId="172" fontId="4" fillId="0" borderId="24" xfId="132" applyNumberFormat="1" applyBorder="1" applyAlignment="1">
      <alignment horizontal="center" vertical="center"/>
    </xf>
    <xf numFmtId="172" fontId="4" fillId="0" borderId="25" xfId="132" applyNumberFormat="1" applyBorder="1" applyAlignment="1">
      <alignment horizontal="center" vertical="center"/>
    </xf>
    <xf numFmtId="172" fontId="4" fillId="11" borderId="0" xfId="132" applyNumberFormat="1" applyFill="1" applyAlignment="1">
      <alignment horizontal="center" vertical="center"/>
    </xf>
    <xf numFmtId="172" fontId="4" fillId="11" borderId="0" xfId="126" applyNumberFormat="1" applyFill="1" applyAlignment="1">
      <alignment horizontal="center" vertical="center"/>
    </xf>
    <xf numFmtId="172" fontId="4" fillId="0" borderId="0" xfId="126" applyNumberFormat="1" applyAlignment="1">
      <alignment horizontal="center" vertical="center"/>
    </xf>
    <xf numFmtId="172" fontId="4" fillId="11" borderId="26" xfId="126" applyNumberFormat="1" applyFill="1" applyBorder="1" applyAlignment="1">
      <alignment horizontal="center" vertical="center"/>
    </xf>
    <xf numFmtId="172" fontId="4" fillId="0" borderId="26" xfId="126" applyNumberFormat="1" applyBorder="1" applyAlignment="1">
      <alignment horizontal="center" vertical="center"/>
    </xf>
    <xf numFmtId="172" fontId="4" fillId="11" borderId="24" xfId="175" applyNumberFormat="1" applyFont="1" applyFill="1" applyBorder="1" applyAlignment="1">
      <alignment horizontal="center"/>
    </xf>
    <xf numFmtId="172" fontId="4" fillId="0" borderId="24" xfId="175" applyNumberFormat="1" applyFont="1" applyFill="1" applyBorder="1" applyAlignment="1">
      <alignment horizontal="center"/>
    </xf>
    <xf numFmtId="172" fontId="4" fillId="11" borderId="24" xfId="192" applyNumberFormat="1" applyFont="1" applyFill="1" applyBorder="1" applyAlignment="1">
      <alignment horizontal="center"/>
    </xf>
    <xf numFmtId="172" fontId="4" fillId="0" borderId="24" xfId="192" applyNumberFormat="1" applyFont="1" applyFill="1" applyBorder="1" applyAlignment="1">
      <alignment horizontal="center"/>
    </xf>
    <xf numFmtId="172" fontId="4" fillId="0" borderId="25" xfId="192" applyNumberFormat="1" applyFont="1" applyFill="1" applyBorder="1" applyAlignment="1">
      <alignment horizontal="center"/>
    </xf>
    <xf numFmtId="172" fontId="4" fillId="11" borderId="0" xfId="192" applyNumberFormat="1" applyFont="1" applyFill="1" applyBorder="1" applyAlignment="1">
      <alignment horizontal="center"/>
    </xf>
    <xf numFmtId="172" fontId="4" fillId="11" borderId="0" xfId="189" applyNumberFormat="1" applyFont="1" applyFill="1" applyBorder="1" applyAlignment="1">
      <alignment horizontal="center"/>
    </xf>
    <xf numFmtId="172" fontId="4" fillId="0" borderId="0" xfId="189" applyNumberFormat="1" applyFont="1" applyFill="1" applyBorder="1" applyAlignment="1">
      <alignment horizontal="center"/>
    </xf>
    <xf numFmtId="172" fontId="4" fillId="11" borderId="26" xfId="189" applyNumberFormat="1" applyFont="1" applyFill="1" applyBorder="1" applyAlignment="1">
      <alignment horizontal="center"/>
    </xf>
    <xf numFmtId="172" fontId="4" fillId="0" borderId="26" xfId="189" applyNumberFormat="1" applyFont="1" applyFill="1" applyBorder="1" applyAlignment="1">
      <alignment horizontal="center"/>
    </xf>
    <xf numFmtId="37" fontId="22" fillId="11" borderId="24" xfId="59" applyNumberFormat="1" applyFont="1" applyFill="1" applyBorder="1" applyAlignment="1">
      <alignment horizontal="center"/>
    </xf>
    <xf numFmtId="37" fontId="22" fillId="0" borderId="24" xfId="59" applyNumberFormat="1" applyFont="1" applyFill="1" applyBorder="1" applyAlignment="1">
      <alignment horizontal="center"/>
    </xf>
    <xf numFmtId="37" fontId="22" fillId="11" borderId="24" xfId="70" applyNumberFormat="1" applyFont="1" applyFill="1" applyBorder="1" applyAlignment="1">
      <alignment horizontal="center"/>
    </xf>
    <xf numFmtId="37" fontId="22" fillId="0" borderId="24" xfId="70" applyNumberFormat="1" applyFont="1" applyFill="1" applyBorder="1" applyAlignment="1">
      <alignment horizontal="center"/>
    </xf>
    <xf numFmtId="37" fontId="22" fillId="0" borderId="25" xfId="70" applyNumberFormat="1" applyFont="1" applyFill="1" applyBorder="1" applyAlignment="1">
      <alignment horizontal="center"/>
    </xf>
    <xf numFmtId="37" fontId="22" fillId="11" borderId="0" xfId="70" applyNumberFormat="1" applyFont="1" applyFill="1" applyBorder="1" applyAlignment="1">
      <alignment horizontal="center"/>
    </xf>
    <xf numFmtId="37" fontId="22" fillId="11" borderId="0" xfId="67" applyNumberFormat="1" applyFont="1" applyFill="1" applyBorder="1" applyAlignment="1">
      <alignment horizontal="center"/>
    </xf>
    <xf numFmtId="37" fontId="22" fillId="0" borderId="0" xfId="67" applyNumberFormat="1" applyFont="1" applyFill="1" applyBorder="1" applyAlignment="1">
      <alignment horizontal="center"/>
    </xf>
    <xf numFmtId="37" fontId="22" fillId="11" borderId="26" xfId="67" applyNumberFormat="1" applyFont="1" applyFill="1" applyBorder="1" applyAlignment="1">
      <alignment horizontal="center"/>
    </xf>
    <xf numFmtId="37" fontId="22" fillId="0" borderId="26" xfId="67" applyNumberFormat="1" applyFont="1" applyFill="1" applyBorder="1" applyAlignment="1">
      <alignment horizontal="center"/>
    </xf>
    <xf numFmtId="37" fontId="4" fillId="11" borderId="24" xfId="102" applyNumberFormat="1" applyFill="1" applyBorder="1" applyAlignment="1">
      <alignment horizontal="center"/>
    </xf>
    <xf numFmtId="37" fontId="4" fillId="0" borderId="24" xfId="102" applyNumberFormat="1" applyBorder="1" applyAlignment="1">
      <alignment horizontal="center"/>
    </xf>
    <xf numFmtId="37" fontId="4" fillId="11" borderId="24" xfId="144" applyNumberFormat="1" applyFill="1" applyBorder="1" applyAlignment="1">
      <alignment horizontal="center"/>
    </xf>
    <xf numFmtId="37" fontId="4" fillId="0" borderId="24" xfId="144" applyNumberFormat="1" applyBorder="1" applyAlignment="1">
      <alignment horizontal="center"/>
    </xf>
    <xf numFmtId="37" fontId="4" fillId="0" borderId="25" xfId="144" applyNumberFormat="1" applyBorder="1" applyAlignment="1">
      <alignment horizontal="center"/>
    </xf>
    <xf numFmtId="37" fontId="4" fillId="11" borderId="0" xfId="144" applyNumberFormat="1" applyFill="1" applyAlignment="1">
      <alignment horizontal="center"/>
    </xf>
    <xf numFmtId="37" fontId="4" fillId="11" borderId="0" xfId="115" applyNumberFormat="1" applyFill="1" applyAlignment="1">
      <alignment horizontal="center"/>
    </xf>
    <xf numFmtId="37" fontId="4" fillId="0" borderId="0" xfId="115" applyNumberFormat="1" applyAlignment="1">
      <alignment horizontal="center"/>
    </xf>
    <xf numFmtId="37" fontId="4" fillId="11" borderId="26" xfId="115" applyNumberFormat="1" applyFill="1" applyBorder="1" applyAlignment="1">
      <alignment horizontal="center"/>
    </xf>
    <xf numFmtId="37" fontId="4" fillId="0" borderId="26" xfId="115" applyNumberFormat="1" applyBorder="1" applyAlignment="1">
      <alignment horizontal="center"/>
    </xf>
    <xf numFmtId="172" fontId="21" fillId="11" borderId="24" xfId="101" applyNumberFormat="1" applyFont="1" applyFill="1" applyBorder="1" applyAlignment="1">
      <alignment horizontal="center" vertical="center"/>
    </xf>
    <xf numFmtId="172" fontId="21" fillId="0" borderId="24" xfId="101" applyNumberFormat="1" applyFont="1" applyBorder="1" applyAlignment="1">
      <alignment horizontal="center" vertical="center"/>
    </xf>
    <xf numFmtId="172" fontId="21" fillId="11" borderId="24" xfId="143" applyNumberFormat="1" applyFont="1" applyFill="1" applyBorder="1" applyAlignment="1">
      <alignment horizontal="center" vertical="center"/>
    </xf>
    <xf numFmtId="172" fontId="21" fillId="0" borderId="24" xfId="143" applyNumberFormat="1" applyFont="1" applyBorder="1" applyAlignment="1">
      <alignment horizontal="center" vertical="center"/>
    </xf>
    <xf numFmtId="172" fontId="21" fillId="0" borderId="25" xfId="143" applyNumberFormat="1" applyFont="1" applyBorder="1" applyAlignment="1">
      <alignment horizontal="center" vertical="center"/>
    </xf>
    <xf numFmtId="172" fontId="21" fillId="11" borderId="0" xfId="143" applyNumberFormat="1" applyFont="1" applyFill="1" applyAlignment="1">
      <alignment horizontal="center" vertical="center"/>
    </xf>
    <xf numFmtId="172" fontId="21" fillId="11" borderId="0" xfId="114" applyNumberFormat="1" applyFont="1" applyFill="1" applyAlignment="1">
      <alignment horizontal="center" vertical="center"/>
    </xf>
    <xf numFmtId="172" fontId="21" fillId="0" borderId="0" xfId="114" applyNumberFormat="1" applyFont="1" applyAlignment="1">
      <alignment horizontal="center" vertical="center"/>
    </xf>
    <xf numFmtId="172" fontId="21" fillId="11" borderId="26" xfId="114" applyNumberFormat="1" applyFont="1" applyFill="1" applyBorder="1" applyAlignment="1">
      <alignment horizontal="center" vertical="center"/>
    </xf>
    <xf numFmtId="172" fontId="21" fillId="0" borderId="26" xfId="114" applyNumberFormat="1" applyFont="1" applyBorder="1" applyAlignment="1">
      <alignment horizontal="center" vertical="center"/>
    </xf>
    <xf numFmtId="37" fontId="4" fillId="11" borderId="24" xfId="101" applyNumberFormat="1" applyFill="1" applyBorder="1" applyAlignment="1">
      <alignment horizontal="center" vertical="center"/>
    </xf>
    <xf numFmtId="37" fontId="4" fillId="0" borderId="24" xfId="101" applyNumberFormat="1" applyBorder="1" applyAlignment="1">
      <alignment horizontal="center" vertical="center"/>
    </xf>
    <xf numFmtId="37" fontId="4" fillId="11" borderId="24" xfId="143" applyNumberFormat="1" applyFill="1" applyBorder="1" applyAlignment="1">
      <alignment horizontal="center" vertical="center"/>
    </xf>
    <xf numFmtId="37" fontId="4" fillId="0" borderId="24" xfId="143" applyNumberFormat="1" applyBorder="1" applyAlignment="1">
      <alignment horizontal="center" vertical="center"/>
    </xf>
    <xf numFmtId="37" fontId="4" fillId="0" borderId="25" xfId="143" applyNumberFormat="1" applyBorder="1" applyAlignment="1">
      <alignment horizontal="center" vertical="center"/>
    </xf>
    <xf numFmtId="37" fontId="4" fillId="11" borderId="0" xfId="143" applyNumberFormat="1" applyFill="1" applyAlignment="1">
      <alignment horizontal="center" vertical="center"/>
    </xf>
    <xf numFmtId="37" fontId="4" fillId="11" borderId="0" xfId="114" applyNumberFormat="1" applyFill="1" applyAlignment="1">
      <alignment horizontal="center" vertical="center"/>
    </xf>
    <xf numFmtId="37" fontId="4" fillId="0" borderId="0" xfId="114" applyNumberFormat="1" applyAlignment="1">
      <alignment horizontal="center" vertical="center"/>
    </xf>
    <xf numFmtId="37" fontId="4" fillId="11" borderId="26" xfId="114" applyNumberFormat="1" applyFill="1" applyBorder="1" applyAlignment="1">
      <alignment horizontal="center" vertical="center"/>
    </xf>
    <xf numFmtId="37" fontId="4" fillId="0" borderId="26" xfId="114" applyNumberFormat="1" applyBorder="1" applyAlignment="1">
      <alignment horizontal="center" vertical="center"/>
    </xf>
    <xf numFmtId="37" fontId="4" fillId="11" borderId="30" xfId="100" applyNumberFormat="1" applyFill="1" applyBorder="1" applyAlignment="1">
      <alignment horizontal="center" vertical="center"/>
    </xf>
    <xf numFmtId="37" fontId="4" fillId="0" borderId="30" xfId="100" applyNumberFormat="1" applyBorder="1" applyAlignment="1">
      <alignment horizontal="center" vertical="center"/>
    </xf>
    <xf numFmtId="37" fontId="4" fillId="11" borderId="30" xfId="142" applyNumberFormat="1" applyFill="1" applyBorder="1" applyAlignment="1">
      <alignment horizontal="center" vertical="center"/>
    </xf>
    <xf numFmtId="37" fontId="4" fillId="0" borderId="30" xfId="142" applyNumberFormat="1" applyBorder="1" applyAlignment="1">
      <alignment horizontal="center" vertical="center"/>
    </xf>
    <xf numFmtId="37" fontId="4" fillId="0" borderId="31" xfId="142" applyNumberFormat="1" applyBorder="1" applyAlignment="1">
      <alignment horizontal="center" vertical="center"/>
    </xf>
    <xf numFmtId="37" fontId="4" fillId="11" borderId="32" xfId="142" applyNumberFormat="1" applyFill="1" applyBorder="1" applyAlignment="1">
      <alignment horizontal="center" vertical="center"/>
    </xf>
    <xf numFmtId="37" fontId="4" fillId="11" borderId="32" xfId="113" applyNumberFormat="1" applyFill="1" applyBorder="1" applyAlignment="1">
      <alignment horizontal="center" vertical="center"/>
    </xf>
    <xf numFmtId="37" fontId="4" fillId="0" borderId="32" xfId="113" applyNumberFormat="1" applyBorder="1" applyAlignment="1">
      <alignment horizontal="center" vertical="center"/>
    </xf>
    <xf numFmtId="37" fontId="4" fillId="11" borderId="33" xfId="113" applyNumberFormat="1" applyFill="1" applyBorder="1" applyAlignment="1">
      <alignment horizontal="center" vertical="center"/>
    </xf>
    <xf numFmtId="37" fontId="4" fillId="0" borderId="33" xfId="113" applyNumberFormat="1" applyBorder="1" applyAlignment="1">
      <alignment horizontal="center" vertical="center"/>
    </xf>
    <xf numFmtId="38" fontId="4" fillId="0" borderId="24" xfId="153" applyNumberFormat="1" applyBorder="1" applyAlignment="1">
      <alignment horizontal="center" vertical="center" wrapText="1"/>
    </xf>
    <xf numFmtId="2" fontId="4" fillId="11" borderId="34" xfId="153" applyNumberFormat="1" applyFill="1" applyBorder="1" applyAlignment="1">
      <alignment horizontal="center"/>
    </xf>
    <xf numFmtId="2" fontId="4" fillId="0" borderId="34" xfId="153" applyNumberFormat="1" applyBorder="1" applyAlignment="1">
      <alignment horizontal="center"/>
    </xf>
    <xf numFmtId="2" fontId="4" fillId="11" borderId="34" xfId="131" applyNumberFormat="1" applyFill="1" applyBorder="1" applyAlignment="1">
      <alignment horizontal="center"/>
    </xf>
    <xf numFmtId="2" fontId="4" fillId="0" borderId="34" xfId="131" applyNumberFormat="1" applyBorder="1" applyAlignment="1">
      <alignment horizontal="center"/>
    </xf>
    <xf numFmtId="2" fontId="4" fillId="0" borderId="35" xfId="131" applyNumberFormat="1" applyBorder="1" applyAlignment="1">
      <alignment horizontal="center"/>
    </xf>
    <xf numFmtId="2" fontId="4" fillId="11" borderId="36" xfId="131" applyNumberFormat="1" applyFill="1" applyBorder="1" applyAlignment="1">
      <alignment horizontal="center"/>
    </xf>
    <xf numFmtId="2" fontId="4" fillId="11" borderId="36" xfId="119" applyNumberFormat="1" applyFill="1" applyBorder="1" applyAlignment="1">
      <alignment horizontal="center"/>
    </xf>
    <xf numFmtId="2" fontId="4" fillId="0" borderId="36" xfId="119" applyNumberFormat="1" applyBorder="1" applyAlignment="1">
      <alignment horizontal="center"/>
    </xf>
    <xf numFmtId="2" fontId="4" fillId="11" borderId="37" xfId="119" applyNumberFormat="1" applyFill="1" applyBorder="1" applyAlignment="1">
      <alignment horizontal="center"/>
    </xf>
    <xf numFmtId="2" fontId="4" fillId="0" borderId="37" xfId="119" applyNumberFormat="1" applyBorder="1" applyAlignment="1">
      <alignment horizontal="center"/>
    </xf>
    <xf numFmtId="38" fontId="4" fillId="11" borderId="24" xfId="153" applyNumberFormat="1" applyFill="1" applyBorder="1" applyAlignment="1">
      <alignment horizontal="center" vertical="center" wrapText="1"/>
    </xf>
    <xf numFmtId="38" fontId="4" fillId="11" borderId="24" xfId="131" applyNumberFormat="1" applyFill="1" applyBorder="1" applyAlignment="1">
      <alignment horizontal="center" vertical="center" wrapText="1"/>
    </xf>
    <xf numFmtId="38" fontId="4" fillId="0" borderId="24" xfId="131" applyNumberFormat="1" applyBorder="1" applyAlignment="1">
      <alignment horizontal="center" vertical="center" wrapText="1"/>
    </xf>
    <xf numFmtId="38" fontId="4" fillId="0" borderId="25" xfId="131" applyNumberFormat="1" applyBorder="1" applyAlignment="1">
      <alignment horizontal="center" vertical="center" wrapText="1"/>
    </xf>
    <xf numFmtId="38" fontId="4" fillId="11" borderId="0" xfId="131" applyNumberFormat="1" applyFill="1" applyAlignment="1">
      <alignment horizontal="center" vertical="center" wrapText="1"/>
    </xf>
    <xf numFmtId="38" fontId="4" fillId="11" borderId="0" xfId="119" applyNumberFormat="1" applyFill="1" applyAlignment="1">
      <alignment horizontal="center" vertical="center" wrapText="1"/>
    </xf>
    <xf numFmtId="38" fontId="4" fillId="0" borderId="0" xfId="119" applyNumberFormat="1" applyAlignment="1">
      <alignment horizontal="center" vertical="center" wrapText="1"/>
    </xf>
    <xf numFmtId="38" fontId="4" fillId="11" borderId="26" xfId="119" applyNumberFormat="1" applyFill="1" applyBorder="1" applyAlignment="1">
      <alignment horizontal="center" vertical="center" wrapText="1"/>
    </xf>
    <xf numFmtId="38" fontId="4" fillId="0" borderId="26" xfId="119" applyNumberFormat="1" applyBorder="1" applyAlignment="1">
      <alignment horizontal="center" vertical="center" wrapText="1"/>
    </xf>
    <xf numFmtId="38" fontId="4" fillId="11" borderId="30" xfId="153" applyNumberFormat="1" applyFill="1" applyBorder="1" applyAlignment="1">
      <alignment horizontal="center" vertical="center" wrapText="1"/>
    </xf>
    <xf numFmtId="38" fontId="4" fillId="0" borderId="30" xfId="153" applyNumberFormat="1" applyBorder="1" applyAlignment="1">
      <alignment horizontal="center" vertical="center" wrapText="1"/>
    </xf>
    <xf numFmtId="38" fontId="4" fillId="11" borderId="30" xfId="131" applyNumberFormat="1" applyFill="1" applyBorder="1" applyAlignment="1">
      <alignment horizontal="center" vertical="center" wrapText="1"/>
    </xf>
    <xf numFmtId="38" fontId="4" fillId="0" borderId="30" xfId="131" applyNumberFormat="1" applyBorder="1" applyAlignment="1">
      <alignment horizontal="center" vertical="center" wrapText="1"/>
    </xf>
    <xf numFmtId="38" fontId="4" fillId="0" borderId="31" xfId="131" applyNumberFormat="1" applyBorder="1" applyAlignment="1">
      <alignment horizontal="center" vertical="center" wrapText="1"/>
    </xf>
    <xf numFmtId="38" fontId="4" fillId="11" borderId="32" xfId="131" applyNumberFormat="1" applyFill="1" applyBorder="1" applyAlignment="1">
      <alignment horizontal="center" vertical="center" wrapText="1"/>
    </xf>
    <xf numFmtId="38" fontId="4" fillId="11" borderId="32" xfId="119" applyNumberFormat="1" applyFill="1" applyBorder="1" applyAlignment="1">
      <alignment horizontal="center" vertical="center" wrapText="1"/>
    </xf>
    <xf numFmtId="38" fontId="4" fillId="0" borderId="32" xfId="119" applyNumberFormat="1" applyBorder="1" applyAlignment="1">
      <alignment horizontal="center" vertical="center" wrapText="1"/>
    </xf>
    <xf numFmtId="38" fontId="4" fillId="11" borderId="33" xfId="119" applyNumberFormat="1" applyFill="1" applyBorder="1" applyAlignment="1">
      <alignment horizontal="center" vertical="center" wrapText="1"/>
    </xf>
    <xf numFmtId="38" fontId="4" fillId="0" borderId="33" xfId="119" applyNumberFormat="1" applyBorder="1" applyAlignment="1">
      <alignment horizontal="center" vertical="center" wrapText="1"/>
    </xf>
    <xf numFmtId="37" fontId="4" fillId="11" borderId="24" xfId="104" applyNumberFormat="1" applyFill="1" applyBorder="1" applyAlignment="1">
      <alignment horizontal="center"/>
    </xf>
    <xf numFmtId="37" fontId="4" fillId="0" borderId="24" xfId="104" applyNumberFormat="1" applyBorder="1" applyAlignment="1">
      <alignment horizontal="center"/>
    </xf>
    <xf numFmtId="37" fontId="4" fillId="11" borderId="24" xfId="141" applyNumberFormat="1" applyFill="1" applyBorder="1" applyAlignment="1">
      <alignment horizontal="center"/>
    </xf>
    <xf numFmtId="37" fontId="4" fillId="0" borderId="24" xfId="141" applyNumberFormat="1" applyBorder="1" applyAlignment="1">
      <alignment horizontal="center"/>
    </xf>
    <xf numFmtId="37" fontId="4" fillId="0" borderId="25" xfId="141" applyNumberFormat="1" applyBorder="1" applyAlignment="1">
      <alignment horizontal="center"/>
    </xf>
    <xf numFmtId="37" fontId="4" fillId="11" borderId="0" xfId="141" applyNumberFormat="1" applyFill="1" applyAlignment="1">
      <alignment horizontal="center"/>
    </xf>
    <xf numFmtId="37" fontId="4" fillId="11" borderId="0" xfId="112" applyNumberFormat="1" applyFill="1" applyAlignment="1">
      <alignment horizontal="center"/>
    </xf>
    <xf numFmtId="37" fontId="4" fillId="0" borderId="0" xfId="112" applyNumberFormat="1" applyAlignment="1">
      <alignment horizontal="center"/>
    </xf>
    <xf numFmtId="37" fontId="4" fillId="11" borderId="26" xfId="112" applyNumberFormat="1" applyFill="1" applyBorder="1" applyAlignment="1">
      <alignment horizontal="center"/>
    </xf>
    <xf numFmtId="37" fontId="4" fillId="0" borderId="26" xfId="112" applyNumberFormat="1" applyBorder="1" applyAlignment="1">
      <alignment horizontal="center"/>
    </xf>
    <xf numFmtId="37" fontId="4" fillId="11" borderId="24" xfId="141" applyNumberFormat="1" applyFill="1" applyBorder="1" applyAlignment="1">
      <alignment horizontal="center" vertical="center"/>
    </xf>
    <xf numFmtId="37" fontId="4" fillId="0" borderId="24" xfId="141" applyNumberFormat="1" applyBorder="1" applyAlignment="1">
      <alignment horizontal="center" vertical="center"/>
    </xf>
    <xf numFmtId="37" fontId="4" fillId="0" borderId="25" xfId="141" applyNumberFormat="1" applyBorder="1" applyAlignment="1">
      <alignment horizontal="center" vertical="center"/>
    </xf>
    <xf numFmtId="37" fontId="4" fillId="11" borderId="0" xfId="141" applyNumberFormat="1" applyFill="1" applyAlignment="1">
      <alignment horizontal="center" vertical="center"/>
    </xf>
    <xf numFmtId="172" fontId="21" fillId="11" borderId="24" xfId="180" applyNumberFormat="1" applyFont="1" applyFill="1" applyBorder="1" applyAlignment="1">
      <alignment horizontal="center" vertical="center"/>
    </xf>
    <xf numFmtId="172" fontId="21" fillId="0" borderId="24" xfId="180" applyNumberFormat="1" applyFont="1" applyFill="1" applyBorder="1" applyAlignment="1">
      <alignment horizontal="center" vertical="center"/>
    </xf>
    <xf numFmtId="172" fontId="21" fillId="11" borderId="24" xfId="172" applyNumberFormat="1" applyFont="1" applyFill="1" applyBorder="1" applyAlignment="1">
      <alignment horizontal="center" vertical="center"/>
    </xf>
    <xf numFmtId="172" fontId="21" fillId="0" borderId="24" xfId="172" applyNumberFormat="1" applyFont="1" applyFill="1" applyBorder="1" applyAlignment="1">
      <alignment horizontal="center" vertical="center"/>
    </xf>
    <xf numFmtId="172" fontId="21" fillId="0" borderId="25" xfId="172" applyNumberFormat="1" applyFont="1" applyFill="1" applyBorder="1" applyAlignment="1">
      <alignment horizontal="center" vertical="center"/>
    </xf>
    <xf numFmtId="172" fontId="21" fillId="11" borderId="0" xfId="172" applyNumberFormat="1" applyFont="1" applyFill="1" applyBorder="1" applyAlignment="1">
      <alignment horizontal="center" vertical="center"/>
    </xf>
    <xf numFmtId="172" fontId="21" fillId="11" borderId="0" xfId="183" applyNumberFormat="1" applyFont="1" applyFill="1" applyBorder="1" applyAlignment="1">
      <alignment horizontal="center" vertical="center"/>
    </xf>
    <xf numFmtId="172" fontId="21" fillId="0" borderId="0" xfId="183" applyNumberFormat="1" applyFont="1" applyFill="1" applyBorder="1" applyAlignment="1">
      <alignment horizontal="center" vertical="center"/>
    </xf>
    <xf numFmtId="172" fontId="21" fillId="11" borderId="26" xfId="183" applyNumberFormat="1" applyFont="1" applyFill="1" applyBorder="1" applyAlignment="1">
      <alignment horizontal="center" vertical="center"/>
    </xf>
    <xf numFmtId="172" fontId="21" fillId="0" borderId="26" xfId="183" applyNumberFormat="1" applyFont="1" applyFill="1" applyBorder="1" applyAlignment="1">
      <alignment horizontal="center" vertical="center"/>
    </xf>
    <xf numFmtId="37" fontId="4" fillId="11" borderId="24" xfId="103" applyNumberFormat="1" applyFill="1" applyBorder="1" applyAlignment="1">
      <alignment horizontal="center" vertical="center"/>
    </xf>
    <xf numFmtId="37" fontId="4" fillId="0" borderId="24" xfId="103" applyNumberFormat="1" applyBorder="1" applyAlignment="1">
      <alignment horizontal="center" vertical="center"/>
    </xf>
    <xf numFmtId="37" fontId="4" fillId="11" borderId="0" xfId="111" applyNumberFormat="1" applyFill="1" applyAlignment="1">
      <alignment horizontal="center" vertical="center"/>
    </xf>
    <xf numFmtId="37" fontId="4" fillId="0" borderId="0" xfId="111" applyNumberFormat="1" applyAlignment="1">
      <alignment horizontal="center" vertical="center"/>
    </xf>
    <xf numFmtId="37" fontId="4" fillId="11" borderId="26" xfId="111" applyNumberFormat="1" applyFill="1" applyBorder="1" applyAlignment="1">
      <alignment horizontal="center" vertical="center"/>
    </xf>
    <xf numFmtId="37" fontId="4" fillId="0" borderId="26" xfId="111" applyNumberFormat="1" applyBorder="1" applyAlignment="1">
      <alignment horizontal="center" vertical="center"/>
    </xf>
    <xf numFmtId="37" fontId="4" fillId="11" borderId="30" xfId="103" applyNumberFormat="1" applyFill="1" applyBorder="1" applyAlignment="1">
      <alignment horizontal="center" vertical="center"/>
    </xf>
    <xf numFmtId="37" fontId="4" fillId="0" borderId="30" xfId="103" applyNumberFormat="1" applyBorder="1" applyAlignment="1">
      <alignment horizontal="center" vertical="center"/>
    </xf>
    <xf numFmtId="37" fontId="4" fillId="11" borderId="30" xfId="141" applyNumberFormat="1" applyFill="1" applyBorder="1" applyAlignment="1">
      <alignment horizontal="center" vertical="center"/>
    </xf>
    <xf numFmtId="37" fontId="4" fillId="0" borderId="30" xfId="141" applyNumberFormat="1" applyBorder="1" applyAlignment="1">
      <alignment horizontal="center" vertical="center"/>
    </xf>
    <xf numFmtId="37" fontId="4" fillId="0" borderId="31" xfId="141" applyNumberFormat="1" applyBorder="1" applyAlignment="1">
      <alignment horizontal="center" vertical="center"/>
    </xf>
    <xf numFmtId="37" fontId="4" fillId="11" borderId="32" xfId="141" applyNumberFormat="1" applyFill="1" applyBorder="1" applyAlignment="1">
      <alignment horizontal="center" vertical="center"/>
    </xf>
    <xf numFmtId="37" fontId="4" fillId="11" borderId="32" xfId="111" applyNumberFormat="1" applyFill="1" applyBorder="1" applyAlignment="1">
      <alignment horizontal="center" vertical="center"/>
    </xf>
    <xf numFmtId="37" fontId="4" fillId="0" borderId="32" xfId="111" applyNumberFormat="1" applyBorder="1" applyAlignment="1">
      <alignment horizontal="center" vertical="center"/>
    </xf>
    <xf numFmtId="37" fontId="4" fillId="11" borderId="33" xfId="111" applyNumberFormat="1" applyFill="1" applyBorder="1" applyAlignment="1">
      <alignment horizontal="center" vertical="center"/>
    </xf>
    <xf numFmtId="37" fontId="4" fillId="0" borderId="33" xfId="111" applyNumberFormat="1" applyBorder="1" applyAlignment="1">
      <alignment horizontal="center" vertical="center"/>
    </xf>
    <xf numFmtId="2" fontId="4" fillId="11" borderId="24" xfId="60" applyNumberFormat="1" applyFont="1" applyFill="1" applyBorder="1" applyAlignment="1">
      <alignment horizontal="center"/>
    </xf>
    <xf numFmtId="2" fontId="4" fillId="0" borderId="24" xfId="60" applyNumberFormat="1" applyFont="1" applyFill="1" applyBorder="1" applyAlignment="1">
      <alignment horizontal="center"/>
    </xf>
    <xf numFmtId="2" fontId="4" fillId="11" borderId="24" xfId="69" applyNumberFormat="1" applyFont="1" applyFill="1" applyBorder="1" applyAlignment="1">
      <alignment horizontal="center"/>
    </xf>
    <xf numFmtId="2" fontId="4" fillId="0" borderId="24" xfId="69" applyNumberFormat="1" applyFont="1" applyFill="1" applyBorder="1" applyAlignment="1">
      <alignment horizontal="center"/>
    </xf>
    <xf numFmtId="2" fontId="4" fillId="0" borderId="25" xfId="69" applyNumberFormat="1" applyFont="1" applyFill="1" applyBorder="1" applyAlignment="1">
      <alignment horizontal="center"/>
    </xf>
    <xf numFmtId="2" fontId="4" fillId="11" borderId="0" xfId="69" applyNumberFormat="1" applyFont="1" applyFill="1" applyBorder="1" applyAlignment="1">
      <alignment horizontal="center"/>
    </xf>
    <xf numFmtId="2" fontId="4" fillId="11" borderId="0" xfId="66" applyNumberFormat="1" applyFont="1" applyFill="1" applyBorder="1" applyAlignment="1">
      <alignment horizontal="center"/>
    </xf>
    <xf numFmtId="2" fontId="4" fillId="0" borderId="0" xfId="66" applyNumberFormat="1" applyFont="1" applyFill="1" applyBorder="1" applyAlignment="1">
      <alignment horizontal="center"/>
    </xf>
    <xf numFmtId="2" fontId="4" fillId="11" borderId="26" xfId="66" applyNumberFormat="1" applyFont="1" applyFill="1" applyBorder="1" applyAlignment="1">
      <alignment horizontal="center"/>
    </xf>
    <xf numFmtId="2" fontId="4" fillId="0" borderId="26" xfId="66" applyNumberFormat="1" applyFont="1" applyFill="1" applyBorder="1" applyAlignment="1">
      <alignment horizontal="center"/>
    </xf>
    <xf numFmtId="37" fontId="4" fillId="11" borderId="24" xfId="157" applyNumberFormat="1" applyFill="1" applyBorder="1" applyAlignment="1">
      <alignment horizontal="center"/>
    </xf>
    <xf numFmtId="37" fontId="4" fillId="0" borderId="24" xfId="157" applyNumberFormat="1" applyBorder="1" applyAlignment="1">
      <alignment horizontal="center"/>
    </xf>
    <xf numFmtId="37" fontId="4" fillId="11" borderId="24" xfId="130" applyNumberFormat="1" applyFill="1" applyBorder="1" applyAlignment="1">
      <alignment horizontal="center"/>
    </xf>
    <xf numFmtId="37" fontId="4" fillId="0" borderId="24" xfId="130" applyNumberFormat="1" applyBorder="1" applyAlignment="1">
      <alignment horizontal="center"/>
    </xf>
    <xf numFmtId="37" fontId="4" fillId="0" borderId="25" xfId="130" applyNumberFormat="1" applyBorder="1" applyAlignment="1">
      <alignment horizontal="center"/>
    </xf>
    <xf numFmtId="37" fontId="4" fillId="11" borderId="0" xfId="130" applyNumberFormat="1" applyFill="1" applyAlignment="1">
      <alignment horizontal="center"/>
    </xf>
    <xf numFmtId="37" fontId="4" fillId="11" borderId="0" xfId="119" applyNumberFormat="1" applyFill="1" applyAlignment="1">
      <alignment horizontal="center"/>
    </xf>
    <xf numFmtId="37" fontId="4" fillId="0" borderId="0" xfId="119" applyNumberFormat="1" applyAlignment="1">
      <alignment horizontal="center"/>
    </xf>
    <xf numFmtId="37" fontId="4" fillId="11" borderId="26" xfId="119" applyNumberFormat="1" applyFill="1" applyBorder="1" applyAlignment="1">
      <alignment horizontal="center"/>
    </xf>
    <xf numFmtId="37" fontId="4" fillId="0" borderId="26" xfId="119" applyNumberFormat="1" applyBorder="1" applyAlignment="1">
      <alignment horizontal="center"/>
    </xf>
    <xf numFmtId="172" fontId="21" fillId="11" borderId="24" xfId="178" applyNumberFormat="1" applyFont="1" applyFill="1" applyBorder="1" applyAlignment="1">
      <alignment horizontal="center"/>
    </xf>
    <xf numFmtId="172" fontId="21" fillId="0" borderId="24" xfId="178" applyNumberFormat="1" applyFont="1" applyFill="1" applyBorder="1" applyAlignment="1">
      <alignment horizontal="center"/>
    </xf>
    <xf numFmtId="172" fontId="21" fillId="11" borderId="24" xfId="191" applyNumberFormat="1" applyFont="1" applyFill="1" applyBorder="1" applyAlignment="1">
      <alignment horizontal="center"/>
    </xf>
    <xf numFmtId="172" fontId="21" fillId="0" borderId="24" xfId="191" applyNumberFormat="1" applyFont="1" applyFill="1" applyBorder="1" applyAlignment="1">
      <alignment horizontal="center"/>
    </xf>
    <xf numFmtId="172" fontId="21" fillId="0" borderId="25" xfId="191" applyNumberFormat="1" applyFont="1" applyFill="1" applyBorder="1" applyAlignment="1">
      <alignment horizontal="center"/>
    </xf>
    <xf numFmtId="172" fontId="21" fillId="11" borderId="0" xfId="191" applyNumberFormat="1" applyFont="1" applyFill="1" applyBorder="1" applyAlignment="1">
      <alignment horizontal="center"/>
    </xf>
    <xf numFmtId="172" fontId="21" fillId="11" borderId="0" xfId="188" applyNumberFormat="1" applyFont="1" applyFill="1" applyBorder="1" applyAlignment="1">
      <alignment horizontal="center"/>
    </xf>
    <xf numFmtId="172" fontId="21" fillId="0" borderId="0" xfId="188" applyNumberFormat="1" applyFont="1" applyFill="1" applyBorder="1" applyAlignment="1">
      <alignment horizontal="center"/>
    </xf>
    <xf numFmtId="172" fontId="21" fillId="11" borderId="26" xfId="188" applyNumberFormat="1" applyFont="1" applyFill="1" applyBorder="1" applyAlignment="1">
      <alignment horizontal="center"/>
    </xf>
    <xf numFmtId="172" fontId="21" fillId="0" borderId="26" xfId="188" applyNumberFormat="1" applyFont="1" applyFill="1" applyBorder="1" applyAlignment="1">
      <alignment horizontal="center"/>
    </xf>
    <xf numFmtId="37" fontId="21" fillId="11" borderId="24" xfId="157" applyNumberFormat="1" applyFont="1" applyFill="1" applyBorder="1" applyAlignment="1">
      <alignment horizontal="center"/>
    </xf>
    <xf numFmtId="37" fontId="21" fillId="0" borderId="24" xfId="157" applyNumberFormat="1" applyFont="1" applyBorder="1" applyAlignment="1">
      <alignment horizontal="center"/>
    </xf>
    <xf numFmtId="37" fontId="21" fillId="11" borderId="24" xfId="130" applyNumberFormat="1" applyFont="1" applyFill="1" applyBorder="1" applyAlignment="1">
      <alignment horizontal="center"/>
    </xf>
    <xf numFmtId="37" fontId="21" fillId="0" borderId="24" xfId="130" applyNumberFormat="1" applyFont="1" applyBorder="1" applyAlignment="1">
      <alignment horizontal="center"/>
    </xf>
    <xf numFmtId="37" fontId="21" fillId="0" borderId="25" xfId="130" applyNumberFormat="1" applyFont="1" applyBorder="1" applyAlignment="1">
      <alignment horizontal="center"/>
    </xf>
    <xf numFmtId="37" fontId="21" fillId="11" borderId="0" xfId="130" applyNumberFormat="1" applyFont="1" applyFill="1" applyAlignment="1">
      <alignment horizontal="center"/>
    </xf>
    <xf numFmtId="37" fontId="21" fillId="11" borderId="0" xfId="119" applyNumberFormat="1" applyFont="1" applyFill="1" applyAlignment="1">
      <alignment horizontal="center"/>
    </xf>
    <xf numFmtId="37" fontId="21" fillId="0" borderId="0" xfId="119" applyNumberFormat="1" applyFont="1" applyAlignment="1">
      <alignment horizontal="center"/>
    </xf>
    <xf numFmtId="37" fontId="21" fillId="11" borderId="26" xfId="119" applyNumberFormat="1" applyFont="1" applyFill="1" applyBorder="1" applyAlignment="1">
      <alignment horizontal="center"/>
    </xf>
    <xf numFmtId="37" fontId="21" fillId="0" borderId="26" xfId="119" applyNumberFormat="1" applyFont="1" applyBorder="1" applyAlignment="1">
      <alignment horizontal="center"/>
    </xf>
    <xf numFmtId="1" fontId="4" fillId="0" borderId="24" xfId="130" applyNumberFormat="1" applyBorder="1" applyAlignment="1">
      <alignment horizontal="center" vertical="center"/>
    </xf>
    <xf numFmtId="1" fontId="4" fillId="0" borderId="25" xfId="130" applyNumberFormat="1" applyBorder="1" applyAlignment="1">
      <alignment horizontal="center" vertical="center"/>
    </xf>
    <xf numFmtId="1" fontId="4" fillId="0" borderId="0" xfId="130" applyNumberFormat="1" applyAlignment="1">
      <alignment horizontal="center" vertical="center"/>
    </xf>
    <xf numFmtId="172" fontId="4" fillId="11" borderId="24" xfId="177" applyNumberFormat="1" applyFont="1" applyFill="1" applyBorder="1" applyAlignment="1">
      <alignment horizontal="center"/>
    </xf>
    <xf numFmtId="172" fontId="4" fillId="0" borderId="24" xfId="177" applyNumberFormat="1" applyFont="1" applyFill="1" applyBorder="1" applyAlignment="1">
      <alignment horizontal="center"/>
    </xf>
    <xf numFmtId="172" fontId="4" fillId="11" borderId="24" xfId="191" applyNumberFormat="1" applyFont="1" applyFill="1" applyBorder="1" applyAlignment="1">
      <alignment horizontal="center"/>
    </xf>
    <xf numFmtId="172" fontId="4" fillId="0" borderId="24" xfId="191" applyNumberFormat="1" applyFont="1" applyFill="1" applyBorder="1" applyAlignment="1">
      <alignment horizontal="center"/>
    </xf>
    <xf numFmtId="172" fontId="4" fillId="0" borderId="25" xfId="191" applyNumberFormat="1" applyFont="1" applyFill="1" applyBorder="1" applyAlignment="1">
      <alignment horizontal="center"/>
    </xf>
    <xf numFmtId="172" fontId="4" fillId="11" borderId="0" xfId="191" applyNumberFormat="1" applyFont="1" applyFill="1" applyBorder="1" applyAlignment="1">
      <alignment horizontal="center"/>
    </xf>
    <xf numFmtId="172" fontId="4" fillId="11" borderId="0" xfId="187" applyNumberFormat="1" applyFont="1" applyFill="1" applyBorder="1" applyAlignment="1">
      <alignment horizontal="center"/>
    </xf>
    <xf numFmtId="172" fontId="4" fillId="0" borderId="0" xfId="187" applyNumberFormat="1" applyFont="1" applyFill="1" applyBorder="1" applyAlignment="1">
      <alignment horizontal="center"/>
    </xf>
    <xf numFmtId="172" fontId="4" fillId="11" borderId="26" xfId="187" applyNumberFormat="1" applyFont="1" applyFill="1" applyBorder="1" applyAlignment="1">
      <alignment horizontal="center"/>
    </xf>
    <xf numFmtId="172" fontId="4" fillId="0" borderId="26" xfId="187" applyNumberFormat="1" applyFont="1" applyFill="1" applyBorder="1" applyAlignment="1">
      <alignment horizontal="center"/>
    </xf>
    <xf numFmtId="173" fontId="4" fillId="11" borderId="24" xfId="130" applyNumberFormat="1" applyFill="1" applyBorder="1" applyAlignment="1">
      <alignment horizontal="center" vertical="center"/>
    </xf>
    <xf numFmtId="173" fontId="4" fillId="0" borderId="24" xfId="130" applyNumberFormat="1" applyBorder="1" applyAlignment="1">
      <alignment horizontal="center" vertical="center"/>
    </xf>
    <xf numFmtId="173" fontId="4" fillId="0" borderId="25" xfId="130" applyNumberFormat="1" applyBorder="1" applyAlignment="1">
      <alignment horizontal="center" vertical="center"/>
    </xf>
    <xf numFmtId="173" fontId="4" fillId="11" borderId="0" xfId="130" applyNumberFormat="1" applyFill="1" applyAlignment="1">
      <alignment horizontal="center" vertical="center"/>
    </xf>
    <xf numFmtId="172" fontId="4" fillId="11" borderId="0" xfId="119" applyNumberFormat="1" applyFill="1" applyAlignment="1">
      <alignment horizontal="center"/>
    </xf>
    <xf numFmtId="172" fontId="4" fillId="0" borderId="0" xfId="119" applyNumberFormat="1" applyAlignment="1">
      <alignment horizontal="center"/>
    </xf>
    <xf numFmtId="172" fontId="4" fillId="11" borderId="26" xfId="119" applyNumberFormat="1" applyFill="1" applyBorder="1" applyAlignment="1">
      <alignment horizontal="center"/>
    </xf>
    <xf numFmtId="172" fontId="4" fillId="0" borderId="26" xfId="119" applyNumberFormat="1" applyBorder="1" applyAlignment="1">
      <alignment horizontal="center"/>
    </xf>
    <xf numFmtId="172" fontId="4" fillId="11" borderId="24" xfId="176" applyNumberFormat="1" applyFont="1" applyFill="1" applyBorder="1" applyAlignment="1">
      <alignment horizontal="center" vertical="center"/>
    </xf>
    <xf numFmtId="172" fontId="4" fillId="0" borderId="24" xfId="176" applyNumberFormat="1" applyFont="1" applyFill="1" applyBorder="1" applyAlignment="1">
      <alignment horizontal="center" vertical="center"/>
    </xf>
    <xf numFmtId="172" fontId="4" fillId="11" borderId="24" xfId="191" applyNumberFormat="1" applyFont="1" applyFill="1" applyBorder="1" applyAlignment="1">
      <alignment horizontal="center" vertical="center"/>
    </xf>
    <xf numFmtId="172" fontId="4" fillId="0" borderId="24" xfId="191" applyNumberFormat="1" applyFont="1" applyFill="1" applyBorder="1" applyAlignment="1">
      <alignment horizontal="center" vertical="center"/>
    </xf>
    <xf numFmtId="172" fontId="4" fillId="0" borderId="25" xfId="191" applyNumberFormat="1" applyFont="1" applyFill="1" applyBorder="1" applyAlignment="1">
      <alignment horizontal="center" vertical="center"/>
    </xf>
    <xf numFmtId="172" fontId="4" fillId="11" borderId="0" xfId="191" applyNumberFormat="1" applyFont="1" applyFill="1" applyBorder="1" applyAlignment="1">
      <alignment horizontal="center" vertical="center"/>
    </xf>
    <xf numFmtId="172" fontId="4" fillId="11" borderId="0" xfId="187" applyNumberFormat="1" applyFont="1" applyFill="1" applyBorder="1" applyAlignment="1">
      <alignment horizontal="center" vertical="center"/>
    </xf>
    <xf numFmtId="172" fontId="4" fillId="0" borderId="0" xfId="187" applyNumberFormat="1" applyFont="1" applyFill="1" applyBorder="1" applyAlignment="1">
      <alignment horizontal="center" vertical="center"/>
    </xf>
    <xf numFmtId="172" fontId="4" fillId="11" borderId="26" xfId="187" applyNumberFormat="1" applyFont="1" applyFill="1" applyBorder="1" applyAlignment="1">
      <alignment horizontal="center" vertical="center"/>
    </xf>
    <xf numFmtId="172" fontId="4" fillId="0" borderId="26" xfId="187" applyNumberFormat="1" applyFont="1" applyFill="1" applyBorder="1" applyAlignment="1">
      <alignment horizontal="center" vertical="center"/>
    </xf>
    <xf numFmtId="173" fontId="4" fillId="11" borderId="0" xfId="119" applyNumberFormat="1" applyFill="1" applyAlignment="1">
      <alignment horizontal="center" vertical="center"/>
    </xf>
    <xf numFmtId="173" fontId="4" fillId="0" borderId="0" xfId="119" applyNumberFormat="1" applyAlignment="1">
      <alignment horizontal="center" vertical="center"/>
    </xf>
    <xf numFmtId="173" fontId="4" fillId="11" borderId="26" xfId="119" applyNumberFormat="1" applyFill="1" applyBorder="1" applyAlignment="1">
      <alignment horizontal="center" vertical="center"/>
    </xf>
    <xf numFmtId="173" fontId="4" fillId="0" borderId="26" xfId="119" applyNumberFormat="1" applyBorder="1" applyAlignment="1">
      <alignment horizontal="center" vertical="center"/>
    </xf>
    <xf numFmtId="39" fontId="4" fillId="11" borderId="24" xfId="156" applyNumberFormat="1" applyFill="1" applyBorder="1" applyAlignment="1">
      <alignment horizontal="center"/>
    </xf>
    <xf numFmtId="39" fontId="4" fillId="0" borderId="24" xfId="156" applyNumberFormat="1" applyBorder="1" applyAlignment="1">
      <alignment horizontal="center"/>
    </xf>
    <xf numFmtId="39" fontId="4" fillId="11" borderId="24" xfId="130" applyNumberFormat="1" applyFill="1" applyBorder="1" applyAlignment="1">
      <alignment horizontal="center"/>
    </xf>
    <xf numFmtId="39" fontId="4" fillId="0" borderId="24" xfId="130" applyNumberFormat="1" applyBorder="1" applyAlignment="1">
      <alignment horizontal="center"/>
    </xf>
    <xf numFmtId="39" fontId="4" fillId="0" borderId="25" xfId="130" applyNumberFormat="1" applyBorder="1" applyAlignment="1">
      <alignment horizontal="center"/>
    </xf>
    <xf numFmtId="39" fontId="4" fillId="11" borderId="0" xfId="130" applyNumberFormat="1" applyFill="1" applyAlignment="1">
      <alignment horizontal="center"/>
    </xf>
    <xf numFmtId="39" fontId="4" fillId="11" borderId="0" xfId="119" applyNumberFormat="1" applyFill="1" applyAlignment="1">
      <alignment horizontal="center"/>
    </xf>
    <xf numFmtId="39" fontId="4" fillId="0" borderId="0" xfId="119" applyNumberFormat="1" applyAlignment="1">
      <alignment horizontal="center"/>
    </xf>
    <xf numFmtId="39" fontId="4" fillId="11" borderId="26" xfId="119" applyNumberFormat="1" applyFill="1" applyBorder="1" applyAlignment="1">
      <alignment horizontal="center"/>
    </xf>
    <xf numFmtId="39" fontId="4" fillId="0" borderId="26" xfId="119" applyNumberFormat="1" applyBorder="1" applyAlignment="1">
      <alignment horizontal="center"/>
    </xf>
    <xf numFmtId="37" fontId="4" fillId="11" borderId="24" xfId="156" applyNumberFormat="1" applyFill="1" applyBorder="1" applyAlignment="1">
      <alignment horizontal="center"/>
    </xf>
    <xf numFmtId="37" fontId="4" fillId="0" borderId="24" xfId="156" applyNumberFormat="1" applyBorder="1" applyAlignment="1">
      <alignment horizontal="center"/>
    </xf>
    <xf numFmtId="37" fontId="4" fillId="11" borderId="24" xfId="152" applyNumberFormat="1" applyFill="1" applyBorder="1" applyAlignment="1">
      <alignment horizontal="center"/>
    </xf>
    <xf numFmtId="37" fontId="4" fillId="0" borderId="24" xfId="152" applyNumberFormat="1" applyBorder="1" applyAlignment="1">
      <alignment horizontal="center"/>
    </xf>
    <xf numFmtId="39" fontId="4" fillId="0" borderId="0" xfId="130" applyNumberFormat="1" applyAlignment="1">
      <alignment horizontal="center"/>
    </xf>
    <xf numFmtId="173" fontId="4" fillId="11" borderId="24" xfId="151" applyNumberFormat="1" applyFill="1" applyBorder="1" applyAlignment="1">
      <alignment horizontal="center" vertical="center"/>
    </xf>
    <xf numFmtId="173" fontId="4" fillId="0" borderId="24" xfId="151" applyNumberFormat="1" applyBorder="1" applyAlignment="1">
      <alignment horizontal="center" vertical="center"/>
    </xf>
    <xf numFmtId="1" fontId="4" fillId="11" borderId="24" xfId="151" applyNumberFormat="1" applyFill="1" applyBorder="1" applyAlignment="1">
      <alignment horizontal="center" vertical="center"/>
    </xf>
    <xf numFmtId="1" fontId="4" fillId="0" borderId="24" xfId="151" applyNumberFormat="1" applyBorder="1" applyAlignment="1">
      <alignment horizontal="center" vertical="center"/>
    </xf>
    <xf numFmtId="1" fontId="4" fillId="11" borderId="24" xfId="130" applyNumberFormat="1" applyFill="1" applyBorder="1" applyAlignment="1">
      <alignment horizontal="center" vertical="center"/>
    </xf>
    <xf numFmtId="1" fontId="4" fillId="11" borderId="0" xfId="130" applyNumberFormat="1" applyFill="1" applyAlignment="1">
      <alignment horizontal="center" vertical="center"/>
    </xf>
    <xf numFmtId="1" fontId="4" fillId="11" borderId="0" xfId="119" applyNumberFormat="1" applyFill="1" applyAlignment="1">
      <alignment horizontal="center" vertical="center"/>
    </xf>
    <xf numFmtId="1" fontId="4" fillId="0" borderId="0" xfId="119" applyNumberFormat="1" applyAlignment="1">
      <alignment horizontal="center" vertical="center"/>
    </xf>
    <xf numFmtId="1" fontId="4" fillId="11" borderId="26" xfId="119" applyNumberFormat="1" applyFill="1" applyBorder="1" applyAlignment="1">
      <alignment horizontal="center" vertical="center"/>
    </xf>
    <xf numFmtId="1" fontId="4" fillId="0" borderId="26" xfId="119" applyNumberFormat="1" applyBorder="1" applyAlignment="1">
      <alignment horizontal="center" vertical="center"/>
    </xf>
    <xf numFmtId="172" fontId="4" fillId="11" borderId="24" xfId="119" applyNumberFormat="1" applyFill="1" applyBorder="1" applyAlignment="1">
      <alignment horizontal="center" vertical="center"/>
    </xf>
    <xf numFmtId="172" fontId="4" fillId="0" borderId="24" xfId="119" applyNumberFormat="1" applyBorder="1" applyAlignment="1">
      <alignment horizontal="center" vertical="center"/>
    </xf>
    <xf numFmtId="172" fontId="4" fillId="0" borderId="25" xfId="119" applyNumberFormat="1" applyBorder="1" applyAlignment="1">
      <alignment horizontal="center" vertical="center"/>
    </xf>
    <xf numFmtId="172" fontId="4" fillId="11" borderId="0" xfId="119" applyNumberFormat="1" applyFill="1" applyAlignment="1">
      <alignment horizontal="center" vertical="center"/>
    </xf>
    <xf numFmtId="172" fontId="4" fillId="0" borderId="0" xfId="119" applyNumberFormat="1" applyAlignment="1">
      <alignment horizontal="center" vertical="center"/>
    </xf>
    <xf numFmtId="172" fontId="4" fillId="11" borderId="26" xfId="119" applyNumberFormat="1" applyFill="1" applyBorder="1" applyAlignment="1">
      <alignment horizontal="center" vertical="center"/>
    </xf>
    <xf numFmtId="172" fontId="4" fillId="0" borderId="26" xfId="119" applyNumberFormat="1" applyBorder="1" applyAlignment="1">
      <alignment horizontal="center" vertical="center"/>
    </xf>
    <xf numFmtId="172" fontId="4" fillId="0" borderId="24" xfId="150" applyNumberFormat="1" applyBorder="1" applyAlignment="1">
      <alignment horizontal="center" vertical="center"/>
    </xf>
    <xf numFmtId="172" fontId="4" fillId="11" borderId="24" xfId="150" applyNumberFormat="1" applyFill="1" applyBorder="1" applyAlignment="1">
      <alignment horizontal="center" vertical="center"/>
    </xf>
    <xf numFmtId="172" fontId="4" fillId="11" borderId="24" xfId="130" applyNumberFormat="1" applyFill="1" applyBorder="1" applyAlignment="1">
      <alignment horizontal="center" vertical="center"/>
    </xf>
    <xf numFmtId="172" fontId="4" fillId="0" borderId="24" xfId="130" applyNumberFormat="1" applyBorder="1" applyAlignment="1">
      <alignment horizontal="center" vertical="center"/>
    </xf>
    <xf numFmtId="172" fontId="4" fillId="0" borderId="25" xfId="130" applyNumberFormat="1" applyBorder="1" applyAlignment="1">
      <alignment horizontal="center" vertical="center"/>
    </xf>
    <xf numFmtId="172" fontId="4" fillId="11" borderId="0" xfId="130" applyNumberFormat="1" applyFill="1" applyAlignment="1">
      <alignment horizontal="center" vertical="center"/>
    </xf>
    <xf numFmtId="172" fontId="4" fillId="11" borderId="24" xfId="173" applyNumberFormat="1" applyFont="1" applyFill="1" applyBorder="1" applyAlignment="1">
      <alignment horizontal="center"/>
    </xf>
    <xf numFmtId="172" fontId="4" fillId="0" borderId="24" xfId="173" applyNumberFormat="1" applyFont="1" applyFill="1" applyBorder="1" applyAlignment="1">
      <alignment horizontal="center"/>
    </xf>
    <xf numFmtId="172" fontId="4" fillId="11" borderId="0" xfId="186" applyNumberFormat="1" applyFont="1" applyFill="1" applyBorder="1" applyAlignment="1">
      <alignment horizontal="center"/>
    </xf>
    <xf numFmtId="172" fontId="4" fillId="0" borderId="0" xfId="186" applyNumberFormat="1" applyFont="1" applyFill="1" applyBorder="1" applyAlignment="1">
      <alignment horizontal="center"/>
    </xf>
    <xf numFmtId="172" fontId="4" fillId="11" borderId="26" xfId="186" applyNumberFormat="1" applyFont="1" applyFill="1" applyBorder="1" applyAlignment="1">
      <alignment horizontal="center"/>
    </xf>
    <xf numFmtId="172" fontId="4" fillId="0" borderId="26" xfId="186" applyNumberFormat="1" applyFont="1" applyFill="1" applyBorder="1" applyAlignment="1">
      <alignment horizontal="center"/>
    </xf>
    <xf numFmtId="37" fontId="4" fillId="11" borderId="24" xfId="150" applyNumberFormat="1" applyFill="1" applyBorder="1" applyAlignment="1">
      <alignment horizontal="center"/>
    </xf>
    <xf numFmtId="37" fontId="4" fillId="0" borderId="24" xfId="150" applyNumberFormat="1" applyBorder="1" applyAlignment="1">
      <alignment horizontal="center"/>
    </xf>
    <xf numFmtId="37" fontId="4" fillId="11" borderId="24" xfId="149" applyNumberFormat="1" applyFill="1" applyBorder="1" applyAlignment="1">
      <alignment horizontal="center"/>
    </xf>
    <xf numFmtId="37" fontId="4" fillId="0" borderId="24" xfId="149" applyNumberFormat="1" applyBorder="1" applyAlignment="1">
      <alignment horizontal="center"/>
    </xf>
    <xf numFmtId="37" fontId="22" fillId="11" borderId="0" xfId="119" applyNumberFormat="1" applyFont="1" applyFill="1" applyAlignment="1">
      <alignment horizontal="center"/>
    </xf>
    <xf numFmtId="37" fontId="22" fillId="0" borderId="0" xfId="119" applyNumberFormat="1" applyFont="1" applyAlignment="1">
      <alignment horizontal="center"/>
    </xf>
    <xf numFmtId="37" fontId="22" fillId="11" borderId="26" xfId="119" applyNumberFormat="1" applyFont="1" applyFill="1" applyBorder="1" applyAlignment="1">
      <alignment horizontal="center"/>
    </xf>
    <xf numFmtId="37" fontId="22" fillId="0" borderId="26" xfId="119" applyNumberFormat="1" applyFont="1" applyBorder="1" applyAlignment="1">
      <alignment horizontal="center"/>
    </xf>
    <xf numFmtId="172" fontId="21" fillId="11" borderId="24" xfId="171" applyNumberFormat="1" applyFont="1" applyFill="1" applyBorder="1" applyAlignment="1">
      <alignment horizontal="center" vertical="center"/>
    </xf>
    <xf numFmtId="172" fontId="21" fillId="0" borderId="24" xfId="171" applyNumberFormat="1" applyFont="1" applyFill="1" applyBorder="1" applyAlignment="1">
      <alignment horizontal="center" vertical="center"/>
    </xf>
    <xf numFmtId="172" fontId="21" fillId="0" borderId="25" xfId="171" applyNumberFormat="1" applyFont="1" applyFill="1" applyBorder="1" applyAlignment="1">
      <alignment horizontal="center" vertical="center"/>
    </xf>
    <xf numFmtId="172" fontId="21" fillId="11" borderId="0" xfId="171" applyNumberFormat="1" applyFont="1" applyFill="1" applyBorder="1" applyAlignment="1">
      <alignment horizontal="center" vertical="center"/>
    </xf>
    <xf numFmtId="172" fontId="21" fillId="11" borderId="0" xfId="182" applyNumberFormat="1" applyFont="1" applyFill="1" applyBorder="1" applyAlignment="1">
      <alignment horizontal="center" vertical="center"/>
    </xf>
    <xf numFmtId="172" fontId="21" fillId="0" borderId="0" xfId="182" applyNumberFormat="1" applyFont="1" applyFill="1" applyBorder="1" applyAlignment="1">
      <alignment horizontal="center" vertical="center"/>
    </xf>
    <xf numFmtId="172" fontId="21" fillId="11" borderId="26" xfId="182" applyNumberFormat="1" applyFont="1" applyFill="1" applyBorder="1" applyAlignment="1">
      <alignment horizontal="center" vertical="center"/>
    </xf>
    <xf numFmtId="172" fontId="21" fillId="0" borderId="26" xfId="182" applyNumberFormat="1" applyFont="1" applyFill="1" applyBorder="1" applyAlignment="1">
      <alignment horizontal="center" vertical="center"/>
    </xf>
    <xf numFmtId="37" fontId="4" fillId="11" borderId="24" xfId="140" applyNumberFormat="1" applyFill="1" applyBorder="1" applyAlignment="1">
      <alignment horizontal="center" vertical="center"/>
    </xf>
    <xf numFmtId="37" fontId="4" fillId="0" borderId="24" xfId="140" applyNumberFormat="1" applyBorder="1" applyAlignment="1">
      <alignment horizontal="center" vertical="center"/>
    </xf>
    <xf numFmtId="37" fontId="4" fillId="0" borderId="25" xfId="140" applyNumberFormat="1" applyBorder="1" applyAlignment="1">
      <alignment horizontal="center" vertical="center"/>
    </xf>
    <xf numFmtId="37" fontId="4" fillId="11" borderId="0" xfId="140" applyNumberFormat="1" applyFill="1" applyAlignment="1">
      <alignment horizontal="center" vertical="center"/>
    </xf>
    <xf numFmtId="37" fontId="4" fillId="11" borderId="0" xfId="110" applyNumberFormat="1" applyFill="1" applyAlignment="1">
      <alignment horizontal="center" vertical="center"/>
    </xf>
    <xf numFmtId="37" fontId="4" fillId="0" borderId="0" xfId="110" applyNumberFormat="1" applyAlignment="1">
      <alignment horizontal="center" vertical="center"/>
    </xf>
    <xf numFmtId="37" fontId="4" fillId="11" borderId="26" xfId="110" applyNumberFormat="1" applyFill="1" applyBorder="1" applyAlignment="1">
      <alignment horizontal="center" vertical="center"/>
    </xf>
    <xf numFmtId="37" fontId="4" fillId="0" borderId="26" xfId="110" applyNumberFormat="1" applyBorder="1" applyAlignment="1">
      <alignment horizontal="center" vertical="center"/>
    </xf>
    <xf numFmtId="37" fontId="4" fillId="11" borderId="30" xfId="140" applyNumberFormat="1" applyFill="1" applyBorder="1" applyAlignment="1">
      <alignment horizontal="center" vertical="center"/>
    </xf>
    <xf numFmtId="37" fontId="4" fillId="0" borderId="30" xfId="140" applyNumberFormat="1" applyBorder="1" applyAlignment="1">
      <alignment horizontal="center" vertical="center"/>
    </xf>
    <xf numFmtId="37" fontId="4" fillId="0" borderId="31" xfId="140" applyNumberFormat="1" applyBorder="1" applyAlignment="1">
      <alignment horizontal="center" vertical="center"/>
    </xf>
    <xf numFmtId="37" fontId="4" fillId="11" borderId="32" xfId="140" applyNumberFormat="1" applyFill="1" applyBorder="1" applyAlignment="1">
      <alignment horizontal="center" vertical="center"/>
    </xf>
    <xf numFmtId="37" fontId="4" fillId="11" borderId="32" xfId="110" applyNumberFormat="1" applyFill="1" applyBorder="1" applyAlignment="1">
      <alignment horizontal="center" vertical="center"/>
    </xf>
    <xf numFmtId="37" fontId="4" fillId="0" borderId="32" xfId="110" applyNumberFormat="1" applyBorder="1" applyAlignment="1">
      <alignment horizontal="center" vertical="center"/>
    </xf>
    <xf numFmtId="37" fontId="4" fillId="11" borderId="33" xfId="110" applyNumberFormat="1" applyFill="1" applyBorder="1" applyAlignment="1">
      <alignment horizontal="center" vertical="center"/>
    </xf>
    <xf numFmtId="37" fontId="4" fillId="0" borderId="33" xfId="110" applyNumberFormat="1" applyBorder="1" applyAlignment="1">
      <alignment horizontal="center" vertical="center"/>
    </xf>
    <xf numFmtId="37" fontId="22" fillId="0" borderId="0" xfId="128" applyNumberFormat="1" applyFont="1" applyAlignment="1">
      <alignment horizontal="center"/>
    </xf>
    <xf numFmtId="37" fontId="22" fillId="0" borderId="26" xfId="128" applyNumberFormat="1" applyFont="1" applyBorder="1" applyAlignment="1">
      <alignment horizontal="center"/>
    </xf>
    <xf numFmtId="37" fontId="22" fillId="11" borderId="24" xfId="148" applyNumberFormat="1" applyFont="1" applyFill="1" applyBorder="1" applyAlignment="1">
      <alignment horizontal="center"/>
    </xf>
    <xf numFmtId="37" fontId="22" fillId="0" borderId="24" xfId="148" applyNumberFormat="1" applyFont="1" applyBorder="1" applyAlignment="1">
      <alignment horizontal="center"/>
    </xf>
    <xf numFmtId="37" fontId="22" fillId="11" borderId="24" xfId="128" applyNumberFormat="1" applyFont="1" applyFill="1" applyBorder="1" applyAlignment="1">
      <alignment horizontal="center"/>
    </xf>
    <xf numFmtId="37" fontId="22" fillId="0" borderId="24" xfId="128" applyNumberFormat="1" applyFont="1" applyBorder="1" applyAlignment="1">
      <alignment horizontal="center"/>
    </xf>
    <xf numFmtId="37" fontId="22" fillId="0" borderId="25" xfId="128" applyNumberFormat="1" applyFont="1" applyBorder="1" applyAlignment="1">
      <alignment horizontal="center"/>
    </xf>
    <xf numFmtId="37" fontId="22" fillId="11" borderId="0" xfId="128" applyNumberFormat="1" applyFont="1" applyFill="1" applyAlignment="1">
      <alignment horizontal="center"/>
    </xf>
    <xf numFmtId="37" fontId="22" fillId="11" borderId="0" xfId="129" applyNumberFormat="1" applyFont="1" applyFill="1" applyAlignment="1">
      <alignment horizontal="center"/>
    </xf>
    <xf numFmtId="37" fontId="22" fillId="0" borderId="0" xfId="129" applyNumberFormat="1" applyFont="1" applyAlignment="1">
      <alignment horizontal="center"/>
    </xf>
    <xf numFmtId="37" fontId="22" fillId="11" borderId="26" xfId="129" applyNumberFormat="1" applyFont="1" applyFill="1" applyBorder="1" applyAlignment="1">
      <alignment horizontal="center"/>
    </xf>
    <xf numFmtId="37" fontId="22" fillId="0" borderId="26" xfId="129" applyNumberFormat="1" applyFont="1" applyBorder="1" applyAlignment="1">
      <alignment horizontal="center"/>
    </xf>
    <xf numFmtId="37" fontId="4" fillId="11" borderId="24" xfId="96" applyNumberFormat="1" applyFill="1" applyBorder="1" applyAlignment="1">
      <alignment horizontal="center"/>
    </xf>
    <xf numFmtId="37" fontId="4" fillId="0" borderId="24" xfId="96" applyNumberFormat="1" applyBorder="1" applyAlignment="1">
      <alignment horizontal="center"/>
    </xf>
    <xf numFmtId="37" fontId="4" fillId="11" borderId="24" xfId="139" applyNumberFormat="1" applyFill="1" applyBorder="1" applyAlignment="1">
      <alignment horizontal="center"/>
    </xf>
    <xf numFmtId="37" fontId="4" fillId="0" borderId="24" xfId="139" applyNumberFormat="1" applyBorder="1" applyAlignment="1">
      <alignment horizontal="center"/>
    </xf>
    <xf numFmtId="37" fontId="4" fillId="0" borderId="25" xfId="139" applyNumberFormat="1" applyBorder="1" applyAlignment="1">
      <alignment horizontal="center"/>
    </xf>
    <xf numFmtId="37" fontId="4" fillId="11" borderId="0" xfId="139" applyNumberFormat="1" applyFill="1" applyAlignment="1">
      <alignment horizontal="center"/>
    </xf>
    <xf numFmtId="37" fontId="4" fillId="11" borderId="0" xfId="109" applyNumberFormat="1" applyFill="1" applyAlignment="1">
      <alignment horizontal="center"/>
    </xf>
    <xf numFmtId="37" fontId="4" fillId="0" borderId="0" xfId="109" applyNumberFormat="1" applyAlignment="1">
      <alignment horizontal="center"/>
    </xf>
    <xf numFmtId="37" fontId="4" fillId="11" borderId="26" xfId="109" applyNumberFormat="1" applyFill="1" applyBorder="1" applyAlignment="1">
      <alignment horizontal="center"/>
    </xf>
    <xf numFmtId="37" fontId="4" fillId="0" borderId="26" xfId="109" applyNumberFormat="1" applyBorder="1" applyAlignment="1">
      <alignment horizontal="center"/>
    </xf>
    <xf numFmtId="172" fontId="21" fillId="11" borderId="24" xfId="179" applyNumberFormat="1" applyFont="1" applyFill="1" applyBorder="1" applyAlignment="1">
      <alignment horizontal="center" vertical="center"/>
    </xf>
    <xf numFmtId="172" fontId="21" fillId="0" borderId="24" xfId="179" applyNumberFormat="1" applyFont="1" applyFill="1" applyBorder="1" applyAlignment="1">
      <alignment horizontal="center" vertical="center"/>
    </xf>
    <xf numFmtId="172" fontId="21" fillId="11" borderId="24" xfId="170" applyNumberFormat="1" applyFont="1" applyFill="1" applyBorder="1" applyAlignment="1">
      <alignment horizontal="center" vertical="center"/>
    </xf>
    <xf numFmtId="172" fontId="21" fillId="0" borderId="24" xfId="170" applyNumberFormat="1" applyFont="1" applyFill="1" applyBorder="1" applyAlignment="1">
      <alignment horizontal="center" vertical="center"/>
    </xf>
    <xf numFmtId="172" fontId="21" fillId="0" borderId="25" xfId="170" applyNumberFormat="1" applyFont="1" applyFill="1" applyBorder="1" applyAlignment="1">
      <alignment horizontal="center" vertical="center"/>
    </xf>
    <xf numFmtId="172" fontId="21" fillId="11" borderId="0" xfId="170" applyNumberFormat="1" applyFont="1" applyFill="1" applyBorder="1" applyAlignment="1">
      <alignment horizontal="center" vertical="center"/>
    </xf>
    <xf numFmtId="172" fontId="21" fillId="11" borderId="0" xfId="181" applyNumberFormat="1" applyFont="1" applyFill="1" applyBorder="1" applyAlignment="1">
      <alignment horizontal="center" vertical="center"/>
    </xf>
    <xf numFmtId="172" fontId="21" fillId="0" borderId="0" xfId="181" applyNumberFormat="1" applyFont="1" applyFill="1" applyBorder="1" applyAlignment="1">
      <alignment horizontal="center" vertical="center"/>
    </xf>
    <xf numFmtId="172" fontId="21" fillId="11" borderId="26" xfId="181" applyNumberFormat="1" applyFont="1" applyFill="1" applyBorder="1" applyAlignment="1">
      <alignment horizontal="center" vertical="center"/>
    </xf>
    <xf numFmtId="172" fontId="21" fillId="0" borderId="26" xfId="181" applyNumberFormat="1" applyFont="1" applyFill="1" applyBorder="1" applyAlignment="1">
      <alignment horizontal="center" vertical="center"/>
    </xf>
    <xf numFmtId="37" fontId="4" fillId="11" borderId="24" xfId="95" applyNumberFormat="1" applyFill="1" applyBorder="1" applyAlignment="1">
      <alignment horizontal="center" vertical="center"/>
    </xf>
    <xf numFmtId="37" fontId="4" fillId="0" borderId="24" xfId="95" applyNumberFormat="1" applyBorder="1" applyAlignment="1">
      <alignment horizontal="center" vertical="center"/>
    </xf>
    <xf numFmtId="37" fontId="4" fillId="11" borderId="24" xfId="138" applyNumberFormat="1" applyFill="1" applyBorder="1" applyAlignment="1">
      <alignment horizontal="center" vertical="center"/>
    </xf>
    <xf numFmtId="37" fontId="4" fillId="0" borderId="24" xfId="138" applyNumberFormat="1" applyBorder="1" applyAlignment="1">
      <alignment horizontal="center" vertical="center"/>
    </xf>
    <xf numFmtId="37" fontId="4" fillId="0" borderId="25" xfId="138" applyNumberFormat="1" applyBorder="1" applyAlignment="1">
      <alignment horizontal="center" vertical="center"/>
    </xf>
    <xf numFmtId="37" fontId="4" fillId="11" borderId="0" xfId="138" applyNumberFormat="1" applyFill="1" applyAlignment="1">
      <alignment horizontal="center" vertical="center"/>
    </xf>
    <xf numFmtId="37" fontId="4" fillId="11" borderId="0" xfId="108" applyNumberFormat="1" applyFill="1" applyAlignment="1">
      <alignment horizontal="center" vertical="center"/>
    </xf>
    <xf numFmtId="37" fontId="4" fillId="0" borderId="0" xfId="108" applyNumberFormat="1" applyAlignment="1">
      <alignment horizontal="center" vertical="center"/>
    </xf>
    <xf numFmtId="37" fontId="4" fillId="11" borderId="26" xfId="108" applyNumberFormat="1" applyFill="1" applyBorder="1" applyAlignment="1">
      <alignment horizontal="center" vertical="center"/>
    </xf>
    <xf numFmtId="37" fontId="4" fillId="0" borderId="26" xfId="108" applyNumberFormat="1" applyBorder="1" applyAlignment="1">
      <alignment horizontal="center" vertical="center"/>
    </xf>
    <xf numFmtId="37" fontId="4" fillId="11" borderId="30" xfId="160" applyNumberFormat="1" applyFill="1" applyBorder="1" applyAlignment="1">
      <alignment horizontal="center" vertical="center"/>
    </xf>
    <xf numFmtId="37" fontId="4" fillId="0" borderId="30" xfId="160" applyNumberFormat="1" applyBorder="1" applyAlignment="1">
      <alignment horizontal="center" vertical="center"/>
    </xf>
    <xf numFmtId="37" fontId="4" fillId="11" borderId="30" xfId="137" applyNumberFormat="1" applyFill="1" applyBorder="1" applyAlignment="1">
      <alignment horizontal="center" vertical="center"/>
    </xf>
    <xf numFmtId="37" fontId="4" fillId="0" borderId="30" xfId="137" applyNumberFormat="1" applyBorder="1" applyAlignment="1">
      <alignment horizontal="center" vertical="center"/>
    </xf>
    <xf numFmtId="37" fontId="4" fillId="0" borderId="31" xfId="137" applyNumberFormat="1" applyBorder="1" applyAlignment="1">
      <alignment horizontal="center" vertical="center"/>
    </xf>
    <xf numFmtId="37" fontId="4" fillId="11" borderId="32" xfId="137" applyNumberFormat="1" applyFill="1" applyBorder="1" applyAlignment="1">
      <alignment horizontal="center" vertical="center"/>
    </xf>
    <xf numFmtId="37" fontId="4" fillId="11" borderId="32" xfId="107" applyNumberFormat="1" applyFill="1" applyBorder="1" applyAlignment="1">
      <alignment horizontal="center" vertical="center"/>
    </xf>
    <xf numFmtId="37" fontId="4" fillId="0" borderId="32" xfId="107" applyNumberFormat="1" applyBorder="1" applyAlignment="1">
      <alignment horizontal="center" vertical="center"/>
    </xf>
    <xf numFmtId="37" fontId="4" fillId="11" borderId="33" xfId="107" applyNumberFormat="1" applyFill="1" applyBorder="1" applyAlignment="1">
      <alignment horizontal="center" vertical="center"/>
    </xf>
    <xf numFmtId="37" fontId="4" fillId="0" borderId="33" xfId="107" applyNumberFormat="1" applyBorder="1" applyAlignment="1">
      <alignment horizontal="center" vertical="center"/>
    </xf>
    <xf numFmtId="37" fontId="4" fillId="11" borderId="24" xfId="159" applyNumberFormat="1" applyFill="1" applyBorder="1" applyAlignment="1">
      <alignment horizontal="center"/>
    </xf>
    <xf numFmtId="37" fontId="4" fillId="0" borderId="24" xfId="159" applyNumberFormat="1" applyBorder="1" applyAlignment="1">
      <alignment horizontal="center"/>
    </xf>
    <xf numFmtId="37" fontId="4" fillId="11" borderId="24" xfId="136" applyNumberFormat="1" applyFill="1" applyBorder="1" applyAlignment="1">
      <alignment horizontal="center"/>
    </xf>
    <xf numFmtId="37" fontId="4" fillId="0" borderId="24" xfId="136" applyNumberFormat="1" applyBorder="1" applyAlignment="1">
      <alignment horizontal="center"/>
    </xf>
    <xf numFmtId="37" fontId="4" fillId="0" borderId="25" xfId="136" applyNumberFormat="1" applyBorder="1" applyAlignment="1">
      <alignment horizontal="center"/>
    </xf>
    <xf numFmtId="37" fontId="4" fillId="11" borderId="0" xfId="136" applyNumberFormat="1" applyFill="1" applyAlignment="1">
      <alignment horizontal="center"/>
    </xf>
    <xf numFmtId="37" fontId="4" fillId="11" borderId="0" xfId="106" applyNumberFormat="1" applyFill="1" applyAlignment="1">
      <alignment horizontal="center"/>
    </xf>
    <xf numFmtId="37" fontId="4" fillId="0" borderId="0" xfId="106" applyNumberFormat="1" applyAlignment="1">
      <alignment horizontal="center"/>
    </xf>
    <xf numFmtId="37" fontId="4" fillId="11" borderId="26" xfId="106" applyNumberFormat="1" applyFill="1" applyBorder="1" applyAlignment="1">
      <alignment horizontal="center"/>
    </xf>
    <xf numFmtId="37" fontId="4" fillId="0" borderId="26" xfId="106" applyNumberFormat="1" applyBorder="1" applyAlignment="1">
      <alignment horizontal="center"/>
    </xf>
    <xf numFmtId="179" fontId="4" fillId="0" borderId="0" xfId="71" quotePrefix="1" applyNumberFormat="1" applyAlignment="1">
      <alignment horizontal="center" vertical="center"/>
    </xf>
    <xf numFmtId="179" fontId="4" fillId="0" borderId="26" xfId="71" quotePrefix="1" applyNumberFormat="1" applyBorder="1" applyAlignment="1">
      <alignment horizontal="center" vertical="center"/>
    </xf>
    <xf numFmtId="172" fontId="21" fillId="11" borderId="24" xfId="158" applyNumberFormat="1" applyFont="1" applyFill="1" applyBorder="1" applyAlignment="1">
      <alignment horizontal="center"/>
    </xf>
    <xf numFmtId="172" fontId="21" fillId="0" borderId="24" xfId="158" applyNumberFormat="1" applyFont="1" applyBorder="1" applyAlignment="1">
      <alignment horizontal="center"/>
    </xf>
    <xf numFmtId="172" fontId="21" fillId="11" borderId="24" xfId="135" applyNumberFormat="1" applyFont="1" applyFill="1" applyBorder="1" applyAlignment="1">
      <alignment horizontal="center"/>
    </xf>
    <xf numFmtId="172" fontId="21" fillId="0" borderId="24" xfId="135" applyNumberFormat="1" applyFont="1" applyBorder="1" applyAlignment="1">
      <alignment horizontal="center"/>
    </xf>
    <xf numFmtId="172" fontId="21" fillId="0" borderId="25" xfId="135" applyNumberFormat="1" applyFont="1" applyBorder="1" applyAlignment="1">
      <alignment horizontal="center"/>
    </xf>
    <xf numFmtId="172" fontId="21" fillId="11" borderId="0" xfId="135" applyNumberFormat="1" applyFont="1" applyFill="1" applyAlignment="1">
      <alignment horizontal="center"/>
    </xf>
    <xf numFmtId="172" fontId="21" fillId="11" borderId="0" xfId="105" applyNumberFormat="1" applyFont="1" applyFill="1" applyAlignment="1">
      <alignment horizontal="center"/>
    </xf>
    <xf numFmtId="172" fontId="21" fillId="0" borderId="0" xfId="105" applyNumberFormat="1" applyFont="1" applyAlignment="1">
      <alignment horizontal="center"/>
    </xf>
    <xf numFmtId="172" fontId="21" fillId="11" borderId="26" xfId="105" applyNumberFormat="1" applyFont="1" applyFill="1" applyBorder="1" applyAlignment="1">
      <alignment horizontal="center"/>
    </xf>
    <xf numFmtId="172" fontId="21" fillId="0" borderId="26" xfId="105" applyNumberFormat="1" applyFont="1" applyBorder="1" applyAlignment="1">
      <alignment horizontal="center"/>
    </xf>
    <xf numFmtId="37" fontId="4" fillId="11" borderId="24" xfId="158" applyNumberFormat="1" applyFill="1" applyBorder="1" applyAlignment="1">
      <alignment horizontal="center"/>
    </xf>
    <xf numFmtId="37" fontId="4" fillId="0" borderId="24" xfId="158" applyNumberFormat="1" applyBorder="1" applyAlignment="1">
      <alignment horizontal="center"/>
    </xf>
    <xf numFmtId="37" fontId="4" fillId="11" borderId="24" xfId="135" applyNumberFormat="1" applyFill="1" applyBorder="1" applyAlignment="1">
      <alignment horizontal="center"/>
    </xf>
    <xf numFmtId="37" fontId="4" fillId="0" borderId="24" xfId="135" applyNumberFormat="1" applyBorder="1" applyAlignment="1">
      <alignment horizontal="center"/>
    </xf>
    <xf numFmtId="37" fontId="4" fillId="0" borderId="25" xfId="135" applyNumberFormat="1" applyBorder="1" applyAlignment="1">
      <alignment horizontal="center"/>
    </xf>
    <xf numFmtId="37" fontId="4" fillId="11" borderId="0" xfId="135" applyNumberFormat="1" applyFill="1" applyAlignment="1">
      <alignment horizontal="center"/>
    </xf>
    <xf numFmtId="37" fontId="4" fillId="11" borderId="0" xfId="105" applyNumberFormat="1" applyFill="1" applyAlignment="1">
      <alignment horizontal="center"/>
    </xf>
    <xf numFmtId="37" fontId="4" fillId="0" borderId="0" xfId="105" applyNumberFormat="1" applyAlignment="1">
      <alignment horizontal="center"/>
    </xf>
    <xf numFmtId="37" fontId="4" fillId="11" borderId="26" xfId="105" applyNumberFormat="1" applyFill="1" applyBorder="1" applyAlignment="1">
      <alignment horizontal="center"/>
    </xf>
    <xf numFmtId="37" fontId="4" fillId="0" borderId="26" xfId="105" applyNumberFormat="1" applyBorder="1" applyAlignment="1">
      <alignment horizontal="center"/>
    </xf>
    <xf numFmtId="37" fontId="4" fillId="11" borderId="30" xfId="158" applyNumberFormat="1" applyFill="1" applyBorder="1" applyAlignment="1">
      <alignment horizontal="center"/>
    </xf>
    <xf numFmtId="37" fontId="4" fillId="0" borderId="30" xfId="158" applyNumberFormat="1" applyBorder="1" applyAlignment="1">
      <alignment horizontal="center"/>
    </xf>
    <xf numFmtId="37" fontId="4" fillId="11" borderId="30" xfId="135" applyNumberFormat="1" applyFill="1" applyBorder="1" applyAlignment="1">
      <alignment horizontal="center"/>
    </xf>
    <xf numFmtId="37" fontId="4" fillId="0" borderId="30" xfId="135" applyNumberFormat="1" applyBorder="1" applyAlignment="1">
      <alignment horizontal="center"/>
    </xf>
    <xf numFmtId="37" fontId="4" fillId="0" borderId="31" xfId="135" applyNumberFormat="1" applyBorder="1" applyAlignment="1">
      <alignment horizontal="center"/>
    </xf>
    <xf numFmtId="37" fontId="4" fillId="11" borderId="32" xfId="135" applyNumberFormat="1" applyFill="1" applyBorder="1" applyAlignment="1">
      <alignment horizontal="center"/>
    </xf>
    <xf numFmtId="37" fontId="4" fillId="11" borderId="32" xfId="105" applyNumberFormat="1" applyFill="1" applyBorder="1" applyAlignment="1">
      <alignment horizontal="center"/>
    </xf>
    <xf numFmtId="37" fontId="4" fillId="0" borderId="32" xfId="105" applyNumberFormat="1" applyBorder="1" applyAlignment="1">
      <alignment horizontal="center"/>
    </xf>
    <xf numFmtId="37" fontId="4" fillId="11" borderId="33" xfId="105" applyNumberFormat="1" applyFill="1" applyBorder="1" applyAlignment="1">
      <alignment horizontal="center"/>
    </xf>
    <xf numFmtId="37" fontId="4" fillId="0" borderId="33" xfId="105" applyNumberFormat="1" applyBorder="1" applyAlignment="1">
      <alignment horizontal="center"/>
    </xf>
    <xf numFmtId="0" fontId="93" fillId="15" borderId="0" xfId="0" applyFont="1" applyFill="1" applyAlignment="1">
      <alignment horizontal="left"/>
    </xf>
    <xf numFmtId="175" fontId="76" fillId="14" borderId="0" xfId="120" applyNumberFormat="1" applyFont="1" applyFill="1" applyAlignment="1">
      <alignment horizontal="right" vertical="center"/>
    </xf>
    <xf numFmtId="173" fontId="2" fillId="0" borderId="0" xfId="0" applyNumberFormat="1" applyFont="1"/>
    <xf numFmtId="166" fontId="76" fillId="0" borderId="0" xfId="56" applyFont="1" applyFill="1"/>
    <xf numFmtId="169" fontId="2" fillId="0" borderId="53" xfId="0" applyNumberFormat="1" applyFont="1" applyBorder="1" applyAlignment="1">
      <alignment horizontal="center"/>
    </xf>
    <xf numFmtId="0" fontId="75" fillId="15" borderId="4" xfId="0" applyFont="1" applyFill="1" applyBorder="1"/>
    <xf numFmtId="171" fontId="75" fillId="15" borderId="4" xfId="0" applyNumberFormat="1" applyFont="1" applyFill="1" applyBorder="1" applyAlignment="1">
      <alignment horizontal="center"/>
    </xf>
    <xf numFmtId="171" fontId="75" fillId="15" borderId="16" xfId="0" applyNumberFormat="1" applyFont="1" applyFill="1" applyBorder="1" applyAlignment="1">
      <alignment horizontal="center"/>
    </xf>
    <xf numFmtId="0" fontId="75" fillId="0" borderId="16" xfId="0" applyFont="1" applyBorder="1"/>
    <xf numFmtId="0" fontId="78" fillId="15" borderId="4" xfId="0" applyFont="1" applyFill="1" applyBorder="1" applyAlignment="1">
      <alignment horizontal="left"/>
    </xf>
    <xf numFmtId="0" fontId="75" fillId="0" borderId="4" xfId="0" applyFont="1" applyBorder="1"/>
    <xf numFmtId="0" fontId="75" fillId="0" borderId="38" xfId="0" applyFont="1" applyBorder="1"/>
    <xf numFmtId="176" fontId="75" fillId="0" borderId="38" xfId="0" applyNumberFormat="1" applyFont="1" applyBorder="1" applyAlignment="1">
      <alignment horizontal="right"/>
    </xf>
    <xf numFmtId="172" fontId="81" fillId="17" borderId="38" xfId="168" applyNumberFormat="1" applyFont="1" applyFill="1" applyBorder="1"/>
    <xf numFmtId="166" fontId="90" fillId="18" borderId="0" xfId="56" applyFont="1" applyFill="1"/>
    <xf numFmtId="0" fontId="75" fillId="15" borderId="16" xfId="0" applyFont="1" applyFill="1" applyBorder="1" applyAlignment="1">
      <alignment horizontal="center"/>
    </xf>
    <xf numFmtId="37" fontId="4" fillId="19" borderId="26" xfId="126" applyNumberFormat="1" applyFill="1" applyBorder="1" applyAlignment="1">
      <alignment horizontal="center" vertical="center"/>
    </xf>
    <xf numFmtId="179" fontId="22" fillId="11" borderId="29" xfId="71" quotePrefix="1" applyNumberFormat="1" applyFont="1" applyFill="1" applyBorder="1" applyAlignment="1">
      <alignment horizontal="center" vertical="center"/>
    </xf>
    <xf numFmtId="179" fontId="22" fillId="11" borderId="15" xfId="71" quotePrefix="1" applyNumberFormat="1" applyFont="1" applyFill="1" applyBorder="1" applyAlignment="1">
      <alignment horizontal="center" vertical="center"/>
    </xf>
    <xf numFmtId="179" fontId="22" fillId="11" borderId="28" xfId="71" quotePrefix="1" applyNumberFormat="1" applyFont="1" applyFill="1" applyBorder="1" applyAlignment="1">
      <alignment horizontal="center" vertical="center"/>
    </xf>
    <xf numFmtId="179" fontId="22" fillId="11" borderId="27" xfId="71" quotePrefix="1" applyNumberFormat="1" applyFont="1" applyFill="1" applyBorder="1" applyAlignment="1">
      <alignment horizontal="center" vertical="center"/>
    </xf>
    <xf numFmtId="0" fontId="24" fillId="0" borderId="0" xfId="119" applyFont="1"/>
    <xf numFmtId="0" fontId="76" fillId="15" borderId="16" xfId="0" applyFont="1" applyFill="1" applyBorder="1" applyAlignment="1">
      <alignment horizontal="center"/>
    </xf>
    <xf numFmtId="0" fontId="75" fillId="0" borderId="18" xfId="119" applyFont="1" applyBorder="1"/>
    <xf numFmtId="175" fontId="75" fillId="0" borderId="19" xfId="56" applyNumberFormat="1" applyFont="1" applyBorder="1"/>
    <xf numFmtId="166" fontId="75" fillId="0" borderId="0" xfId="56" applyFont="1" applyFill="1"/>
    <xf numFmtId="166" fontId="23" fillId="0" borderId="0" xfId="0" applyNumberFormat="1" applyFont="1"/>
    <xf numFmtId="169" fontId="90" fillId="0" borderId="0" xfId="168" applyNumberFormat="1" applyFont="1" applyFill="1"/>
    <xf numFmtId="169" fontId="94" fillId="0" borderId="0" xfId="0" applyNumberFormat="1" applyFont="1"/>
    <xf numFmtId="0" fontId="23" fillId="0" borderId="0" xfId="0" applyFont="1" applyAlignment="1">
      <alignment horizontal="center"/>
    </xf>
    <xf numFmtId="37" fontId="4" fillId="0" borderId="53" xfId="57" applyNumberFormat="1" applyFont="1" applyFill="1" applyBorder="1" applyAlignment="1">
      <alignment horizontal="center"/>
    </xf>
    <xf numFmtId="37" fontId="21" fillId="0" borderId="53" xfId="57" applyNumberFormat="1" applyFont="1" applyFill="1" applyBorder="1" applyAlignment="1">
      <alignment horizontal="center"/>
    </xf>
    <xf numFmtId="172" fontId="4" fillId="0" borderId="53" xfId="169" applyNumberFormat="1" applyFont="1" applyFill="1" applyBorder="1" applyAlignment="1">
      <alignment horizontal="center"/>
    </xf>
    <xf numFmtId="169" fontId="4" fillId="0" borderId="53" xfId="0" applyNumberFormat="1" applyFont="1" applyBorder="1" applyAlignment="1">
      <alignment horizontal="center"/>
    </xf>
    <xf numFmtId="0" fontId="22" fillId="15" borderId="15" xfId="0" applyFont="1" applyFill="1" applyBorder="1" applyAlignment="1">
      <alignment horizontal="centerContinuous"/>
    </xf>
    <xf numFmtId="172" fontId="21" fillId="0" borderId="53" xfId="169" applyNumberFormat="1" applyFont="1" applyFill="1" applyBorder="1" applyAlignment="1">
      <alignment horizontal="center"/>
    </xf>
    <xf numFmtId="0" fontId="21" fillId="0" borderId="0" xfId="119" applyFont="1" applyAlignment="1">
      <alignment horizontal="right"/>
    </xf>
    <xf numFmtId="0" fontId="21" fillId="0" borderId="0" xfId="119" applyFont="1"/>
    <xf numFmtId="0" fontId="4" fillId="0" borderId="0" xfId="0" applyFont="1" applyAlignment="1">
      <alignment horizontal="center"/>
    </xf>
    <xf numFmtId="37" fontId="4" fillId="0" borderId="54" xfId="61" applyNumberFormat="1" applyFont="1" applyFill="1" applyBorder="1" applyAlignment="1">
      <alignment horizontal="center"/>
    </xf>
    <xf numFmtId="37" fontId="4" fillId="0" borderId="53" xfId="61" applyNumberFormat="1" applyFont="1" applyFill="1" applyBorder="1" applyAlignment="1">
      <alignment horizontal="center"/>
    </xf>
    <xf numFmtId="37" fontId="22" fillId="0" borderId="53" xfId="61" applyNumberFormat="1" applyFont="1" applyFill="1" applyBorder="1" applyAlignment="1">
      <alignment horizontal="center"/>
    </xf>
    <xf numFmtId="37" fontId="22" fillId="0" borderId="55" xfId="61" applyNumberFormat="1" applyFont="1" applyFill="1" applyBorder="1" applyAlignment="1">
      <alignment horizontal="center"/>
    </xf>
    <xf numFmtId="37" fontId="4" fillId="0" borderId="53" xfId="0" applyNumberFormat="1" applyFont="1" applyBorder="1" applyAlignment="1">
      <alignment horizontal="center"/>
    </xf>
    <xf numFmtId="172" fontId="4" fillId="0" borderId="53" xfId="0" applyNumberFormat="1" applyFont="1" applyBorder="1" applyAlignment="1">
      <alignment horizontal="center"/>
    </xf>
    <xf numFmtId="37" fontId="21" fillId="0" borderId="53" xfId="0" applyNumberFormat="1" applyFont="1" applyBorder="1" applyAlignment="1">
      <alignment horizontal="center"/>
    </xf>
    <xf numFmtId="37" fontId="4" fillId="0" borderId="53" xfId="0" applyNumberFormat="1" applyFont="1" applyBorder="1"/>
    <xf numFmtId="172" fontId="4" fillId="0" borderId="56" xfId="185" applyNumberFormat="1" applyFont="1" applyFill="1" applyBorder="1" applyAlignment="1">
      <alignment horizontal="center"/>
    </xf>
    <xf numFmtId="9" fontId="4" fillId="0" borderId="56" xfId="185" applyFont="1" applyFill="1" applyBorder="1" applyAlignment="1">
      <alignment horizontal="center"/>
    </xf>
    <xf numFmtId="169" fontId="2" fillId="13" borderId="53" xfId="0" applyNumberFormat="1" applyFont="1" applyFill="1" applyBorder="1" applyAlignment="1">
      <alignment horizontal="center"/>
    </xf>
    <xf numFmtId="37" fontId="21" fillId="0" borderId="0" xfId="57" applyNumberFormat="1" applyFont="1" applyFill="1" applyBorder="1" applyAlignment="1">
      <alignment horizontal="center"/>
    </xf>
    <xf numFmtId="37" fontId="4" fillId="0" borderId="0" xfId="57" applyNumberFormat="1" applyFont="1" applyFill="1" applyBorder="1" applyAlignment="1">
      <alignment horizontal="center"/>
    </xf>
    <xf numFmtId="0" fontId="4" fillId="19" borderId="0" xfId="119" applyFill="1" applyAlignment="1">
      <alignment horizontal="right"/>
    </xf>
    <xf numFmtId="0" fontId="75" fillId="15" borderId="0" xfId="0" applyFont="1" applyFill="1" applyAlignment="1">
      <alignment horizontal="centerContinuous"/>
    </xf>
    <xf numFmtId="0" fontId="22" fillId="15" borderId="0" xfId="0" applyFont="1" applyFill="1" applyAlignment="1">
      <alignment horizontal="centerContinuous"/>
    </xf>
    <xf numFmtId="0" fontId="8" fillId="0" borderId="0" xfId="0" applyFont="1"/>
    <xf numFmtId="37" fontId="4" fillId="0" borderId="30" xfId="0" applyNumberFormat="1" applyFont="1" applyBorder="1" applyAlignment="1">
      <alignment horizontal="center" vertical="center"/>
    </xf>
    <xf numFmtId="37" fontId="4" fillId="0" borderId="24" xfId="0" applyNumberFormat="1" applyFont="1" applyBorder="1" applyAlignment="1">
      <alignment horizontal="center" vertical="center"/>
    </xf>
    <xf numFmtId="172" fontId="21" fillId="0" borderId="24" xfId="169" applyNumberFormat="1" applyFont="1" applyFill="1" applyBorder="1" applyAlignment="1">
      <alignment horizontal="center" vertical="center"/>
    </xf>
    <xf numFmtId="3" fontId="2" fillId="0" borderId="56" xfId="169" applyNumberFormat="1" applyFont="1" applyFill="1" applyBorder="1" applyAlignment="1">
      <alignment horizontal="center"/>
    </xf>
    <xf numFmtId="37" fontId="4" fillId="19" borderId="54" xfId="61" applyNumberFormat="1" applyFont="1" applyFill="1" applyBorder="1" applyAlignment="1">
      <alignment horizontal="center"/>
    </xf>
    <xf numFmtId="37" fontId="4" fillId="19" borderId="53" xfId="61" applyNumberFormat="1" applyFont="1" applyFill="1" applyBorder="1" applyAlignment="1">
      <alignment horizontal="center"/>
    </xf>
    <xf numFmtId="37" fontId="22" fillId="19" borderId="53" xfId="61" applyNumberFormat="1" applyFont="1" applyFill="1" applyBorder="1" applyAlignment="1">
      <alignment horizontal="center"/>
    </xf>
    <xf numFmtId="37" fontId="22" fillId="19" borderId="55" xfId="61" applyNumberFormat="1" applyFont="1" applyFill="1" applyBorder="1" applyAlignment="1">
      <alignment horizontal="center"/>
    </xf>
    <xf numFmtId="169" fontId="88" fillId="13" borderId="0" xfId="0" applyNumberFormat="1" applyFont="1" applyFill="1"/>
    <xf numFmtId="169" fontId="76" fillId="13" borderId="0" xfId="0" applyNumberFormat="1" applyFont="1" applyFill="1"/>
    <xf numFmtId="169" fontId="75" fillId="13" borderId="0" xfId="0" applyNumberFormat="1" applyFont="1" applyFill="1"/>
    <xf numFmtId="169" fontId="84" fillId="13" borderId="0" xfId="0" applyNumberFormat="1" applyFont="1" applyFill="1"/>
    <xf numFmtId="165" fontId="2" fillId="0" borderId="0" xfId="0" applyNumberFormat="1" applyFont="1"/>
    <xf numFmtId="177" fontId="76" fillId="13" borderId="0" xfId="0" applyNumberFormat="1" applyFont="1" applyFill="1"/>
    <xf numFmtId="177" fontId="75" fillId="13" borderId="0" xfId="0" applyNumberFormat="1" applyFont="1" applyFill="1"/>
    <xf numFmtId="169" fontId="76" fillId="13" borderId="0" xfId="0" applyNumberFormat="1" applyFont="1" applyFill="1" applyAlignment="1">
      <alignment horizontal="right"/>
    </xf>
    <xf numFmtId="10" fontId="76" fillId="14" borderId="0" xfId="120" applyNumberFormat="1" applyFont="1" applyFill="1"/>
    <xf numFmtId="169" fontId="90" fillId="0" borderId="0" xfId="169" applyNumberFormat="1" applyFont="1" applyFill="1"/>
    <xf numFmtId="180" fontId="76" fillId="0" borderId="0" xfId="0" applyNumberFormat="1" applyFont="1"/>
    <xf numFmtId="175" fontId="76" fillId="0" borderId="0" xfId="120" applyNumberFormat="1" applyFont="1" applyAlignment="1">
      <alignment horizontal="right" vertical="center"/>
    </xf>
    <xf numFmtId="0" fontId="4" fillId="20" borderId="0" xfId="119" applyFill="1"/>
    <xf numFmtId="37" fontId="4" fillId="20" borderId="0" xfId="112" applyNumberFormat="1" applyFill="1" applyAlignment="1">
      <alignment horizontal="center"/>
    </xf>
    <xf numFmtId="179" fontId="4" fillId="20" borderId="29" xfId="71" quotePrefix="1" applyNumberFormat="1" applyFill="1" applyBorder="1" applyAlignment="1">
      <alignment horizontal="center" vertical="center"/>
    </xf>
    <xf numFmtId="176" fontId="75" fillId="14" borderId="0" xfId="120" applyNumberFormat="1" applyFont="1" applyFill="1" applyAlignment="1">
      <alignment horizontal="right" vertical="center"/>
    </xf>
    <xf numFmtId="176" fontId="75" fillId="14" borderId="16" xfId="120" applyNumberFormat="1" applyFont="1" applyFill="1" applyBorder="1" applyAlignment="1">
      <alignment horizontal="right" vertical="center"/>
    </xf>
    <xf numFmtId="169" fontId="90" fillId="0" borderId="0" xfId="169" applyNumberFormat="1" applyFont="1" applyFill="1" applyBorder="1"/>
    <xf numFmtId="175" fontId="76" fillId="0" borderId="0" xfId="56" applyNumberFormat="1" applyFont="1" applyFill="1" applyBorder="1"/>
    <xf numFmtId="172" fontId="81" fillId="13" borderId="0" xfId="168" applyNumberFormat="1" applyFont="1" applyFill="1" applyBorder="1" applyAlignment="1">
      <alignment horizontal="right"/>
    </xf>
    <xf numFmtId="172" fontId="76" fillId="0" borderId="0" xfId="168" applyNumberFormat="1" applyFont="1" applyFill="1" applyBorder="1" applyAlignment="1">
      <alignment horizontal="right"/>
    </xf>
    <xf numFmtId="166" fontId="90" fillId="18" borderId="0" xfId="56" applyFont="1" applyFill="1" applyBorder="1"/>
    <xf numFmtId="37" fontId="75" fillId="0" borderId="0" xfId="0" applyNumberFormat="1" applyFont="1"/>
    <xf numFmtId="37" fontId="4" fillId="16" borderId="32" xfId="111" applyNumberFormat="1" applyFill="1" applyBorder="1" applyAlignment="1">
      <alignment horizontal="center" vertical="center"/>
    </xf>
    <xf numFmtId="37" fontId="4" fillId="16" borderId="0" xfId="111" applyNumberFormat="1" applyFill="1" applyAlignment="1">
      <alignment horizontal="center" vertical="center"/>
    </xf>
    <xf numFmtId="172" fontId="21" fillId="16" borderId="0" xfId="183" applyNumberFormat="1" applyFont="1" applyFill="1" applyBorder="1" applyAlignment="1">
      <alignment horizontal="center" vertical="center"/>
    </xf>
    <xf numFmtId="0" fontId="4" fillId="16" borderId="0" xfId="119" applyFill="1"/>
    <xf numFmtId="37" fontId="4" fillId="16" borderId="0" xfId="112" applyNumberFormat="1" applyFill="1" applyAlignment="1">
      <alignment horizontal="center"/>
    </xf>
    <xf numFmtId="38" fontId="4" fillId="16" borderId="32" xfId="119" applyNumberFormat="1" applyFill="1" applyBorder="1" applyAlignment="1">
      <alignment horizontal="center" vertical="center" wrapText="1"/>
    </xf>
    <xf numFmtId="38" fontId="4" fillId="16" borderId="0" xfId="119" applyNumberFormat="1" applyFill="1" applyAlignment="1">
      <alignment horizontal="center" vertical="center" wrapText="1"/>
    </xf>
    <xf numFmtId="2" fontId="4" fillId="16" borderId="36" xfId="119" applyNumberFormat="1" applyFill="1" applyBorder="1" applyAlignment="1">
      <alignment horizontal="center"/>
    </xf>
    <xf numFmtId="0" fontId="17" fillId="0" borderId="0" xfId="119" applyFont="1" applyAlignment="1">
      <alignment horizontal="center"/>
    </xf>
    <xf numFmtId="174" fontId="76" fillId="0" borderId="3" xfId="56" applyNumberFormat="1" applyFont="1" applyBorder="1" applyAlignment="1">
      <alignment horizontal="right" vertical="center"/>
    </xf>
    <xf numFmtId="174" fontId="90" fillId="0" borderId="39" xfId="56" applyNumberFormat="1" applyFont="1" applyBorder="1" applyAlignment="1">
      <alignment horizontal="right" vertical="center"/>
    </xf>
    <xf numFmtId="0" fontId="75" fillId="13" borderId="40" xfId="119" applyFont="1" applyFill="1" applyBorder="1" applyAlignment="1">
      <alignment horizontal="center" wrapText="1"/>
    </xf>
    <xf numFmtId="0" fontId="75" fillId="13" borderId="41" xfId="119" applyFont="1" applyFill="1" applyBorder="1" applyAlignment="1">
      <alignment horizontal="center" vertical="center" wrapText="1"/>
    </xf>
    <xf numFmtId="0" fontId="75" fillId="13" borderId="42" xfId="119" applyFont="1" applyFill="1" applyBorder="1" applyAlignment="1">
      <alignment horizontal="center" vertical="center" wrapText="1"/>
    </xf>
    <xf numFmtId="176" fontId="75" fillId="14" borderId="43" xfId="120" applyNumberFormat="1" applyFont="1" applyFill="1" applyBorder="1" applyAlignment="1">
      <alignment horizontal="center" vertical="center"/>
    </xf>
    <xf numFmtId="174" fontId="90" fillId="0" borderId="44" xfId="56" applyNumberFormat="1" applyFont="1" applyBorder="1" applyAlignment="1">
      <alignment horizontal="center" vertical="center"/>
    </xf>
    <xf numFmtId="175" fontId="90" fillId="0" borderId="44" xfId="56" applyNumberFormat="1" applyFont="1" applyBorder="1" applyAlignment="1">
      <alignment horizontal="center" vertical="center"/>
    </xf>
    <xf numFmtId="37" fontId="95" fillId="11" borderId="33" xfId="110" applyNumberFormat="1" applyFont="1" applyFill="1" applyBorder="1" applyAlignment="1">
      <alignment horizontal="center" vertical="center"/>
    </xf>
    <xf numFmtId="37" fontId="95" fillId="11" borderId="26" xfId="110" applyNumberFormat="1" applyFont="1" applyFill="1" applyBorder="1" applyAlignment="1">
      <alignment horizontal="center" vertical="center"/>
    </xf>
    <xf numFmtId="172" fontId="96" fillId="11" borderId="26" xfId="182" applyNumberFormat="1" applyFont="1" applyFill="1" applyBorder="1" applyAlignment="1">
      <alignment horizontal="center" vertical="center"/>
    </xf>
    <xf numFmtId="37" fontId="95" fillId="11" borderId="26" xfId="119" applyNumberFormat="1" applyFont="1" applyFill="1" applyBorder="1" applyAlignment="1">
      <alignment horizontal="center"/>
    </xf>
    <xf numFmtId="172" fontId="95" fillId="11" borderId="26" xfId="186" applyNumberFormat="1" applyFont="1" applyFill="1" applyBorder="1" applyAlignment="1">
      <alignment horizontal="center"/>
    </xf>
    <xf numFmtId="172" fontId="95" fillId="11" borderId="26" xfId="119" applyNumberFormat="1" applyFont="1" applyFill="1" applyBorder="1" applyAlignment="1">
      <alignment horizontal="center" vertical="center"/>
    </xf>
    <xf numFmtId="1" fontId="95" fillId="11" borderId="26" xfId="119" applyNumberFormat="1" applyFont="1" applyFill="1" applyBorder="1" applyAlignment="1">
      <alignment horizontal="center" vertical="center"/>
    </xf>
    <xf numFmtId="173" fontId="95" fillId="11" borderId="26" xfId="119" applyNumberFormat="1" applyFont="1" applyFill="1" applyBorder="1" applyAlignment="1">
      <alignment horizontal="center" vertical="center"/>
    </xf>
    <xf numFmtId="37" fontId="97" fillId="11" borderId="0" xfId="119" applyNumberFormat="1" applyFont="1" applyFill="1" applyAlignment="1">
      <alignment horizontal="center"/>
    </xf>
    <xf numFmtId="174" fontId="75" fillId="0" borderId="45" xfId="56" applyNumberFormat="1" applyFont="1" applyBorder="1" applyAlignment="1">
      <alignment horizontal="center" vertical="center"/>
    </xf>
    <xf numFmtId="174" fontId="75" fillId="0" borderId="46" xfId="56" applyNumberFormat="1" applyFont="1" applyBorder="1" applyAlignment="1">
      <alignment horizontal="center" vertical="center"/>
    </xf>
    <xf numFmtId="180" fontId="84" fillId="0" borderId="0" xfId="0" applyNumberFormat="1" applyFont="1"/>
    <xf numFmtId="0" fontId="75" fillId="15" borderId="15" xfId="0" applyFont="1" applyFill="1" applyBorder="1" applyAlignment="1">
      <alignment horizontal="center"/>
    </xf>
    <xf numFmtId="0" fontId="75" fillId="15" borderId="15" xfId="0" applyFont="1" applyFill="1" applyBorder="1" applyAlignment="1">
      <alignment horizontal="left"/>
    </xf>
    <xf numFmtId="0" fontId="75" fillId="0" borderId="0" xfId="0" applyFont="1" applyAlignment="1">
      <alignment vertical="top"/>
    </xf>
    <xf numFmtId="0" fontId="76" fillId="0" borderId="0" xfId="0" applyFont="1" applyAlignment="1">
      <alignment vertical="top"/>
    </xf>
    <xf numFmtId="0" fontId="81" fillId="13" borderId="0" xfId="0" applyFont="1" applyFill="1" applyAlignment="1">
      <alignment vertical="top"/>
    </xf>
    <xf numFmtId="0" fontId="22" fillId="0" borderId="0" xfId="0" applyFont="1"/>
    <xf numFmtId="37" fontId="76" fillId="11" borderId="33" xfId="105" applyNumberFormat="1" applyFont="1" applyFill="1" applyBorder="1" applyAlignment="1">
      <alignment horizontal="center"/>
    </xf>
    <xf numFmtId="37" fontId="76" fillId="11" borderId="26" xfId="105" applyNumberFormat="1" applyFont="1" applyFill="1" applyBorder="1" applyAlignment="1">
      <alignment horizontal="center"/>
    </xf>
    <xf numFmtId="172" fontId="81" fillId="11" borderId="26" xfId="105" applyNumberFormat="1" applyFont="1" applyFill="1" applyBorder="1" applyAlignment="1">
      <alignment horizontal="center"/>
    </xf>
    <xf numFmtId="179" fontId="76" fillId="0" borderId="26" xfId="71" quotePrefix="1" applyNumberFormat="1" applyFont="1" applyBorder="1" applyAlignment="1">
      <alignment horizontal="center" vertical="center"/>
    </xf>
    <xf numFmtId="37" fontId="76" fillId="11" borderId="26" xfId="106" applyNumberFormat="1" applyFont="1" applyFill="1" applyBorder="1" applyAlignment="1">
      <alignment horizontal="center"/>
    </xf>
    <xf numFmtId="0" fontId="76" fillId="0" borderId="0" xfId="119" applyFont="1" applyAlignment="1">
      <alignment horizontal="right"/>
    </xf>
    <xf numFmtId="179" fontId="75" fillId="11" borderId="29" xfId="71" quotePrefix="1" applyNumberFormat="1" applyFont="1" applyFill="1" applyBorder="1" applyAlignment="1">
      <alignment horizontal="center" vertical="center"/>
    </xf>
    <xf numFmtId="37" fontId="76" fillId="11" borderId="33" xfId="107" applyNumberFormat="1" applyFont="1" applyFill="1" applyBorder="1" applyAlignment="1">
      <alignment horizontal="center" vertical="center"/>
    </xf>
    <xf numFmtId="37" fontId="76" fillId="11" borderId="26" xfId="108" applyNumberFormat="1" applyFont="1" applyFill="1" applyBorder="1" applyAlignment="1">
      <alignment horizontal="center" vertical="center"/>
    </xf>
    <xf numFmtId="37" fontId="76" fillId="11" borderId="26" xfId="109" applyNumberFormat="1" applyFont="1" applyFill="1" applyBorder="1" applyAlignment="1">
      <alignment horizontal="center"/>
    </xf>
    <xf numFmtId="37" fontId="75" fillId="11" borderId="26" xfId="129" applyNumberFormat="1" applyFont="1" applyFill="1" applyBorder="1" applyAlignment="1">
      <alignment horizontal="center"/>
    </xf>
    <xf numFmtId="37" fontId="75" fillId="0" borderId="26" xfId="128" applyNumberFormat="1" applyFont="1" applyBorder="1" applyAlignment="1">
      <alignment horizontal="center"/>
    </xf>
    <xf numFmtId="37" fontId="76" fillId="11" borderId="33" xfId="110" applyNumberFormat="1" applyFont="1" applyFill="1" applyBorder="1" applyAlignment="1">
      <alignment horizontal="center" vertical="center"/>
    </xf>
    <xf numFmtId="37" fontId="76" fillId="11" borderId="26" xfId="110" applyNumberFormat="1" applyFont="1" applyFill="1" applyBorder="1" applyAlignment="1">
      <alignment horizontal="center" vertical="center"/>
    </xf>
    <xf numFmtId="172" fontId="81" fillId="11" borderId="26" xfId="182" applyNumberFormat="1" applyFont="1" applyFill="1" applyBorder="1" applyAlignment="1">
      <alignment horizontal="center" vertical="center"/>
    </xf>
    <xf numFmtId="37" fontId="75" fillId="11" borderId="0" xfId="119" applyNumberFormat="1" applyFont="1" applyFill="1" applyAlignment="1">
      <alignment horizontal="center"/>
    </xf>
    <xf numFmtId="37" fontId="76" fillId="11" borderId="26" xfId="119" applyNumberFormat="1" applyFont="1" applyFill="1" applyBorder="1" applyAlignment="1">
      <alignment horizontal="center"/>
    </xf>
    <xf numFmtId="172" fontId="76" fillId="11" borderId="26" xfId="186" applyNumberFormat="1" applyFont="1" applyFill="1" applyBorder="1" applyAlignment="1">
      <alignment horizontal="center"/>
    </xf>
    <xf numFmtId="172" fontId="76" fillId="11" borderId="26" xfId="119" applyNumberFormat="1" applyFont="1" applyFill="1" applyBorder="1" applyAlignment="1">
      <alignment horizontal="center" vertical="center"/>
    </xf>
    <xf numFmtId="1" fontId="76" fillId="11" borderId="26" xfId="119" applyNumberFormat="1" applyFont="1" applyFill="1" applyBorder="1" applyAlignment="1">
      <alignment horizontal="center" vertical="center"/>
    </xf>
    <xf numFmtId="173" fontId="76" fillId="11" borderId="26" xfId="119" applyNumberFormat="1" applyFont="1" applyFill="1" applyBorder="1" applyAlignment="1">
      <alignment horizontal="center" vertical="center"/>
    </xf>
    <xf numFmtId="172" fontId="76" fillId="11" borderId="26" xfId="187" applyNumberFormat="1" applyFont="1" applyFill="1" applyBorder="1" applyAlignment="1">
      <alignment horizontal="center" vertical="center"/>
    </xf>
    <xf numFmtId="172" fontId="76" fillId="11" borderId="26" xfId="119" applyNumberFormat="1" applyFont="1" applyFill="1" applyBorder="1" applyAlignment="1">
      <alignment horizontal="center"/>
    </xf>
    <xf numFmtId="172" fontId="76" fillId="11" borderId="26" xfId="187" applyNumberFormat="1" applyFont="1" applyFill="1" applyBorder="1" applyAlignment="1">
      <alignment horizontal="center"/>
    </xf>
    <xf numFmtId="37" fontId="81" fillId="11" borderId="26" xfId="119" applyNumberFormat="1" applyFont="1" applyFill="1" applyBorder="1" applyAlignment="1">
      <alignment horizontal="center"/>
    </xf>
    <xf numFmtId="172" fontId="81" fillId="11" borderId="0" xfId="188" applyNumberFormat="1" applyFont="1" applyFill="1" applyBorder="1" applyAlignment="1">
      <alignment horizontal="center"/>
    </xf>
    <xf numFmtId="37" fontId="76" fillId="11" borderId="0" xfId="119" applyNumberFormat="1" applyFont="1" applyFill="1" applyAlignment="1">
      <alignment horizontal="center"/>
    </xf>
    <xf numFmtId="2" fontId="76" fillId="11" borderId="26" xfId="66" applyNumberFormat="1" applyFont="1" applyFill="1" applyBorder="1" applyAlignment="1">
      <alignment horizontal="center"/>
    </xf>
    <xf numFmtId="0" fontId="76" fillId="19" borderId="0" xfId="119" applyFont="1" applyFill="1" applyAlignment="1">
      <alignment horizontal="right"/>
    </xf>
    <xf numFmtId="0" fontId="76" fillId="0" borderId="0" xfId="0" applyFont="1" applyAlignment="1">
      <alignment horizontal="center"/>
    </xf>
    <xf numFmtId="37" fontId="76" fillId="19" borderId="54" xfId="61" applyNumberFormat="1" applyFont="1" applyFill="1" applyBorder="1" applyAlignment="1">
      <alignment horizontal="center"/>
    </xf>
    <xf numFmtId="37" fontId="76" fillId="19" borderId="53" xfId="61" applyNumberFormat="1" applyFont="1" applyFill="1" applyBorder="1" applyAlignment="1">
      <alignment horizontal="center"/>
    </xf>
    <xf numFmtId="37" fontId="75" fillId="19" borderId="53" xfId="61" applyNumberFormat="1" applyFont="1" applyFill="1" applyBorder="1" applyAlignment="1">
      <alignment horizontal="center"/>
    </xf>
    <xf numFmtId="37" fontId="75" fillId="19" borderId="55" xfId="61" applyNumberFormat="1" applyFont="1" applyFill="1" applyBorder="1" applyAlignment="1">
      <alignment horizontal="center"/>
    </xf>
    <xf numFmtId="37" fontId="76" fillId="16" borderId="32" xfId="111" applyNumberFormat="1" applyFont="1" applyFill="1" applyBorder="1" applyAlignment="1">
      <alignment horizontal="center" vertical="center"/>
    </xf>
    <xf numFmtId="37" fontId="76" fillId="16" borderId="0" xfId="111" applyNumberFormat="1" applyFont="1" applyFill="1" applyAlignment="1">
      <alignment horizontal="center" vertical="center"/>
    </xf>
    <xf numFmtId="172" fontId="81" fillId="16" borderId="0" xfId="183" applyNumberFormat="1" applyFont="1" applyFill="1" applyBorder="1" applyAlignment="1">
      <alignment horizontal="center" vertical="center"/>
    </xf>
    <xf numFmtId="0" fontId="76" fillId="16" borderId="0" xfId="119" applyFont="1" applyFill="1"/>
    <xf numFmtId="37" fontId="76" fillId="16" borderId="0" xfId="112" applyNumberFormat="1" applyFont="1" applyFill="1" applyAlignment="1">
      <alignment horizontal="center"/>
    </xf>
    <xf numFmtId="37" fontId="76" fillId="11" borderId="0" xfId="112" applyNumberFormat="1" applyFont="1" applyFill="1" applyAlignment="1">
      <alignment horizontal="center"/>
    </xf>
    <xf numFmtId="179" fontId="76" fillId="11" borderId="29" xfId="71" quotePrefix="1" applyNumberFormat="1" applyFont="1" applyFill="1" applyBorder="1" applyAlignment="1">
      <alignment horizontal="center" vertical="center"/>
    </xf>
    <xf numFmtId="38" fontId="76" fillId="16" borderId="32" xfId="119" applyNumberFormat="1" applyFont="1" applyFill="1" applyBorder="1" applyAlignment="1">
      <alignment horizontal="center" vertical="center" wrapText="1"/>
    </xf>
    <xf numFmtId="38" fontId="76" fillId="16" borderId="0" xfId="119" applyNumberFormat="1" applyFont="1" applyFill="1" applyAlignment="1">
      <alignment horizontal="center" vertical="center" wrapText="1"/>
    </xf>
    <xf numFmtId="2" fontId="76" fillId="16" borderId="36" xfId="119" applyNumberFormat="1" applyFont="1" applyFill="1" applyBorder="1" applyAlignment="1">
      <alignment horizontal="center"/>
    </xf>
    <xf numFmtId="37" fontId="75" fillId="11" borderId="26" xfId="67" applyNumberFormat="1" applyFont="1" applyFill="1" applyBorder="1" applyAlignment="1">
      <alignment horizontal="center"/>
    </xf>
    <xf numFmtId="172" fontId="76" fillId="11" borderId="26" xfId="189" applyNumberFormat="1" applyFont="1" applyFill="1" applyBorder="1" applyAlignment="1">
      <alignment horizontal="center"/>
    </xf>
    <xf numFmtId="37" fontId="76" fillId="11" borderId="26" xfId="126" applyNumberFormat="1" applyFont="1" applyFill="1" applyBorder="1" applyAlignment="1">
      <alignment horizontal="center"/>
    </xf>
    <xf numFmtId="172" fontId="76" fillId="11" borderId="26" xfId="126" applyNumberFormat="1" applyFont="1" applyFill="1" applyBorder="1" applyAlignment="1">
      <alignment horizontal="center" vertical="center"/>
    </xf>
    <xf numFmtId="37" fontId="76" fillId="11" borderId="26" xfId="126" applyNumberFormat="1" applyFont="1" applyFill="1" applyBorder="1" applyAlignment="1">
      <alignment horizontal="center" vertical="center"/>
    </xf>
    <xf numFmtId="2" fontId="76" fillId="11" borderId="26" xfId="126" applyNumberFormat="1" applyFont="1" applyFill="1" applyBorder="1" applyAlignment="1">
      <alignment horizontal="center"/>
    </xf>
    <xf numFmtId="1" fontId="76" fillId="11" borderId="26" xfId="126" applyNumberFormat="1" applyFont="1" applyFill="1" applyBorder="1" applyAlignment="1">
      <alignment horizontal="center" vertical="center"/>
    </xf>
    <xf numFmtId="37" fontId="76" fillId="19" borderId="26" xfId="126" applyNumberFormat="1" applyFont="1" applyFill="1" applyBorder="1" applyAlignment="1">
      <alignment horizontal="center" vertical="center"/>
    </xf>
    <xf numFmtId="39" fontId="76" fillId="11" borderId="26" xfId="126" applyNumberFormat="1" applyFont="1" applyFill="1" applyBorder="1" applyAlignment="1">
      <alignment horizontal="center" vertical="center"/>
    </xf>
    <xf numFmtId="172" fontId="76" fillId="11" borderId="26" xfId="185" applyNumberFormat="1" applyFont="1" applyFill="1" applyBorder="1" applyAlignment="1">
      <alignment horizontal="center" vertical="center"/>
    </xf>
    <xf numFmtId="169" fontId="76" fillId="11" borderId="26" xfId="126" applyNumberFormat="1" applyFont="1" applyFill="1" applyBorder="1" applyAlignment="1">
      <alignment horizontal="center"/>
    </xf>
    <xf numFmtId="172" fontId="76" fillId="11" borderId="26" xfId="185" applyNumberFormat="1" applyFont="1" applyFill="1" applyBorder="1" applyAlignment="1">
      <alignment horizontal="center"/>
    </xf>
    <xf numFmtId="37" fontId="81" fillId="11" borderId="26" xfId="126" applyNumberFormat="1" applyFont="1" applyFill="1" applyBorder="1" applyAlignment="1">
      <alignment horizontal="center"/>
    </xf>
    <xf numFmtId="172" fontId="81" fillId="11" borderId="26" xfId="185" applyNumberFormat="1" applyFont="1" applyFill="1" applyBorder="1" applyAlignment="1">
      <alignment horizontal="center"/>
    </xf>
    <xf numFmtId="39" fontId="76" fillId="11" borderId="23" xfId="126" applyNumberFormat="1" applyFont="1" applyFill="1" applyBorder="1" applyAlignment="1">
      <alignment horizontal="center"/>
    </xf>
    <xf numFmtId="0" fontId="76" fillId="0" borderId="0" xfId="127" applyFont="1"/>
    <xf numFmtId="37" fontId="76" fillId="11" borderId="32" xfId="116" applyNumberFormat="1" applyFont="1" applyFill="1" applyBorder="1" applyAlignment="1">
      <alignment horizontal="center" vertical="center"/>
    </xf>
    <xf numFmtId="37" fontId="76" fillId="11" borderId="0" xfId="117" applyNumberFormat="1" applyFont="1" applyFill="1" applyAlignment="1">
      <alignment horizontal="center" vertical="center"/>
    </xf>
    <xf numFmtId="172" fontId="81" fillId="11" borderId="0" xfId="117" applyNumberFormat="1" applyFont="1" applyFill="1" applyAlignment="1">
      <alignment horizontal="center" vertical="center"/>
    </xf>
    <xf numFmtId="37" fontId="76" fillId="11" borderId="0" xfId="118" applyNumberFormat="1" applyFont="1" applyFill="1" applyAlignment="1">
      <alignment horizontal="center"/>
    </xf>
    <xf numFmtId="37" fontId="75" fillId="11" borderId="0" xfId="68" applyNumberFormat="1" applyFont="1" applyFill="1" applyBorder="1" applyAlignment="1">
      <alignment horizontal="center"/>
    </xf>
    <xf numFmtId="172" fontId="76" fillId="11" borderId="0" xfId="190" applyNumberFormat="1" applyFont="1" applyFill="1" applyBorder="1" applyAlignment="1">
      <alignment horizontal="center"/>
    </xf>
    <xf numFmtId="37" fontId="76" fillId="11" borderId="0" xfId="127" applyNumberFormat="1" applyFont="1" applyFill="1" applyAlignment="1">
      <alignment horizontal="center"/>
    </xf>
    <xf numFmtId="172" fontId="76" fillId="11" borderId="0" xfId="127" applyNumberFormat="1" applyFont="1" applyFill="1" applyAlignment="1">
      <alignment horizontal="center" vertical="center"/>
    </xf>
    <xf numFmtId="173" fontId="76" fillId="11" borderId="0" xfId="127" applyNumberFormat="1" applyFont="1" applyFill="1" applyAlignment="1">
      <alignment horizontal="center" vertical="center"/>
    </xf>
    <xf numFmtId="2" fontId="76" fillId="11" borderId="26" xfId="127" applyNumberFormat="1" applyFont="1" applyFill="1" applyBorder="1" applyAlignment="1">
      <alignment horizontal="center"/>
    </xf>
    <xf numFmtId="1" fontId="76" fillId="11" borderId="26" xfId="127" applyNumberFormat="1" applyFont="1" applyFill="1" applyBorder="1" applyAlignment="1">
      <alignment horizontal="center" vertical="center"/>
    </xf>
    <xf numFmtId="37" fontId="76" fillId="11" borderId="26" xfId="127" applyNumberFormat="1" applyFont="1" applyFill="1" applyBorder="1" applyAlignment="1">
      <alignment horizontal="center" vertical="center"/>
    </xf>
    <xf numFmtId="169" fontId="76" fillId="11" borderId="26" xfId="127" applyNumberFormat="1" applyFont="1" applyFill="1" applyBorder="1" applyAlignment="1">
      <alignment horizontal="center" vertical="center"/>
    </xf>
    <xf numFmtId="39" fontId="76" fillId="11" borderId="26" xfId="127" applyNumberFormat="1" applyFont="1" applyFill="1" applyBorder="1" applyAlignment="1">
      <alignment horizontal="center" vertical="center"/>
    </xf>
    <xf numFmtId="37" fontId="76" fillId="11" borderId="26" xfId="127" applyNumberFormat="1" applyFont="1" applyFill="1" applyBorder="1" applyAlignment="1">
      <alignment horizontal="center"/>
    </xf>
    <xf numFmtId="169" fontId="76" fillId="11" borderId="26" xfId="127" applyNumberFormat="1" applyFont="1" applyFill="1" applyBorder="1" applyAlignment="1">
      <alignment horizontal="center"/>
    </xf>
    <xf numFmtId="172" fontId="81" fillId="11" borderId="0" xfId="185" applyNumberFormat="1" applyFont="1" applyFill="1" applyBorder="1" applyAlignment="1">
      <alignment horizontal="center"/>
    </xf>
    <xf numFmtId="169" fontId="76" fillId="13" borderId="53" xfId="0" applyNumberFormat="1" applyFont="1" applyFill="1" applyBorder="1" applyAlignment="1">
      <alignment horizontal="center"/>
    </xf>
    <xf numFmtId="39" fontId="76" fillId="11" borderId="23" xfId="127" applyNumberFormat="1" applyFont="1" applyFill="1" applyBorder="1" applyAlignment="1">
      <alignment horizontal="center"/>
    </xf>
    <xf numFmtId="0" fontId="76" fillId="0" borderId="0" xfId="119" applyFont="1" applyAlignment="1">
      <alignment horizontal="center"/>
    </xf>
    <xf numFmtId="0" fontId="75" fillId="0" borderId="0" xfId="0" applyFont="1" applyAlignment="1">
      <alignment horizontal="center"/>
    </xf>
    <xf numFmtId="0" fontId="75" fillId="0" borderId="0" xfId="119" applyFont="1"/>
    <xf numFmtId="0" fontId="75" fillId="0" borderId="0" xfId="128" applyFont="1"/>
    <xf numFmtId="0" fontId="76" fillId="0" borderId="47" xfId="119" applyFont="1" applyBorder="1"/>
    <xf numFmtId="0" fontId="76" fillId="0" borderId="0" xfId="119" applyFont="1" applyAlignment="1">
      <alignment horizontal="left" vertical="center" wrapText="1"/>
    </xf>
    <xf numFmtId="0" fontId="76" fillId="0" borderId="0" xfId="119" applyFont="1" applyAlignment="1">
      <alignment horizontal="left"/>
    </xf>
    <xf numFmtId="0" fontId="76" fillId="0" borderId="47" xfId="119" applyFont="1" applyBorder="1" applyAlignment="1">
      <alignment horizontal="left" indent="2"/>
    </xf>
    <xf numFmtId="0" fontId="98" fillId="0" borderId="0" xfId="119" applyFont="1" applyAlignment="1">
      <alignment horizontal="left"/>
    </xf>
    <xf numFmtId="0" fontId="76" fillId="0" borderId="0" xfId="119" applyFont="1" applyAlignment="1">
      <alignment horizontal="left" indent="2"/>
    </xf>
    <xf numFmtId="0" fontId="98" fillId="0" borderId="0" xfId="119" applyFont="1" applyAlignment="1">
      <alignment horizontal="left" indent="1"/>
    </xf>
    <xf numFmtId="0" fontId="81" fillId="0" borderId="0" xfId="119" applyFont="1" applyAlignment="1">
      <alignment horizontal="left" indent="5"/>
    </xf>
    <xf numFmtId="0" fontId="81" fillId="0" borderId="0" xfId="119" applyFont="1" applyAlignment="1">
      <alignment horizontal="left" indent="2"/>
    </xf>
    <xf numFmtId="0" fontId="76" fillId="8" borderId="0" xfId="0" applyFont="1" applyFill="1"/>
    <xf numFmtId="0" fontId="81" fillId="8" borderId="0" xfId="0" applyFont="1" applyFill="1" applyAlignment="1">
      <alignment wrapText="1"/>
    </xf>
    <xf numFmtId="0" fontId="76" fillId="8" borderId="0" xfId="0" applyFont="1" applyFill="1" applyAlignment="1">
      <alignment wrapText="1"/>
    </xf>
    <xf numFmtId="0" fontId="76" fillId="0" borderId="48" xfId="0" applyFont="1" applyBorder="1"/>
    <xf numFmtId="0" fontId="76" fillId="8" borderId="57" xfId="0" applyFont="1" applyFill="1" applyBorder="1"/>
    <xf numFmtId="0" fontId="76" fillId="0" borderId="57" xfId="0" applyFont="1" applyBorder="1"/>
    <xf numFmtId="0" fontId="75" fillId="8" borderId="57" xfId="0" applyFont="1" applyFill="1" applyBorder="1"/>
    <xf numFmtId="0" fontId="75" fillId="8" borderId="58" xfId="0" applyFont="1" applyFill="1" applyBorder="1"/>
    <xf numFmtId="0" fontId="76" fillId="8" borderId="59" xfId="0" applyFont="1" applyFill="1" applyBorder="1"/>
    <xf numFmtId="0" fontId="81" fillId="8" borderId="57" xfId="0" applyFont="1" applyFill="1" applyBorder="1"/>
    <xf numFmtId="0" fontId="75" fillId="0" borderId="59" xfId="0" applyFont="1" applyBorder="1"/>
    <xf numFmtId="0" fontId="76" fillId="8" borderId="60" xfId="0" applyFont="1" applyFill="1" applyBorder="1"/>
    <xf numFmtId="0" fontId="76" fillId="11" borderId="49" xfId="119" applyFont="1" applyFill="1" applyBorder="1" applyAlignment="1">
      <alignment horizontal="left" vertical="center" wrapText="1"/>
    </xf>
    <xf numFmtId="0" fontId="76" fillId="0" borderId="22" xfId="119" applyFont="1" applyBorder="1"/>
    <xf numFmtId="0" fontId="75" fillId="11" borderId="49" xfId="126" applyFont="1" applyFill="1" applyBorder="1" applyAlignment="1">
      <alignment horizontal="center" vertical="center" wrapText="1"/>
    </xf>
    <xf numFmtId="0" fontId="75" fillId="0" borderId="47" xfId="126" applyFont="1" applyBorder="1"/>
    <xf numFmtId="0" fontId="76" fillId="0" borderId="47" xfId="126" applyFont="1" applyBorder="1"/>
    <xf numFmtId="0" fontId="76" fillId="8" borderId="47" xfId="126" applyFont="1" applyFill="1" applyBorder="1"/>
    <xf numFmtId="0" fontId="76" fillId="8" borderId="0" xfId="126" applyFont="1" applyFill="1"/>
    <xf numFmtId="0" fontId="76" fillId="8" borderId="0" xfId="126" applyFont="1" applyFill="1" applyAlignment="1">
      <alignment horizontal="left" vertical="center" indent="2"/>
    </xf>
    <xf numFmtId="0" fontId="76" fillId="8" borderId="0" xfId="126" applyFont="1" applyFill="1" applyAlignment="1">
      <alignment horizontal="left" indent="2"/>
    </xf>
    <xf numFmtId="0" fontId="98" fillId="12" borderId="0" xfId="126" applyFont="1" applyFill="1" applyAlignment="1">
      <alignment horizontal="left" indent="1"/>
    </xf>
    <xf numFmtId="0" fontId="76" fillId="12" borderId="47" xfId="126" applyFont="1" applyFill="1" applyBorder="1" applyAlignment="1">
      <alignment horizontal="left" indent="2"/>
    </xf>
    <xf numFmtId="0" fontId="76" fillId="12" borderId="0" xfId="126" applyFont="1" applyFill="1" applyAlignment="1">
      <alignment horizontal="left" indent="2"/>
    </xf>
    <xf numFmtId="0" fontId="81" fillId="8" borderId="0" xfId="126" applyFont="1" applyFill="1" applyAlignment="1">
      <alignment horizontal="left" indent="2"/>
    </xf>
    <xf numFmtId="0" fontId="81" fillId="8" borderId="0" xfId="126" applyFont="1" applyFill="1" applyAlignment="1">
      <alignment horizontal="left" indent="5"/>
    </xf>
    <xf numFmtId="0" fontId="76" fillId="8" borderId="22" xfId="126" applyFont="1" applyFill="1" applyBorder="1" applyAlignment="1">
      <alignment horizontal="left" indent="2"/>
    </xf>
    <xf numFmtId="0" fontId="76" fillId="0" borderId="47" xfId="127" applyFont="1" applyBorder="1"/>
    <xf numFmtId="0" fontId="76" fillId="8" borderId="0" xfId="127" applyFont="1" applyFill="1"/>
    <xf numFmtId="0" fontId="76" fillId="0" borderId="0" xfId="127" applyFont="1" applyAlignment="1">
      <alignment horizontal="left" vertical="center" indent="2"/>
    </xf>
    <xf numFmtId="0" fontId="76" fillId="0" borderId="0" xfId="127" applyFont="1" applyAlignment="1">
      <alignment horizontal="left" indent="2"/>
    </xf>
    <xf numFmtId="0" fontId="98" fillId="0" borderId="0" xfId="127" applyFont="1" applyAlignment="1">
      <alignment horizontal="left" indent="1"/>
    </xf>
    <xf numFmtId="0" fontId="76" fillId="0" borderId="47" xfId="127" applyFont="1" applyBorder="1" applyAlignment="1">
      <alignment horizontal="left" indent="2"/>
    </xf>
    <xf numFmtId="0" fontId="76" fillId="12" borderId="0" xfId="127" applyFont="1" applyFill="1" applyAlignment="1">
      <alignment horizontal="left" indent="2"/>
    </xf>
    <xf numFmtId="0" fontId="81" fillId="0" borderId="0" xfId="127" applyFont="1" applyAlignment="1">
      <alignment horizontal="left" indent="5"/>
    </xf>
    <xf numFmtId="0" fontId="76" fillId="0" borderId="22" xfId="127" applyFont="1" applyBorder="1" applyAlignment="1">
      <alignment horizontal="left" indent="2"/>
    </xf>
    <xf numFmtId="0" fontId="76" fillId="8" borderId="57" xfId="120" applyFont="1" applyFill="1" applyBorder="1" applyAlignment="1">
      <alignment horizontal="left" indent="2"/>
    </xf>
    <xf numFmtId="0" fontId="76" fillId="0" borderId="57" xfId="120" applyFont="1" applyBorder="1" applyAlignment="1">
      <alignment horizontal="left" indent="2"/>
    </xf>
    <xf numFmtId="0" fontId="76" fillId="0" borderId="0" xfId="0" applyFont="1" applyAlignment="1">
      <alignment vertical="center"/>
    </xf>
    <xf numFmtId="0" fontId="81" fillId="0" borderId="0" xfId="0" applyFont="1" applyAlignment="1">
      <alignment horizontal="left" vertical="center" indent="6"/>
    </xf>
    <xf numFmtId="0" fontId="76" fillId="8" borderId="61" xfId="0" applyFont="1" applyFill="1" applyBorder="1" applyAlignment="1">
      <alignment horizontal="left"/>
    </xf>
    <xf numFmtId="0" fontId="99" fillId="15" borderId="0" xfId="0" applyFont="1" applyFill="1" applyAlignment="1">
      <alignment horizontal="left"/>
    </xf>
    <xf numFmtId="0" fontId="76" fillId="0" borderId="62" xfId="0" applyFont="1" applyBorder="1"/>
    <xf numFmtId="166" fontId="75" fillId="0" borderId="50" xfId="128" applyNumberFormat="1" applyFont="1" applyBorder="1" applyAlignment="1">
      <alignment horizontal="center"/>
    </xf>
    <xf numFmtId="166" fontId="75" fillId="0" borderId="0" xfId="128" applyNumberFormat="1" applyFont="1" applyAlignment="1">
      <alignment horizontal="center"/>
    </xf>
    <xf numFmtId="0" fontId="76" fillId="0" borderId="50" xfId="119" applyFont="1" applyBorder="1" applyAlignment="1">
      <alignment horizontal="center"/>
    </xf>
    <xf numFmtId="0" fontId="81" fillId="0" borderId="50" xfId="119" applyFont="1" applyBorder="1" applyAlignment="1">
      <alignment horizontal="center"/>
    </xf>
    <xf numFmtId="0" fontId="84" fillId="0" borderId="0" xfId="0" applyFont="1"/>
    <xf numFmtId="0" fontId="94" fillId="0" borderId="50" xfId="0" applyFont="1" applyBorder="1" applyAlignment="1">
      <alignment horizontal="center"/>
    </xf>
    <xf numFmtId="0" fontId="100" fillId="0" borderId="50" xfId="0" applyFont="1" applyBorder="1" applyAlignment="1">
      <alignment horizontal="center"/>
    </xf>
    <xf numFmtId="0" fontId="84" fillId="0" borderId="50" xfId="0" applyFont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0" fontId="76" fillId="0" borderId="52" xfId="119" applyFont="1" applyBorder="1" applyAlignment="1">
      <alignment horizontal="center"/>
    </xf>
    <xf numFmtId="0" fontId="101" fillId="0" borderId="0" xfId="126" applyFont="1" applyAlignment="1">
      <alignment horizontal="center"/>
    </xf>
    <xf numFmtId="0" fontId="94" fillId="0" borderId="0" xfId="126" applyFont="1" applyAlignment="1">
      <alignment horizontal="center"/>
    </xf>
    <xf numFmtId="171" fontId="75" fillId="0" borderId="0" xfId="0" applyNumberFormat="1" applyFont="1" applyAlignment="1">
      <alignment horizontal="center"/>
    </xf>
    <xf numFmtId="0" fontId="76" fillId="0" borderId="16" xfId="0" applyFont="1" applyBorder="1" applyAlignment="1">
      <alignment horizontal="center"/>
    </xf>
    <xf numFmtId="172" fontId="81" fillId="0" borderId="0" xfId="0" applyNumberFormat="1" applyFont="1"/>
    <xf numFmtId="0" fontId="78" fillId="0" borderId="0" xfId="0" applyFont="1" applyAlignment="1">
      <alignment horizontal="left"/>
    </xf>
    <xf numFmtId="172" fontId="81" fillId="0" borderId="0" xfId="168" applyNumberFormat="1" applyFont="1" applyFill="1" applyAlignment="1">
      <alignment horizontal="right"/>
    </xf>
    <xf numFmtId="0" fontId="22" fillId="0" borderId="0" xfId="0" applyFont="1" applyAlignment="1">
      <alignment horizontal="centerContinuous"/>
    </xf>
    <xf numFmtId="0" fontId="75" fillId="0" borderId="0" xfId="0" applyFont="1" applyAlignment="1">
      <alignment horizontal="centerContinuous"/>
    </xf>
    <xf numFmtId="37" fontId="4" fillId="11" borderId="33" xfId="158" applyNumberFormat="1" applyFill="1" applyBorder="1" applyAlignment="1">
      <alignment horizontal="center"/>
    </xf>
    <xf numFmtId="37" fontId="4" fillId="11" borderId="26" xfId="158" applyNumberFormat="1" applyFill="1" applyBorder="1" applyAlignment="1">
      <alignment horizontal="center"/>
    </xf>
    <xf numFmtId="172" fontId="21" fillId="11" borderId="26" xfId="158" applyNumberFormat="1" applyFont="1" applyFill="1" applyBorder="1" applyAlignment="1">
      <alignment horizontal="center"/>
    </xf>
    <xf numFmtId="37" fontId="4" fillId="11" borderId="26" xfId="159" applyNumberFormat="1" applyFill="1" applyBorder="1" applyAlignment="1">
      <alignment horizontal="center"/>
    </xf>
    <xf numFmtId="37" fontId="4" fillId="11" borderId="33" xfId="160" applyNumberFormat="1" applyFill="1" applyBorder="1" applyAlignment="1">
      <alignment horizontal="center" vertical="center"/>
    </xf>
    <xf numFmtId="37" fontId="4" fillId="11" borderId="26" xfId="95" applyNumberFormat="1" applyFill="1" applyBorder="1" applyAlignment="1">
      <alignment horizontal="center" vertical="center"/>
    </xf>
    <xf numFmtId="172" fontId="21" fillId="11" borderId="26" xfId="179" applyNumberFormat="1" applyFont="1" applyFill="1" applyBorder="1" applyAlignment="1">
      <alignment horizontal="center" vertical="center"/>
    </xf>
    <xf numFmtId="37" fontId="4" fillId="11" borderId="26" xfId="96" applyNumberFormat="1" applyFill="1" applyBorder="1" applyAlignment="1">
      <alignment horizontal="center"/>
    </xf>
    <xf numFmtId="37" fontId="22" fillId="11" borderId="26" xfId="148" applyNumberFormat="1" applyFont="1" applyFill="1" applyBorder="1" applyAlignment="1">
      <alignment horizontal="center"/>
    </xf>
    <xf numFmtId="37" fontId="4" fillId="11" borderId="26" xfId="149" applyNumberFormat="1" applyFill="1" applyBorder="1" applyAlignment="1">
      <alignment horizontal="center"/>
    </xf>
    <xf numFmtId="37" fontId="4" fillId="11" borderId="26" xfId="150" applyNumberFormat="1" applyFill="1" applyBorder="1" applyAlignment="1">
      <alignment horizontal="center"/>
    </xf>
    <xf numFmtId="172" fontId="4" fillId="11" borderId="26" xfId="173" applyNumberFormat="1" applyFont="1" applyFill="1" applyBorder="1" applyAlignment="1">
      <alignment horizontal="center"/>
    </xf>
    <xf numFmtId="1" fontId="4" fillId="11" borderId="26" xfId="151" applyNumberFormat="1" applyFill="1" applyBorder="1" applyAlignment="1">
      <alignment horizontal="center" vertical="center"/>
    </xf>
    <xf numFmtId="173" fontId="4" fillId="11" borderId="26" xfId="151" applyNumberFormat="1" applyFill="1" applyBorder="1" applyAlignment="1">
      <alignment horizontal="center" vertical="center"/>
    </xf>
    <xf numFmtId="37" fontId="4" fillId="11" borderId="26" xfId="152" applyNumberFormat="1" applyFill="1" applyBorder="1" applyAlignment="1">
      <alignment horizontal="center"/>
    </xf>
    <xf numFmtId="37" fontId="4" fillId="11" borderId="26" xfId="156" applyNumberFormat="1" applyFill="1" applyBorder="1" applyAlignment="1">
      <alignment horizontal="center"/>
    </xf>
    <xf numFmtId="39" fontId="4" fillId="11" borderId="26" xfId="156" applyNumberFormat="1" applyFill="1" applyBorder="1" applyAlignment="1">
      <alignment horizontal="center"/>
    </xf>
    <xf numFmtId="173" fontId="4" fillId="11" borderId="26" xfId="130" applyNumberFormat="1" applyFill="1" applyBorder="1" applyAlignment="1">
      <alignment horizontal="center" vertical="center"/>
    </xf>
    <xf numFmtId="172" fontId="4" fillId="11" borderId="26" xfId="176" applyNumberFormat="1" applyFont="1" applyFill="1" applyBorder="1" applyAlignment="1">
      <alignment horizontal="center" vertical="center"/>
    </xf>
    <xf numFmtId="37" fontId="4" fillId="11" borderId="26" xfId="130" applyNumberFormat="1" applyFill="1" applyBorder="1" applyAlignment="1">
      <alignment horizontal="center"/>
    </xf>
    <xf numFmtId="172" fontId="4" fillId="11" borderId="26" xfId="177" applyNumberFormat="1" applyFont="1" applyFill="1" applyBorder="1" applyAlignment="1">
      <alignment horizontal="center"/>
    </xf>
    <xf numFmtId="37" fontId="4" fillId="11" borderId="26" xfId="157" applyNumberFormat="1" applyFill="1" applyBorder="1" applyAlignment="1">
      <alignment horizontal="center"/>
    </xf>
    <xf numFmtId="37" fontId="21" fillId="11" borderId="26" xfId="157" applyNumberFormat="1" applyFont="1" applyFill="1" applyBorder="1" applyAlignment="1">
      <alignment horizontal="center"/>
    </xf>
    <xf numFmtId="172" fontId="21" fillId="11" borderId="26" xfId="178" applyNumberFormat="1" applyFont="1" applyFill="1" applyBorder="1" applyAlignment="1">
      <alignment horizontal="center"/>
    </xf>
    <xf numFmtId="2" fontId="4" fillId="11" borderId="26" xfId="60" applyNumberFormat="1" applyFont="1" applyFill="1" applyBorder="1" applyAlignment="1">
      <alignment horizontal="center"/>
    </xf>
    <xf numFmtId="37" fontId="4" fillId="11" borderId="33" xfId="103" applyNumberFormat="1" applyFill="1" applyBorder="1" applyAlignment="1">
      <alignment horizontal="center" vertical="center"/>
    </xf>
    <xf numFmtId="37" fontId="4" fillId="11" borderId="26" xfId="103" applyNumberFormat="1" applyFill="1" applyBorder="1" applyAlignment="1">
      <alignment horizontal="center" vertical="center"/>
    </xf>
    <xf numFmtId="172" fontId="21" fillId="11" borderId="26" xfId="180" applyNumberFormat="1" applyFont="1" applyFill="1" applyBorder="1" applyAlignment="1">
      <alignment horizontal="center" vertical="center"/>
    </xf>
    <xf numFmtId="37" fontId="4" fillId="11" borderId="26" xfId="104" applyNumberFormat="1" applyFill="1" applyBorder="1" applyAlignment="1">
      <alignment horizontal="center"/>
    </xf>
    <xf numFmtId="38" fontId="4" fillId="11" borderId="33" xfId="153" applyNumberFormat="1" applyFill="1" applyBorder="1" applyAlignment="1">
      <alignment horizontal="center" vertical="center" wrapText="1"/>
    </xf>
    <xf numFmtId="38" fontId="4" fillId="11" borderId="26" xfId="153" applyNumberFormat="1" applyFill="1" applyBorder="1" applyAlignment="1">
      <alignment horizontal="center" vertical="center" wrapText="1"/>
    </xf>
    <xf numFmtId="2" fontId="4" fillId="11" borderId="37" xfId="153" applyNumberFormat="1" applyFill="1" applyBorder="1" applyAlignment="1">
      <alignment horizontal="center"/>
    </xf>
    <xf numFmtId="37" fontId="4" fillId="11" borderId="33" xfId="100" applyNumberFormat="1" applyFill="1" applyBorder="1" applyAlignment="1">
      <alignment horizontal="center" vertical="center"/>
    </xf>
    <xf numFmtId="37" fontId="4" fillId="11" borderId="26" xfId="101" applyNumberFormat="1" applyFill="1" applyBorder="1" applyAlignment="1">
      <alignment horizontal="center" vertical="center"/>
    </xf>
    <xf numFmtId="172" fontId="21" fillId="11" borderId="26" xfId="101" applyNumberFormat="1" applyFont="1" applyFill="1" applyBorder="1" applyAlignment="1">
      <alignment horizontal="center" vertical="center"/>
    </xf>
    <xf numFmtId="37" fontId="4" fillId="11" borderId="26" xfId="102" applyNumberFormat="1" applyFill="1" applyBorder="1" applyAlignment="1">
      <alignment horizontal="center"/>
    </xf>
    <xf numFmtId="37" fontId="22" fillId="11" borderId="26" xfId="59" applyNumberFormat="1" applyFont="1" applyFill="1" applyBorder="1" applyAlignment="1">
      <alignment horizontal="center"/>
    </xf>
    <xf numFmtId="172" fontId="4" fillId="11" borderId="26" xfId="175" applyNumberFormat="1" applyFont="1" applyFill="1" applyBorder="1" applyAlignment="1">
      <alignment horizontal="center"/>
    </xf>
    <xf numFmtId="37" fontId="4" fillId="11" borderId="26" xfId="155" applyNumberFormat="1" applyFill="1" applyBorder="1" applyAlignment="1">
      <alignment horizontal="center"/>
    </xf>
    <xf numFmtId="172" fontId="4" fillId="11" borderId="26" xfId="155" applyNumberFormat="1" applyFill="1" applyBorder="1" applyAlignment="1">
      <alignment horizontal="center" vertical="center"/>
    </xf>
    <xf numFmtId="173" fontId="4" fillId="11" borderId="26" xfId="155" applyNumberFormat="1" applyFill="1" applyBorder="1" applyAlignment="1">
      <alignment horizontal="center" vertical="center"/>
    </xf>
    <xf numFmtId="2" fontId="4" fillId="11" borderId="26" xfId="155" applyNumberFormat="1" applyFill="1" applyBorder="1" applyAlignment="1">
      <alignment horizontal="center"/>
    </xf>
    <xf numFmtId="1" fontId="4" fillId="11" borderId="26" xfId="155" applyNumberFormat="1" applyFill="1" applyBorder="1" applyAlignment="1">
      <alignment horizontal="center" vertical="center"/>
    </xf>
    <xf numFmtId="37" fontId="4" fillId="11" borderId="26" xfId="155" applyNumberFormat="1" applyFill="1" applyBorder="1" applyAlignment="1">
      <alignment horizontal="center" vertical="center"/>
    </xf>
    <xf numFmtId="169" fontId="4" fillId="11" borderId="26" xfId="155" applyNumberFormat="1" applyFill="1" applyBorder="1" applyAlignment="1">
      <alignment horizontal="center" vertical="center"/>
    </xf>
    <xf numFmtId="39" fontId="4" fillId="11" borderId="26" xfId="155" applyNumberFormat="1" applyFill="1" applyBorder="1" applyAlignment="1">
      <alignment horizontal="center" vertical="center"/>
    </xf>
    <xf numFmtId="169" fontId="4" fillId="11" borderId="26" xfId="155" applyNumberFormat="1" applyFill="1" applyBorder="1" applyAlignment="1">
      <alignment horizontal="center"/>
    </xf>
    <xf numFmtId="37" fontId="21" fillId="11" borderId="26" xfId="155" applyNumberFormat="1" applyFont="1" applyFill="1" applyBorder="1" applyAlignment="1">
      <alignment horizontal="center"/>
    </xf>
    <xf numFmtId="39" fontId="4" fillId="11" borderId="23" xfId="155" applyNumberFormat="1" applyFill="1" applyBorder="1" applyAlignment="1">
      <alignment horizontal="center"/>
    </xf>
    <xf numFmtId="37" fontId="4" fillId="11" borderId="33" xfId="97" applyNumberFormat="1" applyFill="1" applyBorder="1" applyAlignment="1">
      <alignment horizontal="center" vertical="center"/>
    </xf>
    <xf numFmtId="37" fontId="4" fillId="11" borderId="26" xfId="98" applyNumberFormat="1" applyFill="1" applyBorder="1" applyAlignment="1">
      <alignment horizontal="center" vertical="center"/>
    </xf>
    <xf numFmtId="172" fontId="21" fillId="11" borderId="26" xfId="98" applyNumberFormat="1" applyFont="1" applyFill="1" applyBorder="1" applyAlignment="1">
      <alignment horizontal="center" vertical="center"/>
    </xf>
    <xf numFmtId="37" fontId="4" fillId="11" borderId="26" xfId="99" applyNumberFormat="1" applyFill="1" applyBorder="1" applyAlignment="1">
      <alignment horizontal="center"/>
    </xf>
    <xf numFmtId="37" fontId="22" fillId="11" borderId="26" xfId="58" applyNumberFormat="1" applyFont="1" applyFill="1" applyBorder="1" applyAlignment="1">
      <alignment horizontal="center"/>
    </xf>
    <xf numFmtId="172" fontId="4" fillId="11" borderId="26" xfId="174" applyNumberFormat="1" applyFont="1" applyFill="1" applyBorder="1" applyAlignment="1">
      <alignment horizontal="center"/>
    </xf>
    <xf numFmtId="37" fontId="4" fillId="11" borderId="26" xfId="154" applyNumberFormat="1" applyFill="1" applyBorder="1" applyAlignment="1">
      <alignment horizontal="center"/>
    </xf>
    <xf numFmtId="172" fontId="4" fillId="11" borderId="26" xfId="154" applyNumberFormat="1" applyFill="1" applyBorder="1" applyAlignment="1">
      <alignment horizontal="center" vertical="center"/>
    </xf>
    <xf numFmtId="173" fontId="4" fillId="11" borderId="26" xfId="154" applyNumberFormat="1" applyFill="1" applyBorder="1" applyAlignment="1">
      <alignment horizontal="center" vertical="center"/>
    </xf>
    <xf numFmtId="2" fontId="4" fillId="11" borderId="26" xfId="154" applyNumberFormat="1" applyFill="1" applyBorder="1" applyAlignment="1">
      <alignment horizontal="center"/>
    </xf>
    <xf numFmtId="1" fontId="4" fillId="11" borderId="26" xfId="154" applyNumberFormat="1" applyFill="1" applyBorder="1" applyAlignment="1">
      <alignment horizontal="center" vertical="center"/>
    </xf>
    <xf numFmtId="37" fontId="4" fillId="11" borderId="26" xfId="154" applyNumberFormat="1" applyFill="1" applyBorder="1" applyAlignment="1">
      <alignment horizontal="center" vertical="center"/>
    </xf>
    <xf numFmtId="169" fontId="4" fillId="11" borderId="26" xfId="154" applyNumberFormat="1" applyFill="1" applyBorder="1" applyAlignment="1">
      <alignment horizontal="center" vertical="center"/>
    </xf>
    <xf numFmtId="39" fontId="4" fillId="11" borderId="26" xfId="154" applyNumberFormat="1" applyFill="1" applyBorder="1" applyAlignment="1">
      <alignment horizontal="center" vertical="center"/>
    </xf>
    <xf numFmtId="169" fontId="4" fillId="11" borderId="26" xfId="154" applyNumberFormat="1" applyFill="1" applyBorder="1" applyAlignment="1">
      <alignment horizontal="center"/>
    </xf>
    <xf numFmtId="39" fontId="4" fillId="11" borderId="23" xfId="154" applyNumberFormat="1" applyFill="1" applyBorder="1" applyAlignment="1">
      <alignment horizontal="center"/>
    </xf>
    <xf numFmtId="172" fontId="82" fillId="0" borderId="0" xfId="168" applyNumberFormat="1" applyFont="1" applyFill="1" applyBorder="1"/>
    <xf numFmtId="172" fontId="81" fillId="0" borderId="0" xfId="168" applyNumberFormat="1" applyFont="1" applyFill="1" applyBorder="1"/>
    <xf numFmtId="3" fontId="4" fillId="0" borderId="0" xfId="0" applyNumberFormat="1" applyFont="1"/>
    <xf numFmtId="175" fontId="89" fillId="0" borderId="0" xfId="56" applyNumberFormat="1" applyFont="1" applyFill="1" applyBorder="1"/>
    <xf numFmtId="175" fontId="86" fillId="0" borderId="0" xfId="56" applyNumberFormat="1" applyFont="1" applyFill="1" applyBorder="1"/>
    <xf numFmtId="172" fontId="81" fillId="0" borderId="0" xfId="168" applyNumberFormat="1" applyFont="1" applyFill="1" applyBorder="1" applyAlignment="1">
      <alignment horizontal="right"/>
    </xf>
    <xf numFmtId="166" fontId="76" fillId="0" borderId="0" xfId="56" applyFont="1" applyFill="1" applyBorder="1"/>
    <xf numFmtId="172" fontId="98" fillId="0" borderId="0" xfId="168" applyNumberFormat="1" applyFont="1" applyFill="1"/>
    <xf numFmtId="169" fontId="75" fillId="21" borderId="0" xfId="0" applyNumberFormat="1" applyFont="1" applyFill="1"/>
    <xf numFmtId="169" fontId="88" fillId="0" borderId="0" xfId="0" applyNumberFormat="1" applyFont="1" applyAlignment="1">
      <alignment horizontal="right"/>
    </xf>
    <xf numFmtId="175" fontId="75" fillId="0" borderId="0" xfId="56" applyNumberFormat="1" applyFont="1" applyFill="1"/>
    <xf numFmtId="175" fontId="75" fillId="0" borderId="0" xfId="56" applyNumberFormat="1" applyFont="1" applyFill="1" applyBorder="1"/>
    <xf numFmtId="0" fontId="76" fillId="22" borderId="0" xfId="0" applyFont="1" applyFill="1"/>
    <xf numFmtId="166" fontId="90" fillId="22" borderId="0" xfId="56" applyFont="1" applyFill="1"/>
    <xf numFmtId="166" fontId="76" fillId="22" borderId="0" xfId="56" applyFont="1" applyFill="1"/>
    <xf numFmtId="0" fontId="75" fillId="0" borderId="0" xfId="119" applyFont="1" applyAlignment="1">
      <alignment horizontal="right"/>
    </xf>
    <xf numFmtId="179" fontId="75" fillId="0" borderId="0" xfId="71" quotePrefix="1" applyNumberFormat="1" applyFont="1" applyAlignment="1">
      <alignment horizontal="center" vertical="center"/>
    </xf>
    <xf numFmtId="179" fontId="22" fillId="0" borderId="0" xfId="71" quotePrefix="1" applyNumberFormat="1" applyFont="1" applyAlignment="1">
      <alignment horizontal="center" vertical="center"/>
    </xf>
    <xf numFmtId="179" fontId="22" fillId="0" borderId="26" xfId="71" quotePrefix="1" applyNumberFormat="1" applyFont="1" applyBorder="1" applyAlignment="1">
      <alignment horizontal="center" vertical="center"/>
    </xf>
    <xf numFmtId="179" fontId="22" fillId="0" borderId="25" xfId="71" quotePrefix="1" applyNumberFormat="1" applyFont="1" applyBorder="1" applyAlignment="1">
      <alignment horizontal="center" vertical="center"/>
    </xf>
    <xf numFmtId="179" fontId="22" fillId="0" borderId="24" xfId="71" quotePrefix="1" applyNumberFormat="1" applyFont="1" applyBorder="1" applyAlignment="1">
      <alignment horizontal="center" vertical="center"/>
    </xf>
    <xf numFmtId="0" fontId="75" fillId="15" borderId="0" xfId="119" applyFont="1" applyFill="1"/>
    <xf numFmtId="179" fontId="75" fillId="15" borderId="0" xfId="71" quotePrefix="1" applyNumberFormat="1" applyFont="1" applyFill="1" applyAlignment="1">
      <alignment horizontal="center" vertical="center"/>
    </xf>
    <xf numFmtId="179" fontId="75" fillId="0" borderId="15" xfId="71" quotePrefix="1" applyNumberFormat="1" applyFont="1" applyBorder="1" applyAlignment="1">
      <alignment horizontal="center" vertical="center"/>
    </xf>
    <xf numFmtId="179" fontId="22" fillId="0" borderId="15" xfId="71" quotePrefix="1" applyNumberFormat="1" applyFont="1" applyBorder="1" applyAlignment="1">
      <alignment horizontal="center" vertical="center"/>
    </xf>
    <xf numFmtId="179" fontId="22" fillId="0" borderId="29" xfId="71" quotePrefix="1" applyNumberFormat="1" applyFont="1" applyBorder="1" applyAlignment="1">
      <alignment horizontal="center" vertical="center"/>
    </xf>
    <xf numFmtId="179" fontId="22" fillId="0" borderId="28" xfId="71" quotePrefix="1" applyNumberFormat="1" applyFont="1" applyBorder="1" applyAlignment="1">
      <alignment horizontal="center" vertical="center"/>
    </xf>
    <xf numFmtId="179" fontId="22" fillId="0" borderId="27" xfId="71" quotePrefix="1" applyNumberFormat="1" applyFont="1" applyBorder="1" applyAlignment="1">
      <alignment horizontal="center" vertical="center"/>
    </xf>
    <xf numFmtId="0" fontId="75" fillId="11" borderId="49" xfId="127" applyFont="1" applyFill="1" applyBorder="1" applyAlignment="1">
      <alignment horizontal="left" vertical="center" wrapText="1"/>
    </xf>
    <xf numFmtId="0" fontId="76" fillId="15" borderId="0" xfId="119" applyFont="1" applyFill="1"/>
    <xf numFmtId="17" fontId="76" fillId="15" borderId="0" xfId="119" applyNumberFormat="1" applyFont="1" applyFill="1"/>
    <xf numFmtId="17" fontId="75" fillId="15" borderId="0" xfId="119" applyNumberFormat="1" applyFont="1" applyFill="1"/>
    <xf numFmtId="0" fontId="23" fillId="0" borderId="0" xfId="0" applyFont="1"/>
    <xf numFmtId="181" fontId="2" fillId="0" borderId="0" xfId="0" applyNumberFormat="1" applyFont="1"/>
    <xf numFmtId="0" fontId="83" fillId="22" borderId="0" xfId="0" applyFont="1" applyFill="1"/>
    <xf numFmtId="169" fontId="80" fillId="22" borderId="0" xfId="0" applyNumberFormat="1" applyFont="1" applyFill="1"/>
    <xf numFmtId="0" fontId="75" fillId="22" borderId="0" xfId="0" applyFont="1" applyFill="1" applyAlignment="1">
      <alignment horizontal="left"/>
    </xf>
    <xf numFmtId="0" fontId="4" fillId="0" borderId="0" xfId="0" applyFont="1"/>
    <xf numFmtId="0" fontId="84" fillId="22" borderId="0" xfId="0" applyFont="1" applyFill="1" applyAlignment="1">
      <alignment horizontal="left"/>
    </xf>
    <xf numFmtId="169" fontId="76" fillId="22" borderId="0" xfId="0" applyNumberFormat="1" applyFont="1" applyFill="1"/>
    <xf numFmtId="174" fontId="76" fillId="0" borderId="0" xfId="56" applyNumberFormat="1" applyFont="1" applyFill="1"/>
    <xf numFmtId="174" fontId="76" fillId="0" borderId="0" xfId="56" applyNumberFormat="1" applyFont="1" applyFill="1" applyBorder="1"/>
    <xf numFmtId="174" fontId="75" fillId="0" borderId="0" xfId="56" applyNumberFormat="1" applyFont="1" applyFill="1"/>
    <xf numFmtId="174" fontId="75" fillId="0" borderId="0" xfId="56" applyNumberFormat="1" applyFont="1" applyFill="1" applyBorder="1"/>
    <xf numFmtId="175" fontId="91" fillId="0" borderId="0" xfId="56" applyNumberFormat="1" applyFont="1" applyFill="1" applyBorder="1" applyAlignment="1">
      <alignment horizontal="right" vertical="center"/>
    </xf>
    <xf numFmtId="175" fontId="75" fillId="0" borderId="0" xfId="120" applyNumberFormat="1" applyFont="1" applyAlignment="1">
      <alignment horizontal="right" vertical="center"/>
    </xf>
    <xf numFmtId="0" fontId="76" fillId="0" borderId="0" xfId="120" applyFont="1" applyAlignment="1">
      <alignment horizontal="right" vertical="center"/>
    </xf>
    <xf numFmtId="175" fontId="76" fillId="0" borderId="0" xfId="56" applyNumberFormat="1" applyFont="1" applyFill="1" applyAlignment="1">
      <alignment horizontal="right" vertical="center"/>
    </xf>
    <xf numFmtId="3" fontId="75" fillId="0" borderId="6" xfId="120" applyNumberFormat="1" applyFont="1" applyBorder="1" applyAlignment="1">
      <alignment horizontal="right" vertical="center"/>
    </xf>
    <xf numFmtId="165" fontId="76" fillId="0" borderId="0" xfId="120" applyNumberFormat="1" applyFont="1" applyAlignment="1">
      <alignment horizontal="right" vertical="center"/>
    </xf>
    <xf numFmtId="165" fontId="75" fillId="0" borderId="6" xfId="120" applyNumberFormat="1" applyFont="1" applyBorder="1" applyAlignment="1">
      <alignment horizontal="right" vertical="center"/>
    </xf>
    <xf numFmtId="3" fontId="76" fillId="0" borderId="0" xfId="120" applyNumberFormat="1" applyFont="1" applyAlignment="1">
      <alignment horizontal="right" vertical="center"/>
    </xf>
    <xf numFmtId="176" fontId="75" fillId="0" borderId="6" xfId="120" applyNumberFormat="1" applyFont="1" applyBorder="1" applyAlignment="1">
      <alignment horizontal="right" vertical="center"/>
    </xf>
    <xf numFmtId="0" fontId="75" fillId="15" borderId="15" xfId="0" applyFont="1" applyFill="1" applyBorder="1" applyAlignment="1">
      <alignment horizontal="center" vertical="center"/>
    </xf>
    <xf numFmtId="166" fontId="75" fillId="0" borderId="0" xfId="56" applyFont="1" applyFill="1" applyBorder="1" applyAlignment="1">
      <alignment horizontal="center"/>
    </xf>
    <xf numFmtId="37" fontId="80" fillId="0" borderId="0" xfId="0" applyNumberFormat="1" applyFont="1"/>
    <xf numFmtId="0" fontId="0" fillId="15" borderId="0" xfId="0" applyFill="1"/>
    <xf numFmtId="174" fontId="88" fillId="0" borderId="0" xfId="56" applyNumberFormat="1" applyFont="1" applyFill="1" applyBorder="1"/>
    <xf numFmtId="176" fontId="75" fillId="0" borderId="0" xfId="0" applyNumberFormat="1" applyFont="1"/>
    <xf numFmtId="172" fontId="98" fillId="17" borderId="0" xfId="168" applyNumberFormat="1" applyFont="1" applyFill="1"/>
    <xf numFmtId="169" fontId="75" fillId="13" borderId="0" xfId="0" applyNumberFormat="1" applyFont="1" applyFill="1" applyAlignment="1">
      <alignment horizontal="right"/>
    </xf>
    <xf numFmtId="0" fontId="76" fillId="0" borderId="50" xfId="119" applyFont="1" applyBorder="1" applyAlignment="1">
      <alignment horizontal="center" vertical="center"/>
    </xf>
    <xf numFmtId="0" fontId="84" fillId="0" borderId="0" xfId="119" applyFont="1" applyAlignment="1">
      <alignment horizontal="right"/>
    </xf>
    <xf numFmtId="166" fontId="76" fillId="0" borderId="50" xfId="61" applyFont="1" applyFill="1" applyBorder="1" applyAlignment="1">
      <alignment horizontal="center" vertical="center" wrapText="1"/>
    </xf>
    <xf numFmtId="0" fontId="76" fillId="0" borderId="50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5" fillId="0" borderId="65" xfId="0" applyFont="1" applyBorder="1" applyAlignment="1">
      <alignment horizontal="center"/>
    </xf>
    <xf numFmtId="0" fontId="76" fillId="0" borderId="66" xfId="0" applyFont="1" applyBorder="1" applyAlignment="1">
      <alignment horizontal="center"/>
    </xf>
    <xf numFmtId="0" fontId="76" fillId="0" borderId="49" xfId="119" applyFont="1" applyBorder="1" applyAlignment="1">
      <alignment horizontal="center" vertical="center" wrapText="1"/>
    </xf>
    <xf numFmtId="0" fontId="75" fillId="0" borderId="49" xfId="126" applyFont="1" applyBorder="1" applyAlignment="1">
      <alignment horizontal="center" vertical="center" wrapText="1"/>
    </xf>
    <xf numFmtId="0" fontId="76" fillId="0" borderId="0" xfId="126" applyFont="1" applyAlignment="1">
      <alignment horizontal="center"/>
    </xf>
    <xf numFmtId="0" fontId="76" fillId="0" borderId="50" xfId="126" applyFont="1" applyBorder="1" applyAlignment="1">
      <alignment horizontal="center" vertical="center"/>
    </xf>
    <xf numFmtId="0" fontId="76" fillId="0" borderId="51" xfId="126" applyFont="1" applyBorder="1" applyAlignment="1">
      <alignment horizontal="center"/>
    </xf>
    <xf numFmtId="0" fontId="76" fillId="0" borderId="51" xfId="126" applyFont="1" applyBorder="1" applyAlignment="1">
      <alignment horizontal="center" vertical="center"/>
    </xf>
    <xf numFmtId="0" fontId="81" fillId="0" borderId="50" xfId="126" applyFont="1" applyBorder="1" applyAlignment="1">
      <alignment horizontal="center" vertical="center"/>
    </xf>
    <xf numFmtId="0" fontId="76" fillId="0" borderId="52" xfId="126" applyFont="1" applyBorder="1" applyAlignment="1">
      <alignment horizontal="center" vertical="center"/>
    </xf>
    <xf numFmtId="0" fontId="75" fillId="0" borderId="49" xfId="127" applyFont="1" applyBorder="1" applyAlignment="1">
      <alignment horizontal="center" vertical="center" wrapText="1"/>
    </xf>
    <xf numFmtId="0" fontId="75" fillId="0" borderId="0" xfId="127" applyFont="1" applyAlignment="1">
      <alignment horizontal="center"/>
    </xf>
    <xf numFmtId="0" fontId="76" fillId="0" borderId="0" xfId="127" applyFont="1" applyAlignment="1">
      <alignment horizontal="center"/>
    </xf>
    <xf numFmtId="0" fontId="76" fillId="0" borderId="50" xfId="127" applyFont="1" applyBorder="1" applyAlignment="1">
      <alignment horizontal="center" vertical="center"/>
    </xf>
    <xf numFmtId="0" fontId="76" fillId="0" borderId="51" xfId="127" applyFont="1" applyBorder="1" applyAlignment="1">
      <alignment horizontal="center"/>
    </xf>
    <xf numFmtId="0" fontId="76" fillId="0" borderId="67" xfId="120" applyFont="1" applyBorder="1" applyAlignment="1">
      <alignment horizontal="center" vertical="center"/>
    </xf>
    <xf numFmtId="0" fontId="76" fillId="0" borderId="51" xfId="127" applyFont="1" applyBorder="1" applyAlignment="1">
      <alignment horizontal="center" vertical="center"/>
    </xf>
    <xf numFmtId="0" fontId="81" fillId="0" borderId="50" xfId="127" applyFont="1" applyBorder="1" applyAlignment="1">
      <alignment horizontal="center" vertical="center"/>
    </xf>
    <xf numFmtId="0" fontId="76" fillId="0" borderId="52" xfId="127" applyFont="1" applyBorder="1" applyAlignment="1">
      <alignment horizontal="center" vertical="center"/>
    </xf>
    <xf numFmtId="0" fontId="76" fillId="0" borderId="68" xfId="0" applyFont="1" applyBorder="1" applyAlignment="1">
      <alignment horizontal="center"/>
    </xf>
    <xf numFmtId="0" fontId="76" fillId="0" borderId="0" xfId="120" applyFont="1" applyAlignment="1">
      <alignment horizontal="center"/>
    </xf>
    <xf numFmtId="0" fontId="76" fillId="0" borderId="69" xfId="120" applyFont="1" applyBorder="1" applyAlignment="1">
      <alignment horizontal="center"/>
    </xf>
    <xf numFmtId="0" fontId="76" fillId="0" borderId="0" xfId="128" applyFont="1"/>
    <xf numFmtId="37" fontId="76" fillId="13" borderId="30" xfId="0" applyNumberFormat="1" applyFont="1" applyFill="1" applyBorder="1" applyAlignment="1">
      <alignment horizontal="center" vertical="center"/>
    </xf>
    <xf numFmtId="37" fontId="4" fillId="13" borderId="30" xfId="0" applyNumberFormat="1" applyFont="1" applyFill="1" applyBorder="1" applyAlignment="1">
      <alignment horizontal="center" vertical="center"/>
    </xf>
    <xf numFmtId="37" fontId="76" fillId="13" borderId="24" xfId="0" applyNumberFormat="1" applyFont="1" applyFill="1" applyBorder="1" applyAlignment="1">
      <alignment horizontal="center" vertical="center"/>
    </xf>
    <xf numFmtId="37" fontId="4" fillId="13" borderId="24" xfId="0" applyNumberFormat="1" applyFont="1" applyFill="1" applyBorder="1" applyAlignment="1">
      <alignment horizontal="center" vertical="center"/>
    </xf>
    <xf numFmtId="172" fontId="81" fillId="13" borderId="24" xfId="169" applyNumberFormat="1" applyFont="1" applyFill="1" applyBorder="1" applyAlignment="1">
      <alignment horizontal="center" vertical="center"/>
    </xf>
    <xf numFmtId="172" fontId="21" fillId="13" borderId="24" xfId="169" applyNumberFormat="1" applyFont="1" applyFill="1" applyBorder="1" applyAlignment="1">
      <alignment horizontal="center" vertical="center"/>
    </xf>
    <xf numFmtId="37" fontId="76" fillId="13" borderId="24" xfId="0" applyNumberFormat="1" applyFont="1" applyFill="1" applyBorder="1" applyAlignment="1">
      <alignment horizontal="center"/>
    </xf>
    <xf numFmtId="37" fontId="4" fillId="13" borderId="24" xfId="0" applyNumberFormat="1" applyFont="1" applyFill="1" applyBorder="1" applyAlignment="1">
      <alignment horizontal="center"/>
    </xf>
    <xf numFmtId="37" fontId="76" fillId="13" borderId="53" xfId="57" applyNumberFormat="1" applyFont="1" applyFill="1" applyBorder="1" applyAlignment="1">
      <alignment horizontal="center"/>
    </xf>
    <xf numFmtId="37" fontId="4" fillId="13" borderId="53" xfId="57" applyNumberFormat="1" applyFont="1" applyFill="1" applyBorder="1" applyAlignment="1">
      <alignment horizontal="center"/>
    </xf>
    <xf numFmtId="37" fontId="81" fillId="13" borderId="53" xfId="57" applyNumberFormat="1" applyFont="1" applyFill="1" applyBorder="1" applyAlignment="1">
      <alignment horizontal="center"/>
    </xf>
    <xf numFmtId="37" fontId="21" fillId="13" borderId="53" xfId="57" applyNumberFormat="1" applyFont="1" applyFill="1" applyBorder="1" applyAlignment="1">
      <alignment horizontal="center"/>
    </xf>
    <xf numFmtId="172" fontId="81" fillId="13" borderId="53" xfId="169" applyNumberFormat="1" applyFont="1" applyFill="1" applyBorder="1" applyAlignment="1">
      <alignment horizontal="center"/>
    </xf>
    <xf numFmtId="172" fontId="21" fillId="13" borderId="53" xfId="169" applyNumberFormat="1" applyFont="1" applyFill="1" applyBorder="1" applyAlignment="1">
      <alignment horizontal="center"/>
    </xf>
    <xf numFmtId="169" fontId="4" fillId="13" borderId="53" xfId="0" applyNumberFormat="1" applyFont="1" applyFill="1" applyBorder="1" applyAlignment="1">
      <alignment horizontal="center"/>
    </xf>
    <xf numFmtId="172" fontId="76" fillId="13" borderId="53" xfId="169" applyNumberFormat="1" applyFont="1" applyFill="1" applyBorder="1" applyAlignment="1">
      <alignment horizontal="center"/>
    </xf>
    <xf numFmtId="172" fontId="4" fillId="13" borderId="53" xfId="169" applyNumberFormat="1" applyFont="1" applyFill="1" applyBorder="1" applyAlignment="1">
      <alignment horizontal="center"/>
    </xf>
    <xf numFmtId="3" fontId="2" fillId="13" borderId="56" xfId="169" applyNumberFormat="1" applyFont="1" applyFill="1" applyBorder="1" applyAlignment="1">
      <alignment horizontal="center"/>
    </xf>
    <xf numFmtId="37" fontId="4" fillId="13" borderId="54" xfId="61" applyNumberFormat="1" applyFont="1" applyFill="1" applyBorder="1" applyAlignment="1">
      <alignment horizontal="center"/>
    </xf>
    <xf numFmtId="37" fontId="4" fillId="13" borderId="53" xfId="61" applyNumberFormat="1" applyFont="1" applyFill="1" applyBorder="1" applyAlignment="1">
      <alignment horizontal="center"/>
    </xf>
    <xf numFmtId="37" fontId="22" fillId="13" borderId="53" xfId="61" applyNumberFormat="1" applyFont="1" applyFill="1" applyBorder="1" applyAlignment="1">
      <alignment horizontal="center"/>
    </xf>
    <xf numFmtId="37" fontId="22" fillId="13" borderId="55" xfId="61" applyNumberFormat="1" applyFont="1" applyFill="1" applyBorder="1" applyAlignment="1">
      <alignment horizontal="center"/>
    </xf>
    <xf numFmtId="37" fontId="76" fillId="13" borderId="53" xfId="0" applyNumberFormat="1" applyFont="1" applyFill="1" applyBorder="1" applyAlignment="1">
      <alignment horizontal="center"/>
    </xf>
    <xf numFmtId="37" fontId="4" fillId="13" borderId="53" xfId="0" applyNumberFormat="1" applyFont="1" applyFill="1" applyBorder="1" applyAlignment="1">
      <alignment horizontal="center"/>
    </xf>
    <xf numFmtId="172" fontId="76" fillId="13" borderId="53" xfId="0" applyNumberFormat="1" applyFont="1" applyFill="1" applyBorder="1" applyAlignment="1">
      <alignment horizontal="center"/>
    </xf>
    <xf numFmtId="172" fontId="4" fillId="13" borderId="53" xfId="0" applyNumberFormat="1" applyFont="1" applyFill="1" applyBorder="1" applyAlignment="1">
      <alignment horizontal="center"/>
    </xf>
    <xf numFmtId="37" fontId="21" fillId="13" borderId="53" xfId="0" applyNumberFormat="1" applyFont="1" applyFill="1" applyBorder="1" applyAlignment="1">
      <alignment horizontal="center"/>
    </xf>
    <xf numFmtId="37" fontId="76" fillId="13" borderId="53" xfId="0" applyNumberFormat="1" applyFont="1" applyFill="1" applyBorder="1"/>
    <xf numFmtId="37" fontId="4" fillId="13" borderId="53" xfId="0" applyNumberFormat="1" applyFont="1" applyFill="1" applyBorder="1"/>
    <xf numFmtId="37" fontId="76" fillId="13" borderId="53" xfId="61" applyNumberFormat="1" applyFont="1" applyFill="1" applyBorder="1" applyAlignment="1">
      <alignment horizontal="center"/>
    </xf>
    <xf numFmtId="172" fontId="76" fillId="13" borderId="56" xfId="185" applyNumberFormat="1" applyFont="1" applyFill="1" applyBorder="1" applyAlignment="1">
      <alignment horizontal="center"/>
    </xf>
    <xf numFmtId="172" fontId="4" fillId="13" borderId="56" xfId="185" applyNumberFormat="1" applyFont="1" applyFill="1" applyBorder="1" applyAlignment="1">
      <alignment horizontal="center"/>
    </xf>
    <xf numFmtId="9" fontId="4" fillId="13" borderId="56" xfId="185" applyFont="1" applyFill="1" applyBorder="1" applyAlignment="1">
      <alignment horizontal="center"/>
    </xf>
    <xf numFmtId="37" fontId="2" fillId="13" borderId="30" xfId="0" applyNumberFormat="1" applyFont="1" applyFill="1" applyBorder="1" applyAlignment="1">
      <alignment horizontal="center" vertical="center"/>
    </xf>
    <xf numFmtId="37" fontId="2" fillId="13" borderId="24" xfId="0" applyNumberFormat="1" applyFont="1" applyFill="1" applyBorder="1" applyAlignment="1">
      <alignment horizontal="center" vertical="center"/>
    </xf>
    <xf numFmtId="172" fontId="25" fillId="13" borderId="24" xfId="169" applyNumberFormat="1" applyFont="1" applyFill="1" applyBorder="1" applyAlignment="1">
      <alignment horizontal="center" vertical="center"/>
    </xf>
    <xf numFmtId="169" fontId="76" fillId="13" borderId="24" xfId="0" applyNumberFormat="1" applyFont="1" applyFill="1" applyBorder="1" applyAlignment="1">
      <alignment horizontal="center"/>
    </xf>
    <xf numFmtId="169" fontId="2" fillId="13" borderId="24" xfId="0" applyNumberFormat="1" applyFont="1" applyFill="1" applyBorder="1" applyAlignment="1">
      <alignment horizontal="center"/>
    </xf>
    <xf numFmtId="1" fontId="2" fillId="13" borderId="53" xfId="0" applyNumberFormat="1" applyFont="1" applyFill="1" applyBorder="1" applyAlignment="1">
      <alignment horizontal="center" vertical="center"/>
    </xf>
    <xf numFmtId="37" fontId="81" fillId="13" borderId="0" xfId="57" applyNumberFormat="1" applyFont="1" applyFill="1" applyBorder="1" applyAlignment="1">
      <alignment horizontal="center"/>
    </xf>
    <xf numFmtId="37" fontId="21" fillId="13" borderId="0" xfId="57" applyNumberFormat="1" applyFont="1" applyFill="1" applyBorder="1" applyAlignment="1">
      <alignment horizontal="center"/>
    </xf>
    <xf numFmtId="37" fontId="76" fillId="13" borderId="0" xfId="57" applyNumberFormat="1" applyFont="1" applyFill="1" applyBorder="1" applyAlignment="1">
      <alignment horizontal="center"/>
    </xf>
    <xf numFmtId="37" fontId="4" fillId="13" borderId="0" xfId="57" applyNumberFormat="1" applyFont="1" applyFill="1" applyBorder="1" applyAlignment="1">
      <alignment horizontal="center"/>
    </xf>
    <xf numFmtId="0" fontId="2" fillId="15" borderId="0" xfId="0" applyFont="1" applyFill="1"/>
    <xf numFmtId="0" fontId="23" fillId="0" borderId="0" xfId="0" applyFont="1" applyAlignment="1">
      <alignment horizontal="center"/>
    </xf>
    <xf numFmtId="0" fontId="17" fillId="0" borderId="0" xfId="119" applyFont="1" applyAlignment="1">
      <alignment horizontal="center"/>
    </xf>
    <xf numFmtId="0" fontId="4" fillId="0" borderId="0" xfId="119" applyAlignment="1">
      <alignment horizontal="center"/>
    </xf>
  </cellXfs>
  <cellStyles count="236">
    <cellStyle name="          _x000d__x000a_shell=progman.exe_x000d__x000a_m" xfId="1" xr:uid="{81FF4B17-02EA-4B56-A368-6D3FB502B061}"/>
    <cellStyle name="%" xfId="2" xr:uid="{EBE9AC2E-D5B7-4683-A288-18EDBA0CE7C6}"/>
    <cellStyle name="% 2" xfId="3" xr:uid="{8BC40B6E-49FE-4AF9-AB88-2C3826BDA58E}"/>
    <cellStyle name=",." xfId="4" xr:uid="{8F306ED6-E8BF-41B2-81B3-059DFB828F5D}"/>
    <cellStyle name="??" xfId="5" xr:uid="{411DAAE9-0676-4A70-856C-CD58746A4DB2}"/>
    <cellStyle name="?? [0.00]_PRODUCT DETAIL Q1" xfId="6" xr:uid="{33513093-3994-44F4-A85B-80E8A4EDFA73}"/>
    <cellStyle name="?? [0]" xfId="7" xr:uid="{DE676DF9-9737-436F-9814-2E3C74F0FF5D}"/>
    <cellStyle name="???? [0.00]_PRODUCT DETAIL Q1" xfId="8" xr:uid="{4CC23E38-5008-43BD-9AD4-E289D75E78ED}"/>
    <cellStyle name="????_PRODUCT DETAIL Q1" xfId="9" xr:uid="{497900DB-5A86-4A89-AB76-C8F579C6B6A7}"/>
    <cellStyle name="???[0]_Book1" xfId="10" xr:uid="{0B9C1945-8AD2-4C9D-9353-EA08BA5A8B1B}"/>
    <cellStyle name="???_95" xfId="11" xr:uid="{4B8345F2-180F-4DC1-8969-3692DD0F0082}"/>
    <cellStyle name="??_(????)??????" xfId="12" xr:uid="{2665C54A-6BE4-4BBF-AE7A-4100B75ED04A}"/>
    <cellStyle name="\" xfId="13" xr:uid="{1347EA5A-A2EC-4051-8C26-C80B37D0F8F6}"/>
    <cellStyle name="_BML_Punjab_June'04" xfId="14" xr:uid="{C2645DA4-5E6D-4908-A818-62B14D83B09F}"/>
    <cellStyle name="_Detail Report-REG &amp; FTH" xfId="15" xr:uid="{221C28B9-6AC6-402C-9FE8-C3D325AFA100}"/>
    <cellStyle name="_ESOP_Exercisable options_March'05" xfId="16" xr:uid="{A1344588-BF11-401D-A9E2-652C4AB901C9}"/>
    <cellStyle name="_ESOP_Weighted avg. ex. period_March'05" xfId="17" xr:uid="{9B87EF66-5414-4AB5-B31D-694D11F581E2}"/>
    <cellStyle name="_Fas 157 &amp; 159" xfId="18" xr:uid="{3706072A-8FFA-4A87-9F3A-CA5CA62823C6}"/>
    <cellStyle name="_Sheet1" xfId="19" xr:uid="{5BD259CF-C3BD-4424-A361-8CDB49F145F6}"/>
    <cellStyle name="_Sheet1_1" xfId="20" xr:uid="{13105228-E854-4BF5-9C19-23840DD071DB}"/>
    <cellStyle name="_Sheet2" xfId="21" xr:uid="{01B8D6D5-799F-4B1B-A254-3737A1395F5E}"/>
    <cellStyle name="_Sheet2_1" xfId="22" xr:uid="{5B6DB296-5AC0-4D53-9B07-3ED7F80A043F}"/>
    <cellStyle name="_Sheet2_1_Sheet2" xfId="23" xr:uid="{D06EFB4C-3234-468C-9073-56293140D234}"/>
    <cellStyle name="_Sheet3" xfId="24" xr:uid="{4A8E2722-D9BF-4942-A15C-BC6EA8D3C2A5}"/>
    <cellStyle name="=C:\WINNT\SYSTEM32\COMMAND.COM" xfId="25" xr:uid="{51BEE993-7394-44F7-92FA-A9A59A03B620}"/>
    <cellStyle name="=F:\WINNT\SYSTEM32\COMMAND.COM" xfId="26" xr:uid="{F68A7DCE-14DD-4001-A4FD-029AE1288F95}"/>
    <cellStyle name="0,0_x000d__x000a_NA_x000d__x000a_" xfId="27" xr:uid="{ECF6EA7D-4D6C-41EF-9B60-17C078D587B5}"/>
    <cellStyle name="0,0_x000d__x000a_NA_x000d__x000a_ 2" xfId="28" xr:uid="{19BDC287-2FF5-4893-9ED3-4ABD142F5711}"/>
    <cellStyle name="1" xfId="29" xr:uid="{528A9651-D29E-49E8-9A86-2E786FE6861E}"/>
    <cellStyle name="18" xfId="30" xr:uid="{FD76EDB1-E62A-4A67-9251-1B3A88F152E3}"/>
    <cellStyle name="2" xfId="31" xr:uid="{50DC91C7-7D89-45A7-9832-157C7823B966}"/>
    <cellStyle name="3" xfId="32" xr:uid="{CAD2C8EF-354A-446A-A7D9-0017E195D516}"/>
    <cellStyle name="4" xfId="33" xr:uid="{8BE545F2-4DFE-43C6-A16E-E41A2C65B671}"/>
    <cellStyle name="6" xfId="34" xr:uid="{C9DB0147-3E23-4AAA-8596-640E685A2CAE}"/>
    <cellStyle name="ÅëÈ­ [0]_¿ì¹°Åë" xfId="35" xr:uid="{002E2CC0-87F0-40A5-A843-145DCA616ECB}"/>
    <cellStyle name="AeE­ [0]_INQUIRY ¿µ¾÷AßAø " xfId="36" xr:uid="{F6C54E72-45E8-4F4B-A60D-C83F56570791}"/>
    <cellStyle name="ÅëÈ­ [0]_S" xfId="37" xr:uid="{0FBB0666-FB89-47E5-BA70-AC6AFE8E5BAB}"/>
    <cellStyle name="ÅëÈ­_¿ì¹°Åë" xfId="38" xr:uid="{ADB2DBBC-55FB-4CF9-8DE7-31E15306B21B}"/>
    <cellStyle name="AeE­_INQUIRY ¿µ¾÷AßAø " xfId="39" xr:uid="{0179CE48-8DE1-47EC-9876-225105A12C0E}"/>
    <cellStyle name="ÅëÈ­_S" xfId="40" xr:uid="{40E3C667-DE03-488B-BBBB-68246FEA09E4}"/>
    <cellStyle name="APPEAR" xfId="41" xr:uid="{2389724A-AF88-47E0-A427-997EE68526C6}"/>
    <cellStyle name="ÄÞ¸¶ [0]_¿ì¹°Åë" xfId="42" xr:uid="{BF723BF7-8F38-4087-B2D4-A984FDC496C8}"/>
    <cellStyle name="AÞ¸¶ [0]_INQUIRY ¿?¾÷AßAø " xfId="43" xr:uid="{61FBB8C1-D62E-45BD-8507-BB30AA9E75F3}"/>
    <cellStyle name="ÄÞ¸¶ [0]_S" xfId="44" xr:uid="{8CC19959-ADED-424B-927B-5D4DE3ADF381}"/>
    <cellStyle name="ÄÞ¸¶_¿ì¹°Åë" xfId="45" xr:uid="{D4253E06-E98C-4EFB-A32A-F43FA7AF267D}"/>
    <cellStyle name="AÞ¸¶_INQUIRY ¿?¾÷AßAø " xfId="46" xr:uid="{9E3F477C-B506-45CB-B678-8FA90F40A5DE}"/>
    <cellStyle name="ÄÞ¸¶_S" xfId="47" xr:uid="{6F4A2A41-3AB0-4A1B-B5CE-58862ED7AD61}"/>
    <cellStyle name="BKWmas" xfId="48" xr:uid="{57333F96-8140-450B-967D-D294D43C99A0}"/>
    <cellStyle name="Body" xfId="49" xr:uid="{86895EF5-720F-49FD-AF28-8A8A0A265A7B}"/>
    <cellStyle name="C?AØ_¿?¾÷CoE² " xfId="50" xr:uid="{C9CCDD80-06FB-4F97-B8EB-453F3477113C}"/>
    <cellStyle name="Ç¥ÁØ_´çÃÊ±¸ÀÔ»ý»ê" xfId="51" xr:uid="{161AE8FB-46E2-41CD-851E-90AA197C318D}"/>
    <cellStyle name="C￥AØ_¿μ¾÷CoE² " xfId="52" xr:uid="{23D7CEF8-4095-48EA-8E56-334AAF950C84}"/>
    <cellStyle name="Ç¥ÁØ_S" xfId="53" xr:uid="{E9368CAE-969E-4781-8D81-732AD92AA126}"/>
    <cellStyle name="ChartingText" xfId="54" xr:uid="{A9371A8C-8C99-4795-A943-330B5E48FA14}"/>
    <cellStyle name="ColumnHeaderNormal" xfId="55" xr:uid="{8C605B11-A2D5-450E-82C9-6C076C162E25}"/>
    <cellStyle name="Comma" xfId="56" builtinId="3"/>
    <cellStyle name="Comma 102" xfId="57" xr:uid="{B54CEBFB-44E0-4401-8417-1373F3DD2013}"/>
    <cellStyle name="Comma 130" xfId="58" xr:uid="{94E621FE-1BF2-4A81-8CAF-4F393B06D736}"/>
    <cellStyle name="Comma 132" xfId="59" xr:uid="{DD5C6082-AAD3-4F5D-900A-E0C49DA398BD}"/>
    <cellStyle name="Comma 137" xfId="60" xr:uid="{E175BD55-43CD-417F-916C-C1C7AD05B7EF}"/>
    <cellStyle name="Comma 2" xfId="61" xr:uid="{77B50A41-DE14-492E-AF7A-C5033A64C7F1}"/>
    <cellStyle name="Comma 2 2" xfId="62" xr:uid="{D7100D94-998D-43BF-9ABA-D46B11BBE81D}"/>
    <cellStyle name="Comma 3" xfId="63" xr:uid="{649AC561-84C5-498A-9748-A3F3D246530D}"/>
    <cellStyle name="Comma 3 2" xfId="64" xr:uid="{3736898C-57D1-4A38-99E6-E8F89908F631}"/>
    <cellStyle name="Comma 81" xfId="65" xr:uid="{0BC96B86-3B30-430C-866E-05A9195DFBE1}"/>
    <cellStyle name="Comma 87" xfId="66" xr:uid="{8991B8F0-4636-451F-AA76-C235A7CD3A17}"/>
    <cellStyle name="Comma 90" xfId="67" xr:uid="{0AE02A53-27AA-4887-A847-AED6AEA744BC}"/>
    <cellStyle name="Comma 91" xfId="68" xr:uid="{E9638CEA-4DCC-4222-B4B4-D1E486BD2132}"/>
    <cellStyle name="Comma 95" xfId="69" xr:uid="{655BFCF2-359F-44F0-BD23-9F7272006D91}"/>
    <cellStyle name="Comma 99" xfId="70" xr:uid="{1F342AFE-4CC9-415E-B104-3ACE73094011}"/>
    <cellStyle name="Comma_IFRS_Segment_Consol_BAL_March 2009" xfId="71" xr:uid="{95728DFC-C924-4FF2-8217-0BD6837B9038}"/>
    <cellStyle name="Comma0" xfId="72" xr:uid="{55E373A2-2EA9-46A2-BDCC-C95E9993EE40}"/>
    <cellStyle name="COMPS" xfId="73" xr:uid="{F8FC5554-D523-4A27-8845-0F89B63C7CB9}"/>
    <cellStyle name="Currency0" xfId="74" xr:uid="{9999073A-59F6-412E-8FA5-CE9096050293}"/>
    <cellStyle name="DATA_ENT" xfId="75" xr:uid="{E939A291-DFE4-4BFD-92BF-EC1300E3925E}"/>
    <cellStyle name="Date" xfId="76" xr:uid="{A7D3DA16-E512-4AEA-AF11-AB5492556FFF}"/>
    <cellStyle name="Dezimal [0]_Compiling Utility Macros" xfId="77" xr:uid="{F663147F-330A-4865-8C33-8A231D6E24CC}"/>
    <cellStyle name="Dezimal_Compiling Utility Macros" xfId="78" xr:uid="{28E2B12E-5AE7-4B0F-AA21-E97A5D1AFDC5}"/>
    <cellStyle name="DOWNFOOT" xfId="79" xr:uid="{11D8AA8A-F982-4C73-AA16-12E73089F94C}"/>
    <cellStyle name="Euro" xfId="80" xr:uid="{1DC4C4C8-D965-4BD3-BC10-85DDE5DC96F0}"/>
    <cellStyle name="Fixed" xfId="81" xr:uid="{516F573F-84CD-459B-A78C-AFD7899690FD}"/>
    <cellStyle name="Header1" xfId="82" xr:uid="{1CA500AC-B703-4FA7-A7B6-B305243BDF7C}"/>
    <cellStyle name="Header2" xfId="83" xr:uid="{C3AD6574-F66F-45CD-B003-7203D90CB02E}"/>
    <cellStyle name="HIDE" xfId="84" xr:uid="{2A8C252C-FB8A-434D-8D2E-097B6F0D5E1C}"/>
    <cellStyle name="Invisible" xfId="85" xr:uid="{B6F843E3-0897-4E68-BFBC-69207AAD4EC7}"/>
    <cellStyle name="LineItemValue" xfId="86" xr:uid="{3A56DAFA-CCEB-4DE8-A747-2AF1F132AB5F}"/>
    <cellStyle name="MARK" xfId="87" xr:uid="{E8BDB51E-025B-493C-821E-CC1A0D5405E7}"/>
    <cellStyle name="n" xfId="88" xr:uid="{C4652643-CB9D-40EA-A3A1-A6FB2E7E2DE0}"/>
    <cellStyle name="NewColumnHeaderNormal" xfId="89" xr:uid="{6B4DB491-8453-42E6-A301-BC21A1877B9F}"/>
    <cellStyle name="NewSectionHeaderNormal" xfId="90" xr:uid="{8B62A2FA-F14F-45EA-8A99-5D2E6793E59B}"/>
    <cellStyle name="NewTitleNormal" xfId="91" xr:uid="{AC146B22-9305-41CF-B635-72BD40B16E45}"/>
    <cellStyle name="no dec" xfId="92" xr:uid="{48D2C64B-B818-49C8-8EE8-1267A0632C09}"/>
    <cellStyle name="Nor}al" xfId="93" xr:uid="{4BAB120A-B456-4C32-9825-4F782386D856}"/>
    <cellStyle name="Normal" xfId="0" builtinId="0"/>
    <cellStyle name="Normal - Style1" xfId="94" xr:uid="{EA95095D-DEDD-442F-B375-83D453A58145}"/>
    <cellStyle name="Normal 100" xfId="95" xr:uid="{4137EC5A-5C3F-47E8-B602-56EB13980564}"/>
    <cellStyle name="Normal 101" xfId="96" xr:uid="{9586980A-9C31-4E42-9610-35A05D3E76DA}"/>
    <cellStyle name="Normal 102" xfId="97" xr:uid="{95B912DA-E5DA-4733-ACE5-989D2D47C77E}"/>
    <cellStyle name="Normal 103" xfId="98" xr:uid="{212EA68C-90FC-49D5-BD40-712AF1A47754}"/>
    <cellStyle name="Normal 104" xfId="99" xr:uid="{A7089CE3-6AE8-4A36-AB60-4C4AC9C762AC}"/>
    <cellStyle name="Normal 106" xfId="100" xr:uid="{5D85999F-0895-4798-98C5-988C652E3301}"/>
    <cellStyle name="Normal 107" xfId="101" xr:uid="{86DF5C42-2FEF-41E1-B1C7-A8411BB369CD}"/>
    <cellStyle name="Normal 108" xfId="102" xr:uid="{1A56F5DC-5291-4CDD-8138-0C57E1712C5B}"/>
    <cellStyle name="Normal 110" xfId="103" xr:uid="{A1A2EB0E-1E27-49F6-9CA2-F0231D43FB59}"/>
    <cellStyle name="Normal 111" xfId="104" xr:uid="{5D6A1E1D-9E44-4A3E-B91C-B8CB48463CBE}"/>
    <cellStyle name="Normal 112" xfId="105" xr:uid="{EA428D37-D68B-42EA-90A2-C51DF1DE2E67}"/>
    <cellStyle name="Normal 113" xfId="106" xr:uid="{74297A1A-39ED-415B-AD5B-D1CB79FA72A1}"/>
    <cellStyle name="Normal 114" xfId="107" xr:uid="{59A00F0E-5A25-4ABB-98D7-B2A68FCF9838}"/>
    <cellStyle name="Normal 115" xfId="108" xr:uid="{1C5AA757-C2F6-4474-A737-CFE428C87766}"/>
    <cellStyle name="Normal 116" xfId="109" xr:uid="{8F247591-818B-431A-AB74-82F4348DA25F}"/>
    <cellStyle name="Normal 118" xfId="110" xr:uid="{9DB92A92-7CB2-480C-8A90-8DE013AC3A0E}"/>
    <cellStyle name="Normal 119" xfId="111" xr:uid="{0A2F5FA4-7930-4128-8E0F-4042F6AC69A0}"/>
    <cellStyle name="Normal 120" xfId="112" xr:uid="{8F00D483-D0FC-489D-820E-A2FCB81E8813}"/>
    <cellStyle name="Normal 121" xfId="113" xr:uid="{ECC7E9E1-EE1F-438C-ADC6-B84AD76A893F}"/>
    <cellStyle name="Normal 122" xfId="114" xr:uid="{6416EFDE-3CE3-4477-8A44-9228AC4A58F0}"/>
    <cellStyle name="Normal 123" xfId="115" xr:uid="{3AEE4AC8-DBEB-4B82-BAC6-641374D9AA25}"/>
    <cellStyle name="Normal 124" xfId="116" xr:uid="{A57740DA-C5AF-497C-A623-9AC2752E43D6}"/>
    <cellStyle name="Normal 125" xfId="117" xr:uid="{80A1B921-1801-44B1-BD5D-3CFAB51EA614}"/>
    <cellStyle name="Normal 126" xfId="118" xr:uid="{0F905510-29A4-4AF6-9441-0E7207DFA9C0}"/>
    <cellStyle name="Normal 2" xfId="119" xr:uid="{430711A9-F1B5-47CD-A8DA-04B2C96EACEA}"/>
    <cellStyle name="Normal 2 2" xfId="120" xr:uid="{E63EA09B-3968-4ECA-9195-01389CF2C1D3}"/>
    <cellStyle name="Normal 2 2 2" xfId="121" xr:uid="{B1090E41-955B-4863-9A08-B45D1C7A732E}"/>
    <cellStyle name="Normal 2 3" xfId="122" xr:uid="{FC972374-2B40-42E8-8715-6DA3274BC36F}"/>
    <cellStyle name="Normal 3" xfId="123" xr:uid="{EBC19533-FC85-4FFA-B413-367DF9CF556A}"/>
    <cellStyle name="Normal 3 2" xfId="124" xr:uid="{D922D733-B632-4EF5-884B-41A87740DEAD}"/>
    <cellStyle name="Normal 4" xfId="125" xr:uid="{9C9601B3-54C1-4DBF-A1F2-0FDD175D0F3B}"/>
    <cellStyle name="Normal 49" xfId="126" xr:uid="{D7D4ADC1-C581-4C1F-A892-39D08105F056}"/>
    <cellStyle name="Normal 50" xfId="127" xr:uid="{F16AF4E8-8C9E-4077-84C8-36FF49E25E93}"/>
    <cellStyle name="Normal 51" xfId="128" xr:uid="{793EC332-27CD-4BF3-8906-1C3CAB5633D9}"/>
    <cellStyle name="Normal 53" xfId="129" xr:uid="{EB0C0B97-2F49-4E00-9968-F3201C8479B2}"/>
    <cellStyle name="Normal 54" xfId="130" xr:uid="{B425D268-927C-4889-90C5-D0FCEABE7B06}"/>
    <cellStyle name="Normal 56" xfId="131" xr:uid="{840D0599-08B1-48B3-BDA0-8473AD7E9B99}"/>
    <cellStyle name="Normal 58" xfId="132" xr:uid="{7206311A-B165-49C2-9E6A-FE011A123005}"/>
    <cellStyle name="Normal 60" xfId="133" xr:uid="{E24BC49A-E056-40D9-862D-8E25D1375E5E}"/>
    <cellStyle name="Normal 61" xfId="134" xr:uid="{C370CB52-7D2C-4250-AACA-A56DDF3F69A8}"/>
    <cellStyle name="Normal 63" xfId="135" xr:uid="{7030EBE0-5ED3-486D-97AC-F907BFF5C8DC}"/>
    <cellStyle name="Normal 64" xfId="136" xr:uid="{3C6CF5BE-191A-4313-90CD-F4E7FB17C51D}"/>
    <cellStyle name="Normal 69" xfId="137" xr:uid="{CEAFCD66-DFCF-48D6-B0CD-E88838679A5E}"/>
    <cellStyle name="Normal 70" xfId="138" xr:uid="{24300876-0988-46BA-BF93-3BF0A86092C2}"/>
    <cellStyle name="Normal 71" xfId="139" xr:uid="{896D9946-4018-4E42-9F67-79AC1704CA1A}"/>
    <cellStyle name="Normal 72" xfId="140" xr:uid="{A8021552-CCA4-4C56-94D4-BF4403CF2B44}"/>
    <cellStyle name="Normal 74" xfId="141" xr:uid="{47681B0F-54BC-4CE3-AA9F-8085523A49B4}"/>
    <cellStyle name="Normal 75" xfId="142" xr:uid="{58BFCD4D-52DA-4255-B4FB-B4865D569836}"/>
    <cellStyle name="Normal 76" xfId="143" xr:uid="{583F0AC6-6158-44BD-99CD-A3BE3210276C}"/>
    <cellStyle name="Normal 77" xfId="144" xr:uid="{F7B4CECB-6ABF-4482-A62A-5F74293E561B}"/>
    <cellStyle name="Normal 78" xfId="145" xr:uid="{903394BC-83FE-4FBA-8610-81016BED6489}"/>
    <cellStyle name="Normal 79" xfId="146" xr:uid="{E0626C94-286C-4408-83AA-9299F0C758DA}"/>
    <cellStyle name="Normal 80" xfId="147" xr:uid="{6A5BDCDD-FFFC-4303-898E-CEB118042BDD}"/>
    <cellStyle name="Normal 81" xfId="148" xr:uid="{A3D3FD80-FB40-44E1-9EF9-AD03D723E543}"/>
    <cellStyle name="Normal 84" xfId="149" xr:uid="{EC6E06DB-779F-4D68-AEDB-35DB942AA749}"/>
    <cellStyle name="Normal 85" xfId="150" xr:uid="{CA786DA5-E3D7-4054-9A46-9F0BC1B95C43}"/>
    <cellStyle name="Normal 86" xfId="151" xr:uid="{B2A8A302-5E76-430C-98A3-BBA561AB998A}"/>
    <cellStyle name="Normal 87" xfId="152" xr:uid="{BEFB814C-3332-481B-AAAA-E2912F25176E}"/>
    <cellStyle name="Normal 88" xfId="153" xr:uid="{FC9B3A5B-7B48-479C-8191-F7D37E0AABDB}"/>
    <cellStyle name="Normal 89" xfId="154" xr:uid="{EBE532C7-169C-45E8-A8EB-F50999BB3F27}"/>
    <cellStyle name="Normal 91" xfId="155" xr:uid="{8D10D083-900A-4C5E-B2D3-17C1C6E0BDEC}"/>
    <cellStyle name="Normal 92" xfId="156" xr:uid="{EECEC2BD-5C26-42E6-A199-530D3070C428}"/>
    <cellStyle name="Normal 96" xfId="157" xr:uid="{82CD076F-8FA0-4A14-B275-9F789A37217F}"/>
    <cellStyle name="Normal 97" xfId="158" xr:uid="{736DF2DE-9CE0-459D-9F72-F9F4F8CB4BB1}"/>
    <cellStyle name="Normal 98" xfId="159" xr:uid="{52DD699C-7E01-4F4C-AF7E-0BE10AFCFDCB}"/>
    <cellStyle name="Normal 99" xfId="160" xr:uid="{5A953780-8844-4655-8595-2CECBB804032}"/>
    <cellStyle name="oft Excel]_x000d__x000a_Comment=The open=/f lines load custom functions into the Paste Function list._x000d__x000a_Maximized=2_x000d__x000a_Basics=1_x000d__x000a_A" xfId="161" xr:uid="{3BC405A8-EC5D-4BF4-B829-A760B775A3C0}"/>
    <cellStyle name="oft Excel]_x000d__x000a_Comment=The open=/f lines load custom functions into the Paste Function list._x000d__x000a_Maximized=3_x000d__x000a_Basics=1_x000d__x000a_A" xfId="162" xr:uid="{FB28C049-4E6A-42FE-B703-FD95E04EEE86}"/>
    <cellStyle name="Output Amounts" xfId="163" xr:uid="{F7FF3002-60CB-4BA7-8884-4D5C4D2B06C6}"/>
    <cellStyle name="Output Column Headings" xfId="164" xr:uid="{A2C64D8A-A4F2-4608-B1E2-CB0D6A1AB712}"/>
    <cellStyle name="Output Line Items" xfId="165" xr:uid="{C4DF4BA1-CF96-4635-8438-9D9150D62DDA}"/>
    <cellStyle name="Output Report Heading" xfId="166" xr:uid="{36A80F73-02DF-45CC-B935-8A59255ACA46}"/>
    <cellStyle name="Output Report Title" xfId="167" xr:uid="{7ACA1758-8720-4F49-848A-0E7BACBB620F}"/>
    <cellStyle name="Percent" xfId="168" builtinId="5"/>
    <cellStyle name="Percent 101" xfId="169" xr:uid="{2269EFA3-05EA-421B-B27E-BFA5EEF0EB2E}"/>
    <cellStyle name="Percent 110" xfId="170" xr:uid="{C96EC9A8-3590-48F3-872A-AA5D02264EFF}"/>
    <cellStyle name="Percent 112" xfId="171" xr:uid="{70CD4AD2-F8FF-4E11-8D93-57D808023D4A}"/>
    <cellStyle name="Percent 114" xfId="172" xr:uid="{E069857C-95DA-44EE-997F-90118D9C1490}"/>
    <cellStyle name="Percent 125" xfId="173" xr:uid="{839EED26-AE63-493B-B23B-CD258CF0382B}"/>
    <cellStyle name="Percent 129" xfId="174" xr:uid="{9E070B33-4FF9-45E3-8A3B-A0C73ACC345C}"/>
    <cellStyle name="Percent 131" xfId="175" xr:uid="{D1A2B704-7287-4D16-A79D-A70E9C01E52B}"/>
    <cellStyle name="Percent 133" xfId="176" xr:uid="{822BA036-243D-41C1-9D02-3B1F24AC88CD}"/>
    <cellStyle name="Percent 134" xfId="177" xr:uid="{7A3D1BFB-FD16-4F3D-891C-8813A99615FA}"/>
    <cellStyle name="Percent 136" xfId="178" xr:uid="{84829FEA-4B7E-4E99-B0C1-1DE6AAA18CE2}"/>
    <cellStyle name="Percent 140" xfId="179" xr:uid="{3AB84350-EEC2-4072-966A-C5A8FDA1F5DB}"/>
    <cellStyle name="Percent 150" xfId="180" xr:uid="{F0596A94-FD55-4790-83D2-669790F644B5}"/>
    <cellStyle name="Percent 155" xfId="181" xr:uid="{6FF9CC01-5772-4680-BE0D-F7BE86FBD622}"/>
    <cellStyle name="Percent 158" xfId="182" xr:uid="{473D8BD4-F051-4A7E-A691-B7935DCBB7C0}"/>
    <cellStyle name="Percent 159" xfId="183" xr:uid="{C7F98D5C-9F38-4DB7-B6D1-72E2340C1F13}"/>
    <cellStyle name="Percent 2" xfId="184" xr:uid="{1FC1C21C-83F8-48F5-9071-F7BF52AB7CC1}"/>
    <cellStyle name="Percent 2 2" xfId="185" xr:uid="{14998001-08AA-4D42-85D7-5AF8928D0395}"/>
    <cellStyle name="Percent 82" xfId="186" xr:uid="{E7EA1FD4-4D6E-4CB0-ACE6-2973BE854350}"/>
    <cellStyle name="Percent 85" xfId="187" xr:uid="{CF7ACE9F-2AC6-4005-997E-97C7193D6A95}"/>
    <cellStyle name="Percent 86" xfId="188" xr:uid="{96A1C4EA-D03C-4B84-812D-33D342821704}"/>
    <cellStyle name="Percent 89" xfId="189" xr:uid="{136D3BEE-DB1B-4DD4-BD5C-ACEA90684931}"/>
    <cellStyle name="Percent 90" xfId="190" xr:uid="{DD13A553-380D-4D48-AC45-771197F10D74}"/>
    <cellStyle name="Percent 94" xfId="191" xr:uid="{B03B0BEF-B9A6-4EAE-8AB5-7C0774328549}"/>
    <cellStyle name="Percent 98" xfId="192" xr:uid="{66D52DC5-37CC-4AA9-9A6D-1D397F8EF4C0}"/>
    <cellStyle name="s]_x000d__x000a_spooler=yes_x000d__x000a_load=_x000d__x000a_Beep=yes_x000d__x000a_NullPort=None_x000d__x000a_BorderWidth=3_x000d__x000a_CursorBlinkRate=1200_x000d__x000a_DoubleClickSpeed=452_x000d__x000a_Programs=co" xfId="193" xr:uid="{93D79744-0A48-4B21-9C0B-391282C77EAE}"/>
    <cellStyle name="SectionHeaderNormal" xfId="194" xr:uid="{7C07457B-0F7F-4801-A6F4-7D04D88CED72}"/>
    <cellStyle name="Standard_Anpassen der Amortisation" xfId="195" xr:uid="{C983A657-1BD1-4274-927A-D00B1C2E28E2}"/>
    <cellStyle name="Style 1" xfId="196" xr:uid="{69EFD1E7-B2F4-4C0D-85A3-A065E99EE630}"/>
    <cellStyle name="Style 1 2" xfId="197" xr:uid="{57B2122D-EB22-423E-96C0-F133F9D6C76D}"/>
    <cellStyle name="Style 1 3" xfId="198" xr:uid="{205FBEE5-FE85-45CE-AD8D-7DA0AC739CD7}"/>
    <cellStyle name="SubScript" xfId="199" xr:uid="{3AAC74D6-A9CE-4035-9ACF-9B3F890DA924}"/>
    <cellStyle name="SuperScript" xfId="200" xr:uid="{E8796127-07F5-48B0-AFB3-F8104C588E27}"/>
    <cellStyle name="TextBold" xfId="201" xr:uid="{8B967B4B-6EA4-4646-9A6A-729B2194761C}"/>
    <cellStyle name="TextItalic" xfId="202" xr:uid="{9B266126-22AB-4CFB-B985-6F6EA983204A}"/>
    <cellStyle name="TextNormal" xfId="203" xr:uid="{1B4127BF-D106-4A86-B1D7-9D8002084CB4}"/>
    <cellStyle name="þ_x001d_ð·_x000c_æþ'_x000d_ßþU_x0001_Ø_x0005_ü_x0014__x0007__x0001__x0001_" xfId="204" xr:uid="{F00C41E9-190E-4645-BD2E-6628848B1A44}"/>
    <cellStyle name="TitleNormal" xfId="205" xr:uid="{2794E624-8174-4B44-815D-678A05F6BD9A}"/>
    <cellStyle name="Total" xfId="206" builtinId="25" customBuiltin="1"/>
    <cellStyle name="Währung [0]_Compiling Utility Macros" xfId="207" xr:uid="{D6E2DA78-E03F-4F32-A2E8-FF32DB2B97E6}"/>
    <cellStyle name="Währung_Compiling Utility Macros" xfId="208" xr:uid="{A8273034-C8CC-4737-88A1-F2B39FA7B75D}"/>
    <cellStyle name="xuan" xfId="209" xr:uid="{E671B91D-B050-4369-98B4-C502B57AFAE3}"/>
    <cellStyle name="Обычный 3" xfId="210" xr:uid="{505DB663-548B-44BC-8D5D-17BB238C145E}"/>
    <cellStyle name="Обычный_MTS Group 311205 Consolidation" xfId="211" xr:uid="{53A54FBF-AC92-4CDE-A1F7-CC305A3079B5}"/>
    <cellStyle name=" [0.00]_ Att. 1- Cover" xfId="212" xr:uid="{967B328C-2171-42EB-9041-C57E61DD6832}"/>
    <cellStyle name="_ Att. 1- Cover" xfId="213" xr:uid="{A6842C39-AC72-435F-82CE-8AD30EAE6187}"/>
    <cellStyle name="?_ Att. 1- Cover" xfId="214" xr:uid="{BEB8B107-38BE-4A8C-BD7C-B4F509FD4485}"/>
    <cellStyle name="똿뗦먛귟 [0.00]_PRODUCT DETAIL Q1" xfId="215" xr:uid="{906ACCF0-9362-4AE0-9613-3E0ABB14ADCB}"/>
    <cellStyle name="똿뗦먛귟_PRODUCT DETAIL Q1" xfId="216" xr:uid="{A2EC53D4-CE72-4155-8A63-121E0EA70836}"/>
    <cellStyle name="믅됞 [0.00]_PRODUCT DETAIL Q1" xfId="217" xr:uid="{2587FA5E-257A-4B7B-9F69-19713463E72E}"/>
    <cellStyle name="믅됞_PRODUCT DETAIL Q1" xfId="218" xr:uid="{0207BF7B-C7CD-40B3-B992-D4A4A5CB98E5}"/>
    <cellStyle name="백분율_95" xfId="219" xr:uid="{0DBE300B-FDB7-43A1-AB82-F0C340DB69FF}"/>
    <cellStyle name="뷭?_BOOKSHIP" xfId="220" xr:uid="{0E97334C-10CA-42D2-8E23-B4AB78E6E0A1}"/>
    <cellStyle name="콤마 [0]_1202" xfId="221" xr:uid="{3F2D538E-52F9-4323-8AB8-B58DE7B89364}"/>
    <cellStyle name="콤마_1202" xfId="222" xr:uid="{C0945741-C487-42C9-8EF0-0963D01917E5}"/>
    <cellStyle name="통화 [0]_1202" xfId="223" xr:uid="{4245CDA7-1131-4642-8E37-E6C6D3AD2A43}"/>
    <cellStyle name="통화_1202" xfId="224" xr:uid="{D70732CA-C0E7-46CD-B118-CF9D15856168}"/>
    <cellStyle name="표준_(정보부문)월별인원계획" xfId="225" xr:uid="{53B3F7DE-70A8-40BD-8996-4F007C0E82CF}"/>
    <cellStyle name="一般_00Q3902REV.1" xfId="226" xr:uid="{87C6BA42-425C-4070-98C9-56985A3CD333}"/>
    <cellStyle name="千分位[0]_00Q3902REV.1" xfId="227" xr:uid="{F3A051BC-1DB8-4234-82EA-6E7A9C294C6A}"/>
    <cellStyle name="千分位_00Q3902REV.1" xfId="228" xr:uid="{CE835BFE-6538-4A95-8C4F-B8C1F9208EA5}"/>
    <cellStyle name="桁区切り [0.00]_7月5日提出（HZM）" xfId="229" xr:uid="{EF7CAD00-9D6E-46FB-BF47-D1B7D6F99756}"/>
    <cellStyle name="桁区切り_08-00 NET Summary" xfId="230" xr:uid="{E789AADE-23CE-4A5D-B229-F49BF7BD7B04}"/>
    <cellStyle name="標準_(A1)BOQ " xfId="231" xr:uid="{BB727325-D458-4032-8BF5-2F99D639092E}"/>
    <cellStyle name="貨幣 [0]_00Q3902REV.1" xfId="232" xr:uid="{B3EED3BA-ADB6-4EAC-A4AC-26AFB270D8AD}"/>
    <cellStyle name="貨幣[0]_BRE" xfId="233" xr:uid="{55516D8D-4C52-4B22-8151-E3D3099BF548}"/>
    <cellStyle name="貨幣_00Q3902REV.1" xfId="234" xr:uid="{DBE64B8D-8B3E-4BAD-B9CF-09AC956B6B87}"/>
    <cellStyle name="非表示" xfId="235" xr:uid="{EEEC3487-ED21-4528-B58D-FDAB3437481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Hummingbird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  <sheetName val="IncStmt"/>
      <sheetName val="Portfol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  <sheetName val="Fly-by-night - problem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  <sheetName val="Sheet5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  <sheetName val="OBS - REFI"/>
      <sheetName val="WHEC"/>
      <sheetName val="LBO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925F-74C1-4B81-B304-80F962040280}">
  <dimension ref="B2:BW196"/>
  <sheetViews>
    <sheetView showGridLines="0" zoomScaleNormal="100" workbookViewId="0">
      <pane xSplit="2" ySplit="4" topLeftCell="AJ5" activePane="bottomRight" state="frozen"/>
      <selection pane="topRight" activeCell="CA1" sqref="CA1"/>
      <selection pane="bottomLeft" activeCell="CA1" sqref="CA1"/>
      <selection pane="bottomRight" activeCell="BZ2" sqref="BZ2"/>
    </sheetView>
  </sheetViews>
  <sheetFormatPr defaultColWidth="9.1796875" defaultRowHeight="10" outlineLevelCol="1"/>
  <cols>
    <col min="1" max="1" width="5.1796875" style="1" customWidth="1"/>
    <col min="2" max="2" width="33" style="1" bestFit="1" customWidth="1"/>
    <col min="3" max="3" width="12" style="1" hidden="1" customWidth="1" outlineLevel="1"/>
    <col min="4" max="4" width="12.26953125" style="1" hidden="1" customWidth="1" outlineLevel="1"/>
    <col min="5" max="8" width="10" style="1" hidden="1" customWidth="1" outlineLevel="1"/>
    <col min="9" max="9" width="11" style="1" hidden="1" customWidth="1" outlineLevel="1"/>
    <col min="10" max="10" width="10" style="1" hidden="1" customWidth="1" outlineLevel="1"/>
    <col min="11" max="11" width="9.81640625" style="1" hidden="1" customWidth="1" outlineLevel="1"/>
    <col min="12" max="23" width="10" style="1" hidden="1" customWidth="1" outlineLevel="1"/>
    <col min="24" max="24" width="10" style="1" hidden="1" customWidth="1" outlineLevel="1" collapsed="1"/>
    <col min="25" max="27" width="10" style="1" hidden="1" customWidth="1" outlineLevel="1"/>
    <col min="28" max="28" width="10" style="1" hidden="1" customWidth="1" outlineLevel="1" collapsed="1"/>
    <col min="29" max="34" width="10" style="1" hidden="1" customWidth="1" outlineLevel="1"/>
    <col min="35" max="35" width="10" style="1" bestFit="1" customWidth="1" collapsed="1"/>
    <col min="36" max="37" width="11.26953125" style="1" bestFit="1" customWidth="1"/>
    <col min="38" max="43" width="11" style="1" bestFit="1" customWidth="1"/>
    <col min="44" max="44" width="25.7265625" style="1" customWidth="1"/>
    <col min="45" max="45" width="10.81640625" style="1" hidden="1" customWidth="1" outlineLevel="1"/>
    <col min="46" max="55" width="9.1796875" style="1" hidden="1" customWidth="1" outlineLevel="1"/>
    <col min="56" max="56" width="9.1796875" style="1" hidden="1" customWidth="1" outlineLevel="1" collapsed="1"/>
    <col min="57" max="59" width="9.1796875" style="1" hidden="1" customWidth="1" outlineLevel="1"/>
    <col min="60" max="60" width="9.1796875" style="1" hidden="1" customWidth="1" outlineLevel="1" collapsed="1"/>
    <col min="61" max="64" width="9.1796875" style="1" hidden="1" customWidth="1" outlineLevel="1"/>
    <col min="65" max="66" width="0" style="1" hidden="1" customWidth="1" outlineLevel="1"/>
    <col min="67" max="67" width="9.1796875" style="1" collapsed="1"/>
    <col min="68" max="16384" width="9.1796875" style="1"/>
  </cols>
  <sheetData>
    <row r="2" spans="2:75" ht="13">
      <c r="T2" s="1246"/>
      <c r="U2" s="1246"/>
      <c r="AR2" s="1146" t="s">
        <v>0</v>
      </c>
      <c r="AS2" s="797">
        <v>72.489999999999995</v>
      </c>
      <c r="AT2" s="798">
        <v>69.77</v>
      </c>
      <c r="AU2" s="798">
        <v>69.16</v>
      </c>
      <c r="AV2" s="798">
        <v>69.02</v>
      </c>
      <c r="AW2" s="798">
        <v>71.77</v>
      </c>
      <c r="AX2" s="798">
        <v>70.867500000000007</v>
      </c>
      <c r="AY2" s="798">
        <v>75.3245</v>
      </c>
      <c r="AZ2" s="798">
        <v>75.508700000000005</v>
      </c>
      <c r="BA2" s="798">
        <v>73.7637</v>
      </c>
      <c r="BB2" s="798">
        <v>73.010000000000005</v>
      </c>
      <c r="BC2" s="798">
        <v>73.206500000000005</v>
      </c>
      <c r="BD2" s="798">
        <v>74.371600000000001</v>
      </c>
      <c r="BE2" s="798">
        <v>74.223600000000005</v>
      </c>
      <c r="BF2" s="798">
        <v>74.466999999999999</v>
      </c>
      <c r="BG2" s="798">
        <v>74.36</v>
      </c>
      <c r="BH2" s="798">
        <v>78.92</v>
      </c>
      <c r="BI2" s="798">
        <v>81.460999999999999</v>
      </c>
      <c r="BJ2" s="798">
        <v>82.716999999999999</v>
      </c>
      <c r="BK2" s="798">
        <v>82.08</v>
      </c>
      <c r="BL2" s="798">
        <v>82.1</v>
      </c>
      <c r="BM2" s="798">
        <v>83.04</v>
      </c>
      <c r="BN2" s="798">
        <v>83.238</v>
      </c>
      <c r="BO2" s="798">
        <v>83.35</v>
      </c>
      <c r="BP2" s="798">
        <v>83.355000000000004</v>
      </c>
      <c r="BQ2" s="798">
        <v>83.754999999999995</v>
      </c>
      <c r="BR2" s="798">
        <v>85.554000000000002</v>
      </c>
      <c r="BS2" s="798">
        <v>85.45</v>
      </c>
      <c r="BT2" s="798">
        <v>85.7</v>
      </c>
      <c r="BU2" s="798">
        <v>88.840999999999994</v>
      </c>
      <c r="BV2" s="798">
        <f>'Model '!BY208</f>
        <v>89.870999999999995</v>
      </c>
      <c r="BW2" s="798">
        <f>'Model '!BZ208</f>
        <v>93.484999999999999</v>
      </c>
    </row>
    <row r="3" spans="2:75" ht="10.5">
      <c r="T3" s="1246"/>
      <c r="U3" s="1246"/>
      <c r="AS3" s="1247" t="s">
        <v>1</v>
      </c>
      <c r="AT3" s="1247"/>
      <c r="AU3" s="1247"/>
      <c r="AV3" s="1247"/>
      <c r="AW3" s="801"/>
      <c r="AX3" s="801"/>
      <c r="AY3" s="801"/>
      <c r="BA3" s="801"/>
      <c r="BB3" s="801"/>
      <c r="BC3" s="801"/>
      <c r="BE3" s="801"/>
      <c r="BF3" s="801"/>
      <c r="BG3" s="801"/>
      <c r="BI3" s="801"/>
      <c r="BJ3" s="801"/>
      <c r="BK3" s="801"/>
    </row>
    <row r="4" spans="2:75" ht="13">
      <c r="B4" s="1143"/>
      <c r="C4" s="1144">
        <v>40603</v>
      </c>
      <c r="D4" s="1144">
        <v>40969</v>
      </c>
      <c r="E4" s="1144">
        <v>41334</v>
      </c>
      <c r="F4" s="1144">
        <v>41699</v>
      </c>
      <c r="G4" s="1144">
        <v>42064</v>
      </c>
      <c r="H4" s="1144">
        <v>42430</v>
      </c>
      <c r="I4" s="1145">
        <v>42795</v>
      </c>
      <c r="J4" s="1145">
        <v>43070</v>
      </c>
      <c r="K4" s="1145">
        <v>43190</v>
      </c>
      <c r="L4" s="1145">
        <v>43281</v>
      </c>
      <c r="M4" s="1145">
        <v>43373</v>
      </c>
      <c r="N4" s="1145">
        <v>43465</v>
      </c>
      <c r="O4" s="1145">
        <v>43555</v>
      </c>
      <c r="P4" s="1145">
        <v>43646</v>
      </c>
      <c r="Q4" s="1145">
        <v>43738</v>
      </c>
      <c r="R4" s="1145">
        <v>43830</v>
      </c>
      <c r="S4" s="1145">
        <v>43921</v>
      </c>
      <c r="T4" s="1145">
        <v>44012</v>
      </c>
      <c r="U4" s="1145">
        <v>44104</v>
      </c>
      <c r="V4" s="1145">
        <v>44196</v>
      </c>
      <c r="W4" s="1145">
        <v>44286</v>
      </c>
      <c r="X4" s="1145">
        <v>44377</v>
      </c>
      <c r="Y4" s="1145">
        <v>44469</v>
      </c>
      <c r="Z4" s="1145">
        <v>44561</v>
      </c>
      <c r="AA4" s="1145">
        <v>44651</v>
      </c>
      <c r="AB4" s="1145">
        <v>44742</v>
      </c>
      <c r="AC4" s="1145">
        <v>44834</v>
      </c>
      <c r="AD4" s="1145">
        <v>44926</v>
      </c>
      <c r="AE4" s="1145">
        <v>45016</v>
      </c>
      <c r="AF4" s="1145">
        <v>45107</v>
      </c>
      <c r="AG4" s="1145">
        <v>45199</v>
      </c>
      <c r="AH4" s="1145">
        <v>45290</v>
      </c>
      <c r="AI4" s="1145">
        <v>45382</v>
      </c>
      <c r="AJ4" s="1145">
        <v>45473</v>
      </c>
      <c r="AK4" s="1145">
        <v>45565</v>
      </c>
      <c r="AL4" s="1145">
        <v>45656</v>
      </c>
      <c r="AM4" s="1145">
        <v>45746</v>
      </c>
      <c r="AN4" s="1145">
        <v>45838</v>
      </c>
      <c r="AO4" s="1145">
        <v>45930</v>
      </c>
      <c r="AP4" s="1145">
        <v>46021</v>
      </c>
      <c r="AQ4" s="1145">
        <v>46112</v>
      </c>
      <c r="AS4" s="1145">
        <v>43373</v>
      </c>
      <c r="AT4" s="1145">
        <v>43464</v>
      </c>
      <c r="AU4" s="1145">
        <v>43555</v>
      </c>
      <c r="AV4" s="1145">
        <f t="shared" ref="AV4:BE5" si="0">P4</f>
        <v>43646</v>
      </c>
      <c r="AW4" s="1145">
        <f t="shared" si="0"/>
        <v>43738</v>
      </c>
      <c r="AX4" s="1145">
        <f t="shared" si="0"/>
        <v>43830</v>
      </c>
      <c r="AY4" s="1145">
        <f t="shared" si="0"/>
        <v>43921</v>
      </c>
      <c r="AZ4" s="1145">
        <f t="shared" si="0"/>
        <v>44012</v>
      </c>
      <c r="BA4" s="1145">
        <f t="shared" si="0"/>
        <v>44104</v>
      </c>
      <c r="BB4" s="1145">
        <f t="shared" si="0"/>
        <v>44196</v>
      </c>
      <c r="BC4" s="1145">
        <f t="shared" si="0"/>
        <v>44286</v>
      </c>
      <c r="BD4" s="1145">
        <f t="shared" si="0"/>
        <v>44377</v>
      </c>
      <c r="BE4" s="1145">
        <f t="shared" si="0"/>
        <v>44469</v>
      </c>
      <c r="BF4" s="1145">
        <f t="shared" ref="BF4:BO5" si="1">Z4</f>
        <v>44561</v>
      </c>
      <c r="BG4" s="1145">
        <f t="shared" si="1"/>
        <v>44651</v>
      </c>
      <c r="BH4" s="1145">
        <f t="shared" si="1"/>
        <v>44742</v>
      </c>
      <c r="BI4" s="1145">
        <f t="shared" si="1"/>
        <v>44834</v>
      </c>
      <c r="BJ4" s="1145">
        <f t="shared" si="1"/>
        <v>44926</v>
      </c>
      <c r="BK4" s="1145">
        <f t="shared" si="1"/>
        <v>45016</v>
      </c>
      <c r="BL4" s="1145">
        <f t="shared" si="1"/>
        <v>45107</v>
      </c>
      <c r="BM4" s="1145">
        <f t="shared" si="1"/>
        <v>45199</v>
      </c>
      <c r="BN4" s="1145">
        <f t="shared" si="1"/>
        <v>45290</v>
      </c>
      <c r="BO4" s="1145">
        <f t="shared" si="1"/>
        <v>45382</v>
      </c>
      <c r="BP4" s="1145">
        <f t="shared" ref="BP4:BW5" si="2">AJ4</f>
        <v>45473</v>
      </c>
      <c r="BQ4" s="1145">
        <f t="shared" si="2"/>
        <v>45565</v>
      </c>
      <c r="BR4" s="1145">
        <f t="shared" si="2"/>
        <v>45656</v>
      </c>
      <c r="BS4" s="1145">
        <f t="shared" si="2"/>
        <v>45746</v>
      </c>
      <c r="BT4" s="1145">
        <f t="shared" si="2"/>
        <v>45838</v>
      </c>
      <c r="BU4" s="1145">
        <f t="shared" si="2"/>
        <v>45930</v>
      </c>
      <c r="BV4" s="1145">
        <f t="shared" si="2"/>
        <v>46021</v>
      </c>
      <c r="BW4" s="1145">
        <f t="shared" si="2"/>
        <v>46112</v>
      </c>
    </row>
    <row r="5" spans="2:75" ht="13">
      <c r="B5" s="2" t="s">
        <v>2</v>
      </c>
      <c r="C5" s="74" t="s">
        <v>3</v>
      </c>
      <c r="D5" s="74" t="s">
        <v>4</v>
      </c>
      <c r="E5" s="74" t="s">
        <v>5</v>
      </c>
      <c r="F5" s="74" t="s">
        <v>6</v>
      </c>
      <c r="G5" s="74" t="s">
        <v>7</v>
      </c>
      <c r="H5" s="74" t="s">
        <v>8</v>
      </c>
      <c r="I5" s="74" t="s">
        <v>9</v>
      </c>
      <c r="J5" s="76" t="s">
        <v>10</v>
      </c>
      <c r="K5" s="76" t="s">
        <v>11</v>
      </c>
      <c r="L5" s="76" t="s">
        <v>12</v>
      </c>
      <c r="M5" s="76" t="s">
        <v>13</v>
      </c>
      <c r="N5" s="76" t="s">
        <v>14</v>
      </c>
      <c r="O5" s="76" t="s">
        <v>15</v>
      </c>
      <c r="P5" s="76" t="s">
        <v>16</v>
      </c>
      <c r="Q5" s="76" t="s">
        <v>17</v>
      </c>
      <c r="R5" s="76" t="s">
        <v>18</v>
      </c>
      <c r="S5" s="76" t="s">
        <v>19</v>
      </c>
      <c r="T5" s="76" t="s">
        <v>20</v>
      </c>
      <c r="U5" s="76" t="s">
        <v>21</v>
      </c>
      <c r="V5" s="76" t="s">
        <v>22</v>
      </c>
      <c r="W5" s="76" t="s">
        <v>23</v>
      </c>
      <c r="X5" s="76" t="s">
        <v>24</v>
      </c>
      <c r="Y5" s="76" t="s">
        <v>25</v>
      </c>
      <c r="Z5" s="76" t="s">
        <v>26</v>
      </c>
      <c r="AA5" s="76" t="s">
        <v>27</v>
      </c>
      <c r="AB5" s="76" t="s">
        <v>28</v>
      </c>
      <c r="AC5" s="76" t="s">
        <v>29</v>
      </c>
      <c r="AD5" s="76" t="s">
        <v>30</v>
      </c>
      <c r="AE5" s="76" t="s">
        <v>31</v>
      </c>
      <c r="AF5" s="76" t="s">
        <v>32</v>
      </c>
      <c r="AG5" s="76" t="s">
        <v>33</v>
      </c>
      <c r="AH5" s="76" t="s">
        <v>34</v>
      </c>
      <c r="AI5" s="76" t="s">
        <v>35</v>
      </c>
      <c r="AJ5" s="76" t="s">
        <v>36</v>
      </c>
      <c r="AK5" s="76" t="s">
        <v>37</v>
      </c>
      <c r="AL5" s="76" t="s">
        <v>38</v>
      </c>
      <c r="AM5" s="76" t="s">
        <v>39</v>
      </c>
      <c r="AN5" s="76" t="s">
        <v>40</v>
      </c>
      <c r="AO5" s="76" t="s">
        <v>41</v>
      </c>
      <c r="AP5" s="76" t="s">
        <v>42</v>
      </c>
      <c r="AQ5" s="76" t="s">
        <v>43</v>
      </c>
      <c r="AS5" s="76" t="s">
        <v>13</v>
      </c>
      <c r="AT5" s="76" t="s">
        <v>14</v>
      </c>
      <c r="AU5" s="76" t="s">
        <v>15</v>
      </c>
      <c r="AV5" s="76" t="str">
        <f t="shared" si="0"/>
        <v>1Q20</v>
      </c>
      <c r="AW5" s="76" t="str">
        <f t="shared" si="0"/>
        <v>2Q20</v>
      </c>
      <c r="AX5" s="76" t="str">
        <f t="shared" si="0"/>
        <v>3Q20</v>
      </c>
      <c r="AY5" s="76" t="str">
        <f t="shared" si="0"/>
        <v>4Q20</v>
      </c>
      <c r="AZ5" s="76" t="str">
        <f t="shared" si="0"/>
        <v>1Q21</v>
      </c>
      <c r="BA5" s="76" t="str">
        <f t="shared" si="0"/>
        <v>2Q21</v>
      </c>
      <c r="BB5" s="76" t="str">
        <f t="shared" si="0"/>
        <v>3Q21</v>
      </c>
      <c r="BC5" s="76" t="str">
        <f t="shared" si="0"/>
        <v>4Q21</v>
      </c>
      <c r="BD5" s="76" t="str">
        <f t="shared" si="0"/>
        <v>1Q22</v>
      </c>
      <c r="BE5" s="76" t="str">
        <f t="shared" si="0"/>
        <v>2Q22</v>
      </c>
      <c r="BF5" s="76" t="str">
        <f t="shared" si="1"/>
        <v>3Q22</v>
      </c>
      <c r="BG5" s="76" t="str">
        <f t="shared" si="1"/>
        <v>4Q22</v>
      </c>
      <c r="BH5" s="76" t="str">
        <f t="shared" si="1"/>
        <v>1Q23</v>
      </c>
      <c r="BI5" s="76" t="str">
        <f t="shared" si="1"/>
        <v>2Q23</v>
      </c>
      <c r="BJ5" s="76" t="str">
        <f t="shared" si="1"/>
        <v>3Q23</v>
      </c>
      <c r="BK5" s="76" t="str">
        <f t="shared" si="1"/>
        <v>4Q23</v>
      </c>
      <c r="BL5" s="76" t="str">
        <f t="shared" si="1"/>
        <v>1Q24</v>
      </c>
      <c r="BM5" s="76" t="str">
        <f t="shared" si="1"/>
        <v>2Q24</v>
      </c>
      <c r="BN5" s="76" t="str">
        <f t="shared" si="1"/>
        <v>3Q24</v>
      </c>
      <c r="BO5" s="76" t="str">
        <f t="shared" si="1"/>
        <v>4Q24</v>
      </c>
      <c r="BP5" s="76" t="str">
        <f t="shared" si="2"/>
        <v>1Q25</v>
      </c>
      <c r="BQ5" s="76" t="str">
        <f t="shared" si="2"/>
        <v>2Q25</v>
      </c>
      <c r="BR5" s="76" t="str">
        <f t="shared" si="2"/>
        <v>3Q25</v>
      </c>
      <c r="BS5" s="76" t="str">
        <f t="shared" si="2"/>
        <v>4Q25</v>
      </c>
      <c r="BT5" s="76" t="str">
        <f t="shared" si="2"/>
        <v>1Q26</v>
      </c>
      <c r="BU5" s="76" t="str">
        <f t="shared" si="2"/>
        <v>2Q26</v>
      </c>
      <c r="BV5" s="76" t="str">
        <f t="shared" si="2"/>
        <v>3Q26</v>
      </c>
      <c r="BW5" s="76" t="str">
        <f t="shared" si="2"/>
        <v>4Q26</v>
      </c>
    </row>
    <row r="6" spans="2:75" ht="13">
      <c r="B6" s="4" t="s">
        <v>44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8">
        <v>43977</v>
      </c>
      <c r="I6" s="77">
        <v>12038</v>
      </c>
      <c r="J6" s="77">
        <v>12038</v>
      </c>
      <c r="K6" s="77">
        <v>21925</v>
      </c>
      <c r="L6" s="77">
        <v>21925</v>
      </c>
      <c r="M6" s="77">
        <v>21925</v>
      </c>
      <c r="N6" s="77">
        <v>21925</v>
      </c>
      <c r="O6" s="77">
        <v>3095</v>
      </c>
      <c r="P6" s="77">
        <v>3095</v>
      </c>
      <c r="Q6" s="77">
        <v>3095</v>
      </c>
      <c r="R6" s="77">
        <v>3095</v>
      </c>
      <c r="S6" s="77">
        <v>3095</v>
      </c>
      <c r="T6" s="77">
        <v>3095</v>
      </c>
      <c r="U6" s="77">
        <v>3095</v>
      </c>
      <c r="V6" s="77">
        <v>3095</v>
      </c>
      <c r="W6" s="77">
        <v>3095</v>
      </c>
      <c r="X6" s="77">
        <v>3095</v>
      </c>
      <c r="Y6" s="77">
        <v>3095</v>
      </c>
      <c r="Z6" s="77">
        <v>3095</v>
      </c>
      <c r="AA6" s="77">
        <v>3095</v>
      </c>
      <c r="AB6" s="77">
        <v>3095</v>
      </c>
      <c r="AC6" s="77">
        <v>3095</v>
      </c>
      <c r="AD6" s="77">
        <v>3095</v>
      </c>
      <c r="AE6" s="77">
        <v>3095</v>
      </c>
      <c r="AF6" s="77">
        <v>3095</v>
      </c>
      <c r="AG6" s="77">
        <v>3095</v>
      </c>
      <c r="AH6" s="77">
        <v>3095</v>
      </c>
      <c r="AI6" s="1169">
        <v>3095</v>
      </c>
      <c r="AJ6" s="1169">
        <v>3095</v>
      </c>
      <c r="AK6" s="1169">
        <v>3095</v>
      </c>
      <c r="AL6" s="1169">
        <v>3095</v>
      </c>
      <c r="AM6" s="1169">
        <v>3095</v>
      </c>
      <c r="AN6" s="1169">
        <v>3095</v>
      </c>
      <c r="AO6" s="1169">
        <v>3095</v>
      </c>
      <c r="AP6" s="1169">
        <v>3095</v>
      </c>
      <c r="AQ6" s="1169">
        <v>3095</v>
      </c>
      <c r="AS6" s="77">
        <f>M6/$AS$2</f>
        <v>302.45551110498002</v>
      </c>
      <c r="AT6" s="77">
        <f>N6/$AT$2</f>
        <v>314.24681095026517</v>
      </c>
      <c r="AU6" s="77">
        <f t="shared" ref="AU6:BD7" si="3">O6/AU$2</f>
        <v>44.751301330248701</v>
      </c>
      <c r="AV6" s="77">
        <f t="shared" si="3"/>
        <v>44.842074760938864</v>
      </c>
      <c r="AW6" s="77">
        <f t="shared" si="3"/>
        <v>43.123867911383591</v>
      </c>
      <c r="AX6" s="77">
        <f t="shared" si="3"/>
        <v>43.673051822062298</v>
      </c>
      <c r="AY6" s="77">
        <f t="shared" si="3"/>
        <v>41.088888741378966</v>
      </c>
      <c r="AZ6" s="77">
        <f t="shared" si="3"/>
        <v>40.988654287519182</v>
      </c>
      <c r="BA6" s="77">
        <f t="shared" si="3"/>
        <v>41.958307405946286</v>
      </c>
      <c r="BB6" s="77">
        <f t="shared" si="3"/>
        <v>42.391453225585536</v>
      </c>
      <c r="BC6" s="77">
        <f t="shared" si="3"/>
        <v>42.277666600643386</v>
      </c>
      <c r="BD6" s="77">
        <f t="shared" si="3"/>
        <v>41.615347794050415</v>
      </c>
      <c r="BE6" s="77">
        <f t="shared" ref="BE6:BN7" si="4">Y6/BE$2</f>
        <v>41.698327755592558</v>
      </c>
      <c r="BF6" s="77">
        <f t="shared" si="4"/>
        <v>41.562034189641047</v>
      </c>
      <c r="BG6" s="77">
        <f t="shared" si="4"/>
        <v>41.621839698762777</v>
      </c>
      <c r="BH6" s="77">
        <f t="shared" si="4"/>
        <v>39.216928535225541</v>
      </c>
      <c r="BI6" s="77">
        <f t="shared" si="4"/>
        <v>37.993641128883759</v>
      </c>
      <c r="BJ6" s="77">
        <f t="shared" si="4"/>
        <v>37.416734165890929</v>
      </c>
      <c r="BK6" s="77">
        <f t="shared" si="4"/>
        <v>37.707115009746587</v>
      </c>
      <c r="BL6" s="77">
        <f t="shared" si="4"/>
        <v>37.697929354445797</v>
      </c>
      <c r="BM6" s="77">
        <f t="shared" si="4"/>
        <v>37.271194605009633</v>
      </c>
      <c r="BN6" s="77">
        <f t="shared" si="4"/>
        <v>37.182536822124511</v>
      </c>
      <c r="BO6" s="77">
        <f t="shared" ref="BO6:BW7" si="5">AI6/BO$2</f>
        <v>37.132573485302942</v>
      </c>
      <c r="BP6" s="77">
        <f t="shared" si="5"/>
        <v>37.130346110011395</v>
      </c>
      <c r="BQ6" s="77">
        <f t="shared" si="5"/>
        <v>36.953017730284763</v>
      </c>
      <c r="BR6" s="77">
        <f t="shared" si="5"/>
        <v>36.17598242045959</v>
      </c>
      <c r="BS6" s="77">
        <f t="shared" si="5"/>
        <v>36.220011702750142</v>
      </c>
      <c r="BT6" s="77">
        <f t="shared" si="5"/>
        <v>36.114352392065342</v>
      </c>
      <c r="BU6" s="77">
        <f t="shared" si="5"/>
        <v>34.837518713206741</v>
      </c>
      <c r="BV6" s="77">
        <f t="shared" si="5"/>
        <v>34.438250381101803</v>
      </c>
      <c r="BW6" s="77">
        <f t="shared" si="5"/>
        <v>33.106915547948866</v>
      </c>
    </row>
    <row r="7" spans="2:75" ht="13">
      <c r="B7" s="4" t="s">
        <v>45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57871</v>
      </c>
      <c r="I7" s="77">
        <v>56547</v>
      </c>
      <c r="J7" s="77">
        <v>48389.605602575008</v>
      </c>
      <c r="K7" s="77">
        <v>48831</v>
      </c>
      <c r="L7" s="77">
        <v>50118</v>
      </c>
      <c r="M7" s="77">
        <v>52304.929718986998</v>
      </c>
      <c r="N7" s="77">
        <v>49293.864981571998</v>
      </c>
      <c r="O7" s="77">
        <v>47553.012530246</v>
      </c>
      <c r="P7" s="77">
        <v>281967.46913360804</v>
      </c>
      <c r="Q7" s="77">
        <v>299807.14039910294</v>
      </c>
      <c r="R7" s="77">
        <v>301529.25138223497</v>
      </c>
      <c r="S7" s="77">
        <v>306078.12536631798</v>
      </c>
      <c r="T7" s="77">
        <v>306132.54535619501</v>
      </c>
      <c r="U7" s="77">
        <v>304383</v>
      </c>
      <c r="V7" s="77">
        <v>324529</v>
      </c>
      <c r="W7" s="77">
        <v>329953</v>
      </c>
      <c r="X7" s="77">
        <v>331104</v>
      </c>
      <c r="Y7" s="77">
        <v>348981</v>
      </c>
      <c r="Z7" s="77">
        <v>352346.28986856603</v>
      </c>
      <c r="AA7" s="77">
        <v>367634</v>
      </c>
      <c r="AB7" s="77">
        <v>478105.46610308997</v>
      </c>
      <c r="AC7" s="77">
        <v>523642.47112139699</v>
      </c>
      <c r="AD7" s="77">
        <v>549018.03515972802</v>
      </c>
      <c r="AE7" s="77">
        <v>604755</v>
      </c>
      <c r="AF7" s="77">
        <v>589108</v>
      </c>
      <c r="AG7" s="77">
        <v>595564.62068680022</v>
      </c>
      <c r="AH7" s="77">
        <v>597143</v>
      </c>
      <c r="AI7" s="77">
        <v>636758</v>
      </c>
      <c r="AJ7" s="77">
        <v>674544</v>
      </c>
      <c r="AK7" s="77">
        <v>792003</v>
      </c>
      <c r="AL7" s="77">
        <v>629333</v>
      </c>
      <c r="AM7" s="77">
        <v>653298</v>
      </c>
      <c r="AN7" s="77">
        <v>660901</v>
      </c>
      <c r="AO7" s="77">
        <v>680618</v>
      </c>
      <c r="AP7" s="1158">
        <f>'Model '!$BY$118</f>
        <v>701294</v>
      </c>
      <c r="AQ7" s="1158">
        <f>'Model '!$BZ$118</f>
        <v>737403</v>
      </c>
      <c r="AS7" s="77">
        <f>M7/$AS$2</f>
        <v>721.54683016949923</v>
      </c>
      <c r="AT7" s="77">
        <f>N7/$AT$2</f>
        <v>706.51949235447898</v>
      </c>
      <c r="AU7" s="77">
        <f t="shared" si="3"/>
        <v>687.57970691506659</v>
      </c>
      <c r="AV7" s="77">
        <f t="shared" si="3"/>
        <v>4085.3009147146922</v>
      </c>
      <c r="AW7" s="77">
        <f t="shared" si="3"/>
        <v>4177.3323171116481</v>
      </c>
      <c r="AX7" s="77">
        <f t="shared" si="3"/>
        <v>4254.8312185731811</v>
      </c>
      <c r="AY7" s="77">
        <f t="shared" si="3"/>
        <v>4063.4604327452289</v>
      </c>
      <c r="AZ7" s="77">
        <f t="shared" si="3"/>
        <v>4054.2685194711999</v>
      </c>
      <c r="BA7" s="77">
        <f t="shared" si="3"/>
        <v>4126.4605761370431</v>
      </c>
      <c r="BB7" s="77">
        <f t="shared" si="3"/>
        <v>4444.9938364607588</v>
      </c>
      <c r="BC7" s="77">
        <f t="shared" si="3"/>
        <v>4507.1544193480086</v>
      </c>
      <c r="BD7" s="77">
        <f t="shared" si="3"/>
        <v>4452.0220084010562</v>
      </c>
      <c r="BE7" s="77">
        <f t="shared" si="4"/>
        <v>4701.7525423180768</v>
      </c>
      <c r="BF7" s="77">
        <f t="shared" si="4"/>
        <v>4731.5762669177766</v>
      </c>
      <c r="BG7" s="77">
        <f t="shared" si="4"/>
        <v>4943.9752555137175</v>
      </c>
      <c r="BH7" s="77">
        <f t="shared" si="4"/>
        <v>6058.1027129129498</v>
      </c>
      <c r="BI7" s="77">
        <f t="shared" si="4"/>
        <v>6428.1370363903834</v>
      </c>
      <c r="BJ7" s="77">
        <f t="shared" si="4"/>
        <v>6637.3059366240077</v>
      </c>
      <c r="BK7" s="77">
        <f t="shared" si="4"/>
        <v>7367.8728070175439</v>
      </c>
      <c r="BL7" s="77">
        <f t="shared" si="4"/>
        <v>7175.4933008526195</v>
      </c>
      <c r="BM7" s="77">
        <f t="shared" si="4"/>
        <v>7172.0209620279402</v>
      </c>
      <c r="BN7" s="77">
        <f t="shared" si="4"/>
        <v>7173.922967875249</v>
      </c>
      <c r="BO7" s="77">
        <f t="shared" si="5"/>
        <v>7639.5680863827238</v>
      </c>
      <c r="BP7" s="77">
        <f t="shared" si="5"/>
        <v>8092.4239697678604</v>
      </c>
      <c r="BQ7" s="77">
        <f t="shared" si="5"/>
        <v>9456.1876902871481</v>
      </c>
      <c r="BR7" s="77">
        <f t="shared" si="5"/>
        <v>7355.974004722164</v>
      </c>
      <c r="BS7" s="77">
        <f t="shared" si="5"/>
        <v>7645.3832650672903</v>
      </c>
      <c r="BT7" s="77">
        <f t="shared" si="5"/>
        <v>7711.7969661610268</v>
      </c>
      <c r="BU7" s="77">
        <f t="shared" si="5"/>
        <v>7661.0799067997887</v>
      </c>
      <c r="BV7" s="77">
        <f t="shared" si="5"/>
        <v>7803.340343381069</v>
      </c>
      <c r="BW7" s="77">
        <f t="shared" si="5"/>
        <v>7887.9285446863132</v>
      </c>
    </row>
    <row r="8" spans="2:75" ht="13">
      <c r="B8" s="73" t="s">
        <v>46</v>
      </c>
      <c r="C8" s="81">
        <f t="shared" ref="C8:J8" si="6">SUM(C6:C7)</f>
        <v>0</v>
      </c>
      <c r="D8" s="81">
        <f t="shared" si="6"/>
        <v>0</v>
      </c>
      <c r="E8" s="81">
        <f t="shared" si="6"/>
        <v>0</v>
      </c>
      <c r="F8" s="81">
        <f t="shared" si="6"/>
        <v>0</v>
      </c>
      <c r="G8" s="81">
        <f t="shared" si="6"/>
        <v>0</v>
      </c>
      <c r="H8" s="81">
        <f t="shared" si="6"/>
        <v>101848</v>
      </c>
      <c r="I8" s="81">
        <f t="shared" si="6"/>
        <v>68585</v>
      </c>
      <c r="J8" s="81">
        <f t="shared" si="6"/>
        <v>60427.605602575008</v>
      </c>
      <c r="K8" s="81">
        <f t="shared" ref="K8:P8" si="7">SUM(K6:K7)</f>
        <v>70756</v>
      </c>
      <c r="L8" s="81">
        <f t="shared" si="7"/>
        <v>72043</v>
      </c>
      <c r="M8" s="81">
        <f t="shared" si="7"/>
        <v>74229.929718986998</v>
      </c>
      <c r="N8" s="81">
        <f t="shared" si="7"/>
        <v>71218.864981571998</v>
      </c>
      <c r="O8" s="81">
        <f t="shared" si="7"/>
        <v>50648.012530246</v>
      </c>
      <c r="P8" s="81">
        <f t="shared" si="7"/>
        <v>285062.46913360804</v>
      </c>
      <c r="Q8" s="81">
        <f t="shared" ref="Q8:V8" si="8">SUM(Q6:Q7)</f>
        <v>302902.14039910294</v>
      </c>
      <c r="R8" s="81">
        <f t="shared" si="8"/>
        <v>304624.25138223497</v>
      </c>
      <c r="S8" s="81">
        <f t="shared" si="8"/>
        <v>309173.12536631798</v>
      </c>
      <c r="T8" s="81">
        <f t="shared" si="8"/>
        <v>309227.54535619501</v>
      </c>
      <c r="U8" s="81">
        <f t="shared" si="8"/>
        <v>307478</v>
      </c>
      <c r="V8" s="81">
        <f t="shared" si="8"/>
        <v>327624</v>
      </c>
      <c r="W8" s="81">
        <f t="shared" ref="W8:AC8" si="9">SUM(W6:W7)</f>
        <v>333048</v>
      </c>
      <c r="X8" s="81">
        <f t="shared" si="9"/>
        <v>334199</v>
      </c>
      <c r="Y8" s="81">
        <f t="shared" si="9"/>
        <v>352076</v>
      </c>
      <c r="Z8" s="81">
        <f t="shared" si="9"/>
        <v>355441.28986856603</v>
      </c>
      <c r="AA8" s="81">
        <f t="shared" si="9"/>
        <v>370729</v>
      </c>
      <c r="AB8" s="81">
        <f t="shared" si="9"/>
        <v>481200.46610308997</v>
      </c>
      <c r="AC8" s="81">
        <f t="shared" si="9"/>
        <v>526737.47112139699</v>
      </c>
      <c r="AD8" s="81">
        <f t="shared" ref="AD8:AI8" si="10">SUM(AD6:AD7)</f>
        <v>552113.03515972802</v>
      </c>
      <c r="AE8" s="81">
        <f t="shared" si="10"/>
        <v>607850</v>
      </c>
      <c r="AF8" s="81">
        <f t="shared" si="10"/>
        <v>592203</v>
      </c>
      <c r="AG8" s="81">
        <f t="shared" si="10"/>
        <v>598659.62068680022</v>
      </c>
      <c r="AH8" s="81">
        <f t="shared" si="10"/>
        <v>600238</v>
      </c>
      <c r="AI8" s="81">
        <f t="shared" si="10"/>
        <v>639853</v>
      </c>
      <c r="AJ8" s="81">
        <f t="shared" ref="AJ8:AO8" si="11">SUM(AJ6:AJ7)</f>
        <v>677639</v>
      </c>
      <c r="AK8" s="81">
        <f t="shared" si="11"/>
        <v>795098</v>
      </c>
      <c r="AL8" s="81">
        <f t="shared" si="11"/>
        <v>632428</v>
      </c>
      <c r="AM8" s="81">
        <f t="shared" si="11"/>
        <v>656393</v>
      </c>
      <c r="AN8" s="81">
        <f t="shared" si="11"/>
        <v>663996</v>
      </c>
      <c r="AO8" s="81">
        <f t="shared" si="11"/>
        <v>683713</v>
      </c>
      <c r="AP8" s="1159">
        <f>SUM(AP6:AP7)</f>
        <v>704389</v>
      </c>
      <c r="AQ8" s="1159">
        <f>SUM(AQ6:AQ7)</f>
        <v>740498</v>
      </c>
      <c r="AS8" s="81">
        <f t="shared" ref="AS8:AX8" si="12">SUM(AS6:AS7)</f>
        <v>1024.0023412744792</v>
      </c>
      <c r="AT8" s="81">
        <f t="shared" si="12"/>
        <v>1020.7663033047442</v>
      </c>
      <c r="AU8" s="81">
        <f t="shared" si="12"/>
        <v>732.33100824531527</v>
      </c>
      <c r="AV8" s="81">
        <f t="shared" si="12"/>
        <v>4130.1429894756311</v>
      </c>
      <c r="AW8" s="81">
        <f t="shared" si="12"/>
        <v>4220.456185023032</v>
      </c>
      <c r="AX8" s="81">
        <f t="shared" si="12"/>
        <v>4298.5042703952431</v>
      </c>
      <c r="AY8" s="81">
        <f t="shared" ref="AY8:BE8" si="13">SUM(AY6:AY7)</f>
        <v>4104.5493214866083</v>
      </c>
      <c r="AZ8" s="81">
        <f t="shared" si="13"/>
        <v>4095.2571737587191</v>
      </c>
      <c r="BA8" s="81">
        <f t="shared" si="13"/>
        <v>4168.4188835429895</v>
      </c>
      <c r="BB8" s="81">
        <f t="shared" si="13"/>
        <v>4487.3852896863445</v>
      </c>
      <c r="BC8" s="81">
        <f t="shared" si="13"/>
        <v>4549.4320859486515</v>
      </c>
      <c r="BD8" s="81">
        <f t="shared" si="13"/>
        <v>4493.6373561951068</v>
      </c>
      <c r="BE8" s="81">
        <f t="shared" si="13"/>
        <v>4743.4508700736696</v>
      </c>
      <c r="BF8" s="81">
        <f t="shared" ref="BF8:BK8" si="14">SUM(BF6:BF7)</f>
        <v>4773.1383011074176</v>
      </c>
      <c r="BG8" s="81">
        <f t="shared" si="14"/>
        <v>4985.5970952124799</v>
      </c>
      <c r="BH8" s="81">
        <f t="shared" si="14"/>
        <v>6097.3196414481754</v>
      </c>
      <c r="BI8" s="81">
        <f t="shared" si="14"/>
        <v>6466.130677519267</v>
      </c>
      <c r="BJ8" s="81">
        <f t="shared" si="14"/>
        <v>6674.722670789899</v>
      </c>
      <c r="BK8" s="81">
        <f t="shared" si="14"/>
        <v>7405.5799220272902</v>
      </c>
      <c r="BL8" s="81">
        <f t="shared" ref="BL8:BQ8" si="15">SUM(BL6:BL7)</f>
        <v>7213.191230207065</v>
      </c>
      <c r="BM8" s="81">
        <f t="shared" si="15"/>
        <v>7209.2921566329496</v>
      </c>
      <c r="BN8" s="81">
        <f t="shared" si="15"/>
        <v>7211.1055046973734</v>
      </c>
      <c r="BO8" s="81">
        <f t="shared" si="15"/>
        <v>7676.7006598680264</v>
      </c>
      <c r="BP8" s="81">
        <f t="shared" si="15"/>
        <v>8129.5543158778719</v>
      </c>
      <c r="BQ8" s="81">
        <f t="shared" si="15"/>
        <v>9493.1407080174322</v>
      </c>
      <c r="BR8" s="81">
        <f t="shared" ref="BR8:BW8" si="16">SUM(BR6:BR7)</f>
        <v>7392.1499871426231</v>
      </c>
      <c r="BS8" s="81">
        <f t="shared" si="16"/>
        <v>7681.6032767700408</v>
      </c>
      <c r="BT8" s="81">
        <f t="shared" si="16"/>
        <v>7747.9113185530923</v>
      </c>
      <c r="BU8" s="81">
        <f t="shared" si="16"/>
        <v>7695.9174255129956</v>
      </c>
      <c r="BV8" s="81">
        <f t="shared" si="16"/>
        <v>7837.7785937621711</v>
      </c>
      <c r="BW8" s="81">
        <f t="shared" si="16"/>
        <v>7921.0354602342622</v>
      </c>
    </row>
    <row r="9" spans="2:75" ht="13">
      <c r="B9" s="4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1160"/>
      <c r="AQ9" s="1160"/>
      <c r="AS9" s="79"/>
      <c r="AT9" s="79"/>
    </row>
    <row r="10" spans="2:75" ht="13">
      <c r="B10" s="73" t="s">
        <v>47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1160"/>
      <c r="AQ10" s="1160"/>
      <c r="AS10" s="79"/>
      <c r="AT10" s="79"/>
    </row>
    <row r="11" spans="2:75" ht="13">
      <c r="B11" s="4" t="s">
        <v>48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73">
        <v>70867.5</v>
      </c>
      <c r="S11" s="773">
        <v>75324.5</v>
      </c>
      <c r="T11" s="773">
        <v>75508.700000000012</v>
      </c>
      <c r="U11" s="773">
        <v>73763.7</v>
      </c>
      <c r="V11" s="773">
        <v>73010</v>
      </c>
      <c r="W11" s="773">
        <v>73206.5</v>
      </c>
      <c r="X11" s="773">
        <v>74371.600000000006</v>
      </c>
      <c r="Y11" s="773">
        <v>74223.600000000006</v>
      </c>
      <c r="Z11" s="773">
        <v>74467</v>
      </c>
      <c r="AA11" s="773">
        <v>74360</v>
      </c>
      <c r="AB11" s="773">
        <v>78920</v>
      </c>
      <c r="AC11" s="773">
        <v>81461</v>
      </c>
      <c r="AD11" s="847">
        <v>82717</v>
      </c>
      <c r="AE11" s="773">
        <v>82080</v>
      </c>
      <c r="AF11" s="773">
        <v>75917.87</v>
      </c>
      <c r="AG11" s="773">
        <v>65354.140800000001</v>
      </c>
      <c r="AH11" s="773">
        <v>48087.424980000003</v>
      </c>
      <c r="AI11" s="773">
        <v>48152.128499999999</v>
      </c>
      <c r="AJ11" s="773">
        <v>48155.017050000002</v>
      </c>
      <c r="AK11" s="773">
        <v>48386.101049999997</v>
      </c>
      <c r="AL11" s="773">
        <v>49425.401340000004</v>
      </c>
      <c r="AM11" s="773">
        <v>0</v>
      </c>
      <c r="AN11" s="773">
        <v>0</v>
      </c>
      <c r="AO11" s="773">
        <v>0</v>
      </c>
      <c r="AP11" s="847">
        <v>0</v>
      </c>
      <c r="AQ11" s="847">
        <v>0</v>
      </c>
      <c r="AS11" s="79"/>
      <c r="AT11" s="79"/>
      <c r="AX11" s="77">
        <f t="shared" ref="AX11:BG15" si="17">R11/AX$2</f>
        <v>999.99999999999989</v>
      </c>
      <c r="AY11" s="77">
        <f t="shared" si="17"/>
        <v>1000</v>
      </c>
      <c r="AZ11" s="77">
        <f t="shared" si="17"/>
        <v>1000.0000000000001</v>
      </c>
      <c r="BA11" s="77">
        <f t="shared" si="17"/>
        <v>1000</v>
      </c>
      <c r="BB11" s="77">
        <f t="shared" si="17"/>
        <v>999.99999999999989</v>
      </c>
      <c r="BC11" s="77">
        <f t="shared" si="17"/>
        <v>999.99999999999989</v>
      </c>
      <c r="BD11" s="77">
        <f t="shared" si="17"/>
        <v>1000.0000000000001</v>
      </c>
      <c r="BE11" s="77">
        <f t="shared" si="17"/>
        <v>1000</v>
      </c>
      <c r="BF11" s="77">
        <f t="shared" si="17"/>
        <v>1000</v>
      </c>
      <c r="BG11" s="77">
        <f t="shared" si="17"/>
        <v>1000</v>
      </c>
      <c r="BH11" s="77">
        <f t="shared" ref="BH11:BQ15" si="18">AB11/BH$2</f>
        <v>1000</v>
      </c>
      <c r="BI11" s="77">
        <f t="shared" si="18"/>
        <v>1000</v>
      </c>
      <c r="BJ11" s="77">
        <f t="shared" si="18"/>
        <v>1000</v>
      </c>
      <c r="BK11" s="77">
        <f t="shared" si="18"/>
        <v>1000</v>
      </c>
      <c r="BL11" s="77">
        <f t="shared" si="18"/>
        <v>924.7</v>
      </c>
      <c r="BM11" s="77">
        <f t="shared" si="18"/>
        <v>787.02</v>
      </c>
      <c r="BN11" s="77">
        <f t="shared" si="18"/>
        <v>577.71</v>
      </c>
      <c r="BO11" s="77">
        <f t="shared" si="18"/>
        <v>577.71</v>
      </c>
      <c r="BP11" s="77">
        <f t="shared" si="18"/>
        <v>577.71</v>
      </c>
      <c r="BQ11" s="77">
        <f t="shared" si="18"/>
        <v>577.71</v>
      </c>
      <c r="BR11" s="77">
        <f t="shared" ref="BR11:BW15" si="19">AL11/BR$2</f>
        <v>577.71</v>
      </c>
      <c r="BS11" s="77">
        <f t="shared" si="19"/>
        <v>0</v>
      </c>
      <c r="BT11" s="77">
        <f t="shared" si="19"/>
        <v>0</v>
      </c>
      <c r="BU11" s="77">
        <f t="shared" si="19"/>
        <v>0</v>
      </c>
      <c r="BV11" s="77">
        <f t="shared" si="19"/>
        <v>0</v>
      </c>
      <c r="BW11" s="77">
        <f t="shared" si="19"/>
        <v>0</v>
      </c>
    </row>
    <row r="12" spans="2:75" ht="13">
      <c r="B12" s="4" t="s">
        <v>49</v>
      </c>
      <c r="C12" s="79"/>
      <c r="D12" s="79"/>
      <c r="E12" s="79"/>
      <c r="F12" s="79"/>
      <c r="G12" s="79"/>
      <c r="H12" s="79"/>
      <c r="I12" s="79"/>
      <c r="J12" s="773">
        <v>63880</v>
      </c>
      <c r="K12" s="773">
        <v>65180.000000000007</v>
      </c>
      <c r="L12" s="773">
        <v>68470</v>
      </c>
      <c r="M12" s="773">
        <v>72490</v>
      </c>
      <c r="N12" s="773">
        <v>69770</v>
      </c>
      <c r="O12" s="773">
        <v>69160</v>
      </c>
      <c r="P12" s="773">
        <v>69020</v>
      </c>
      <c r="Q12" s="773">
        <v>71770</v>
      </c>
      <c r="R12" s="773">
        <v>70867.5</v>
      </c>
      <c r="S12" s="773">
        <v>75324.5</v>
      </c>
      <c r="T12" s="773">
        <v>75508.700000000012</v>
      </c>
      <c r="U12" s="773">
        <v>73763.7</v>
      </c>
      <c r="V12" s="773">
        <v>73010</v>
      </c>
      <c r="W12" s="773">
        <v>73206.5</v>
      </c>
      <c r="X12" s="773">
        <v>74371.600000000006</v>
      </c>
      <c r="Y12" s="773">
        <v>74223.600000000006</v>
      </c>
      <c r="Z12" s="773">
        <v>74467</v>
      </c>
      <c r="AA12" s="773">
        <v>74360</v>
      </c>
      <c r="AB12" s="773">
        <v>78920</v>
      </c>
      <c r="AC12" s="773">
        <v>81461</v>
      </c>
      <c r="AD12" s="847">
        <v>82717</v>
      </c>
      <c r="AE12" s="773">
        <v>82080</v>
      </c>
      <c r="AF12" s="773">
        <v>82100</v>
      </c>
      <c r="AG12" s="773">
        <v>83040</v>
      </c>
      <c r="AH12" s="773">
        <v>83238</v>
      </c>
      <c r="AI12" s="773">
        <v>83350</v>
      </c>
      <c r="AJ12" s="773">
        <v>83355</v>
      </c>
      <c r="AK12" s="773">
        <v>83755</v>
      </c>
      <c r="AL12" s="773">
        <v>85554</v>
      </c>
      <c r="AM12" s="847">
        <v>85450</v>
      </c>
      <c r="AN12" s="847">
        <v>0</v>
      </c>
      <c r="AO12" s="847">
        <v>0</v>
      </c>
      <c r="AP12" s="847">
        <v>0</v>
      </c>
      <c r="AQ12" s="847">
        <v>0</v>
      </c>
      <c r="AS12" s="773">
        <f>M12/$AS$2</f>
        <v>1000.0000000000001</v>
      </c>
      <c r="AT12" s="77">
        <f>N12/$AT$2</f>
        <v>1000.0000000000001</v>
      </c>
      <c r="AU12" s="77">
        <f t="shared" ref="AU12:AW15" si="20">O12/AU$2</f>
        <v>1000</v>
      </c>
      <c r="AV12" s="77">
        <f t="shared" si="20"/>
        <v>1000.0000000000001</v>
      </c>
      <c r="AW12" s="77">
        <f t="shared" si="20"/>
        <v>1000</v>
      </c>
      <c r="AX12" s="77">
        <f t="shared" si="17"/>
        <v>999.99999999999989</v>
      </c>
      <c r="AY12" s="77">
        <f t="shared" si="17"/>
        <v>1000</v>
      </c>
      <c r="AZ12" s="77">
        <f t="shared" si="17"/>
        <v>1000.0000000000001</v>
      </c>
      <c r="BA12" s="77">
        <f t="shared" si="17"/>
        <v>1000</v>
      </c>
      <c r="BB12" s="77">
        <f t="shared" si="17"/>
        <v>999.99999999999989</v>
      </c>
      <c r="BC12" s="77">
        <f t="shared" si="17"/>
        <v>999.99999999999989</v>
      </c>
      <c r="BD12" s="77">
        <f t="shared" si="17"/>
        <v>1000.0000000000001</v>
      </c>
      <c r="BE12" s="77">
        <f t="shared" si="17"/>
        <v>1000</v>
      </c>
      <c r="BF12" s="77">
        <f t="shared" si="17"/>
        <v>1000</v>
      </c>
      <c r="BG12" s="77">
        <f t="shared" si="17"/>
        <v>1000</v>
      </c>
      <c r="BH12" s="77">
        <f t="shared" si="18"/>
        <v>1000</v>
      </c>
      <c r="BI12" s="77">
        <f t="shared" si="18"/>
        <v>1000</v>
      </c>
      <c r="BJ12" s="77">
        <f t="shared" si="18"/>
        <v>1000</v>
      </c>
      <c r="BK12" s="77">
        <f t="shared" si="18"/>
        <v>1000</v>
      </c>
      <c r="BL12" s="77">
        <f t="shared" si="18"/>
        <v>1000.0000000000001</v>
      </c>
      <c r="BM12" s="77">
        <f t="shared" si="18"/>
        <v>999.99999999999989</v>
      </c>
      <c r="BN12" s="77">
        <f t="shared" si="18"/>
        <v>1000</v>
      </c>
      <c r="BO12" s="77">
        <f t="shared" si="18"/>
        <v>1000.0000000000001</v>
      </c>
      <c r="BP12" s="77">
        <f t="shared" si="18"/>
        <v>1000</v>
      </c>
      <c r="BQ12" s="77">
        <f t="shared" si="18"/>
        <v>1000</v>
      </c>
      <c r="BR12" s="77">
        <f t="shared" si="19"/>
        <v>1000</v>
      </c>
      <c r="BS12" s="77">
        <f t="shared" si="19"/>
        <v>1000</v>
      </c>
      <c r="BT12" s="77">
        <f t="shared" si="19"/>
        <v>0</v>
      </c>
      <c r="BU12" s="77">
        <f t="shared" si="19"/>
        <v>0</v>
      </c>
      <c r="BV12" s="77">
        <f t="shared" si="19"/>
        <v>0</v>
      </c>
      <c r="BW12" s="77">
        <f t="shared" si="19"/>
        <v>0</v>
      </c>
    </row>
    <row r="13" spans="2:75" ht="13">
      <c r="B13" s="4" t="s">
        <v>50</v>
      </c>
      <c r="C13" s="79"/>
      <c r="D13" s="79"/>
      <c r="E13" s="79"/>
      <c r="F13" s="79"/>
      <c r="G13" s="79"/>
      <c r="H13" s="79"/>
      <c r="I13" s="79"/>
      <c r="J13" s="773">
        <v>95820</v>
      </c>
      <c r="K13" s="773">
        <v>97770.000000000015</v>
      </c>
      <c r="L13" s="773">
        <v>102705</v>
      </c>
      <c r="M13" s="773">
        <v>108734.99999999999</v>
      </c>
      <c r="N13" s="773">
        <v>104655</v>
      </c>
      <c r="O13" s="773">
        <v>103740</v>
      </c>
      <c r="P13" s="773">
        <v>103530</v>
      </c>
      <c r="Q13" s="773">
        <v>107655</v>
      </c>
      <c r="R13" s="773">
        <v>106301.25000000001</v>
      </c>
      <c r="S13" s="773">
        <v>112986.75</v>
      </c>
      <c r="T13" s="773">
        <v>38125.852804000002</v>
      </c>
      <c r="U13" s="773">
        <v>37244.767403999998</v>
      </c>
      <c r="V13" s="773">
        <v>36864.209200000005</v>
      </c>
      <c r="W13" s="773">
        <v>36963.425980000007</v>
      </c>
      <c r="X13" s="773">
        <v>37551.708272000003</v>
      </c>
      <c r="Y13" s="773">
        <v>37476.980112000005</v>
      </c>
      <c r="Z13" s="773">
        <v>37599.877639999999</v>
      </c>
      <c r="AA13" s="773">
        <v>37545.851199999997</v>
      </c>
      <c r="AB13" s="773">
        <v>39848.286400000005</v>
      </c>
      <c r="AC13" s="773">
        <v>41131.288119999997</v>
      </c>
      <c r="AD13" s="847">
        <v>41765.467640000003</v>
      </c>
      <c r="AE13" s="773">
        <v>41443.833599999998</v>
      </c>
      <c r="AF13" s="773">
        <v>0</v>
      </c>
      <c r="AG13" s="773">
        <v>0</v>
      </c>
      <c r="AH13" s="773">
        <v>0</v>
      </c>
      <c r="AI13" s="773">
        <v>0</v>
      </c>
      <c r="AJ13" s="773">
        <v>0</v>
      </c>
      <c r="AK13" s="773">
        <v>0</v>
      </c>
      <c r="AL13" s="773">
        <v>0</v>
      </c>
      <c r="AM13" s="773">
        <v>0</v>
      </c>
      <c r="AN13" s="773">
        <v>0</v>
      </c>
      <c r="AO13" s="773">
        <v>0</v>
      </c>
      <c r="AP13" s="847">
        <v>0</v>
      </c>
      <c r="AQ13" s="847">
        <v>0</v>
      </c>
      <c r="AS13" s="773">
        <f>M13/$AS$2</f>
        <v>1500</v>
      </c>
      <c r="AT13" s="77">
        <f>N13/$AT$2</f>
        <v>1500</v>
      </c>
      <c r="AU13" s="77">
        <f t="shared" si="20"/>
        <v>1500</v>
      </c>
      <c r="AV13" s="77">
        <f t="shared" si="20"/>
        <v>1500</v>
      </c>
      <c r="AW13" s="77">
        <f t="shared" si="20"/>
        <v>1500</v>
      </c>
      <c r="AX13" s="77">
        <f t="shared" si="17"/>
        <v>1500</v>
      </c>
      <c r="AY13" s="77">
        <f t="shared" si="17"/>
        <v>1500</v>
      </c>
      <c r="AZ13" s="77">
        <f t="shared" si="17"/>
        <v>504.92</v>
      </c>
      <c r="BA13" s="77">
        <f t="shared" si="17"/>
        <v>504.91999999999996</v>
      </c>
      <c r="BB13" s="77">
        <f t="shared" si="17"/>
        <v>504.92</v>
      </c>
      <c r="BC13" s="77">
        <f t="shared" si="17"/>
        <v>504.92000000000007</v>
      </c>
      <c r="BD13" s="77">
        <f t="shared" si="17"/>
        <v>504.92</v>
      </c>
      <c r="BE13" s="77">
        <f t="shared" si="17"/>
        <v>504.92</v>
      </c>
      <c r="BF13" s="77">
        <f t="shared" si="17"/>
        <v>504.92</v>
      </c>
      <c r="BG13" s="77">
        <f t="shared" si="17"/>
        <v>504.91999999999996</v>
      </c>
      <c r="BH13" s="77">
        <f t="shared" si="18"/>
        <v>504.92000000000007</v>
      </c>
      <c r="BI13" s="77">
        <f t="shared" si="18"/>
        <v>504.91999999999996</v>
      </c>
      <c r="BJ13" s="77">
        <f t="shared" si="18"/>
        <v>504.92</v>
      </c>
      <c r="BK13" s="77">
        <f t="shared" si="18"/>
        <v>504.92</v>
      </c>
      <c r="BL13" s="77">
        <f t="shared" si="18"/>
        <v>0</v>
      </c>
      <c r="BM13" s="77">
        <f t="shared" si="18"/>
        <v>0</v>
      </c>
      <c r="BN13" s="77">
        <f t="shared" si="18"/>
        <v>0</v>
      </c>
      <c r="BO13" s="77">
        <f t="shared" si="18"/>
        <v>0</v>
      </c>
      <c r="BP13" s="77">
        <f t="shared" si="18"/>
        <v>0</v>
      </c>
      <c r="BQ13" s="77">
        <f t="shared" si="18"/>
        <v>0</v>
      </c>
      <c r="BR13" s="77">
        <f t="shared" si="19"/>
        <v>0</v>
      </c>
      <c r="BS13" s="77">
        <f t="shared" si="19"/>
        <v>0</v>
      </c>
      <c r="BT13" s="77">
        <f t="shared" si="19"/>
        <v>0</v>
      </c>
      <c r="BU13" s="77">
        <f t="shared" si="19"/>
        <v>0</v>
      </c>
      <c r="BV13" s="77">
        <f t="shared" si="19"/>
        <v>0</v>
      </c>
      <c r="BW13" s="77">
        <f t="shared" si="19"/>
        <v>0</v>
      </c>
    </row>
    <row r="14" spans="2:75" ht="13">
      <c r="B14" s="4" t="s">
        <v>51</v>
      </c>
      <c r="C14" s="79"/>
      <c r="D14" s="79"/>
      <c r="E14" s="79"/>
      <c r="F14" s="79"/>
      <c r="G14" s="79"/>
      <c r="H14" s="79"/>
      <c r="I14" s="79"/>
      <c r="J14" s="773">
        <v>63880</v>
      </c>
      <c r="K14" s="773">
        <v>65180.000000000007</v>
      </c>
      <c r="L14" s="773">
        <v>68470</v>
      </c>
      <c r="M14" s="773">
        <v>72490</v>
      </c>
      <c r="N14" s="773">
        <v>69770</v>
      </c>
      <c r="O14" s="773">
        <v>69160</v>
      </c>
      <c r="P14" s="773">
        <v>69020</v>
      </c>
      <c r="Q14" s="773">
        <v>71770</v>
      </c>
      <c r="R14" s="773">
        <v>70867.5</v>
      </c>
      <c r="S14" s="773">
        <v>75324.5</v>
      </c>
      <c r="T14" s="773">
        <v>75508.700000000012</v>
      </c>
      <c r="U14" s="773">
        <v>73763.7</v>
      </c>
      <c r="V14" s="773">
        <v>73010</v>
      </c>
      <c r="W14" s="773">
        <v>73206.5</v>
      </c>
      <c r="X14" s="773">
        <v>74371.600000000006</v>
      </c>
      <c r="Y14" s="773">
        <v>74223.600000000006</v>
      </c>
      <c r="Z14" s="773">
        <v>74467</v>
      </c>
      <c r="AA14" s="773">
        <v>74360</v>
      </c>
      <c r="AB14" s="773">
        <v>78920</v>
      </c>
      <c r="AC14" s="773">
        <v>81461</v>
      </c>
      <c r="AD14" s="847">
        <v>82717</v>
      </c>
      <c r="AE14" s="773">
        <v>82080</v>
      </c>
      <c r="AF14" s="773">
        <v>45155</v>
      </c>
      <c r="AG14" s="773">
        <v>45672</v>
      </c>
      <c r="AH14" s="773">
        <v>45780.9</v>
      </c>
      <c r="AI14" s="773">
        <v>45842.5</v>
      </c>
      <c r="AJ14" s="773">
        <v>45845.25</v>
      </c>
      <c r="AK14" s="773">
        <v>46065.25</v>
      </c>
      <c r="AL14" s="773">
        <v>47054.700000000004</v>
      </c>
      <c r="AM14" s="773">
        <v>0</v>
      </c>
      <c r="AN14" s="773">
        <v>0</v>
      </c>
      <c r="AO14" s="773">
        <v>0</v>
      </c>
      <c r="AP14" s="847">
        <v>0</v>
      </c>
      <c r="AQ14" s="847">
        <v>0</v>
      </c>
      <c r="AS14" s="773">
        <f>M14/$AS$2</f>
        <v>1000.0000000000001</v>
      </c>
      <c r="AT14" s="77">
        <f>N14/$AT$2</f>
        <v>1000.0000000000001</v>
      </c>
      <c r="AU14" s="77">
        <f t="shared" si="20"/>
        <v>1000</v>
      </c>
      <c r="AV14" s="77">
        <f t="shared" si="20"/>
        <v>1000.0000000000001</v>
      </c>
      <c r="AW14" s="77">
        <f t="shared" si="20"/>
        <v>1000</v>
      </c>
      <c r="AX14" s="77">
        <f t="shared" si="17"/>
        <v>999.99999999999989</v>
      </c>
      <c r="AY14" s="77">
        <f t="shared" si="17"/>
        <v>1000</v>
      </c>
      <c r="AZ14" s="77">
        <f t="shared" si="17"/>
        <v>1000.0000000000001</v>
      </c>
      <c r="BA14" s="77">
        <f t="shared" si="17"/>
        <v>1000</v>
      </c>
      <c r="BB14" s="77">
        <f t="shared" si="17"/>
        <v>999.99999999999989</v>
      </c>
      <c r="BC14" s="77">
        <f t="shared" si="17"/>
        <v>999.99999999999989</v>
      </c>
      <c r="BD14" s="77">
        <f t="shared" si="17"/>
        <v>1000.0000000000001</v>
      </c>
      <c r="BE14" s="77">
        <f t="shared" si="17"/>
        <v>1000</v>
      </c>
      <c r="BF14" s="77">
        <f t="shared" si="17"/>
        <v>1000</v>
      </c>
      <c r="BG14" s="77">
        <f t="shared" si="17"/>
        <v>1000</v>
      </c>
      <c r="BH14" s="77">
        <f t="shared" si="18"/>
        <v>1000</v>
      </c>
      <c r="BI14" s="77">
        <f t="shared" si="18"/>
        <v>1000</v>
      </c>
      <c r="BJ14" s="77">
        <f t="shared" si="18"/>
        <v>1000</v>
      </c>
      <c r="BK14" s="77">
        <f t="shared" si="18"/>
        <v>1000</v>
      </c>
      <c r="BL14" s="77">
        <f t="shared" si="18"/>
        <v>550</v>
      </c>
      <c r="BM14" s="77">
        <f t="shared" si="18"/>
        <v>550</v>
      </c>
      <c r="BN14" s="77">
        <f t="shared" si="18"/>
        <v>550</v>
      </c>
      <c r="BO14" s="77">
        <f t="shared" si="18"/>
        <v>550</v>
      </c>
      <c r="BP14" s="77">
        <f t="shared" si="18"/>
        <v>550</v>
      </c>
      <c r="BQ14" s="77">
        <f t="shared" si="18"/>
        <v>550</v>
      </c>
      <c r="BR14" s="77">
        <f t="shared" si="19"/>
        <v>550</v>
      </c>
      <c r="BS14" s="77">
        <f t="shared" si="19"/>
        <v>0</v>
      </c>
      <c r="BT14" s="77">
        <f t="shared" si="19"/>
        <v>0</v>
      </c>
      <c r="BU14" s="77">
        <f t="shared" si="19"/>
        <v>0</v>
      </c>
      <c r="BV14" s="77">
        <f t="shared" si="19"/>
        <v>0</v>
      </c>
      <c r="BW14" s="77">
        <f t="shared" si="19"/>
        <v>0</v>
      </c>
    </row>
    <row r="15" spans="2:75" ht="13">
      <c r="B15" s="4" t="s">
        <v>52</v>
      </c>
      <c r="C15" s="79"/>
      <c r="D15" s="79"/>
      <c r="E15" s="79"/>
      <c r="F15" s="79"/>
      <c r="G15" s="79"/>
      <c r="H15" s="79"/>
      <c r="I15" s="79"/>
      <c r="J15" s="773">
        <v>47910</v>
      </c>
      <c r="K15" s="773">
        <v>48885.000000000007</v>
      </c>
      <c r="L15" s="773">
        <v>51352.5</v>
      </c>
      <c r="M15" s="773">
        <v>74664.7</v>
      </c>
      <c r="N15" s="773">
        <v>71863.099999999991</v>
      </c>
      <c r="O15" s="773">
        <v>71234.8</v>
      </c>
      <c r="P15" s="773">
        <v>71090.599999999991</v>
      </c>
      <c r="Q15" s="773">
        <v>73923.099999999991</v>
      </c>
      <c r="R15" s="773">
        <v>72993.525000000009</v>
      </c>
      <c r="S15" s="773">
        <v>77584.235000000001</v>
      </c>
      <c r="T15" s="773">
        <v>66651.529490000001</v>
      </c>
      <c r="U15" s="773">
        <v>65368.653303000006</v>
      </c>
      <c r="V15" s="773">
        <v>64700.731900000006</v>
      </c>
      <c r="W15" s="773">
        <v>75402.695000000007</v>
      </c>
      <c r="X15" s="773">
        <v>65647.811320000008</v>
      </c>
      <c r="Y15" s="773">
        <v>65776.212084000013</v>
      </c>
      <c r="Z15" s="773">
        <v>65991.910730000003</v>
      </c>
      <c r="AA15" s="773">
        <v>65897.088400000008</v>
      </c>
      <c r="AB15" s="773">
        <v>69662.684000000008</v>
      </c>
      <c r="AC15" s="773">
        <v>71905.6247</v>
      </c>
      <c r="AD15" s="847">
        <v>73302.978230000008</v>
      </c>
      <c r="AE15" s="773">
        <v>72738.475200000001</v>
      </c>
      <c r="AF15" s="773">
        <v>0</v>
      </c>
      <c r="AG15" s="773">
        <v>0</v>
      </c>
      <c r="AH15" s="773">
        <v>0</v>
      </c>
      <c r="AI15" s="773">
        <v>0</v>
      </c>
      <c r="AJ15" s="773">
        <v>0</v>
      </c>
      <c r="AK15" s="773">
        <v>0</v>
      </c>
      <c r="AL15" s="773">
        <v>0</v>
      </c>
      <c r="AM15" s="773">
        <v>0</v>
      </c>
      <c r="AN15" s="773">
        <v>0</v>
      </c>
      <c r="AO15" s="773">
        <v>0</v>
      </c>
      <c r="AP15" s="847">
        <v>0</v>
      </c>
      <c r="AQ15" s="847">
        <v>0</v>
      </c>
      <c r="AS15" s="773">
        <f>M15/$AS$2</f>
        <v>1030</v>
      </c>
      <c r="AT15" s="77">
        <f>N15/$AT$2</f>
        <v>1030</v>
      </c>
      <c r="AU15" s="77">
        <f t="shared" si="20"/>
        <v>1030</v>
      </c>
      <c r="AV15" s="77">
        <f t="shared" si="20"/>
        <v>1030</v>
      </c>
      <c r="AW15" s="77">
        <f t="shared" si="20"/>
        <v>1030</v>
      </c>
      <c r="AX15" s="77">
        <f t="shared" si="17"/>
        <v>1030</v>
      </c>
      <c r="AY15" s="77">
        <f t="shared" si="17"/>
        <v>1030</v>
      </c>
      <c r="AZ15" s="77">
        <f t="shared" si="17"/>
        <v>882.69999999999993</v>
      </c>
      <c r="BA15" s="77">
        <f t="shared" si="17"/>
        <v>886.19</v>
      </c>
      <c r="BB15" s="77">
        <f t="shared" si="17"/>
        <v>886.19</v>
      </c>
      <c r="BC15" s="77">
        <f t="shared" si="17"/>
        <v>1030</v>
      </c>
      <c r="BD15" s="77">
        <f t="shared" si="17"/>
        <v>882.7</v>
      </c>
      <c r="BE15" s="77">
        <f t="shared" si="17"/>
        <v>886.19000000000017</v>
      </c>
      <c r="BF15" s="77">
        <f t="shared" si="17"/>
        <v>886.19</v>
      </c>
      <c r="BG15" s="77">
        <f t="shared" si="17"/>
        <v>886.19000000000017</v>
      </c>
      <c r="BH15" s="77">
        <f t="shared" si="18"/>
        <v>882.7</v>
      </c>
      <c r="BI15" s="77">
        <f t="shared" si="18"/>
        <v>882.7</v>
      </c>
      <c r="BJ15" s="77">
        <f t="shared" si="18"/>
        <v>886.19</v>
      </c>
      <c r="BK15" s="77">
        <f t="shared" si="18"/>
        <v>886.19</v>
      </c>
      <c r="BL15" s="77">
        <f t="shared" si="18"/>
        <v>0</v>
      </c>
      <c r="BM15" s="77">
        <f t="shared" si="18"/>
        <v>0</v>
      </c>
      <c r="BN15" s="77">
        <f t="shared" si="18"/>
        <v>0</v>
      </c>
      <c r="BO15" s="77">
        <f t="shared" si="18"/>
        <v>0</v>
      </c>
      <c r="BP15" s="77">
        <f t="shared" si="18"/>
        <v>0</v>
      </c>
      <c r="BQ15" s="77">
        <f t="shared" si="18"/>
        <v>0</v>
      </c>
      <c r="BR15" s="77">
        <f t="shared" si="19"/>
        <v>0</v>
      </c>
      <c r="BS15" s="77">
        <f t="shared" si="19"/>
        <v>0</v>
      </c>
      <c r="BT15" s="77">
        <f t="shared" si="19"/>
        <v>0</v>
      </c>
      <c r="BU15" s="77">
        <f t="shared" si="19"/>
        <v>0</v>
      </c>
      <c r="BV15" s="77">
        <f t="shared" si="19"/>
        <v>0</v>
      </c>
      <c r="BW15" s="77">
        <f t="shared" si="19"/>
        <v>0</v>
      </c>
    </row>
    <row r="16" spans="2:75" ht="13">
      <c r="B16" s="4" t="s">
        <v>53</v>
      </c>
      <c r="C16" s="79"/>
      <c r="D16" s="79"/>
      <c r="E16" s="79"/>
      <c r="F16" s="79"/>
      <c r="G16" s="79"/>
      <c r="H16" s="79"/>
      <c r="I16" s="79"/>
      <c r="J16" s="773"/>
      <c r="K16" s="773"/>
      <c r="L16" s="773"/>
      <c r="M16" s="773"/>
      <c r="N16" s="773"/>
      <c r="O16" s="773"/>
      <c r="P16" s="773"/>
      <c r="Q16" s="773"/>
      <c r="R16" s="773"/>
      <c r="S16" s="773"/>
      <c r="T16" s="773"/>
      <c r="U16" s="773"/>
      <c r="V16" s="773"/>
      <c r="W16" s="773"/>
      <c r="X16" s="773"/>
      <c r="Y16" s="773"/>
      <c r="Z16" s="773"/>
      <c r="AA16" s="773"/>
      <c r="AB16" s="773"/>
      <c r="AC16" s="773"/>
      <c r="AD16" s="847"/>
      <c r="AE16" s="773"/>
      <c r="AF16" s="773">
        <v>61574.999999999993</v>
      </c>
      <c r="AG16" s="773">
        <v>62280.000000000007</v>
      </c>
      <c r="AH16" s="773">
        <v>62428.5</v>
      </c>
      <c r="AI16" s="773">
        <v>62512.499999999993</v>
      </c>
      <c r="AJ16" s="773">
        <v>62516.25</v>
      </c>
      <c r="AK16" s="773">
        <v>62816.25</v>
      </c>
      <c r="AL16" s="773">
        <v>64165.5</v>
      </c>
      <c r="AM16" s="773">
        <v>64087.5</v>
      </c>
      <c r="AN16" s="773">
        <v>64275</v>
      </c>
      <c r="AO16" s="847">
        <v>66630.75</v>
      </c>
      <c r="AP16" s="847">
        <f>750*$BV$2</f>
        <v>67403.25</v>
      </c>
      <c r="AQ16" s="847">
        <f>750*$BW$2</f>
        <v>70113.75</v>
      </c>
      <c r="AS16" s="773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>
        <f t="shared" ref="BL16:BL24" si="21">AF16/BL$2</f>
        <v>750</v>
      </c>
      <c r="BM16" s="77">
        <f t="shared" ref="BM16:BM24" si="22">AG16/BM$2</f>
        <v>750</v>
      </c>
      <c r="BN16" s="77">
        <f t="shared" ref="BN16:BN24" si="23">AH16/BN$2</f>
        <v>750</v>
      </c>
      <c r="BO16" s="77">
        <f t="shared" ref="BO16:BO24" si="24">AI16/BO$2</f>
        <v>750</v>
      </c>
      <c r="BP16" s="77">
        <f t="shared" ref="BP16:BP24" si="25">AJ16/BP$2</f>
        <v>750</v>
      </c>
      <c r="BQ16" s="77">
        <f t="shared" ref="BQ16:BQ24" si="26">AK16/BQ$2</f>
        <v>750</v>
      </c>
      <c r="BR16" s="77">
        <f t="shared" ref="BR16:BR24" si="27">AL16/BR$2</f>
        <v>750</v>
      </c>
      <c r="BS16" s="77">
        <f t="shared" ref="BS16:BS24" si="28">AM16/BS$2</f>
        <v>750</v>
      </c>
      <c r="BT16" s="77">
        <f t="shared" ref="BT16:BT24" si="29">AN16/BT$2</f>
        <v>750</v>
      </c>
      <c r="BU16" s="77">
        <f t="shared" ref="BU16:BU24" si="30">AO16/BU$2</f>
        <v>750</v>
      </c>
      <c r="BV16" s="77">
        <f t="shared" ref="BV16:BW24" si="31">AP16/BV$2</f>
        <v>750</v>
      </c>
      <c r="BW16" s="77">
        <f t="shared" si="31"/>
        <v>750</v>
      </c>
    </row>
    <row r="17" spans="2:75" ht="13">
      <c r="B17" s="4" t="s">
        <v>54</v>
      </c>
      <c r="C17" s="79"/>
      <c r="D17" s="79"/>
      <c r="E17" s="79"/>
      <c r="F17" s="79"/>
      <c r="G17" s="79"/>
      <c r="H17" s="79"/>
      <c r="I17" s="79"/>
      <c r="J17" s="773">
        <v>63880</v>
      </c>
      <c r="K17" s="773">
        <v>65180.000000000007</v>
      </c>
      <c r="L17" s="773">
        <v>68470</v>
      </c>
      <c r="M17" s="773">
        <v>100036.2</v>
      </c>
      <c r="N17" s="773"/>
      <c r="O17" s="773"/>
      <c r="P17" s="773"/>
      <c r="Q17" s="773"/>
      <c r="R17" s="773"/>
      <c r="S17" s="773"/>
      <c r="T17" s="773"/>
      <c r="U17" s="773"/>
      <c r="V17" s="773"/>
      <c r="W17" s="773"/>
      <c r="X17" s="773"/>
      <c r="Y17" s="773"/>
      <c r="Z17" s="773"/>
      <c r="AA17" s="773"/>
      <c r="AB17" s="773"/>
      <c r="AC17" s="773"/>
      <c r="AD17" s="847"/>
      <c r="AE17" s="773"/>
      <c r="AF17" s="773"/>
      <c r="AG17" s="773"/>
      <c r="AH17" s="773"/>
      <c r="AI17" s="773">
        <v>0</v>
      </c>
      <c r="AJ17" s="773">
        <v>0</v>
      </c>
      <c r="AK17" s="773">
        <v>0</v>
      </c>
      <c r="AL17" s="773">
        <v>0</v>
      </c>
      <c r="AM17" s="773">
        <v>0</v>
      </c>
      <c r="AN17" s="773">
        <v>0</v>
      </c>
      <c r="AO17" s="773">
        <v>0</v>
      </c>
      <c r="AP17" s="773">
        <v>0</v>
      </c>
      <c r="AQ17" s="773">
        <v>0</v>
      </c>
      <c r="AS17" s="773">
        <f>M17/$AS$2</f>
        <v>1380</v>
      </c>
      <c r="AT17" s="77">
        <f>N17/$AT$2</f>
        <v>0</v>
      </c>
      <c r="AU17" s="77">
        <f t="shared" ref="AU17:BD20" si="32">O17/AU$2</f>
        <v>0</v>
      </c>
      <c r="AV17" s="77">
        <f t="shared" si="32"/>
        <v>0</v>
      </c>
      <c r="AW17" s="77">
        <f t="shared" si="32"/>
        <v>0</v>
      </c>
      <c r="AX17" s="77">
        <f t="shared" si="32"/>
        <v>0</v>
      </c>
      <c r="AY17" s="77">
        <f t="shared" si="32"/>
        <v>0</v>
      </c>
      <c r="AZ17" s="77">
        <f t="shared" si="32"/>
        <v>0</v>
      </c>
      <c r="BA17" s="77">
        <f t="shared" si="32"/>
        <v>0</v>
      </c>
      <c r="BB17" s="77">
        <f t="shared" si="32"/>
        <v>0</v>
      </c>
      <c r="BC17" s="77">
        <f t="shared" si="32"/>
        <v>0</v>
      </c>
      <c r="BD17" s="77">
        <f t="shared" si="32"/>
        <v>0</v>
      </c>
      <c r="BE17" s="77">
        <f t="shared" ref="BE17:BK20" si="33">Y17/BE$2</f>
        <v>0</v>
      </c>
      <c r="BF17" s="77">
        <f t="shared" si="33"/>
        <v>0</v>
      </c>
      <c r="BG17" s="77">
        <f t="shared" si="33"/>
        <v>0</v>
      </c>
      <c r="BH17" s="77">
        <f t="shared" si="33"/>
        <v>0</v>
      </c>
      <c r="BI17" s="77">
        <f t="shared" si="33"/>
        <v>0</v>
      </c>
      <c r="BJ17" s="77">
        <f t="shared" si="33"/>
        <v>0</v>
      </c>
      <c r="BK17" s="77">
        <f t="shared" si="33"/>
        <v>0</v>
      </c>
      <c r="BL17" s="77">
        <f t="shared" si="21"/>
        <v>0</v>
      </c>
      <c r="BM17" s="77">
        <f t="shared" si="22"/>
        <v>0</v>
      </c>
      <c r="BN17" s="77">
        <f t="shared" si="23"/>
        <v>0</v>
      </c>
      <c r="BO17" s="77">
        <f t="shared" si="24"/>
        <v>0</v>
      </c>
      <c r="BP17" s="77">
        <f t="shared" si="25"/>
        <v>0</v>
      </c>
      <c r="BQ17" s="77">
        <f t="shared" si="26"/>
        <v>0</v>
      </c>
      <c r="BR17" s="77">
        <f t="shared" si="27"/>
        <v>0</v>
      </c>
      <c r="BS17" s="77">
        <f t="shared" si="28"/>
        <v>0</v>
      </c>
      <c r="BT17" s="77">
        <f t="shared" si="29"/>
        <v>0</v>
      </c>
      <c r="BU17" s="77">
        <f t="shared" si="30"/>
        <v>0</v>
      </c>
      <c r="BV17" s="77">
        <f t="shared" si="31"/>
        <v>0</v>
      </c>
      <c r="BW17" s="77">
        <f t="shared" si="31"/>
        <v>0</v>
      </c>
    </row>
    <row r="18" spans="2:75" ht="13">
      <c r="B18" s="4" t="s">
        <v>55</v>
      </c>
      <c r="C18" s="79"/>
      <c r="D18" s="79"/>
      <c r="E18" s="79"/>
      <c r="F18" s="79"/>
      <c r="G18" s="79"/>
      <c r="H18" s="79"/>
      <c r="I18" s="79"/>
      <c r="J18" s="773">
        <v>22358</v>
      </c>
      <c r="K18" s="773">
        <v>22813.000000000004</v>
      </c>
      <c r="L18" s="773">
        <v>23964.5</v>
      </c>
      <c r="M18" s="773">
        <v>28695.166499999999</v>
      </c>
      <c r="N18" s="773">
        <v>27618.4545</v>
      </c>
      <c r="O18" s="773">
        <v>27376.986000000001</v>
      </c>
      <c r="P18" s="773">
        <v>27321.566999999999</v>
      </c>
      <c r="Q18" s="773">
        <v>28410.154500000001</v>
      </c>
      <c r="R18" s="773">
        <v>28052.899875000003</v>
      </c>
      <c r="S18" s="773">
        <v>29817.203325000002</v>
      </c>
      <c r="T18" s="773">
        <v>0</v>
      </c>
      <c r="U18" s="773">
        <v>0</v>
      </c>
      <c r="V18" s="773">
        <v>0</v>
      </c>
      <c r="W18" s="773">
        <v>0</v>
      </c>
      <c r="X18" s="773">
        <v>0</v>
      </c>
      <c r="Y18" s="773">
        <v>0</v>
      </c>
      <c r="Z18" s="773">
        <v>0</v>
      </c>
      <c r="AA18" s="773">
        <v>0</v>
      </c>
      <c r="AB18" s="773">
        <v>0</v>
      </c>
      <c r="AC18" s="773">
        <v>0</v>
      </c>
      <c r="AD18" s="847">
        <v>0</v>
      </c>
      <c r="AE18" s="773">
        <v>0</v>
      </c>
      <c r="AF18" s="773">
        <v>0</v>
      </c>
      <c r="AG18" s="773">
        <v>0</v>
      </c>
      <c r="AH18" s="773">
        <v>0</v>
      </c>
      <c r="AI18" s="773">
        <v>0</v>
      </c>
      <c r="AJ18" s="773">
        <v>0</v>
      </c>
      <c r="AK18" s="773">
        <v>0</v>
      </c>
      <c r="AL18" s="773">
        <v>0</v>
      </c>
      <c r="AM18" s="773">
        <v>0</v>
      </c>
      <c r="AN18" s="773">
        <v>0</v>
      </c>
      <c r="AO18" s="847">
        <v>0</v>
      </c>
      <c r="AP18" s="847">
        <v>0</v>
      </c>
      <c r="AQ18" s="847">
        <v>0</v>
      </c>
      <c r="AS18" s="773">
        <f>M18/$AS$2</f>
        <v>395.85</v>
      </c>
      <c r="AT18" s="77">
        <f>N18/$AT$2</f>
        <v>395.85</v>
      </c>
      <c r="AU18" s="77">
        <f t="shared" si="32"/>
        <v>395.85</v>
      </c>
      <c r="AV18" s="77">
        <f t="shared" si="32"/>
        <v>395.85</v>
      </c>
      <c r="AW18" s="77">
        <f t="shared" si="32"/>
        <v>395.85</v>
      </c>
      <c r="AX18" s="77">
        <f t="shared" si="32"/>
        <v>395.85</v>
      </c>
      <c r="AY18" s="77">
        <f t="shared" si="32"/>
        <v>395.85</v>
      </c>
      <c r="AZ18" s="77">
        <f t="shared" si="32"/>
        <v>0</v>
      </c>
      <c r="BA18" s="77">
        <f t="shared" si="32"/>
        <v>0</v>
      </c>
      <c r="BB18" s="77">
        <f t="shared" si="32"/>
        <v>0</v>
      </c>
      <c r="BC18" s="77">
        <f t="shared" si="32"/>
        <v>0</v>
      </c>
      <c r="BD18" s="77">
        <f t="shared" si="32"/>
        <v>0</v>
      </c>
      <c r="BE18" s="77">
        <f t="shared" si="33"/>
        <v>0</v>
      </c>
      <c r="BF18" s="77">
        <f t="shared" si="33"/>
        <v>0</v>
      </c>
      <c r="BG18" s="77">
        <f t="shared" si="33"/>
        <v>0</v>
      </c>
      <c r="BH18" s="77">
        <f t="shared" si="33"/>
        <v>0</v>
      </c>
      <c r="BI18" s="77">
        <f t="shared" si="33"/>
        <v>0</v>
      </c>
      <c r="BJ18" s="77">
        <f t="shared" si="33"/>
        <v>0</v>
      </c>
      <c r="BK18" s="77">
        <f t="shared" si="33"/>
        <v>0</v>
      </c>
      <c r="BL18" s="77">
        <f t="shared" si="21"/>
        <v>0</v>
      </c>
      <c r="BM18" s="77">
        <f t="shared" si="22"/>
        <v>0</v>
      </c>
      <c r="BN18" s="77">
        <f t="shared" si="23"/>
        <v>0</v>
      </c>
      <c r="BO18" s="77">
        <f t="shared" si="24"/>
        <v>0</v>
      </c>
      <c r="BP18" s="77">
        <f t="shared" si="25"/>
        <v>0</v>
      </c>
      <c r="BQ18" s="77">
        <f t="shared" si="26"/>
        <v>0</v>
      </c>
      <c r="BR18" s="77">
        <f t="shared" si="27"/>
        <v>0</v>
      </c>
      <c r="BS18" s="77">
        <f t="shared" si="28"/>
        <v>0</v>
      </c>
      <c r="BT18" s="77">
        <f t="shared" si="29"/>
        <v>0</v>
      </c>
      <c r="BU18" s="77">
        <f t="shared" si="30"/>
        <v>0</v>
      </c>
      <c r="BV18" s="77">
        <f t="shared" si="31"/>
        <v>0</v>
      </c>
      <c r="BW18" s="77">
        <f t="shared" si="31"/>
        <v>0</v>
      </c>
    </row>
    <row r="19" spans="2:75" ht="13">
      <c r="B19" s="4" t="s">
        <v>56</v>
      </c>
      <c r="C19" s="79"/>
      <c r="D19" s="79"/>
      <c r="E19" s="79"/>
      <c r="F19" s="79"/>
      <c r="G19" s="79"/>
      <c r="H19" s="79"/>
      <c r="I19" s="79"/>
      <c r="J19" s="773"/>
      <c r="K19" s="773">
        <v>15000</v>
      </c>
      <c r="L19" s="773">
        <v>15000</v>
      </c>
      <c r="M19" s="773">
        <v>15000</v>
      </c>
      <c r="N19" s="773">
        <v>15000</v>
      </c>
      <c r="O19" s="773">
        <v>15000</v>
      </c>
      <c r="P19" s="773">
        <v>15000</v>
      </c>
      <c r="Q19" s="773">
        <v>15000</v>
      </c>
      <c r="R19" s="773">
        <v>15000</v>
      </c>
      <c r="S19" s="773">
        <v>15000</v>
      </c>
      <c r="T19" s="773">
        <v>14976.74</v>
      </c>
      <c r="U19" s="847">
        <v>0</v>
      </c>
      <c r="V19" s="847">
        <v>0</v>
      </c>
      <c r="W19" s="847">
        <v>0</v>
      </c>
      <c r="X19" s="847">
        <v>0</v>
      </c>
      <c r="Y19" s="847">
        <v>0</v>
      </c>
      <c r="Z19" s="847">
        <v>0</v>
      </c>
      <c r="AA19" s="847">
        <v>0</v>
      </c>
      <c r="AB19" s="847">
        <v>0</v>
      </c>
      <c r="AC19" s="847">
        <v>0</v>
      </c>
      <c r="AD19" s="847">
        <v>0</v>
      </c>
      <c r="AE19" s="847">
        <v>0</v>
      </c>
      <c r="AF19" s="847">
        <v>0</v>
      </c>
      <c r="AG19" s="847">
        <v>0</v>
      </c>
      <c r="AH19" s="847">
        <v>0</v>
      </c>
      <c r="AI19" s="847">
        <v>0</v>
      </c>
      <c r="AJ19" s="847">
        <v>0</v>
      </c>
      <c r="AK19" s="847">
        <v>0</v>
      </c>
      <c r="AL19" s="847">
        <v>0</v>
      </c>
      <c r="AM19" s="847">
        <v>0</v>
      </c>
      <c r="AN19" s="847">
        <v>0</v>
      </c>
      <c r="AO19" s="847">
        <v>0</v>
      </c>
      <c r="AP19" s="847">
        <v>0</v>
      </c>
      <c r="AQ19" s="847">
        <v>0</v>
      </c>
      <c r="AS19" s="773">
        <f>M19/$AS$2</f>
        <v>206.92509311629192</v>
      </c>
      <c r="AT19" s="77">
        <f>N19/$AT$2</f>
        <v>214.99211695571162</v>
      </c>
      <c r="AU19" s="77">
        <f t="shared" si="32"/>
        <v>216.88837478311163</v>
      </c>
      <c r="AV19" s="77">
        <f t="shared" si="32"/>
        <v>217.32831063459869</v>
      </c>
      <c r="AW19" s="77">
        <f t="shared" si="32"/>
        <v>209.00097533788491</v>
      </c>
      <c r="AX19" s="77">
        <f t="shared" si="32"/>
        <v>211.66260979997881</v>
      </c>
      <c r="AY19" s="77">
        <f t="shared" si="32"/>
        <v>199.13839454626316</v>
      </c>
      <c r="AZ19" s="77">
        <f t="shared" si="32"/>
        <v>198.34456162005171</v>
      </c>
      <c r="BA19" s="77">
        <f t="shared" si="32"/>
        <v>0</v>
      </c>
      <c r="BB19" s="77">
        <f t="shared" si="32"/>
        <v>0</v>
      </c>
      <c r="BC19" s="77">
        <f t="shared" si="32"/>
        <v>0</v>
      </c>
      <c r="BD19" s="77">
        <f t="shared" si="32"/>
        <v>0</v>
      </c>
      <c r="BE19" s="77">
        <f t="shared" si="33"/>
        <v>0</v>
      </c>
      <c r="BF19" s="77">
        <f t="shared" si="33"/>
        <v>0</v>
      </c>
      <c r="BG19" s="77">
        <f t="shared" si="33"/>
        <v>0</v>
      </c>
      <c r="BH19" s="77">
        <f t="shared" si="33"/>
        <v>0</v>
      </c>
      <c r="BI19" s="77">
        <f t="shared" si="33"/>
        <v>0</v>
      </c>
      <c r="BJ19" s="77">
        <f t="shared" si="33"/>
        <v>0</v>
      </c>
      <c r="BK19" s="77">
        <f t="shared" si="33"/>
        <v>0</v>
      </c>
      <c r="BL19" s="77">
        <f t="shared" si="21"/>
        <v>0</v>
      </c>
      <c r="BM19" s="77">
        <f t="shared" si="22"/>
        <v>0</v>
      </c>
      <c r="BN19" s="77">
        <f t="shared" si="23"/>
        <v>0</v>
      </c>
      <c r="BO19" s="77">
        <f t="shared" si="24"/>
        <v>0</v>
      </c>
      <c r="BP19" s="77">
        <f t="shared" si="25"/>
        <v>0</v>
      </c>
      <c r="BQ19" s="77">
        <f t="shared" si="26"/>
        <v>0</v>
      </c>
      <c r="BR19" s="77">
        <f t="shared" si="27"/>
        <v>0</v>
      </c>
      <c r="BS19" s="77">
        <f t="shared" si="28"/>
        <v>0</v>
      </c>
      <c r="BT19" s="77">
        <f t="shared" si="29"/>
        <v>0</v>
      </c>
      <c r="BU19" s="77">
        <f t="shared" si="30"/>
        <v>0</v>
      </c>
      <c r="BV19" s="77">
        <f t="shared" si="31"/>
        <v>0</v>
      </c>
      <c r="BW19" s="77">
        <f t="shared" si="31"/>
        <v>0</v>
      </c>
    </row>
    <row r="20" spans="2:75" ht="13">
      <c r="B20" s="4" t="s">
        <v>57</v>
      </c>
      <c r="C20" s="79"/>
      <c r="D20" s="79"/>
      <c r="E20" s="79"/>
      <c r="F20" s="79"/>
      <c r="G20" s="79"/>
      <c r="H20" s="79"/>
      <c r="I20" s="79"/>
      <c r="J20" s="773"/>
      <c r="K20" s="773">
        <v>15000</v>
      </c>
      <c r="L20" s="773">
        <v>15000</v>
      </c>
      <c r="M20" s="773">
        <v>15000</v>
      </c>
      <c r="N20" s="773">
        <v>15000</v>
      </c>
      <c r="O20" s="773">
        <v>15000</v>
      </c>
      <c r="P20" s="773">
        <v>15000</v>
      </c>
      <c r="Q20" s="773">
        <v>15000</v>
      </c>
      <c r="R20" s="773">
        <v>15000</v>
      </c>
      <c r="S20" s="773">
        <v>15000</v>
      </c>
      <c r="T20" s="773">
        <v>15000</v>
      </c>
      <c r="U20" s="773">
        <v>15000</v>
      </c>
      <c r="V20" s="773">
        <v>15000</v>
      </c>
      <c r="W20" s="773">
        <v>15000</v>
      </c>
      <c r="X20" s="773">
        <v>15000</v>
      </c>
      <c r="Y20" s="773">
        <v>15000</v>
      </c>
      <c r="Z20" s="773">
        <v>15000</v>
      </c>
      <c r="AA20" s="773">
        <v>15000</v>
      </c>
      <c r="AB20" s="773">
        <v>15000</v>
      </c>
      <c r="AC20" s="773">
        <v>15000</v>
      </c>
      <c r="AD20" s="847">
        <v>15000</v>
      </c>
      <c r="AE20" s="773">
        <v>15000</v>
      </c>
      <c r="AF20" s="773">
        <v>0</v>
      </c>
      <c r="AG20" s="773">
        <v>0</v>
      </c>
      <c r="AH20" s="773">
        <v>0</v>
      </c>
      <c r="AI20" s="773">
        <v>0</v>
      </c>
      <c r="AJ20" s="773">
        <v>0</v>
      </c>
      <c r="AK20" s="773">
        <v>0</v>
      </c>
      <c r="AL20" s="773">
        <v>0</v>
      </c>
      <c r="AM20" s="773">
        <v>0</v>
      </c>
      <c r="AN20" s="773">
        <v>0</v>
      </c>
      <c r="AO20" s="847">
        <v>0</v>
      </c>
      <c r="AP20" s="847">
        <v>0</v>
      </c>
      <c r="AQ20" s="847">
        <v>0</v>
      </c>
      <c r="AS20" s="773">
        <f>M20/$AS$2</f>
        <v>206.92509311629192</v>
      </c>
      <c r="AT20" s="77">
        <f>N20/$AT$2</f>
        <v>214.99211695571162</v>
      </c>
      <c r="AU20" s="77">
        <f t="shared" si="32"/>
        <v>216.88837478311163</v>
      </c>
      <c r="AV20" s="77">
        <f t="shared" si="32"/>
        <v>217.32831063459869</v>
      </c>
      <c r="AW20" s="77">
        <f t="shared" si="32"/>
        <v>209.00097533788491</v>
      </c>
      <c r="AX20" s="77">
        <f t="shared" si="32"/>
        <v>211.66260979997881</v>
      </c>
      <c r="AY20" s="77">
        <f t="shared" si="32"/>
        <v>199.13839454626316</v>
      </c>
      <c r="AZ20" s="77">
        <f t="shared" si="32"/>
        <v>198.65260559379249</v>
      </c>
      <c r="BA20" s="77">
        <f t="shared" si="32"/>
        <v>203.3520552792227</v>
      </c>
      <c r="BB20" s="77">
        <f t="shared" si="32"/>
        <v>205.4513080399945</v>
      </c>
      <c r="BC20" s="77">
        <f t="shared" si="32"/>
        <v>204.89983812912786</v>
      </c>
      <c r="BD20" s="77">
        <f t="shared" si="32"/>
        <v>201.68989237827341</v>
      </c>
      <c r="BE20" s="77">
        <f t="shared" si="33"/>
        <v>202.09205697379269</v>
      </c>
      <c r="BF20" s="77">
        <f t="shared" si="33"/>
        <v>201.43150657338151</v>
      </c>
      <c r="BG20" s="77">
        <f t="shared" si="33"/>
        <v>201.72135556750942</v>
      </c>
      <c r="BH20" s="77">
        <f t="shared" si="33"/>
        <v>190.06588950836289</v>
      </c>
      <c r="BI20" s="77">
        <f t="shared" si="33"/>
        <v>184.13719448570481</v>
      </c>
      <c r="BJ20" s="77">
        <f t="shared" si="33"/>
        <v>181.34119951158772</v>
      </c>
      <c r="BK20" s="77">
        <f t="shared" si="33"/>
        <v>182.7485380116959</v>
      </c>
      <c r="BL20" s="77">
        <f t="shared" si="21"/>
        <v>0</v>
      </c>
      <c r="BM20" s="77">
        <f t="shared" si="22"/>
        <v>0</v>
      </c>
      <c r="BN20" s="77">
        <f t="shared" si="23"/>
        <v>0</v>
      </c>
      <c r="BO20" s="77">
        <f t="shared" si="24"/>
        <v>0</v>
      </c>
      <c r="BP20" s="77">
        <f t="shared" si="25"/>
        <v>0</v>
      </c>
      <c r="BQ20" s="77">
        <f t="shared" si="26"/>
        <v>0</v>
      </c>
      <c r="BR20" s="77">
        <f t="shared" si="27"/>
        <v>0</v>
      </c>
      <c r="BS20" s="77">
        <f t="shared" si="28"/>
        <v>0</v>
      </c>
      <c r="BT20" s="77">
        <f t="shared" si="29"/>
        <v>0</v>
      </c>
      <c r="BU20" s="77">
        <f t="shared" si="30"/>
        <v>0</v>
      </c>
      <c r="BV20" s="77">
        <f t="shared" si="31"/>
        <v>0</v>
      </c>
      <c r="BW20" s="77">
        <f t="shared" si="31"/>
        <v>0</v>
      </c>
    </row>
    <row r="21" spans="2:75" ht="13">
      <c r="B21" s="844" t="s">
        <v>58</v>
      </c>
      <c r="C21" s="79"/>
      <c r="D21" s="79"/>
      <c r="E21" s="79"/>
      <c r="F21" s="79"/>
      <c r="G21" s="79"/>
      <c r="H21" s="79"/>
      <c r="I21" s="79"/>
      <c r="J21" s="773"/>
      <c r="K21" s="773"/>
      <c r="L21" s="773"/>
      <c r="M21" s="773"/>
      <c r="N21" s="773"/>
      <c r="O21" s="773"/>
      <c r="P21" s="773"/>
      <c r="Q21" s="773">
        <v>53827.5</v>
      </c>
      <c r="R21" s="773">
        <v>53150.625000000007</v>
      </c>
      <c r="S21" s="773">
        <v>56493.375</v>
      </c>
      <c r="T21" s="773">
        <v>75508.700000000012</v>
      </c>
      <c r="U21" s="773">
        <v>73763.7</v>
      </c>
      <c r="V21" s="773">
        <v>73010</v>
      </c>
      <c r="W21" s="773">
        <v>54904.875000000007</v>
      </c>
      <c r="X21" s="773">
        <v>74371.600000000006</v>
      </c>
      <c r="Y21" s="773">
        <v>74223.600000000006</v>
      </c>
      <c r="Z21" s="773">
        <v>74467</v>
      </c>
      <c r="AA21" s="773">
        <v>74360</v>
      </c>
      <c r="AB21" s="773">
        <v>78920</v>
      </c>
      <c r="AC21" s="773">
        <v>81461</v>
      </c>
      <c r="AD21" s="847">
        <v>82717</v>
      </c>
      <c r="AE21" s="773">
        <v>82080</v>
      </c>
      <c r="AF21" s="773">
        <v>82100</v>
      </c>
      <c r="AG21" s="773">
        <v>83040</v>
      </c>
      <c r="AH21" s="773">
        <v>83238</v>
      </c>
      <c r="AI21" s="773">
        <v>83350</v>
      </c>
      <c r="AJ21" s="773">
        <v>83355</v>
      </c>
      <c r="AK21" s="773">
        <v>83755</v>
      </c>
      <c r="AL21" s="773">
        <v>85554</v>
      </c>
      <c r="AM21" s="773">
        <v>0</v>
      </c>
      <c r="AN21" s="773">
        <v>0</v>
      </c>
      <c r="AO21" s="847">
        <v>0</v>
      </c>
      <c r="AP21" s="847">
        <v>0</v>
      </c>
      <c r="AQ21" s="847">
        <v>0</v>
      </c>
      <c r="AS21" s="773"/>
      <c r="AT21" s="77"/>
      <c r="AU21" s="77"/>
      <c r="AV21" s="77"/>
      <c r="AW21" s="77">
        <v>1</v>
      </c>
      <c r="AX21" s="77">
        <f t="shared" ref="AX21:BK21" si="34">R21/AX$2</f>
        <v>750</v>
      </c>
      <c r="AY21" s="77">
        <f t="shared" si="34"/>
        <v>750</v>
      </c>
      <c r="AZ21" s="77">
        <f t="shared" si="34"/>
        <v>1000.0000000000001</v>
      </c>
      <c r="BA21" s="77">
        <f t="shared" si="34"/>
        <v>1000</v>
      </c>
      <c r="BB21" s="77">
        <f t="shared" si="34"/>
        <v>999.99999999999989</v>
      </c>
      <c r="BC21" s="77">
        <f t="shared" si="34"/>
        <v>750</v>
      </c>
      <c r="BD21" s="77">
        <f t="shared" si="34"/>
        <v>1000.0000000000001</v>
      </c>
      <c r="BE21" s="77">
        <f t="shared" si="34"/>
        <v>1000</v>
      </c>
      <c r="BF21" s="77">
        <f t="shared" si="34"/>
        <v>1000</v>
      </c>
      <c r="BG21" s="77">
        <f t="shared" si="34"/>
        <v>1000</v>
      </c>
      <c r="BH21" s="77">
        <f t="shared" si="34"/>
        <v>1000</v>
      </c>
      <c r="BI21" s="77">
        <f t="shared" si="34"/>
        <v>1000</v>
      </c>
      <c r="BJ21" s="77">
        <f t="shared" si="34"/>
        <v>1000</v>
      </c>
      <c r="BK21" s="77">
        <f t="shared" si="34"/>
        <v>1000</v>
      </c>
      <c r="BL21" s="77">
        <f t="shared" si="21"/>
        <v>1000.0000000000001</v>
      </c>
      <c r="BM21" s="77">
        <f t="shared" si="22"/>
        <v>999.99999999999989</v>
      </c>
      <c r="BN21" s="77">
        <f t="shared" si="23"/>
        <v>1000</v>
      </c>
      <c r="BO21" s="77">
        <f t="shared" si="24"/>
        <v>1000.0000000000001</v>
      </c>
      <c r="BP21" s="77">
        <f t="shared" si="25"/>
        <v>1000</v>
      </c>
      <c r="BQ21" s="77">
        <f t="shared" si="26"/>
        <v>1000</v>
      </c>
      <c r="BR21" s="77">
        <f t="shared" si="27"/>
        <v>1000</v>
      </c>
      <c r="BS21" s="77">
        <f t="shared" si="28"/>
        <v>0</v>
      </c>
      <c r="BT21" s="77">
        <f t="shared" si="29"/>
        <v>0</v>
      </c>
      <c r="BU21" s="77">
        <f t="shared" si="30"/>
        <v>0</v>
      </c>
      <c r="BV21" s="77">
        <f t="shared" si="31"/>
        <v>0</v>
      </c>
      <c r="BW21" s="77">
        <f t="shared" si="31"/>
        <v>0</v>
      </c>
    </row>
    <row r="22" spans="2:75" ht="13">
      <c r="B22" s="844" t="s">
        <v>59</v>
      </c>
      <c r="C22" s="79"/>
      <c r="D22" s="79"/>
      <c r="E22" s="79"/>
      <c r="F22" s="79"/>
      <c r="G22" s="79"/>
      <c r="H22" s="79"/>
      <c r="I22" s="79"/>
      <c r="J22" s="773"/>
      <c r="K22" s="773"/>
      <c r="L22" s="773"/>
      <c r="M22" s="773"/>
      <c r="N22" s="773"/>
      <c r="O22" s="773"/>
      <c r="P22" s="773"/>
      <c r="Q22" s="773"/>
      <c r="R22" s="773"/>
      <c r="S22" s="773"/>
      <c r="T22" s="773"/>
      <c r="U22" s="773"/>
      <c r="V22" s="773"/>
      <c r="W22" s="773"/>
      <c r="X22" s="773"/>
      <c r="Y22" s="773"/>
      <c r="Z22" s="773"/>
      <c r="AA22" s="773"/>
      <c r="AB22" s="773"/>
      <c r="AC22" s="773"/>
      <c r="AD22" s="847"/>
      <c r="AE22" s="773"/>
      <c r="AF22" s="773">
        <v>41050</v>
      </c>
      <c r="AG22" s="773">
        <v>41520</v>
      </c>
      <c r="AH22" s="773">
        <v>41619</v>
      </c>
      <c r="AI22" s="773">
        <v>41675</v>
      </c>
      <c r="AJ22" s="773">
        <v>41677.5</v>
      </c>
      <c r="AK22" s="773">
        <v>41877.5</v>
      </c>
      <c r="AL22" s="773">
        <v>42777</v>
      </c>
      <c r="AM22" s="773">
        <v>42725</v>
      </c>
      <c r="AN22" s="773">
        <v>42850</v>
      </c>
      <c r="AO22" s="847">
        <v>44420.5</v>
      </c>
      <c r="AP22" s="847">
        <f>500*$BV$2</f>
        <v>44935.5</v>
      </c>
      <c r="AQ22" s="847">
        <f>500*$BW$2</f>
        <v>46742.5</v>
      </c>
      <c r="AS22" s="773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>
        <f t="shared" si="21"/>
        <v>500.00000000000006</v>
      </c>
      <c r="BM22" s="77">
        <f t="shared" si="22"/>
        <v>499.99999999999994</v>
      </c>
      <c r="BN22" s="77">
        <f t="shared" si="23"/>
        <v>500</v>
      </c>
      <c r="BO22" s="77">
        <f t="shared" si="24"/>
        <v>500.00000000000006</v>
      </c>
      <c r="BP22" s="77">
        <f t="shared" si="25"/>
        <v>500</v>
      </c>
      <c r="BQ22" s="77">
        <f t="shared" si="26"/>
        <v>500</v>
      </c>
      <c r="BR22" s="77">
        <f t="shared" si="27"/>
        <v>500</v>
      </c>
      <c r="BS22" s="77">
        <f t="shared" si="28"/>
        <v>500</v>
      </c>
      <c r="BT22" s="77">
        <f t="shared" si="29"/>
        <v>500</v>
      </c>
      <c r="BU22" s="77">
        <f t="shared" si="30"/>
        <v>500.00000000000006</v>
      </c>
      <c r="BV22" s="77">
        <f t="shared" si="31"/>
        <v>500</v>
      </c>
      <c r="BW22" s="77">
        <f t="shared" si="31"/>
        <v>500</v>
      </c>
    </row>
    <row r="23" spans="2:75" ht="13">
      <c r="B23" s="4" t="s">
        <v>60</v>
      </c>
      <c r="C23" s="79">
        <v>0</v>
      </c>
      <c r="D23" s="79">
        <v>0</v>
      </c>
      <c r="E23" s="79">
        <v>0</v>
      </c>
      <c r="F23" s="79">
        <v>0</v>
      </c>
      <c r="G23" s="773">
        <v>143143.33000000002</v>
      </c>
      <c r="H23" s="773">
        <v>350025.16499999998</v>
      </c>
      <c r="I23" s="773">
        <v>439229.05</v>
      </c>
      <c r="J23" s="773">
        <f>917139-446768</f>
        <v>470371</v>
      </c>
      <c r="K23" s="773">
        <v>0</v>
      </c>
      <c r="L23" s="773">
        <v>0</v>
      </c>
      <c r="M23" s="773">
        <v>0</v>
      </c>
      <c r="N23" s="773">
        <v>0</v>
      </c>
      <c r="O23" s="773">
        <v>0</v>
      </c>
      <c r="P23" s="773"/>
      <c r="Q23" s="773"/>
      <c r="R23" s="773"/>
      <c r="S23" s="773"/>
      <c r="T23" s="773"/>
      <c r="U23" s="773"/>
      <c r="V23" s="773"/>
      <c r="W23" s="773"/>
      <c r="X23" s="773"/>
      <c r="Y23" s="773"/>
      <c r="Z23" s="773"/>
      <c r="AA23" s="773"/>
      <c r="AB23" s="773"/>
      <c r="AC23" s="773"/>
      <c r="AD23" s="773"/>
      <c r="AE23" s="773"/>
      <c r="AF23" s="773"/>
      <c r="AG23" s="773"/>
      <c r="AH23" s="773"/>
      <c r="AI23" s="847">
        <v>0</v>
      </c>
      <c r="AJ23" s="847">
        <v>0</v>
      </c>
      <c r="AK23" s="847">
        <v>0</v>
      </c>
      <c r="AL23" s="847">
        <v>0</v>
      </c>
      <c r="AM23" s="847">
        <v>0</v>
      </c>
      <c r="AN23" s="847">
        <v>0</v>
      </c>
      <c r="AO23" s="847">
        <v>0</v>
      </c>
      <c r="AP23" s="847">
        <v>0</v>
      </c>
      <c r="AQ23" s="847">
        <v>0</v>
      </c>
      <c r="AS23" s="773">
        <f>M23/$AS$2</f>
        <v>0</v>
      </c>
      <c r="AT23" s="77">
        <f>N23/$AT$2</f>
        <v>0</v>
      </c>
      <c r="AU23" s="77">
        <f t="shared" ref="AU23:BD24" si="35">O23/AU$2</f>
        <v>0</v>
      </c>
      <c r="AV23" s="77">
        <f t="shared" si="35"/>
        <v>0</v>
      </c>
      <c r="AW23" s="77">
        <f t="shared" si="35"/>
        <v>0</v>
      </c>
      <c r="AX23" s="77">
        <f t="shared" si="35"/>
        <v>0</v>
      </c>
      <c r="AY23" s="77">
        <f t="shared" si="35"/>
        <v>0</v>
      </c>
      <c r="AZ23" s="77">
        <f t="shared" si="35"/>
        <v>0</v>
      </c>
      <c r="BA23" s="77">
        <f t="shared" si="35"/>
        <v>0</v>
      </c>
      <c r="BB23" s="77">
        <f t="shared" si="35"/>
        <v>0</v>
      </c>
      <c r="BC23" s="77">
        <f t="shared" si="35"/>
        <v>0</v>
      </c>
      <c r="BD23" s="77">
        <f t="shared" si="35"/>
        <v>0</v>
      </c>
      <c r="BE23" s="77">
        <f t="shared" ref="BE23:BK24" si="36">Y23/BE$2</f>
        <v>0</v>
      </c>
      <c r="BF23" s="77">
        <f t="shared" si="36"/>
        <v>0</v>
      </c>
      <c r="BG23" s="77">
        <f t="shared" si="36"/>
        <v>0</v>
      </c>
      <c r="BH23" s="77">
        <f t="shared" si="36"/>
        <v>0</v>
      </c>
      <c r="BI23" s="77">
        <f t="shared" si="36"/>
        <v>0</v>
      </c>
      <c r="BJ23" s="77">
        <f t="shared" si="36"/>
        <v>0</v>
      </c>
      <c r="BK23" s="77">
        <f t="shared" si="36"/>
        <v>0</v>
      </c>
      <c r="BL23" s="77">
        <f t="shared" si="21"/>
        <v>0</v>
      </c>
      <c r="BM23" s="77">
        <f t="shared" si="22"/>
        <v>0</v>
      </c>
      <c r="BN23" s="77">
        <f t="shared" si="23"/>
        <v>0</v>
      </c>
      <c r="BO23" s="77">
        <f t="shared" si="24"/>
        <v>0</v>
      </c>
      <c r="BP23" s="77">
        <f t="shared" si="25"/>
        <v>0</v>
      </c>
      <c r="BQ23" s="77">
        <f t="shared" si="26"/>
        <v>0</v>
      </c>
      <c r="BR23" s="77">
        <f t="shared" si="27"/>
        <v>0</v>
      </c>
      <c r="BS23" s="77">
        <f t="shared" si="28"/>
        <v>0</v>
      </c>
      <c r="BT23" s="77">
        <f t="shared" si="29"/>
        <v>0</v>
      </c>
      <c r="BU23" s="77">
        <f t="shared" si="30"/>
        <v>0</v>
      </c>
      <c r="BV23" s="77">
        <f t="shared" si="31"/>
        <v>0</v>
      </c>
      <c r="BW23" s="77">
        <f t="shared" si="31"/>
        <v>0</v>
      </c>
    </row>
    <row r="24" spans="2:75" ht="13">
      <c r="B24" s="4" t="s">
        <v>61</v>
      </c>
      <c r="C24" s="80">
        <v>616707</v>
      </c>
      <c r="D24" s="80">
        <v>690232</v>
      </c>
      <c r="E24" s="80">
        <v>667363</v>
      </c>
      <c r="F24" s="80">
        <v>759984</v>
      </c>
      <c r="G24" s="80">
        <v>663695.66999999993</v>
      </c>
      <c r="H24" s="80">
        <v>552652.83499999996</v>
      </c>
      <c r="I24" s="80">
        <v>566466.94999999995</v>
      </c>
      <c r="J24" s="80">
        <v>173879</v>
      </c>
      <c r="K24" s="80">
        <v>675912</v>
      </c>
      <c r="L24" s="80">
        <v>717464</v>
      </c>
      <c r="M24" s="80">
        <v>723122.93350000004</v>
      </c>
      <c r="N24" s="80">
        <v>770881.44550000003</v>
      </c>
      <c r="O24" s="80">
        <v>835802.28306927904</v>
      </c>
      <c r="P24" s="80">
        <v>642734.65515560203</v>
      </c>
      <c r="Q24" s="80">
        <v>625533.17276438104</v>
      </c>
      <c r="R24" s="80">
        <v>653879.14194969926</v>
      </c>
      <c r="S24" s="80">
        <v>637172.12489827001</v>
      </c>
      <c r="T24" s="80">
        <v>857839.47770599998</v>
      </c>
      <c r="U24" s="80">
        <v>947348.16776300035</v>
      </c>
      <c r="V24" s="80">
        <v>915867.05890000006</v>
      </c>
      <c r="W24" s="80">
        <v>890851.50401999988</v>
      </c>
      <c r="X24" s="80">
        <v>1085266.2804079996</v>
      </c>
      <c r="Y24" s="80">
        <v>1109022.0078039998</v>
      </c>
      <c r="Z24" s="80">
        <v>985437.313081956</v>
      </c>
      <c r="AA24" s="80">
        <v>983029.06040000007</v>
      </c>
      <c r="AB24" s="80">
        <v>1015645.7351267389</v>
      </c>
      <c r="AC24" s="80">
        <v>1279857.6585983071</v>
      </c>
      <c r="AD24" s="80">
        <v>1290213.7407803501</v>
      </c>
      <c r="AE24" s="80">
        <v>1276424.6912</v>
      </c>
      <c r="AF24" s="80">
        <v>1269218.1299999999</v>
      </c>
      <c r="AG24" s="80">
        <v>1194012.0252667952</v>
      </c>
      <c r="AH24" s="80">
        <v>1220414.1750200002</v>
      </c>
      <c r="AI24" s="80">
        <v>1144873.8714999999</v>
      </c>
      <c r="AJ24" s="80">
        <v>1047161.817849</v>
      </c>
      <c r="AK24" s="80">
        <v>1094797.8051160001</v>
      </c>
      <c r="AL24" s="80">
        <v>1040385.3986599999</v>
      </c>
      <c r="AM24" s="80">
        <v>1288775.5</v>
      </c>
      <c r="AN24" s="80">
        <v>1263525</v>
      </c>
      <c r="AO24" s="80">
        <v>1286387.75</v>
      </c>
      <c r="AP24" s="1161">
        <f>'Model '!BY$122-AP23-AP18-AP17-AP15-AP14-AP13-AP12-AP19-AP20-AP21-AP11-AP16-AP22</f>
        <v>1163314.25</v>
      </c>
      <c r="AQ24" s="1161">
        <f>'Model '!BZ$122-AQ23-AQ18-AQ17-AQ15-AQ14-AQ13-AQ12-AQ19-AQ20-AQ21-AQ11-AQ16-AQ22</f>
        <v>1097751.75</v>
      </c>
      <c r="AS24" s="80">
        <f>M24/$AS$2</f>
        <v>9975.4853566009115</v>
      </c>
      <c r="AT24" s="77">
        <f>N24/$AT$2</f>
        <v>11048.895592661604</v>
      </c>
      <c r="AU24" s="77">
        <f t="shared" si="35"/>
        <v>12085.053254327344</v>
      </c>
      <c r="AV24" s="77">
        <f t="shared" si="35"/>
        <v>9312.2957860852221</v>
      </c>
      <c r="AW24" s="77">
        <f t="shared" si="35"/>
        <v>8715.8028809304869</v>
      </c>
      <c r="AX24" s="77">
        <f t="shared" si="35"/>
        <v>9226.7843785896093</v>
      </c>
      <c r="AY24" s="77">
        <f t="shared" si="35"/>
        <v>8459.0289334581703</v>
      </c>
      <c r="AZ24" s="77">
        <f t="shared" si="35"/>
        <v>11360.80316183433</v>
      </c>
      <c r="BA24" s="77">
        <f t="shared" si="35"/>
        <v>12843.013131974132</v>
      </c>
      <c r="BB24" s="77">
        <f t="shared" si="35"/>
        <v>12544.405682783181</v>
      </c>
      <c r="BC24" s="77">
        <f t="shared" si="35"/>
        <v>12169.021931385872</v>
      </c>
      <c r="BD24" s="77">
        <f t="shared" si="35"/>
        <v>14592.482619817238</v>
      </c>
      <c r="BE24" s="77">
        <f t="shared" si="36"/>
        <v>14941.635919087727</v>
      </c>
      <c r="BF24" s="77">
        <f t="shared" si="36"/>
        <v>13233.208173848228</v>
      </c>
      <c r="BG24" s="77">
        <f t="shared" si="36"/>
        <v>13219.863641742873</v>
      </c>
      <c r="BH24" s="77">
        <f t="shared" si="36"/>
        <v>12869.30733814925</v>
      </c>
      <c r="BI24" s="77">
        <f t="shared" si="36"/>
        <v>15711.293239689017</v>
      </c>
      <c r="BJ24" s="77">
        <f t="shared" si="36"/>
        <v>15597.927158629424</v>
      </c>
      <c r="BK24" s="77">
        <f t="shared" si="36"/>
        <v>15550.983079922027</v>
      </c>
      <c r="BL24" s="77">
        <f t="shared" si="21"/>
        <v>15459.416930572472</v>
      </c>
      <c r="BM24" s="77">
        <f t="shared" si="22"/>
        <v>14378.757529706107</v>
      </c>
      <c r="BN24" s="77">
        <f t="shared" si="23"/>
        <v>14661.743134385741</v>
      </c>
      <c r="BO24" s="77">
        <f t="shared" si="24"/>
        <v>13735.739310137971</v>
      </c>
      <c r="BP24" s="77">
        <f t="shared" si="25"/>
        <v>12562.675518553175</v>
      </c>
      <c r="BQ24" s="77">
        <f t="shared" si="26"/>
        <v>13071.432214387203</v>
      </c>
      <c r="BR24" s="77">
        <f t="shared" si="27"/>
        <v>12160.569916777707</v>
      </c>
      <c r="BS24" s="77">
        <f t="shared" si="28"/>
        <v>15082.217671152721</v>
      </c>
      <c r="BT24" s="77">
        <f t="shared" si="29"/>
        <v>14743.582263710618</v>
      </c>
      <c r="BU24" s="77">
        <f t="shared" si="30"/>
        <v>14479.663105998357</v>
      </c>
      <c r="BV24" s="77">
        <f t="shared" si="31"/>
        <v>12944.267338741085</v>
      </c>
      <c r="BW24" s="77">
        <f t="shared" si="31"/>
        <v>11742.544258437183</v>
      </c>
    </row>
    <row r="25" spans="2:75" ht="13">
      <c r="B25" s="6" t="s">
        <v>62</v>
      </c>
      <c r="C25" s="82">
        <f t="shared" ref="C25:P25" si="37">C24+C8+C23+C12+C13+C14+C15+C17+C18+C19+C20</f>
        <v>616707</v>
      </c>
      <c r="D25" s="82">
        <f t="shared" si="37"/>
        <v>690232</v>
      </c>
      <c r="E25" s="82">
        <f t="shared" si="37"/>
        <v>667363</v>
      </c>
      <c r="F25" s="82">
        <f t="shared" si="37"/>
        <v>759984</v>
      </c>
      <c r="G25" s="82">
        <f t="shared" si="37"/>
        <v>806839</v>
      </c>
      <c r="H25" s="82">
        <f t="shared" si="37"/>
        <v>1004526</v>
      </c>
      <c r="I25" s="82">
        <f t="shared" si="37"/>
        <v>1074281</v>
      </c>
      <c r="J25" s="82">
        <f t="shared" si="37"/>
        <v>1062405.605602575</v>
      </c>
      <c r="K25" s="82">
        <f t="shared" si="37"/>
        <v>1141676</v>
      </c>
      <c r="L25" s="82">
        <f t="shared" si="37"/>
        <v>1202939</v>
      </c>
      <c r="M25" s="82">
        <f t="shared" si="37"/>
        <v>1284463.9297189869</v>
      </c>
      <c r="N25" s="82">
        <f t="shared" si="37"/>
        <v>1215776.8649815721</v>
      </c>
      <c r="O25" s="82">
        <f t="shared" si="37"/>
        <v>1257122.0815995252</v>
      </c>
      <c r="P25" s="82">
        <f t="shared" si="37"/>
        <v>1297779.2912892101</v>
      </c>
      <c r="Q25" s="82">
        <f>Q24+Q8+Q23+Q12+Q13+Q14+Q15+Q17+Q18+Q19+Q20+Q21</f>
        <v>1365791.067663484</v>
      </c>
      <c r="R25" s="82">
        <f>R24+R8+R23+R12+R13+R14+R15+R17+R18+R19+R20+R21+R11</f>
        <v>1461604.1932069343</v>
      </c>
      <c r="S25" s="82">
        <f>S24+S8+S23+S12+S13+S14+S15+S17+S18+S19+S20+S21+S11</f>
        <v>1479200.313589588</v>
      </c>
      <c r="T25" s="82">
        <f>T24+T8+T23+T12+T13+T14+T15+T17+T18+T19+T20</f>
        <v>1452838.545356195</v>
      </c>
      <c r="U25" s="82">
        <f>U24+U8+U23+U12+U13+U14+U15+U17+U18+U19+U20+U21</f>
        <v>1593730.6884700002</v>
      </c>
      <c r="V25" s="82">
        <f>V24+V8+V23+V12+V13+V14+V15+V17+V18+V19+V20+V21</f>
        <v>1579086</v>
      </c>
      <c r="W25" s="82">
        <f>W24+W8+W23+W12+W13+W14+W15+W17+W18+W19+W20+W21+W11</f>
        <v>1625790</v>
      </c>
      <c r="X25" s="82">
        <f>X24+X8+X23+X12+X13+X14+X15+X17+X18+X19+X20</f>
        <v>1686408</v>
      </c>
      <c r="Y25" s="82">
        <f>Y24+Y8+Y23+Y12+Y13+Y14+Y15+Y17+Y18+Y19+Y20+Y21</f>
        <v>1802022</v>
      </c>
      <c r="Z25" s="82">
        <f>Z24+Z8+Z23+Z12+Z13+Z14+Z15+Z17+Z18+Z19+Z20+Z21</f>
        <v>1682871.3913205219</v>
      </c>
      <c r="AA25" s="82">
        <f>AA24+AA8+AA23+AA12+AA13+AA14+AA15+AA17+AA18+AA19+AA20+AA21</f>
        <v>1695281</v>
      </c>
      <c r="AB25" s="82">
        <f>AB24+AB8+AB23+AB12+AB13+AB14+AB15+AB17+AB18+AB19+AB20</f>
        <v>1779197.1716298289</v>
      </c>
      <c r="AC25" s="82">
        <f>AC24+AC8+AC23+AC12+AC13+AC14+AC15+AC17+AC18+AC19+AC20+AC21</f>
        <v>2179015.0425397037</v>
      </c>
      <c r="AD25" s="82">
        <f>AD24+AD8+AD23+AD12+AD13+AD14+AD15+AD17+AD18+AD19+AD20+AD21</f>
        <v>2220546.2218100782</v>
      </c>
      <c r="AE25" s="82">
        <f>AE24+AE8+AE23+AE12+AE13+AE14+AE15+AE17+AE18+AE19+AE20+AE21</f>
        <v>2259697</v>
      </c>
      <c r="AF25" s="82">
        <f t="shared" ref="AF25:AK25" si="38">AF24+AF8+AF23+AF12+AF13+AF14+AF15+AF17+AF18+AF19+AF20+AF21+AF16+AF22+AF11</f>
        <v>2249319</v>
      </c>
      <c r="AG25" s="82">
        <f t="shared" si="38"/>
        <v>2173577.7867535958</v>
      </c>
      <c r="AH25" s="82">
        <f t="shared" si="38"/>
        <v>2185044.0000000005</v>
      </c>
      <c r="AI25" s="82">
        <f t="shared" si="38"/>
        <v>2149609</v>
      </c>
      <c r="AJ25" s="82">
        <f t="shared" si="38"/>
        <v>2089704.8348989999</v>
      </c>
      <c r="AK25" s="82">
        <f t="shared" si="38"/>
        <v>2256550.9061660003</v>
      </c>
      <c r="AL25" s="82">
        <f t="shared" ref="AL25:AQ25" si="39">AL24+AL8+AL23+AL12+AL13+AL14+AL15+AL17+AL18+AL19+AL20+AL21+AL16+AL22+AL11</f>
        <v>2047344</v>
      </c>
      <c r="AM25" s="82">
        <f t="shared" si="39"/>
        <v>2137431</v>
      </c>
      <c r="AN25" s="82">
        <f t="shared" si="39"/>
        <v>2034646</v>
      </c>
      <c r="AO25" s="82">
        <f t="shared" si="39"/>
        <v>2081152</v>
      </c>
      <c r="AP25" s="1162">
        <f t="shared" si="39"/>
        <v>1980042</v>
      </c>
      <c r="AQ25" s="1162">
        <f t="shared" si="39"/>
        <v>1955106</v>
      </c>
      <c r="AR25" s="63"/>
      <c r="AS25" s="82">
        <f>AS24+AS8+AS23+AS12+AS13+AS14+AS15+AS17+AS18+AS19+AS20</f>
        <v>17719.187884107974</v>
      </c>
      <c r="AT25" s="82">
        <f>AT24+AT8+AT23+AT12+AT13+AT14+AT15+AT17+AT18+AT19+AT20</f>
        <v>17425.496129877771</v>
      </c>
      <c r="AU25" s="82">
        <f>AU24+AU8+AU23+AU12+AU13+AU14+AU15+AU17+AU18+AU19+AU20</f>
        <v>18177.011012138886</v>
      </c>
      <c r="AV25" s="82">
        <f>AV24+AV8+AV23+AV12+AV13+AV14+AV15+AV17+AV18+AV19+AV20</f>
        <v>18802.945396830051</v>
      </c>
      <c r="AW25" s="82">
        <f t="shared" ref="AW25:BK25" si="40">AW24+AW8+AW23+AW12+AW13+AW14+AW15+AW17+AW18+AW19+AW20+AW21+AW11</f>
        <v>18281.111016629286</v>
      </c>
      <c r="AX25" s="82">
        <f t="shared" si="40"/>
        <v>20624.463868584811</v>
      </c>
      <c r="AY25" s="82">
        <f t="shared" si="40"/>
        <v>19637.705044037302</v>
      </c>
      <c r="AZ25" s="82">
        <f t="shared" si="40"/>
        <v>21240.677502806895</v>
      </c>
      <c r="BA25" s="82">
        <f t="shared" si="40"/>
        <v>22605.894070796341</v>
      </c>
      <c r="BB25" s="82">
        <f t="shared" si="40"/>
        <v>22628.35228050952</v>
      </c>
      <c r="BC25" s="82">
        <f t="shared" si="40"/>
        <v>22208.273855463649</v>
      </c>
      <c r="BD25" s="82">
        <f t="shared" si="40"/>
        <v>24675.429868390616</v>
      </c>
      <c r="BE25" s="82">
        <f t="shared" si="40"/>
        <v>25278.288846135187</v>
      </c>
      <c r="BF25" s="82">
        <f t="shared" si="40"/>
        <v>23598.887981529024</v>
      </c>
      <c r="BG25" s="82">
        <f t="shared" si="40"/>
        <v>23798.292092522857</v>
      </c>
      <c r="BH25" s="82">
        <f t="shared" si="40"/>
        <v>24544.31286910579</v>
      </c>
      <c r="BI25" s="82">
        <f t="shared" si="40"/>
        <v>27749.18111169399</v>
      </c>
      <c r="BJ25" s="82">
        <f t="shared" si="40"/>
        <v>27845.101028930909</v>
      </c>
      <c r="BK25" s="82">
        <f t="shared" si="40"/>
        <v>28530.421539961011</v>
      </c>
      <c r="BL25" s="82">
        <f t="shared" ref="BL25:BQ25" si="41">BL24+BL8+BL23+BL12+BL13+BL14+BL15+BL17+BL18+BL19+BL20+BL21+BL11+BL16+BL22</f>
        <v>27397.308160779536</v>
      </c>
      <c r="BM25" s="82">
        <f t="shared" si="41"/>
        <v>26175.069686339059</v>
      </c>
      <c r="BN25" s="82">
        <f t="shared" si="41"/>
        <v>26250.558639083112</v>
      </c>
      <c r="BO25" s="82">
        <f t="shared" si="41"/>
        <v>25790.149970005998</v>
      </c>
      <c r="BP25" s="82">
        <f t="shared" si="41"/>
        <v>25069.939834431047</v>
      </c>
      <c r="BQ25" s="82">
        <f t="shared" si="41"/>
        <v>26942.282922404636</v>
      </c>
      <c r="BR25" s="82">
        <f t="shared" ref="BR25:BW25" si="42">BR24+BR8+BR23+BR12+BR13+BR14+BR15+BR17+BR18+BR19+BR20+BR21+BR11+BR16+BR22</f>
        <v>23930.429903920329</v>
      </c>
      <c r="BS25" s="82">
        <f t="shared" si="42"/>
        <v>25013.820947922763</v>
      </c>
      <c r="BT25" s="82">
        <f t="shared" si="42"/>
        <v>23741.493582263709</v>
      </c>
      <c r="BU25" s="82">
        <f t="shared" si="42"/>
        <v>23425.580531511354</v>
      </c>
      <c r="BV25" s="82">
        <f t="shared" si="42"/>
        <v>22032.045932503257</v>
      </c>
      <c r="BW25" s="82">
        <f t="shared" si="42"/>
        <v>20913.579718671444</v>
      </c>
    </row>
    <row r="26" spans="2:75" ht="13">
      <c r="B26" s="4" t="s">
        <v>63</v>
      </c>
      <c r="C26" s="83">
        <v>17195</v>
      </c>
      <c r="D26" s="83">
        <v>39838</v>
      </c>
      <c r="E26" s="83">
        <v>83796</v>
      </c>
      <c r="F26" s="83">
        <v>154568</v>
      </c>
      <c r="G26" s="83">
        <v>138422</v>
      </c>
      <c r="H26" s="83">
        <v>111547</v>
      </c>
      <c r="I26" s="83">
        <v>103733</v>
      </c>
      <c r="J26" s="83">
        <v>96877</v>
      </c>
      <c r="K26" s="83">
        <v>120593</v>
      </c>
      <c r="L26" s="83">
        <v>123793</v>
      </c>
      <c r="M26" s="83">
        <v>100117</v>
      </c>
      <c r="N26" s="83">
        <v>102809</v>
      </c>
      <c r="O26" s="83">
        <v>127222.84951266901</v>
      </c>
      <c r="P26" s="83">
        <v>131321.27132851499</v>
      </c>
      <c r="Q26" s="83">
        <v>184726.072866659</v>
      </c>
      <c r="R26" s="83">
        <v>312410.696144938</v>
      </c>
      <c r="S26" s="83">
        <v>290610</v>
      </c>
      <c r="T26" s="83">
        <v>287434</v>
      </c>
      <c r="U26" s="83">
        <v>215313.8707</v>
      </c>
      <c r="V26" s="83">
        <v>104704</v>
      </c>
      <c r="W26" s="83">
        <v>140713</v>
      </c>
      <c r="X26" s="83">
        <v>90187</v>
      </c>
      <c r="Y26" s="83">
        <v>139629</v>
      </c>
      <c r="Z26" s="83">
        <v>91451.101451956012</v>
      </c>
      <c r="AA26" s="83">
        <v>92208</v>
      </c>
      <c r="AB26" s="83">
        <v>106002.16907555901</v>
      </c>
      <c r="AC26" s="83">
        <v>82596.571418306994</v>
      </c>
      <c r="AD26" s="83">
        <v>123235.18665034999</v>
      </c>
      <c r="AE26" s="83">
        <v>128434</v>
      </c>
      <c r="AF26" s="83">
        <v>172029</v>
      </c>
      <c r="AG26" s="83">
        <v>103420.16606679501</v>
      </c>
      <c r="AH26" s="83">
        <v>164342</v>
      </c>
      <c r="AI26" s="83">
        <v>103147</v>
      </c>
      <c r="AJ26" s="83">
        <v>63902.834899000001</v>
      </c>
      <c r="AK26" s="83">
        <v>54165.906166000001</v>
      </c>
      <c r="AL26" s="83">
        <v>81257</v>
      </c>
      <c r="AM26" s="83">
        <v>99047</v>
      </c>
      <c r="AN26" s="83">
        <v>118852</v>
      </c>
      <c r="AO26" s="83">
        <v>134021</v>
      </c>
      <c r="AP26" s="1163">
        <f>'Model '!BY$128</f>
        <v>153836</v>
      </c>
      <c r="AQ26" s="1163">
        <f>'Model '!BZ$128</f>
        <v>307218</v>
      </c>
      <c r="AR26" s="63"/>
      <c r="AS26" s="774">
        <f>M26/$AS$2</f>
        <v>1381.1146365015866</v>
      </c>
      <c r="AT26" s="77">
        <f>N26/$AT$2</f>
        <v>1473.5416368066506</v>
      </c>
      <c r="AU26" s="77">
        <f t="shared" ref="AU26:BW26" si="43">O26/AU$2</f>
        <v>1839.5438044052778</v>
      </c>
      <c r="AV26" s="77">
        <f t="shared" si="43"/>
        <v>1902.655336547595</v>
      </c>
      <c r="AW26" s="77">
        <f t="shared" si="43"/>
        <v>2573.8619599645954</v>
      </c>
      <c r="AX26" s="77">
        <f t="shared" si="43"/>
        <v>4408.3775516977175</v>
      </c>
      <c r="AY26" s="77">
        <f t="shared" si="43"/>
        <v>3858.1072559393024</v>
      </c>
      <c r="AZ26" s="77">
        <f t="shared" si="43"/>
        <v>3806.6342024164101</v>
      </c>
      <c r="BA26" s="77">
        <f t="shared" si="43"/>
        <v>2918.9678757979873</v>
      </c>
      <c r="BB26" s="77">
        <f t="shared" si="43"/>
        <v>1434.104917134639</v>
      </c>
      <c r="BC26" s="77">
        <f t="shared" si="43"/>
        <v>1922.1380615109313</v>
      </c>
      <c r="BD26" s="77">
        <f t="shared" si="43"/>
        <v>1212.6537549279565</v>
      </c>
      <c r="BE26" s="77">
        <f t="shared" si="43"/>
        <v>1881.1941215462466</v>
      </c>
      <c r="BF26" s="77">
        <f t="shared" si="43"/>
        <v>1228.0755428841771</v>
      </c>
      <c r="BG26" s="77">
        <f t="shared" si="43"/>
        <v>1240.0215169445939</v>
      </c>
      <c r="BH26" s="77">
        <f t="shared" si="43"/>
        <v>1343.1597703441334</v>
      </c>
      <c r="BI26" s="77">
        <f t="shared" si="43"/>
        <v>1013.9400623403469</v>
      </c>
      <c r="BJ26" s="77">
        <f t="shared" si="43"/>
        <v>1489.8411046139245</v>
      </c>
      <c r="BK26" s="77">
        <f t="shared" si="43"/>
        <v>1564.7417153996103</v>
      </c>
      <c r="BL26" s="77">
        <f t="shared" si="43"/>
        <v>2095.359317904994</v>
      </c>
      <c r="BM26" s="77">
        <f t="shared" si="43"/>
        <v>1245.4258919411729</v>
      </c>
      <c r="BN26" s="77">
        <f t="shared" si="43"/>
        <v>1974.3626708955044</v>
      </c>
      <c r="BO26" s="77">
        <f t="shared" si="43"/>
        <v>1237.5164967006599</v>
      </c>
      <c r="BP26" s="77">
        <f t="shared" si="43"/>
        <v>766.63469376762043</v>
      </c>
      <c r="BQ26" s="77">
        <f t="shared" si="43"/>
        <v>646.71847849083645</v>
      </c>
      <c r="BR26" s="77">
        <f t="shared" si="43"/>
        <v>949.77441148280616</v>
      </c>
      <c r="BS26" s="77">
        <f t="shared" si="43"/>
        <v>1159.1222937390287</v>
      </c>
      <c r="BT26" s="77">
        <f t="shared" si="43"/>
        <v>1386.83780630105</v>
      </c>
      <c r="BU26" s="77">
        <f t="shared" si="43"/>
        <v>1508.5489807633865</v>
      </c>
      <c r="BV26" s="77">
        <f t="shared" si="43"/>
        <v>1711.7423863092656</v>
      </c>
      <c r="BW26" s="77">
        <f t="shared" si="43"/>
        <v>3286.281221586351</v>
      </c>
    </row>
    <row r="27" spans="2:75" ht="13">
      <c r="B27" s="6" t="s">
        <v>64</v>
      </c>
      <c r="C27" s="84">
        <f t="shared" ref="C27:J27" si="44">C25-C26</f>
        <v>599512</v>
      </c>
      <c r="D27" s="84">
        <f t="shared" si="44"/>
        <v>650394</v>
      </c>
      <c r="E27" s="84">
        <f t="shared" si="44"/>
        <v>583567</v>
      </c>
      <c r="F27" s="84">
        <f t="shared" si="44"/>
        <v>605416</v>
      </c>
      <c r="G27" s="84">
        <f t="shared" si="44"/>
        <v>668417</v>
      </c>
      <c r="H27" s="84">
        <f t="shared" si="44"/>
        <v>892979</v>
      </c>
      <c r="I27" s="84">
        <f t="shared" si="44"/>
        <v>970548</v>
      </c>
      <c r="J27" s="84">
        <f t="shared" si="44"/>
        <v>965528.605602575</v>
      </c>
      <c r="K27" s="84">
        <f t="shared" ref="K27:P27" si="45">K25-K26</f>
        <v>1021083</v>
      </c>
      <c r="L27" s="84">
        <f t="shared" si="45"/>
        <v>1079146</v>
      </c>
      <c r="M27" s="84">
        <f t="shared" si="45"/>
        <v>1184346.9297189869</v>
      </c>
      <c r="N27" s="84">
        <f t="shared" si="45"/>
        <v>1112967.8649815721</v>
      </c>
      <c r="O27" s="84">
        <f t="shared" si="45"/>
        <v>1129899.2320868562</v>
      </c>
      <c r="P27" s="84">
        <f t="shared" si="45"/>
        <v>1166458.0199606952</v>
      </c>
      <c r="Q27" s="84">
        <f t="shared" ref="Q27:V27" si="46">Q25-Q26</f>
        <v>1181064.9947968251</v>
      </c>
      <c r="R27" s="84">
        <f t="shared" si="46"/>
        <v>1149193.4970619963</v>
      </c>
      <c r="S27" s="84">
        <f t="shared" si="46"/>
        <v>1188590.313589588</v>
      </c>
      <c r="T27" s="84">
        <f t="shared" si="46"/>
        <v>1165404.545356195</v>
      </c>
      <c r="U27" s="84">
        <f t="shared" si="46"/>
        <v>1378416.8177700001</v>
      </c>
      <c r="V27" s="84">
        <f t="shared" si="46"/>
        <v>1474382</v>
      </c>
      <c r="W27" s="84">
        <f t="shared" ref="W27:AC27" si="47">W25-W26</f>
        <v>1485077</v>
      </c>
      <c r="X27" s="84">
        <f t="shared" si="47"/>
        <v>1596221</v>
      </c>
      <c r="Y27" s="84">
        <f t="shared" si="47"/>
        <v>1662393</v>
      </c>
      <c r="Z27" s="84">
        <f t="shared" si="47"/>
        <v>1591420.289868566</v>
      </c>
      <c r="AA27" s="84">
        <f t="shared" si="47"/>
        <v>1603073</v>
      </c>
      <c r="AB27" s="84">
        <f t="shared" si="47"/>
        <v>1673195.00255427</v>
      </c>
      <c r="AC27" s="84">
        <f t="shared" si="47"/>
        <v>2096418.4711213966</v>
      </c>
      <c r="AD27" s="84">
        <f t="shared" ref="AD27:AI27" si="48">AD25-AD26</f>
        <v>2097311.0351597285</v>
      </c>
      <c r="AE27" s="84">
        <f t="shared" si="48"/>
        <v>2131263</v>
      </c>
      <c r="AF27" s="84">
        <f t="shared" si="48"/>
        <v>2077290</v>
      </c>
      <c r="AG27" s="84">
        <f t="shared" si="48"/>
        <v>2070157.6206868007</v>
      </c>
      <c r="AH27" s="84">
        <f t="shared" si="48"/>
        <v>2020702.0000000005</v>
      </c>
      <c r="AI27" s="84">
        <f t="shared" si="48"/>
        <v>2046462</v>
      </c>
      <c r="AJ27" s="84">
        <f t="shared" ref="AJ27:AO27" si="49">AJ25-AJ26</f>
        <v>2025802</v>
      </c>
      <c r="AK27" s="84">
        <f t="shared" si="49"/>
        <v>2202385.0000000005</v>
      </c>
      <c r="AL27" s="84">
        <f t="shared" si="49"/>
        <v>1966087</v>
      </c>
      <c r="AM27" s="84">
        <f t="shared" si="49"/>
        <v>2038384</v>
      </c>
      <c r="AN27" s="84">
        <f t="shared" si="49"/>
        <v>1915794</v>
      </c>
      <c r="AO27" s="84">
        <f t="shared" si="49"/>
        <v>1947131</v>
      </c>
      <c r="AP27" s="1164">
        <f>AP25-AP26</f>
        <v>1826206</v>
      </c>
      <c r="AQ27" s="1164">
        <f>AQ25-AQ26</f>
        <v>1647888</v>
      </c>
      <c r="AR27" s="63"/>
      <c r="AS27" s="84">
        <f t="shared" ref="AS27:AX27" si="50">AS25-AS26</f>
        <v>16338.073247606388</v>
      </c>
      <c r="AT27" s="84">
        <f t="shared" si="50"/>
        <v>15951.95449307112</v>
      </c>
      <c r="AU27" s="84">
        <f t="shared" si="50"/>
        <v>16337.467207733609</v>
      </c>
      <c r="AV27" s="84">
        <f t="shared" si="50"/>
        <v>16900.290060282456</v>
      </c>
      <c r="AW27" s="84">
        <f t="shared" si="50"/>
        <v>15707.24905666469</v>
      </c>
      <c r="AX27" s="84">
        <f t="shared" si="50"/>
        <v>16216.086316887093</v>
      </c>
      <c r="AY27" s="84">
        <f t="shared" ref="AY27:BE27" si="51">AY25-AY26</f>
        <v>15779.597788097999</v>
      </c>
      <c r="AZ27" s="84">
        <f t="shared" si="51"/>
        <v>17434.043300390484</v>
      </c>
      <c r="BA27" s="84">
        <f t="shared" si="51"/>
        <v>19686.926194998356</v>
      </c>
      <c r="BB27" s="84">
        <f t="shared" si="51"/>
        <v>21194.247363374881</v>
      </c>
      <c r="BC27" s="84">
        <f t="shared" si="51"/>
        <v>20286.135793952719</v>
      </c>
      <c r="BD27" s="84">
        <f t="shared" si="51"/>
        <v>23462.77611346266</v>
      </c>
      <c r="BE27" s="84">
        <f t="shared" si="51"/>
        <v>23397.09472458894</v>
      </c>
      <c r="BF27" s="84">
        <f t="shared" ref="BF27:BK27" si="52">BF25-BF26</f>
        <v>22370.812438644847</v>
      </c>
      <c r="BG27" s="84">
        <f t="shared" si="52"/>
        <v>22558.270575578263</v>
      </c>
      <c r="BH27" s="84">
        <f t="shared" si="52"/>
        <v>23201.153098761657</v>
      </c>
      <c r="BI27" s="84">
        <f t="shared" si="52"/>
        <v>26735.241049353644</v>
      </c>
      <c r="BJ27" s="84">
        <f t="shared" si="52"/>
        <v>26355.259924316983</v>
      </c>
      <c r="BK27" s="84">
        <f t="shared" si="52"/>
        <v>26965.679824561401</v>
      </c>
      <c r="BL27" s="84">
        <f t="shared" ref="BL27:BQ27" si="53">BL25-BL26</f>
        <v>25301.948842874543</v>
      </c>
      <c r="BM27" s="84">
        <f t="shared" si="53"/>
        <v>24929.643794397885</v>
      </c>
      <c r="BN27" s="84">
        <f t="shared" si="53"/>
        <v>24276.195968187607</v>
      </c>
      <c r="BO27" s="84">
        <f t="shared" si="53"/>
        <v>24552.633473305337</v>
      </c>
      <c r="BP27" s="84">
        <f t="shared" si="53"/>
        <v>24303.305140663426</v>
      </c>
      <c r="BQ27" s="84">
        <f t="shared" si="53"/>
        <v>26295.564443913801</v>
      </c>
      <c r="BR27" s="84">
        <f t="shared" ref="BR27:BW27" si="54">BR25-BR26</f>
        <v>22980.655492437523</v>
      </c>
      <c r="BS27" s="84">
        <f t="shared" si="54"/>
        <v>23854.698654183732</v>
      </c>
      <c r="BT27" s="84">
        <f t="shared" si="54"/>
        <v>22354.655775962659</v>
      </c>
      <c r="BU27" s="84">
        <f t="shared" si="54"/>
        <v>21917.031550747968</v>
      </c>
      <c r="BV27" s="84">
        <f t="shared" si="54"/>
        <v>20320.303546193991</v>
      </c>
      <c r="BW27" s="84">
        <f t="shared" si="54"/>
        <v>17627.298497085092</v>
      </c>
    </row>
    <row r="28" spans="2:75" ht="13">
      <c r="B28" s="4" t="s">
        <v>65</v>
      </c>
      <c r="C28" s="83">
        <v>516231</v>
      </c>
      <c r="D28" s="83">
        <v>533808</v>
      </c>
      <c r="E28" s="83">
        <v>544102.68405500008</v>
      </c>
      <c r="F28" s="83">
        <v>639662</v>
      </c>
      <c r="G28" s="83">
        <v>668088.74298099999</v>
      </c>
      <c r="H28" s="83">
        <v>722674</v>
      </c>
      <c r="I28" s="83">
        <v>743313</v>
      </c>
      <c r="J28" s="83">
        <v>799768.57497099997</v>
      </c>
      <c r="K28" s="83">
        <v>783483</v>
      </c>
      <c r="L28" s="83">
        <v>784887</v>
      </c>
      <c r="M28" s="83">
        <v>763996</v>
      </c>
      <c r="N28" s="83">
        <v>832059</v>
      </c>
      <c r="O28" s="83">
        <v>849480</v>
      </c>
      <c r="P28" s="83">
        <v>1040449</v>
      </c>
      <c r="Q28" s="83">
        <v>870149</v>
      </c>
      <c r="R28" s="83">
        <v>911205</v>
      </c>
      <c r="S28" s="83">
        <v>1021295</v>
      </c>
      <c r="T28" s="83">
        <v>858446</v>
      </c>
      <c r="U28" s="83">
        <v>842970</v>
      </c>
      <c r="V28" s="83">
        <v>778411</v>
      </c>
      <c r="W28" s="83">
        <v>812266</v>
      </c>
      <c r="X28" s="83">
        <v>820943</v>
      </c>
      <c r="Y28" s="83">
        <v>835516</v>
      </c>
      <c r="Z28" s="83">
        <v>887636</v>
      </c>
      <c r="AA28" s="83">
        <v>919350</v>
      </c>
      <c r="AB28" s="83">
        <v>946108</v>
      </c>
      <c r="AC28" s="83">
        <v>1005595</v>
      </c>
      <c r="AD28" s="83">
        <v>1021997.91</v>
      </c>
      <c r="AE28" s="83">
        <v>1064443</v>
      </c>
      <c r="AF28" s="83">
        <v>1030533</v>
      </c>
      <c r="AG28" s="83">
        <v>1034092</v>
      </c>
      <c r="AH28" s="83">
        <v>1035469</v>
      </c>
      <c r="AI28" s="83">
        <v>1055639</v>
      </c>
      <c r="AJ28" s="83">
        <v>1120335</v>
      </c>
      <c r="AK28" s="83">
        <v>1103030</v>
      </c>
      <c r="AL28" s="83">
        <v>1514323</v>
      </c>
      <c r="AM28" s="83">
        <v>1534677</v>
      </c>
      <c r="AN28" s="83">
        <v>1607482</v>
      </c>
      <c r="AO28" s="83">
        <v>1603540</v>
      </c>
      <c r="AP28" s="1163">
        <f>'Model '!BY$133</f>
        <v>1690131</v>
      </c>
      <c r="AQ28" s="1163">
        <f>'Model '!BZ$133</f>
        <v>1959634</v>
      </c>
      <c r="AR28" s="63"/>
      <c r="AS28" s="774">
        <f>M28/$AS$2</f>
        <v>10539.329562698304</v>
      </c>
      <c r="AT28" s="77">
        <f>N28/$AT$2</f>
        <v>11925.741722803497</v>
      </c>
      <c r="AU28" s="77">
        <f t="shared" ref="AU28:BW28" si="55">O28/AU$2</f>
        <v>12282.822440717178</v>
      </c>
      <c r="AV28" s="77">
        <f t="shared" si="55"/>
        <v>15074.601564763838</v>
      </c>
      <c r="AW28" s="77">
        <f t="shared" si="55"/>
        <v>12124.132645952348</v>
      </c>
      <c r="AX28" s="77">
        <f t="shared" si="55"/>
        <v>12857.868557519312</v>
      </c>
      <c r="AY28" s="77">
        <f t="shared" si="55"/>
        <v>13558.603110541722</v>
      </c>
      <c r="AZ28" s="77">
        <f t="shared" si="55"/>
        <v>11368.835644104585</v>
      </c>
      <c r="BA28" s="77">
        <f t="shared" si="55"/>
        <v>11427.978802581758</v>
      </c>
      <c r="BB28" s="77">
        <f t="shared" si="55"/>
        <v>10661.703876181344</v>
      </c>
      <c r="BC28" s="77">
        <f t="shared" si="55"/>
        <v>11095.544794519612</v>
      </c>
      <c r="BD28" s="77">
        <f t="shared" si="55"/>
        <v>11038.393687913129</v>
      </c>
      <c r="BE28" s="77">
        <f t="shared" si="55"/>
        <v>11256.743138301024</v>
      </c>
      <c r="BF28" s="77">
        <f t="shared" si="55"/>
        <v>11919.857117918003</v>
      </c>
      <c r="BG28" s="77">
        <f t="shared" si="55"/>
        <v>12363.501882732651</v>
      </c>
      <c r="BH28" s="77">
        <f t="shared" si="55"/>
        <v>11988.190572731881</v>
      </c>
      <c r="BI28" s="77">
        <f t="shared" si="55"/>
        <v>12344.496139256822</v>
      </c>
      <c r="BJ28" s="77">
        <f t="shared" si="55"/>
        <v>12355.355126515711</v>
      </c>
      <c r="BK28" s="77">
        <f t="shared" si="55"/>
        <v>12968.360136452242</v>
      </c>
      <c r="BL28" s="77">
        <f t="shared" si="55"/>
        <v>12552.16808769793</v>
      </c>
      <c r="BM28" s="77">
        <f t="shared" si="55"/>
        <v>12452.938342967243</v>
      </c>
      <c r="BN28" s="77">
        <f t="shared" si="55"/>
        <v>12439.859198923568</v>
      </c>
      <c r="BO28" s="77">
        <f t="shared" si="55"/>
        <v>12665.134973005399</v>
      </c>
      <c r="BP28" s="77">
        <f t="shared" si="55"/>
        <v>13440.525463379521</v>
      </c>
      <c r="BQ28" s="77">
        <f t="shared" si="55"/>
        <v>13169.72121067399</v>
      </c>
      <c r="BR28" s="77">
        <f t="shared" si="55"/>
        <v>17700.201042616358</v>
      </c>
      <c r="BS28" s="77">
        <f t="shared" si="55"/>
        <v>17959.941486249267</v>
      </c>
      <c r="BT28" s="77">
        <f t="shared" si="55"/>
        <v>18757.082847141188</v>
      </c>
      <c r="BU28" s="77">
        <f t="shared" si="55"/>
        <v>18049.549194628606</v>
      </c>
      <c r="BV28" s="77">
        <f t="shared" si="55"/>
        <v>18806.188870714694</v>
      </c>
      <c r="BW28" s="77">
        <f t="shared" si="55"/>
        <v>20962.015296571644</v>
      </c>
    </row>
    <row r="29" spans="2:75" ht="13">
      <c r="B29" s="6" t="s">
        <v>66</v>
      </c>
      <c r="C29" s="84">
        <f t="shared" ref="C29:J29" si="56">C27+C28</f>
        <v>1115743</v>
      </c>
      <c r="D29" s="84">
        <f t="shared" si="56"/>
        <v>1184202</v>
      </c>
      <c r="E29" s="84">
        <f t="shared" si="56"/>
        <v>1127669.6840550001</v>
      </c>
      <c r="F29" s="84">
        <f t="shared" si="56"/>
        <v>1245078</v>
      </c>
      <c r="G29" s="84">
        <f t="shared" si="56"/>
        <v>1336505.7429809999</v>
      </c>
      <c r="H29" s="84">
        <f t="shared" si="56"/>
        <v>1615653</v>
      </c>
      <c r="I29" s="84">
        <f t="shared" si="56"/>
        <v>1713861</v>
      </c>
      <c r="J29" s="84">
        <f t="shared" si="56"/>
        <v>1765297.180573575</v>
      </c>
      <c r="K29" s="84">
        <f t="shared" ref="K29:P29" si="57">K27+K28</f>
        <v>1804566</v>
      </c>
      <c r="L29" s="84">
        <f t="shared" si="57"/>
        <v>1864033</v>
      </c>
      <c r="M29" s="84">
        <f t="shared" si="57"/>
        <v>1948342.9297189869</v>
      </c>
      <c r="N29" s="84">
        <f t="shared" si="57"/>
        <v>1945026.8649815721</v>
      </c>
      <c r="O29" s="84">
        <f t="shared" si="57"/>
        <v>1979379.2320868562</v>
      </c>
      <c r="P29" s="84">
        <f t="shared" si="57"/>
        <v>2206907.0199606949</v>
      </c>
      <c r="Q29" s="84">
        <f t="shared" ref="Q29:V29" si="58">Q27+Q28</f>
        <v>2051213.9947968251</v>
      </c>
      <c r="R29" s="84">
        <f t="shared" si="58"/>
        <v>2060398.4970619963</v>
      </c>
      <c r="S29" s="84">
        <f t="shared" si="58"/>
        <v>2209885.3135895878</v>
      </c>
      <c r="T29" s="84">
        <f t="shared" si="58"/>
        <v>2023850.545356195</v>
      </c>
      <c r="U29" s="84">
        <f t="shared" si="58"/>
        <v>2221386.8177700001</v>
      </c>
      <c r="V29" s="84">
        <f t="shared" si="58"/>
        <v>2252793</v>
      </c>
      <c r="W29" s="84">
        <f t="shared" ref="W29:AC29" si="59">W27+W28</f>
        <v>2297343</v>
      </c>
      <c r="X29" s="84">
        <f t="shared" si="59"/>
        <v>2417164</v>
      </c>
      <c r="Y29" s="84">
        <f t="shared" si="59"/>
        <v>2497909</v>
      </c>
      <c r="Z29" s="84">
        <f t="shared" si="59"/>
        <v>2479056.2898685662</v>
      </c>
      <c r="AA29" s="84">
        <f t="shared" si="59"/>
        <v>2522423</v>
      </c>
      <c r="AB29" s="84">
        <f t="shared" si="59"/>
        <v>2619303.00255427</v>
      </c>
      <c r="AC29" s="84">
        <f t="shared" si="59"/>
        <v>3102013.4711213969</v>
      </c>
      <c r="AD29" s="84">
        <f t="shared" ref="AD29:AI29" si="60">AD27+AD28</f>
        <v>3119308.9451597286</v>
      </c>
      <c r="AE29" s="84">
        <f t="shared" si="60"/>
        <v>3195706</v>
      </c>
      <c r="AF29" s="84">
        <f t="shared" si="60"/>
        <v>3107823</v>
      </c>
      <c r="AG29" s="84">
        <f t="shared" si="60"/>
        <v>3104249.6206868007</v>
      </c>
      <c r="AH29" s="84">
        <f t="shared" si="60"/>
        <v>3056171.0000000005</v>
      </c>
      <c r="AI29" s="84">
        <f t="shared" si="60"/>
        <v>3102101</v>
      </c>
      <c r="AJ29" s="84">
        <f t="shared" ref="AJ29:AO29" si="61">AJ27+AJ28</f>
        <v>3146137</v>
      </c>
      <c r="AK29" s="84">
        <f t="shared" si="61"/>
        <v>3305415.0000000005</v>
      </c>
      <c r="AL29" s="84">
        <f t="shared" si="61"/>
        <v>3480410</v>
      </c>
      <c r="AM29" s="84">
        <f t="shared" si="61"/>
        <v>3573061</v>
      </c>
      <c r="AN29" s="84">
        <f t="shared" si="61"/>
        <v>3523276</v>
      </c>
      <c r="AO29" s="84">
        <f t="shared" si="61"/>
        <v>3550671</v>
      </c>
      <c r="AP29" s="1164">
        <f>AP27+AP28</f>
        <v>3516337</v>
      </c>
      <c r="AQ29" s="1164">
        <f>AQ27+AQ28</f>
        <v>3607522</v>
      </c>
      <c r="AR29" s="63"/>
      <c r="AS29" s="84">
        <f t="shared" ref="AS29:AX29" si="62">AS27+AS28</f>
        <v>26877.402810304691</v>
      </c>
      <c r="AT29" s="84">
        <f t="shared" si="62"/>
        <v>27877.696215874617</v>
      </c>
      <c r="AU29" s="84">
        <f t="shared" si="62"/>
        <v>28620.289648450787</v>
      </c>
      <c r="AV29" s="84">
        <f t="shared" si="62"/>
        <v>31974.891625046293</v>
      </c>
      <c r="AW29" s="84">
        <f t="shared" si="62"/>
        <v>27831.381702617036</v>
      </c>
      <c r="AX29" s="84">
        <f t="shared" si="62"/>
        <v>29073.954874406405</v>
      </c>
      <c r="AY29" s="84">
        <f t="shared" ref="AY29:BE29" si="63">AY27+AY28</f>
        <v>29338.20089863972</v>
      </c>
      <c r="AZ29" s="84">
        <f t="shared" si="63"/>
        <v>28802.878944495067</v>
      </c>
      <c r="BA29" s="84">
        <f t="shared" si="63"/>
        <v>31114.904997580114</v>
      </c>
      <c r="BB29" s="84">
        <f t="shared" si="63"/>
        <v>31855.951239556227</v>
      </c>
      <c r="BC29" s="84">
        <f t="shared" si="63"/>
        <v>31381.680588472329</v>
      </c>
      <c r="BD29" s="84">
        <f t="shared" si="63"/>
        <v>34501.169801375785</v>
      </c>
      <c r="BE29" s="84">
        <f t="shared" si="63"/>
        <v>34653.837862889966</v>
      </c>
      <c r="BF29" s="84">
        <f t="shared" ref="BF29:BK29" si="64">BF27+BF28</f>
        <v>34290.669556562847</v>
      </c>
      <c r="BG29" s="84">
        <f t="shared" si="64"/>
        <v>34921.772458310916</v>
      </c>
      <c r="BH29" s="84">
        <f t="shared" si="64"/>
        <v>35189.343671493538</v>
      </c>
      <c r="BI29" s="84">
        <f t="shared" si="64"/>
        <v>39079.737188610467</v>
      </c>
      <c r="BJ29" s="84">
        <f t="shared" si="64"/>
        <v>38710.615050832697</v>
      </c>
      <c r="BK29" s="84">
        <f t="shared" si="64"/>
        <v>39934.039961013645</v>
      </c>
      <c r="BL29" s="84">
        <f t="shared" ref="BL29:BQ29" si="65">BL27+BL28</f>
        <v>37854.116930572476</v>
      </c>
      <c r="BM29" s="84">
        <f t="shared" si="65"/>
        <v>37382.582137365127</v>
      </c>
      <c r="BN29" s="84">
        <f t="shared" si="65"/>
        <v>36716.055167111175</v>
      </c>
      <c r="BO29" s="84">
        <f t="shared" si="65"/>
        <v>37217.768446310736</v>
      </c>
      <c r="BP29" s="84">
        <f t="shared" si="65"/>
        <v>37743.830604042945</v>
      </c>
      <c r="BQ29" s="84">
        <f t="shared" si="65"/>
        <v>39465.285654587788</v>
      </c>
      <c r="BR29" s="84">
        <f t="shared" ref="BR29:BW29" si="66">BR27+BR28</f>
        <v>40680.856535053885</v>
      </c>
      <c r="BS29" s="84">
        <f t="shared" si="66"/>
        <v>41814.640140432995</v>
      </c>
      <c r="BT29" s="84">
        <f t="shared" si="66"/>
        <v>41111.738623103847</v>
      </c>
      <c r="BU29" s="84">
        <f t="shared" si="66"/>
        <v>39966.580745376574</v>
      </c>
      <c r="BV29" s="84">
        <f t="shared" si="66"/>
        <v>39126.492416908688</v>
      </c>
      <c r="BW29" s="84">
        <f t="shared" si="66"/>
        <v>38589.313793656736</v>
      </c>
    </row>
    <row r="30" spans="2:75" ht="13">
      <c r="B30" s="4" t="s">
        <v>67</v>
      </c>
      <c r="C30" s="85">
        <v>200718</v>
      </c>
      <c r="D30" s="85">
        <v>222533</v>
      </c>
      <c r="E30" s="85">
        <v>233340</v>
      </c>
      <c r="F30" s="85">
        <v>278430</v>
      </c>
      <c r="G30" s="85">
        <v>314517</v>
      </c>
      <c r="H30" s="85">
        <v>341682</v>
      </c>
      <c r="I30" s="85">
        <v>356208</v>
      </c>
      <c r="J30" s="85">
        <v>314066.8102682376</v>
      </c>
      <c r="K30" s="85">
        <v>304479</v>
      </c>
      <c r="L30" s="85">
        <v>294618.39482265804</v>
      </c>
      <c r="M30" s="85">
        <v>278014.61567325512</v>
      </c>
      <c r="N30" s="85">
        <v>265212.61567325512</v>
      </c>
      <c r="O30" s="85">
        <v>262937</v>
      </c>
      <c r="P30" s="85">
        <v>339705.60504927469</v>
      </c>
      <c r="Q30" s="85">
        <v>357450.12346552359</v>
      </c>
      <c r="R30" s="85">
        <v>374003.88661909563</v>
      </c>
      <c r="S30" s="85">
        <v>371053</v>
      </c>
      <c r="T30" s="85">
        <v>425568</v>
      </c>
      <c r="U30" s="85">
        <v>473932</v>
      </c>
      <c r="V30" s="85">
        <v>487108</v>
      </c>
      <c r="W30" s="85">
        <v>461387</v>
      </c>
      <c r="X30" s="85">
        <v>527576</v>
      </c>
      <c r="Y30" s="85">
        <v>560708</v>
      </c>
      <c r="Z30" s="85">
        <v>535853</v>
      </c>
      <c r="AA30" s="85">
        <v>581103</v>
      </c>
      <c r="AB30" s="85">
        <v>664176</v>
      </c>
      <c r="AC30" s="85">
        <v>708848</v>
      </c>
      <c r="AD30" s="85">
        <v>689248</v>
      </c>
      <c r="AE30" s="85">
        <v>717330</v>
      </c>
      <c r="AF30" s="85">
        <v>748747</v>
      </c>
      <c r="AG30" s="85">
        <v>768185</v>
      </c>
      <c r="AH30" s="85">
        <v>782620.638997884</v>
      </c>
      <c r="AI30" s="85">
        <v>790458</v>
      </c>
      <c r="AJ30" s="85">
        <v>792439</v>
      </c>
      <c r="AK30" s="85">
        <v>815999</v>
      </c>
      <c r="AL30" s="85">
        <v>864356.361002116</v>
      </c>
      <c r="AM30" s="85">
        <v>942490</v>
      </c>
      <c r="AN30" s="85">
        <v>1024716</v>
      </c>
      <c r="AO30" s="85">
        <v>1103696</v>
      </c>
      <c r="AP30" s="1165">
        <f>'Model '!BY$100</f>
        <v>1166337</v>
      </c>
      <c r="AQ30" s="1165">
        <f>'Model '!BZ$100</f>
        <v>1212676</v>
      </c>
      <c r="AR30" s="63"/>
      <c r="AZ30" s="63"/>
      <c r="BD30" s="63"/>
      <c r="BH30" s="63"/>
      <c r="BL30" s="63"/>
      <c r="BM30" s="63"/>
      <c r="BN30" s="63"/>
      <c r="BO30" s="63"/>
      <c r="BP30" s="63"/>
      <c r="BT30" s="63"/>
      <c r="BU30" s="63"/>
      <c r="BV30" s="63"/>
      <c r="BW30" s="63"/>
    </row>
    <row r="31" spans="2:75" s="63" customFormat="1" ht="13.5" customHeight="1">
      <c r="B31" s="69" t="s">
        <v>68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v>0</v>
      </c>
      <c r="AH31" s="92">
        <v>0</v>
      </c>
      <c r="AI31" s="92">
        <v>0</v>
      </c>
      <c r="AJ31" s="92">
        <v>0</v>
      </c>
      <c r="AK31" s="92">
        <v>0</v>
      </c>
      <c r="AL31" s="92">
        <v>0</v>
      </c>
      <c r="AM31" s="92">
        <v>0</v>
      </c>
      <c r="AN31" s="92">
        <v>0</v>
      </c>
      <c r="AO31" s="92">
        <v>0</v>
      </c>
      <c r="AP31" s="92">
        <f>AP25-'Model '!BY$124</f>
        <v>0</v>
      </c>
      <c r="AQ31" s="92"/>
      <c r="AZ31" s="1"/>
      <c r="BD31" s="1"/>
      <c r="BH31" s="1"/>
      <c r="BL31" s="1"/>
      <c r="BM31" s="1"/>
      <c r="BN31" s="1"/>
      <c r="BO31" s="1"/>
      <c r="BP31" s="1"/>
      <c r="BT31" s="1"/>
      <c r="BU31" s="1"/>
      <c r="BV31" s="1"/>
      <c r="BW31" s="1"/>
    </row>
    <row r="32" spans="2:75" ht="13">
      <c r="B32" s="3"/>
      <c r="C32" s="86"/>
      <c r="D32" s="86"/>
      <c r="E32" s="86"/>
      <c r="F32" s="86"/>
      <c r="G32" s="86"/>
      <c r="H32" s="86"/>
      <c r="I32" s="87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</row>
    <row r="33" spans="2:45" ht="13">
      <c r="B33" s="98" t="s">
        <v>69</v>
      </c>
      <c r="C33" s="88">
        <f t="shared" ref="C33:AF33" si="67">(C8-C26)/C30</f>
        <v>-8.5667453840711838E-2</v>
      </c>
      <c r="D33" s="88">
        <f t="shared" si="67"/>
        <v>-0.1790206396354698</v>
      </c>
      <c r="E33" s="88">
        <f t="shared" si="67"/>
        <v>-0.35911545384417587</v>
      </c>
      <c r="F33" s="88">
        <f t="shared" si="67"/>
        <v>-0.55514132816147688</v>
      </c>
      <c r="G33" s="88">
        <f t="shared" si="67"/>
        <v>-0.44010975559349735</v>
      </c>
      <c r="H33" s="88">
        <f t="shared" si="67"/>
        <v>-2.838604316294098E-2</v>
      </c>
      <c r="I33" s="88">
        <f t="shared" si="67"/>
        <v>-9.8672685621883846E-2</v>
      </c>
      <c r="J33" s="88">
        <f t="shared" si="67"/>
        <v>-0.11605618042318563</v>
      </c>
      <c r="K33" s="88">
        <f t="shared" si="67"/>
        <v>-0.16367959695085704</v>
      </c>
      <c r="L33" s="88">
        <f t="shared" si="67"/>
        <v>-0.17565094681596607</v>
      </c>
      <c r="M33" s="88">
        <f t="shared" si="67"/>
        <v>-9.311406243273751E-2</v>
      </c>
      <c r="N33" s="88">
        <f t="shared" si="67"/>
        <v>-0.11911248994786658</v>
      </c>
      <c r="O33" s="88">
        <f t="shared" si="67"/>
        <v>-0.29122883801984129</v>
      </c>
      <c r="P33" s="88">
        <f t="shared" si="67"/>
        <v>0.45257186081104761</v>
      </c>
      <c r="Q33" s="88">
        <f t="shared" si="67"/>
        <v>0.33060855144407897</v>
      </c>
      <c r="R33" s="88">
        <f t="shared" si="67"/>
        <v>-2.0819154669997154E-2</v>
      </c>
      <c r="S33" s="88">
        <f t="shared" si="67"/>
        <v>5.0028231455662618E-2</v>
      </c>
      <c r="T33" s="88">
        <f t="shared" si="67"/>
        <v>5.1210488937596374E-2</v>
      </c>
      <c r="U33" s="88">
        <f t="shared" si="67"/>
        <v>0.19446698956812369</v>
      </c>
      <c r="V33" s="88">
        <f t="shared" si="67"/>
        <v>0.457639784195702</v>
      </c>
      <c r="W33" s="88">
        <f t="shared" si="67"/>
        <v>0.41686263375431037</v>
      </c>
      <c r="X33" s="88">
        <f t="shared" si="67"/>
        <v>0.46251535323820642</v>
      </c>
      <c r="Y33" s="88">
        <f t="shared" si="67"/>
        <v>0.3788906168629661</v>
      </c>
      <c r="Z33" s="88">
        <f t="shared" si="67"/>
        <v>0.49265412047074481</v>
      </c>
      <c r="AA33" s="88">
        <f t="shared" si="67"/>
        <v>0.4792971297687329</v>
      </c>
      <c r="AB33" s="88">
        <f t="shared" si="67"/>
        <v>0.56490794161115576</v>
      </c>
      <c r="AC33" s="88">
        <f t="shared" si="67"/>
        <v>0.62656719029056995</v>
      </c>
      <c r="AD33" s="88">
        <f t="shared" si="67"/>
        <v>0.62224025098277835</v>
      </c>
      <c r="AE33" s="88">
        <f t="shared" si="67"/>
        <v>0.66833396065966855</v>
      </c>
      <c r="AF33" s="88">
        <f t="shared" si="67"/>
        <v>0.56116952722348135</v>
      </c>
      <c r="AG33" s="88">
        <f t="shared" ref="AG33:AL33" si="68">(AG8-AG26)/AG30</f>
        <v>0.64468774399396656</v>
      </c>
      <c r="AH33" s="88">
        <f t="shared" si="68"/>
        <v>0.55696972233973829</v>
      </c>
      <c r="AI33" s="88">
        <f t="shared" si="68"/>
        <v>0.67898104643130941</v>
      </c>
      <c r="AJ33" s="88">
        <f t="shared" si="68"/>
        <v>0.77449010599049262</v>
      </c>
      <c r="AK33" s="88">
        <f t="shared" si="68"/>
        <v>0.90800612970604122</v>
      </c>
      <c r="AL33" s="88">
        <f t="shared" si="68"/>
        <v>0.63766638954445165</v>
      </c>
      <c r="AM33" s="88">
        <f>(AM8-AM26)/AM30</f>
        <v>0.59135481543570756</v>
      </c>
      <c r="AN33" s="88">
        <f>(AN8-AN26)/AN30</f>
        <v>0.53199520647672138</v>
      </c>
      <c r="AO33" s="88">
        <f>(AO8-AO26)/AO30</f>
        <v>0.4980465635464838</v>
      </c>
      <c r="AP33" s="1166">
        <f>(AP8-AP26)/AP30</f>
        <v>0.4720359553027984</v>
      </c>
      <c r="AQ33" s="1166">
        <f>(AQ8-AQ26)/AQ30</f>
        <v>0.35729246723774527</v>
      </c>
    </row>
    <row r="34" spans="2:45" ht="13">
      <c r="B34" s="6" t="s">
        <v>70</v>
      </c>
      <c r="C34" s="88">
        <f t="shared" ref="C34:J34" si="69">C25/C30</f>
        <v>3.0725047080979286</v>
      </c>
      <c r="D34" s="88">
        <f t="shared" si="69"/>
        <v>3.1017062637900894</v>
      </c>
      <c r="E34" s="88">
        <f t="shared" si="69"/>
        <v>2.8600454272735063</v>
      </c>
      <c r="F34" s="88">
        <f t="shared" si="69"/>
        <v>2.7295334554466115</v>
      </c>
      <c r="G34" s="88">
        <f t="shared" si="69"/>
        <v>2.5653271524273729</v>
      </c>
      <c r="H34" s="88">
        <f t="shared" si="69"/>
        <v>2.9399441586036139</v>
      </c>
      <c r="I34" s="88">
        <f t="shared" si="69"/>
        <v>3.0158811705520372</v>
      </c>
      <c r="J34" s="88">
        <f t="shared" si="69"/>
        <v>3.3827375923460283</v>
      </c>
      <c r="K34" s="88">
        <f t="shared" ref="K34:P34" si="70">K25/K30</f>
        <v>3.7496050630749576</v>
      </c>
      <c r="L34" s="88">
        <f t="shared" si="70"/>
        <v>4.0830410495043754</v>
      </c>
      <c r="M34" s="88">
        <f t="shared" si="70"/>
        <v>4.6201309474628163</v>
      </c>
      <c r="N34" s="88">
        <f t="shared" si="70"/>
        <v>4.5841592485910354</v>
      </c>
      <c r="O34" s="88">
        <f t="shared" si="70"/>
        <v>4.781077146234745</v>
      </c>
      <c r="P34" s="88">
        <f t="shared" si="70"/>
        <v>3.8203057941919023</v>
      </c>
      <c r="Q34" s="88">
        <f t="shared" ref="Q34:V34" si="71">Q25/Q30</f>
        <v>3.8209276707529685</v>
      </c>
      <c r="R34" s="88">
        <f t="shared" si="71"/>
        <v>3.9079919901888758</v>
      </c>
      <c r="S34" s="88">
        <f t="shared" si="71"/>
        <v>3.9864933408154308</v>
      </c>
      <c r="T34" s="88">
        <f t="shared" si="71"/>
        <v>3.413881084471095</v>
      </c>
      <c r="U34" s="88">
        <f t="shared" si="71"/>
        <v>3.3627834551581244</v>
      </c>
      <c r="V34" s="88">
        <f t="shared" si="71"/>
        <v>3.2417574747283968</v>
      </c>
      <c r="W34" s="88">
        <f t="shared" ref="W34:AB34" si="72">W25/W30</f>
        <v>3.5237013613300765</v>
      </c>
      <c r="X34" s="88">
        <f t="shared" si="72"/>
        <v>3.1965214490424128</v>
      </c>
      <c r="Y34" s="88">
        <f t="shared" si="72"/>
        <v>3.2138332251367911</v>
      </c>
      <c r="Z34" s="88">
        <f t="shared" si="72"/>
        <v>3.1405467382295553</v>
      </c>
      <c r="AA34" s="88">
        <f t="shared" si="72"/>
        <v>2.917350280415004</v>
      </c>
      <c r="AB34" s="88">
        <f t="shared" si="72"/>
        <v>2.6788037683231987</v>
      </c>
      <c r="AC34" s="88">
        <f t="shared" ref="AC34:AH34" si="73">AC25/AC30</f>
        <v>3.0740229817107529</v>
      </c>
      <c r="AD34" s="88">
        <f t="shared" si="73"/>
        <v>3.2216941098270553</v>
      </c>
      <c r="AE34" s="88">
        <f t="shared" si="73"/>
        <v>3.1501498612911769</v>
      </c>
      <c r="AF34" s="88">
        <f t="shared" si="73"/>
        <v>3.0041108678899549</v>
      </c>
      <c r="AG34" s="88">
        <f t="shared" si="73"/>
        <v>2.8294978250728611</v>
      </c>
      <c r="AH34" s="88">
        <f t="shared" si="73"/>
        <v>2.7919580587573902</v>
      </c>
      <c r="AI34" s="88">
        <f t="shared" ref="AI34:AN34" si="74">AI25/AI30</f>
        <v>2.7194474595740696</v>
      </c>
      <c r="AJ34" s="88">
        <f t="shared" si="74"/>
        <v>2.637054505014266</v>
      </c>
      <c r="AK34" s="88">
        <f t="shared" si="74"/>
        <v>2.7653844014098059</v>
      </c>
      <c r="AL34" s="88">
        <f t="shared" si="74"/>
        <v>2.3686341564332953</v>
      </c>
      <c r="AM34" s="88">
        <f t="shared" si="74"/>
        <v>2.2678553618606032</v>
      </c>
      <c r="AN34" s="88">
        <f t="shared" si="74"/>
        <v>1.9855706361567498</v>
      </c>
      <c r="AO34" s="88">
        <f>AO25/AO30</f>
        <v>1.8856206781577536</v>
      </c>
      <c r="AP34" s="1166">
        <f>AP25/AP30</f>
        <v>1.6976585669493465</v>
      </c>
      <c r="AQ34" s="1166">
        <f>AQ25/AQ30</f>
        <v>1.6122245348304081</v>
      </c>
    </row>
    <row r="35" spans="2:45" ht="13">
      <c r="B35" s="6" t="s">
        <v>71</v>
      </c>
      <c r="C35" s="88">
        <f t="shared" ref="C35:J35" si="75">C27/C30</f>
        <v>2.9868372542572166</v>
      </c>
      <c r="D35" s="88">
        <f t="shared" si="75"/>
        <v>2.92268562415462</v>
      </c>
      <c r="E35" s="88">
        <f t="shared" si="75"/>
        <v>2.5009299734293307</v>
      </c>
      <c r="F35" s="88">
        <f t="shared" si="75"/>
        <v>2.1743921272851345</v>
      </c>
      <c r="G35" s="88">
        <f t="shared" si="75"/>
        <v>2.1252173968338752</v>
      </c>
      <c r="H35" s="88">
        <f t="shared" si="75"/>
        <v>2.6134797852974403</v>
      </c>
      <c r="I35" s="88">
        <f t="shared" si="75"/>
        <v>2.7246664869963615</v>
      </c>
      <c r="J35" s="88">
        <f t="shared" si="75"/>
        <v>3.0742777461201269</v>
      </c>
      <c r="K35" s="88">
        <f t="shared" ref="K35:P35" si="76">K27/K30</f>
        <v>3.3535416235602455</v>
      </c>
      <c r="L35" s="88">
        <f t="shared" si="76"/>
        <v>3.6628602251722224</v>
      </c>
      <c r="M35" s="88">
        <f t="shared" si="76"/>
        <v>4.2600167867106871</v>
      </c>
      <c r="N35" s="88">
        <f t="shared" si="76"/>
        <v>4.1965117766221232</v>
      </c>
      <c r="O35" s="88">
        <f t="shared" si="76"/>
        <v>4.2972241718999458</v>
      </c>
      <c r="P35" s="88">
        <f t="shared" si="76"/>
        <v>3.4337320392211343</v>
      </c>
      <c r="Q35" s="88">
        <f t="shared" ref="Q35:V35" si="77">Q27/Q30</f>
        <v>3.3041392833949881</v>
      </c>
      <c r="R35" s="88">
        <f t="shared" si="77"/>
        <v>3.0726779538320486</v>
      </c>
      <c r="S35" s="88">
        <f t="shared" si="77"/>
        <v>3.203289863145125</v>
      </c>
      <c r="T35" s="88">
        <f t="shared" si="77"/>
        <v>2.7384684594616959</v>
      </c>
      <c r="U35" s="88">
        <f t="shared" si="77"/>
        <v>2.9084696069689326</v>
      </c>
      <c r="V35" s="88">
        <f t="shared" si="77"/>
        <v>3.0268071967612933</v>
      </c>
      <c r="W35" s="88">
        <f t="shared" ref="W35:AB35" si="78">W27/W30</f>
        <v>3.2187231109675825</v>
      </c>
      <c r="X35" s="88">
        <f t="shared" si="78"/>
        <v>3.0255754621135154</v>
      </c>
      <c r="Y35" s="88">
        <f t="shared" si="78"/>
        <v>2.9648105609336768</v>
      </c>
      <c r="Z35" s="88">
        <f t="shared" si="78"/>
        <v>2.9698822062553836</v>
      </c>
      <c r="AA35" s="88">
        <f t="shared" si="78"/>
        <v>2.7586727309960541</v>
      </c>
      <c r="AB35" s="88">
        <f t="shared" si="78"/>
        <v>2.5192042509128152</v>
      </c>
      <c r="AC35" s="88">
        <f t="shared" ref="AC35:AH35" si="79">AC27/AC30</f>
        <v>2.957500721059235</v>
      </c>
      <c r="AD35" s="88">
        <f t="shared" si="79"/>
        <v>3.0428975276819497</v>
      </c>
      <c r="AE35" s="88">
        <f t="shared" si="79"/>
        <v>2.971105349002551</v>
      </c>
      <c r="AF35" s="88">
        <f t="shared" si="79"/>
        <v>2.7743550224575189</v>
      </c>
      <c r="AG35" s="88">
        <f t="shared" si="79"/>
        <v>2.694868580728341</v>
      </c>
      <c r="AH35" s="88">
        <f t="shared" si="79"/>
        <v>2.5819687078370852</v>
      </c>
      <c r="AI35" s="88">
        <f t="shared" ref="AI35:AN35" si="80">AI27/AI30</f>
        <v>2.5889572880532552</v>
      </c>
      <c r="AJ35" s="88">
        <f t="shared" si="80"/>
        <v>2.5564138059838046</v>
      </c>
      <c r="AK35" s="88">
        <f t="shared" si="80"/>
        <v>2.6990045330937913</v>
      </c>
      <c r="AL35" s="88">
        <f t="shared" si="80"/>
        <v>2.2746254770666132</v>
      </c>
      <c r="AM35" s="88">
        <f t="shared" si="80"/>
        <v>2.1627645916667553</v>
      </c>
      <c r="AN35" s="88">
        <f t="shared" si="80"/>
        <v>1.8695853290082325</v>
      </c>
      <c r="AO35" s="88">
        <f>AO27/AO30</f>
        <v>1.7641914077789536</v>
      </c>
      <c r="AP35" s="1166">
        <f>AP27/AP30</f>
        <v>1.5657618681393113</v>
      </c>
      <c r="AQ35" s="1166">
        <f>AQ27/AQ30</f>
        <v>1.3588856380434675</v>
      </c>
      <c r="AR35" s="1147"/>
    </row>
    <row r="36" spans="2:45"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</row>
    <row r="37" spans="2:45">
      <c r="C37" s="89"/>
      <c r="D37" s="89"/>
      <c r="E37" s="89"/>
      <c r="F37" s="89"/>
      <c r="G37" s="89"/>
      <c r="H37" s="89"/>
      <c r="I37" s="90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</row>
    <row r="38" spans="2:45" ht="13">
      <c r="B38" s="5" t="s">
        <v>72</v>
      </c>
      <c r="C38" s="91">
        <v>1357238</v>
      </c>
      <c r="D38" s="91">
        <v>1283186</v>
      </c>
      <c r="E38" s="91">
        <v>1107929.3999999999</v>
      </c>
      <c r="F38" s="91">
        <v>1320141.3999999999</v>
      </c>
      <c r="G38" s="91">
        <v>1572177.4</v>
      </c>
      <c r="H38" s="91">
        <v>1402288</v>
      </c>
      <c r="I38" s="91">
        <v>1399289.9</v>
      </c>
      <c r="J38" s="91">
        <v>2117222.9</v>
      </c>
      <c r="K38" s="91">
        <v>1593763.4</v>
      </c>
      <c r="L38" s="91">
        <v>1429670.1</v>
      </c>
      <c r="M38" s="91">
        <v>1353319.8</v>
      </c>
      <c r="N38" s="91">
        <v>1224803</v>
      </c>
      <c r="O38" s="91">
        <v>1331533.8999999999</v>
      </c>
      <c r="P38" s="91">
        <v>1778657.7</v>
      </c>
      <c r="Q38" s="91">
        <v>1467245.7</v>
      </c>
      <c r="R38" s="91">
        <v>2339165.6</v>
      </c>
      <c r="S38" s="91">
        <v>3184000</v>
      </c>
      <c r="T38" s="91">
        <v>3054294</v>
      </c>
      <c r="U38" s="91">
        <v>2296513.7999999998</v>
      </c>
      <c r="V38" s="91">
        <v>3267610</v>
      </c>
      <c r="W38" s="91">
        <v>2841025.7</v>
      </c>
      <c r="X38" s="91">
        <v>2867946.4</v>
      </c>
      <c r="Y38" s="91">
        <v>3780162.2</v>
      </c>
      <c r="Z38" s="91">
        <v>4021230</v>
      </c>
      <c r="AA38" s="91">
        <v>4303000</v>
      </c>
      <c r="AB38" s="91">
        <v>4050000</v>
      </c>
      <c r="AC38" s="91">
        <v>4820000</v>
      </c>
      <c r="AD38" s="91">
        <v>4536000</v>
      </c>
      <c r="AE38" s="91">
        <v>4320000</v>
      </c>
      <c r="AF38" s="91">
        <v>5062740</v>
      </c>
      <c r="AG38" s="91">
        <v>5420642.3229212491</v>
      </c>
      <c r="AH38" s="91">
        <v>6560410</v>
      </c>
      <c r="AI38" s="91">
        <v>7273000</v>
      </c>
      <c r="AJ38" s="91">
        <v>8757000</v>
      </c>
      <c r="AK38" s="91">
        <v>9798000</v>
      </c>
      <c r="AL38" s="91">
        <v>10033000</v>
      </c>
      <c r="AM38" s="91">
        <v>10980575</v>
      </c>
      <c r="AN38" s="91">
        <v>11567615.800000001</v>
      </c>
      <c r="AO38" s="91">
        <v>11989647.9</v>
      </c>
      <c r="AP38" s="1161">
        <f>'Model '!BY$132</f>
        <v>12178531.1</v>
      </c>
      <c r="AQ38" s="1161">
        <f>'Model '!BZ$132</f>
        <v>11417637.560000001</v>
      </c>
      <c r="AS38" s="840"/>
    </row>
    <row r="39" spans="2:45" ht="13">
      <c r="B39" s="5" t="s">
        <v>73</v>
      </c>
      <c r="C39" s="91">
        <f t="shared" ref="C39:J39" si="81">C38+C27</f>
        <v>1956750</v>
      </c>
      <c r="D39" s="91">
        <f t="shared" si="81"/>
        <v>1933580</v>
      </c>
      <c r="E39" s="91">
        <f t="shared" si="81"/>
        <v>1691496.4</v>
      </c>
      <c r="F39" s="91">
        <f t="shared" si="81"/>
        <v>1925557.4</v>
      </c>
      <c r="G39" s="91">
        <f t="shared" si="81"/>
        <v>2240594.4</v>
      </c>
      <c r="H39" s="91">
        <f t="shared" si="81"/>
        <v>2295267</v>
      </c>
      <c r="I39" s="91">
        <f t="shared" si="81"/>
        <v>2369837.9</v>
      </c>
      <c r="J39" s="91">
        <f t="shared" si="81"/>
        <v>3082751.5056025749</v>
      </c>
      <c r="K39" s="91">
        <f t="shared" ref="K39:P39" si="82">K38+K27</f>
        <v>2614846.4</v>
      </c>
      <c r="L39" s="91">
        <f t="shared" si="82"/>
        <v>2508816.1</v>
      </c>
      <c r="M39" s="91">
        <f t="shared" si="82"/>
        <v>2537666.7297189869</v>
      </c>
      <c r="N39" s="91">
        <f t="shared" si="82"/>
        <v>2337770.8649815721</v>
      </c>
      <c r="O39" s="91">
        <f t="shared" si="82"/>
        <v>2461433.1320868563</v>
      </c>
      <c r="P39" s="91">
        <f t="shared" si="82"/>
        <v>2945115.7199606951</v>
      </c>
      <c r="Q39" s="91">
        <f t="shared" ref="Q39:V39" si="83">Q38+Q27</f>
        <v>2648310.6947968248</v>
      </c>
      <c r="R39" s="91">
        <f t="shared" si="83"/>
        <v>3488359.0970619963</v>
      </c>
      <c r="S39" s="91">
        <f t="shared" si="83"/>
        <v>4372590.3135895878</v>
      </c>
      <c r="T39" s="91">
        <f t="shared" si="83"/>
        <v>4219698.5453561954</v>
      </c>
      <c r="U39" s="91">
        <f t="shared" si="83"/>
        <v>3674930.6177699999</v>
      </c>
      <c r="V39" s="91">
        <f t="shared" si="83"/>
        <v>4741992</v>
      </c>
      <c r="W39" s="91">
        <f t="shared" ref="W39:AC39" si="84">W38+W27</f>
        <v>4326102.7</v>
      </c>
      <c r="X39" s="91">
        <f t="shared" si="84"/>
        <v>4464167.4000000004</v>
      </c>
      <c r="Y39" s="91">
        <f t="shared" si="84"/>
        <v>5442555.2000000002</v>
      </c>
      <c r="Z39" s="91">
        <f t="shared" si="84"/>
        <v>5612650.2898685662</v>
      </c>
      <c r="AA39" s="91">
        <f t="shared" si="84"/>
        <v>5906073</v>
      </c>
      <c r="AB39" s="91">
        <f t="shared" si="84"/>
        <v>5723195.0025542695</v>
      </c>
      <c r="AC39" s="91">
        <f t="shared" si="84"/>
        <v>6916418.4711213969</v>
      </c>
      <c r="AD39" s="91">
        <f t="shared" ref="AD39:AI39" si="85">AD38+AD27</f>
        <v>6633311.0351597285</v>
      </c>
      <c r="AE39" s="91">
        <f t="shared" si="85"/>
        <v>6451263</v>
      </c>
      <c r="AF39" s="91">
        <f t="shared" si="85"/>
        <v>7140030</v>
      </c>
      <c r="AG39" s="91">
        <f t="shared" si="85"/>
        <v>7490799.9436080493</v>
      </c>
      <c r="AH39" s="91">
        <f t="shared" si="85"/>
        <v>8581112</v>
      </c>
      <c r="AI39" s="91">
        <f t="shared" si="85"/>
        <v>9319462</v>
      </c>
      <c r="AJ39" s="91">
        <f t="shared" ref="AJ39:AO39" si="86">AJ38+AJ27</f>
        <v>10782802</v>
      </c>
      <c r="AK39" s="91">
        <f t="shared" si="86"/>
        <v>12000385</v>
      </c>
      <c r="AL39" s="91">
        <f t="shared" si="86"/>
        <v>11999087</v>
      </c>
      <c r="AM39" s="91">
        <f t="shared" si="86"/>
        <v>13018959</v>
      </c>
      <c r="AN39" s="91">
        <f t="shared" si="86"/>
        <v>13483409.800000001</v>
      </c>
      <c r="AO39" s="91">
        <f t="shared" si="86"/>
        <v>13936778.9</v>
      </c>
      <c r="AP39" s="1161">
        <f>AP38+AP27</f>
        <v>14004737.1</v>
      </c>
      <c r="AQ39" s="1161">
        <f>AQ38+AQ27</f>
        <v>13065525.560000001</v>
      </c>
    </row>
    <row r="40" spans="2:45">
      <c r="C40" s="89"/>
      <c r="D40" s="89"/>
      <c r="E40" s="89"/>
      <c r="F40" s="89"/>
      <c r="G40" s="89"/>
      <c r="H40" s="89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</row>
    <row r="41" spans="2:45" ht="13">
      <c r="B41" s="6" t="s">
        <v>74</v>
      </c>
      <c r="C41" s="88">
        <f t="shared" ref="C41:J41" si="87">C39/C30</f>
        <v>9.7487519803903986</v>
      </c>
      <c r="D41" s="88">
        <f t="shared" si="87"/>
        <v>8.6889584915495686</v>
      </c>
      <c r="E41" s="88">
        <f t="shared" si="87"/>
        <v>7.2490631696237244</v>
      </c>
      <c r="F41" s="88">
        <f t="shared" si="87"/>
        <v>6.9157684157597954</v>
      </c>
      <c r="G41" s="88">
        <f t="shared" si="87"/>
        <v>7.1239214414483154</v>
      </c>
      <c r="H41" s="88">
        <f t="shared" si="87"/>
        <v>6.7175531634677856</v>
      </c>
      <c r="I41" s="88">
        <f t="shared" si="87"/>
        <v>6.65296091047927</v>
      </c>
      <c r="J41" s="88">
        <f t="shared" si="87"/>
        <v>9.8155914754878566</v>
      </c>
      <c r="K41" s="88">
        <f t="shared" ref="K41:P41" si="88">K39/K30</f>
        <v>8.5879367706804075</v>
      </c>
      <c r="L41" s="88">
        <f t="shared" si="88"/>
        <v>8.5154767797514861</v>
      </c>
      <c r="M41" s="88">
        <f t="shared" si="88"/>
        <v>9.1278176997048774</v>
      </c>
      <c r="N41" s="88">
        <f t="shared" si="88"/>
        <v>8.8147046061403493</v>
      </c>
      <c r="O41" s="88">
        <f t="shared" si="88"/>
        <v>9.3613037803232579</v>
      </c>
      <c r="P41" s="88">
        <f t="shared" si="88"/>
        <v>8.6696117938163031</v>
      </c>
      <c r="Q41" s="88">
        <f t="shared" ref="Q41:V41" si="89">Q39/Q30</f>
        <v>7.4088957338190902</v>
      </c>
      <c r="R41" s="88">
        <f t="shared" si="89"/>
        <v>9.3270664339772402</v>
      </c>
      <c r="S41" s="88">
        <f t="shared" si="89"/>
        <v>11.7842742508202</v>
      </c>
      <c r="T41" s="88">
        <f t="shared" si="89"/>
        <v>9.915450751363343</v>
      </c>
      <c r="U41" s="88">
        <f t="shared" si="89"/>
        <v>7.7541305878691453</v>
      </c>
      <c r="V41" s="88">
        <f t="shared" si="89"/>
        <v>9.7349910081542497</v>
      </c>
      <c r="W41" s="88">
        <f t="shared" ref="W41:AB41" si="90">W39/W30</f>
        <v>9.3762995056210947</v>
      </c>
      <c r="X41" s="88">
        <f t="shared" si="90"/>
        <v>8.461657467360153</v>
      </c>
      <c r="Y41" s="88">
        <f t="shared" si="90"/>
        <v>9.7065766851908659</v>
      </c>
      <c r="Z41" s="88">
        <f t="shared" si="90"/>
        <v>10.474235079151494</v>
      </c>
      <c r="AA41" s="88">
        <f t="shared" si="90"/>
        <v>10.163556202600915</v>
      </c>
      <c r="AB41" s="88">
        <f t="shared" si="90"/>
        <v>8.6169855618906279</v>
      </c>
      <c r="AC41" s="88">
        <f t="shared" ref="AC41:AH41" si="91">AC39/AC30</f>
        <v>9.7572659739766454</v>
      </c>
      <c r="AD41" s="88">
        <f t="shared" si="91"/>
        <v>9.6239830005451275</v>
      </c>
      <c r="AE41" s="88">
        <f t="shared" si="91"/>
        <v>8.9934381665342311</v>
      </c>
      <c r="AF41" s="88">
        <f t="shared" si="91"/>
        <v>9.5359714296017213</v>
      </c>
      <c r="AG41" s="88">
        <f t="shared" si="91"/>
        <v>9.7512968147100629</v>
      </c>
      <c r="AH41" s="88">
        <f t="shared" si="91"/>
        <v>10.964586892300447</v>
      </c>
      <c r="AI41" s="88">
        <f t="shared" ref="AI41:AN41" si="92">AI39/AI30</f>
        <v>11.789952154320659</v>
      </c>
      <c r="AJ41" s="88">
        <f t="shared" si="92"/>
        <v>13.6071066668854</v>
      </c>
      <c r="AK41" s="88">
        <f t="shared" si="92"/>
        <v>14.706372189181604</v>
      </c>
      <c r="AL41" s="88">
        <f t="shared" si="92"/>
        <v>13.882106433610923</v>
      </c>
      <c r="AM41" s="88">
        <f t="shared" si="92"/>
        <v>13.813365659052085</v>
      </c>
      <c r="AN41" s="88">
        <f t="shared" si="92"/>
        <v>13.158191928300134</v>
      </c>
      <c r="AO41" s="88">
        <f>AO39/AO30</f>
        <v>12.627371033328018</v>
      </c>
      <c r="AP41" s="1166">
        <f>AP39/AP30</f>
        <v>12.007453334670855</v>
      </c>
      <c r="AQ41" s="1166">
        <f>AQ39/AQ30</f>
        <v>10.774127268949002</v>
      </c>
    </row>
    <row r="42" spans="2:45" ht="13.5" thickBot="1">
      <c r="B42" s="73"/>
      <c r="C42" s="851"/>
      <c r="D42" s="851"/>
      <c r="E42" s="851"/>
      <c r="F42" s="851"/>
      <c r="G42" s="851"/>
      <c r="H42" s="851"/>
      <c r="I42" s="852"/>
      <c r="J42" s="852"/>
      <c r="K42" s="852"/>
      <c r="L42" s="851"/>
      <c r="M42" s="851"/>
      <c r="N42" s="851"/>
      <c r="O42" s="851"/>
      <c r="P42" s="851"/>
      <c r="Q42" s="851"/>
      <c r="R42" s="851"/>
      <c r="S42" s="851"/>
      <c r="T42" s="851"/>
      <c r="U42" s="851"/>
      <c r="V42" s="851"/>
      <c r="W42" s="851"/>
      <c r="X42" s="851"/>
      <c r="Y42" s="851"/>
      <c r="Z42" s="851"/>
      <c r="AA42" s="851"/>
      <c r="AB42" s="851"/>
      <c r="AC42" s="851"/>
      <c r="AD42" s="851"/>
      <c r="AE42" s="851"/>
      <c r="AF42" s="851"/>
      <c r="AG42" s="851"/>
      <c r="AH42" s="851"/>
      <c r="AI42" s="851"/>
      <c r="AJ42" s="851"/>
      <c r="AK42" s="851"/>
      <c r="AL42" s="851"/>
      <c r="AM42" s="851"/>
      <c r="AN42" s="851"/>
      <c r="AO42" s="851"/>
      <c r="AP42" s="851"/>
      <c r="AQ42" s="851"/>
    </row>
    <row r="43" spans="2:45" ht="39">
      <c r="B43" s="73"/>
      <c r="C43" s="851"/>
      <c r="D43" s="851"/>
      <c r="E43" s="851"/>
      <c r="F43" s="851"/>
      <c r="G43" s="851"/>
      <c r="H43" s="851"/>
      <c r="I43" s="8" t="s">
        <v>75</v>
      </c>
      <c r="J43" s="9" t="s">
        <v>76</v>
      </c>
      <c r="K43" s="9" t="s">
        <v>77</v>
      </c>
      <c r="L43" s="851"/>
      <c r="M43" s="870" t="s">
        <v>78</v>
      </c>
      <c r="N43" s="871" t="s">
        <v>76</v>
      </c>
      <c r="O43" s="872" t="s">
        <v>77</v>
      </c>
      <c r="P43" s="851"/>
      <c r="Q43" s="851"/>
      <c r="R43" s="851"/>
      <c r="S43" s="851"/>
      <c r="T43" s="851"/>
      <c r="U43" s="851"/>
      <c r="V43" s="851"/>
      <c r="W43" s="851"/>
      <c r="X43" s="851"/>
      <c r="Y43" s="851"/>
      <c r="Z43" s="851"/>
      <c r="AA43" s="851"/>
      <c r="AB43" s="851"/>
      <c r="AC43" s="851"/>
      <c r="AD43" s="851"/>
      <c r="AE43" s="851"/>
      <c r="AF43" s="851"/>
      <c r="AG43" s="851"/>
      <c r="AH43" s="851"/>
      <c r="AI43" s="851"/>
      <c r="AJ43" s="851"/>
      <c r="AK43" s="851"/>
      <c r="AL43" s="851"/>
      <c r="AM43" s="851"/>
      <c r="AN43" s="851"/>
      <c r="AO43" s="851"/>
      <c r="AP43" s="851"/>
      <c r="AQ43" s="851"/>
    </row>
    <row r="44" spans="2:45" ht="13">
      <c r="B44" s="73"/>
      <c r="C44" s="851"/>
      <c r="D44" s="851"/>
      <c r="E44" s="851"/>
      <c r="F44" s="851"/>
      <c r="G44" s="851"/>
      <c r="H44" s="851"/>
      <c r="I44" s="10"/>
      <c r="J44" s="11"/>
      <c r="K44" s="11"/>
      <c r="L44" s="851"/>
      <c r="M44" s="875">
        <v>2024</v>
      </c>
      <c r="N44" s="868">
        <f>O44*BL$2</f>
        <v>279547.21599999996</v>
      </c>
      <c r="O44" s="869">
        <v>3404.96</v>
      </c>
      <c r="P44" s="851"/>
      <c r="Q44" s="851"/>
      <c r="R44" s="851"/>
      <c r="S44" s="851"/>
      <c r="T44" s="851"/>
      <c r="U44" s="851"/>
      <c r="V44" s="851"/>
      <c r="W44" s="851"/>
      <c r="X44" s="851"/>
      <c r="Y44" s="851"/>
      <c r="Z44" s="851"/>
      <c r="AA44" s="851"/>
      <c r="AB44" s="851"/>
      <c r="AC44" s="851"/>
      <c r="AD44" s="851"/>
      <c r="AE44" s="851"/>
      <c r="AF44" s="851"/>
      <c r="AG44" s="851"/>
      <c r="AH44" s="851"/>
      <c r="AI44" s="851"/>
      <c r="AJ44" s="851"/>
      <c r="AK44" s="851"/>
      <c r="AL44" s="851"/>
      <c r="AM44" s="851"/>
      <c r="AN44" s="851"/>
      <c r="AO44" s="851"/>
      <c r="AP44" s="851"/>
      <c r="AQ44" s="851"/>
    </row>
    <row r="45" spans="2:45" ht="13">
      <c r="B45" s="73"/>
      <c r="C45" s="851"/>
      <c r="D45" s="851"/>
      <c r="E45" s="851"/>
      <c r="F45" s="851"/>
      <c r="G45" s="851"/>
      <c r="H45" s="851"/>
      <c r="I45" s="10" t="s">
        <v>79</v>
      </c>
      <c r="J45" s="12">
        <f>AH26</f>
        <v>164342</v>
      </c>
      <c r="K45" s="12">
        <f>BN26</f>
        <v>1974.3626708955044</v>
      </c>
      <c r="L45" s="851"/>
      <c r="M45" s="875">
        <v>2025</v>
      </c>
      <c r="N45" s="868">
        <f>O45*BL$2</f>
        <v>130774.62699999998</v>
      </c>
      <c r="O45" s="869">
        <v>1592.87</v>
      </c>
      <c r="P45" s="851"/>
      <c r="Q45" s="851"/>
      <c r="R45" s="851"/>
      <c r="S45" s="851"/>
      <c r="T45" s="851"/>
      <c r="U45" s="851"/>
      <c r="V45" s="851"/>
      <c r="W45" s="851"/>
      <c r="X45" s="851"/>
      <c r="Y45" s="851"/>
      <c r="Z45" s="851"/>
      <c r="AA45" s="851"/>
      <c r="AB45" s="851"/>
      <c r="AC45" s="851"/>
      <c r="AD45" s="851"/>
      <c r="AE45" s="851"/>
      <c r="AF45" s="851"/>
      <c r="AG45" s="851"/>
      <c r="AH45" s="851"/>
      <c r="AI45" s="851"/>
      <c r="AJ45" s="851"/>
      <c r="AK45" s="851"/>
      <c r="AL45" s="851"/>
      <c r="AM45" s="851"/>
      <c r="AN45" s="851"/>
      <c r="AO45" s="851"/>
      <c r="AP45" s="851"/>
      <c r="AQ45" s="851"/>
    </row>
    <row r="46" spans="2:45" ht="13.5" thickBot="1">
      <c r="B46" s="73"/>
      <c r="C46" s="851"/>
      <c r="D46" s="851"/>
      <c r="E46" s="851"/>
      <c r="F46" s="851"/>
      <c r="G46" s="851"/>
      <c r="H46" s="851"/>
      <c r="I46" s="13" t="s">
        <v>80</v>
      </c>
      <c r="J46" s="14"/>
      <c r="K46" s="14"/>
      <c r="L46" s="851"/>
      <c r="M46" s="875">
        <v>2030</v>
      </c>
      <c r="N46" s="868">
        <f>O46*BL$2</f>
        <v>15927.4</v>
      </c>
      <c r="O46" s="869">
        <v>194</v>
      </c>
      <c r="P46" s="851"/>
      <c r="Q46" s="851"/>
      <c r="R46" s="851"/>
      <c r="S46" s="851"/>
      <c r="T46" s="851"/>
      <c r="U46" s="851"/>
      <c r="V46" s="851"/>
      <c r="W46" s="851"/>
      <c r="X46" s="851"/>
      <c r="Y46" s="851"/>
      <c r="Z46" s="851"/>
      <c r="AA46" s="851"/>
      <c r="AB46" s="851"/>
      <c r="AC46" s="851"/>
      <c r="AD46" s="851"/>
      <c r="AE46" s="851"/>
      <c r="AF46" s="851"/>
      <c r="AG46" s="851"/>
      <c r="AH46" s="851"/>
      <c r="AI46" s="851"/>
      <c r="AJ46" s="851"/>
      <c r="AK46" s="851"/>
      <c r="AL46" s="851"/>
      <c r="AM46" s="851"/>
      <c r="AN46" s="851"/>
      <c r="AO46" s="851"/>
      <c r="AP46" s="851"/>
      <c r="AQ46" s="851"/>
    </row>
    <row r="47" spans="2:45" ht="14" thickTop="1" thickBot="1">
      <c r="B47" s="73"/>
      <c r="C47" s="851"/>
      <c r="D47" s="851"/>
      <c r="E47" s="851"/>
      <c r="F47" s="851"/>
      <c r="G47" s="851"/>
      <c r="H47" s="851"/>
      <c r="I47" s="795" t="s">
        <v>81</v>
      </c>
      <c r="J47" s="796">
        <f>SUM(J45:J46)</f>
        <v>164342</v>
      </c>
      <c r="K47" s="796">
        <f>SUM(K45:K46)</f>
        <v>1974.3626708955044</v>
      </c>
      <c r="L47" s="851"/>
      <c r="M47" s="875">
        <v>2031</v>
      </c>
      <c r="N47" s="868">
        <f>O47*BL$2</f>
        <v>209948.58299999998</v>
      </c>
      <c r="O47" s="869">
        <v>2557.23</v>
      </c>
      <c r="P47" s="851"/>
      <c r="Q47" s="851"/>
      <c r="R47" s="851"/>
      <c r="S47" s="851"/>
      <c r="T47" s="851"/>
      <c r="U47" s="851"/>
      <c r="V47" s="851"/>
      <c r="W47" s="851"/>
      <c r="X47" s="851"/>
      <c r="Y47" s="851"/>
      <c r="Z47" s="851"/>
      <c r="AA47" s="851"/>
      <c r="AB47" s="851"/>
      <c r="AC47" s="851"/>
      <c r="AD47" s="851"/>
      <c r="AE47" s="851"/>
      <c r="AF47" s="851"/>
      <c r="AG47" s="851"/>
      <c r="AH47" s="851"/>
      <c r="AI47" s="851"/>
      <c r="AJ47" s="851"/>
      <c r="AK47" s="851"/>
      <c r="AL47" s="851"/>
      <c r="AM47" s="851"/>
      <c r="AN47" s="851"/>
      <c r="AO47" s="851"/>
      <c r="AP47" s="851"/>
      <c r="AQ47" s="851"/>
    </row>
    <row r="48" spans="2:45" ht="13">
      <c r="B48" s="73"/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74" t="s">
        <v>82</v>
      </c>
      <c r="N48" s="868">
        <f>O48*BL$2</f>
        <v>123149.99999999999</v>
      </c>
      <c r="O48" s="869">
        <v>1500</v>
      </c>
      <c r="P48" s="851"/>
      <c r="Q48" s="851"/>
      <c r="R48" s="851"/>
      <c r="S48" s="851"/>
      <c r="T48" s="851"/>
      <c r="U48" s="851"/>
      <c r="V48" s="851"/>
      <c r="W48" s="851"/>
      <c r="X48" s="851"/>
      <c r="Y48" s="851"/>
      <c r="Z48" s="851"/>
      <c r="AA48" s="851"/>
      <c r="AB48" s="851"/>
      <c r="AC48" s="851"/>
      <c r="AD48" s="851"/>
      <c r="AE48" s="851"/>
      <c r="AF48" s="851"/>
      <c r="AG48" s="851"/>
      <c r="AH48" s="851"/>
      <c r="AI48" s="851"/>
      <c r="AJ48" s="851"/>
      <c r="AK48" s="851"/>
      <c r="AL48" s="851"/>
      <c r="AM48" s="851"/>
      <c r="AN48" s="851"/>
      <c r="AO48" s="851"/>
      <c r="AP48" s="851"/>
      <c r="AQ48" s="851"/>
    </row>
    <row r="49" spans="2:43" ht="13.5" thickBot="1">
      <c r="B49" s="73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73" t="s">
        <v>83</v>
      </c>
      <c r="N49" s="885">
        <f>SUM(N44:N48)</f>
        <v>759347.82599999988</v>
      </c>
      <c r="O49" s="886">
        <f>SUM(O44:O48)</f>
        <v>9249.06</v>
      </c>
      <c r="P49" s="851"/>
      <c r="Q49" s="851"/>
      <c r="R49" s="851"/>
      <c r="S49" s="851"/>
      <c r="T49" s="851"/>
      <c r="U49" s="851"/>
      <c r="V49" s="851"/>
      <c r="W49" s="851"/>
      <c r="X49" s="851"/>
      <c r="Y49" s="851"/>
      <c r="Z49" s="851"/>
      <c r="AA49" s="851"/>
      <c r="AB49" s="851"/>
      <c r="AC49" s="851"/>
      <c r="AD49" s="851"/>
      <c r="AE49" s="851"/>
      <c r="AF49" s="851"/>
      <c r="AG49" s="851"/>
      <c r="AH49" s="851"/>
      <c r="AI49" s="851"/>
      <c r="AJ49" s="851"/>
      <c r="AK49" s="851"/>
      <c r="AL49" s="851"/>
      <c r="AM49" s="851"/>
      <c r="AN49" s="851"/>
      <c r="AO49" s="851"/>
      <c r="AP49" s="851"/>
      <c r="AQ49" s="851"/>
    </row>
    <row r="50" spans="2:43" ht="13">
      <c r="B50" s="73"/>
      <c r="C50" s="851"/>
      <c r="D50" s="851"/>
      <c r="E50" s="851"/>
      <c r="F50" s="851"/>
      <c r="G50" s="851"/>
      <c r="H50" s="851"/>
      <c r="I50" s="851"/>
      <c r="J50" s="851"/>
      <c r="K50" s="851"/>
      <c r="L50" s="851"/>
      <c r="P50" s="851"/>
      <c r="Q50" s="851"/>
      <c r="R50" s="851"/>
      <c r="S50" s="851"/>
      <c r="T50" s="851"/>
      <c r="U50" s="851"/>
      <c r="V50" s="851"/>
      <c r="W50" s="851"/>
      <c r="X50" s="851"/>
      <c r="Y50" s="851"/>
      <c r="Z50" s="851"/>
      <c r="AA50" s="851"/>
      <c r="AB50" s="851"/>
      <c r="AC50" s="851"/>
      <c r="AD50" s="851"/>
      <c r="AE50" s="851"/>
      <c r="AF50" s="851"/>
      <c r="AG50" s="851"/>
      <c r="AH50" s="851"/>
      <c r="AI50" s="851"/>
      <c r="AJ50" s="851"/>
      <c r="AK50" s="851"/>
      <c r="AL50" s="851"/>
      <c r="AM50" s="851"/>
      <c r="AN50" s="851"/>
      <c r="AO50" s="851"/>
      <c r="AP50" s="851"/>
      <c r="AQ50" s="851"/>
    </row>
    <row r="51" spans="2:43" ht="13">
      <c r="B51" s="73"/>
      <c r="C51" s="851"/>
      <c r="D51" s="851"/>
      <c r="E51" s="851"/>
      <c r="F51" s="851"/>
      <c r="G51" s="851"/>
      <c r="H51" s="851"/>
      <c r="I51" s="851"/>
      <c r="J51" s="851"/>
      <c r="K51" s="851"/>
      <c r="L51" s="851"/>
      <c r="M51" s="851"/>
      <c r="N51" s="851"/>
      <c r="O51" s="851"/>
      <c r="P51" s="851"/>
      <c r="Q51" s="851"/>
      <c r="R51" s="851"/>
      <c r="S51" s="851"/>
      <c r="T51" s="851"/>
      <c r="U51" s="851"/>
      <c r="V51" s="851"/>
      <c r="W51" s="851"/>
      <c r="X51" s="851"/>
      <c r="Y51" s="851"/>
      <c r="Z51" s="851"/>
      <c r="AA51" s="851"/>
      <c r="AB51" s="851"/>
      <c r="AC51" s="851"/>
      <c r="AD51" s="851"/>
      <c r="AE51" s="851"/>
      <c r="AF51" s="851"/>
      <c r="AG51" s="851"/>
      <c r="AH51" s="851"/>
      <c r="AI51" s="851"/>
      <c r="AJ51" s="851"/>
      <c r="AK51" s="851"/>
      <c r="AL51" s="851"/>
      <c r="AM51" s="851"/>
      <c r="AN51" s="851"/>
      <c r="AO51" s="851"/>
      <c r="AP51" s="851"/>
      <c r="AQ51" s="851"/>
    </row>
    <row r="52" spans="2:43" ht="13.5" thickBot="1">
      <c r="B52" s="73"/>
      <c r="C52" s="851"/>
      <c r="D52" s="851"/>
      <c r="E52" s="851"/>
      <c r="F52" s="851"/>
      <c r="G52" s="851"/>
      <c r="H52" s="851"/>
      <c r="I52" s="852"/>
      <c r="J52" s="852"/>
      <c r="K52" s="852"/>
      <c r="L52" s="851"/>
      <c r="M52" s="851"/>
      <c r="N52" s="851"/>
      <c r="O52" s="851"/>
      <c r="P52" s="851"/>
      <c r="Q52" s="851"/>
      <c r="R52" s="851"/>
      <c r="S52" s="851"/>
      <c r="T52" s="851"/>
      <c r="U52" s="851"/>
      <c r="V52" s="851"/>
      <c r="W52" s="851"/>
      <c r="X52" s="851"/>
      <c r="Y52" s="851"/>
      <c r="Z52" s="851"/>
      <c r="AA52" s="851"/>
      <c r="AB52" s="851"/>
      <c r="AC52" s="851"/>
      <c r="AD52" s="851"/>
      <c r="AE52" s="851"/>
      <c r="AF52" s="851"/>
      <c r="AG52" s="851"/>
      <c r="AH52" s="851"/>
      <c r="AI52" s="851"/>
      <c r="AJ52" s="851"/>
      <c r="AK52" s="851"/>
      <c r="AL52" s="851"/>
      <c r="AM52" s="851"/>
      <c r="AN52" s="851"/>
      <c r="AO52" s="851"/>
      <c r="AP52" s="851"/>
      <c r="AQ52" s="851"/>
    </row>
    <row r="53" spans="2:43" ht="39">
      <c r="B53" s="73"/>
      <c r="C53" s="851"/>
      <c r="D53" s="851"/>
      <c r="E53" s="851"/>
      <c r="F53" s="851"/>
      <c r="G53" s="851"/>
      <c r="H53" s="851"/>
      <c r="I53" s="8" t="s">
        <v>84</v>
      </c>
      <c r="J53" s="9" t="s">
        <v>76</v>
      </c>
      <c r="K53" s="9" t="s">
        <v>77</v>
      </c>
      <c r="L53" s="851"/>
      <c r="M53" s="870" t="s">
        <v>78</v>
      </c>
      <c r="N53" s="871" t="s">
        <v>76</v>
      </c>
      <c r="O53" s="872" t="s">
        <v>77</v>
      </c>
      <c r="P53" s="851"/>
      <c r="Q53" s="851"/>
      <c r="R53" s="851"/>
      <c r="S53" s="851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1"/>
      <c r="AI53" s="851"/>
      <c r="AJ53" s="851"/>
      <c r="AK53" s="851"/>
      <c r="AL53" s="851"/>
      <c r="AM53" s="851"/>
      <c r="AN53" s="851"/>
      <c r="AO53" s="851"/>
      <c r="AP53" s="851"/>
      <c r="AQ53" s="851"/>
    </row>
    <row r="54" spans="2:43" ht="13">
      <c r="B54" s="73"/>
      <c r="C54" s="851"/>
      <c r="D54" s="851"/>
      <c r="E54" s="851"/>
      <c r="F54" s="851"/>
      <c r="G54" s="851"/>
      <c r="H54" s="851"/>
      <c r="I54" s="10"/>
      <c r="J54" s="11"/>
      <c r="K54" s="11"/>
      <c r="L54" s="851"/>
      <c r="M54" s="875">
        <v>2023</v>
      </c>
      <c r="N54" s="868">
        <f t="shared" ref="N54:N59" si="93">O54*BL$2</f>
        <v>0</v>
      </c>
      <c r="O54" s="869">
        <v>0</v>
      </c>
      <c r="P54" s="851"/>
      <c r="Q54" s="851"/>
      <c r="R54" s="851"/>
      <c r="S54" s="851"/>
      <c r="T54" s="851"/>
      <c r="U54" s="851"/>
      <c r="V54" s="851"/>
      <c r="W54" s="851"/>
      <c r="X54" s="851"/>
      <c r="Y54" s="851"/>
      <c r="Z54" s="851"/>
      <c r="AA54" s="851"/>
      <c r="AB54" s="851"/>
      <c r="AC54" s="851"/>
      <c r="AD54" s="851"/>
      <c r="AE54" s="851"/>
      <c r="AF54" s="851"/>
      <c r="AG54" s="851"/>
      <c r="AH54" s="851"/>
      <c r="AI54" s="851"/>
      <c r="AJ54" s="851"/>
      <c r="AK54" s="851"/>
      <c r="AL54" s="851"/>
      <c r="AM54" s="851"/>
      <c r="AN54" s="851"/>
      <c r="AO54" s="851"/>
      <c r="AP54" s="851"/>
      <c r="AQ54" s="851"/>
    </row>
    <row r="55" spans="2:43" ht="13">
      <c r="B55" s="73"/>
      <c r="C55" s="851"/>
      <c r="D55" s="851"/>
      <c r="E55" s="851"/>
      <c r="F55" s="851"/>
      <c r="G55" s="851"/>
      <c r="H55" s="851"/>
      <c r="I55" s="10" t="s">
        <v>79</v>
      </c>
      <c r="J55" s="12">
        <f>$AF$26</f>
        <v>172029</v>
      </c>
      <c r="K55" s="12">
        <f>$BK$26</f>
        <v>1564.7417153996103</v>
      </c>
      <c r="L55" s="851"/>
      <c r="M55" s="875">
        <v>2024</v>
      </c>
      <c r="N55" s="868">
        <f t="shared" si="93"/>
        <v>294275.95600000001</v>
      </c>
      <c r="O55" s="869">
        <v>3584.36</v>
      </c>
      <c r="P55" s="851"/>
      <c r="Q55" s="851"/>
      <c r="R55" s="851"/>
      <c r="S55" s="851"/>
      <c r="T55" s="851"/>
      <c r="U55" s="851"/>
      <c r="V55" s="851"/>
      <c r="W55" s="851"/>
      <c r="X55" s="851"/>
      <c r="Y55" s="851"/>
      <c r="Z55" s="851"/>
      <c r="AA55" s="851"/>
      <c r="AB55" s="851"/>
      <c r="AC55" s="851"/>
      <c r="AD55" s="851"/>
      <c r="AE55" s="851"/>
      <c r="AF55" s="851"/>
      <c r="AG55" s="851"/>
      <c r="AH55" s="851"/>
      <c r="AI55" s="851"/>
      <c r="AJ55" s="851"/>
      <c r="AK55" s="851"/>
      <c r="AL55" s="851"/>
      <c r="AM55" s="851"/>
      <c r="AN55" s="851"/>
      <c r="AO55" s="851"/>
      <c r="AP55" s="851"/>
      <c r="AQ55" s="851"/>
    </row>
    <row r="56" spans="2:43" ht="13.5" thickBot="1">
      <c r="B56" s="73"/>
      <c r="C56" s="851"/>
      <c r="D56" s="851"/>
      <c r="E56" s="851"/>
      <c r="F56" s="851"/>
      <c r="G56" s="851"/>
      <c r="H56" s="851"/>
      <c r="I56" s="13" t="s">
        <v>80</v>
      </c>
      <c r="J56" s="14"/>
      <c r="K56" s="14"/>
      <c r="L56" s="851"/>
      <c r="M56" s="875">
        <v>2025</v>
      </c>
      <c r="N56" s="868">
        <f t="shared" si="93"/>
        <v>148432.69500000001</v>
      </c>
      <c r="O56" s="869">
        <v>1807.95</v>
      </c>
      <c r="P56" s="851"/>
      <c r="Q56" s="851"/>
      <c r="R56" s="851"/>
      <c r="S56" s="851"/>
      <c r="T56" s="851"/>
      <c r="U56" s="851"/>
      <c r="V56" s="851"/>
      <c r="W56" s="851"/>
      <c r="X56" s="851"/>
      <c r="Y56" s="851"/>
      <c r="Z56" s="851"/>
      <c r="AA56" s="851"/>
      <c r="AB56" s="851"/>
      <c r="AC56" s="851"/>
      <c r="AD56" s="851"/>
      <c r="AE56" s="851"/>
      <c r="AF56" s="851"/>
      <c r="AG56" s="851"/>
      <c r="AH56" s="851"/>
      <c r="AI56" s="851"/>
      <c r="AJ56" s="851"/>
      <c r="AK56" s="851"/>
      <c r="AL56" s="851"/>
      <c r="AM56" s="851"/>
      <c r="AN56" s="851"/>
      <c r="AO56" s="851"/>
      <c r="AP56" s="851"/>
      <c r="AQ56" s="851"/>
    </row>
    <row r="57" spans="2:43" ht="14" thickTop="1" thickBot="1">
      <c r="B57" s="73"/>
      <c r="C57" s="851"/>
      <c r="D57" s="851"/>
      <c r="E57" s="851"/>
      <c r="F57" s="851"/>
      <c r="G57" s="851"/>
      <c r="H57" s="851"/>
      <c r="I57" s="795" t="s">
        <v>81</v>
      </c>
      <c r="J57" s="796">
        <f>SUM(J55:J56)</f>
        <v>172029</v>
      </c>
      <c r="K57" s="796">
        <f>SUM(K55:K56)</f>
        <v>1564.7417153996103</v>
      </c>
      <c r="L57" s="851"/>
      <c r="M57" s="875">
        <v>2030</v>
      </c>
      <c r="N57" s="868">
        <f t="shared" si="93"/>
        <v>15927.4</v>
      </c>
      <c r="O57" s="869">
        <v>194</v>
      </c>
      <c r="P57" s="851"/>
      <c r="Q57" s="851"/>
      <c r="R57" s="851"/>
      <c r="S57" s="851"/>
      <c r="T57" s="851"/>
      <c r="U57" s="851"/>
      <c r="V57" s="851"/>
      <c r="W57" s="851"/>
      <c r="X57" s="851"/>
      <c r="Y57" s="851"/>
      <c r="Z57" s="851"/>
      <c r="AA57" s="851"/>
      <c r="AB57" s="851"/>
      <c r="AC57" s="851"/>
      <c r="AD57" s="851"/>
      <c r="AE57" s="851"/>
      <c r="AF57" s="851"/>
      <c r="AG57" s="851"/>
      <c r="AH57" s="851"/>
      <c r="AI57" s="851"/>
      <c r="AJ57" s="851"/>
      <c r="AK57" s="851"/>
      <c r="AL57" s="851"/>
      <c r="AM57" s="851"/>
      <c r="AN57" s="851"/>
      <c r="AO57" s="851"/>
      <c r="AP57" s="851"/>
      <c r="AQ57" s="851"/>
    </row>
    <row r="58" spans="2:43" ht="13">
      <c r="B58" s="73"/>
      <c r="C58" s="851"/>
      <c r="D58" s="851"/>
      <c r="E58" s="851"/>
      <c r="F58" s="851"/>
      <c r="G58" s="851"/>
      <c r="H58" s="851"/>
      <c r="I58" s="851"/>
      <c r="J58" s="851"/>
      <c r="K58" s="851"/>
      <c r="L58" s="851"/>
      <c r="M58" s="875">
        <v>2031</v>
      </c>
      <c r="N58" s="868">
        <f t="shared" si="93"/>
        <v>209483.07599999997</v>
      </c>
      <c r="O58" s="869">
        <v>2551.56</v>
      </c>
      <c r="P58" s="851"/>
      <c r="Q58" s="851"/>
      <c r="R58" s="851"/>
      <c r="S58" s="851"/>
      <c r="T58" s="851"/>
      <c r="U58" s="851"/>
      <c r="V58" s="851"/>
      <c r="W58" s="851"/>
      <c r="X58" s="851"/>
      <c r="Y58" s="851"/>
      <c r="Z58" s="851"/>
      <c r="AA58" s="851"/>
      <c r="AB58" s="851"/>
      <c r="AC58" s="851"/>
      <c r="AD58" s="851"/>
      <c r="AE58" s="851"/>
      <c r="AF58" s="851"/>
      <c r="AG58" s="851"/>
      <c r="AH58" s="851"/>
      <c r="AI58" s="851"/>
      <c r="AJ58" s="851"/>
      <c r="AK58" s="851"/>
      <c r="AL58" s="851"/>
      <c r="AM58" s="851"/>
      <c r="AN58" s="851"/>
      <c r="AO58" s="851"/>
      <c r="AP58" s="851"/>
      <c r="AQ58" s="851"/>
    </row>
    <row r="59" spans="2:43" ht="13">
      <c r="B59" s="73"/>
      <c r="C59" s="851"/>
      <c r="D59" s="851"/>
      <c r="E59" s="851"/>
      <c r="F59" s="851"/>
      <c r="G59" s="851"/>
      <c r="H59" s="851"/>
      <c r="I59" s="851"/>
      <c r="J59" s="851"/>
      <c r="K59" s="851"/>
      <c r="L59" s="851"/>
      <c r="M59" s="874" t="s">
        <v>82</v>
      </c>
      <c r="N59" s="868">
        <f t="shared" si="93"/>
        <v>123149.99999999999</v>
      </c>
      <c r="O59" s="869">
        <v>1500</v>
      </c>
      <c r="P59" s="851"/>
      <c r="Q59" s="851"/>
      <c r="R59" s="851"/>
      <c r="S59" s="851"/>
      <c r="T59" s="851"/>
      <c r="U59" s="851"/>
      <c r="V59" s="851"/>
      <c r="W59" s="851"/>
      <c r="X59" s="851"/>
      <c r="Y59" s="851"/>
      <c r="Z59" s="851"/>
      <c r="AA59" s="851"/>
      <c r="AB59" s="851"/>
      <c r="AC59" s="851"/>
      <c r="AD59" s="851"/>
      <c r="AE59" s="851"/>
      <c r="AF59" s="851"/>
      <c r="AG59" s="851"/>
      <c r="AH59" s="851"/>
      <c r="AI59" s="851"/>
      <c r="AJ59" s="851"/>
      <c r="AK59" s="851"/>
      <c r="AL59" s="851"/>
      <c r="AM59" s="851"/>
      <c r="AN59" s="851"/>
      <c r="AO59" s="851"/>
      <c r="AP59" s="851"/>
      <c r="AQ59" s="851"/>
    </row>
    <row r="60" spans="2:43" ht="13.5" thickBot="1">
      <c r="B60" s="73"/>
      <c r="C60" s="851"/>
      <c r="D60" s="851"/>
      <c r="E60" s="851"/>
      <c r="F60" s="851"/>
      <c r="G60" s="851"/>
      <c r="H60" s="851"/>
      <c r="I60" s="851"/>
      <c r="J60" s="851"/>
      <c r="K60" s="851"/>
      <c r="L60" s="851"/>
      <c r="M60" s="873" t="s">
        <v>83</v>
      </c>
      <c r="N60" s="885">
        <f>SUM(N54:N59)</f>
        <v>791269.12699999998</v>
      </c>
      <c r="O60" s="886">
        <f>SUM(O54:O59)</f>
        <v>9637.8700000000008</v>
      </c>
      <c r="P60" s="851"/>
      <c r="Q60" s="851"/>
      <c r="R60" s="851"/>
      <c r="S60" s="851"/>
      <c r="T60" s="851"/>
      <c r="U60" s="851"/>
      <c r="V60" s="851"/>
      <c r="W60" s="851"/>
      <c r="X60" s="851"/>
      <c r="Y60" s="851"/>
      <c r="Z60" s="851"/>
      <c r="AA60" s="851"/>
      <c r="AB60" s="851"/>
      <c r="AC60" s="851"/>
      <c r="AD60" s="851"/>
      <c r="AE60" s="851"/>
      <c r="AF60" s="851"/>
      <c r="AG60" s="851"/>
      <c r="AH60" s="851"/>
      <c r="AI60" s="851"/>
      <c r="AJ60" s="851"/>
      <c r="AK60" s="851"/>
      <c r="AL60" s="851"/>
      <c r="AM60" s="851"/>
      <c r="AN60" s="851"/>
      <c r="AO60" s="851"/>
      <c r="AP60" s="851"/>
      <c r="AQ60" s="851"/>
    </row>
    <row r="61" spans="2:43" ht="13">
      <c r="B61" s="73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  <c r="U61" s="851"/>
      <c r="V61" s="851"/>
      <c r="W61" s="851"/>
      <c r="X61" s="851"/>
      <c r="Y61" s="851"/>
      <c r="Z61" s="851"/>
      <c r="AA61" s="851"/>
      <c r="AB61" s="851"/>
      <c r="AC61" s="851"/>
      <c r="AD61" s="851"/>
      <c r="AE61" s="851"/>
      <c r="AF61" s="851"/>
      <c r="AG61" s="851"/>
      <c r="AH61" s="851"/>
      <c r="AI61" s="851"/>
      <c r="AJ61" s="851"/>
      <c r="AK61" s="851"/>
      <c r="AL61" s="851"/>
      <c r="AM61" s="851"/>
      <c r="AN61" s="851"/>
      <c r="AO61" s="851"/>
      <c r="AP61" s="851"/>
      <c r="AQ61" s="851"/>
    </row>
    <row r="62" spans="2:43" ht="13.5" thickBot="1">
      <c r="B62" s="73"/>
      <c r="C62" s="851"/>
      <c r="D62" s="851"/>
      <c r="E62" s="851"/>
      <c r="F62" s="851"/>
      <c r="G62" s="851"/>
      <c r="H62" s="851"/>
      <c r="I62" s="852"/>
      <c r="J62" s="852"/>
      <c r="K62" s="852"/>
      <c r="L62" s="851"/>
      <c r="M62" s="851"/>
      <c r="N62" s="851"/>
      <c r="O62" s="851"/>
      <c r="P62" s="851"/>
      <c r="Q62" s="851"/>
      <c r="R62" s="851"/>
      <c r="S62" s="851"/>
      <c r="T62" s="851"/>
      <c r="U62" s="851"/>
      <c r="V62" s="851"/>
      <c r="W62" s="851"/>
      <c r="X62" s="851"/>
      <c r="Y62" s="851"/>
      <c r="Z62" s="851"/>
      <c r="AA62" s="851"/>
      <c r="AB62" s="851"/>
      <c r="AC62" s="851"/>
      <c r="AD62" s="851"/>
      <c r="AE62" s="851"/>
      <c r="AF62" s="851"/>
      <c r="AG62" s="851"/>
      <c r="AH62" s="851"/>
      <c r="AI62" s="851"/>
      <c r="AJ62" s="851"/>
      <c r="AK62" s="851"/>
      <c r="AL62" s="851"/>
      <c r="AM62" s="851"/>
      <c r="AN62" s="851"/>
      <c r="AO62" s="851"/>
      <c r="AP62" s="851"/>
      <c r="AQ62" s="851"/>
    </row>
    <row r="63" spans="2:43" ht="39">
      <c r="B63" s="73"/>
      <c r="C63" s="851"/>
      <c r="D63" s="851"/>
      <c r="E63" s="851"/>
      <c r="F63" s="851"/>
      <c r="G63" s="851"/>
      <c r="H63" s="851"/>
      <c r="I63" s="8" t="s">
        <v>85</v>
      </c>
      <c r="J63" s="9" t="s">
        <v>76</v>
      </c>
      <c r="K63" s="9" t="s">
        <v>77</v>
      </c>
      <c r="L63" s="851"/>
      <c r="M63" s="870" t="s">
        <v>78</v>
      </c>
      <c r="N63" s="871" t="s">
        <v>76</v>
      </c>
      <c r="O63" s="872" t="s">
        <v>77</v>
      </c>
      <c r="P63" s="851"/>
      <c r="Q63" s="851"/>
      <c r="R63" s="851"/>
      <c r="S63" s="851"/>
      <c r="T63" s="851"/>
      <c r="U63" s="851"/>
      <c r="V63" s="851"/>
      <c r="W63" s="851"/>
      <c r="X63" s="851"/>
      <c r="Y63" s="851"/>
      <c r="Z63" s="851"/>
      <c r="AA63" s="851"/>
      <c r="AB63" s="851"/>
      <c r="AC63" s="851"/>
      <c r="AD63" s="851"/>
      <c r="AE63" s="851"/>
      <c r="AF63" s="851"/>
      <c r="AG63" s="851"/>
      <c r="AH63" s="851"/>
      <c r="AI63" s="851"/>
      <c r="AJ63" s="851"/>
      <c r="AK63" s="851"/>
      <c r="AL63" s="851"/>
      <c r="AM63" s="851"/>
      <c r="AN63" s="851"/>
      <c r="AO63" s="851"/>
      <c r="AP63" s="851"/>
      <c r="AQ63" s="851"/>
    </row>
    <row r="64" spans="2:43" ht="13">
      <c r="H64" s="851"/>
      <c r="I64" s="10"/>
      <c r="J64" s="11"/>
      <c r="K64" s="11"/>
      <c r="L64" s="851"/>
      <c r="M64" s="875">
        <v>2023</v>
      </c>
      <c r="N64" s="868">
        <f t="shared" ref="N64:N69" si="94">O64*BL$2</f>
        <v>9852</v>
      </c>
      <c r="O64" s="869">
        <v>120</v>
      </c>
    </row>
    <row r="65" spans="2:43" ht="13">
      <c r="I65" s="10" t="s">
        <v>79</v>
      </c>
      <c r="J65" s="12">
        <f>AF26</f>
        <v>172029</v>
      </c>
      <c r="K65" s="12">
        <f>BK14</f>
        <v>1000</v>
      </c>
      <c r="L65" s="851"/>
      <c r="M65" s="875">
        <v>2024</v>
      </c>
      <c r="N65" s="868">
        <f t="shared" si="94"/>
        <v>294664.28899999999</v>
      </c>
      <c r="O65" s="869">
        <v>3589.09</v>
      </c>
    </row>
    <row r="66" spans="2:43" ht="13.5" thickBot="1">
      <c r="E66"/>
      <c r="F66"/>
      <c r="G66"/>
      <c r="I66" s="13" t="s">
        <v>80</v>
      </c>
      <c r="J66" s="14"/>
      <c r="K66" s="14"/>
      <c r="L66" s="851"/>
      <c r="M66" s="875">
        <v>2025</v>
      </c>
      <c r="N66" s="868">
        <f t="shared" si="94"/>
        <v>160037.53</v>
      </c>
      <c r="O66" s="869">
        <v>1949.3</v>
      </c>
    </row>
    <row r="67" spans="2:43" ht="14" thickTop="1" thickBot="1">
      <c r="E67"/>
      <c r="F67"/>
      <c r="G67"/>
      <c r="I67" s="795" t="s">
        <v>81</v>
      </c>
      <c r="J67" s="796">
        <f>SUM(J65:J66)</f>
        <v>172029</v>
      </c>
      <c r="K67" s="796">
        <f>SUM(K65:K66)</f>
        <v>1000</v>
      </c>
      <c r="L67" s="851"/>
      <c r="M67" s="875">
        <v>2030</v>
      </c>
      <c r="N67" s="868">
        <f t="shared" si="94"/>
        <v>15927.4</v>
      </c>
      <c r="O67" s="869">
        <v>194</v>
      </c>
    </row>
    <row r="68" spans="2:43" ht="13">
      <c r="E68"/>
      <c r="F68"/>
      <c r="G68"/>
      <c r="I68" s="851"/>
      <c r="J68" s="851"/>
      <c r="K68" s="851"/>
      <c r="L68" s="851"/>
      <c r="M68" s="875">
        <v>2031</v>
      </c>
      <c r="N68" s="868">
        <f t="shared" si="94"/>
        <v>211145.601</v>
      </c>
      <c r="O68" s="869">
        <v>2571.81</v>
      </c>
    </row>
    <row r="69" spans="2:43" ht="13">
      <c r="B69" s="73"/>
      <c r="C69" s="851"/>
      <c r="D69" s="851"/>
      <c r="E69" s="851"/>
      <c r="F69" s="851"/>
      <c r="G69" s="851"/>
      <c r="I69" s="851"/>
      <c r="J69" s="851"/>
      <c r="K69" s="851"/>
      <c r="L69" s="851"/>
      <c r="M69" s="874" t="s">
        <v>82</v>
      </c>
      <c r="N69" s="868">
        <f t="shared" si="94"/>
        <v>123149.99999999999</v>
      </c>
      <c r="O69" s="869">
        <v>1500</v>
      </c>
      <c r="P69" s="851"/>
      <c r="Q69" s="851"/>
      <c r="R69" s="851"/>
      <c r="S69" s="851"/>
      <c r="T69" s="851"/>
      <c r="U69" s="851"/>
      <c r="V69" s="851"/>
      <c r="W69" s="851"/>
      <c r="X69" s="851"/>
      <c r="Y69" s="851"/>
      <c r="Z69" s="851"/>
      <c r="AA69" s="851"/>
      <c r="AB69" s="851"/>
      <c r="AC69" s="851"/>
      <c r="AD69" s="851"/>
      <c r="AE69" s="851"/>
      <c r="AF69" s="851"/>
      <c r="AG69" s="851"/>
      <c r="AH69" s="851"/>
      <c r="AI69" s="851"/>
      <c r="AJ69" s="851"/>
      <c r="AK69" s="851"/>
      <c r="AL69" s="851"/>
      <c r="AM69" s="851"/>
      <c r="AN69" s="851"/>
      <c r="AO69" s="851"/>
      <c r="AP69" s="851"/>
      <c r="AQ69" s="851"/>
    </row>
    <row r="70" spans="2:43" ht="13.5" thickBot="1">
      <c r="H70" s="851"/>
      <c r="I70" s="851"/>
      <c r="J70" s="851"/>
      <c r="K70" s="851"/>
      <c r="L70" s="851"/>
      <c r="M70" s="873" t="s">
        <v>83</v>
      </c>
      <c r="N70" s="885">
        <f>SUM(N64:N69)</f>
        <v>814776.82000000007</v>
      </c>
      <c r="O70" s="886">
        <f>SUM(O64:O69)</f>
        <v>9924.2000000000007</v>
      </c>
    </row>
    <row r="71" spans="2:43" ht="13">
      <c r="I71" s="851"/>
      <c r="J71" s="851"/>
      <c r="K71" s="851"/>
      <c r="L71" s="851"/>
      <c r="M71" s="851"/>
      <c r="N71" s="851"/>
      <c r="O71" s="851"/>
    </row>
    <row r="72" spans="2:43" ht="13.5" thickBot="1">
      <c r="E72"/>
      <c r="F72"/>
      <c r="G72"/>
      <c r="I72" s="852"/>
      <c r="J72" s="852"/>
      <c r="K72" s="852"/>
      <c r="L72" s="851"/>
      <c r="M72" s="851"/>
      <c r="N72" s="851"/>
      <c r="O72" s="851"/>
    </row>
    <row r="73" spans="2:43" ht="39">
      <c r="E73"/>
      <c r="F73"/>
      <c r="G73"/>
      <c r="I73" s="8" t="s">
        <v>86</v>
      </c>
      <c r="J73" s="9" t="s">
        <v>76</v>
      </c>
      <c r="K73" s="9" t="s">
        <v>77</v>
      </c>
      <c r="L73" s="851"/>
      <c r="M73" s="870" t="s">
        <v>78</v>
      </c>
      <c r="N73" s="871" t="s">
        <v>76</v>
      </c>
      <c r="O73" s="872" t="s">
        <v>77</v>
      </c>
    </row>
    <row r="74" spans="2:43" ht="13">
      <c r="E74"/>
      <c r="F74"/>
      <c r="G74"/>
      <c r="I74" s="10"/>
      <c r="J74" s="11"/>
      <c r="K74" s="11"/>
      <c r="M74" s="875">
        <v>2023</v>
      </c>
      <c r="N74" s="868">
        <f t="shared" ref="N74:N79" si="95">O74*$BJ$2</f>
        <v>9926.0399999999991</v>
      </c>
      <c r="O74" s="869">
        <v>120</v>
      </c>
    </row>
    <row r="75" spans="2:43" ht="13">
      <c r="B75" s="73"/>
      <c r="C75" s="851"/>
      <c r="D75" s="851"/>
      <c r="E75" s="851"/>
      <c r="F75" s="851"/>
      <c r="G75" s="851"/>
      <c r="I75" s="10" t="s">
        <v>79</v>
      </c>
      <c r="J75" s="12">
        <f>AE26</f>
        <v>128434</v>
      </c>
      <c r="K75" s="12">
        <f>BK26</f>
        <v>1564.7417153996103</v>
      </c>
      <c r="M75" s="875">
        <v>2024</v>
      </c>
      <c r="N75" s="868">
        <f t="shared" si="95"/>
        <v>296938.31377000001</v>
      </c>
      <c r="O75" s="869">
        <v>3589.81</v>
      </c>
      <c r="P75" s="851"/>
      <c r="Q75" s="851"/>
      <c r="R75" s="851"/>
      <c r="S75" s="851"/>
      <c r="T75" s="851"/>
      <c r="U75" s="851"/>
      <c r="V75" s="851"/>
      <c r="W75" s="851"/>
      <c r="X75" s="851"/>
      <c r="Y75" s="851"/>
      <c r="Z75" s="851"/>
      <c r="AA75" s="851"/>
      <c r="AB75" s="851"/>
      <c r="AC75" s="851"/>
      <c r="AD75" s="851"/>
      <c r="AE75" s="851"/>
      <c r="AF75" s="851"/>
      <c r="AG75" s="851"/>
      <c r="AH75" s="851"/>
      <c r="AI75" s="851"/>
      <c r="AJ75" s="851"/>
      <c r="AK75" s="851"/>
      <c r="AL75" s="851"/>
      <c r="AM75" s="851"/>
      <c r="AN75" s="851"/>
      <c r="AO75" s="851"/>
      <c r="AP75" s="851"/>
      <c r="AQ75" s="851"/>
    </row>
    <row r="76" spans="2:43" ht="13.5" thickBot="1">
      <c r="H76" s="851"/>
      <c r="I76" s="13" t="s">
        <v>80</v>
      </c>
      <c r="J76" s="14"/>
      <c r="K76" s="14"/>
      <c r="M76" s="875">
        <v>2025</v>
      </c>
      <c r="N76" s="868">
        <f t="shared" si="95"/>
        <v>161240.2481</v>
      </c>
      <c r="O76" s="869">
        <v>1949.3</v>
      </c>
    </row>
    <row r="77" spans="2:43" ht="14" thickTop="1" thickBot="1">
      <c r="I77" s="795" t="s">
        <v>81</v>
      </c>
      <c r="J77" s="796">
        <f>SUM(J75:J76)</f>
        <v>128434</v>
      </c>
      <c r="K77" s="796">
        <f>SUM(K75:K76)</f>
        <v>1564.7417153996103</v>
      </c>
      <c r="M77" s="875">
        <v>2030</v>
      </c>
      <c r="N77" s="868">
        <f t="shared" si="95"/>
        <v>16047.098</v>
      </c>
      <c r="O77" s="869">
        <v>194</v>
      </c>
    </row>
    <row r="78" spans="2:43" ht="13.5" thickBot="1">
      <c r="E78"/>
      <c r="F78"/>
      <c r="G78"/>
      <c r="I78" s="852"/>
      <c r="J78" s="852"/>
      <c r="K78" s="852"/>
      <c r="M78" s="875">
        <v>2031</v>
      </c>
      <c r="N78" s="868">
        <f t="shared" si="95"/>
        <v>212988.00330000001</v>
      </c>
      <c r="O78" s="869">
        <v>2574.9</v>
      </c>
    </row>
    <row r="79" spans="2:43" ht="39">
      <c r="E79"/>
      <c r="F79"/>
      <c r="G79"/>
      <c r="I79" s="8" t="s">
        <v>87</v>
      </c>
      <c r="J79" s="9" t="s">
        <v>76</v>
      </c>
      <c r="K79" s="9" t="s">
        <v>77</v>
      </c>
      <c r="L79" s="851"/>
      <c r="M79" s="874" t="s">
        <v>82</v>
      </c>
      <c r="N79" s="868">
        <f t="shared" si="95"/>
        <v>124075.5</v>
      </c>
      <c r="O79" s="869">
        <v>1500</v>
      </c>
    </row>
    <row r="80" spans="2:43" ht="13.5" thickBot="1">
      <c r="E80"/>
      <c r="F80"/>
      <c r="G80"/>
      <c r="I80" s="10"/>
      <c r="J80" s="11"/>
      <c r="K80" s="11"/>
      <c r="M80" s="873" t="s">
        <v>83</v>
      </c>
      <c r="N80" s="885">
        <f>SUM(N74:N79)</f>
        <v>821215.20316999999</v>
      </c>
      <c r="O80" s="886">
        <f>SUM(O74:O79)</f>
        <v>9928.01</v>
      </c>
    </row>
    <row r="81" spans="2:43" ht="13">
      <c r="B81" s="73"/>
      <c r="C81" s="851"/>
      <c r="D81" s="851"/>
      <c r="E81" s="851"/>
      <c r="F81" s="851"/>
      <c r="G81" s="851"/>
      <c r="I81" s="10" t="s">
        <v>79</v>
      </c>
      <c r="J81" s="12">
        <f>AE26</f>
        <v>128434</v>
      </c>
      <c r="K81" s="12">
        <f>BJ26</f>
        <v>1489.8411046139245</v>
      </c>
      <c r="P81" s="851"/>
      <c r="Q81" s="851"/>
      <c r="R81" s="851"/>
      <c r="S81" s="851"/>
      <c r="T81" s="851"/>
      <c r="U81" s="851"/>
      <c r="V81" s="851"/>
      <c r="W81" s="851"/>
      <c r="X81" s="851"/>
      <c r="Y81" s="851"/>
      <c r="Z81" s="851"/>
      <c r="AA81" s="851"/>
      <c r="AB81" s="851"/>
      <c r="AC81" s="851"/>
      <c r="AD81" s="851"/>
      <c r="AE81" s="851"/>
      <c r="AF81" s="851"/>
      <c r="AG81" s="851"/>
      <c r="AH81" s="851"/>
      <c r="AI81" s="851"/>
      <c r="AJ81" s="851"/>
      <c r="AK81" s="851"/>
      <c r="AL81" s="851"/>
      <c r="AM81" s="851"/>
      <c r="AN81" s="851"/>
      <c r="AO81" s="851"/>
      <c r="AP81" s="851"/>
      <c r="AQ81" s="851"/>
    </row>
    <row r="82" spans="2:43" ht="13.5" thickBot="1">
      <c r="H82" s="851"/>
      <c r="I82" s="13" t="s">
        <v>80</v>
      </c>
      <c r="J82" s="14"/>
      <c r="K82" s="14"/>
    </row>
    <row r="83" spans="2:43" ht="14" thickTop="1" thickBot="1">
      <c r="I83" s="795" t="s">
        <v>81</v>
      </c>
      <c r="J83" s="796">
        <f>SUM(J81:J82)</f>
        <v>128434</v>
      </c>
      <c r="K83" s="796">
        <f>SUM(K81:K82)</f>
        <v>1489.8411046139245</v>
      </c>
    </row>
    <row r="84" spans="2:43" ht="12.5">
      <c r="E84"/>
      <c r="F84"/>
      <c r="G84"/>
    </row>
    <row r="85" spans="2:43" ht="13.5" thickBot="1">
      <c r="E85"/>
      <c r="F85"/>
      <c r="G85"/>
      <c r="L85" s="851"/>
    </row>
    <row r="86" spans="2:43" ht="39">
      <c r="E86"/>
      <c r="F86"/>
      <c r="G86"/>
      <c r="I86" s="8" t="s">
        <v>88</v>
      </c>
      <c r="J86" s="9" t="s">
        <v>76</v>
      </c>
      <c r="K86" s="9" t="s">
        <v>77</v>
      </c>
      <c r="M86" s="851"/>
      <c r="N86" s="851"/>
      <c r="O86" s="851"/>
    </row>
    <row r="87" spans="2:43" ht="13">
      <c r="E87"/>
      <c r="F87"/>
      <c r="G87"/>
      <c r="I87" s="10"/>
      <c r="J87" s="11"/>
      <c r="K87" s="11"/>
    </row>
    <row r="88" spans="2:43" ht="13">
      <c r="H88" s="66"/>
      <c r="I88" s="10" t="s">
        <v>79</v>
      </c>
      <c r="J88" s="12">
        <f>AC26</f>
        <v>82596.571418306994</v>
      </c>
      <c r="K88" s="12">
        <f>BI26</f>
        <v>1013.9400623403469</v>
      </c>
    </row>
    <row r="89" spans="2:43" ht="13.5" thickBot="1">
      <c r="I89" s="13" t="s">
        <v>80</v>
      </c>
      <c r="J89" s="14"/>
      <c r="K89" s="14"/>
    </row>
    <row r="90" spans="2:43" ht="14" thickTop="1" thickBot="1">
      <c r="E90"/>
      <c r="F90"/>
      <c r="G90"/>
      <c r="I90" s="795" t="s">
        <v>81</v>
      </c>
      <c r="J90" s="796">
        <f>SUM(J88:J89)</f>
        <v>82596.571418306994</v>
      </c>
      <c r="K90" s="796">
        <f>SUM(K88:K89)</f>
        <v>1013.9400623403469</v>
      </c>
    </row>
    <row r="91" spans="2:43" ht="13">
      <c r="E91"/>
      <c r="F91"/>
      <c r="G91"/>
      <c r="I91" s="852"/>
      <c r="J91" s="852"/>
      <c r="K91" s="852"/>
      <c r="L91" s="851"/>
    </row>
    <row r="92" spans="2:43" ht="13">
      <c r="E92"/>
      <c r="F92"/>
      <c r="G92"/>
      <c r="M92" s="851"/>
      <c r="N92" s="851"/>
      <c r="O92" s="851"/>
    </row>
    <row r="93" spans="2:43" ht="13" thickBot="1">
      <c r="E93"/>
      <c r="F93"/>
      <c r="G93"/>
    </row>
    <row r="94" spans="2:43" ht="39">
      <c r="H94" s="66"/>
      <c r="I94" s="8" t="s">
        <v>89</v>
      </c>
      <c r="J94" s="9" t="s">
        <v>76</v>
      </c>
      <c r="K94" s="9" t="s">
        <v>77</v>
      </c>
    </row>
    <row r="95" spans="2:43" ht="13">
      <c r="I95" s="10"/>
      <c r="J95" s="11"/>
      <c r="K95" s="11"/>
    </row>
    <row r="96" spans="2:43" ht="13">
      <c r="E96"/>
      <c r="F96"/>
      <c r="G96"/>
      <c r="I96" s="10" t="s">
        <v>79</v>
      </c>
      <c r="J96" s="12">
        <f>AB26</f>
        <v>106002.16907555901</v>
      </c>
      <c r="K96" s="12">
        <f>BH26</f>
        <v>1343.1597703441334</v>
      </c>
    </row>
    <row r="97" spans="2:43" ht="13.5" thickBot="1">
      <c r="E97"/>
      <c r="F97"/>
      <c r="G97"/>
      <c r="I97" s="13" t="s">
        <v>80</v>
      </c>
      <c r="J97" s="14"/>
      <c r="K97" s="14"/>
    </row>
    <row r="98" spans="2:43" ht="14" thickTop="1" thickBot="1">
      <c r="E98"/>
      <c r="F98"/>
      <c r="G98"/>
      <c r="I98" s="795" t="s">
        <v>81</v>
      </c>
      <c r="J98" s="796">
        <f>SUM(J96:J97)</f>
        <v>106002.16907555901</v>
      </c>
      <c r="K98" s="796">
        <f>SUM(K96:K97)</f>
        <v>1343.1597703441334</v>
      </c>
    </row>
    <row r="99" spans="2:43" ht="13.5" thickBot="1">
      <c r="E99"/>
      <c r="F99"/>
      <c r="G99"/>
      <c r="I99" s="852"/>
      <c r="J99" s="852"/>
      <c r="K99" s="852"/>
    </row>
    <row r="100" spans="2:43" ht="39">
      <c r="B100" s="73"/>
      <c r="C100" s="851"/>
      <c r="D100" s="851"/>
      <c r="E100" s="851"/>
      <c r="F100" s="851"/>
      <c r="G100" s="851"/>
      <c r="H100" s="66"/>
      <c r="I100" s="8" t="s">
        <v>90</v>
      </c>
      <c r="J100" s="9" t="s">
        <v>76</v>
      </c>
      <c r="K100" s="9" t="s">
        <v>77</v>
      </c>
      <c r="P100" s="851"/>
      <c r="Q100" s="851"/>
      <c r="R100" s="851"/>
      <c r="S100" s="851"/>
      <c r="T100" s="851"/>
      <c r="U100" s="851"/>
      <c r="V100" s="851"/>
      <c r="W100" s="851"/>
      <c r="X100" s="851"/>
      <c r="Y100" s="851"/>
      <c r="Z100" s="851"/>
      <c r="AA100" s="851"/>
      <c r="AB100" s="851"/>
      <c r="AC100" s="851"/>
      <c r="AD100" s="851"/>
      <c r="AE100" s="851"/>
      <c r="AF100" s="851"/>
      <c r="AG100" s="851"/>
      <c r="AH100" s="851"/>
      <c r="AI100" s="851"/>
      <c r="AJ100" s="851"/>
      <c r="AK100" s="851"/>
      <c r="AL100" s="851"/>
      <c r="AM100" s="851"/>
      <c r="AN100" s="851"/>
      <c r="AO100" s="851"/>
      <c r="AP100" s="851"/>
      <c r="AQ100" s="851"/>
    </row>
    <row r="101" spans="2:43" ht="13">
      <c r="H101" s="851"/>
      <c r="I101" s="10"/>
      <c r="J101" s="11"/>
      <c r="K101" s="11"/>
    </row>
    <row r="102" spans="2:43" ht="13">
      <c r="I102" s="10" t="s">
        <v>79</v>
      </c>
      <c r="J102" s="12">
        <f>AA26</f>
        <v>92208</v>
      </c>
      <c r="K102" s="12">
        <f>BG26</f>
        <v>1240.0215169445939</v>
      </c>
    </row>
    <row r="103" spans="2:43" ht="13.5" thickBot="1">
      <c r="E103"/>
      <c r="F103"/>
      <c r="G103"/>
      <c r="I103" s="13" t="s">
        <v>80</v>
      </c>
      <c r="J103" s="14"/>
      <c r="K103" s="14"/>
    </row>
    <row r="104" spans="2:43" ht="14" thickTop="1" thickBot="1">
      <c r="E104"/>
      <c r="F104"/>
      <c r="G104"/>
      <c r="I104" s="795" t="s">
        <v>81</v>
      </c>
      <c r="J104" s="796">
        <f>SUM(J102:J103)</f>
        <v>92208</v>
      </c>
      <c r="K104" s="796">
        <f>SUM(K102:K103)</f>
        <v>1240.0215169445939</v>
      </c>
    </row>
    <row r="105" spans="2:43" ht="13.5" thickBot="1">
      <c r="E105"/>
      <c r="F105"/>
      <c r="G105"/>
      <c r="I105" s="852"/>
      <c r="J105" s="852"/>
      <c r="K105" s="852"/>
    </row>
    <row r="106" spans="2:43" ht="39">
      <c r="E106"/>
      <c r="F106"/>
      <c r="G106"/>
      <c r="I106" s="8" t="s">
        <v>91</v>
      </c>
      <c r="J106" s="9" t="s">
        <v>76</v>
      </c>
      <c r="K106" s="9" t="s">
        <v>77</v>
      </c>
    </row>
    <row r="107" spans="2:43" ht="13">
      <c r="B107" s="73"/>
      <c r="C107" s="851"/>
      <c r="D107" s="851"/>
      <c r="E107" s="851"/>
      <c r="F107" s="851"/>
      <c r="G107" s="851"/>
      <c r="H107" s="66"/>
      <c r="I107" s="10"/>
      <c r="J107" s="11"/>
      <c r="K107" s="11"/>
      <c r="P107" s="851"/>
      <c r="Q107" s="851"/>
      <c r="R107" s="851"/>
      <c r="S107" s="851"/>
      <c r="T107" s="851"/>
      <c r="U107" s="851"/>
      <c r="V107" s="851"/>
      <c r="W107" s="851"/>
      <c r="X107" s="851"/>
      <c r="Y107" s="851"/>
      <c r="Z107" s="851"/>
      <c r="AA107" s="851"/>
      <c r="AB107" s="851"/>
      <c r="AC107" s="851"/>
      <c r="AD107" s="851"/>
      <c r="AE107" s="851"/>
      <c r="AF107" s="851"/>
      <c r="AG107" s="851"/>
      <c r="AH107" s="851"/>
      <c r="AI107" s="851"/>
      <c r="AJ107" s="851"/>
      <c r="AK107" s="851"/>
      <c r="AL107" s="851"/>
      <c r="AM107" s="851"/>
      <c r="AN107" s="851"/>
      <c r="AO107" s="851"/>
      <c r="AP107" s="851"/>
      <c r="AQ107" s="851"/>
    </row>
    <row r="108" spans="2:43" ht="13">
      <c r="B108" s="73"/>
      <c r="C108" s="851"/>
      <c r="D108" s="851"/>
      <c r="E108" s="851"/>
      <c r="F108" s="851"/>
      <c r="G108" s="851"/>
      <c r="H108" s="851"/>
      <c r="I108" s="10" t="s">
        <v>79</v>
      </c>
      <c r="J108" s="12">
        <f>Z26</f>
        <v>91451.101451956012</v>
      </c>
      <c r="K108" s="12">
        <f>BF26</f>
        <v>1228.0755428841771</v>
      </c>
      <c r="P108" s="851"/>
      <c r="Q108" s="851"/>
      <c r="R108" s="851"/>
      <c r="S108" s="851"/>
      <c r="T108" s="851"/>
      <c r="U108" s="851"/>
      <c r="V108" s="851"/>
      <c r="W108" s="851"/>
      <c r="X108" s="851"/>
      <c r="Y108" s="851"/>
      <c r="Z108" s="851"/>
      <c r="AA108" s="851"/>
      <c r="AB108" s="851"/>
      <c r="AC108" s="851"/>
      <c r="AD108" s="851"/>
      <c r="AE108" s="851"/>
      <c r="AF108" s="851"/>
      <c r="AG108" s="851"/>
      <c r="AH108" s="851"/>
      <c r="AI108" s="851"/>
      <c r="AJ108" s="851"/>
      <c r="AK108" s="851"/>
      <c r="AL108" s="851"/>
      <c r="AM108" s="851"/>
      <c r="AN108" s="851"/>
      <c r="AO108" s="851"/>
      <c r="AP108" s="851"/>
      <c r="AQ108" s="851"/>
    </row>
    <row r="109" spans="2:43" ht="13.5" thickBot="1">
      <c r="H109" s="851"/>
      <c r="I109" s="13" t="s">
        <v>80</v>
      </c>
      <c r="J109" s="14"/>
      <c r="K109" s="14"/>
    </row>
    <row r="110" spans="2:43" ht="14" thickTop="1" thickBot="1">
      <c r="I110" s="795" t="s">
        <v>81</v>
      </c>
      <c r="J110" s="796">
        <f>SUM(J108:J109)</f>
        <v>91451.101451956012</v>
      </c>
      <c r="K110" s="796">
        <f>SUM(K108:K109)</f>
        <v>1228.0755428841771</v>
      </c>
      <c r="L110" s="851"/>
    </row>
    <row r="111" spans="2:43" ht="13.5" thickBot="1">
      <c r="E111"/>
      <c r="F111"/>
      <c r="G111"/>
      <c r="I111" s="852"/>
      <c r="J111" s="852"/>
      <c r="K111" s="852"/>
      <c r="M111" s="851"/>
      <c r="N111" s="851"/>
      <c r="O111" s="851"/>
    </row>
    <row r="112" spans="2:43" ht="39">
      <c r="E112"/>
      <c r="F112"/>
      <c r="G112"/>
      <c r="I112" s="8" t="s">
        <v>92</v>
      </c>
      <c r="J112" s="9" t="s">
        <v>76</v>
      </c>
      <c r="K112" s="9" t="s">
        <v>77</v>
      </c>
    </row>
    <row r="113" spans="5:15" ht="13">
      <c r="E113"/>
      <c r="F113"/>
      <c r="G113"/>
      <c r="I113" s="10"/>
      <c r="J113" s="11"/>
      <c r="K113" s="11"/>
    </row>
    <row r="114" spans="5:15" ht="13">
      <c r="E114"/>
      <c r="F114"/>
      <c r="G114"/>
      <c r="I114" s="10" t="s">
        <v>79</v>
      </c>
      <c r="J114" s="12">
        <f>Y26</f>
        <v>139629</v>
      </c>
      <c r="K114" s="12">
        <f>BE26</f>
        <v>1881.1941215462466</v>
      </c>
    </row>
    <row r="115" spans="5:15" ht="13.5" thickBot="1">
      <c r="E115"/>
      <c r="F115"/>
      <c r="G115"/>
      <c r="H115" s="66"/>
      <c r="I115" s="13" t="s">
        <v>80</v>
      </c>
      <c r="J115" s="14"/>
      <c r="K115" s="14"/>
    </row>
    <row r="116" spans="5:15" ht="14" thickTop="1" thickBot="1">
      <c r="I116" s="795" t="s">
        <v>81</v>
      </c>
      <c r="J116" s="796">
        <f>SUM(J114:J115)</f>
        <v>139629</v>
      </c>
      <c r="K116" s="796">
        <f>SUM(K114:K115)</f>
        <v>1881.1941215462466</v>
      </c>
    </row>
    <row r="117" spans="5:15" ht="13.5" thickBot="1">
      <c r="I117" s="59"/>
      <c r="L117" s="851"/>
    </row>
    <row r="118" spans="5:15" ht="39">
      <c r="E118"/>
      <c r="F118"/>
      <c r="G118"/>
      <c r="I118" s="8" t="s">
        <v>93</v>
      </c>
      <c r="J118" s="9" t="s">
        <v>76</v>
      </c>
      <c r="K118" s="9" t="s">
        <v>77</v>
      </c>
      <c r="L118" s="851"/>
      <c r="M118" s="851"/>
      <c r="N118" s="851"/>
      <c r="O118" s="851"/>
    </row>
    <row r="119" spans="5:15" ht="13">
      <c r="E119"/>
      <c r="F119"/>
      <c r="G119"/>
      <c r="I119" s="10"/>
      <c r="J119" s="11"/>
      <c r="K119" s="11"/>
      <c r="M119" s="851"/>
      <c r="N119" s="851"/>
      <c r="O119" s="851"/>
    </row>
    <row r="120" spans="5:15" ht="13">
      <c r="E120"/>
      <c r="F120"/>
      <c r="G120"/>
      <c r="I120" s="10" t="s">
        <v>79</v>
      </c>
      <c r="J120" s="12">
        <f>X26</f>
        <v>90187</v>
      </c>
      <c r="K120" s="12">
        <f>BD26</f>
        <v>1212.6537549279565</v>
      </c>
    </row>
    <row r="121" spans="5:15" ht="13.5" thickBot="1">
      <c r="E121"/>
      <c r="F121"/>
      <c r="G121"/>
      <c r="I121" s="13" t="s">
        <v>80</v>
      </c>
      <c r="J121" s="14"/>
      <c r="K121" s="14"/>
    </row>
    <row r="122" spans="5:15" ht="14" thickTop="1" thickBot="1">
      <c r="E122"/>
      <c r="F122"/>
      <c r="G122"/>
      <c r="H122" s="66"/>
      <c r="I122" s="795" t="s">
        <v>81</v>
      </c>
      <c r="J122" s="796">
        <f>SUM(J120:J121)</f>
        <v>90187</v>
      </c>
      <c r="K122" s="796">
        <f>SUM(K120:K121)</f>
        <v>1212.6537549279565</v>
      </c>
    </row>
    <row r="123" spans="5:15" ht="10.5" thickBot="1">
      <c r="I123" s="59"/>
    </row>
    <row r="124" spans="5:15" ht="39">
      <c r="E124"/>
      <c r="F124"/>
      <c r="G124"/>
      <c r="I124" s="8" t="s">
        <v>94</v>
      </c>
      <c r="J124" s="9" t="s">
        <v>76</v>
      </c>
      <c r="K124" s="9" t="s">
        <v>77</v>
      </c>
    </row>
    <row r="125" spans="5:15" ht="13">
      <c r="E125"/>
      <c r="F125"/>
      <c r="G125"/>
      <c r="I125" s="10"/>
      <c r="J125" s="11"/>
      <c r="K125" s="11"/>
    </row>
    <row r="126" spans="5:15" ht="13">
      <c r="E126"/>
      <c r="F126"/>
      <c r="G126"/>
      <c r="I126" s="10" t="s">
        <v>79</v>
      </c>
      <c r="J126" s="12">
        <f>W26</f>
        <v>140713</v>
      </c>
      <c r="K126" s="12">
        <f>BC26</f>
        <v>1922.1380615109313</v>
      </c>
    </row>
    <row r="127" spans="5:15" ht="13.5" thickBot="1">
      <c r="E127"/>
      <c r="F127"/>
      <c r="G127"/>
      <c r="I127" s="13" t="s">
        <v>80</v>
      </c>
      <c r="J127" s="14"/>
      <c r="K127" s="14"/>
    </row>
    <row r="128" spans="5:15" ht="14" thickTop="1" thickBot="1">
      <c r="E128"/>
      <c r="F128"/>
      <c r="G128"/>
      <c r="H128" s="66"/>
      <c r="I128" s="795" t="s">
        <v>81</v>
      </c>
      <c r="J128" s="796">
        <f>SUM(J126:J127)</f>
        <v>140713</v>
      </c>
      <c r="K128" s="796">
        <f>SUM(K126:K127)</f>
        <v>1922.1380615109313</v>
      </c>
    </row>
    <row r="129" spans="5:11">
      <c r="I129" s="59"/>
    </row>
    <row r="130" spans="5:11" ht="13.5" thickBot="1">
      <c r="E130" s="3"/>
      <c r="F130" s="3"/>
      <c r="G130" s="3"/>
      <c r="I130" s="852"/>
      <c r="J130" s="852"/>
      <c r="K130" s="852"/>
    </row>
    <row r="131" spans="5:11" ht="39">
      <c r="E131"/>
      <c r="F131"/>
      <c r="G131"/>
      <c r="I131" s="8" t="s">
        <v>95</v>
      </c>
      <c r="J131" s="9" t="s">
        <v>76</v>
      </c>
      <c r="K131" s="9" t="s">
        <v>77</v>
      </c>
    </row>
    <row r="132" spans="5:11" ht="13">
      <c r="E132"/>
      <c r="F132"/>
      <c r="G132"/>
      <c r="I132" s="10"/>
      <c r="J132" s="11"/>
      <c r="K132" s="11"/>
    </row>
    <row r="133" spans="5:11" ht="13">
      <c r="E133"/>
      <c r="F133"/>
      <c r="G133"/>
      <c r="I133" s="10" t="s">
        <v>79</v>
      </c>
      <c r="J133" s="12">
        <f>V26</f>
        <v>104704</v>
      </c>
      <c r="K133" s="12">
        <f>BB26</f>
        <v>1434.104917134639</v>
      </c>
    </row>
    <row r="134" spans="5:11" ht="13.5" thickBot="1">
      <c r="E134"/>
      <c r="F134"/>
      <c r="G134"/>
      <c r="I134" s="13" t="s">
        <v>80</v>
      </c>
      <c r="J134" s="14"/>
      <c r="K134" s="14"/>
    </row>
    <row r="135" spans="5:11" ht="14" thickTop="1" thickBot="1">
      <c r="E135"/>
      <c r="F135"/>
      <c r="G135"/>
      <c r="H135" s="66"/>
      <c r="I135" s="795" t="s">
        <v>81</v>
      </c>
      <c r="J135" s="796">
        <f>SUM(J133:J134)</f>
        <v>104704</v>
      </c>
      <c r="K135" s="796">
        <f>SUM(K133:K134)</f>
        <v>1434.104917134639</v>
      </c>
    </row>
    <row r="136" spans="5:11">
      <c r="I136" s="59"/>
    </row>
    <row r="137" spans="5:11" ht="13">
      <c r="E137" s="3"/>
      <c r="F137" s="3"/>
      <c r="G137" s="3"/>
      <c r="I137" s="852"/>
      <c r="J137" s="852"/>
      <c r="K137" s="852"/>
    </row>
    <row r="138" spans="5:11" ht="13.5" thickBot="1">
      <c r="E138"/>
      <c r="F138"/>
      <c r="G138"/>
      <c r="I138" s="852"/>
      <c r="J138" s="852"/>
      <c r="K138" s="852"/>
    </row>
    <row r="139" spans="5:11" ht="39">
      <c r="E139"/>
      <c r="F139"/>
      <c r="G139"/>
      <c r="I139" s="8" t="s">
        <v>96</v>
      </c>
      <c r="J139" s="9" t="s">
        <v>76</v>
      </c>
      <c r="K139" s="9" t="s">
        <v>77</v>
      </c>
    </row>
    <row r="140" spans="5:11" ht="13">
      <c r="E140"/>
      <c r="F140"/>
      <c r="G140"/>
      <c r="I140" s="10"/>
      <c r="J140" s="11"/>
      <c r="K140" s="11"/>
    </row>
    <row r="141" spans="5:11" ht="13">
      <c r="E141"/>
      <c r="F141"/>
      <c r="G141"/>
      <c r="I141" s="10" t="s">
        <v>79</v>
      </c>
      <c r="J141" s="12">
        <f>U26</f>
        <v>215313.8707</v>
      </c>
      <c r="K141" s="12">
        <f>BA26</f>
        <v>2918.9678757979873</v>
      </c>
    </row>
    <row r="142" spans="5:11" ht="13.5" thickBot="1">
      <c r="E142"/>
      <c r="F142"/>
      <c r="G142"/>
      <c r="H142" s="66"/>
      <c r="I142" s="13" t="s">
        <v>80</v>
      </c>
      <c r="J142" s="14"/>
      <c r="K142" s="14"/>
    </row>
    <row r="143" spans="5:11" ht="14" thickTop="1" thickBot="1">
      <c r="E143"/>
      <c r="F143"/>
      <c r="G143"/>
      <c r="I143" s="795" t="s">
        <v>81</v>
      </c>
      <c r="J143" s="796">
        <f>SUM(J141:J142)</f>
        <v>215313.8707</v>
      </c>
      <c r="K143" s="796">
        <f>SUM(K141:K142)</f>
        <v>2918.9678757979873</v>
      </c>
    </row>
    <row r="144" spans="5:11" ht="13" thickBot="1">
      <c r="E144"/>
      <c r="F144"/>
      <c r="G144"/>
      <c r="I144" s="59"/>
    </row>
    <row r="145" spans="5:11" ht="39">
      <c r="E145"/>
      <c r="F145"/>
      <c r="G145"/>
      <c r="I145" s="8" t="s">
        <v>97</v>
      </c>
      <c r="J145" s="9" t="s">
        <v>76</v>
      </c>
      <c r="K145" s="9" t="s">
        <v>77</v>
      </c>
    </row>
    <row r="146" spans="5:11" ht="13">
      <c r="E146"/>
      <c r="F146"/>
      <c r="G146"/>
      <c r="I146" s="10"/>
      <c r="J146" s="11"/>
      <c r="K146" s="11"/>
    </row>
    <row r="147" spans="5:11" ht="13">
      <c r="E147"/>
      <c r="F147"/>
      <c r="G147"/>
      <c r="I147" s="10" t="s">
        <v>79</v>
      </c>
      <c r="J147" s="12">
        <f>T26</f>
        <v>287434</v>
      </c>
      <c r="K147" s="12">
        <f>AZ26</f>
        <v>3806.6342024164101</v>
      </c>
    </row>
    <row r="148" spans="5:11" ht="13.5" thickBot="1">
      <c r="E148"/>
      <c r="F148"/>
      <c r="G148"/>
      <c r="I148" s="13" t="s">
        <v>80</v>
      </c>
      <c r="J148" s="14"/>
      <c r="K148" s="14"/>
    </row>
    <row r="149" spans="5:11" ht="14" thickTop="1" thickBot="1">
      <c r="E149"/>
      <c r="F149"/>
      <c r="G149"/>
      <c r="I149" s="795" t="s">
        <v>81</v>
      </c>
      <c r="J149" s="796">
        <f>SUM(J147:J148)</f>
        <v>287434</v>
      </c>
      <c r="K149" s="796">
        <f>SUM(K147:K148)</f>
        <v>3806.6342024164101</v>
      </c>
    </row>
    <row r="150" spans="5:11" ht="13" thickBot="1">
      <c r="E150"/>
      <c r="F150"/>
      <c r="G150"/>
      <c r="I150" s="59"/>
    </row>
    <row r="151" spans="5:11" ht="39">
      <c r="I151" s="8" t="s">
        <v>98</v>
      </c>
      <c r="J151" s="9" t="s">
        <v>76</v>
      </c>
      <c r="K151" s="9" t="s">
        <v>77</v>
      </c>
    </row>
    <row r="152" spans="5:11" ht="13">
      <c r="I152" s="10"/>
      <c r="J152" s="11"/>
      <c r="K152" s="11"/>
    </row>
    <row r="153" spans="5:11" ht="13">
      <c r="I153" s="10" t="s">
        <v>79</v>
      </c>
      <c r="J153" s="12">
        <f>S26</f>
        <v>290610</v>
      </c>
      <c r="K153" s="12">
        <f>AY26</f>
        <v>3858.1072559393024</v>
      </c>
    </row>
    <row r="154" spans="5:11" ht="13.5" thickBot="1">
      <c r="I154" s="13" t="s">
        <v>80</v>
      </c>
      <c r="J154" s="14"/>
      <c r="K154" s="14"/>
    </row>
    <row r="155" spans="5:11" ht="14" thickTop="1" thickBot="1">
      <c r="I155" s="795" t="s">
        <v>81</v>
      </c>
      <c r="J155" s="796">
        <f>SUM(J153:J154)</f>
        <v>290610</v>
      </c>
      <c r="K155" s="796">
        <f>SUM(K153:K154)</f>
        <v>3858.1072559393024</v>
      </c>
    </row>
    <row r="156" spans="5:11" ht="10.5" thickBot="1">
      <c r="I156" s="59"/>
    </row>
    <row r="157" spans="5:11" ht="39">
      <c r="I157" s="8" t="s">
        <v>99</v>
      </c>
      <c r="J157" s="9" t="s">
        <v>76</v>
      </c>
      <c r="K157" s="9" t="s">
        <v>77</v>
      </c>
    </row>
    <row r="158" spans="5:11" ht="13">
      <c r="I158" s="10"/>
      <c r="J158" s="11"/>
      <c r="K158" s="11"/>
    </row>
    <row r="159" spans="5:11" ht="13">
      <c r="I159" s="10" t="s">
        <v>79</v>
      </c>
      <c r="J159" s="12">
        <f>R26</f>
        <v>312410.696144938</v>
      </c>
      <c r="K159" s="12">
        <f>AX26</f>
        <v>4408.3775516977175</v>
      </c>
    </row>
    <row r="160" spans="5:11" ht="13.5" thickBot="1">
      <c r="I160" s="13" t="s">
        <v>80</v>
      </c>
      <c r="J160" s="14"/>
      <c r="K160" s="14"/>
    </row>
    <row r="161" spans="9:11" ht="14" thickTop="1" thickBot="1">
      <c r="I161" s="795" t="s">
        <v>81</v>
      </c>
      <c r="J161" s="796">
        <f>SUM(J159:J160)</f>
        <v>312410.696144938</v>
      </c>
      <c r="K161" s="796">
        <f>SUM(K159:K160)</f>
        <v>4408.3775516977175</v>
      </c>
    </row>
    <row r="162" spans="9:11">
      <c r="I162" s="59"/>
    </row>
    <row r="163" spans="9:11" ht="10.5" thickBot="1">
      <c r="I163" s="59"/>
    </row>
    <row r="164" spans="9:11" ht="39">
      <c r="I164" s="8" t="s">
        <v>100</v>
      </c>
      <c r="J164" s="9" t="s">
        <v>76</v>
      </c>
      <c r="K164" s="9" t="s">
        <v>77</v>
      </c>
    </row>
    <row r="165" spans="9:11" ht="13">
      <c r="I165" s="10"/>
      <c r="J165" s="11"/>
      <c r="K165" s="11"/>
    </row>
    <row r="166" spans="9:11" ht="13">
      <c r="I166" s="10" t="s">
        <v>79</v>
      </c>
      <c r="J166" s="12">
        <f>+Q26</f>
        <v>184726.072866659</v>
      </c>
      <c r="K166" s="12">
        <f>+AW26</f>
        <v>2573.8619599645954</v>
      </c>
    </row>
    <row r="167" spans="9:11" ht="13.5" thickBot="1">
      <c r="I167" s="13" t="s">
        <v>80</v>
      </c>
      <c r="J167" s="14"/>
      <c r="K167" s="14"/>
    </row>
    <row r="168" spans="9:11" ht="14" thickTop="1" thickBot="1">
      <c r="I168" s="795" t="s">
        <v>81</v>
      </c>
      <c r="J168" s="796">
        <f>SUM(J166:J167)</f>
        <v>184726.072866659</v>
      </c>
      <c r="K168" s="796">
        <f>SUM(K166:K167)</f>
        <v>2573.8619599645954</v>
      </c>
    </row>
    <row r="169" spans="9:11" ht="10.5" thickBot="1">
      <c r="I169" s="59"/>
    </row>
    <row r="170" spans="9:11" ht="39">
      <c r="I170" s="8" t="s">
        <v>101</v>
      </c>
      <c r="J170" s="9" t="s">
        <v>76</v>
      </c>
      <c r="K170" s="9" t="s">
        <v>77</v>
      </c>
    </row>
    <row r="171" spans="9:11" ht="13">
      <c r="I171" s="10"/>
      <c r="J171" s="11"/>
      <c r="K171" s="11"/>
    </row>
    <row r="172" spans="9:11" ht="13">
      <c r="I172" s="10" t="s">
        <v>79</v>
      </c>
      <c r="J172" s="12">
        <f>P26</f>
        <v>131321.27132851499</v>
      </c>
      <c r="K172" s="12">
        <f>AV26</f>
        <v>1902.655336547595</v>
      </c>
    </row>
    <row r="173" spans="9:11" ht="13.5" thickBot="1">
      <c r="I173" s="13" t="s">
        <v>80</v>
      </c>
      <c r="J173" s="14"/>
      <c r="K173" s="14"/>
    </row>
    <row r="174" spans="9:11" ht="14" thickTop="1" thickBot="1">
      <c r="I174" s="795" t="s">
        <v>81</v>
      </c>
      <c r="J174" s="796">
        <f>SUM(J172:J173)</f>
        <v>131321.27132851499</v>
      </c>
      <c r="K174" s="796">
        <f>SUM(K172:K173)</f>
        <v>1902.655336547595</v>
      </c>
    </row>
    <row r="176" spans="9:11" ht="13.5" thickBot="1">
      <c r="I176" s="3"/>
      <c r="J176" s="3"/>
      <c r="K176" s="3"/>
    </row>
    <row r="177" spans="9:11" ht="39">
      <c r="I177" s="8" t="s">
        <v>102</v>
      </c>
      <c r="J177" s="9" t="s">
        <v>76</v>
      </c>
      <c r="K177" s="9" t="s">
        <v>77</v>
      </c>
    </row>
    <row r="178" spans="9:11" ht="13">
      <c r="I178" s="10"/>
      <c r="J178" s="11"/>
      <c r="K178" s="11"/>
    </row>
    <row r="179" spans="9:11" ht="13">
      <c r="I179" s="10" t="s">
        <v>79</v>
      </c>
      <c r="J179" s="12">
        <f>O26</f>
        <v>127222.84951266901</v>
      </c>
      <c r="K179" s="12">
        <v>1839.5438044052778</v>
      </c>
    </row>
    <row r="180" spans="9:11" ht="13.5" thickBot="1">
      <c r="I180" s="13" t="s">
        <v>80</v>
      </c>
      <c r="J180" s="14"/>
      <c r="K180" s="14">
        <v>0</v>
      </c>
    </row>
    <row r="181" spans="9:11" ht="14" thickTop="1" thickBot="1">
      <c r="I181" s="795" t="s">
        <v>81</v>
      </c>
      <c r="J181" s="796">
        <f>SUM(J179:J180)</f>
        <v>127222.84951266901</v>
      </c>
      <c r="K181" s="796">
        <f>SUM(K179:K180)</f>
        <v>1839.5438044052778</v>
      </c>
    </row>
    <row r="183" spans="9:11" ht="13.5" thickBot="1">
      <c r="I183" s="3"/>
      <c r="J183" s="3"/>
      <c r="K183" s="3"/>
    </row>
    <row r="184" spans="9:11" ht="39">
      <c r="I184" s="8" t="s">
        <v>103</v>
      </c>
      <c r="J184" s="9" t="s">
        <v>76</v>
      </c>
      <c r="K184" s="9" t="s">
        <v>77</v>
      </c>
    </row>
    <row r="185" spans="9:11" ht="13">
      <c r="I185" s="10"/>
      <c r="J185" s="11"/>
      <c r="K185" s="11"/>
    </row>
    <row r="186" spans="9:11" ht="13">
      <c r="I186" s="10" t="s">
        <v>79</v>
      </c>
      <c r="J186" s="12">
        <v>102809</v>
      </c>
      <c r="K186" s="12">
        <v>1473.5416368066506</v>
      </c>
    </row>
    <row r="187" spans="9:11" ht="13.5" thickBot="1">
      <c r="I187" s="13" t="s">
        <v>80</v>
      </c>
      <c r="J187" s="14"/>
      <c r="K187" s="14">
        <v>0</v>
      </c>
    </row>
    <row r="188" spans="9:11" ht="14" thickTop="1" thickBot="1">
      <c r="I188" s="795" t="s">
        <v>81</v>
      </c>
      <c r="J188" s="796">
        <f>SUM(J186:J187)</f>
        <v>102809</v>
      </c>
      <c r="K188" s="796">
        <f>SUM(K186:K187)</f>
        <v>1473.5416368066506</v>
      </c>
    </row>
    <row r="189" spans="9:11" ht="12.5">
      <c r="K189"/>
    </row>
    <row r="190" spans="9:11" ht="13" thickBot="1">
      <c r="K190"/>
    </row>
    <row r="191" spans="9:11" ht="39">
      <c r="I191" s="8" t="s">
        <v>104</v>
      </c>
      <c r="J191" s="9" t="s">
        <v>105</v>
      </c>
      <c r="K191" s="9" t="s">
        <v>106</v>
      </c>
    </row>
    <row r="192" spans="9:11" ht="13">
      <c r="I192" s="93" t="s">
        <v>107</v>
      </c>
      <c r="J192" s="94">
        <v>178928</v>
      </c>
      <c r="K192" s="94">
        <v>264253</v>
      </c>
    </row>
    <row r="193" spans="9:11" ht="13">
      <c r="I193" s="93" t="s">
        <v>108</v>
      </c>
      <c r="J193" s="94">
        <v>128393</v>
      </c>
      <c r="K193" s="94">
        <v>59169</v>
      </c>
    </row>
    <row r="194" spans="9:11" ht="13">
      <c r="I194" s="93" t="s">
        <v>109</v>
      </c>
      <c r="J194" s="94">
        <v>207068</v>
      </c>
      <c r="K194" s="94">
        <v>298655</v>
      </c>
    </row>
    <row r="195" spans="9:11" ht="13">
      <c r="I195" s="93" t="s">
        <v>110</v>
      </c>
      <c r="J195" s="94">
        <v>562742</v>
      </c>
      <c r="K195" s="94">
        <v>499576</v>
      </c>
    </row>
    <row r="196" spans="9:11" ht="10.5" thickBot="1">
      <c r="I196" s="95"/>
      <c r="J196" s="96"/>
      <c r="K196" s="96"/>
    </row>
  </sheetData>
  <mergeCells count="1">
    <mergeCell ref="AS3:AV3"/>
  </mergeCells>
  <phoneticPr fontId="2" type="noConversion"/>
  <pageMargins left="0.75" right="0.75" top="1" bottom="1" header="0.5" footer="0.5"/>
  <pageSetup orientation="portrait" r:id="rId1"/>
  <headerFooter alignWithMargins="0">
    <oddFooter>&amp;C_x000D_&amp;1#&amp;"Aptos"&amp;10&amp;K000000 Barings-Corporate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EB57-F478-4919-A385-E4D9722BF561}">
  <dimension ref="B2:CI272"/>
  <sheetViews>
    <sheetView showGridLines="0" tabSelected="1" zoomScaleNormal="100" workbookViewId="0">
      <pane xSplit="3" ySplit="6" topLeftCell="Q185" activePane="bottomRight" state="frozen"/>
      <selection pane="topRight" activeCell="CA1" sqref="CA1"/>
      <selection pane="bottomLeft" activeCell="CA1" sqref="CA1"/>
      <selection pane="bottomRight" activeCell="CK204" sqref="CK204"/>
    </sheetView>
  </sheetViews>
  <sheetFormatPr defaultColWidth="11.453125" defaultRowHeight="13" outlineLevelRow="1" outlineLevelCol="1"/>
  <cols>
    <col min="1" max="1" width="2.7265625" style="17" customWidth="1"/>
    <col min="2" max="2" width="50.7265625" style="17" customWidth="1"/>
    <col min="3" max="3" width="0.7265625" style="17" customWidth="1"/>
    <col min="4" max="8" width="12.7265625" style="17" hidden="1" customWidth="1" outlineLevel="1"/>
    <col min="9" max="9" width="12.7265625" style="17" hidden="1" customWidth="1" outlineLevel="1" collapsed="1"/>
    <col min="10" max="14" width="12.7265625" style="17" hidden="1" customWidth="1" outlineLevel="1"/>
    <col min="15" max="15" width="12.7265625" style="17" hidden="1" customWidth="1" outlineLevel="1" collapsed="1"/>
    <col min="16" max="16" width="16.81640625" style="17" hidden="1" customWidth="1" outlineLevel="1"/>
    <col min="17" max="17" width="12.7265625" style="17" customWidth="1" collapsed="1"/>
    <col min="18" max="22" width="12.7265625" style="17" customWidth="1"/>
    <col min="23" max="38" width="12.7265625" style="17" hidden="1" customWidth="1" outlineLevel="1"/>
    <col min="39" max="39" width="12.7265625" style="17" hidden="1" customWidth="1" outlineLevel="1" collapsed="1"/>
    <col min="40" max="42" width="12.7265625" style="17" hidden="1" customWidth="1" outlineLevel="1"/>
    <col min="43" max="43" width="12.7265625" style="17" hidden="1" customWidth="1" outlineLevel="1" collapsed="1"/>
    <col min="44" max="53" width="12.7265625" style="17" hidden="1" customWidth="1" outlineLevel="1"/>
    <col min="54" max="54" width="12.7265625" style="17" hidden="1" customWidth="1" outlineLevel="1" collapsed="1"/>
    <col min="55" max="58" width="12.7265625" style="17" hidden="1" customWidth="1" outlineLevel="1"/>
    <col min="59" max="59" width="12.7265625" style="17" hidden="1" customWidth="1" outlineLevel="1" collapsed="1"/>
    <col min="60" max="66" width="12.7265625" style="17" hidden="1" customWidth="1" outlineLevel="1"/>
    <col min="67" max="67" width="12.7265625" style="17" hidden="1" customWidth="1" outlineLevel="1" collapsed="1"/>
    <col min="68" max="69" width="12.7265625" style="17" hidden="1" customWidth="1" outlineLevel="1"/>
    <col min="70" max="72" width="12.7265625" style="17" customWidth="1" collapsed="1"/>
    <col min="73" max="74" width="12.7265625" style="17" customWidth="1"/>
    <col min="75" max="76" width="12.7265625" style="17" customWidth="1" collapsed="1"/>
    <col min="77" max="79" width="12.7265625" style="17" customWidth="1"/>
    <col min="80" max="86" width="12.7265625" style="17" hidden="1" customWidth="1" outlineLevel="1"/>
    <col min="87" max="87" width="12.7265625" style="17" customWidth="1" collapsed="1"/>
    <col min="88" max="90" width="12.7265625" style="17" customWidth="1"/>
    <col min="91" max="16384" width="11.453125" style="17"/>
  </cols>
  <sheetData>
    <row r="2" spans="2:86" s="15" customFormat="1" ht="21">
      <c r="B2" s="16" t="s">
        <v>111</v>
      </c>
      <c r="C2" s="17"/>
      <c r="D2" s="1167" t="s">
        <v>112</v>
      </c>
      <c r="E2" s="1167" t="s">
        <v>112</v>
      </c>
      <c r="F2" s="1167" t="s">
        <v>112</v>
      </c>
      <c r="G2" s="1167" t="s">
        <v>112</v>
      </c>
      <c r="H2" s="1167" t="s">
        <v>112</v>
      </c>
      <c r="I2" s="1167" t="s">
        <v>112</v>
      </c>
      <c r="J2" s="1167" t="s">
        <v>112</v>
      </c>
      <c r="K2" s="1167" t="s">
        <v>112</v>
      </c>
      <c r="L2" s="1167" t="s">
        <v>112</v>
      </c>
      <c r="M2" s="18" t="s">
        <v>112</v>
      </c>
      <c r="N2" s="18" t="s">
        <v>112</v>
      </c>
      <c r="O2" s="18" t="s">
        <v>112</v>
      </c>
      <c r="P2" s="18" t="s">
        <v>112</v>
      </c>
      <c r="Q2" s="18" t="s">
        <v>112</v>
      </c>
      <c r="R2" s="18" t="s">
        <v>112</v>
      </c>
      <c r="S2" s="18" t="s">
        <v>112</v>
      </c>
      <c r="T2" s="18" t="s">
        <v>112</v>
      </c>
      <c r="U2" s="21" t="s">
        <v>113</v>
      </c>
      <c r="V2" s="1042"/>
      <c r="W2" s="18" t="s">
        <v>114</v>
      </c>
      <c r="X2" s="18" t="s">
        <v>114</v>
      </c>
      <c r="Y2" s="18" t="s">
        <v>114</v>
      </c>
      <c r="Z2" s="18" t="s">
        <v>114</v>
      </c>
      <c r="AA2" s="18" t="s">
        <v>114</v>
      </c>
      <c r="AB2" s="18" t="s">
        <v>114</v>
      </c>
      <c r="AC2" s="18" t="s">
        <v>114</v>
      </c>
      <c r="AD2" s="18" t="s">
        <v>114</v>
      </c>
      <c r="AE2" s="18" t="s">
        <v>114</v>
      </c>
      <c r="AF2" s="18" t="s">
        <v>114</v>
      </c>
      <c r="AG2" s="18" t="s">
        <v>114</v>
      </c>
      <c r="AH2" s="18" t="s">
        <v>114</v>
      </c>
      <c r="AI2" s="18" t="s">
        <v>114</v>
      </c>
      <c r="AJ2" s="18" t="s">
        <v>114</v>
      </c>
      <c r="AK2" s="18" t="s">
        <v>114</v>
      </c>
      <c r="AL2" s="18" t="s">
        <v>114</v>
      </c>
      <c r="AM2" s="18" t="s">
        <v>114</v>
      </c>
      <c r="AN2" s="18" t="s">
        <v>114</v>
      </c>
      <c r="AO2" s="18" t="s">
        <v>114</v>
      </c>
      <c r="AP2" s="18" t="s">
        <v>114</v>
      </c>
      <c r="AQ2" s="18" t="s">
        <v>114</v>
      </c>
      <c r="AR2" s="18" t="s">
        <v>114</v>
      </c>
      <c r="AS2" s="18" t="s">
        <v>114</v>
      </c>
      <c r="AT2" s="18" t="s">
        <v>114</v>
      </c>
      <c r="AU2" s="18" t="s">
        <v>114</v>
      </c>
      <c r="AV2" s="18" t="s">
        <v>114</v>
      </c>
      <c r="AW2" s="18" t="s">
        <v>114</v>
      </c>
      <c r="AX2" s="18" t="s">
        <v>114</v>
      </c>
      <c r="AY2" s="18" t="s">
        <v>114</v>
      </c>
      <c r="AZ2" s="18" t="s">
        <v>114</v>
      </c>
      <c r="BA2" s="18" t="s">
        <v>114</v>
      </c>
      <c r="BB2" s="18" t="s">
        <v>114</v>
      </c>
      <c r="BC2" s="18" t="s">
        <v>114</v>
      </c>
      <c r="BD2" s="18" t="s">
        <v>114</v>
      </c>
      <c r="BE2" s="18" t="s">
        <v>114</v>
      </c>
      <c r="BF2" s="18" t="s">
        <v>114</v>
      </c>
      <c r="BG2" s="18" t="s">
        <v>114</v>
      </c>
      <c r="BH2" s="18" t="s">
        <v>114</v>
      </c>
      <c r="BI2" s="18" t="s">
        <v>114</v>
      </c>
      <c r="BJ2" s="18" t="s">
        <v>114</v>
      </c>
      <c r="BK2" s="18" t="s">
        <v>114</v>
      </c>
      <c r="BL2" s="18" t="s">
        <v>114</v>
      </c>
      <c r="BM2" s="18" t="s">
        <v>114</v>
      </c>
      <c r="BN2" s="18" t="s">
        <v>114</v>
      </c>
      <c r="BO2" s="18" t="s">
        <v>114</v>
      </c>
      <c r="BP2" s="18" t="s">
        <v>114</v>
      </c>
      <c r="BQ2" s="18" t="s">
        <v>114</v>
      </c>
      <c r="BR2" s="18" t="s">
        <v>114</v>
      </c>
      <c r="BS2" s="18" t="s">
        <v>114</v>
      </c>
      <c r="BT2" s="18" t="s">
        <v>114</v>
      </c>
      <c r="BU2" s="18" t="s">
        <v>114</v>
      </c>
      <c r="BV2" s="18" t="s">
        <v>114</v>
      </c>
      <c r="BW2" s="18" t="s">
        <v>114</v>
      </c>
      <c r="BX2" s="18" t="s">
        <v>114</v>
      </c>
      <c r="BY2" s="18" t="s">
        <v>114</v>
      </c>
      <c r="BZ2" s="18" t="s">
        <v>114</v>
      </c>
      <c r="CA2" s="1042"/>
      <c r="CB2" s="18" t="s">
        <v>114</v>
      </c>
      <c r="CC2" s="18" t="s">
        <v>114</v>
      </c>
      <c r="CD2" s="18" t="s">
        <v>114</v>
      </c>
      <c r="CE2" s="18" t="s">
        <v>114</v>
      </c>
      <c r="CF2" s="18" t="s">
        <v>114</v>
      </c>
      <c r="CH2" s="18" t="s">
        <v>112</v>
      </c>
    </row>
    <row r="3" spans="2:86" s="20" customFormat="1">
      <c r="B3" s="19" t="s">
        <v>115</v>
      </c>
      <c r="C3" s="17"/>
      <c r="D3" s="21">
        <v>40612</v>
      </c>
      <c r="E3" s="21">
        <v>40979</v>
      </c>
      <c r="F3" s="21">
        <v>41346</v>
      </c>
      <c r="G3" s="21">
        <v>41713</v>
      </c>
      <c r="H3" s="21">
        <v>42080</v>
      </c>
      <c r="I3" s="21">
        <v>42460</v>
      </c>
      <c r="J3" s="21">
        <v>42825</v>
      </c>
      <c r="K3" s="21">
        <v>43190</v>
      </c>
      <c r="L3" s="21">
        <v>43190</v>
      </c>
      <c r="M3" s="21">
        <v>43555</v>
      </c>
      <c r="N3" s="21">
        <v>43921</v>
      </c>
      <c r="O3" s="21">
        <v>44286</v>
      </c>
      <c r="P3" s="21">
        <v>44651</v>
      </c>
      <c r="Q3" s="21">
        <v>45016</v>
      </c>
      <c r="R3" s="21">
        <v>45382</v>
      </c>
      <c r="S3" s="21">
        <v>45747</v>
      </c>
      <c r="T3" s="21">
        <v>46112</v>
      </c>
      <c r="U3" s="21">
        <f>BZ3</f>
        <v>46112</v>
      </c>
      <c r="V3" s="1042"/>
      <c r="W3" s="21">
        <v>41068</v>
      </c>
      <c r="X3" s="21">
        <v>41161</v>
      </c>
      <c r="Y3" s="21">
        <v>41253</v>
      </c>
      <c r="Z3" s="21">
        <v>41343</v>
      </c>
      <c r="AA3" s="21">
        <v>41433</v>
      </c>
      <c r="AB3" s="21">
        <v>41526</v>
      </c>
      <c r="AC3" s="21">
        <v>41618</v>
      </c>
      <c r="AD3" s="21">
        <v>41708</v>
      </c>
      <c r="AE3" s="21">
        <v>41798</v>
      </c>
      <c r="AF3" s="21">
        <v>41891</v>
      </c>
      <c r="AG3" s="21">
        <v>41983</v>
      </c>
      <c r="AH3" s="21">
        <v>42073</v>
      </c>
      <c r="AI3" s="21">
        <v>42163</v>
      </c>
      <c r="AJ3" s="21">
        <v>42256</v>
      </c>
      <c r="AK3" s="21">
        <v>42348</v>
      </c>
      <c r="AL3" s="21">
        <v>42439</v>
      </c>
      <c r="AM3" s="21">
        <v>42529</v>
      </c>
      <c r="AN3" s="21">
        <v>42622</v>
      </c>
      <c r="AO3" s="21">
        <v>42714</v>
      </c>
      <c r="AP3" s="21">
        <v>42804</v>
      </c>
      <c r="AQ3" s="21">
        <v>42916</v>
      </c>
      <c r="AR3" s="21">
        <v>43008</v>
      </c>
      <c r="AS3" s="21">
        <v>43100</v>
      </c>
      <c r="AT3" s="21">
        <v>43190</v>
      </c>
      <c r="AU3" s="21">
        <v>43281</v>
      </c>
      <c r="AV3" s="21">
        <v>43373</v>
      </c>
      <c r="AW3" s="21">
        <v>43465</v>
      </c>
      <c r="AX3" s="21">
        <v>43555</v>
      </c>
      <c r="AY3" s="21">
        <v>43646</v>
      </c>
      <c r="AZ3" s="21">
        <v>43738</v>
      </c>
      <c r="BA3" s="21">
        <v>43830</v>
      </c>
      <c r="BB3" s="21">
        <v>43921</v>
      </c>
      <c r="BC3" s="21">
        <v>44012</v>
      </c>
      <c r="BD3" s="21">
        <v>44104</v>
      </c>
      <c r="BE3" s="21">
        <v>44196</v>
      </c>
      <c r="BF3" s="21">
        <v>44286</v>
      </c>
      <c r="BG3" s="21">
        <v>44377</v>
      </c>
      <c r="BH3" s="21">
        <v>44469</v>
      </c>
      <c r="BI3" s="21">
        <v>44561</v>
      </c>
      <c r="BJ3" s="21">
        <v>44651</v>
      </c>
      <c r="BK3" s="21">
        <v>44742</v>
      </c>
      <c r="BL3" s="21">
        <v>44834</v>
      </c>
      <c r="BM3" s="21">
        <v>44926</v>
      </c>
      <c r="BN3" s="21">
        <v>45016</v>
      </c>
      <c r="BO3" s="21">
        <v>45107</v>
      </c>
      <c r="BP3" s="21">
        <v>45199</v>
      </c>
      <c r="BQ3" s="21">
        <v>45290</v>
      </c>
      <c r="BR3" s="21">
        <v>45382</v>
      </c>
      <c r="BS3" s="21">
        <v>45473</v>
      </c>
      <c r="BT3" s="21">
        <v>45565</v>
      </c>
      <c r="BU3" s="21">
        <v>45656</v>
      </c>
      <c r="BV3" s="21">
        <v>45747</v>
      </c>
      <c r="BW3" s="21">
        <v>45838</v>
      </c>
      <c r="BX3" s="21">
        <v>45930</v>
      </c>
      <c r="BY3" s="21">
        <v>46021</v>
      </c>
      <c r="BZ3" s="21">
        <v>46112</v>
      </c>
      <c r="CA3" s="1042"/>
      <c r="CB3" s="21">
        <v>43646</v>
      </c>
      <c r="CC3" s="21">
        <v>43830</v>
      </c>
      <c r="CD3" s="21">
        <v>43921</v>
      </c>
      <c r="CE3" s="21">
        <v>44012</v>
      </c>
      <c r="CF3" s="21">
        <v>44104</v>
      </c>
      <c r="CH3" s="21">
        <v>43921</v>
      </c>
    </row>
    <row r="4" spans="2:86" s="20" customFormat="1">
      <c r="B4" s="19"/>
      <c r="C4" s="17"/>
      <c r="D4" s="21" t="s">
        <v>116</v>
      </c>
      <c r="E4" s="21" t="s">
        <v>116</v>
      </c>
      <c r="F4" s="21" t="s">
        <v>116</v>
      </c>
      <c r="G4" s="21" t="s">
        <v>116</v>
      </c>
      <c r="H4" s="21" t="s">
        <v>116</v>
      </c>
      <c r="I4" s="21" t="s">
        <v>116</v>
      </c>
      <c r="J4" s="21" t="s">
        <v>116</v>
      </c>
      <c r="K4" s="21" t="s">
        <v>116</v>
      </c>
      <c r="L4" s="21" t="s">
        <v>116</v>
      </c>
      <c r="M4" s="21" t="s">
        <v>116</v>
      </c>
      <c r="N4" s="21" t="s">
        <v>116</v>
      </c>
      <c r="O4" s="21" t="s">
        <v>116</v>
      </c>
      <c r="P4" s="21" t="s">
        <v>116</v>
      </c>
      <c r="Q4" s="21" t="s">
        <v>116</v>
      </c>
      <c r="R4" s="21" t="s">
        <v>116</v>
      </c>
      <c r="S4" s="21" t="s">
        <v>116</v>
      </c>
      <c r="T4" s="21" t="s">
        <v>116</v>
      </c>
      <c r="U4" s="21" t="s">
        <v>116</v>
      </c>
      <c r="V4" s="1042"/>
      <c r="W4" s="21" t="s">
        <v>116</v>
      </c>
      <c r="X4" s="21" t="s">
        <v>116</v>
      </c>
      <c r="Y4" s="21" t="s">
        <v>116</v>
      </c>
      <c r="Z4" s="21" t="s">
        <v>116</v>
      </c>
      <c r="AA4" s="21" t="s">
        <v>116</v>
      </c>
      <c r="AB4" s="21" t="s">
        <v>116</v>
      </c>
      <c r="AC4" s="21" t="s">
        <v>116</v>
      </c>
      <c r="AD4" s="21" t="s">
        <v>116</v>
      </c>
      <c r="AE4" s="21" t="s">
        <v>116</v>
      </c>
      <c r="AF4" s="21" t="s">
        <v>116</v>
      </c>
      <c r="AG4" s="21" t="s">
        <v>116</v>
      </c>
      <c r="AH4" s="21" t="s">
        <v>116</v>
      </c>
      <c r="AI4" s="21" t="s">
        <v>116</v>
      </c>
      <c r="AJ4" s="21" t="s">
        <v>116</v>
      </c>
      <c r="AK4" s="21" t="s">
        <v>116</v>
      </c>
      <c r="AL4" s="21" t="s">
        <v>116</v>
      </c>
      <c r="AM4" s="21" t="s">
        <v>116</v>
      </c>
      <c r="AN4" s="21" t="s">
        <v>116</v>
      </c>
      <c r="AO4" s="21" t="s">
        <v>116</v>
      </c>
      <c r="AP4" s="21" t="s">
        <v>116</v>
      </c>
      <c r="AQ4" s="21" t="s">
        <v>116</v>
      </c>
      <c r="AR4" s="21" t="s">
        <v>116</v>
      </c>
      <c r="AS4" s="21" t="s">
        <v>116</v>
      </c>
      <c r="AT4" s="21" t="s">
        <v>116</v>
      </c>
      <c r="AU4" s="21" t="s">
        <v>116</v>
      </c>
      <c r="AV4" s="21" t="s">
        <v>116</v>
      </c>
      <c r="AW4" s="21" t="s">
        <v>116</v>
      </c>
      <c r="AX4" s="21" t="s">
        <v>116</v>
      </c>
      <c r="AY4" s="21" t="s">
        <v>116</v>
      </c>
      <c r="AZ4" s="21" t="s">
        <v>116</v>
      </c>
      <c r="BA4" s="21" t="s">
        <v>116</v>
      </c>
      <c r="BB4" s="21" t="s">
        <v>116</v>
      </c>
      <c r="BC4" s="21" t="s">
        <v>116</v>
      </c>
      <c r="BD4" s="21" t="s">
        <v>116</v>
      </c>
      <c r="BE4" s="21" t="s">
        <v>116</v>
      </c>
      <c r="BF4" s="21" t="s">
        <v>116</v>
      </c>
      <c r="BG4" s="21" t="s">
        <v>116</v>
      </c>
      <c r="BH4" s="21" t="s">
        <v>116</v>
      </c>
      <c r="BI4" s="21" t="s">
        <v>116</v>
      </c>
      <c r="BJ4" s="21" t="s">
        <v>116</v>
      </c>
      <c r="BK4" s="21" t="s">
        <v>116</v>
      </c>
      <c r="BL4" s="21" t="s">
        <v>116</v>
      </c>
      <c r="BM4" s="21" t="s">
        <v>116</v>
      </c>
      <c r="BN4" s="21" t="s">
        <v>116</v>
      </c>
      <c r="BO4" s="21" t="s">
        <v>116</v>
      </c>
      <c r="BP4" s="21" t="s">
        <v>116</v>
      </c>
      <c r="BQ4" s="21" t="s">
        <v>116</v>
      </c>
      <c r="BR4" s="21" t="s">
        <v>116</v>
      </c>
      <c r="BS4" s="21" t="s">
        <v>116</v>
      </c>
      <c r="BT4" s="21" t="s">
        <v>116</v>
      </c>
      <c r="BU4" s="21" t="s">
        <v>116</v>
      </c>
      <c r="BV4" s="21" t="s">
        <v>116</v>
      </c>
      <c r="BW4" s="21" t="s">
        <v>116</v>
      </c>
      <c r="BX4" s="21" t="s">
        <v>116</v>
      </c>
      <c r="BY4" s="21" t="s">
        <v>116</v>
      </c>
      <c r="BZ4" s="21" t="s">
        <v>116</v>
      </c>
      <c r="CA4" s="1042"/>
      <c r="CB4" s="21" t="s">
        <v>116</v>
      </c>
      <c r="CC4" s="21" t="s">
        <v>116</v>
      </c>
      <c r="CD4" s="21" t="s">
        <v>116</v>
      </c>
      <c r="CE4" s="21" t="s">
        <v>116</v>
      </c>
      <c r="CF4" s="21" t="s">
        <v>116</v>
      </c>
      <c r="CH4" s="21" t="s">
        <v>116</v>
      </c>
    </row>
    <row r="5" spans="2:86" s="22" customFormat="1">
      <c r="C5" s="17"/>
      <c r="D5" s="23" t="s">
        <v>117</v>
      </c>
      <c r="E5" s="23" t="s">
        <v>118</v>
      </c>
      <c r="F5" s="23" t="s">
        <v>119</v>
      </c>
      <c r="G5" s="23" t="s">
        <v>120</v>
      </c>
      <c r="H5" s="23" t="s">
        <v>121</v>
      </c>
      <c r="I5" s="23" t="s">
        <v>122</v>
      </c>
      <c r="J5" s="23" t="s">
        <v>123</v>
      </c>
      <c r="K5" s="23" t="s">
        <v>124</v>
      </c>
      <c r="L5" s="23" t="s">
        <v>124</v>
      </c>
      <c r="M5" s="23" t="s">
        <v>125</v>
      </c>
      <c r="N5" s="23" t="s">
        <v>126</v>
      </c>
      <c r="O5" s="23" t="s">
        <v>127</v>
      </c>
      <c r="P5" s="23" t="s">
        <v>128</v>
      </c>
      <c r="Q5" s="23" t="s">
        <v>129</v>
      </c>
      <c r="R5" s="23" t="s">
        <v>130</v>
      </c>
      <c r="S5" s="23" t="s">
        <v>131</v>
      </c>
      <c r="T5" s="23" t="s">
        <v>132</v>
      </c>
      <c r="U5" s="1168" t="s">
        <v>113</v>
      </c>
      <c r="V5" s="23"/>
      <c r="W5" s="23" t="s">
        <v>133</v>
      </c>
      <c r="X5" s="23" t="s">
        <v>134</v>
      </c>
      <c r="Y5" s="23" t="s">
        <v>135</v>
      </c>
      <c r="Z5" s="23" t="s">
        <v>136</v>
      </c>
      <c r="AA5" s="23" t="s">
        <v>133</v>
      </c>
      <c r="AB5" s="23" t="s">
        <v>134</v>
      </c>
      <c r="AC5" s="23" t="s">
        <v>135</v>
      </c>
      <c r="AD5" s="23" t="s">
        <v>136</v>
      </c>
      <c r="AE5" s="23" t="s">
        <v>133</v>
      </c>
      <c r="AF5" s="23" t="s">
        <v>134</v>
      </c>
      <c r="AG5" s="23" t="s">
        <v>135</v>
      </c>
      <c r="AH5" s="23" t="s">
        <v>136</v>
      </c>
      <c r="AI5" s="23" t="s">
        <v>133</v>
      </c>
      <c r="AJ5" s="23" t="s">
        <v>134</v>
      </c>
      <c r="AK5" s="23" t="s">
        <v>135</v>
      </c>
      <c r="AL5" s="23" t="s">
        <v>136</v>
      </c>
      <c r="AM5" s="23" t="s">
        <v>133</v>
      </c>
      <c r="AN5" s="23" t="s">
        <v>134</v>
      </c>
      <c r="AO5" s="23" t="s">
        <v>135</v>
      </c>
      <c r="AP5" s="23" t="s">
        <v>136</v>
      </c>
      <c r="AQ5" s="23" t="s">
        <v>133</v>
      </c>
      <c r="AR5" s="23" t="s">
        <v>134</v>
      </c>
      <c r="AS5" s="23" t="s">
        <v>135</v>
      </c>
      <c r="AT5" s="23" t="s">
        <v>136</v>
      </c>
      <c r="AU5" s="23" t="s">
        <v>133</v>
      </c>
      <c r="AV5" s="23" t="s">
        <v>134</v>
      </c>
      <c r="AW5" s="23" t="s">
        <v>135</v>
      </c>
      <c r="AX5" s="23" t="s">
        <v>136</v>
      </c>
      <c r="AY5" s="23" t="s">
        <v>133</v>
      </c>
      <c r="AZ5" s="23" t="s">
        <v>134</v>
      </c>
      <c r="BA5" s="23" t="s">
        <v>135</v>
      </c>
      <c r="BB5" s="23" t="s">
        <v>136</v>
      </c>
      <c r="BC5" s="23" t="s">
        <v>133</v>
      </c>
      <c r="BD5" s="23" t="s">
        <v>134</v>
      </c>
      <c r="BE5" s="23" t="s">
        <v>135</v>
      </c>
      <c r="BF5" s="23" t="s">
        <v>136</v>
      </c>
      <c r="BG5" s="23" t="s">
        <v>133</v>
      </c>
      <c r="BH5" s="23" t="s">
        <v>134</v>
      </c>
      <c r="BI5" s="23" t="s">
        <v>135</v>
      </c>
      <c r="BJ5" s="23" t="s">
        <v>136</v>
      </c>
      <c r="BK5" s="23" t="s">
        <v>133</v>
      </c>
      <c r="BL5" s="23" t="s">
        <v>134</v>
      </c>
      <c r="BM5" s="23" t="s">
        <v>135</v>
      </c>
      <c r="BN5" s="23" t="s">
        <v>136</v>
      </c>
      <c r="BO5" s="23" t="s">
        <v>133</v>
      </c>
      <c r="BP5" s="23" t="s">
        <v>134</v>
      </c>
      <c r="BQ5" s="23" t="s">
        <v>135</v>
      </c>
      <c r="BR5" s="1168" t="s">
        <v>136</v>
      </c>
      <c r="BS5" s="23" t="s">
        <v>133</v>
      </c>
      <c r="BT5" s="23" t="s">
        <v>134</v>
      </c>
      <c r="BU5" s="23" t="s">
        <v>135</v>
      </c>
      <c r="BV5" s="1168" t="s">
        <v>136</v>
      </c>
      <c r="BW5" s="23" t="s">
        <v>133</v>
      </c>
      <c r="BX5" s="23" t="s">
        <v>134</v>
      </c>
      <c r="BY5" s="23" t="s">
        <v>135</v>
      </c>
      <c r="BZ5" s="1168" t="s">
        <v>136</v>
      </c>
      <c r="CA5" s="23"/>
      <c r="CB5" s="23" t="s">
        <v>137</v>
      </c>
      <c r="CC5" s="23" t="s">
        <v>138</v>
      </c>
      <c r="CD5" s="23" t="s">
        <v>139</v>
      </c>
      <c r="CE5" s="23" t="s">
        <v>140</v>
      </c>
      <c r="CF5" s="23" t="s">
        <v>141</v>
      </c>
      <c r="CH5" s="23" t="s">
        <v>126</v>
      </c>
    </row>
    <row r="6" spans="2:86">
      <c r="B6" s="25" t="s">
        <v>142</v>
      </c>
      <c r="C6" s="24"/>
      <c r="D6" s="26"/>
      <c r="E6" s="26"/>
      <c r="F6" s="26"/>
      <c r="G6" s="26"/>
      <c r="H6" s="26"/>
      <c r="I6" s="26"/>
      <c r="J6" s="26"/>
      <c r="K6" s="26"/>
      <c r="L6" s="787" t="s">
        <v>143</v>
      </c>
      <c r="M6" s="26"/>
      <c r="N6" s="26"/>
      <c r="O6" s="26"/>
      <c r="P6" s="26"/>
      <c r="Q6" s="26"/>
      <c r="R6" s="26"/>
      <c r="S6" s="26"/>
      <c r="T6" s="26"/>
      <c r="U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794" t="s">
        <v>143</v>
      </c>
      <c r="AV6" s="794" t="s">
        <v>143</v>
      </c>
      <c r="AW6" s="794" t="s">
        <v>143</v>
      </c>
      <c r="AX6" s="26"/>
      <c r="AY6" s="794"/>
      <c r="AZ6" s="794"/>
      <c r="BA6" s="794"/>
      <c r="BB6" s="794"/>
      <c r="BC6" s="794"/>
      <c r="BD6" s="794"/>
      <c r="BE6" s="794"/>
      <c r="BF6" s="794"/>
      <c r="BG6" s="794"/>
      <c r="BH6" s="794"/>
      <c r="BI6" s="794"/>
      <c r="BJ6" s="794"/>
      <c r="BK6" s="794"/>
      <c r="BL6" s="794"/>
      <c r="BM6" s="794"/>
      <c r="BN6" s="794"/>
      <c r="BO6" s="794"/>
      <c r="BP6" s="794"/>
      <c r="BQ6" s="794"/>
      <c r="BR6" s="794"/>
      <c r="BS6" s="794"/>
      <c r="BT6" s="794"/>
      <c r="BU6" s="794"/>
      <c r="BV6" s="794"/>
      <c r="BW6" s="794"/>
      <c r="BX6" s="794"/>
      <c r="BY6" s="794"/>
      <c r="BZ6" s="794"/>
      <c r="CA6" s="1043"/>
      <c r="CB6" s="794" t="s">
        <v>143</v>
      </c>
      <c r="CC6" s="794" t="s">
        <v>143</v>
      </c>
      <c r="CD6" s="794" t="s">
        <v>143</v>
      </c>
      <c r="CE6" s="794" t="s">
        <v>143</v>
      </c>
      <c r="CF6" s="794" t="s">
        <v>143</v>
      </c>
      <c r="CH6" s="794" t="s">
        <v>143</v>
      </c>
    </row>
    <row r="7" spans="2:86" s="20" customFormat="1">
      <c r="B7" s="20" t="s">
        <v>144</v>
      </c>
      <c r="C7" s="27"/>
      <c r="D7" s="27">
        <v>595383</v>
      </c>
      <c r="E7" s="27">
        <v>683267</v>
      </c>
      <c r="F7" s="27">
        <v>769044.91597199999</v>
      </c>
      <c r="G7" s="27">
        <v>857460.93831599993</v>
      </c>
      <c r="H7" s="27">
        <v>920394</v>
      </c>
      <c r="I7" s="27">
        <v>965321</v>
      </c>
      <c r="J7" s="27">
        <v>954683</v>
      </c>
      <c r="K7" s="27">
        <v>836879</v>
      </c>
      <c r="L7" s="27">
        <v>826388</v>
      </c>
      <c r="M7" s="27">
        <v>807802</v>
      </c>
      <c r="N7" s="27">
        <v>875390</v>
      </c>
      <c r="O7" s="27">
        <v>1006158</v>
      </c>
      <c r="P7" s="27">
        <v>1165469</v>
      </c>
      <c r="Q7" s="27">
        <v>1391448</v>
      </c>
      <c r="R7" s="27">
        <v>1499824</v>
      </c>
      <c r="S7" s="27">
        <v>1729852</v>
      </c>
      <c r="T7" s="27">
        <v>2109728</v>
      </c>
      <c r="U7" s="34">
        <f>SUM(BW7:BZ7)</f>
        <v>2109728</v>
      </c>
      <c r="V7" s="34"/>
      <c r="W7" s="27">
        <v>185600.99931400002</v>
      </c>
      <c r="X7" s="27">
        <v>193998.74445599999</v>
      </c>
      <c r="Y7" s="27">
        <v>193624.42122299998</v>
      </c>
      <c r="Z7" s="34">
        <f>F7-SUM(W7:Y7)</f>
        <v>195820.750979</v>
      </c>
      <c r="AA7" s="27">
        <v>202639.240521</v>
      </c>
      <c r="AB7" s="27">
        <v>213243.69779499999</v>
      </c>
      <c r="AC7" s="27">
        <v>219385</v>
      </c>
      <c r="AD7" s="34">
        <f>G7-SUM(AA7:AC7)</f>
        <v>222193</v>
      </c>
      <c r="AE7" s="27">
        <v>229616</v>
      </c>
      <c r="AF7" s="27">
        <v>228452</v>
      </c>
      <c r="AG7" s="27">
        <v>232171</v>
      </c>
      <c r="AH7" s="34">
        <f>H7-SUM(AE7:AG7)</f>
        <v>230155</v>
      </c>
      <c r="AI7" s="27">
        <v>236709</v>
      </c>
      <c r="AJ7" s="27">
        <v>238357</v>
      </c>
      <c r="AK7" s="27">
        <v>240659</v>
      </c>
      <c r="AL7" s="34">
        <f>I7-SUM(AI7:AK7)</f>
        <v>249596</v>
      </c>
      <c r="AM7" s="27">
        <v>255465</v>
      </c>
      <c r="AN7" s="27">
        <v>246515</v>
      </c>
      <c r="AO7" s="27">
        <v>233357</v>
      </c>
      <c r="AP7" s="34">
        <f>J7-SUM(AM7:AO7)</f>
        <v>219346</v>
      </c>
      <c r="AQ7" s="27">
        <v>219581</v>
      </c>
      <c r="AR7" s="27">
        <v>217769</v>
      </c>
      <c r="AS7" s="27">
        <v>203186</v>
      </c>
      <c r="AT7" s="34">
        <f>+K7-AS7-AR7-AQ7</f>
        <v>196343</v>
      </c>
      <c r="AU7" s="27">
        <v>197992.28828710801</v>
      </c>
      <c r="AV7" s="27">
        <v>201477.58727950751</v>
      </c>
      <c r="AW7" s="27">
        <v>202310.65686167506</v>
      </c>
      <c r="AX7" s="34">
        <f>M7-AW7-AV7-AU7</f>
        <v>206021.46757170936</v>
      </c>
      <c r="AY7" s="27">
        <v>207379</v>
      </c>
      <c r="AZ7" s="27">
        <v>211313</v>
      </c>
      <c r="BA7" s="27">
        <v>219471</v>
      </c>
      <c r="BB7" s="34">
        <f>N7-BA7-AZ7-AY7</f>
        <v>237227</v>
      </c>
      <c r="BC7" s="27">
        <v>239387</v>
      </c>
      <c r="BD7" s="27">
        <v>257850</v>
      </c>
      <c r="BE7" s="27">
        <v>265178</v>
      </c>
      <c r="BF7" s="34">
        <f>O7-BE7-BD7-BC7</f>
        <v>243743</v>
      </c>
      <c r="BG7" s="27">
        <v>268536</v>
      </c>
      <c r="BH7" s="27">
        <v>283264</v>
      </c>
      <c r="BI7" s="27">
        <v>298666</v>
      </c>
      <c r="BJ7" s="34">
        <f>P7-BI7-BH7-BG7</f>
        <v>315003</v>
      </c>
      <c r="BK7" s="27">
        <v>328046</v>
      </c>
      <c r="BL7" s="27">
        <v>345268</v>
      </c>
      <c r="BM7" s="27">
        <v>358044</v>
      </c>
      <c r="BN7" s="34">
        <f>Q7-BM7-BL7-BK7</f>
        <v>360090</v>
      </c>
      <c r="BO7" s="27">
        <v>374400</v>
      </c>
      <c r="BP7" s="27">
        <v>370438</v>
      </c>
      <c r="BQ7" s="27">
        <v>378995</v>
      </c>
      <c r="BR7" s="34">
        <f>R7-BQ7-BP7-BO7</f>
        <v>375991</v>
      </c>
      <c r="BS7" s="27">
        <v>385064</v>
      </c>
      <c r="BT7" s="27">
        <v>414733</v>
      </c>
      <c r="BU7" s="27">
        <v>451293</v>
      </c>
      <c r="BV7" s="34">
        <f>S7-BU7-BT7-BS7</f>
        <v>478762</v>
      </c>
      <c r="BW7" s="27">
        <v>494626</v>
      </c>
      <c r="BX7" s="27">
        <v>521454</v>
      </c>
      <c r="BY7" s="27">
        <v>539816</v>
      </c>
      <c r="BZ7" s="27">
        <f>T7-SUM(BW7:BY7)</f>
        <v>553832</v>
      </c>
      <c r="CA7" s="34"/>
      <c r="CB7" s="27">
        <v>207379</v>
      </c>
      <c r="CC7" s="27">
        <v>213436</v>
      </c>
      <c r="CD7" s="27">
        <v>230187</v>
      </c>
      <c r="CE7" s="27">
        <v>232903</v>
      </c>
      <c r="CF7" s="27">
        <v>250604</v>
      </c>
      <c r="CH7" s="27">
        <v>846765</v>
      </c>
    </row>
    <row r="8" spans="2:86" s="29" customFormat="1">
      <c r="B8" s="30" t="s">
        <v>145</v>
      </c>
      <c r="D8" s="100"/>
      <c r="E8" s="36">
        <f t="shared" ref="E8:J8" si="0">E7/D7-1</f>
        <v>0.14760918601975526</v>
      </c>
      <c r="F8" s="36">
        <f t="shared" si="0"/>
        <v>0.12554084416779965</v>
      </c>
      <c r="G8" s="36">
        <f t="shared" si="0"/>
        <v>0.11496860652443219</v>
      </c>
      <c r="H8" s="36">
        <f t="shared" si="0"/>
        <v>7.3394668925206963E-2</v>
      </c>
      <c r="I8" s="36">
        <f t="shared" si="0"/>
        <v>4.8812791043835624E-2</v>
      </c>
      <c r="J8" s="31">
        <f t="shared" si="0"/>
        <v>-1.1020168420660115E-2</v>
      </c>
      <c r="K8" s="31">
        <f>K7/J7-1</f>
        <v>-0.12339593351929379</v>
      </c>
      <c r="L8" s="31">
        <f>L7/J7-1</f>
        <v>-0.13438492148702763</v>
      </c>
      <c r="M8" s="31">
        <f t="shared" ref="M8:T8" si="1">M7/L7-1</f>
        <v>-2.2490646040358775E-2</v>
      </c>
      <c r="N8" s="31">
        <f t="shared" si="1"/>
        <v>8.3669017902902043E-2</v>
      </c>
      <c r="O8" s="31">
        <f t="shared" si="1"/>
        <v>0.14938256091570623</v>
      </c>
      <c r="P8" s="31">
        <f t="shared" si="1"/>
        <v>0.15833596711450881</v>
      </c>
      <c r="Q8" s="31">
        <f t="shared" si="1"/>
        <v>0.19389533312340346</v>
      </c>
      <c r="R8" s="31">
        <f t="shared" si="1"/>
        <v>7.7887208145758891E-2</v>
      </c>
      <c r="S8" s="31">
        <f t="shared" si="1"/>
        <v>0.15336999541279517</v>
      </c>
      <c r="T8" s="31">
        <f t="shared" si="1"/>
        <v>0.2196002895045357</v>
      </c>
      <c r="U8" s="31"/>
      <c r="V8" s="1114"/>
      <c r="W8" s="31"/>
      <c r="X8" s="31"/>
      <c r="Y8" s="31"/>
      <c r="Z8" s="31"/>
      <c r="AA8" s="31"/>
      <c r="AB8" s="31"/>
      <c r="AC8" s="31"/>
      <c r="AD8" s="31"/>
      <c r="AE8" s="31">
        <f t="shared" ref="AE8:AL8" si="2">AE7/AA7-1</f>
        <v>0.13312702618525818</v>
      </c>
      <c r="AF8" s="31">
        <f t="shared" si="2"/>
        <v>7.1318882397267247E-2</v>
      </c>
      <c r="AG8" s="31">
        <f t="shared" si="2"/>
        <v>5.8281103995259542E-2</v>
      </c>
      <c r="AH8" s="31">
        <f t="shared" si="2"/>
        <v>3.5833712133145568E-2</v>
      </c>
      <c r="AI8" s="31">
        <f t="shared" si="2"/>
        <v>3.0890704480524001E-2</v>
      </c>
      <c r="AJ8" s="31">
        <f t="shared" si="2"/>
        <v>4.3357029047677464E-2</v>
      </c>
      <c r="AK8" s="31">
        <f t="shared" si="2"/>
        <v>3.6559260200455634E-2</v>
      </c>
      <c r="AL8" s="31">
        <f t="shared" si="2"/>
        <v>8.4469162086419969E-2</v>
      </c>
      <c r="AM8" s="31">
        <f t="shared" ref="AM8:BB8" si="3">AM7/AI7-1</f>
        <v>7.9236530930382854E-2</v>
      </c>
      <c r="AN8" s="31">
        <f t="shared" si="3"/>
        <v>3.4225971966420188E-2</v>
      </c>
      <c r="AO8" s="31">
        <f t="shared" si="3"/>
        <v>-3.0341686785036126E-2</v>
      </c>
      <c r="AP8" s="31">
        <f t="shared" si="3"/>
        <v>-0.1211958524976362</v>
      </c>
      <c r="AQ8" s="31">
        <f t="shared" si="3"/>
        <v>-0.14046542579218291</v>
      </c>
      <c r="AR8" s="31">
        <f t="shared" si="3"/>
        <v>-0.11660953694501353</v>
      </c>
      <c r="AS8" s="31">
        <f t="shared" si="3"/>
        <v>-0.12929117189542205</v>
      </c>
      <c r="AT8" s="31">
        <f t="shared" si="3"/>
        <v>-0.1048708433251575</v>
      </c>
      <c r="AU8" s="31">
        <f t="shared" si="3"/>
        <v>-9.8317758425783608E-2</v>
      </c>
      <c r="AV8" s="31">
        <f t="shared" si="3"/>
        <v>-7.4810522712105421E-2</v>
      </c>
      <c r="AW8" s="31">
        <f t="shared" si="3"/>
        <v>-4.3080878521400967E-3</v>
      </c>
      <c r="AX8" s="31">
        <f t="shared" si="3"/>
        <v>4.92936726631934E-2</v>
      </c>
      <c r="AY8" s="31">
        <f t="shared" si="3"/>
        <v>4.7409481420207289E-2</v>
      </c>
      <c r="AZ8" s="31">
        <f>AZ7/AV7-1</f>
        <v>4.8816411062377441E-2</v>
      </c>
      <c r="BA8" s="31">
        <f t="shared" si="3"/>
        <v>8.482174594518721E-2</v>
      </c>
      <c r="BB8" s="31">
        <f t="shared" si="3"/>
        <v>0.1514673824825028</v>
      </c>
      <c r="BC8" s="31">
        <f>BC7/CB7-1</f>
        <v>0.1543454255252461</v>
      </c>
      <c r="BD8" s="31">
        <f>BD7/AZ7-1</f>
        <v>0.22022781371709255</v>
      </c>
      <c r="BE8" s="31">
        <f>BE7/BA7-1</f>
        <v>0.2082598612117319</v>
      </c>
      <c r="BF8" s="31">
        <f>BF7/BB7-1</f>
        <v>2.7467362484034252E-2</v>
      </c>
      <c r="BG8" s="31">
        <f>BG7/CE7-1</f>
        <v>0.15299502367938578</v>
      </c>
      <c r="BH8" s="31">
        <f>BH7/CF7-1</f>
        <v>0.13032513447510818</v>
      </c>
      <c r="BI8" s="31">
        <f t="shared" ref="BI8:BZ8" si="4">BI7/BE7-1</f>
        <v>0.12628498593397652</v>
      </c>
      <c r="BJ8" s="31">
        <f t="shared" si="4"/>
        <v>0.2923571138453207</v>
      </c>
      <c r="BK8" s="31">
        <f t="shared" si="4"/>
        <v>0.22160902076444122</v>
      </c>
      <c r="BL8" s="31">
        <f t="shared" si="4"/>
        <v>0.21889121102575682</v>
      </c>
      <c r="BM8" s="31">
        <f t="shared" si="4"/>
        <v>0.19881071163105268</v>
      </c>
      <c r="BN8" s="31">
        <f t="shared" si="4"/>
        <v>0.14313197017171264</v>
      </c>
      <c r="BO8" s="31">
        <f t="shared" si="4"/>
        <v>0.1413033537979429</v>
      </c>
      <c r="BP8" s="31">
        <f t="shared" si="4"/>
        <v>7.2899892257608512E-2</v>
      </c>
      <c r="BQ8" s="31">
        <f>BQ7/BM7-1</f>
        <v>5.8515154562009064E-2</v>
      </c>
      <c r="BR8" s="31">
        <f>BR7/BN7-1</f>
        <v>4.4158404843233745E-2</v>
      </c>
      <c r="BS8" s="31">
        <f>BS7/BO7-1</f>
        <v>2.8482905982905926E-2</v>
      </c>
      <c r="BT8" s="31">
        <f t="shared" si="4"/>
        <v>0.11957466566604946</v>
      </c>
      <c r="BU8" s="31">
        <f t="shared" si="4"/>
        <v>0.19076241111360304</v>
      </c>
      <c r="BV8" s="31">
        <f t="shared" si="4"/>
        <v>0.27333367022082977</v>
      </c>
      <c r="BW8" s="31">
        <f>BW7/BS7-1</f>
        <v>0.28452932499532535</v>
      </c>
      <c r="BX8" s="31">
        <f t="shared" si="4"/>
        <v>0.25732459196639756</v>
      </c>
      <c r="BY8" s="31">
        <f t="shared" si="4"/>
        <v>0.19615416148710474</v>
      </c>
      <c r="BZ8" s="31">
        <f t="shared" si="4"/>
        <v>0.15680024730450626</v>
      </c>
      <c r="CA8" s="62"/>
      <c r="CB8" s="31">
        <f>CB7/AU7-1</f>
        <v>4.7409481420207289E-2</v>
      </c>
      <c r="CC8" s="31">
        <f>CC7/AY7-1</f>
        <v>2.9207393226893696E-2</v>
      </c>
      <c r="CD8" s="31">
        <f>CD7/AX7-1</f>
        <v>0.11729618623301663</v>
      </c>
      <c r="CE8" s="31">
        <f>CE7/AW7-1</f>
        <v>0.15121468939345939</v>
      </c>
      <c r="CF8" s="31">
        <f>CF7/AV7-1</f>
        <v>0.2438306582078531</v>
      </c>
      <c r="CH8" s="31">
        <f>CH7/M7-1</f>
        <v>4.8233354213037316E-2</v>
      </c>
    </row>
    <row r="9" spans="2:86" s="29" customFormat="1">
      <c r="B9" s="17" t="s">
        <v>146</v>
      </c>
      <c r="C9" s="28"/>
      <c r="D9" s="28">
        <v>635</v>
      </c>
      <c r="E9" s="28">
        <v>550</v>
      </c>
      <c r="F9" s="28">
        <v>425</v>
      </c>
      <c r="G9" s="28">
        <v>1174</v>
      </c>
      <c r="H9" s="28">
        <v>957</v>
      </c>
      <c r="I9" s="28">
        <v>871</v>
      </c>
      <c r="J9" s="28">
        <v>1206</v>
      </c>
      <c r="K9" s="28">
        <v>2488</v>
      </c>
      <c r="L9" s="28">
        <v>2488</v>
      </c>
      <c r="M9" s="28">
        <v>2912</v>
      </c>
      <c r="N9" s="28">
        <v>3248</v>
      </c>
      <c r="O9" s="28">
        <v>6428</v>
      </c>
      <c r="P9" s="28">
        <v>5343</v>
      </c>
      <c r="Q9" s="28">
        <v>9366</v>
      </c>
      <c r="R9" s="28">
        <v>14354</v>
      </c>
      <c r="S9" s="28">
        <v>15737</v>
      </c>
      <c r="T9" s="28">
        <v>28173</v>
      </c>
      <c r="U9" s="7">
        <f>SUM(BW9:BZ9)</f>
        <v>28173</v>
      </c>
      <c r="V9" s="7"/>
      <c r="W9" s="28">
        <v>102</v>
      </c>
      <c r="X9" s="28">
        <v>86</v>
      </c>
      <c r="Y9" s="28">
        <v>134</v>
      </c>
      <c r="Z9" s="7">
        <f>F9-SUM(W9:Y9)</f>
        <v>103</v>
      </c>
      <c r="AA9" s="28">
        <v>356</v>
      </c>
      <c r="AB9" s="28">
        <v>184</v>
      </c>
      <c r="AC9" s="28">
        <v>222</v>
      </c>
      <c r="AD9" s="7">
        <f>G9-SUM(AA9:AC9)</f>
        <v>412</v>
      </c>
      <c r="AE9" s="28">
        <v>439</v>
      </c>
      <c r="AF9" s="28">
        <v>165</v>
      </c>
      <c r="AG9" s="28">
        <v>110</v>
      </c>
      <c r="AH9" s="7">
        <f>H9-SUM(AE9:AG9)</f>
        <v>243</v>
      </c>
      <c r="AI9" s="28">
        <v>99</v>
      </c>
      <c r="AJ9" s="28">
        <v>162</v>
      </c>
      <c r="AK9" s="28">
        <v>375</v>
      </c>
      <c r="AL9" s="7">
        <f>I9-SUM(AI9:AK9)</f>
        <v>235</v>
      </c>
      <c r="AM9" s="28">
        <v>264</v>
      </c>
      <c r="AN9" s="28">
        <v>200</v>
      </c>
      <c r="AO9" s="28">
        <v>282</v>
      </c>
      <c r="AP9" s="7">
        <v>460</v>
      </c>
      <c r="AQ9" s="28">
        <v>486</v>
      </c>
      <c r="AR9" s="28">
        <v>553</v>
      </c>
      <c r="AS9" s="28">
        <v>696</v>
      </c>
      <c r="AT9" s="7">
        <f>+K9-AS9-AR9-AQ9</f>
        <v>753</v>
      </c>
      <c r="AU9" s="28">
        <v>997</v>
      </c>
      <c r="AV9" s="28">
        <v>813</v>
      </c>
      <c r="AW9" s="28">
        <v>675</v>
      </c>
      <c r="AX9" s="7">
        <f>M9-AW9-AV9-AU9</f>
        <v>427</v>
      </c>
      <c r="AY9" s="28">
        <v>746</v>
      </c>
      <c r="AZ9" s="28">
        <v>677</v>
      </c>
      <c r="BA9" s="28">
        <v>744.99999999999989</v>
      </c>
      <c r="BB9" s="7">
        <f>N9-BA9-AZ9-AY9</f>
        <v>1080</v>
      </c>
      <c r="BC9" s="28">
        <f>4805-4063</f>
        <v>742</v>
      </c>
      <c r="BD9" s="28">
        <f>1489-346</f>
        <v>1143</v>
      </c>
      <c r="BE9" s="28">
        <f>492-556</f>
        <v>-64</v>
      </c>
      <c r="BF9" s="7">
        <f>O9-BE9-BD9-BC9</f>
        <v>4607</v>
      </c>
      <c r="BG9" s="28">
        <f>2098-1438</f>
        <v>660</v>
      </c>
      <c r="BH9" s="28">
        <f>1088-804</f>
        <v>284</v>
      </c>
      <c r="BI9" s="28">
        <f>1971-79</f>
        <v>1892</v>
      </c>
      <c r="BJ9" s="7">
        <f>P9-BI9-BH9-BG9</f>
        <v>2507</v>
      </c>
      <c r="BK9" s="28">
        <v>1922</v>
      </c>
      <c r="BL9" s="28">
        <f>2019</f>
        <v>2019</v>
      </c>
      <c r="BM9" s="28">
        <v>2576</v>
      </c>
      <c r="BN9" s="7">
        <f>Q9-BM9-BL9-BK9</f>
        <v>2849</v>
      </c>
      <c r="BO9" s="28">
        <v>3483</v>
      </c>
      <c r="BP9" s="28">
        <v>3304</v>
      </c>
      <c r="BQ9" s="28">
        <v>4398</v>
      </c>
      <c r="BR9" s="7">
        <f>R9-BQ9-BP9-BO9</f>
        <v>3169</v>
      </c>
      <c r="BS9" s="28">
        <v>3635</v>
      </c>
      <c r="BT9" s="28">
        <v>2547</v>
      </c>
      <c r="BU9" s="28">
        <v>4697</v>
      </c>
      <c r="BV9" s="7">
        <f>S9-BU9-BT9-BS9</f>
        <v>4858</v>
      </c>
      <c r="BW9" s="28">
        <f>5088</f>
        <v>5088</v>
      </c>
      <c r="BX9" s="28">
        <v>7277</v>
      </c>
      <c r="BY9" s="28">
        <v>7023</v>
      </c>
      <c r="BZ9" s="28">
        <f>T9-SUM(BW9:BY9)</f>
        <v>8785</v>
      </c>
      <c r="CA9" s="7"/>
      <c r="CB9" s="28">
        <f>2945-2113</f>
        <v>832</v>
      </c>
      <c r="CC9" s="28">
        <f>3067-2970</f>
        <v>97</v>
      </c>
      <c r="CD9" s="28">
        <f>8198-4314</f>
        <v>3884</v>
      </c>
      <c r="CE9" s="28">
        <f>4066-3372</f>
        <v>694</v>
      </c>
      <c r="CF9" s="28">
        <f>1031-54</f>
        <v>977</v>
      </c>
      <c r="CH9" s="28">
        <v>15357</v>
      </c>
    </row>
    <row r="10" spans="2:86" s="20" customFormat="1">
      <c r="B10" s="20" t="s">
        <v>147</v>
      </c>
      <c r="C10" s="27"/>
      <c r="D10" s="34">
        <f t="shared" ref="D10:J10" si="5">D7+D9</f>
        <v>596018</v>
      </c>
      <c r="E10" s="34">
        <f t="shared" si="5"/>
        <v>683817</v>
      </c>
      <c r="F10" s="34">
        <f t="shared" si="5"/>
        <v>769469.91597199999</v>
      </c>
      <c r="G10" s="34">
        <f t="shared" si="5"/>
        <v>858634.93831599993</v>
      </c>
      <c r="H10" s="34">
        <f t="shared" si="5"/>
        <v>921351</v>
      </c>
      <c r="I10" s="34">
        <f t="shared" si="5"/>
        <v>966192</v>
      </c>
      <c r="J10" s="34">
        <f t="shared" si="5"/>
        <v>955889</v>
      </c>
      <c r="K10" s="34">
        <f t="shared" ref="K10:R10" si="6">K7+K9</f>
        <v>839367</v>
      </c>
      <c r="L10" s="34">
        <f t="shared" si="6"/>
        <v>828876</v>
      </c>
      <c r="M10" s="34">
        <f t="shared" si="6"/>
        <v>810714</v>
      </c>
      <c r="N10" s="34">
        <f t="shared" si="6"/>
        <v>878638</v>
      </c>
      <c r="O10" s="34">
        <f t="shared" si="6"/>
        <v>1012586</v>
      </c>
      <c r="P10" s="34">
        <f t="shared" si="6"/>
        <v>1170812</v>
      </c>
      <c r="Q10" s="34">
        <f>Q7+Q9</f>
        <v>1400814</v>
      </c>
      <c r="R10" s="34">
        <f t="shared" si="6"/>
        <v>1514178</v>
      </c>
      <c r="S10" s="34">
        <f>S7+S9</f>
        <v>1745589</v>
      </c>
      <c r="T10" s="34">
        <f>T7+T9</f>
        <v>2137901</v>
      </c>
      <c r="U10" s="34">
        <f>U7+U9</f>
        <v>2137901</v>
      </c>
      <c r="V10" s="34"/>
      <c r="W10" s="34">
        <f t="shared" ref="W10:AS10" si="7">W7+W9</f>
        <v>185702.99931400002</v>
      </c>
      <c r="X10" s="34">
        <f t="shared" si="7"/>
        <v>194084.74445599999</v>
      </c>
      <c r="Y10" s="34">
        <f t="shared" si="7"/>
        <v>193758.42122299998</v>
      </c>
      <c r="Z10" s="34">
        <f t="shared" si="7"/>
        <v>195923.750979</v>
      </c>
      <c r="AA10" s="34">
        <f t="shared" si="7"/>
        <v>202995.240521</v>
      </c>
      <c r="AB10" s="34">
        <f t="shared" si="7"/>
        <v>213427.69779499999</v>
      </c>
      <c r="AC10" s="34">
        <f t="shared" si="7"/>
        <v>219607</v>
      </c>
      <c r="AD10" s="34">
        <f t="shared" si="7"/>
        <v>222605</v>
      </c>
      <c r="AE10" s="34">
        <f t="shared" si="7"/>
        <v>230055</v>
      </c>
      <c r="AF10" s="34">
        <f t="shared" si="7"/>
        <v>228617</v>
      </c>
      <c r="AG10" s="34">
        <f t="shared" si="7"/>
        <v>232281</v>
      </c>
      <c r="AH10" s="34">
        <f t="shared" si="7"/>
        <v>230398</v>
      </c>
      <c r="AI10" s="34">
        <f t="shared" si="7"/>
        <v>236808</v>
      </c>
      <c r="AJ10" s="34">
        <f t="shared" si="7"/>
        <v>238519</v>
      </c>
      <c r="AK10" s="34">
        <f t="shared" si="7"/>
        <v>241034</v>
      </c>
      <c r="AL10" s="34">
        <f t="shared" si="7"/>
        <v>249831</v>
      </c>
      <c r="AM10" s="34">
        <f t="shared" si="7"/>
        <v>255729</v>
      </c>
      <c r="AN10" s="34">
        <f t="shared" si="7"/>
        <v>246715</v>
      </c>
      <c r="AO10" s="34">
        <f t="shared" si="7"/>
        <v>233639</v>
      </c>
      <c r="AP10" s="34">
        <f t="shared" si="7"/>
        <v>219806</v>
      </c>
      <c r="AQ10" s="34">
        <f t="shared" si="7"/>
        <v>220067</v>
      </c>
      <c r="AR10" s="34">
        <f t="shared" si="7"/>
        <v>218322</v>
      </c>
      <c r="AS10" s="34">
        <f t="shared" si="7"/>
        <v>203882</v>
      </c>
      <c r="AT10" s="34">
        <f t="shared" ref="AT10:AY10" si="8">AT7+AT9</f>
        <v>197096</v>
      </c>
      <c r="AU10" s="34">
        <f t="shared" si="8"/>
        <v>198989.28828710801</v>
      </c>
      <c r="AV10" s="34">
        <f t="shared" si="8"/>
        <v>202290.58727950751</v>
      </c>
      <c r="AW10" s="34">
        <f t="shared" si="8"/>
        <v>202985.65686167506</v>
      </c>
      <c r="AX10" s="34">
        <f t="shared" si="8"/>
        <v>206448.46757170936</v>
      </c>
      <c r="AY10" s="34">
        <f t="shared" si="8"/>
        <v>208125</v>
      </c>
      <c r="AZ10" s="34">
        <f t="shared" ref="AZ10:BE10" si="9">AZ7+AZ9</f>
        <v>211990</v>
      </c>
      <c r="BA10" s="34">
        <f t="shared" si="9"/>
        <v>220216</v>
      </c>
      <c r="BB10" s="34">
        <f t="shared" si="9"/>
        <v>238307</v>
      </c>
      <c r="BC10" s="34">
        <f t="shared" si="9"/>
        <v>240129</v>
      </c>
      <c r="BD10" s="34">
        <f t="shared" si="9"/>
        <v>258993</v>
      </c>
      <c r="BE10" s="34">
        <f t="shared" si="9"/>
        <v>265114</v>
      </c>
      <c r="BF10" s="34">
        <f t="shared" ref="BF10:BL10" si="10">BF7+BF9</f>
        <v>248350</v>
      </c>
      <c r="BG10" s="34">
        <f t="shared" si="10"/>
        <v>269196</v>
      </c>
      <c r="BH10" s="34">
        <f t="shared" si="10"/>
        <v>283548</v>
      </c>
      <c r="BI10" s="34">
        <f t="shared" si="10"/>
        <v>300558</v>
      </c>
      <c r="BJ10" s="34">
        <f t="shared" si="10"/>
        <v>317510</v>
      </c>
      <c r="BK10" s="34">
        <f t="shared" si="10"/>
        <v>329968</v>
      </c>
      <c r="BL10" s="34">
        <f t="shared" si="10"/>
        <v>347287</v>
      </c>
      <c r="BM10" s="34">
        <f t="shared" ref="BM10:BR10" si="11">BM7+BM9</f>
        <v>360620</v>
      </c>
      <c r="BN10" s="34">
        <f t="shared" si="11"/>
        <v>362939</v>
      </c>
      <c r="BO10" s="34">
        <f t="shared" si="11"/>
        <v>377883</v>
      </c>
      <c r="BP10" s="34">
        <f t="shared" si="11"/>
        <v>373742</v>
      </c>
      <c r="BQ10" s="34">
        <f t="shared" si="11"/>
        <v>383393</v>
      </c>
      <c r="BR10" s="34">
        <f t="shared" si="11"/>
        <v>379160</v>
      </c>
      <c r="BS10" s="34">
        <f t="shared" ref="BS10:BX10" si="12">BS7+BS9</f>
        <v>388699</v>
      </c>
      <c r="BT10" s="34">
        <f t="shared" si="12"/>
        <v>417280</v>
      </c>
      <c r="BU10" s="34">
        <f t="shared" si="12"/>
        <v>455990</v>
      </c>
      <c r="BV10" s="34">
        <f t="shared" si="12"/>
        <v>483620</v>
      </c>
      <c r="BW10" s="34">
        <f t="shared" si="12"/>
        <v>499714</v>
      </c>
      <c r="BX10" s="34">
        <f t="shared" si="12"/>
        <v>528731</v>
      </c>
      <c r="BY10" s="34">
        <f>BY7+BY9</f>
        <v>546839</v>
      </c>
      <c r="BZ10" s="34">
        <f>BZ7+BZ9</f>
        <v>562617</v>
      </c>
      <c r="CA10" s="34"/>
      <c r="CB10" s="34">
        <f>CB7+CB9</f>
        <v>208211</v>
      </c>
      <c r="CC10" s="34">
        <f>CC7+CC9</f>
        <v>213533</v>
      </c>
      <c r="CD10" s="34">
        <f>CD7+CD9</f>
        <v>234071</v>
      </c>
      <c r="CE10" s="34">
        <f>CE7+CE9</f>
        <v>233597</v>
      </c>
      <c r="CF10" s="34">
        <f>CF7+CF9</f>
        <v>251581</v>
      </c>
      <c r="CH10" s="34">
        <f>CH7+CH9</f>
        <v>862122</v>
      </c>
    </row>
    <row r="11" spans="2:86" s="29" customFormat="1">
      <c r="B11" s="30" t="s">
        <v>145</v>
      </c>
      <c r="D11" s="31"/>
      <c r="E11" s="31">
        <f t="shared" ref="E11:T11" si="13">E10/D10-1</f>
        <v>0.14730930945038567</v>
      </c>
      <c r="F11" s="31">
        <f t="shared" si="13"/>
        <v>0.12525707312336487</v>
      </c>
      <c r="G11" s="31">
        <f t="shared" si="13"/>
        <v>0.11587850349076478</v>
      </c>
      <c r="H11" s="31">
        <f t="shared" si="13"/>
        <v>7.3041590652020316E-2</v>
      </c>
      <c r="I11" s="31">
        <f t="shared" si="13"/>
        <v>4.8668748392306505E-2</v>
      </c>
      <c r="J11" s="31">
        <f t="shared" si="13"/>
        <v>-1.0663512014175258E-2</v>
      </c>
      <c r="K11" s="31">
        <f t="shared" si="13"/>
        <v>-0.12189909079401484</v>
      </c>
      <c r="L11" s="31">
        <f>L10/J10-1</f>
        <v>-0.13287421447469316</v>
      </c>
      <c r="M11" s="31">
        <f t="shared" si="13"/>
        <v>-2.1911600770199602E-2</v>
      </c>
      <c r="N11" s="31">
        <f>N10/M10-1</f>
        <v>8.3782937016013026E-2</v>
      </c>
      <c r="O11" s="31">
        <f t="shared" si="13"/>
        <v>0.15244958674676035</v>
      </c>
      <c r="P11" s="31">
        <f t="shared" si="13"/>
        <v>0.15625932019601296</v>
      </c>
      <c r="Q11" s="31">
        <f t="shared" si="13"/>
        <v>0.19644656870616295</v>
      </c>
      <c r="R11" s="31">
        <f t="shared" si="13"/>
        <v>8.0927232309214503E-2</v>
      </c>
      <c r="S11" s="31">
        <f t="shared" si="13"/>
        <v>0.15282945598205755</v>
      </c>
      <c r="T11" s="31">
        <f t="shared" si="13"/>
        <v>0.22474477096269507</v>
      </c>
      <c r="U11" s="31"/>
      <c r="V11" s="1114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>
        <f t="shared" ref="AQ11:AV11" si="14">AQ10/AM10-1</f>
        <v>-0.13945231084468324</v>
      </c>
      <c r="AR11" s="31">
        <f t="shared" si="14"/>
        <v>-0.11508420647305595</v>
      </c>
      <c r="AS11" s="31">
        <f t="shared" si="14"/>
        <v>-0.12736315426790901</v>
      </c>
      <c r="AT11" s="31">
        <f t="shared" si="14"/>
        <v>-0.10331838075393751</v>
      </c>
      <c r="AU11" s="31">
        <f t="shared" si="14"/>
        <v>-9.5778611572348349E-2</v>
      </c>
      <c r="AV11" s="31">
        <f t="shared" si="14"/>
        <v>-7.3430129444089443E-2</v>
      </c>
      <c r="AW11" s="31">
        <f t="shared" ref="AW11:BF11" si="15">AW10/AS10-1</f>
        <v>-4.3963819185849351E-3</v>
      </c>
      <c r="AX11" s="31">
        <f t="shared" si="15"/>
        <v>4.7451331187387646E-2</v>
      </c>
      <c r="AY11" s="31">
        <f t="shared" si="15"/>
        <v>4.5910570320301325E-2</v>
      </c>
      <c r="AZ11" s="31">
        <f t="shared" si="15"/>
        <v>4.7947919134223804E-2</v>
      </c>
      <c r="BA11" s="31">
        <f t="shared" si="15"/>
        <v>8.4884535216528167E-2</v>
      </c>
      <c r="BB11" s="31">
        <f t="shared" si="15"/>
        <v>0.15431711750160915</v>
      </c>
      <c r="BC11" s="31">
        <f>BC10/CB10-1</f>
        <v>0.15329641565527274</v>
      </c>
      <c r="BD11" s="31">
        <f t="shared" si="15"/>
        <v>0.22172272276994187</v>
      </c>
      <c r="BE11" s="31">
        <f t="shared" si="15"/>
        <v>0.20388164347731319</v>
      </c>
      <c r="BF11" s="31">
        <f t="shared" si="15"/>
        <v>4.214311791092995E-2</v>
      </c>
      <c r="BG11" s="31">
        <f>BG10/CE10-1</f>
        <v>0.15239493657880887</v>
      </c>
      <c r="BH11" s="31">
        <f>BH10/CF10-1</f>
        <v>0.12706444445327758</v>
      </c>
      <c r="BI11" s="31">
        <f t="shared" ref="BI11:BZ11" si="16">BI10/BE10-1</f>
        <v>0.13369342999615252</v>
      </c>
      <c r="BJ11" s="31">
        <f t="shared" si="16"/>
        <v>0.27847795449969803</v>
      </c>
      <c r="BK11" s="31">
        <f t="shared" si="16"/>
        <v>0.22575372590974596</v>
      </c>
      <c r="BL11" s="31">
        <f t="shared" si="16"/>
        <v>0.22479086433337558</v>
      </c>
      <c r="BM11" s="31">
        <f t="shared" si="16"/>
        <v>0.19983497361574143</v>
      </c>
      <c r="BN11" s="31">
        <f t="shared" si="16"/>
        <v>0.14307895814305072</v>
      </c>
      <c r="BO11" s="31">
        <f t="shared" si="16"/>
        <v>0.14521105076855934</v>
      </c>
      <c r="BP11" s="31">
        <f t="shared" si="16"/>
        <v>7.6176188570260317E-2</v>
      </c>
      <c r="BQ11" s="31">
        <f t="shared" si="16"/>
        <v>6.3149575730686136E-2</v>
      </c>
      <c r="BR11" s="31">
        <f t="shared" si="16"/>
        <v>4.4693460884611458E-2</v>
      </c>
      <c r="BS11" s="31">
        <f t="shared" si="16"/>
        <v>2.8622615994897904E-2</v>
      </c>
      <c r="BT11" s="31">
        <f t="shared" si="16"/>
        <v>0.11649212558395905</v>
      </c>
      <c r="BU11" s="31">
        <f t="shared" si="16"/>
        <v>0.18935400489836796</v>
      </c>
      <c r="BV11" s="31">
        <f t="shared" si="16"/>
        <v>0.27550374512079334</v>
      </c>
      <c r="BW11" s="31">
        <f t="shared" si="16"/>
        <v>0.28560660048006303</v>
      </c>
      <c r="BX11" s="31">
        <f t="shared" si="16"/>
        <v>0.26708924463190176</v>
      </c>
      <c r="BY11" s="31">
        <f t="shared" si="16"/>
        <v>0.19923463233842842</v>
      </c>
      <c r="BZ11" s="31">
        <f t="shared" si="16"/>
        <v>0.16334518837103507</v>
      </c>
      <c r="CA11" s="62"/>
      <c r="CB11" s="31">
        <f>CB10/AU10-1</f>
        <v>4.6342754387797003E-2</v>
      </c>
      <c r="CC11" s="31">
        <f>CC10/AY10-1</f>
        <v>2.5984384384384329E-2</v>
      </c>
      <c r="CD11" s="31">
        <f>CD10/AX10-1</f>
        <v>0.1337986798991182</v>
      </c>
      <c r="CE11" s="31">
        <f>CE10/AW10-1</f>
        <v>0.1508054490726165</v>
      </c>
      <c r="CF11" s="31">
        <f>CF10/AV10-1</f>
        <v>0.24366142480167552</v>
      </c>
      <c r="CH11" s="31">
        <f>CH10/M10-1</f>
        <v>6.3410771246086739E-2</v>
      </c>
    </row>
    <row r="12" spans="2:86" s="20" customFormat="1">
      <c r="B12" s="890" t="s">
        <v>148</v>
      </c>
      <c r="C12" s="27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H12" s="34"/>
    </row>
    <row r="13" spans="2:86" s="20" customFormat="1">
      <c r="B13" s="891" t="s">
        <v>149</v>
      </c>
      <c r="C13" s="27"/>
      <c r="D13" s="103"/>
      <c r="E13" s="103"/>
      <c r="F13" s="103"/>
      <c r="G13" s="103"/>
      <c r="H13" s="103"/>
      <c r="I13" s="28">
        <v>201567</v>
      </c>
      <c r="J13" s="28">
        <v>209154</v>
      </c>
      <c r="K13" s="28">
        <v>197520</v>
      </c>
      <c r="L13" s="28">
        <v>197520</v>
      </c>
      <c r="M13" s="28">
        <v>223900</v>
      </c>
      <c r="N13" s="28">
        <v>197685</v>
      </c>
      <c r="O13" s="28">
        <v>219819</v>
      </c>
      <c r="P13" s="28">
        <v>250205</v>
      </c>
      <c r="Q13" s="28">
        <v>285433</v>
      </c>
      <c r="R13" s="28">
        <v>300188</v>
      </c>
      <c r="S13" s="28">
        <v>335043</v>
      </c>
      <c r="T13" s="28">
        <v>397500</v>
      </c>
      <c r="U13" s="7">
        <f t="shared" ref="U13:U18" si="17">SUM(BW13:BZ13)</f>
        <v>397500</v>
      </c>
      <c r="V13" s="7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28">
        <v>53957.992145000004</v>
      </c>
      <c r="AN13" s="28">
        <v>50933.40381299999</v>
      </c>
      <c r="AO13" s="28">
        <v>52634.744487000011</v>
      </c>
      <c r="AP13" s="7">
        <f t="shared" ref="AP13:AP18" si="18">J13-SUM(AM13:AO13)</f>
        <v>51627.859555000003</v>
      </c>
      <c r="AQ13" s="28">
        <v>51612</v>
      </c>
      <c r="AR13" s="28">
        <v>50472</v>
      </c>
      <c r="AS13" s="28">
        <v>47365</v>
      </c>
      <c r="AT13" s="7">
        <f>+K13-AS13-AR13-AQ13</f>
        <v>48071</v>
      </c>
      <c r="AU13" s="28">
        <v>50677</v>
      </c>
      <c r="AV13" s="28">
        <v>56289.452352679997</v>
      </c>
      <c r="AW13" s="28">
        <v>57539</v>
      </c>
      <c r="AX13" s="7">
        <f t="shared" ref="AX13:AX18" si="19">M13-AW13-AV13-AU13</f>
        <v>59394.547647319996</v>
      </c>
      <c r="AY13" s="28">
        <v>45957</v>
      </c>
      <c r="AZ13" s="28">
        <v>49688.871792213031</v>
      </c>
      <c r="BA13" s="28">
        <v>49344.621405442973</v>
      </c>
      <c r="BB13" s="7">
        <f t="shared" ref="BB13:BB18" si="20">N13-BA13-AZ13-AY13</f>
        <v>52694.506802343996</v>
      </c>
      <c r="BC13" s="28">
        <v>51036</v>
      </c>
      <c r="BD13" s="28">
        <v>54564</v>
      </c>
      <c r="BE13" s="28">
        <v>55479</v>
      </c>
      <c r="BF13" s="7">
        <f t="shared" ref="BF13:BF18" si="21">O13-BE13-BD13-BC13</f>
        <v>58740</v>
      </c>
      <c r="BG13" s="28">
        <v>57973</v>
      </c>
      <c r="BH13" s="28">
        <v>61788</v>
      </c>
      <c r="BI13" s="28">
        <v>64986</v>
      </c>
      <c r="BJ13" s="7">
        <f t="shared" ref="BJ13:BJ18" si="22">P13-BI13-BH13-BG13</f>
        <v>65458</v>
      </c>
      <c r="BK13" s="28">
        <v>66828</v>
      </c>
      <c r="BL13" s="28">
        <v>71303</v>
      </c>
      <c r="BM13" s="28">
        <v>73284</v>
      </c>
      <c r="BN13" s="7">
        <f t="shared" ref="BN13:BN18" si="23">Q13-BM13-BL13-BK13</f>
        <v>74018</v>
      </c>
      <c r="BO13" s="28">
        <v>74036</v>
      </c>
      <c r="BP13" s="28">
        <v>74240</v>
      </c>
      <c r="BQ13" s="28">
        <v>75926</v>
      </c>
      <c r="BR13" s="7">
        <f t="shared" ref="BR13:BR18" si="24">R13-BQ13-BP13-BO13</f>
        <v>75986</v>
      </c>
      <c r="BS13" s="28">
        <v>77606</v>
      </c>
      <c r="BT13" s="28">
        <v>80115</v>
      </c>
      <c r="BU13" s="28">
        <v>86267</v>
      </c>
      <c r="BV13" s="7">
        <f t="shared" ref="BV13:BV18" si="25">S13-BU13-BT13-BS13</f>
        <v>91055</v>
      </c>
      <c r="BW13" s="28">
        <v>95456</v>
      </c>
      <c r="BX13" s="28">
        <v>101178</v>
      </c>
      <c r="BY13" s="28">
        <v>98786</v>
      </c>
      <c r="BZ13" s="28">
        <f t="shared" ref="BZ13:BZ18" si="26">T13-SUM(BW13:BY13)</f>
        <v>102080</v>
      </c>
      <c r="CA13" s="7"/>
      <c r="CB13" s="28">
        <v>46636</v>
      </c>
      <c r="CC13" s="28">
        <v>49848.999999999993</v>
      </c>
      <c r="CD13" s="28">
        <v>51510</v>
      </c>
      <c r="CE13" s="28">
        <v>50963</v>
      </c>
      <c r="CF13" s="28">
        <v>54198</v>
      </c>
      <c r="CH13" s="28">
        <v>196305</v>
      </c>
    </row>
    <row r="14" spans="2:86" s="20" customFormat="1">
      <c r="B14" s="891" t="s">
        <v>150</v>
      </c>
      <c r="C14" s="27"/>
      <c r="D14" s="103"/>
      <c r="E14" s="103"/>
      <c r="F14" s="103"/>
      <c r="G14" s="103"/>
      <c r="H14" s="103"/>
      <c r="I14" s="28">
        <v>109423</v>
      </c>
      <c r="J14" s="28">
        <v>102786</v>
      </c>
      <c r="K14" s="28">
        <v>90446</v>
      </c>
      <c r="L14" s="28">
        <v>90446</v>
      </c>
      <c r="M14" s="28">
        <v>93521</v>
      </c>
      <c r="N14" s="28">
        <v>107395</v>
      </c>
      <c r="O14" s="28">
        <v>103521</v>
      </c>
      <c r="P14" s="28">
        <v>67611</v>
      </c>
      <c r="Q14" s="28">
        <v>76207</v>
      </c>
      <c r="R14" s="28">
        <v>75185</v>
      </c>
      <c r="S14" s="28">
        <v>71713</v>
      </c>
      <c r="T14" s="28">
        <v>55416</v>
      </c>
      <c r="U14" s="7">
        <f t="shared" si="17"/>
        <v>55416</v>
      </c>
      <c r="V14" s="7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28">
        <v>27041.285202999999</v>
      </c>
      <c r="AN14" s="28">
        <v>28597.714797000001</v>
      </c>
      <c r="AO14" s="28">
        <v>24386</v>
      </c>
      <c r="AP14" s="7">
        <f t="shared" si="18"/>
        <v>22761</v>
      </c>
      <c r="AQ14" s="28">
        <v>25016</v>
      </c>
      <c r="AR14" s="28">
        <v>25603</v>
      </c>
      <c r="AS14" s="28">
        <v>19539</v>
      </c>
      <c r="AT14" s="7">
        <f>+K14-AS14-AR14-AQ14</f>
        <v>20288</v>
      </c>
      <c r="AU14" s="28">
        <v>21355</v>
      </c>
      <c r="AV14" s="28">
        <v>23294</v>
      </c>
      <c r="AW14" s="28">
        <v>24462</v>
      </c>
      <c r="AX14" s="7">
        <f t="shared" si="19"/>
        <v>24410</v>
      </c>
      <c r="AY14" s="28">
        <v>25627</v>
      </c>
      <c r="AZ14" s="28">
        <v>26389</v>
      </c>
      <c r="BA14" s="28">
        <v>27109</v>
      </c>
      <c r="BB14" s="7">
        <f t="shared" si="20"/>
        <v>28270</v>
      </c>
      <c r="BC14" s="28">
        <v>28011</v>
      </c>
      <c r="BD14" s="28">
        <v>29229</v>
      </c>
      <c r="BE14" s="28">
        <v>30632</v>
      </c>
      <c r="BF14" s="7">
        <f t="shared" si="21"/>
        <v>15649</v>
      </c>
      <c r="BG14" s="28">
        <v>16166</v>
      </c>
      <c r="BH14" s="28">
        <v>16708</v>
      </c>
      <c r="BI14" s="28">
        <v>17232</v>
      </c>
      <c r="BJ14" s="7">
        <f t="shared" si="22"/>
        <v>17505</v>
      </c>
      <c r="BK14" s="28">
        <v>18698</v>
      </c>
      <c r="BL14" s="28">
        <v>19310</v>
      </c>
      <c r="BM14" s="28">
        <v>19352</v>
      </c>
      <c r="BN14" s="7">
        <f t="shared" si="23"/>
        <v>18847</v>
      </c>
      <c r="BO14" s="28">
        <v>19972</v>
      </c>
      <c r="BP14" s="28">
        <v>18144</v>
      </c>
      <c r="BQ14" s="28">
        <v>18568</v>
      </c>
      <c r="BR14" s="7">
        <f t="shared" si="24"/>
        <v>18501</v>
      </c>
      <c r="BS14" s="28">
        <v>19084</v>
      </c>
      <c r="BT14" s="28">
        <v>18211</v>
      </c>
      <c r="BU14" s="28">
        <v>19636</v>
      </c>
      <c r="BV14" s="7">
        <f t="shared" si="25"/>
        <v>14782</v>
      </c>
      <c r="BW14" s="28">
        <v>12571</v>
      </c>
      <c r="BX14" s="28">
        <v>13215</v>
      </c>
      <c r="BY14" s="28">
        <v>14691</v>
      </c>
      <c r="BZ14" s="28">
        <f t="shared" si="26"/>
        <v>14939</v>
      </c>
      <c r="CA14" s="7"/>
      <c r="CB14" s="28">
        <v>25627</v>
      </c>
      <c r="CC14" s="28">
        <v>27109</v>
      </c>
      <c r="CD14" s="28">
        <v>28270</v>
      </c>
      <c r="CE14" s="28">
        <v>28011</v>
      </c>
      <c r="CF14" s="28">
        <v>29229</v>
      </c>
      <c r="CH14" s="28">
        <v>107395</v>
      </c>
    </row>
    <row r="15" spans="2:86" s="20" customFormat="1">
      <c r="B15" s="891" t="s">
        <v>151</v>
      </c>
      <c r="C15" s="27"/>
      <c r="D15" s="103"/>
      <c r="E15" s="103"/>
      <c r="F15" s="103"/>
      <c r="G15" s="103"/>
      <c r="H15" s="103"/>
      <c r="I15" s="28">
        <v>94928</v>
      </c>
      <c r="J15" s="28">
        <v>92760</v>
      </c>
      <c r="K15" s="28">
        <v>75558</v>
      </c>
      <c r="L15" s="28">
        <v>75558</v>
      </c>
      <c r="M15" s="28">
        <v>69426</v>
      </c>
      <c r="N15" s="28">
        <v>72561</v>
      </c>
      <c r="O15" s="28">
        <v>91084</v>
      </c>
      <c r="P15" s="28">
        <v>110636</v>
      </c>
      <c r="Q15" s="28">
        <v>117517</v>
      </c>
      <c r="R15" s="28">
        <v>120358</v>
      </c>
      <c r="S15" s="28">
        <v>138290</v>
      </c>
      <c r="T15" s="28">
        <v>153729</v>
      </c>
      <c r="U15" s="7">
        <f t="shared" si="17"/>
        <v>153729</v>
      </c>
      <c r="V15" s="7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28">
        <v>25498.850362000001</v>
      </c>
      <c r="AN15" s="28">
        <v>24143.149637999999</v>
      </c>
      <c r="AO15" s="28">
        <v>22267.999999999996</v>
      </c>
      <c r="AP15" s="7">
        <f t="shared" si="18"/>
        <v>20850</v>
      </c>
      <c r="AQ15" s="28">
        <v>20820</v>
      </c>
      <c r="AR15" s="28">
        <v>19720</v>
      </c>
      <c r="AS15" s="28">
        <v>17542</v>
      </c>
      <c r="AT15" s="7">
        <f>+K15-AS15-AR15-AQ15</f>
        <v>17476</v>
      </c>
      <c r="AU15" s="28">
        <v>16972</v>
      </c>
      <c r="AV15" s="28">
        <v>17697</v>
      </c>
      <c r="AW15" s="28">
        <v>17469</v>
      </c>
      <c r="AX15" s="7">
        <f t="shared" si="19"/>
        <v>17288</v>
      </c>
      <c r="AY15" s="28">
        <v>17930</v>
      </c>
      <c r="AZ15" s="28">
        <v>16764</v>
      </c>
      <c r="BA15" s="28">
        <v>17666</v>
      </c>
      <c r="BB15" s="7">
        <f t="shared" si="20"/>
        <v>20201</v>
      </c>
      <c r="BC15" s="28">
        <v>20768</v>
      </c>
      <c r="BD15" s="28">
        <v>22355</v>
      </c>
      <c r="BE15" s="28">
        <v>22952</v>
      </c>
      <c r="BF15" s="7">
        <f t="shared" si="21"/>
        <v>25009</v>
      </c>
      <c r="BG15" s="28">
        <v>26455</v>
      </c>
      <c r="BH15" s="28">
        <v>26794</v>
      </c>
      <c r="BI15" s="28">
        <v>27298</v>
      </c>
      <c r="BJ15" s="7">
        <f t="shared" si="22"/>
        <v>30089</v>
      </c>
      <c r="BK15" s="28">
        <v>31306</v>
      </c>
      <c r="BL15" s="28">
        <v>29511</v>
      </c>
      <c r="BM15" s="28">
        <v>28421</v>
      </c>
      <c r="BN15" s="7">
        <f t="shared" si="23"/>
        <v>28279</v>
      </c>
      <c r="BO15" s="28">
        <v>29403</v>
      </c>
      <c r="BP15" s="28">
        <v>29643</v>
      </c>
      <c r="BQ15" s="28">
        <v>30205</v>
      </c>
      <c r="BR15" s="7">
        <f t="shared" si="24"/>
        <v>31107</v>
      </c>
      <c r="BS15" s="28">
        <v>31564</v>
      </c>
      <c r="BT15" s="28">
        <v>34658</v>
      </c>
      <c r="BU15" s="28">
        <v>35698</v>
      </c>
      <c r="BV15" s="7">
        <f t="shared" si="25"/>
        <v>36370</v>
      </c>
      <c r="BW15" s="28">
        <v>37200</v>
      </c>
      <c r="BX15" s="28">
        <v>38249</v>
      </c>
      <c r="BY15" s="28">
        <v>38462</v>
      </c>
      <c r="BZ15" s="28">
        <f t="shared" si="26"/>
        <v>39818</v>
      </c>
      <c r="CA15" s="7"/>
      <c r="CB15" s="28">
        <v>18391</v>
      </c>
      <c r="CC15" s="28">
        <v>17875</v>
      </c>
      <c r="CD15" s="28">
        <v>20569</v>
      </c>
      <c r="CE15" s="28">
        <v>20766</v>
      </c>
      <c r="CF15" s="28">
        <v>22354</v>
      </c>
      <c r="CH15" s="28">
        <v>73826</v>
      </c>
    </row>
    <row r="16" spans="2:86" s="20" customFormat="1">
      <c r="B16" s="891" t="s">
        <v>152</v>
      </c>
      <c r="C16" s="27"/>
      <c r="D16" s="103"/>
      <c r="E16" s="103"/>
      <c r="F16" s="103"/>
      <c r="G16" s="103"/>
      <c r="H16" s="103"/>
      <c r="I16" s="28">
        <v>49108</v>
      </c>
      <c r="J16" s="28">
        <v>43032</v>
      </c>
      <c r="K16" s="28">
        <v>39771</v>
      </c>
      <c r="L16" s="28">
        <v>39771</v>
      </c>
      <c r="M16" s="28">
        <v>37975</v>
      </c>
      <c r="N16" s="28">
        <v>38072</v>
      </c>
      <c r="O16" s="28">
        <v>41146</v>
      </c>
      <c r="P16" s="28">
        <v>44333</v>
      </c>
      <c r="Q16" s="28">
        <v>48308</v>
      </c>
      <c r="R16" s="28">
        <v>53231</v>
      </c>
      <c r="S16" s="28">
        <v>63089</v>
      </c>
      <c r="T16" s="28">
        <v>75813</v>
      </c>
      <c r="U16" s="7">
        <f t="shared" si="17"/>
        <v>75813</v>
      </c>
      <c r="V16" s="7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28">
        <v>11144.376263</v>
      </c>
      <c r="AN16" s="28">
        <v>10857.623737</v>
      </c>
      <c r="AO16" s="28">
        <v>10531.999999999998</v>
      </c>
      <c r="AP16" s="7">
        <f t="shared" si="18"/>
        <v>10498</v>
      </c>
      <c r="AQ16" s="28">
        <v>10147</v>
      </c>
      <c r="AR16" s="28">
        <v>10089</v>
      </c>
      <c r="AS16" s="28">
        <v>9586</v>
      </c>
      <c r="AT16" s="7"/>
      <c r="AU16" s="28">
        <v>9656</v>
      </c>
      <c r="AV16" s="28">
        <v>9360</v>
      </c>
      <c r="AW16" s="28">
        <v>9530</v>
      </c>
      <c r="AX16" s="7">
        <f t="shared" si="19"/>
        <v>9429</v>
      </c>
      <c r="AY16" s="28">
        <v>8641</v>
      </c>
      <c r="AZ16" s="28">
        <v>9464</v>
      </c>
      <c r="BA16" s="28">
        <v>9651</v>
      </c>
      <c r="BB16" s="7">
        <f t="shared" si="20"/>
        <v>10316</v>
      </c>
      <c r="BC16" s="28">
        <v>11566</v>
      </c>
      <c r="BD16" s="28">
        <v>11008</v>
      </c>
      <c r="BE16" s="28">
        <v>10260</v>
      </c>
      <c r="BF16" s="7">
        <f t="shared" si="21"/>
        <v>8312</v>
      </c>
      <c r="BG16" s="28">
        <v>10345</v>
      </c>
      <c r="BH16" s="28">
        <v>11010</v>
      </c>
      <c r="BI16" s="28">
        <v>11336</v>
      </c>
      <c r="BJ16" s="7">
        <f t="shared" si="22"/>
        <v>11642</v>
      </c>
      <c r="BK16" s="28">
        <v>11235</v>
      </c>
      <c r="BL16" s="28">
        <v>12086</v>
      </c>
      <c r="BM16" s="28">
        <v>12353</v>
      </c>
      <c r="BN16" s="7">
        <f t="shared" si="23"/>
        <v>12634</v>
      </c>
      <c r="BO16" s="28">
        <v>12572</v>
      </c>
      <c r="BP16" s="28">
        <v>13790</v>
      </c>
      <c r="BQ16" s="28">
        <v>13230</v>
      </c>
      <c r="BR16" s="7">
        <f t="shared" si="24"/>
        <v>13639</v>
      </c>
      <c r="BS16" s="28">
        <v>13728</v>
      </c>
      <c r="BT16" s="28">
        <v>14966</v>
      </c>
      <c r="BU16" s="28">
        <v>16082</v>
      </c>
      <c r="BV16" s="7">
        <f t="shared" si="25"/>
        <v>18313</v>
      </c>
      <c r="BW16" s="28">
        <v>17380</v>
      </c>
      <c r="BX16" s="28">
        <v>18571</v>
      </c>
      <c r="BY16" s="28">
        <v>19581</v>
      </c>
      <c r="BZ16" s="28">
        <f t="shared" si="26"/>
        <v>20281</v>
      </c>
      <c r="CA16" s="7"/>
      <c r="CB16" s="28">
        <v>8641</v>
      </c>
      <c r="CC16" s="28">
        <v>8914</v>
      </c>
      <c r="CD16" s="28">
        <v>9520</v>
      </c>
      <c r="CE16" s="28">
        <v>10725</v>
      </c>
      <c r="CF16" s="28">
        <v>10172</v>
      </c>
      <c r="CH16" s="28">
        <v>35137</v>
      </c>
    </row>
    <row r="17" spans="2:86" s="20" customFormat="1">
      <c r="B17" s="891" t="s">
        <v>153</v>
      </c>
      <c r="C17" s="27"/>
      <c r="D17" s="103"/>
      <c r="E17" s="103"/>
      <c r="F17" s="103"/>
      <c r="G17" s="103"/>
      <c r="H17" s="103"/>
      <c r="I17" s="28">
        <v>82410</v>
      </c>
      <c r="J17" s="28">
        <v>66732</v>
      </c>
      <c r="K17" s="28">
        <v>55766</v>
      </c>
      <c r="L17" s="28">
        <v>45275</v>
      </c>
      <c r="M17" s="28">
        <v>41277</v>
      </c>
      <c r="N17" s="28">
        <v>34325</v>
      </c>
      <c r="O17" s="28">
        <v>38009</v>
      </c>
      <c r="P17" s="28">
        <v>53035</v>
      </c>
      <c r="Q17" s="28">
        <v>72454</v>
      </c>
      <c r="R17" s="28">
        <v>81326</v>
      </c>
      <c r="S17" s="28">
        <v>114601</v>
      </c>
      <c r="T17" s="28">
        <v>131073</v>
      </c>
      <c r="U17" s="7">
        <f t="shared" si="17"/>
        <v>131073</v>
      </c>
      <c r="V17" s="7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28">
        <v>19904.246550999997</v>
      </c>
      <c r="AN17" s="28">
        <v>18012.026143000003</v>
      </c>
      <c r="AO17" s="28">
        <v>16549.927881000003</v>
      </c>
      <c r="AP17" s="7">
        <f t="shared" si="18"/>
        <v>12265.799424999997</v>
      </c>
      <c r="AQ17" s="28">
        <v>15365</v>
      </c>
      <c r="AR17" s="28">
        <v>14104</v>
      </c>
      <c r="AS17" s="28">
        <v>15902</v>
      </c>
      <c r="AT17" s="7">
        <f>+K17-AS17-AR17-AQ17</f>
        <v>10395</v>
      </c>
      <c r="AU17" s="28">
        <v>10144.2882871075</v>
      </c>
      <c r="AV17" s="28">
        <v>10207.506755657503</v>
      </c>
      <c r="AW17" s="28">
        <v>10560.656861674999</v>
      </c>
      <c r="AX17" s="7">
        <f t="shared" si="19"/>
        <v>10364.548095559998</v>
      </c>
      <c r="AY17" s="28">
        <v>8364</v>
      </c>
      <c r="AZ17" s="28">
        <v>7580.9177954299994</v>
      </c>
      <c r="BA17" s="28">
        <v>9003</v>
      </c>
      <c r="BB17" s="7">
        <f t="shared" si="20"/>
        <v>9377.0822045700006</v>
      </c>
      <c r="BC17" s="28">
        <v>7301</v>
      </c>
      <c r="BD17" s="28">
        <v>8744</v>
      </c>
      <c r="BE17" s="28">
        <v>10524</v>
      </c>
      <c r="BF17" s="7">
        <f t="shared" si="21"/>
        <v>11440</v>
      </c>
      <c r="BG17" s="28">
        <v>10613</v>
      </c>
      <c r="BH17" s="28">
        <v>12670</v>
      </c>
      <c r="BI17" s="28">
        <v>14425</v>
      </c>
      <c r="BJ17" s="7">
        <f t="shared" si="22"/>
        <v>15327</v>
      </c>
      <c r="BK17" s="28">
        <v>15669</v>
      </c>
      <c r="BL17" s="28">
        <v>17823</v>
      </c>
      <c r="BM17" s="28">
        <v>19118</v>
      </c>
      <c r="BN17" s="7">
        <f t="shared" si="23"/>
        <v>19844</v>
      </c>
      <c r="BO17" s="28">
        <v>20596</v>
      </c>
      <c r="BP17" s="28">
        <v>19590</v>
      </c>
      <c r="BQ17" s="28">
        <v>20473</v>
      </c>
      <c r="BR17" s="7">
        <f t="shared" si="24"/>
        <v>20667</v>
      </c>
      <c r="BS17" s="28">
        <v>27157</v>
      </c>
      <c r="BT17" s="28">
        <v>28824</v>
      </c>
      <c r="BU17" s="28">
        <v>29261</v>
      </c>
      <c r="BV17" s="7">
        <f t="shared" si="25"/>
        <v>29359</v>
      </c>
      <c r="BW17" s="28">
        <v>29659</v>
      </c>
      <c r="BX17" s="28">
        <v>31824</v>
      </c>
      <c r="BY17" s="28">
        <v>34269</v>
      </c>
      <c r="BZ17" s="28">
        <f t="shared" si="26"/>
        <v>35321</v>
      </c>
      <c r="CA17" s="7"/>
      <c r="CB17" s="28">
        <v>8386</v>
      </c>
      <c r="CC17" s="28">
        <v>8979</v>
      </c>
      <c r="CD17" s="28">
        <v>9335</v>
      </c>
      <c r="CE17" s="28">
        <v>7278</v>
      </c>
      <c r="CF17" s="28">
        <v>8722</v>
      </c>
      <c r="CH17" s="28">
        <v>34236</v>
      </c>
    </row>
    <row r="18" spans="2:86" s="20" customFormat="1">
      <c r="B18" s="891" t="s">
        <v>154</v>
      </c>
      <c r="C18" s="27"/>
      <c r="D18" s="103"/>
      <c r="E18" s="103"/>
      <c r="F18" s="103"/>
      <c r="G18" s="103"/>
      <c r="H18" s="103"/>
      <c r="I18" s="28">
        <v>88043</v>
      </c>
      <c r="J18" s="28">
        <v>86921</v>
      </c>
      <c r="K18" s="28">
        <v>77027</v>
      </c>
      <c r="L18" s="28">
        <v>77027</v>
      </c>
      <c r="M18" s="28">
        <v>83514</v>
      </c>
      <c r="N18" s="28">
        <v>59257</v>
      </c>
      <c r="O18" s="28">
        <v>58862</v>
      </c>
      <c r="P18" s="28">
        <v>64310</v>
      </c>
      <c r="Q18" s="28">
        <v>78794</v>
      </c>
      <c r="R18" s="28">
        <v>86618</v>
      </c>
      <c r="S18" s="28">
        <v>75524</v>
      </c>
      <c r="T18" s="28">
        <v>99452</v>
      </c>
      <c r="U18" s="7">
        <f t="shared" si="17"/>
        <v>99452</v>
      </c>
      <c r="V18" s="7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28">
        <v>22438.189828999999</v>
      </c>
      <c r="AN18" s="28">
        <v>19568.141519000001</v>
      </c>
      <c r="AO18" s="28">
        <v>22171.327631999997</v>
      </c>
      <c r="AP18" s="7">
        <f t="shared" si="18"/>
        <v>22743.341020000007</v>
      </c>
      <c r="AQ18" s="28">
        <v>19036.820439745999</v>
      </c>
      <c r="AR18" s="28">
        <v>18561</v>
      </c>
      <c r="AS18" s="28">
        <v>18564</v>
      </c>
      <c r="AT18" s="7">
        <f>+K18-AS18-AR18-AQ18</f>
        <v>20865.179560254001</v>
      </c>
      <c r="AU18" s="28">
        <v>21929.751419288998</v>
      </c>
      <c r="AV18" s="28">
        <v>22314.035767072994</v>
      </c>
      <c r="AW18" s="28">
        <v>20570.175721169999</v>
      </c>
      <c r="AX18" s="7">
        <f t="shared" si="19"/>
        <v>18700.037092468006</v>
      </c>
      <c r="AY18" s="28">
        <v>17972</v>
      </c>
      <c r="AZ18" s="28">
        <v>12823.36176118</v>
      </c>
      <c r="BA18" s="28">
        <v>14028</v>
      </c>
      <c r="BB18" s="7">
        <f t="shared" si="20"/>
        <v>14433.63823882</v>
      </c>
      <c r="BC18" s="28">
        <v>16626</v>
      </c>
      <c r="BD18" s="28">
        <v>15530</v>
      </c>
      <c r="BE18" s="28">
        <v>14801</v>
      </c>
      <c r="BF18" s="7">
        <f t="shared" si="21"/>
        <v>11905</v>
      </c>
      <c r="BG18" s="28">
        <v>17181</v>
      </c>
      <c r="BH18" s="28">
        <v>16189</v>
      </c>
      <c r="BI18" s="28">
        <v>16361</v>
      </c>
      <c r="BJ18" s="7">
        <f t="shared" si="22"/>
        <v>14579</v>
      </c>
      <c r="BK18" s="28">
        <v>19016</v>
      </c>
      <c r="BL18" s="28">
        <v>19297</v>
      </c>
      <c r="BM18" s="28">
        <v>20984</v>
      </c>
      <c r="BN18" s="7">
        <f t="shared" si="23"/>
        <v>19497</v>
      </c>
      <c r="BO18" s="28">
        <v>21836</v>
      </c>
      <c r="BP18" s="28">
        <v>19894</v>
      </c>
      <c r="BQ18" s="28">
        <v>22445</v>
      </c>
      <c r="BR18" s="7">
        <f t="shared" si="24"/>
        <v>22443</v>
      </c>
      <c r="BS18" s="28">
        <v>18849</v>
      </c>
      <c r="BT18" s="28">
        <v>19497</v>
      </c>
      <c r="BU18" s="28">
        <v>18383</v>
      </c>
      <c r="BV18" s="7">
        <f t="shared" si="25"/>
        <v>18795</v>
      </c>
      <c r="BW18" s="28">
        <v>23973</v>
      </c>
      <c r="BX18" s="28">
        <v>22803</v>
      </c>
      <c r="BY18" s="28">
        <v>26199</v>
      </c>
      <c r="BZ18" s="28">
        <f t="shared" si="26"/>
        <v>26477</v>
      </c>
      <c r="CA18" s="7"/>
      <c r="CB18" s="28">
        <v>17357</v>
      </c>
      <c r="CC18" s="28">
        <v>13546</v>
      </c>
      <c r="CD18" s="28">
        <v>14808</v>
      </c>
      <c r="CE18" s="28">
        <v>15989</v>
      </c>
      <c r="CF18" s="28">
        <v>15232</v>
      </c>
      <c r="CH18" s="28">
        <v>57332</v>
      </c>
    </row>
    <row r="19" spans="2:86" s="20" customFormat="1">
      <c r="B19" s="890" t="s">
        <v>155</v>
      </c>
      <c r="C19" s="34"/>
      <c r="D19" s="67">
        <v>200718</v>
      </c>
      <c r="E19" s="67">
        <f>103442+133681</f>
        <v>237123</v>
      </c>
      <c r="F19" s="67">
        <f>84431+148147</f>
        <v>232578</v>
      </c>
      <c r="G19" s="67">
        <f>121934+156496</f>
        <v>278430</v>
      </c>
      <c r="H19" s="67">
        <v>313883</v>
      </c>
      <c r="I19" s="34">
        <f t="shared" ref="I19:O19" si="27">I10-SUM(I13:I18)</f>
        <v>340713</v>
      </c>
      <c r="J19" s="34">
        <f t="shared" si="27"/>
        <v>354504</v>
      </c>
      <c r="K19" s="34">
        <f t="shared" si="27"/>
        <v>303279</v>
      </c>
      <c r="L19" s="34">
        <f t="shared" si="27"/>
        <v>303279</v>
      </c>
      <c r="M19" s="34">
        <f t="shared" si="27"/>
        <v>261101</v>
      </c>
      <c r="N19" s="34">
        <f t="shared" si="27"/>
        <v>369343</v>
      </c>
      <c r="O19" s="34">
        <f t="shared" si="27"/>
        <v>460145</v>
      </c>
      <c r="P19" s="34">
        <f t="shared" ref="P19:U19" si="28">P10-SUM(P13:P18)</f>
        <v>580682</v>
      </c>
      <c r="Q19" s="34">
        <f t="shared" si="28"/>
        <v>722101</v>
      </c>
      <c r="R19" s="34">
        <f t="shared" si="28"/>
        <v>797272</v>
      </c>
      <c r="S19" s="34">
        <f t="shared" si="28"/>
        <v>947329</v>
      </c>
      <c r="T19" s="34">
        <f t="shared" si="28"/>
        <v>1224918</v>
      </c>
      <c r="U19" s="34">
        <f t="shared" si="28"/>
        <v>1224918</v>
      </c>
      <c r="V19" s="34"/>
      <c r="W19" s="67">
        <f>18955+35901</f>
        <v>54856</v>
      </c>
      <c r="X19" s="67">
        <f>22478+36891</f>
        <v>59369</v>
      </c>
      <c r="Y19" s="67">
        <f>20399+37350</f>
        <v>57749</v>
      </c>
      <c r="Z19" s="34">
        <f>F19-SUM(W19:Y19)</f>
        <v>60604</v>
      </c>
      <c r="AA19" s="67">
        <f>26979+38470</f>
        <v>65449</v>
      </c>
      <c r="AB19" s="67">
        <f>29335+39394</f>
        <v>68729</v>
      </c>
      <c r="AC19" s="67">
        <f>31818+39188</f>
        <v>71006</v>
      </c>
      <c r="AD19" s="34">
        <f>G19-SUM(AA19:AC19)</f>
        <v>73246</v>
      </c>
      <c r="AE19" s="67">
        <f>36913+40365</f>
        <v>77278</v>
      </c>
      <c r="AF19" s="67">
        <f>38523+38530</f>
        <v>77053</v>
      </c>
      <c r="AG19" s="67">
        <f>39842+38015</f>
        <v>77857</v>
      </c>
      <c r="AH19" s="34">
        <f>H19-SUM(AE19:AG19)</f>
        <v>81695</v>
      </c>
      <c r="AI19" s="67">
        <f>42158+40404</f>
        <v>82562</v>
      </c>
      <c r="AJ19" s="67">
        <f>40112+42390</f>
        <v>82502</v>
      </c>
      <c r="AK19" s="67">
        <f>40971+43541</f>
        <v>84512</v>
      </c>
      <c r="AL19" s="34">
        <f>I19-SUM(AI19:AK19)</f>
        <v>91137</v>
      </c>
      <c r="AM19" s="34">
        <f t="shared" ref="AM19:AT19" si="29">AM10-SUM(AM13:AM18)</f>
        <v>95744.059646999987</v>
      </c>
      <c r="AN19" s="34">
        <f t="shared" si="29"/>
        <v>94602.940353000013</v>
      </c>
      <c r="AO19" s="34">
        <f t="shared" si="29"/>
        <v>85096.999999999971</v>
      </c>
      <c r="AP19" s="34">
        <f t="shared" si="29"/>
        <v>79060</v>
      </c>
      <c r="AQ19" s="34">
        <f t="shared" si="29"/>
        <v>78070.179560254008</v>
      </c>
      <c r="AR19" s="34">
        <f t="shared" si="29"/>
        <v>79773</v>
      </c>
      <c r="AS19" s="34">
        <f t="shared" si="29"/>
        <v>75384</v>
      </c>
      <c r="AT19" s="34">
        <f t="shared" si="29"/>
        <v>80000.820439745992</v>
      </c>
      <c r="AU19" s="34">
        <f t="shared" ref="AU19:BA19" si="30">AU10-SUM(AU13:AU18)</f>
        <v>68255.248580711515</v>
      </c>
      <c r="AV19" s="34">
        <f t="shared" si="30"/>
        <v>63128.592404096999</v>
      </c>
      <c r="AW19" s="34">
        <f t="shared" si="30"/>
        <v>62854.824278830056</v>
      </c>
      <c r="AX19" s="34">
        <f t="shared" si="30"/>
        <v>66862.334736361372</v>
      </c>
      <c r="AY19" s="34">
        <f t="shared" si="30"/>
        <v>83634</v>
      </c>
      <c r="AZ19" s="34">
        <f t="shared" si="30"/>
        <v>89279.848651176973</v>
      </c>
      <c r="BA19" s="34">
        <f t="shared" si="30"/>
        <v>93414.378594557027</v>
      </c>
      <c r="BB19" s="34">
        <f t="shared" ref="BB19:BH19" si="31">BB10-SUM(BB13:BB18)</f>
        <v>103014.77275426598</v>
      </c>
      <c r="BC19" s="34">
        <f t="shared" si="31"/>
        <v>104821</v>
      </c>
      <c r="BD19" s="34">
        <f t="shared" si="31"/>
        <v>117563</v>
      </c>
      <c r="BE19" s="34">
        <f t="shared" si="31"/>
        <v>120466</v>
      </c>
      <c r="BF19" s="34">
        <f t="shared" si="31"/>
        <v>117295</v>
      </c>
      <c r="BG19" s="34">
        <f t="shared" si="31"/>
        <v>130463</v>
      </c>
      <c r="BH19" s="34">
        <f t="shared" si="31"/>
        <v>138389</v>
      </c>
      <c r="BI19" s="34">
        <f t="shared" ref="BI19:BN19" si="32">BI10-SUM(BI13:BI18)</f>
        <v>148920</v>
      </c>
      <c r="BJ19" s="34">
        <f t="shared" si="32"/>
        <v>162910</v>
      </c>
      <c r="BK19" s="34">
        <f t="shared" si="32"/>
        <v>167216</v>
      </c>
      <c r="BL19" s="34">
        <f t="shared" si="32"/>
        <v>177957</v>
      </c>
      <c r="BM19" s="34">
        <f t="shared" si="32"/>
        <v>187108</v>
      </c>
      <c r="BN19" s="34">
        <f t="shared" si="32"/>
        <v>189820</v>
      </c>
      <c r="BO19" s="34">
        <f t="shared" ref="BO19:BT19" si="33">BO10-SUM(BO13:BO18)</f>
        <v>199468</v>
      </c>
      <c r="BP19" s="34">
        <f t="shared" si="33"/>
        <v>198441</v>
      </c>
      <c r="BQ19" s="34">
        <f t="shared" si="33"/>
        <v>202546</v>
      </c>
      <c r="BR19" s="34">
        <f t="shared" si="33"/>
        <v>196817</v>
      </c>
      <c r="BS19" s="34">
        <f t="shared" si="33"/>
        <v>200711</v>
      </c>
      <c r="BT19" s="34">
        <f t="shared" si="33"/>
        <v>221009</v>
      </c>
      <c r="BU19" s="34">
        <f t="shared" ref="BU19:BZ19" si="34">BU10-SUM(BU13:BU18)</f>
        <v>250663</v>
      </c>
      <c r="BV19" s="34">
        <f t="shared" si="34"/>
        <v>274946</v>
      </c>
      <c r="BW19" s="34">
        <f t="shared" si="34"/>
        <v>283475</v>
      </c>
      <c r="BX19" s="34">
        <f t="shared" si="34"/>
        <v>302891</v>
      </c>
      <c r="BY19" s="34">
        <f t="shared" si="34"/>
        <v>314851</v>
      </c>
      <c r="BZ19" s="34">
        <f t="shared" si="34"/>
        <v>323701</v>
      </c>
      <c r="CA19" s="34"/>
      <c r="CB19" s="34">
        <f>CB10-SUM(CB13:CB18)</f>
        <v>83173</v>
      </c>
      <c r="CC19" s="34">
        <f>CC10-SUM(CC13:CC18)</f>
        <v>87261</v>
      </c>
      <c r="CD19" s="34">
        <f>CD10-SUM(CD13:CD18)</f>
        <v>100059</v>
      </c>
      <c r="CE19" s="34">
        <f>CE10-SUM(CE13:CE18)</f>
        <v>99865</v>
      </c>
      <c r="CF19" s="34">
        <f>CF10-SUM(CF13:CF18)</f>
        <v>111674</v>
      </c>
      <c r="CH19" s="34">
        <f>CH10-SUM(CH13:CH18)</f>
        <v>357891</v>
      </c>
    </row>
    <row r="20" spans="2:86" s="29" customFormat="1">
      <c r="B20" s="892" t="s">
        <v>156</v>
      </c>
      <c r="D20" s="31">
        <f t="shared" ref="D20:K20" si="35">D19/D10</f>
        <v>0.33676499703029106</v>
      </c>
      <c r="E20" s="31">
        <f t="shared" si="35"/>
        <v>0.34676382716428517</v>
      </c>
      <c r="F20" s="31">
        <f t="shared" si="35"/>
        <v>0.30225743095648616</v>
      </c>
      <c r="G20" s="31">
        <f t="shared" si="35"/>
        <v>0.32427052240160598</v>
      </c>
      <c r="H20" s="31">
        <f t="shared" si="35"/>
        <v>0.3406768972953847</v>
      </c>
      <c r="I20" s="31">
        <f t="shared" si="35"/>
        <v>0.35263488002384619</v>
      </c>
      <c r="J20" s="31">
        <f t="shared" si="35"/>
        <v>0.37086314415167454</v>
      </c>
      <c r="K20" s="31">
        <f t="shared" si="35"/>
        <v>0.36131870802640559</v>
      </c>
      <c r="L20" s="31">
        <f t="shared" ref="L20:R20" si="36">L19/L10</f>
        <v>0.36589188250112198</v>
      </c>
      <c r="M20" s="31">
        <f t="shared" si="36"/>
        <v>0.32206302099137302</v>
      </c>
      <c r="N20" s="31">
        <f t="shared" si="36"/>
        <v>0.42035855494526758</v>
      </c>
      <c r="O20" s="31">
        <f t="shared" si="36"/>
        <v>0.45442559940587762</v>
      </c>
      <c r="P20" s="31">
        <f t="shared" si="36"/>
        <v>0.49596519338715356</v>
      </c>
      <c r="Q20" s="31">
        <f t="shared" si="36"/>
        <v>0.51548670987011835</v>
      </c>
      <c r="R20" s="31">
        <f t="shared" si="36"/>
        <v>0.52653783108723018</v>
      </c>
      <c r="S20" s="31">
        <f>S19/S10</f>
        <v>0.54269876815218243</v>
      </c>
      <c r="T20" s="31">
        <f>T19/T10</f>
        <v>0.57295356520250473</v>
      </c>
      <c r="U20" s="31">
        <f>U19/U10</f>
        <v>0.57295356520250473</v>
      </c>
      <c r="V20" s="1114"/>
      <c r="W20" s="31">
        <f t="shared" ref="W20:AT20" si="37">W19/W10</f>
        <v>0.29539641364243946</v>
      </c>
      <c r="X20" s="31">
        <f t="shared" si="37"/>
        <v>0.305892151216755</v>
      </c>
      <c r="Y20" s="31">
        <f t="shared" si="37"/>
        <v>0.29804640043766489</v>
      </c>
      <c r="Z20" s="31">
        <f t="shared" si="37"/>
        <v>0.30932441675484157</v>
      </c>
      <c r="AA20" s="31">
        <f t="shared" si="37"/>
        <v>0.32241642627689715</v>
      </c>
      <c r="AB20" s="31">
        <f t="shared" si="37"/>
        <v>0.32202474519504531</v>
      </c>
      <c r="AC20" s="31">
        <f t="shared" si="37"/>
        <v>0.32333213422158674</v>
      </c>
      <c r="AD20" s="31">
        <f t="shared" si="37"/>
        <v>0.32904022820691359</v>
      </c>
      <c r="AE20" s="31">
        <f t="shared" si="37"/>
        <v>0.33591097780965423</v>
      </c>
      <c r="AF20" s="31">
        <f t="shared" si="37"/>
        <v>0.33703967771425575</v>
      </c>
      <c r="AG20" s="31">
        <f t="shared" si="37"/>
        <v>0.3351845394156216</v>
      </c>
      <c r="AH20" s="31">
        <f t="shared" si="37"/>
        <v>0.35458207102492212</v>
      </c>
      <c r="AI20" s="31">
        <f t="shared" si="37"/>
        <v>0.34864531603662041</v>
      </c>
      <c r="AJ20" s="31">
        <f t="shared" si="37"/>
        <v>0.34589278003010243</v>
      </c>
      <c r="AK20" s="31">
        <f t="shared" si="37"/>
        <v>0.35062273372221348</v>
      </c>
      <c r="AL20" s="31">
        <f t="shared" si="37"/>
        <v>0.36479460115037765</v>
      </c>
      <c r="AM20" s="31">
        <f t="shared" si="37"/>
        <v>0.37439656686179507</v>
      </c>
      <c r="AN20" s="31">
        <f t="shared" si="37"/>
        <v>0.38345029833208361</v>
      </c>
      <c r="AO20" s="31">
        <f t="shared" si="37"/>
        <v>0.36422429474531209</v>
      </c>
      <c r="AP20" s="31">
        <f t="shared" si="37"/>
        <v>0.35968080944105257</v>
      </c>
      <c r="AQ20" s="31">
        <f t="shared" si="37"/>
        <v>0.35475641309353062</v>
      </c>
      <c r="AR20" s="31">
        <f t="shared" si="37"/>
        <v>0.36539148597026411</v>
      </c>
      <c r="AS20" s="31">
        <f t="shared" si="37"/>
        <v>0.36974328287931252</v>
      </c>
      <c r="AT20" s="31">
        <f t="shared" si="37"/>
        <v>0.40589773734497908</v>
      </c>
      <c r="AU20" s="31">
        <f t="shared" ref="AU20:BA20" si="38">AU19/AU10</f>
        <v>0.34300966232026869</v>
      </c>
      <c r="AV20" s="31">
        <f t="shared" si="38"/>
        <v>0.31206885724678535</v>
      </c>
      <c r="AW20" s="31">
        <f t="shared" si="38"/>
        <v>0.30965155494539492</v>
      </c>
      <c r="AX20" s="31">
        <f t="shared" si="38"/>
        <v>0.32386936809369588</v>
      </c>
      <c r="AY20" s="31">
        <f t="shared" si="38"/>
        <v>0.40184504504504504</v>
      </c>
      <c r="AZ20" s="31">
        <f t="shared" si="38"/>
        <v>0.42115122718607939</v>
      </c>
      <c r="BA20" s="31">
        <f t="shared" si="38"/>
        <v>0.42419433008753693</v>
      </c>
      <c r="BB20" s="31">
        <f t="shared" ref="BB20:BI20" si="39">BB19/BB10</f>
        <v>0.43227757789014165</v>
      </c>
      <c r="BC20" s="31">
        <f t="shared" si="39"/>
        <v>0.43651953741530591</v>
      </c>
      <c r="BD20" s="31">
        <f t="shared" si="39"/>
        <v>0.45392346511295673</v>
      </c>
      <c r="BE20" s="31">
        <f t="shared" si="39"/>
        <v>0.45439320443281006</v>
      </c>
      <c r="BF20" s="31">
        <f t="shared" si="39"/>
        <v>0.47229716126434468</v>
      </c>
      <c r="BG20" s="31">
        <f t="shared" si="39"/>
        <v>0.48463944486545119</v>
      </c>
      <c r="BH20" s="31">
        <f t="shared" si="39"/>
        <v>0.4880619859776828</v>
      </c>
      <c r="BI20" s="31">
        <f t="shared" si="39"/>
        <v>0.49547841015710781</v>
      </c>
      <c r="BJ20" s="31">
        <f t="shared" ref="BJ20:BP20" si="40">BJ19/BJ10</f>
        <v>0.51308620200938548</v>
      </c>
      <c r="BK20" s="31">
        <f t="shared" si="40"/>
        <v>0.50676429229501041</v>
      </c>
      <c r="BL20" s="31">
        <f t="shared" si="40"/>
        <v>0.51242056281980031</v>
      </c>
      <c r="BM20" s="31">
        <f t="shared" si="40"/>
        <v>0.5188508679496423</v>
      </c>
      <c r="BN20" s="31">
        <f t="shared" si="40"/>
        <v>0.52300799858929459</v>
      </c>
      <c r="BO20" s="31">
        <f t="shared" si="40"/>
        <v>0.52785650584969424</v>
      </c>
      <c r="BP20" s="31">
        <f t="shared" si="40"/>
        <v>0.53095718436782591</v>
      </c>
      <c r="BQ20" s="31">
        <f t="shared" ref="BQ20:BV20" si="41">BQ19/BQ10</f>
        <v>0.52829863873362315</v>
      </c>
      <c r="BR20" s="31">
        <f t="shared" si="41"/>
        <v>0.51908692900094944</v>
      </c>
      <c r="BS20" s="31">
        <f t="shared" si="41"/>
        <v>0.5163661342066741</v>
      </c>
      <c r="BT20" s="31">
        <f t="shared" si="41"/>
        <v>0.52964196702453992</v>
      </c>
      <c r="BU20" s="31">
        <f t="shared" si="41"/>
        <v>0.54971161648281763</v>
      </c>
      <c r="BV20" s="31">
        <f t="shared" si="41"/>
        <v>0.56851660394524628</v>
      </c>
      <c r="BW20" s="31">
        <f>BW19/BW10</f>
        <v>0.56727448100313382</v>
      </c>
      <c r="BX20" s="31">
        <f>BX19/BX10</f>
        <v>0.57286408400490985</v>
      </c>
      <c r="BY20" s="31">
        <f>BY19/BY10</f>
        <v>0.57576544467384372</v>
      </c>
      <c r="BZ20" s="31">
        <f>BZ19/BZ10</f>
        <v>0.57534877189988931</v>
      </c>
      <c r="CA20" s="62"/>
      <c r="CB20" s="31">
        <f>CB19/CB10</f>
        <v>0.39946496582793417</v>
      </c>
      <c r="CC20" s="31">
        <f>CC19/CC10</f>
        <v>0.40865346339909991</v>
      </c>
      <c r="CD20" s="31">
        <f>CD19/CD10</f>
        <v>0.42747286079864655</v>
      </c>
      <c r="CE20" s="31">
        <f>CE19/CE10</f>
        <v>0.42750977110151245</v>
      </c>
      <c r="CF20" s="31">
        <f>CF19/CF10</f>
        <v>0.44388884693200203</v>
      </c>
      <c r="CH20" s="31">
        <f>CH19/CH10</f>
        <v>0.41512802132412813</v>
      </c>
    </row>
    <row r="21" spans="2:86" s="20" customFormat="1">
      <c r="B21" s="891" t="s">
        <v>157</v>
      </c>
      <c r="C21" s="27"/>
      <c r="D21" s="28">
        <v>57</v>
      </c>
      <c r="E21" s="28">
        <v>74</v>
      </c>
      <c r="F21" s="28">
        <v>-3506</v>
      </c>
      <c r="G21" s="28">
        <v>-5211</v>
      </c>
      <c r="H21" s="28">
        <v>-7223</v>
      </c>
      <c r="I21" s="28">
        <v>-10666</v>
      </c>
      <c r="J21" s="28">
        <v>-10449</v>
      </c>
      <c r="K21" s="28">
        <v>-10609</v>
      </c>
      <c r="L21" s="28">
        <v>-10609</v>
      </c>
      <c r="M21" s="28">
        <v>-3556</v>
      </c>
      <c r="N21" s="28">
        <v>-6524</v>
      </c>
      <c r="O21" s="28">
        <v>928</v>
      </c>
      <c r="P21" s="28">
        <v>-24232</v>
      </c>
      <c r="Q21" s="28">
        <v>-7521</v>
      </c>
      <c r="R21" s="28">
        <v>-27094</v>
      </c>
      <c r="S21" s="28">
        <v>-37030</v>
      </c>
      <c r="T21" s="28">
        <v>-3645</v>
      </c>
      <c r="U21" s="7">
        <f t="shared" ref="U21:U29" si="42">SUM(BW21:BZ21)</f>
        <v>-3645</v>
      </c>
      <c r="V21" s="7"/>
      <c r="W21" s="28">
        <v>-706</v>
      </c>
      <c r="X21" s="28">
        <v>-982</v>
      </c>
      <c r="Y21" s="28">
        <v>-943</v>
      </c>
      <c r="Z21" s="7">
        <f t="shared" ref="Z21:Z27" si="43">F21-SUM(W21:Y21)</f>
        <v>-875</v>
      </c>
      <c r="AA21" s="28">
        <v>-822</v>
      </c>
      <c r="AB21" s="28">
        <v>-1652</v>
      </c>
      <c r="AC21" s="28">
        <v>-1064</v>
      </c>
      <c r="AD21" s="7">
        <f t="shared" ref="AD21:AD27" si="44">G21-SUM(AA21:AC21)</f>
        <v>-1673</v>
      </c>
      <c r="AE21" s="28">
        <v>-1578</v>
      </c>
      <c r="AF21" s="28">
        <v>-1709</v>
      </c>
      <c r="AG21" s="28">
        <v>-1800</v>
      </c>
      <c r="AH21" s="7">
        <f t="shared" ref="AH21:AH27" si="45">H21-SUM(AE21:AG21)</f>
        <v>-2136</v>
      </c>
      <c r="AI21" s="28">
        <v>-2126</v>
      </c>
      <c r="AJ21" s="28">
        <v>-2404</v>
      </c>
      <c r="AK21" s="28">
        <v>-2463</v>
      </c>
      <c r="AL21" s="7">
        <f t="shared" ref="AL21:AL27" si="46">I21-SUM(AI21:AK21)</f>
        <v>-3673</v>
      </c>
      <c r="AM21" s="28">
        <v>-2548</v>
      </c>
      <c r="AN21" s="28">
        <v>-2697</v>
      </c>
      <c r="AO21" s="28">
        <v>-2696</v>
      </c>
      <c r="AP21" s="7">
        <f t="shared" ref="AP21:AP27" si="47">J21-SUM(AM21:AO21)</f>
        <v>-2508</v>
      </c>
      <c r="AQ21" s="28">
        <v>-2855</v>
      </c>
      <c r="AR21" s="28">
        <v>-3662</v>
      </c>
      <c r="AS21" s="28">
        <v>-2256</v>
      </c>
      <c r="AT21" s="7">
        <f t="shared" ref="AT21:AT27" si="48">+K21-AS21-AR21-AQ21</f>
        <v>-1836</v>
      </c>
      <c r="AU21" s="28">
        <v>-1653</v>
      </c>
      <c r="AV21" s="28">
        <v>-1633</v>
      </c>
      <c r="AW21" s="28">
        <v>98</v>
      </c>
      <c r="AX21" s="7">
        <f t="shared" ref="AX21:AX27" si="49">M21-AW21-AV21-AU21</f>
        <v>-368</v>
      </c>
      <c r="AY21" s="28">
        <v>-931</v>
      </c>
      <c r="AZ21" s="28">
        <v>-3155</v>
      </c>
      <c r="BA21" s="28">
        <v>-1523</v>
      </c>
      <c r="BB21" s="7">
        <f t="shared" ref="BB21:BB27" si="50">N21-BA21-AZ21-AY21</f>
        <v>-915</v>
      </c>
      <c r="BC21" s="28">
        <v>-1666</v>
      </c>
      <c r="BD21" s="28">
        <v>423</v>
      </c>
      <c r="BE21" s="28">
        <v>2206</v>
      </c>
      <c r="BF21" s="7">
        <f t="shared" ref="BF21:BF27" si="51">O21-BE21-BD21-BC21</f>
        <v>-35</v>
      </c>
      <c r="BG21" s="28">
        <v>-4947</v>
      </c>
      <c r="BH21" s="28">
        <v>-5988</v>
      </c>
      <c r="BI21" s="28">
        <v>-6161</v>
      </c>
      <c r="BJ21" s="7">
        <f t="shared" ref="BJ21:BJ27" si="52">P21-BI21-BH21-BG21</f>
        <v>-7136</v>
      </c>
      <c r="BK21" s="28">
        <v>-1628</v>
      </c>
      <c r="BL21" s="28">
        <v>-3567</v>
      </c>
      <c r="BM21" s="28">
        <v>3684</v>
      </c>
      <c r="BN21" s="7">
        <f t="shared" ref="BN21:BN27" si="53">Q21-BM21-BL21-BK21</f>
        <v>-6010</v>
      </c>
      <c r="BO21" s="28">
        <v>-5899</v>
      </c>
      <c r="BP21" s="28">
        <v>-5860</v>
      </c>
      <c r="BQ21" s="28">
        <v>-7032</v>
      </c>
      <c r="BR21" s="7">
        <f t="shared" ref="BR21:BR27" si="54">R21-BQ21-BP21-BO21</f>
        <v>-8303</v>
      </c>
      <c r="BS21" s="28">
        <v>-9117</v>
      </c>
      <c r="BT21" s="28">
        <v>-10739</v>
      </c>
      <c r="BU21" s="28">
        <v>-16597</v>
      </c>
      <c r="BV21" s="7">
        <f t="shared" ref="BV21:BV27" si="55">S21-BU21-BT21-BS21</f>
        <v>-577</v>
      </c>
      <c r="BW21" s="28">
        <v>-828</v>
      </c>
      <c r="BX21" s="28">
        <v>-810</v>
      </c>
      <c r="BY21" s="28">
        <v>-1163</v>
      </c>
      <c r="BZ21" s="28">
        <f t="shared" ref="BZ21:BZ29" si="56">T21-SUM(BW21:BY21)</f>
        <v>-844</v>
      </c>
      <c r="CA21" s="7"/>
      <c r="CB21" s="28">
        <v>-931</v>
      </c>
      <c r="CC21" s="28">
        <v>2015</v>
      </c>
      <c r="CD21" s="28">
        <v>1243</v>
      </c>
      <c r="CE21" s="28">
        <v>1070</v>
      </c>
      <c r="CF21" s="28">
        <v>2926</v>
      </c>
      <c r="CH21" s="28">
        <v>6627</v>
      </c>
    </row>
    <row r="22" spans="2:86" s="20" customFormat="1">
      <c r="B22" s="891" t="s">
        <v>158</v>
      </c>
      <c r="C22" s="27"/>
      <c r="D22" s="7">
        <f>D65+D66</f>
        <v>102066</v>
      </c>
      <c r="E22" s="7">
        <f t="shared" ref="E22:K22" si="57">E65+E66</f>
        <v>133681</v>
      </c>
      <c r="F22" s="7">
        <f t="shared" si="57"/>
        <v>148148</v>
      </c>
      <c r="G22" s="7">
        <f t="shared" si="57"/>
        <v>156496</v>
      </c>
      <c r="H22" s="7">
        <f t="shared" si="57"/>
        <v>155311</v>
      </c>
      <c r="I22" s="7">
        <f t="shared" si="57"/>
        <v>174498</v>
      </c>
      <c r="J22" s="7">
        <f t="shared" si="57"/>
        <v>197730</v>
      </c>
      <c r="K22" s="7">
        <f t="shared" si="57"/>
        <v>192431</v>
      </c>
      <c r="L22" s="71">
        <v>192431</v>
      </c>
      <c r="M22" s="71">
        <v>213475</v>
      </c>
      <c r="N22" s="71">
        <v>276896</v>
      </c>
      <c r="O22" s="71">
        <v>294044</v>
      </c>
      <c r="P22" s="71">
        <v>330907</v>
      </c>
      <c r="Q22" s="71">
        <v>364318</v>
      </c>
      <c r="R22" s="71">
        <v>395376</v>
      </c>
      <c r="S22" s="71">
        <v>455703</v>
      </c>
      <c r="T22" s="71">
        <v>527108</v>
      </c>
      <c r="U22" s="7">
        <f t="shared" si="42"/>
        <v>527108</v>
      </c>
      <c r="V22" s="7"/>
      <c r="W22" s="28">
        <v>35901</v>
      </c>
      <c r="X22" s="28">
        <v>36891</v>
      </c>
      <c r="Y22" s="28">
        <v>37350</v>
      </c>
      <c r="Z22" s="7">
        <f t="shared" si="43"/>
        <v>38006</v>
      </c>
      <c r="AA22" s="28">
        <v>38470</v>
      </c>
      <c r="AB22" s="28">
        <v>39394</v>
      </c>
      <c r="AC22" s="28">
        <v>39188</v>
      </c>
      <c r="AD22" s="7">
        <f t="shared" si="44"/>
        <v>39444</v>
      </c>
      <c r="AE22" s="28">
        <v>40365</v>
      </c>
      <c r="AF22" s="28">
        <v>38530</v>
      </c>
      <c r="AG22" s="28">
        <v>38015</v>
      </c>
      <c r="AH22" s="7">
        <f t="shared" si="45"/>
        <v>38401</v>
      </c>
      <c r="AI22" s="28">
        <v>40404</v>
      </c>
      <c r="AJ22" s="28">
        <v>42390</v>
      </c>
      <c r="AK22" s="28">
        <v>43541</v>
      </c>
      <c r="AL22" s="7">
        <f t="shared" si="46"/>
        <v>48163</v>
      </c>
      <c r="AM22" s="28">
        <v>50402</v>
      </c>
      <c r="AN22" s="28">
        <v>49560</v>
      </c>
      <c r="AO22" s="28">
        <v>48350</v>
      </c>
      <c r="AP22" s="7">
        <f t="shared" si="47"/>
        <v>49418</v>
      </c>
      <c r="AQ22" s="28">
        <v>48192</v>
      </c>
      <c r="AR22" s="28">
        <v>46873</v>
      </c>
      <c r="AS22" s="28">
        <v>48375</v>
      </c>
      <c r="AT22" s="7">
        <f t="shared" si="48"/>
        <v>48991</v>
      </c>
      <c r="AU22" s="28">
        <v>51452</v>
      </c>
      <c r="AV22" s="28">
        <v>52366</v>
      </c>
      <c r="AW22" s="28">
        <v>54723</v>
      </c>
      <c r="AX22" s="7">
        <f t="shared" si="49"/>
        <v>54934</v>
      </c>
      <c r="AY22" s="28">
        <v>67587</v>
      </c>
      <c r="AZ22" s="28">
        <v>69351</v>
      </c>
      <c r="BA22" s="28">
        <v>69408</v>
      </c>
      <c r="BB22" s="7">
        <f t="shared" si="50"/>
        <v>70550</v>
      </c>
      <c r="BC22" s="28">
        <v>72268</v>
      </c>
      <c r="BD22" s="28">
        <v>74211</v>
      </c>
      <c r="BE22" s="28">
        <v>75031</v>
      </c>
      <c r="BF22" s="7">
        <f t="shared" si="51"/>
        <v>72534</v>
      </c>
      <c r="BG22" s="28">
        <v>77137</v>
      </c>
      <c r="BH22" s="28">
        <v>82472</v>
      </c>
      <c r="BI22" s="28">
        <v>85472</v>
      </c>
      <c r="BJ22" s="7">
        <f t="shared" si="52"/>
        <v>85826</v>
      </c>
      <c r="BK22" s="28">
        <v>87814</v>
      </c>
      <c r="BL22" s="28">
        <v>89468</v>
      </c>
      <c r="BM22" s="28">
        <v>92977</v>
      </c>
      <c r="BN22" s="7">
        <f t="shared" si="53"/>
        <v>94059</v>
      </c>
      <c r="BO22" s="28">
        <v>96538</v>
      </c>
      <c r="BP22" s="28">
        <v>97343</v>
      </c>
      <c r="BQ22" s="28">
        <v>100743</v>
      </c>
      <c r="BR22" s="7">
        <f t="shared" si="54"/>
        <v>100752</v>
      </c>
      <c r="BS22" s="28">
        <v>105401</v>
      </c>
      <c r="BT22" s="28">
        <v>110000</v>
      </c>
      <c r="BU22" s="28">
        <v>117042</v>
      </c>
      <c r="BV22" s="7">
        <f t="shared" si="55"/>
        <v>123260</v>
      </c>
      <c r="BW22" s="28">
        <v>124651</v>
      </c>
      <c r="BX22" s="28">
        <v>131821</v>
      </c>
      <c r="BY22" s="28">
        <v>134201</v>
      </c>
      <c r="BZ22" s="28">
        <f t="shared" si="56"/>
        <v>136435</v>
      </c>
      <c r="CA22" s="7"/>
      <c r="CB22" s="28">
        <v>67587</v>
      </c>
      <c r="CC22" s="28">
        <v>68177.999999999985</v>
      </c>
      <c r="CD22" s="28">
        <v>68615</v>
      </c>
      <c r="CE22" s="28">
        <v>71131</v>
      </c>
      <c r="CF22" s="28">
        <v>72862</v>
      </c>
      <c r="CH22" s="71">
        <v>270944</v>
      </c>
    </row>
    <row r="23" spans="2:86" s="20" customFormat="1">
      <c r="B23" s="891" t="s">
        <v>159</v>
      </c>
      <c r="C23" s="27"/>
      <c r="D23" s="28">
        <v>25349</v>
      </c>
      <c r="E23" s="28">
        <v>40828</v>
      </c>
      <c r="F23" s="28">
        <v>45187</v>
      </c>
      <c r="G23" s="28">
        <v>60060</v>
      </c>
      <c r="H23" s="28">
        <v>73252</v>
      </c>
      <c r="I23" s="28">
        <v>85461</v>
      </c>
      <c r="J23" s="28">
        <v>105540</v>
      </c>
      <c r="K23" s="28">
        <v>95703</v>
      </c>
      <c r="L23" s="28">
        <v>93255</v>
      </c>
      <c r="M23" s="28">
        <v>110134</v>
      </c>
      <c r="N23" s="28">
        <v>139918</v>
      </c>
      <c r="O23" s="28">
        <v>150910</v>
      </c>
      <c r="P23" s="28">
        <v>166162</v>
      </c>
      <c r="Q23" s="28">
        <v>192999</v>
      </c>
      <c r="R23" s="28">
        <v>226477</v>
      </c>
      <c r="S23" s="28">
        <v>217539</v>
      </c>
      <c r="T23" s="28">
        <v>215553</v>
      </c>
      <c r="U23" s="7">
        <f t="shared" si="42"/>
        <v>215553</v>
      </c>
      <c r="V23" s="7"/>
      <c r="W23" s="28">
        <v>9929</v>
      </c>
      <c r="X23" s="28">
        <v>12681</v>
      </c>
      <c r="Y23" s="28">
        <v>13177</v>
      </c>
      <c r="Z23" s="7">
        <f t="shared" si="43"/>
        <v>9400</v>
      </c>
      <c r="AA23" s="28">
        <v>15889</v>
      </c>
      <c r="AB23" s="28">
        <v>16957</v>
      </c>
      <c r="AC23" s="28">
        <v>13160</v>
      </c>
      <c r="AD23" s="7">
        <f t="shared" si="44"/>
        <v>14054</v>
      </c>
      <c r="AE23" s="28">
        <v>15727</v>
      </c>
      <c r="AF23" s="28">
        <v>12383</v>
      </c>
      <c r="AG23" s="28">
        <v>18669</v>
      </c>
      <c r="AH23" s="7">
        <f t="shared" si="45"/>
        <v>26473</v>
      </c>
      <c r="AI23" s="28">
        <v>24441</v>
      </c>
      <c r="AJ23" s="28">
        <v>29735</v>
      </c>
      <c r="AK23" s="28">
        <v>19026</v>
      </c>
      <c r="AL23" s="7">
        <f t="shared" si="46"/>
        <v>12259</v>
      </c>
      <c r="AM23" s="28">
        <v>25136</v>
      </c>
      <c r="AN23" s="28">
        <v>24626</v>
      </c>
      <c r="AO23" s="28">
        <v>33061</v>
      </c>
      <c r="AP23" s="7">
        <f t="shared" si="47"/>
        <v>22717</v>
      </c>
      <c r="AQ23" s="28">
        <v>22039</v>
      </c>
      <c r="AR23" s="28">
        <v>24916</v>
      </c>
      <c r="AS23" s="28">
        <v>24846</v>
      </c>
      <c r="AT23" s="7">
        <f t="shared" si="48"/>
        <v>23902</v>
      </c>
      <c r="AU23" s="28">
        <v>25498</v>
      </c>
      <c r="AV23" s="28">
        <v>33034</v>
      </c>
      <c r="AW23" s="28">
        <v>28381</v>
      </c>
      <c r="AX23" s="7">
        <f t="shared" si="49"/>
        <v>23221</v>
      </c>
      <c r="AY23" s="28">
        <v>37840</v>
      </c>
      <c r="AZ23" s="28">
        <v>31872</v>
      </c>
      <c r="BA23" s="28">
        <v>32816</v>
      </c>
      <c r="BB23" s="7">
        <f t="shared" si="50"/>
        <v>37390</v>
      </c>
      <c r="BC23" s="28">
        <v>34562</v>
      </c>
      <c r="BD23" s="28">
        <v>37604</v>
      </c>
      <c r="BE23" s="28">
        <v>39719</v>
      </c>
      <c r="BF23" s="7">
        <f t="shared" si="51"/>
        <v>39025</v>
      </c>
      <c r="BG23" s="28">
        <v>42257</v>
      </c>
      <c r="BH23" s="28">
        <v>39641</v>
      </c>
      <c r="BI23" s="28">
        <v>43671</v>
      </c>
      <c r="BJ23" s="7">
        <f t="shared" si="52"/>
        <v>40593</v>
      </c>
      <c r="BK23" s="28">
        <v>45109</v>
      </c>
      <c r="BL23" s="28">
        <v>49403</v>
      </c>
      <c r="BM23" s="28">
        <v>46856</v>
      </c>
      <c r="BN23" s="7">
        <f t="shared" si="53"/>
        <v>51631</v>
      </c>
      <c r="BO23" s="28">
        <v>56137</v>
      </c>
      <c r="BP23" s="28">
        <v>51858</v>
      </c>
      <c r="BQ23" s="28">
        <v>66449</v>
      </c>
      <c r="BR23" s="7">
        <f t="shared" si="54"/>
        <v>52033</v>
      </c>
      <c r="BS23" s="28">
        <v>51523</v>
      </c>
      <c r="BT23" s="28">
        <v>54237</v>
      </c>
      <c r="BU23" s="28">
        <v>56755</v>
      </c>
      <c r="BV23" s="7">
        <f t="shared" si="55"/>
        <v>55024</v>
      </c>
      <c r="BW23" s="28">
        <v>54608</v>
      </c>
      <c r="BX23" s="28">
        <v>48657</v>
      </c>
      <c r="BY23" s="28">
        <v>56232</v>
      </c>
      <c r="BZ23" s="28">
        <f t="shared" si="56"/>
        <v>56056</v>
      </c>
      <c r="CA23" s="7"/>
      <c r="CB23" s="28">
        <v>33928</v>
      </c>
      <c r="CC23" s="28">
        <v>32893</v>
      </c>
      <c r="CD23" s="28">
        <v>41471</v>
      </c>
      <c r="CE23" s="28">
        <v>34671</v>
      </c>
      <c r="CF23" s="28">
        <v>37914</v>
      </c>
      <c r="CH23" s="28">
        <v>140732</v>
      </c>
    </row>
    <row r="24" spans="2:86" s="20" customFormat="1">
      <c r="B24" s="891" t="s">
        <v>160</v>
      </c>
      <c r="C24" s="27"/>
      <c r="D24" s="28">
        <v>-3536</v>
      </c>
      <c r="E24" s="28">
        <v>-2643</v>
      </c>
      <c r="F24" s="28">
        <v>-5103</v>
      </c>
      <c r="G24" s="28">
        <v>-11680</v>
      </c>
      <c r="H24" s="28">
        <v>-24788</v>
      </c>
      <c r="I24" s="28">
        <v>-16326</v>
      </c>
      <c r="J24" s="28">
        <v>-28566</v>
      </c>
      <c r="K24" s="28">
        <v>-14988</v>
      </c>
      <c r="L24" s="28">
        <v>-12540</v>
      </c>
      <c r="M24" s="28">
        <v>-14240</v>
      </c>
      <c r="N24" s="28">
        <v>-16098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7">
        <f t="shared" si="42"/>
        <v>0</v>
      </c>
      <c r="V24" s="7"/>
      <c r="W24" s="28">
        <v>-2562</v>
      </c>
      <c r="X24" s="28">
        <v>-3431</v>
      </c>
      <c r="Y24" s="28">
        <v>-867</v>
      </c>
      <c r="Z24" s="7">
        <f t="shared" si="43"/>
        <v>1757</v>
      </c>
      <c r="AA24" s="28">
        <v>-4213</v>
      </c>
      <c r="AB24" s="28">
        <v>-846</v>
      </c>
      <c r="AC24" s="28">
        <v>-2478</v>
      </c>
      <c r="AD24" s="7">
        <f t="shared" si="44"/>
        <v>-4143</v>
      </c>
      <c r="AE24" s="28">
        <v>-6162</v>
      </c>
      <c r="AF24" s="28">
        <v>-3325</v>
      </c>
      <c r="AG24" s="28">
        <v>-8219</v>
      </c>
      <c r="AH24" s="7">
        <f t="shared" si="45"/>
        <v>-7082</v>
      </c>
      <c r="AI24" s="28">
        <v>-5250</v>
      </c>
      <c r="AJ24" s="28">
        <v>-11110</v>
      </c>
      <c r="AK24" s="28">
        <v>-5115</v>
      </c>
      <c r="AL24" s="7">
        <f t="shared" si="46"/>
        <v>5149</v>
      </c>
      <c r="AM24" s="28">
        <v>-5737</v>
      </c>
      <c r="AN24" s="28">
        <v>-5569</v>
      </c>
      <c r="AO24" s="28">
        <v>-13705</v>
      </c>
      <c r="AP24" s="7">
        <f t="shared" si="47"/>
        <v>-3555</v>
      </c>
      <c r="AQ24" s="28">
        <v>-3765</v>
      </c>
      <c r="AR24" s="28">
        <v>-1650</v>
      </c>
      <c r="AS24" s="28">
        <v>-3964</v>
      </c>
      <c r="AT24" s="7">
        <f t="shared" si="48"/>
        <v>-5609</v>
      </c>
      <c r="AU24" s="28">
        <v>-4232</v>
      </c>
      <c r="AV24" s="28">
        <v>-3177</v>
      </c>
      <c r="AW24" s="28">
        <v>-8933</v>
      </c>
      <c r="AX24" s="7">
        <f t="shared" si="49"/>
        <v>2102</v>
      </c>
      <c r="AY24" s="28">
        <v>-6025</v>
      </c>
      <c r="AZ24" s="28">
        <v>-2789</v>
      </c>
      <c r="BA24" s="28">
        <v>-2970</v>
      </c>
      <c r="BB24" s="7">
        <f t="shared" si="50"/>
        <v>-4314</v>
      </c>
      <c r="BC24" s="28">
        <v>-4063</v>
      </c>
      <c r="BD24" s="28">
        <v>-346</v>
      </c>
      <c r="BE24" s="28">
        <v>-556</v>
      </c>
      <c r="BF24" s="7">
        <f t="shared" si="51"/>
        <v>4965</v>
      </c>
      <c r="BG24" s="28">
        <v>-1438</v>
      </c>
      <c r="BH24" s="28">
        <v>-804</v>
      </c>
      <c r="BI24" s="28">
        <v>-79</v>
      </c>
      <c r="BJ24" s="7">
        <f t="shared" si="52"/>
        <v>2321</v>
      </c>
      <c r="BK24" s="28">
        <v>0</v>
      </c>
      <c r="BL24" s="28">
        <v>0</v>
      </c>
      <c r="BM24" s="28">
        <v>0</v>
      </c>
      <c r="BN24" s="7">
        <f t="shared" si="53"/>
        <v>0</v>
      </c>
      <c r="BO24" s="28">
        <v>0</v>
      </c>
      <c r="BP24" s="28">
        <v>0</v>
      </c>
      <c r="BQ24" s="28">
        <v>0</v>
      </c>
      <c r="BR24" s="7">
        <f t="shared" si="54"/>
        <v>0</v>
      </c>
      <c r="BS24" s="28">
        <v>0</v>
      </c>
      <c r="BT24" s="28">
        <v>0</v>
      </c>
      <c r="BU24" s="28">
        <v>0</v>
      </c>
      <c r="BV24" s="7">
        <f t="shared" si="55"/>
        <v>0</v>
      </c>
      <c r="BW24" s="28">
        <v>0</v>
      </c>
      <c r="BX24" s="28">
        <v>0</v>
      </c>
      <c r="BY24" s="28">
        <v>0</v>
      </c>
      <c r="BZ24" s="28">
        <f t="shared" si="56"/>
        <v>0</v>
      </c>
      <c r="CA24" s="7"/>
      <c r="CB24" s="28">
        <v>-2113</v>
      </c>
      <c r="CC24" s="28">
        <v>-2970</v>
      </c>
      <c r="CD24" s="28">
        <v>-4314</v>
      </c>
      <c r="CE24" s="28">
        <v>-3372</v>
      </c>
      <c r="CF24" s="28">
        <v>-54</v>
      </c>
      <c r="CH24" s="28">
        <v>0</v>
      </c>
    </row>
    <row r="25" spans="2:86" s="20" customFormat="1">
      <c r="B25" s="891" t="s">
        <v>161</v>
      </c>
      <c r="C25" s="27"/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7">
        <f t="shared" si="42"/>
        <v>0</v>
      </c>
      <c r="V25" s="7"/>
      <c r="W25" s="28">
        <v>0</v>
      </c>
      <c r="X25" s="28">
        <v>0</v>
      </c>
      <c r="Y25" s="28">
        <v>0</v>
      </c>
      <c r="Z25" s="7">
        <f t="shared" si="43"/>
        <v>0</v>
      </c>
      <c r="AA25" s="28">
        <v>0</v>
      </c>
      <c r="AB25" s="28">
        <v>0</v>
      </c>
      <c r="AC25" s="28">
        <v>0</v>
      </c>
      <c r="AD25" s="7">
        <f t="shared" si="44"/>
        <v>0</v>
      </c>
      <c r="AE25" s="28">
        <v>0</v>
      </c>
      <c r="AF25" s="28">
        <v>0</v>
      </c>
      <c r="AG25" s="28">
        <v>0</v>
      </c>
      <c r="AH25" s="7">
        <f t="shared" si="45"/>
        <v>0</v>
      </c>
      <c r="AI25" s="28">
        <v>0</v>
      </c>
      <c r="AJ25" s="28">
        <v>0</v>
      </c>
      <c r="AK25" s="28">
        <v>0</v>
      </c>
      <c r="AL25" s="7">
        <f t="shared" si="46"/>
        <v>0</v>
      </c>
      <c r="AM25" s="28">
        <v>0</v>
      </c>
      <c r="AN25" s="28">
        <v>0</v>
      </c>
      <c r="AO25" s="28">
        <v>0</v>
      </c>
      <c r="AP25" s="7">
        <f t="shared" si="47"/>
        <v>0</v>
      </c>
      <c r="AQ25" s="28">
        <v>0</v>
      </c>
      <c r="AR25" s="28">
        <v>0</v>
      </c>
      <c r="AS25" s="28">
        <v>0</v>
      </c>
      <c r="AT25" s="7">
        <f t="shared" si="48"/>
        <v>0</v>
      </c>
      <c r="AU25" s="28">
        <v>0</v>
      </c>
      <c r="AV25" s="28">
        <v>0</v>
      </c>
      <c r="AW25" s="28">
        <v>0</v>
      </c>
      <c r="AX25" s="7">
        <f t="shared" si="49"/>
        <v>0</v>
      </c>
      <c r="AY25" s="28">
        <v>0</v>
      </c>
      <c r="AZ25" s="28">
        <v>0</v>
      </c>
      <c r="BA25" s="28">
        <v>0</v>
      </c>
      <c r="BB25" s="7">
        <f t="shared" si="50"/>
        <v>0</v>
      </c>
      <c r="BC25" s="28">
        <v>0</v>
      </c>
      <c r="BD25" s="28">
        <v>0</v>
      </c>
      <c r="BE25" s="28">
        <v>0</v>
      </c>
      <c r="BF25" s="7">
        <f t="shared" si="51"/>
        <v>0</v>
      </c>
      <c r="BG25" s="28">
        <v>0</v>
      </c>
      <c r="BH25" s="28">
        <v>0</v>
      </c>
      <c r="BI25" s="28">
        <v>0</v>
      </c>
      <c r="BJ25" s="7">
        <f t="shared" si="52"/>
        <v>0</v>
      </c>
      <c r="BK25" s="28">
        <v>0</v>
      </c>
      <c r="BL25" s="28">
        <v>0</v>
      </c>
      <c r="BM25" s="28">
        <v>0</v>
      </c>
      <c r="BN25" s="7">
        <f t="shared" si="53"/>
        <v>0</v>
      </c>
      <c r="BO25" s="28">
        <v>0</v>
      </c>
      <c r="BP25" s="28">
        <v>0</v>
      </c>
      <c r="BQ25" s="28">
        <v>0</v>
      </c>
      <c r="BR25" s="7">
        <f t="shared" si="54"/>
        <v>0</v>
      </c>
      <c r="BS25" s="28">
        <v>0</v>
      </c>
      <c r="BT25" s="28">
        <v>0</v>
      </c>
      <c r="BU25" s="28">
        <v>0</v>
      </c>
      <c r="BV25" s="7">
        <f t="shared" si="55"/>
        <v>0</v>
      </c>
      <c r="BW25" s="28">
        <v>0</v>
      </c>
      <c r="BX25" s="28">
        <v>0</v>
      </c>
      <c r="BY25" s="28">
        <v>0</v>
      </c>
      <c r="BZ25" s="28">
        <f t="shared" si="56"/>
        <v>0</v>
      </c>
      <c r="CA25" s="7"/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H25" s="28">
        <v>0</v>
      </c>
    </row>
    <row r="26" spans="2:86" s="20" customFormat="1">
      <c r="B26" s="891" t="s">
        <v>162</v>
      </c>
      <c r="C26" s="27"/>
      <c r="D26" s="28">
        <v>0</v>
      </c>
      <c r="E26" s="28">
        <v>0</v>
      </c>
      <c r="F26" s="28">
        <v>0</v>
      </c>
      <c r="G26" s="28">
        <v>660</v>
      </c>
      <c r="H26" s="28">
        <v>1669</v>
      </c>
      <c r="I26" s="28">
        <v>1024</v>
      </c>
      <c r="J26" s="28">
        <v>1319</v>
      </c>
      <c r="K26" s="28">
        <v>141</v>
      </c>
      <c r="L26" s="28">
        <v>141</v>
      </c>
      <c r="M26" s="28">
        <v>1894</v>
      </c>
      <c r="N26" s="28">
        <v>1272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7">
        <f t="shared" si="42"/>
        <v>0</v>
      </c>
      <c r="V26" s="7"/>
      <c r="W26" s="28">
        <v>0</v>
      </c>
      <c r="X26" s="28">
        <v>0</v>
      </c>
      <c r="Y26" s="28">
        <v>0</v>
      </c>
      <c r="Z26" s="7">
        <f t="shared" si="43"/>
        <v>0</v>
      </c>
      <c r="AA26" s="28">
        <v>0</v>
      </c>
      <c r="AB26" s="28">
        <v>408</v>
      </c>
      <c r="AC26" s="28">
        <v>72</v>
      </c>
      <c r="AD26" s="7">
        <f t="shared" si="44"/>
        <v>180</v>
      </c>
      <c r="AE26" s="28">
        <v>78</v>
      </c>
      <c r="AF26" s="28">
        <v>1206</v>
      </c>
      <c r="AG26" s="28">
        <v>73</v>
      </c>
      <c r="AH26" s="7">
        <f t="shared" si="45"/>
        <v>312</v>
      </c>
      <c r="AI26" s="28">
        <v>85</v>
      </c>
      <c r="AJ26" s="28">
        <v>858</v>
      </c>
      <c r="AK26" s="28">
        <v>60</v>
      </c>
      <c r="AL26" s="7">
        <f t="shared" si="46"/>
        <v>21</v>
      </c>
      <c r="AM26" s="28">
        <v>25</v>
      </c>
      <c r="AN26" s="28">
        <v>1329</v>
      </c>
      <c r="AO26" s="28">
        <v>-509</v>
      </c>
      <c r="AP26" s="7">
        <f t="shared" si="47"/>
        <v>474</v>
      </c>
      <c r="AQ26" s="28">
        <v>-357</v>
      </c>
      <c r="AR26" s="28">
        <v>308</v>
      </c>
      <c r="AS26" s="28">
        <v>2</v>
      </c>
      <c r="AT26" s="7">
        <f t="shared" si="48"/>
        <v>188</v>
      </c>
      <c r="AU26" s="28">
        <v>40</v>
      </c>
      <c r="AV26" s="28">
        <v>1074</v>
      </c>
      <c r="AW26" s="28">
        <v>721</v>
      </c>
      <c r="AX26" s="7">
        <f t="shared" si="49"/>
        <v>59</v>
      </c>
      <c r="AY26" s="28">
        <v>461</v>
      </c>
      <c r="AZ26" s="28">
        <v>231</v>
      </c>
      <c r="BA26" s="28">
        <v>211</v>
      </c>
      <c r="BB26" s="7">
        <f t="shared" si="50"/>
        <v>369</v>
      </c>
      <c r="BC26" s="28">
        <v>0</v>
      </c>
      <c r="BD26" s="28">
        <v>0</v>
      </c>
      <c r="BE26" s="28">
        <v>0</v>
      </c>
      <c r="BF26" s="7">
        <f t="shared" si="51"/>
        <v>0</v>
      </c>
      <c r="BG26" s="28">
        <v>0</v>
      </c>
      <c r="BH26" s="28">
        <v>0</v>
      </c>
      <c r="BI26" s="28">
        <v>0</v>
      </c>
      <c r="BJ26" s="7">
        <f t="shared" si="52"/>
        <v>0</v>
      </c>
      <c r="BK26" s="28">
        <v>0</v>
      </c>
      <c r="BL26" s="28">
        <v>0</v>
      </c>
      <c r="BM26" s="28">
        <v>0</v>
      </c>
      <c r="BN26" s="7">
        <f t="shared" si="53"/>
        <v>0</v>
      </c>
      <c r="BO26" s="28">
        <v>0</v>
      </c>
      <c r="BP26" s="28">
        <v>0</v>
      </c>
      <c r="BQ26" s="28">
        <v>0</v>
      </c>
      <c r="BR26" s="7">
        <f t="shared" si="54"/>
        <v>0</v>
      </c>
      <c r="BS26" s="28">
        <v>0</v>
      </c>
      <c r="BT26" s="28">
        <v>0</v>
      </c>
      <c r="BU26" s="28">
        <v>0</v>
      </c>
      <c r="BV26" s="7">
        <f t="shared" si="55"/>
        <v>0</v>
      </c>
      <c r="BW26" s="28">
        <v>0</v>
      </c>
      <c r="BX26" s="28">
        <v>0</v>
      </c>
      <c r="BY26" s="28">
        <v>0</v>
      </c>
      <c r="BZ26" s="28">
        <f t="shared" si="56"/>
        <v>0</v>
      </c>
      <c r="CA26" s="7"/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H26" s="28">
        <v>0</v>
      </c>
    </row>
    <row r="27" spans="2:86" s="20" customFormat="1">
      <c r="B27" s="17" t="s">
        <v>163</v>
      </c>
      <c r="C27" s="27"/>
      <c r="D27" s="28">
        <v>0</v>
      </c>
      <c r="E27" s="28">
        <v>0</v>
      </c>
      <c r="F27" s="28">
        <v>0</v>
      </c>
      <c r="G27" s="28">
        <v>-538</v>
      </c>
      <c r="H27" s="28">
        <v>7960</v>
      </c>
      <c r="I27" s="28">
        <v>-21741</v>
      </c>
      <c r="J27" s="28">
        <v>11697</v>
      </c>
      <c r="K27" s="28">
        <v>7931</v>
      </c>
      <c r="L27" s="28">
        <v>7931</v>
      </c>
      <c r="M27" s="28">
        <v>-29288</v>
      </c>
      <c r="N27" s="28">
        <v>402344</v>
      </c>
      <c r="O27" s="28">
        <v>159145</v>
      </c>
      <c r="P27" s="28">
        <v>-16986</v>
      </c>
      <c r="Q27" s="28">
        <v>6698</v>
      </c>
      <c r="R27" s="28">
        <v>75723</v>
      </c>
      <c r="S27" s="28">
        <v>-72868</v>
      </c>
      <c r="T27" s="28">
        <v>34175</v>
      </c>
      <c r="U27" s="7">
        <f t="shared" si="42"/>
        <v>34175</v>
      </c>
      <c r="V27" s="7"/>
      <c r="W27" s="28">
        <v>0</v>
      </c>
      <c r="X27" s="28">
        <v>0</v>
      </c>
      <c r="Y27" s="28">
        <v>0</v>
      </c>
      <c r="Z27" s="7">
        <f t="shared" si="43"/>
        <v>0</v>
      </c>
      <c r="AA27" s="28">
        <v>-2252</v>
      </c>
      <c r="AB27" s="28">
        <v>819</v>
      </c>
      <c r="AC27" s="28">
        <v>-674</v>
      </c>
      <c r="AD27" s="7">
        <f t="shared" si="44"/>
        <v>1569</v>
      </c>
      <c r="AE27" s="28">
        <v>1820</v>
      </c>
      <c r="AF27" s="28">
        <v>1750</v>
      </c>
      <c r="AG27" s="28">
        <v>2921</v>
      </c>
      <c r="AH27" s="7">
        <f t="shared" si="45"/>
        <v>1469</v>
      </c>
      <c r="AI27" s="28">
        <v>-14314</v>
      </c>
      <c r="AJ27" s="28">
        <v>-6596</v>
      </c>
      <c r="AK27" s="28">
        <v>3405</v>
      </c>
      <c r="AL27" s="7">
        <f t="shared" si="46"/>
        <v>-4236</v>
      </c>
      <c r="AM27" s="28">
        <v>3536</v>
      </c>
      <c r="AN27" s="28">
        <v>66</v>
      </c>
      <c r="AO27" s="28">
        <v>2040</v>
      </c>
      <c r="AP27" s="7">
        <f t="shared" si="47"/>
        <v>6055</v>
      </c>
      <c r="AQ27" s="28">
        <v>503</v>
      </c>
      <c r="AR27" s="28">
        <v>1786</v>
      </c>
      <c r="AS27" s="28">
        <v>2395</v>
      </c>
      <c r="AT27" s="7">
        <f t="shared" si="48"/>
        <v>3247</v>
      </c>
      <c r="AU27" s="28">
        <v>3621</v>
      </c>
      <c r="AV27" s="28">
        <v>1449</v>
      </c>
      <c r="AW27" s="28">
        <v>-14137</v>
      </c>
      <c r="AX27" s="7">
        <f t="shared" si="49"/>
        <v>-20221</v>
      </c>
      <c r="AY27" s="28">
        <v>14694</v>
      </c>
      <c r="AZ27" s="28">
        <v>307110</v>
      </c>
      <c r="BA27" s="28">
        <v>10500</v>
      </c>
      <c r="BB27" s="7">
        <f t="shared" si="50"/>
        <v>70040</v>
      </c>
      <c r="BC27" s="28">
        <v>117457</v>
      </c>
      <c r="BD27" s="28">
        <v>493</v>
      </c>
      <c r="BE27" s="28">
        <v>45599</v>
      </c>
      <c r="BF27" s="7">
        <f t="shared" si="51"/>
        <v>-4404</v>
      </c>
      <c r="BG27" s="28">
        <v>-305</v>
      </c>
      <c r="BH27" s="28">
        <v>-7221</v>
      </c>
      <c r="BI27" s="28">
        <v>-398</v>
      </c>
      <c r="BJ27" s="7">
        <f t="shared" si="52"/>
        <v>-9062</v>
      </c>
      <c r="BK27" s="28">
        <v>0</v>
      </c>
      <c r="BL27" s="28">
        <v>0</v>
      </c>
      <c r="BM27" s="28">
        <v>6698</v>
      </c>
      <c r="BN27" s="7">
        <f t="shared" si="53"/>
        <v>0</v>
      </c>
      <c r="BO27" s="28">
        <v>34163</v>
      </c>
      <c r="BP27" s="28">
        <v>15703</v>
      </c>
      <c r="BQ27" s="28">
        <v>1302</v>
      </c>
      <c r="BR27" s="7">
        <f t="shared" si="54"/>
        <v>24555</v>
      </c>
      <c r="BS27" s="28">
        <v>-7350</v>
      </c>
      <c r="BT27" s="28">
        <v>8537</v>
      </c>
      <c r="BU27" s="28">
        <v>-75456</v>
      </c>
      <c r="BV27" s="7">
        <f t="shared" si="55"/>
        <v>1401</v>
      </c>
      <c r="BW27" s="28">
        <v>0</v>
      </c>
      <c r="BX27" s="28">
        <v>0</v>
      </c>
      <c r="BY27" s="28">
        <v>2568</v>
      </c>
      <c r="BZ27" s="28">
        <f t="shared" si="56"/>
        <v>31607</v>
      </c>
      <c r="CA27" s="7"/>
      <c r="CB27" s="28">
        <v>14694</v>
      </c>
      <c r="CC27" s="28">
        <v>10500</v>
      </c>
      <c r="CD27" s="28">
        <v>68588</v>
      </c>
      <c r="CE27" s="28">
        <v>117457</v>
      </c>
      <c r="CF27" s="28">
        <v>493</v>
      </c>
      <c r="CH27" s="28">
        <v>400892</v>
      </c>
    </row>
    <row r="28" spans="2:86" s="20" customFormat="1">
      <c r="B28" s="20" t="s">
        <v>164</v>
      </c>
      <c r="C28" s="33"/>
      <c r="D28" s="34">
        <f t="shared" ref="D28:M28" si="58">D19-SUM(D21:D27)</f>
        <v>76782</v>
      </c>
      <c r="E28" s="34">
        <f t="shared" si="58"/>
        <v>65183</v>
      </c>
      <c r="F28" s="34">
        <f t="shared" si="58"/>
        <v>47852</v>
      </c>
      <c r="G28" s="34">
        <f t="shared" si="58"/>
        <v>78643</v>
      </c>
      <c r="H28" s="34">
        <f t="shared" si="58"/>
        <v>107702</v>
      </c>
      <c r="I28" s="34">
        <f t="shared" si="58"/>
        <v>128463</v>
      </c>
      <c r="J28" s="34">
        <f t="shared" si="58"/>
        <v>77233</v>
      </c>
      <c r="K28" s="34">
        <f t="shared" si="58"/>
        <v>32670</v>
      </c>
      <c r="L28" s="34">
        <f t="shared" si="58"/>
        <v>32670</v>
      </c>
      <c r="M28" s="34">
        <f t="shared" si="58"/>
        <v>-17318</v>
      </c>
      <c r="N28" s="34">
        <f t="shared" ref="N28:U28" si="59">N19-SUM(N21:N27)</f>
        <v>-428465</v>
      </c>
      <c r="O28" s="34">
        <f t="shared" si="59"/>
        <v>-144882</v>
      </c>
      <c r="P28" s="34">
        <f t="shared" si="59"/>
        <v>124831</v>
      </c>
      <c r="Q28" s="34">
        <f t="shared" si="59"/>
        <v>165607</v>
      </c>
      <c r="R28" s="34">
        <f t="shared" si="59"/>
        <v>126790</v>
      </c>
      <c r="S28" s="34">
        <f>S19-SUM(S21:S27)</f>
        <v>383985</v>
      </c>
      <c r="T28" s="34">
        <f>T19-SUM(T21:T27)</f>
        <v>451727</v>
      </c>
      <c r="U28" s="34">
        <f t="shared" si="59"/>
        <v>451727</v>
      </c>
      <c r="V28" s="34"/>
      <c r="W28" s="34">
        <f t="shared" ref="W28:AT28" si="60">W19-SUM(W21:W27)</f>
        <v>12294</v>
      </c>
      <c r="X28" s="34">
        <f t="shared" si="60"/>
        <v>14210</v>
      </c>
      <c r="Y28" s="34">
        <f t="shared" si="60"/>
        <v>9032</v>
      </c>
      <c r="Z28" s="34">
        <f t="shared" si="60"/>
        <v>12316</v>
      </c>
      <c r="AA28" s="34">
        <f t="shared" si="60"/>
        <v>18377</v>
      </c>
      <c r="AB28" s="34">
        <f t="shared" si="60"/>
        <v>13649</v>
      </c>
      <c r="AC28" s="34">
        <f t="shared" si="60"/>
        <v>22802</v>
      </c>
      <c r="AD28" s="34">
        <f t="shared" si="60"/>
        <v>23815</v>
      </c>
      <c r="AE28" s="34">
        <f t="shared" si="60"/>
        <v>27028</v>
      </c>
      <c r="AF28" s="34">
        <f t="shared" si="60"/>
        <v>28218</v>
      </c>
      <c r="AG28" s="34">
        <f t="shared" si="60"/>
        <v>28198</v>
      </c>
      <c r="AH28" s="34">
        <f t="shared" si="60"/>
        <v>24258</v>
      </c>
      <c r="AI28" s="34">
        <f t="shared" si="60"/>
        <v>39322</v>
      </c>
      <c r="AJ28" s="34">
        <f t="shared" si="60"/>
        <v>29629</v>
      </c>
      <c r="AK28" s="34">
        <f t="shared" si="60"/>
        <v>26058</v>
      </c>
      <c r="AL28" s="34">
        <f t="shared" si="60"/>
        <v>33454</v>
      </c>
      <c r="AM28" s="34">
        <f t="shared" si="60"/>
        <v>24930.059646999987</v>
      </c>
      <c r="AN28" s="34">
        <f t="shared" si="60"/>
        <v>27287.940353000013</v>
      </c>
      <c r="AO28" s="34">
        <f t="shared" si="60"/>
        <v>18555.999999999971</v>
      </c>
      <c r="AP28" s="34">
        <f t="shared" si="60"/>
        <v>6459</v>
      </c>
      <c r="AQ28" s="34">
        <f t="shared" si="60"/>
        <v>14313.179560254008</v>
      </c>
      <c r="AR28" s="34">
        <f t="shared" si="60"/>
        <v>11202</v>
      </c>
      <c r="AS28" s="34">
        <f t="shared" si="60"/>
        <v>5986</v>
      </c>
      <c r="AT28" s="34">
        <f t="shared" si="60"/>
        <v>11117.820439745992</v>
      </c>
      <c r="AU28" s="34">
        <f t="shared" ref="AU28:BA28" si="61">AU19-SUM(AU21:AU27)</f>
        <v>-6470.7514192884846</v>
      </c>
      <c r="AV28" s="34">
        <f t="shared" si="61"/>
        <v>-19984.407595903001</v>
      </c>
      <c r="AW28" s="34">
        <f t="shared" si="61"/>
        <v>2001.8242788300558</v>
      </c>
      <c r="AX28" s="34">
        <f t="shared" si="61"/>
        <v>7135.3347363613721</v>
      </c>
      <c r="AY28" s="34">
        <f t="shared" si="61"/>
        <v>-29992</v>
      </c>
      <c r="AZ28" s="34">
        <f t="shared" si="61"/>
        <v>-313340.15134882304</v>
      </c>
      <c r="BA28" s="34">
        <f t="shared" si="61"/>
        <v>-15027.621405442973</v>
      </c>
      <c r="BB28" s="34">
        <f t="shared" ref="BB28:BH28" si="62">BB19-SUM(BB21:BB27)</f>
        <v>-70105.227245734015</v>
      </c>
      <c r="BC28" s="34">
        <f t="shared" si="62"/>
        <v>-113737</v>
      </c>
      <c r="BD28" s="34">
        <f t="shared" si="62"/>
        <v>5178</v>
      </c>
      <c r="BE28" s="34">
        <f t="shared" si="62"/>
        <v>-41533</v>
      </c>
      <c r="BF28" s="34">
        <f t="shared" si="62"/>
        <v>5210</v>
      </c>
      <c r="BG28" s="34">
        <f t="shared" si="62"/>
        <v>17759</v>
      </c>
      <c r="BH28" s="34">
        <f t="shared" si="62"/>
        <v>30289</v>
      </c>
      <c r="BI28" s="34">
        <f t="shared" ref="BI28:BN28" si="63">BI19-SUM(BI21:BI27)</f>
        <v>26415</v>
      </c>
      <c r="BJ28" s="34">
        <f t="shared" si="63"/>
        <v>50368</v>
      </c>
      <c r="BK28" s="34">
        <f t="shared" si="63"/>
        <v>35921</v>
      </c>
      <c r="BL28" s="34">
        <f t="shared" si="63"/>
        <v>42653</v>
      </c>
      <c r="BM28" s="34">
        <f t="shared" si="63"/>
        <v>36893</v>
      </c>
      <c r="BN28" s="34">
        <f t="shared" si="63"/>
        <v>50140</v>
      </c>
      <c r="BO28" s="34">
        <f t="shared" ref="BO28:BV28" si="64">BO19-SUM(BO21:BO27)</f>
        <v>18529</v>
      </c>
      <c r="BP28" s="34">
        <f t="shared" si="64"/>
        <v>39397</v>
      </c>
      <c r="BQ28" s="34">
        <f t="shared" si="64"/>
        <v>41084</v>
      </c>
      <c r="BR28" s="34">
        <f t="shared" si="64"/>
        <v>27780</v>
      </c>
      <c r="BS28" s="34">
        <f t="shared" si="64"/>
        <v>60254</v>
      </c>
      <c r="BT28" s="34">
        <f t="shared" si="64"/>
        <v>58974</v>
      </c>
      <c r="BU28" s="34">
        <f t="shared" si="64"/>
        <v>168919</v>
      </c>
      <c r="BV28" s="34">
        <f t="shared" si="64"/>
        <v>95838</v>
      </c>
      <c r="BW28" s="34">
        <f>BW19-SUM(BW21:BW27)</f>
        <v>105044</v>
      </c>
      <c r="BX28" s="34">
        <f>BX19-SUM(BX21:BX27)</f>
        <v>123223</v>
      </c>
      <c r="BY28" s="34">
        <f>BY19-SUM(BY21:BY27)</f>
        <v>123013</v>
      </c>
      <c r="BZ28" s="34">
        <f>BZ19-SUM(BZ21:BZ27)</f>
        <v>100447</v>
      </c>
      <c r="CA28" s="34"/>
      <c r="CB28" s="34">
        <f>CB19-SUM(CB21:CB27)</f>
        <v>-29992</v>
      </c>
      <c r="CC28" s="34">
        <f>CC19-SUM(CC21:CC27)</f>
        <v>-23354.999999999985</v>
      </c>
      <c r="CD28" s="34">
        <f>CD19-SUM(CD21:CD27)</f>
        <v>-75544</v>
      </c>
      <c r="CE28" s="34">
        <f>CE19-SUM(CE21:CE27)</f>
        <v>-121092</v>
      </c>
      <c r="CF28" s="34">
        <f>CF19-SUM(CF21:CF27)</f>
        <v>-2467</v>
      </c>
      <c r="CH28" s="34">
        <f>CH19-SUM(CH21:CH27)</f>
        <v>-461304</v>
      </c>
    </row>
    <row r="29" spans="2:86" s="20" customFormat="1">
      <c r="B29" s="35" t="s">
        <v>165</v>
      </c>
      <c r="C29" s="33"/>
      <c r="D29" s="28">
        <v>-17790</v>
      </c>
      <c r="E29" s="28">
        <v>-22602</v>
      </c>
      <c r="F29" s="28">
        <v>-25184</v>
      </c>
      <c r="G29" s="28">
        <v>-48449</v>
      </c>
      <c r="H29" s="28">
        <v>-54047</v>
      </c>
      <c r="I29" s="28">
        <v>-59533</v>
      </c>
      <c r="J29" s="28">
        <v>-34819</v>
      </c>
      <c r="K29" s="28">
        <f>-18230+7395</f>
        <v>-10835</v>
      </c>
      <c r="L29" s="28">
        <f>-18230+7395</f>
        <v>-10835</v>
      </c>
      <c r="M29" s="28">
        <f>-19391+53584</f>
        <v>34193</v>
      </c>
      <c r="N29" s="28">
        <f>-23738+145561</f>
        <v>121823</v>
      </c>
      <c r="O29" s="28">
        <f>-20584-68741</f>
        <v>-89325</v>
      </c>
      <c r="P29" s="28">
        <f>-30331-11448</f>
        <v>-41779</v>
      </c>
      <c r="Q29" s="28">
        <v>-42733</v>
      </c>
      <c r="R29" s="28">
        <v>-41210</v>
      </c>
      <c r="S29" s="28">
        <f>-41121+31949</f>
        <v>-9172</v>
      </c>
      <c r="T29" s="28">
        <f>-78812-34687</f>
        <v>-113499</v>
      </c>
      <c r="U29" s="7">
        <f t="shared" si="42"/>
        <v>-113499</v>
      </c>
      <c r="V29" s="7"/>
      <c r="W29" s="28">
        <v>-4543</v>
      </c>
      <c r="X29" s="28">
        <v>-7195</v>
      </c>
      <c r="Y29" s="28">
        <v>-6192</v>
      </c>
      <c r="Z29" s="7">
        <f>F29-SUM(W29:Y29)</f>
        <v>-7254</v>
      </c>
      <c r="AA29" s="28">
        <v>-9684</v>
      </c>
      <c r="AB29" s="28">
        <v>-8634</v>
      </c>
      <c r="AC29" s="28">
        <v>-16569</v>
      </c>
      <c r="AD29" s="7">
        <f>G29-SUM(AA29:AC29)</f>
        <v>-13562</v>
      </c>
      <c r="AE29" s="28">
        <v>-15326</v>
      </c>
      <c r="AF29" s="28">
        <v>-14765</v>
      </c>
      <c r="AG29" s="28">
        <v>-13145</v>
      </c>
      <c r="AH29" s="7">
        <f>H29-SUM(AE29:AG29)</f>
        <v>-10811</v>
      </c>
      <c r="AI29" s="28">
        <v>-21781</v>
      </c>
      <c r="AJ29" s="28">
        <v>-13326</v>
      </c>
      <c r="AK29" s="28">
        <v>-13499</v>
      </c>
      <c r="AL29" s="7">
        <f>I29-SUM(AI29:AK29)</f>
        <v>-10927</v>
      </c>
      <c r="AM29" s="28">
        <v>-10089</v>
      </c>
      <c r="AN29" s="28">
        <v>-11136</v>
      </c>
      <c r="AO29" s="28">
        <v>-11841</v>
      </c>
      <c r="AP29" s="7">
        <f>J29-SUM(AM29:AO29)</f>
        <v>-1753</v>
      </c>
      <c r="AQ29" s="28">
        <v>-8136</v>
      </c>
      <c r="AR29" s="28">
        <v>-5341</v>
      </c>
      <c r="AS29" s="28">
        <v>-379</v>
      </c>
      <c r="AT29" s="7">
        <f>+K29-AS29-AR29-AQ29</f>
        <v>3021</v>
      </c>
      <c r="AU29" s="28">
        <f>-7176+18443</f>
        <v>11267</v>
      </c>
      <c r="AV29" s="28">
        <f>-3850+26326</f>
        <v>22476</v>
      </c>
      <c r="AW29" s="28">
        <f>-5331+7155</f>
        <v>1824</v>
      </c>
      <c r="AX29" s="7">
        <f>M29-AW29-AV29-AU29</f>
        <v>-1374</v>
      </c>
      <c r="AY29" s="28">
        <f>-7763+13833</f>
        <v>6070</v>
      </c>
      <c r="AZ29" s="28">
        <f>-4281+89320</f>
        <v>85039</v>
      </c>
      <c r="BA29" s="28">
        <f>-7309+17688</f>
        <v>10379</v>
      </c>
      <c r="BB29" s="7">
        <f>N29-BA29-AZ29-AY29</f>
        <v>20335</v>
      </c>
      <c r="BC29" s="28">
        <f>-5086-33089</f>
        <v>-38175</v>
      </c>
      <c r="BD29" s="28">
        <f>-6494+977</f>
        <v>-5517</v>
      </c>
      <c r="BE29" s="28">
        <f>-5594-37473</f>
        <v>-43067</v>
      </c>
      <c r="BF29" s="7">
        <f>O29-BE29-BD29-BC29</f>
        <v>-2566</v>
      </c>
      <c r="BG29" s="28">
        <f>-7274-1071</f>
        <v>-8345</v>
      </c>
      <c r="BH29" s="28">
        <f>-7370-2938</f>
        <v>-10308</v>
      </c>
      <c r="BI29" s="28">
        <f>-7922-1986</f>
        <v>-9908</v>
      </c>
      <c r="BJ29" s="7">
        <f>P29-BI29-BH29-BG29</f>
        <v>-13218</v>
      </c>
      <c r="BK29" s="28">
        <v>-11233</v>
      </c>
      <c r="BL29" s="28">
        <f>-7953-4911</f>
        <v>-12864</v>
      </c>
      <c r="BM29" s="28">
        <f>-6511-4245</f>
        <v>-10756</v>
      </c>
      <c r="BN29" s="7">
        <f>Q29-BM29-BL29-BK29</f>
        <v>-7880</v>
      </c>
      <c r="BO29" s="28">
        <f>5997-9324</f>
        <v>-3327</v>
      </c>
      <c r="BP29" s="28">
        <f>-17574-891</f>
        <v>-18465</v>
      </c>
      <c r="BQ29" s="28">
        <f>-7506-4814</f>
        <v>-12320</v>
      </c>
      <c r="BR29" s="7">
        <f>R29-BQ29-BP29-BO29</f>
        <v>-7098</v>
      </c>
      <c r="BS29" s="28">
        <f>-7883-5195</f>
        <v>-13078</v>
      </c>
      <c r="BT29" s="28">
        <v>-17440</v>
      </c>
      <c r="BU29" s="28">
        <f>-11336+3763</f>
        <v>-7573</v>
      </c>
      <c r="BV29" s="7">
        <f>S29-BU29-BT29-BS29</f>
        <v>28919</v>
      </c>
      <c r="BW29" s="28">
        <f>-18657-12169</f>
        <v>-30826</v>
      </c>
      <c r="BX29" s="28">
        <f>-18514-18201</f>
        <v>-36715</v>
      </c>
      <c r="BY29" s="28">
        <f>-20153-17832</f>
        <v>-37985</v>
      </c>
      <c r="BZ29" s="28">
        <f t="shared" si="56"/>
        <v>-7973</v>
      </c>
      <c r="CA29" s="7"/>
      <c r="CB29" s="28">
        <f>-7763+13833</f>
        <v>6070</v>
      </c>
      <c r="CC29" s="28">
        <f>17623-5986</f>
        <v>11637</v>
      </c>
      <c r="CD29" s="28">
        <f>-3021+24541</f>
        <v>21520</v>
      </c>
      <c r="CE29" s="28">
        <f>-3583-33439</f>
        <v>-37022</v>
      </c>
      <c r="CF29" s="28">
        <f>-4949+814</f>
        <v>-4135</v>
      </c>
      <c r="CH29" s="28">
        <f>-17932+143056</f>
        <v>125124</v>
      </c>
    </row>
    <row r="30" spans="2:86" s="20" customFormat="1">
      <c r="B30" s="20" t="s">
        <v>166</v>
      </c>
      <c r="D30" s="34">
        <f t="shared" ref="D30:AO30" si="65">D28+D29</f>
        <v>58992</v>
      </c>
      <c r="E30" s="34">
        <f t="shared" si="65"/>
        <v>42581</v>
      </c>
      <c r="F30" s="34">
        <f t="shared" si="65"/>
        <v>22668</v>
      </c>
      <c r="G30" s="34">
        <f t="shared" si="65"/>
        <v>30194</v>
      </c>
      <c r="H30" s="34">
        <f t="shared" si="65"/>
        <v>53655</v>
      </c>
      <c r="I30" s="34">
        <f t="shared" si="65"/>
        <v>68930</v>
      </c>
      <c r="J30" s="34">
        <f t="shared" si="65"/>
        <v>42414</v>
      </c>
      <c r="K30" s="34">
        <f t="shared" si="65"/>
        <v>21835</v>
      </c>
      <c r="L30" s="34">
        <f t="shared" si="65"/>
        <v>21835</v>
      </c>
      <c r="M30" s="34">
        <f t="shared" si="65"/>
        <v>16875</v>
      </c>
      <c r="N30" s="34">
        <f t="shared" si="65"/>
        <v>-306642</v>
      </c>
      <c r="O30" s="34">
        <f t="shared" si="65"/>
        <v>-234207</v>
      </c>
      <c r="P30" s="34">
        <f t="shared" ref="P30:U30" si="66">P28+P29</f>
        <v>83052</v>
      </c>
      <c r="Q30" s="34">
        <f t="shared" si="66"/>
        <v>122874</v>
      </c>
      <c r="R30" s="34">
        <f t="shared" si="66"/>
        <v>85580</v>
      </c>
      <c r="S30" s="34">
        <f t="shared" si="66"/>
        <v>374813</v>
      </c>
      <c r="T30" s="34">
        <f t="shared" si="66"/>
        <v>338228</v>
      </c>
      <c r="U30" s="34">
        <f t="shared" si="66"/>
        <v>338228</v>
      </c>
      <c r="V30" s="34"/>
      <c r="W30" s="34">
        <f t="shared" si="65"/>
        <v>7751</v>
      </c>
      <c r="X30" s="34">
        <f t="shared" si="65"/>
        <v>7015</v>
      </c>
      <c r="Y30" s="34">
        <f t="shared" si="65"/>
        <v>2840</v>
      </c>
      <c r="Z30" s="34">
        <f t="shared" si="65"/>
        <v>5062</v>
      </c>
      <c r="AA30" s="34">
        <f t="shared" si="65"/>
        <v>8693</v>
      </c>
      <c r="AB30" s="34">
        <f t="shared" si="65"/>
        <v>5015</v>
      </c>
      <c r="AC30" s="34">
        <f t="shared" si="65"/>
        <v>6233</v>
      </c>
      <c r="AD30" s="34">
        <f t="shared" si="65"/>
        <v>10253</v>
      </c>
      <c r="AE30" s="34">
        <f t="shared" si="65"/>
        <v>11702</v>
      </c>
      <c r="AF30" s="34">
        <f t="shared" si="65"/>
        <v>13453</v>
      </c>
      <c r="AG30" s="34">
        <f t="shared" si="65"/>
        <v>15053</v>
      </c>
      <c r="AH30" s="34">
        <f t="shared" si="65"/>
        <v>13447</v>
      </c>
      <c r="AI30" s="34">
        <f t="shared" si="65"/>
        <v>17541</v>
      </c>
      <c r="AJ30" s="34">
        <f t="shared" si="65"/>
        <v>16303</v>
      </c>
      <c r="AK30" s="34">
        <f t="shared" si="65"/>
        <v>12559</v>
      </c>
      <c r="AL30" s="34">
        <f t="shared" si="65"/>
        <v>22527</v>
      </c>
      <c r="AM30" s="34">
        <f t="shared" si="65"/>
        <v>14841.059646999987</v>
      </c>
      <c r="AN30" s="34">
        <f t="shared" si="65"/>
        <v>16151.940353000013</v>
      </c>
      <c r="AO30" s="34">
        <f t="shared" si="65"/>
        <v>6714.9999999999709</v>
      </c>
      <c r="AP30" s="34">
        <f t="shared" ref="AP30:BE30" si="67">AP28+AP29</f>
        <v>4706</v>
      </c>
      <c r="AQ30" s="34">
        <f t="shared" si="67"/>
        <v>6177.1795602540078</v>
      </c>
      <c r="AR30" s="34">
        <f t="shared" si="67"/>
        <v>5861</v>
      </c>
      <c r="AS30" s="34">
        <f t="shared" si="67"/>
        <v>5607</v>
      </c>
      <c r="AT30" s="34">
        <f t="shared" si="67"/>
        <v>14138.820439745992</v>
      </c>
      <c r="AU30" s="34">
        <f t="shared" si="67"/>
        <v>4796.2485807115154</v>
      </c>
      <c r="AV30" s="34">
        <f t="shared" si="67"/>
        <v>2491.5924040969985</v>
      </c>
      <c r="AW30" s="34">
        <f t="shared" si="67"/>
        <v>3825.8242788300558</v>
      </c>
      <c r="AX30" s="34">
        <f t="shared" si="67"/>
        <v>5761.3347363613721</v>
      </c>
      <c r="AY30" s="34">
        <f t="shared" si="67"/>
        <v>-23922</v>
      </c>
      <c r="AZ30" s="34">
        <f t="shared" si="67"/>
        <v>-228301.15134882304</v>
      </c>
      <c r="BA30" s="34">
        <f t="shared" si="67"/>
        <v>-4648.6214054429729</v>
      </c>
      <c r="BB30" s="34">
        <f t="shared" si="67"/>
        <v>-49770.227245734015</v>
      </c>
      <c r="BC30" s="34">
        <f t="shared" si="67"/>
        <v>-151912</v>
      </c>
      <c r="BD30" s="34">
        <f t="shared" si="67"/>
        <v>-339</v>
      </c>
      <c r="BE30" s="34">
        <f t="shared" si="67"/>
        <v>-84600</v>
      </c>
      <c r="BF30" s="34">
        <f t="shared" ref="BF30:BL30" si="68">BF28+BF29</f>
        <v>2644</v>
      </c>
      <c r="BG30" s="34">
        <f t="shared" si="68"/>
        <v>9414</v>
      </c>
      <c r="BH30" s="34">
        <f t="shared" si="68"/>
        <v>19981</v>
      </c>
      <c r="BI30" s="34">
        <f t="shared" si="68"/>
        <v>16507</v>
      </c>
      <c r="BJ30" s="34">
        <f t="shared" si="68"/>
        <v>37150</v>
      </c>
      <c r="BK30" s="34">
        <f t="shared" si="68"/>
        <v>24688</v>
      </c>
      <c r="BL30" s="34">
        <f t="shared" si="68"/>
        <v>29789</v>
      </c>
      <c r="BM30" s="34">
        <f t="shared" ref="BM30:BR30" si="69">BM28+BM29</f>
        <v>26137</v>
      </c>
      <c r="BN30" s="34">
        <f t="shared" si="69"/>
        <v>42260</v>
      </c>
      <c r="BO30" s="34">
        <f t="shared" si="69"/>
        <v>15202</v>
      </c>
      <c r="BP30" s="34">
        <f t="shared" si="69"/>
        <v>20932</v>
      </c>
      <c r="BQ30" s="34">
        <f t="shared" si="69"/>
        <v>28764</v>
      </c>
      <c r="BR30" s="34">
        <f t="shared" si="69"/>
        <v>20682</v>
      </c>
      <c r="BS30" s="34">
        <f t="shared" ref="BS30:BX30" si="70">BS28+BS29</f>
        <v>47176</v>
      </c>
      <c r="BT30" s="34">
        <f t="shared" si="70"/>
        <v>41534</v>
      </c>
      <c r="BU30" s="34">
        <f t="shared" si="70"/>
        <v>161346</v>
      </c>
      <c r="BV30" s="34">
        <f t="shared" si="70"/>
        <v>124757</v>
      </c>
      <c r="BW30" s="34">
        <f t="shared" si="70"/>
        <v>74218</v>
      </c>
      <c r="BX30" s="34">
        <f t="shared" si="70"/>
        <v>86508</v>
      </c>
      <c r="BY30" s="34">
        <f>BY28+BY29</f>
        <v>85028</v>
      </c>
      <c r="BZ30" s="34">
        <f>BZ28+BZ29</f>
        <v>92474</v>
      </c>
      <c r="CA30" s="34"/>
      <c r="CB30" s="34">
        <f>CB28+CB29</f>
        <v>-23922</v>
      </c>
      <c r="CC30" s="34">
        <f>CC28+CC29</f>
        <v>-11717.999999999985</v>
      </c>
      <c r="CD30" s="34">
        <f>CD28+CD29</f>
        <v>-54024</v>
      </c>
      <c r="CE30" s="858">
        <f>CE28+CE29</f>
        <v>-158114</v>
      </c>
      <c r="CF30" s="34">
        <f>CF28+CF29</f>
        <v>-6602</v>
      </c>
      <c r="CH30" s="34">
        <f>CH28+CH29</f>
        <v>-336180</v>
      </c>
    </row>
    <row r="31" spans="2:86" s="20" customFormat="1" hidden="1" outlineLevel="1">
      <c r="B31" s="17" t="s">
        <v>167</v>
      </c>
      <c r="D31" s="34"/>
      <c r="E31" s="34"/>
      <c r="F31" s="34"/>
      <c r="G31" s="34"/>
      <c r="H31" s="34"/>
      <c r="I31" s="7"/>
      <c r="J31" s="7"/>
      <c r="K31" s="7"/>
      <c r="L31" s="7"/>
      <c r="M31" s="7"/>
      <c r="N31" s="7"/>
      <c r="O31" s="28">
        <v>113698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7">
        <f>SUM(BT31:BW31)</f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28"/>
      <c r="BH31" s="7"/>
      <c r="BI31" s="7"/>
      <c r="BJ31" s="7"/>
      <c r="BK31" s="28"/>
      <c r="BL31" s="7"/>
      <c r="BM31" s="7"/>
      <c r="BN31" s="7"/>
      <c r="BO31" s="28"/>
      <c r="BP31" s="7"/>
      <c r="BQ31" s="7"/>
      <c r="BR31" s="7"/>
      <c r="BS31" s="28"/>
      <c r="BT31" s="28"/>
      <c r="BU31" s="7"/>
      <c r="BV31" s="7"/>
      <c r="BW31" s="28"/>
      <c r="BX31" s="28"/>
      <c r="BY31" s="7"/>
      <c r="BZ31" s="7"/>
      <c r="CA31" s="7"/>
      <c r="CB31" s="7"/>
      <c r="CC31" s="7"/>
      <c r="CD31" s="7"/>
      <c r="CE31" s="7"/>
      <c r="CF31" s="7"/>
      <c r="CG31" s="17"/>
      <c r="CH31" s="28">
        <v>32839</v>
      </c>
    </row>
    <row r="32" spans="2:86" s="20" customFormat="1" hidden="1" outlineLevel="1">
      <c r="B32" s="17" t="s">
        <v>168</v>
      </c>
      <c r="D32" s="34"/>
      <c r="E32" s="34"/>
      <c r="F32" s="34"/>
      <c r="G32" s="34"/>
      <c r="H32" s="34"/>
      <c r="I32" s="7"/>
      <c r="J32" s="7"/>
      <c r="K32" s="7"/>
      <c r="L32" s="7"/>
      <c r="M32" s="7"/>
      <c r="N32" s="7"/>
      <c r="O32" s="28">
        <v>3131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7">
        <f>SUM(BT32:BW32)</f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28"/>
      <c r="BH32" s="7"/>
      <c r="BI32" s="7"/>
      <c r="BJ32" s="7"/>
      <c r="BK32" s="28"/>
      <c r="BL32" s="7"/>
      <c r="BM32" s="7"/>
      <c r="BN32" s="7"/>
      <c r="BO32" s="28"/>
      <c r="BP32" s="7"/>
      <c r="BQ32" s="7"/>
      <c r="BR32" s="7"/>
      <c r="BS32" s="28"/>
      <c r="BT32" s="28"/>
      <c r="BU32" s="7"/>
      <c r="BV32" s="7"/>
      <c r="BW32" s="28"/>
      <c r="BX32" s="28"/>
      <c r="BY32" s="7"/>
      <c r="BZ32" s="7"/>
      <c r="CA32" s="7"/>
      <c r="CB32" s="7"/>
      <c r="CC32" s="7"/>
      <c r="CD32" s="7"/>
      <c r="CE32" s="7"/>
      <c r="CF32" s="7"/>
      <c r="CG32" s="17"/>
      <c r="CH32" s="28">
        <v>3301</v>
      </c>
    </row>
    <row r="33" spans="2:86" s="20" customFormat="1" hidden="1" outlineLevel="1">
      <c r="B33" s="20" t="s">
        <v>169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>
        <f t="shared" ref="O33:T33" si="71">O31-O32</f>
        <v>110567</v>
      </c>
      <c r="P33" s="34">
        <f t="shared" si="71"/>
        <v>0</v>
      </c>
      <c r="Q33" s="34">
        <f t="shared" si="71"/>
        <v>0</v>
      </c>
      <c r="R33" s="34">
        <f t="shared" si="71"/>
        <v>0</v>
      </c>
      <c r="S33" s="34">
        <f t="shared" si="71"/>
        <v>0</v>
      </c>
      <c r="T33" s="34">
        <f t="shared" si="71"/>
        <v>0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H33" s="34">
        <f>CH31-CH32</f>
        <v>29538</v>
      </c>
    </row>
    <row r="34" spans="2:86" s="29" customFormat="1" collapsed="1">
      <c r="B34" s="30" t="s">
        <v>156</v>
      </c>
      <c r="D34" s="31">
        <f t="shared" ref="D34:AO34" si="72">D30/D7</f>
        <v>9.9082439370959535E-2</v>
      </c>
      <c r="E34" s="31">
        <f t="shared" si="72"/>
        <v>6.2319708108250507E-2</v>
      </c>
      <c r="F34" s="31">
        <f t="shared" si="72"/>
        <v>2.9475521558256182E-2</v>
      </c>
      <c r="G34" s="31">
        <f t="shared" si="72"/>
        <v>3.5213265876926289E-2</v>
      </c>
      <c r="H34" s="31">
        <f t="shared" si="72"/>
        <v>5.8295686412558098E-2</v>
      </c>
      <c r="I34" s="31">
        <f t="shared" si="72"/>
        <v>7.1406299044566524E-2</v>
      </c>
      <c r="J34" s="31">
        <f t="shared" si="72"/>
        <v>4.4427312521538566E-2</v>
      </c>
      <c r="K34" s="31">
        <f t="shared" si="72"/>
        <v>2.6090988063985354E-2</v>
      </c>
      <c r="L34" s="31">
        <f t="shared" si="72"/>
        <v>2.6422213294481526E-2</v>
      </c>
      <c r="M34" s="31">
        <f t="shared" si="72"/>
        <v>2.0890020079177819E-2</v>
      </c>
      <c r="N34" s="31">
        <f t="shared" si="72"/>
        <v>-0.3502918699094118</v>
      </c>
      <c r="O34" s="31">
        <f t="shared" si="72"/>
        <v>-0.23277358029255843</v>
      </c>
      <c r="P34" s="31">
        <f t="shared" ref="P34:U34" si="73">P30/P7</f>
        <v>7.1260582649559964E-2</v>
      </c>
      <c r="Q34" s="31">
        <f t="shared" si="73"/>
        <v>8.8306569846663338E-2</v>
      </c>
      <c r="R34" s="31">
        <f t="shared" si="73"/>
        <v>5.7060028376662859E-2</v>
      </c>
      <c r="S34" s="31">
        <f t="shared" si="73"/>
        <v>0.21667344952053702</v>
      </c>
      <c r="T34" s="31">
        <f t="shared" si="73"/>
        <v>0.16031829695581609</v>
      </c>
      <c r="U34" s="31">
        <f t="shared" si="73"/>
        <v>0.16031829695581609</v>
      </c>
      <c r="V34" s="1114"/>
      <c r="W34" s="31">
        <f t="shared" si="72"/>
        <v>4.1761628593857125E-2</v>
      </c>
      <c r="X34" s="31">
        <f t="shared" si="72"/>
        <v>3.6160027837659751E-2</v>
      </c>
      <c r="Y34" s="31">
        <f t="shared" si="72"/>
        <v>1.4667571280841335E-2</v>
      </c>
      <c r="Z34" s="31">
        <f t="shared" si="72"/>
        <v>2.5850171520090094E-2</v>
      </c>
      <c r="AA34" s="31">
        <f t="shared" si="72"/>
        <v>4.289889745761815E-2</v>
      </c>
      <c r="AB34" s="31">
        <f t="shared" si="72"/>
        <v>2.3517693849133714E-2</v>
      </c>
      <c r="AC34" s="31">
        <f t="shared" si="72"/>
        <v>2.8411240513252958E-2</v>
      </c>
      <c r="AD34" s="31">
        <f t="shared" si="72"/>
        <v>4.6144568010693408E-2</v>
      </c>
      <c r="AE34" s="31">
        <f t="shared" si="72"/>
        <v>5.0963347501916244E-2</v>
      </c>
      <c r="AF34" s="31">
        <f t="shared" si="72"/>
        <v>5.8887643793882304E-2</v>
      </c>
      <c r="AG34" s="31">
        <f t="shared" si="72"/>
        <v>6.483583220987979E-2</v>
      </c>
      <c r="AH34" s="31">
        <f t="shared" si="72"/>
        <v>5.8425843453324931E-2</v>
      </c>
      <c r="AI34" s="31">
        <f t="shared" si="72"/>
        <v>7.4103646249192051E-2</v>
      </c>
      <c r="AJ34" s="31">
        <f t="shared" si="72"/>
        <v>6.8397403894158756E-2</v>
      </c>
      <c r="AK34" s="31">
        <f t="shared" si="72"/>
        <v>5.2185872957171767E-2</v>
      </c>
      <c r="AL34" s="31">
        <f t="shared" si="72"/>
        <v>9.0253850221958684E-2</v>
      </c>
      <c r="AM34" s="31">
        <f t="shared" si="72"/>
        <v>5.8094297250112489E-2</v>
      </c>
      <c r="AN34" s="31">
        <f t="shared" si="72"/>
        <v>6.5521125907145664E-2</v>
      </c>
      <c r="AO34" s="31">
        <f t="shared" si="72"/>
        <v>2.8775652755220416E-2</v>
      </c>
      <c r="AP34" s="31">
        <f t="shared" ref="AP34:BE34" si="74">AP30/AP7</f>
        <v>2.145468802713521E-2</v>
      </c>
      <c r="AQ34" s="31">
        <f t="shared" si="74"/>
        <v>2.813166694866135E-2</v>
      </c>
      <c r="AR34" s="31">
        <f t="shared" si="74"/>
        <v>2.6913839894567179E-2</v>
      </c>
      <c r="AS34" s="31">
        <f t="shared" si="74"/>
        <v>2.7595405195239831E-2</v>
      </c>
      <c r="AT34" s="62">
        <f t="shared" si="74"/>
        <v>7.201082004322025E-2</v>
      </c>
      <c r="AU34" s="31">
        <f t="shared" si="74"/>
        <v>2.4224421174204976E-2</v>
      </c>
      <c r="AV34" s="31">
        <f t="shared" si="74"/>
        <v>1.2366598378212865E-2</v>
      </c>
      <c r="AW34" s="31">
        <f t="shared" si="74"/>
        <v>1.8910641377858157E-2</v>
      </c>
      <c r="AX34" s="31">
        <f t="shared" si="74"/>
        <v>2.7964730104429718E-2</v>
      </c>
      <c r="AY34" s="31">
        <f t="shared" si="74"/>
        <v>-0.1153540136658003</v>
      </c>
      <c r="AZ34" s="31">
        <f t="shared" si="74"/>
        <v>-1.0803933092087237</v>
      </c>
      <c r="BA34" s="31">
        <f t="shared" si="74"/>
        <v>-2.1181028042169456E-2</v>
      </c>
      <c r="BB34" s="31">
        <f t="shared" si="74"/>
        <v>-0.20980001115275249</v>
      </c>
      <c r="BC34" s="31">
        <f t="shared" si="74"/>
        <v>-0.63458750892905624</v>
      </c>
      <c r="BD34" s="31">
        <f t="shared" si="74"/>
        <v>-1.3147178592204771E-3</v>
      </c>
      <c r="BE34" s="31">
        <f t="shared" si="74"/>
        <v>-0.3190309905044913</v>
      </c>
      <c r="BF34" s="31">
        <f t="shared" ref="BF34:BK34" si="75">BF30/BF7</f>
        <v>1.0847491004869883E-2</v>
      </c>
      <c r="BG34" s="31">
        <f t="shared" si="75"/>
        <v>3.5056752167307179E-2</v>
      </c>
      <c r="BH34" s="31">
        <f t="shared" si="75"/>
        <v>7.0538437641211024E-2</v>
      </c>
      <c r="BI34" s="31">
        <f t="shared" si="75"/>
        <v>5.5269096582804871E-2</v>
      </c>
      <c r="BJ34" s="31">
        <f t="shared" si="75"/>
        <v>0.11793538474236753</v>
      </c>
      <c r="BK34" s="31">
        <f t="shared" si="75"/>
        <v>7.5257738244026748E-2</v>
      </c>
      <c r="BL34" s="31">
        <f t="shared" ref="BL34:BQ34" si="76">BL30/BL7</f>
        <v>8.6277905858637344E-2</v>
      </c>
      <c r="BM34" s="31">
        <f t="shared" si="76"/>
        <v>7.2999407894001861E-2</v>
      </c>
      <c r="BN34" s="31">
        <f t="shared" si="76"/>
        <v>0.11735954900163847</v>
      </c>
      <c r="BO34" s="31">
        <f t="shared" si="76"/>
        <v>4.0603632478632481E-2</v>
      </c>
      <c r="BP34" s="31">
        <f t="shared" si="76"/>
        <v>5.6506081989428733E-2</v>
      </c>
      <c r="BQ34" s="31">
        <f t="shared" si="76"/>
        <v>7.5895460362273903E-2</v>
      </c>
      <c r="BR34" s="31">
        <f t="shared" ref="BR34:BW34" si="77">BR30/BR7</f>
        <v>5.5006635797133441E-2</v>
      </c>
      <c r="BS34" s="31">
        <f t="shared" si="77"/>
        <v>0.12251469885525523</v>
      </c>
      <c r="BT34" s="31">
        <f t="shared" si="77"/>
        <v>0.10014635922388621</v>
      </c>
      <c r="BU34" s="31">
        <f t="shared" si="77"/>
        <v>0.35751939427378665</v>
      </c>
      <c r="BV34" s="31">
        <f t="shared" si="77"/>
        <v>0.26058250237069774</v>
      </c>
      <c r="BW34" s="31">
        <f t="shared" si="77"/>
        <v>0.15004872368213559</v>
      </c>
      <c r="BX34" s="31">
        <f>BX30/BX7</f>
        <v>0.16589766307286932</v>
      </c>
      <c r="BY34" s="31">
        <f>BY30/BY7</f>
        <v>0.15751293033181676</v>
      </c>
      <c r="BZ34" s="31">
        <f>BZ30/BZ7</f>
        <v>0.16697121148651578</v>
      </c>
      <c r="CA34" s="62"/>
      <c r="CB34" s="31">
        <f>CB30/CB7</f>
        <v>-0.1153540136658003</v>
      </c>
      <c r="CC34" s="31">
        <f>CC30/CC7</f>
        <v>-5.4901703555164008E-2</v>
      </c>
      <c r="CD34" s="31">
        <f>CD30/CD7</f>
        <v>-0.2346961383570749</v>
      </c>
      <c r="CE34" s="31">
        <f>CE30/CE7</f>
        <v>-0.67888348368204787</v>
      </c>
      <c r="CF34" s="31">
        <f>CF30/CF7</f>
        <v>-2.6344352045458173E-2</v>
      </c>
      <c r="CH34" s="31">
        <f>CH30/CH7</f>
        <v>-0.39701688189757489</v>
      </c>
    </row>
    <row r="35" spans="2:86" s="63" customFormat="1">
      <c r="B35" s="64" t="s">
        <v>170</v>
      </c>
      <c r="D35" s="65">
        <f>58992-D30</f>
        <v>0</v>
      </c>
      <c r="E35" s="65">
        <f>42581-E30</f>
        <v>0</v>
      </c>
      <c r="F35" s="65">
        <f>22669-F30</f>
        <v>1</v>
      </c>
      <c r="G35" s="65">
        <f>30194-G30</f>
        <v>0</v>
      </c>
      <c r="H35" s="65">
        <f>53655-H30</f>
        <v>0</v>
      </c>
      <c r="I35" s="65">
        <f>68930-I30</f>
        <v>0</v>
      </c>
      <c r="J35" s="65">
        <f>42414-J30</f>
        <v>0</v>
      </c>
      <c r="K35" s="65">
        <f>21835-K30</f>
        <v>0</v>
      </c>
      <c r="L35" s="65">
        <f>21835-L30</f>
        <v>0</v>
      </c>
      <c r="M35" s="65">
        <f>16875-M30</f>
        <v>0</v>
      </c>
      <c r="N35" s="65">
        <f>-306642-N30</f>
        <v>0</v>
      </c>
      <c r="O35" s="65">
        <f>-123640-O30-O33</f>
        <v>0</v>
      </c>
      <c r="P35" s="65">
        <f>83052-P30-P33</f>
        <v>0</v>
      </c>
      <c r="Q35" s="65">
        <f>122874-Q30-Q33</f>
        <v>0</v>
      </c>
      <c r="R35" s="65">
        <f>85580-R30-R33</f>
        <v>0</v>
      </c>
      <c r="S35" s="65">
        <f>374813-S30-S33</f>
        <v>0</v>
      </c>
      <c r="T35" s="65">
        <f>338228-T30-T33</f>
        <v>0</v>
      </c>
      <c r="U35" s="7"/>
      <c r="V35" s="7"/>
      <c r="W35" s="65">
        <f>7751-W30</f>
        <v>0</v>
      </c>
      <c r="X35" s="65">
        <f>7015-X30</f>
        <v>0</v>
      </c>
      <c r="Y35" s="65">
        <f>2840-Y30</f>
        <v>0</v>
      </c>
      <c r="Z35" s="65">
        <f>F35-SUM(W35:Y35)</f>
        <v>1</v>
      </c>
      <c r="AA35" s="65">
        <f>8693-AA30</f>
        <v>0</v>
      </c>
      <c r="AB35" s="65">
        <f>5015-AB30</f>
        <v>0</v>
      </c>
      <c r="AC35" s="65">
        <f>6233-AC30</f>
        <v>0</v>
      </c>
      <c r="AD35" s="65">
        <f>G35-SUM(AA35:AC35)</f>
        <v>0</v>
      </c>
      <c r="AE35" s="65">
        <f>11702-AE30</f>
        <v>0</v>
      </c>
      <c r="AF35" s="65">
        <f>13453-AF30</f>
        <v>0</v>
      </c>
      <c r="AG35" s="65">
        <f>15053-AG30</f>
        <v>0</v>
      </c>
      <c r="AH35" s="65">
        <f>H35-SUM(AE35:AG35)</f>
        <v>0</v>
      </c>
      <c r="AI35" s="65">
        <f>17541-AI30</f>
        <v>0</v>
      </c>
      <c r="AJ35" s="65">
        <f>16303-AJ30</f>
        <v>0</v>
      </c>
      <c r="AK35" s="65">
        <f>12559-AK30</f>
        <v>0</v>
      </c>
      <c r="AL35" s="65">
        <f>F35-SUM(AI35:AK35)</f>
        <v>1</v>
      </c>
      <c r="AM35" s="65">
        <f>14841.1-AM30</f>
        <v>4.0353000013055862E-2</v>
      </c>
      <c r="AN35" s="65">
        <f>16151.9-AN30</f>
        <v>-4.0353000013055862E-2</v>
      </c>
      <c r="AO35" s="65">
        <f>6715-AO30</f>
        <v>2.9103830456733704E-11</v>
      </c>
      <c r="AP35" s="65">
        <f>J35-SUM(AM35:AO35)</f>
        <v>-2.9103830456733704E-11</v>
      </c>
      <c r="AQ35" s="65">
        <f>6177.2-AQ30</f>
        <v>2.0439745992007374E-2</v>
      </c>
      <c r="AR35" s="65">
        <f>5861-AR30</f>
        <v>0</v>
      </c>
      <c r="AS35" s="65">
        <f>5607-AS30</f>
        <v>0</v>
      </c>
      <c r="AT35" s="65"/>
      <c r="AU35" s="65">
        <f>4796-AU30</f>
        <v>-0.24858071151538752</v>
      </c>
      <c r="AV35" s="65">
        <f>2492-AV30</f>
        <v>0.40759590300149284</v>
      </c>
      <c r="AW35" s="65">
        <f>3826-AW30</f>
        <v>0.1757211699441541</v>
      </c>
      <c r="AX35" s="65"/>
      <c r="AY35" s="65">
        <f>-23922-AY30</f>
        <v>0</v>
      </c>
      <c r="AZ35" s="65">
        <f>-228301-AZ30</f>
        <v>0.15134882304118946</v>
      </c>
      <c r="BA35" s="65">
        <f>-4648.6-BA30</f>
        <v>2.1405442972536548E-2</v>
      </c>
      <c r="BB35" s="65">
        <f>N35-BA35-AZ35-AY35</f>
        <v>-0.17275426601372601</v>
      </c>
      <c r="BC35" s="65">
        <f>-151912-BC30</f>
        <v>0</v>
      </c>
      <c r="BD35" s="65">
        <f>-339-BD30</f>
        <v>0</v>
      </c>
      <c r="BE35" s="65">
        <f>-84600-BE30</f>
        <v>0</v>
      </c>
      <c r="BF35" s="65">
        <f>O35-BE35-BD35-BC35</f>
        <v>0</v>
      </c>
      <c r="BG35" s="65">
        <f>9414-BG30</f>
        <v>0</v>
      </c>
      <c r="BH35" s="65">
        <f>19981-BH30</f>
        <v>0</v>
      </c>
      <c r="BI35" s="65">
        <f>16507-BI30</f>
        <v>0</v>
      </c>
      <c r="BJ35" s="65">
        <f>P35-BI35-BH35-BG35</f>
        <v>0</v>
      </c>
      <c r="BK35" s="65">
        <f>24688-BK30</f>
        <v>0</v>
      </c>
      <c r="BL35" s="65">
        <f>29789-BL30</f>
        <v>0</v>
      </c>
      <c r="BM35" s="65">
        <f>26137-BM30</f>
        <v>0</v>
      </c>
      <c r="BN35" s="887">
        <f>Q35-BM35-BL35-BK35</f>
        <v>0</v>
      </c>
      <c r="BO35" s="65">
        <f>15202-BO30</f>
        <v>0</v>
      </c>
      <c r="BP35" s="65">
        <f>20932-BP30</f>
        <v>0</v>
      </c>
      <c r="BQ35" s="65">
        <f>28764-BQ30</f>
        <v>0</v>
      </c>
      <c r="BR35" s="887">
        <f>W35-BQ35-BP35-BO35</f>
        <v>0</v>
      </c>
      <c r="BS35" s="65">
        <f>47175-BS30+1</f>
        <v>0</v>
      </c>
      <c r="BT35" s="65">
        <f>41534-BT30</f>
        <v>0</v>
      </c>
      <c r="BU35" s="65">
        <f>161346-BU30</f>
        <v>0</v>
      </c>
      <c r="BV35" s="887">
        <f>AA35-BU35-BT35-BS35</f>
        <v>0</v>
      </c>
      <c r="BW35" s="65">
        <f>74218-BW30</f>
        <v>0</v>
      </c>
      <c r="BX35" s="65">
        <f>86508-BX30</f>
        <v>0</v>
      </c>
      <c r="BY35" s="65">
        <f>85028-BY30</f>
        <v>0</v>
      </c>
      <c r="BZ35" s="65">
        <f>92474-BZ30-BZ33</f>
        <v>0</v>
      </c>
      <c r="CA35" s="887"/>
      <c r="CB35" s="65">
        <f>-23922-CB30</f>
        <v>0</v>
      </c>
      <c r="CC35" s="65">
        <f>-11718-CC30</f>
        <v>-1.4551915228366852E-11</v>
      </c>
      <c r="CD35" s="65">
        <f>-54024.241071274-CD30</f>
        <v>-0.24107127400202444</v>
      </c>
      <c r="CE35" s="65">
        <f>-158115.337933-CE30</f>
        <v>-1.337933000002522</v>
      </c>
      <c r="CF35" s="65">
        <f>-6601.662067-CF30</f>
        <v>0.33793299999979354</v>
      </c>
      <c r="CH35" s="65">
        <f>-306642-CH30-CH33</f>
        <v>0</v>
      </c>
    </row>
    <row r="36" spans="2:86" s="29" customFormat="1">
      <c r="B36" s="61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7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H36" s="62"/>
    </row>
    <row r="37" spans="2:86" s="20" customFormat="1">
      <c r="B37" s="1150" t="s">
        <v>171</v>
      </c>
      <c r="C37" s="1148"/>
      <c r="D37" s="1149"/>
      <c r="E37" s="1149"/>
      <c r="F37" s="1149"/>
      <c r="G37" s="1149"/>
      <c r="H37" s="1149"/>
      <c r="I37" s="1149"/>
      <c r="J37" s="1149"/>
      <c r="K37" s="1149"/>
      <c r="L37" s="1149"/>
      <c r="M37" s="1149"/>
      <c r="N37" s="1149"/>
      <c r="O37" s="1149"/>
      <c r="P37" s="1149"/>
      <c r="Q37" s="1149"/>
      <c r="R37" s="1149"/>
      <c r="S37" s="1149"/>
      <c r="T37" s="1149"/>
      <c r="U37" s="1149"/>
      <c r="V37" s="7"/>
      <c r="W37" s="1149"/>
      <c r="X37" s="1149"/>
      <c r="Y37" s="1149"/>
      <c r="Z37" s="1149"/>
      <c r="AA37" s="1149"/>
      <c r="AB37" s="1149"/>
      <c r="AC37" s="1149"/>
      <c r="AD37" s="1149"/>
      <c r="AE37" s="1149"/>
      <c r="AF37" s="1149"/>
      <c r="AG37" s="1149"/>
      <c r="AH37" s="1149"/>
      <c r="AI37" s="1149"/>
      <c r="AJ37" s="1149"/>
      <c r="AK37" s="1149"/>
      <c r="AL37" s="1149"/>
      <c r="AM37" s="1149"/>
      <c r="AN37" s="1149"/>
      <c r="AO37" s="1149"/>
      <c r="AP37" s="1149"/>
      <c r="AQ37" s="1149"/>
      <c r="AR37" s="1149"/>
      <c r="AS37" s="1149"/>
      <c r="AT37" s="1149"/>
      <c r="AU37" s="1149"/>
      <c r="AV37" s="1149"/>
      <c r="AW37" s="1149"/>
      <c r="AX37" s="1149"/>
      <c r="AY37" s="1149"/>
      <c r="AZ37" s="1149"/>
      <c r="BA37" s="1149"/>
      <c r="BB37" s="1149"/>
      <c r="BC37" s="1149"/>
      <c r="BD37" s="1149"/>
      <c r="BE37" s="1149"/>
      <c r="BF37" s="1149"/>
      <c r="BG37" s="1149"/>
      <c r="BH37" s="1149"/>
      <c r="BI37" s="1149"/>
      <c r="BJ37" s="1149"/>
      <c r="BK37" s="1149"/>
      <c r="BL37" s="1149"/>
      <c r="BM37" s="1149"/>
      <c r="BN37" s="1149"/>
      <c r="BO37" s="1149"/>
      <c r="BP37" s="1149"/>
      <c r="BQ37" s="1149"/>
      <c r="BR37" s="1149"/>
      <c r="BS37" s="1149"/>
      <c r="BT37" s="1149"/>
      <c r="BU37" s="1149"/>
      <c r="BV37" s="1149"/>
      <c r="BW37" s="1149"/>
      <c r="BX37" s="1149"/>
      <c r="BY37" s="1149"/>
      <c r="BZ37" s="1149"/>
      <c r="CA37" s="28"/>
      <c r="CB37" s="28"/>
      <c r="CC37" s="28"/>
      <c r="CD37" s="28"/>
      <c r="CE37" s="28"/>
      <c r="CF37" s="28"/>
      <c r="CH37" s="28"/>
    </row>
    <row r="38" spans="2:86" s="29" customFormat="1">
      <c r="B38" s="60" t="str">
        <f t="shared" ref="B38:B44" si="78">B13</f>
        <v>Network operating expenses</v>
      </c>
      <c r="D38" s="104"/>
      <c r="E38" s="104"/>
      <c r="F38" s="104"/>
      <c r="G38" s="104"/>
      <c r="H38" s="104"/>
      <c r="I38" s="36">
        <f t="shared" ref="I38:U38" si="79">I13/I7</f>
        <v>0.20880826170776354</v>
      </c>
      <c r="J38" s="36">
        <f t="shared" si="79"/>
        <v>0.21908214559178282</v>
      </c>
      <c r="K38" s="36">
        <f t="shared" si="79"/>
        <v>0.23601978302717597</v>
      </c>
      <c r="L38" s="36">
        <f t="shared" si="79"/>
        <v>0.23901605541222767</v>
      </c>
      <c r="M38" s="36">
        <f t="shared" si="79"/>
        <v>0.27717188122832082</v>
      </c>
      <c r="N38" s="36">
        <f t="shared" si="79"/>
        <v>0.22582506083003004</v>
      </c>
      <c r="O38" s="36">
        <f t="shared" si="79"/>
        <v>0.21847363932901195</v>
      </c>
      <c r="P38" s="36">
        <f t="shared" si="79"/>
        <v>0.21468181478872453</v>
      </c>
      <c r="Q38" s="36">
        <f t="shared" si="79"/>
        <v>0.20513378868631812</v>
      </c>
      <c r="R38" s="36">
        <f t="shared" si="79"/>
        <v>0.2001488174612488</v>
      </c>
      <c r="S38" s="36">
        <f t="shared" si="79"/>
        <v>0.19368304340486933</v>
      </c>
      <c r="T38" s="36">
        <f>T13/T7</f>
        <v>0.1884129138922174</v>
      </c>
      <c r="U38" s="36">
        <f t="shared" si="79"/>
        <v>0.1884129138922174</v>
      </c>
      <c r="V38" s="1115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36">
        <f t="shared" ref="AM38:BY38" si="80">AM13/AM7</f>
        <v>0.21121481277278689</v>
      </c>
      <c r="AN38" s="36">
        <f t="shared" si="80"/>
        <v>0.20661381178832927</v>
      </c>
      <c r="AO38" s="36">
        <f t="shared" si="80"/>
        <v>0.22555459869213271</v>
      </c>
      <c r="AP38" s="36">
        <f t="shared" si="80"/>
        <v>0.23537178501089603</v>
      </c>
      <c r="AQ38" s="36">
        <f t="shared" si="80"/>
        <v>0.23504765895045565</v>
      </c>
      <c r="AR38" s="36">
        <f t="shared" si="80"/>
        <v>0.23176852536403253</v>
      </c>
      <c r="AS38" s="36">
        <f t="shared" si="80"/>
        <v>0.23311153327493037</v>
      </c>
      <c r="AT38" s="36">
        <f t="shared" si="80"/>
        <v>0.24483174852171966</v>
      </c>
      <c r="AU38" s="36">
        <f t="shared" si="80"/>
        <v>0.255954413368431</v>
      </c>
      <c r="AV38" s="36">
        <f t="shared" si="80"/>
        <v>0.27938319647728505</v>
      </c>
      <c r="AW38" s="36">
        <f t="shared" si="80"/>
        <v>0.28440914034173137</v>
      </c>
      <c r="AX38" s="36">
        <f t="shared" si="80"/>
        <v>0.28829300338153685</v>
      </c>
      <c r="AY38" s="36">
        <f t="shared" si="80"/>
        <v>0.22160874534065647</v>
      </c>
      <c r="AZ38" s="36">
        <f t="shared" si="80"/>
        <v>0.23514346865650967</v>
      </c>
      <c r="BA38" s="36">
        <f t="shared" si="80"/>
        <v>0.22483435809488714</v>
      </c>
      <c r="BB38" s="36">
        <f t="shared" si="80"/>
        <v>0.2221269366570584</v>
      </c>
      <c r="BC38" s="36">
        <f t="shared" si="80"/>
        <v>0.21319453437321159</v>
      </c>
      <c r="BD38" s="36">
        <f t="shared" si="80"/>
        <v>0.21161140197789413</v>
      </c>
      <c r="BE38" s="36">
        <f t="shared" si="80"/>
        <v>0.2092141882056581</v>
      </c>
      <c r="BF38" s="36">
        <f t="shared" si="80"/>
        <v>0.24099153616719249</v>
      </c>
      <c r="BG38" s="36">
        <f t="shared" si="80"/>
        <v>0.21588539339231982</v>
      </c>
      <c r="BH38" s="36">
        <f t="shared" si="80"/>
        <v>0.21812867148666967</v>
      </c>
      <c r="BI38" s="36">
        <f t="shared" si="80"/>
        <v>0.21758753925790014</v>
      </c>
      <c r="BJ38" s="36">
        <f t="shared" si="80"/>
        <v>0.20780119554416943</v>
      </c>
      <c r="BK38" s="36">
        <f t="shared" si="80"/>
        <v>0.20371533260579308</v>
      </c>
      <c r="BL38" s="36">
        <f t="shared" si="80"/>
        <v>0.20651493911975624</v>
      </c>
      <c r="BM38" s="36">
        <f t="shared" si="80"/>
        <v>0.20467875456647786</v>
      </c>
      <c r="BN38" s="36">
        <f t="shared" si="80"/>
        <v>0.20555416701380211</v>
      </c>
      <c r="BO38" s="36">
        <f t="shared" si="80"/>
        <v>0.1977457264957265</v>
      </c>
      <c r="BP38" s="36">
        <f t="shared" si="80"/>
        <v>0.20041140487746936</v>
      </c>
      <c r="BQ38" s="36">
        <f t="shared" si="80"/>
        <v>0.20033509676908667</v>
      </c>
      <c r="BR38" s="36">
        <f t="shared" si="80"/>
        <v>0.20209526291852731</v>
      </c>
      <c r="BS38" s="36">
        <f t="shared" si="80"/>
        <v>0.20154052313381671</v>
      </c>
      <c r="BT38" s="36">
        <f t="shared" si="80"/>
        <v>0.19317247482114999</v>
      </c>
      <c r="BU38" s="36">
        <f t="shared" si="80"/>
        <v>0.19115519185983385</v>
      </c>
      <c r="BV38" s="36">
        <f t="shared" si="80"/>
        <v>0.19018844436275226</v>
      </c>
      <c r="BW38" s="36">
        <f t="shared" si="80"/>
        <v>0.1929862158479336</v>
      </c>
      <c r="BX38" s="36">
        <f t="shared" si="80"/>
        <v>0.19403053768884695</v>
      </c>
      <c r="BY38" s="36">
        <f t="shared" si="80"/>
        <v>0.1829993923855536</v>
      </c>
      <c r="BZ38" s="36">
        <f>BZ13/BZ7</f>
        <v>0.18431582140432479</v>
      </c>
      <c r="CA38" s="37"/>
      <c r="CB38" s="36">
        <f>CB13/CB7</f>
        <v>0.22488294378890822</v>
      </c>
      <c r="CC38" s="36">
        <f>CC13/CC7</f>
        <v>0.2335547892576697</v>
      </c>
      <c r="CD38" s="36">
        <f>CD13/CD7</f>
        <v>0.22377458327359928</v>
      </c>
      <c r="CE38" s="36">
        <f>CE13/CE7</f>
        <v>0.21881641713503047</v>
      </c>
      <c r="CF38" s="36">
        <f>CF13/CF7</f>
        <v>0.21626949290514119</v>
      </c>
      <c r="CH38" s="36">
        <f>CH13/CH7</f>
        <v>0.23182937414749075</v>
      </c>
    </row>
    <row r="39" spans="2:86" s="29" customFormat="1">
      <c r="B39" s="60" t="str">
        <f t="shared" si="78"/>
        <v>Access Charges</v>
      </c>
      <c r="D39" s="104"/>
      <c r="E39" s="104"/>
      <c r="F39" s="104"/>
      <c r="G39" s="104"/>
      <c r="H39" s="104"/>
      <c r="I39" s="36">
        <f t="shared" ref="I39:U39" si="81">I14/I7</f>
        <v>0.113354003486923</v>
      </c>
      <c r="J39" s="36">
        <f t="shared" si="81"/>
        <v>0.10766505740648991</v>
      </c>
      <c r="K39" s="36">
        <f t="shared" si="81"/>
        <v>0.10807536095421202</v>
      </c>
      <c r="L39" s="36">
        <f t="shared" si="81"/>
        <v>0.10944737822911271</v>
      </c>
      <c r="M39" s="36">
        <f t="shared" si="81"/>
        <v>0.11577218179702452</v>
      </c>
      <c r="N39" s="36">
        <f t="shared" si="81"/>
        <v>0.12268246153143171</v>
      </c>
      <c r="O39" s="36">
        <f t="shared" si="81"/>
        <v>0.10288741927212228</v>
      </c>
      <c r="P39" s="36">
        <f t="shared" si="81"/>
        <v>5.8011839010733021E-2</v>
      </c>
      <c r="Q39" s="36">
        <f t="shared" si="81"/>
        <v>5.4768126440944975E-2</v>
      </c>
      <c r="R39" s="36">
        <f t="shared" si="81"/>
        <v>5.0129215161245584E-2</v>
      </c>
      <c r="S39" s="36">
        <f t="shared" si="81"/>
        <v>4.145614769355991E-2</v>
      </c>
      <c r="T39" s="36">
        <f>T14/T7</f>
        <v>2.6266893172958789E-2</v>
      </c>
      <c r="U39" s="36">
        <f t="shared" si="81"/>
        <v>2.6266893172958789E-2</v>
      </c>
      <c r="V39" s="1115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36">
        <f t="shared" ref="AM39:BY39" si="82">AM14/AM7</f>
        <v>0.10585123286164445</v>
      </c>
      <c r="AN39" s="36">
        <f t="shared" si="82"/>
        <v>0.11600801085937976</v>
      </c>
      <c r="AO39" s="36">
        <f t="shared" si="82"/>
        <v>0.10450082920160955</v>
      </c>
      <c r="AP39" s="36">
        <f t="shared" si="82"/>
        <v>0.10376756357535583</v>
      </c>
      <c r="AQ39" s="36">
        <f t="shared" si="82"/>
        <v>0.11392606828459657</v>
      </c>
      <c r="AR39" s="36">
        <f t="shared" si="82"/>
        <v>0.11756953469042884</v>
      </c>
      <c r="AS39" s="36">
        <f t="shared" si="82"/>
        <v>9.6163121474904772E-2</v>
      </c>
      <c r="AT39" s="36">
        <f t="shared" si="82"/>
        <v>0.10332937767070892</v>
      </c>
      <c r="AU39" s="36">
        <f t="shared" si="82"/>
        <v>0.10785773620148872</v>
      </c>
      <c r="AV39" s="36">
        <f t="shared" si="82"/>
        <v>0.1156158375456646</v>
      </c>
      <c r="AW39" s="36">
        <f t="shared" si="82"/>
        <v>0.12091305707501751</v>
      </c>
      <c r="AX39" s="36">
        <f t="shared" si="82"/>
        <v>0.11848279835936842</v>
      </c>
      <c r="AY39" s="36">
        <f t="shared" si="82"/>
        <v>0.12357567545412024</v>
      </c>
      <c r="AZ39" s="36">
        <f t="shared" si="82"/>
        <v>0.12488110054752902</v>
      </c>
      <c r="BA39" s="36">
        <f t="shared" si="82"/>
        <v>0.12351973609269562</v>
      </c>
      <c r="BB39" s="36">
        <f t="shared" si="82"/>
        <v>0.11916856007115548</v>
      </c>
      <c r="BC39" s="36">
        <f t="shared" si="82"/>
        <v>0.1170113665320172</v>
      </c>
      <c r="BD39" s="36">
        <f t="shared" si="82"/>
        <v>0.1133566026759744</v>
      </c>
      <c r="BE39" s="36">
        <f t="shared" si="82"/>
        <v>0.11551486171552693</v>
      </c>
      <c r="BF39" s="36">
        <f t="shared" si="82"/>
        <v>6.4202869415737066E-2</v>
      </c>
      <c r="BG39" s="36">
        <f t="shared" si="82"/>
        <v>6.0200494533321415E-2</v>
      </c>
      <c r="BH39" s="36">
        <f t="shared" si="82"/>
        <v>5.8983845458653414E-2</v>
      </c>
      <c r="BI39" s="36">
        <f t="shared" si="82"/>
        <v>5.7696557358386961E-2</v>
      </c>
      <c r="BJ39" s="36">
        <f t="shared" si="82"/>
        <v>5.5570899324768337E-2</v>
      </c>
      <c r="BK39" s="36">
        <f t="shared" si="82"/>
        <v>5.6998103924449622E-2</v>
      </c>
      <c r="BL39" s="36">
        <f t="shared" si="82"/>
        <v>5.5927569308479211E-2</v>
      </c>
      <c r="BM39" s="36">
        <f t="shared" si="82"/>
        <v>5.4049223000525073E-2</v>
      </c>
      <c r="BN39" s="36">
        <f t="shared" si="82"/>
        <v>5.2339692854564135E-2</v>
      </c>
      <c r="BO39" s="36">
        <f t="shared" si="82"/>
        <v>5.3344017094017093E-2</v>
      </c>
      <c r="BP39" s="36">
        <f t="shared" si="82"/>
        <v>4.897985627824359E-2</v>
      </c>
      <c r="BQ39" s="36">
        <f t="shared" si="82"/>
        <v>4.8992730774812331E-2</v>
      </c>
      <c r="BR39" s="36">
        <f t="shared" si="82"/>
        <v>4.9205965036397147E-2</v>
      </c>
      <c r="BS39" s="36">
        <f t="shared" si="82"/>
        <v>4.9560592524878981E-2</v>
      </c>
      <c r="BT39" s="36">
        <f t="shared" si="82"/>
        <v>4.3910178355713196E-2</v>
      </c>
      <c r="BU39" s="36">
        <f t="shared" si="82"/>
        <v>4.3510535284172369E-2</v>
      </c>
      <c r="BV39" s="36">
        <f t="shared" si="82"/>
        <v>3.0875466306849751E-2</v>
      </c>
      <c r="BW39" s="36">
        <f t="shared" si="82"/>
        <v>2.5415162162927142E-2</v>
      </c>
      <c r="BX39" s="36">
        <f t="shared" si="82"/>
        <v>2.5342599730752858E-2</v>
      </c>
      <c r="BY39" s="36">
        <f t="shared" si="82"/>
        <v>2.7214828756465165E-2</v>
      </c>
      <c r="BZ39" s="36">
        <f>BZ14/BZ7</f>
        <v>2.6973883777029858E-2</v>
      </c>
      <c r="CA39" s="37"/>
      <c r="CB39" s="36">
        <f>CB14/CB7</f>
        <v>0.12357567545412024</v>
      </c>
      <c r="CC39" s="36">
        <f>CC14/CC7</f>
        <v>0.12701231282445324</v>
      </c>
      <c r="CD39" s="36">
        <f>CD14/CD7</f>
        <v>0.12281319101426232</v>
      </c>
      <c r="CE39" s="36">
        <f>CE14/CE7</f>
        <v>0.12026895316934517</v>
      </c>
      <c r="CF39" s="36">
        <f>CF14/CF7</f>
        <v>0.11663421174442547</v>
      </c>
      <c r="CH39" s="36">
        <f>CH14/CH7</f>
        <v>0.12682975796118168</v>
      </c>
    </row>
    <row r="40" spans="2:86" s="29" customFormat="1">
      <c r="B40" s="60" t="str">
        <f t="shared" si="78"/>
        <v>License fee / spectrum charges (revenue share)</v>
      </c>
      <c r="D40" s="104"/>
      <c r="E40" s="104"/>
      <c r="F40" s="104"/>
      <c r="G40" s="104"/>
      <c r="H40" s="104"/>
      <c r="I40" s="36">
        <f t="shared" ref="I40:U40" si="83">I15/I7</f>
        <v>9.8338272968266513E-2</v>
      </c>
      <c r="J40" s="36">
        <f t="shared" si="83"/>
        <v>9.7163142111046291E-2</v>
      </c>
      <c r="K40" s="36">
        <f t="shared" si="83"/>
        <v>9.0285453452649669E-2</v>
      </c>
      <c r="L40" s="36">
        <f t="shared" si="83"/>
        <v>9.1431627758389519E-2</v>
      </c>
      <c r="M40" s="36">
        <f t="shared" si="83"/>
        <v>8.5944327941748097E-2</v>
      </c>
      <c r="N40" s="36">
        <f t="shared" si="83"/>
        <v>8.2889911924970583E-2</v>
      </c>
      <c r="O40" s="36">
        <f t="shared" si="83"/>
        <v>9.0526537581572669E-2</v>
      </c>
      <c r="P40" s="36">
        <f t="shared" si="83"/>
        <v>9.4928307831439532E-2</v>
      </c>
      <c r="Q40" s="36">
        <f t="shared" si="83"/>
        <v>8.4456623603612932E-2</v>
      </c>
      <c r="R40" s="36">
        <f t="shared" si="83"/>
        <v>8.0248082441673155E-2</v>
      </c>
      <c r="S40" s="36">
        <f t="shared" si="83"/>
        <v>7.9943255261143722E-2</v>
      </c>
      <c r="T40" s="36">
        <f>T15/T7</f>
        <v>7.2866739219463364E-2</v>
      </c>
      <c r="U40" s="36">
        <f t="shared" si="83"/>
        <v>7.2866739219463364E-2</v>
      </c>
      <c r="V40" s="1115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36">
        <f t="shared" ref="AM40:BY40" si="84">AM15/AM7</f>
        <v>9.9813478801401373E-2</v>
      </c>
      <c r="AN40" s="36">
        <f t="shared" si="84"/>
        <v>9.7937852211832946E-2</v>
      </c>
      <c r="AO40" s="36">
        <f t="shared" si="84"/>
        <v>9.5424606932725378E-2</v>
      </c>
      <c r="AP40" s="36">
        <f t="shared" si="84"/>
        <v>9.5055300757707004E-2</v>
      </c>
      <c r="AQ40" s="36">
        <f t="shared" si="84"/>
        <v>9.4816946821446299E-2</v>
      </c>
      <c r="AR40" s="36">
        <f t="shared" si="84"/>
        <v>9.055467031579334E-2</v>
      </c>
      <c r="AS40" s="36">
        <f t="shared" si="84"/>
        <v>8.6334688413571795E-2</v>
      </c>
      <c r="AT40" s="36">
        <f t="shared" si="84"/>
        <v>8.9007502177312153E-2</v>
      </c>
      <c r="AU40" s="36">
        <f t="shared" si="84"/>
        <v>8.5720510363458985E-2</v>
      </c>
      <c r="AV40" s="36">
        <f t="shared" si="84"/>
        <v>8.7836072681618721E-2</v>
      </c>
      <c r="AW40" s="36">
        <f t="shared" si="84"/>
        <v>8.6347403893527963E-2</v>
      </c>
      <c r="AX40" s="36">
        <f t="shared" si="84"/>
        <v>8.3913585335385552E-2</v>
      </c>
      <c r="AY40" s="36">
        <f t="shared" si="84"/>
        <v>8.6460056225558038E-2</v>
      </c>
      <c r="AZ40" s="36">
        <f t="shared" si="84"/>
        <v>7.9332554078546988E-2</v>
      </c>
      <c r="BA40" s="36">
        <f t="shared" si="84"/>
        <v>8.0493550400736316E-2</v>
      </c>
      <c r="BB40" s="36">
        <f t="shared" si="84"/>
        <v>8.5154725220990865E-2</v>
      </c>
      <c r="BC40" s="36">
        <f t="shared" si="84"/>
        <v>8.6754919857803467E-2</v>
      </c>
      <c r="BD40" s="36">
        <f t="shared" si="84"/>
        <v>8.6697692456854755E-2</v>
      </c>
      <c r="BE40" s="36">
        <f t="shared" si="84"/>
        <v>8.655318314490644E-2</v>
      </c>
      <c r="BF40" s="36">
        <f t="shared" si="84"/>
        <v>0.10260397221663801</v>
      </c>
      <c r="BG40" s="36">
        <f t="shared" si="84"/>
        <v>9.8515655256650875E-2</v>
      </c>
      <c r="BH40" s="36">
        <f t="shared" si="84"/>
        <v>9.4590205603253499E-2</v>
      </c>
      <c r="BI40" s="36">
        <f t="shared" si="84"/>
        <v>9.1399757588744621E-2</v>
      </c>
      <c r="BJ40" s="36">
        <f t="shared" si="84"/>
        <v>9.5519725208966261E-2</v>
      </c>
      <c r="BK40" s="36">
        <f t="shared" si="84"/>
        <v>9.5431738231833346E-2</v>
      </c>
      <c r="BL40" s="36">
        <f t="shared" si="84"/>
        <v>8.5472734223849295E-2</v>
      </c>
      <c r="BM40" s="36">
        <f t="shared" si="84"/>
        <v>7.9378512138172957E-2</v>
      </c>
      <c r="BN40" s="36">
        <f t="shared" si="84"/>
        <v>7.8533144491654869E-2</v>
      </c>
      <c r="BO40" s="36">
        <f t="shared" si="84"/>
        <v>7.853365384615385E-2</v>
      </c>
      <c r="BP40" s="36">
        <f t="shared" si="84"/>
        <v>8.0021488076277278E-2</v>
      </c>
      <c r="BQ40" s="36">
        <f t="shared" si="84"/>
        <v>7.9697621340650934E-2</v>
      </c>
      <c r="BR40" s="36">
        <f t="shared" si="84"/>
        <v>8.2733363298589588E-2</v>
      </c>
      <c r="BS40" s="36">
        <f t="shared" si="84"/>
        <v>8.197078927139384E-2</v>
      </c>
      <c r="BT40" s="36">
        <f t="shared" si="84"/>
        <v>8.3567017816281799E-2</v>
      </c>
      <c r="BU40" s="36">
        <f t="shared" si="84"/>
        <v>7.9101603614503219E-2</v>
      </c>
      <c r="BV40" s="36">
        <f t="shared" si="84"/>
        <v>7.5966764279537635E-2</v>
      </c>
      <c r="BW40" s="36">
        <f t="shared" si="84"/>
        <v>7.5208339230044524E-2</v>
      </c>
      <c r="BX40" s="36">
        <f t="shared" si="84"/>
        <v>7.3350669474200977E-2</v>
      </c>
      <c r="BY40" s="36">
        <f t="shared" si="84"/>
        <v>7.125020377313751E-2</v>
      </c>
      <c r="BZ40" s="36">
        <f>BZ15/BZ7</f>
        <v>7.1895448439237897E-2</v>
      </c>
      <c r="CA40" s="37"/>
      <c r="CB40" s="36">
        <f>CB15/CB7</f>
        <v>8.8683039266270927E-2</v>
      </c>
      <c r="CC40" s="36">
        <f>CC15/CC7</f>
        <v>8.3748758410015181E-2</v>
      </c>
      <c r="CD40" s="36">
        <f>CD15/CD7</f>
        <v>8.9357783019892528E-2</v>
      </c>
      <c r="CE40" s="36">
        <f>CE15/CE7</f>
        <v>8.9161582289622718E-2</v>
      </c>
      <c r="CF40" s="36">
        <f>CF15/CF7</f>
        <v>8.9200491612264773E-2</v>
      </c>
      <c r="CH40" s="36">
        <f>CH15/CH7</f>
        <v>8.7185937066364336E-2</v>
      </c>
    </row>
    <row r="41" spans="2:86" s="29" customFormat="1">
      <c r="B41" s="60" t="str">
        <f t="shared" si="78"/>
        <v>Employee benefits</v>
      </c>
      <c r="D41" s="104"/>
      <c r="E41" s="104"/>
      <c r="F41" s="104"/>
      <c r="G41" s="104"/>
      <c r="H41" s="104"/>
      <c r="I41" s="36">
        <f t="shared" ref="I41:U41" si="85">I16/I7</f>
        <v>5.0872196916880497E-2</v>
      </c>
      <c r="J41" s="36">
        <f t="shared" si="85"/>
        <v>4.507464781503389E-2</v>
      </c>
      <c r="K41" s="36">
        <f t="shared" si="85"/>
        <v>4.7522999143245322E-2</v>
      </c>
      <c r="L41" s="36">
        <f t="shared" si="85"/>
        <v>4.8126303866948696E-2</v>
      </c>
      <c r="M41" s="36">
        <f t="shared" si="85"/>
        <v>4.7010282222623864E-2</v>
      </c>
      <c r="N41" s="36">
        <f t="shared" si="85"/>
        <v>4.3491472372314051E-2</v>
      </c>
      <c r="O41" s="36">
        <f t="shared" si="85"/>
        <v>4.0894173678487869E-2</v>
      </c>
      <c r="P41" s="36">
        <f t="shared" si="85"/>
        <v>3.8038763793803179E-2</v>
      </c>
      <c r="Q41" s="36">
        <f t="shared" si="85"/>
        <v>3.4717790388142426E-2</v>
      </c>
      <c r="R41" s="36">
        <f t="shared" si="85"/>
        <v>3.5491497669059839E-2</v>
      </c>
      <c r="S41" s="36">
        <f t="shared" si="85"/>
        <v>3.6470750098852388E-2</v>
      </c>
      <c r="T41" s="36">
        <f>T16/T7</f>
        <v>3.5934964128077174E-2</v>
      </c>
      <c r="U41" s="36">
        <f t="shared" si="85"/>
        <v>3.5934964128077174E-2</v>
      </c>
      <c r="V41" s="1115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36">
        <f t="shared" ref="AM41:BY41" si="86">AM16/AM7</f>
        <v>4.3623886884700445E-2</v>
      </c>
      <c r="AN41" s="36">
        <f t="shared" si="86"/>
        <v>4.4044474928503337E-2</v>
      </c>
      <c r="AO41" s="36">
        <f t="shared" si="86"/>
        <v>4.5132565125537261E-2</v>
      </c>
      <c r="AP41" s="36">
        <f t="shared" si="86"/>
        <v>4.7860457906686242E-2</v>
      </c>
      <c r="AQ41" s="36">
        <f t="shared" si="86"/>
        <v>4.6210737723209203E-2</v>
      </c>
      <c r="AR41" s="36">
        <f t="shared" si="86"/>
        <v>4.6328908154971551E-2</v>
      </c>
      <c r="AS41" s="36">
        <f t="shared" si="86"/>
        <v>4.7178447333969857E-2</v>
      </c>
      <c r="AT41" s="36">
        <f t="shared" si="86"/>
        <v>0</v>
      </c>
      <c r="AU41" s="36">
        <f t="shared" si="86"/>
        <v>4.8769576247322644E-2</v>
      </c>
      <c r="AV41" s="36">
        <f t="shared" si="86"/>
        <v>4.6456780262188573E-2</v>
      </c>
      <c r="AW41" s="36">
        <f t="shared" si="86"/>
        <v>4.7105773604975754E-2</v>
      </c>
      <c r="AX41" s="36">
        <f t="shared" si="86"/>
        <v>4.5767075204034613E-2</v>
      </c>
      <c r="AY41" s="36">
        <f t="shared" si="86"/>
        <v>4.1667671268546959E-2</v>
      </c>
      <c r="AZ41" s="36">
        <f t="shared" si="86"/>
        <v>4.4786643509864513E-2</v>
      </c>
      <c r="BA41" s="36">
        <f t="shared" si="86"/>
        <v>4.3973919105485461E-2</v>
      </c>
      <c r="BB41" s="36">
        <f t="shared" si="86"/>
        <v>4.3485775227946229E-2</v>
      </c>
      <c r="BC41" s="36">
        <f t="shared" si="86"/>
        <v>4.8315071411563701E-2</v>
      </c>
      <c r="BD41" s="36">
        <f t="shared" si="86"/>
        <v>4.2691487298817145E-2</v>
      </c>
      <c r="BE41" s="36">
        <f t="shared" si="86"/>
        <v>3.8690992465438306E-2</v>
      </c>
      <c r="BF41" s="36">
        <f t="shared" si="86"/>
        <v>3.4101492145415462E-2</v>
      </c>
      <c r="BG41" s="36">
        <f t="shared" si="86"/>
        <v>3.8523698870914884E-2</v>
      </c>
      <c r="BH41" s="36">
        <f t="shared" si="86"/>
        <v>3.8868334839584275E-2</v>
      </c>
      <c r="BI41" s="36">
        <f t="shared" si="86"/>
        <v>3.7955441864825593E-2</v>
      </c>
      <c r="BJ41" s="36">
        <f t="shared" si="86"/>
        <v>3.6958378174176118E-2</v>
      </c>
      <c r="BK41" s="36">
        <f t="shared" si="86"/>
        <v>3.4248245672862949E-2</v>
      </c>
      <c r="BL41" s="36">
        <f t="shared" si="86"/>
        <v>3.5004692007368186E-2</v>
      </c>
      <c r="BM41" s="36">
        <f t="shared" si="86"/>
        <v>3.4501346203259932E-2</v>
      </c>
      <c r="BN41" s="36">
        <f t="shared" si="86"/>
        <v>3.5085673026187897E-2</v>
      </c>
      <c r="BO41" s="36">
        <f t="shared" si="86"/>
        <v>3.3579059829059829E-2</v>
      </c>
      <c r="BP41" s="36">
        <f t="shared" si="86"/>
        <v>3.7226202495424333E-2</v>
      </c>
      <c r="BQ41" s="36">
        <f t="shared" si="86"/>
        <v>3.4908112244224861E-2</v>
      </c>
      <c r="BR41" s="36">
        <f t="shared" si="86"/>
        <v>3.6274804450106515E-2</v>
      </c>
      <c r="BS41" s="36">
        <f t="shared" si="86"/>
        <v>3.5651216421166351E-2</v>
      </c>
      <c r="BT41" s="36">
        <f t="shared" si="86"/>
        <v>3.6085867292933047E-2</v>
      </c>
      <c r="BU41" s="36">
        <f t="shared" si="86"/>
        <v>3.5635385436955595E-2</v>
      </c>
      <c r="BV41" s="36">
        <f t="shared" si="86"/>
        <v>3.8250738362693784E-2</v>
      </c>
      <c r="BW41" s="36">
        <f t="shared" si="86"/>
        <v>3.513765956500467E-2</v>
      </c>
      <c r="BX41" s="36">
        <f t="shared" si="86"/>
        <v>3.5613879651896427E-2</v>
      </c>
      <c r="BY41" s="36">
        <f t="shared" si="86"/>
        <v>3.6273470960475424E-2</v>
      </c>
      <c r="BZ41" s="36">
        <f>BZ16/BZ7</f>
        <v>3.6619408051539092E-2</v>
      </c>
      <c r="CA41" s="37"/>
      <c r="CB41" s="36">
        <f>CB16/CB7</f>
        <v>4.1667671268546959E-2</v>
      </c>
      <c r="CC41" s="36">
        <f>CC16/CC7</f>
        <v>4.1764275942202812E-2</v>
      </c>
      <c r="CD41" s="36">
        <f>CD16/CD7</f>
        <v>4.1357678756836831E-2</v>
      </c>
      <c r="CE41" s="36">
        <f>CE16/CE7</f>
        <v>4.6049213621121236E-2</v>
      </c>
      <c r="CF41" s="36">
        <f>CF16/CF7</f>
        <v>4.0589934717721987E-2</v>
      </c>
      <c r="CH41" s="36">
        <f>CH16/CH7</f>
        <v>4.1495574332902282E-2</v>
      </c>
    </row>
    <row r="42" spans="2:86" s="29" customFormat="1">
      <c r="B42" s="60" t="str">
        <f t="shared" si="78"/>
        <v>Sales and marketing expenses</v>
      </c>
      <c r="D42" s="104"/>
      <c r="E42" s="104"/>
      <c r="F42" s="104"/>
      <c r="G42" s="104"/>
      <c r="H42" s="104"/>
      <c r="I42" s="36">
        <f t="shared" ref="I42:U42" si="87">I17/I7</f>
        <v>8.5370565853223959E-2</v>
      </c>
      <c r="J42" s="36">
        <f t="shared" si="87"/>
        <v>6.9899642080145971E-2</v>
      </c>
      <c r="K42" s="36">
        <f t="shared" si="87"/>
        <v>6.6635678515054142E-2</v>
      </c>
      <c r="L42" s="36">
        <f t="shared" si="87"/>
        <v>5.478661355198769E-2</v>
      </c>
      <c r="M42" s="36">
        <f t="shared" si="87"/>
        <v>5.1097917559005793E-2</v>
      </c>
      <c r="N42" s="36">
        <f t="shared" si="87"/>
        <v>3.9211094483601598E-2</v>
      </c>
      <c r="O42" s="36">
        <f t="shared" si="87"/>
        <v>3.7776373094484166E-2</v>
      </c>
      <c r="P42" s="36">
        <f t="shared" si="87"/>
        <v>4.5505285854879021E-2</v>
      </c>
      <c r="Q42" s="36">
        <f t="shared" si="87"/>
        <v>5.2070936175839848E-2</v>
      </c>
      <c r="R42" s="36">
        <f t="shared" si="87"/>
        <v>5.4223695580281422E-2</v>
      </c>
      <c r="S42" s="36">
        <f t="shared" si="87"/>
        <v>6.6249020147388329E-2</v>
      </c>
      <c r="T42" s="36">
        <f>T17/T7</f>
        <v>6.2127914119734867E-2</v>
      </c>
      <c r="U42" s="36">
        <f t="shared" si="87"/>
        <v>6.2127914119734867E-2</v>
      </c>
      <c r="V42" s="1115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36">
        <f t="shared" ref="AM42:BY42" si="88">AM17/AM7</f>
        <v>7.7913790738457306E-2</v>
      </c>
      <c r="AN42" s="36">
        <f t="shared" si="88"/>
        <v>7.3066653724925476E-2</v>
      </c>
      <c r="AO42" s="36">
        <f t="shared" si="88"/>
        <v>7.0921068924437683E-2</v>
      </c>
      <c r="AP42" s="36">
        <f t="shared" si="88"/>
        <v>5.5919868267486059E-2</v>
      </c>
      <c r="AQ42" s="36">
        <f t="shared" si="88"/>
        <v>6.9974178093733061E-2</v>
      </c>
      <c r="AR42" s="36">
        <f t="shared" si="88"/>
        <v>6.4765875767441652E-2</v>
      </c>
      <c r="AS42" s="36">
        <f t="shared" si="88"/>
        <v>7.8263266169913276E-2</v>
      </c>
      <c r="AT42" s="36">
        <f t="shared" si="88"/>
        <v>5.2943063923847553E-2</v>
      </c>
      <c r="AU42" s="36">
        <f t="shared" si="88"/>
        <v>5.1235774761072002E-2</v>
      </c>
      <c r="AV42" s="36">
        <f t="shared" si="88"/>
        <v>5.0663237005596794E-2</v>
      </c>
      <c r="AW42" s="36">
        <f t="shared" si="88"/>
        <v>5.2200200550461311E-2</v>
      </c>
      <c r="AX42" s="36">
        <f t="shared" si="88"/>
        <v>5.0308097586735399E-2</v>
      </c>
      <c r="AY42" s="36">
        <f t="shared" si="88"/>
        <v>4.033195260850906E-2</v>
      </c>
      <c r="AZ42" s="36">
        <f t="shared" si="88"/>
        <v>3.5875302491706611E-2</v>
      </c>
      <c r="BA42" s="36">
        <f t="shared" si="88"/>
        <v>4.1021365009500113E-2</v>
      </c>
      <c r="BB42" s="36">
        <f t="shared" si="88"/>
        <v>3.9527887654314225E-2</v>
      </c>
      <c r="BC42" s="36">
        <f t="shared" si="88"/>
        <v>3.0498732178439097E-2</v>
      </c>
      <c r="BD42" s="36">
        <f t="shared" si="88"/>
        <v>3.3911188675586582E-2</v>
      </c>
      <c r="BE42" s="36">
        <f t="shared" si="88"/>
        <v>3.9686550166303389E-2</v>
      </c>
      <c r="BF42" s="36">
        <f t="shared" si="88"/>
        <v>4.6934681201101162E-2</v>
      </c>
      <c r="BG42" s="36">
        <f t="shared" si="88"/>
        <v>3.9521702862930858E-2</v>
      </c>
      <c r="BH42" s="36">
        <f t="shared" si="88"/>
        <v>4.4728592408495256E-2</v>
      </c>
      <c r="BI42" s="36">
        <f t="shared" si="88"/>
        <v>4.8298098879684996E-2</v>
      </c>
      <c r="BJ42" s="36">
        <f t="shared" si="88"/>
        <v>4.8656679460195619E-2</v>
      </c>
      <c r="BK42" s="36">
        <f t="shared" si="88"/>
        <v>4.7764642763514872E-2</v>
      </c>
      <c r="BL42" s="36">
        <f t="shared" si="88"/>
        <v>5.1620769952616517E-2</v>
      </c>
      <c r="BM42" s="36">
        <f t="shared" si="88"/>
        <v>5.3395672040307894E-2</v>
      </c>
      <c r="BN42" s="36">
        <f t="shared" si="88"/>
        <v>5.5108445110944489E-2</v>
      </c>
      <c r="BO42" s="36">
        <f t="shared" si="88"/>
        <v>5.5010683760683764E-2</v>
      </c>
      <c r="BP42" s="36">
        <f t="shared" si="88"/>
        <v>5.288334350147663E-2</v>
      </c>
      <c r="BQ42" s="36">
        <f t="shared" si="88"/>
        <v>5.4019182311112281E-2</v>
      </c>
      <c r="BR42" s="36">
        <f t="shared" si="88"/>
        <v>5.4966741225188902E-2</v>
      </c>
      <c r="BS42" s="36">
        <f t="shared" si="88"/>
        <v>7.0525938545280789E-2</v>
      </c>
      <c r="BT42" s="36">
        <f t="shared" si="88"/>
        <v>6.950013623222652E-2</v>
      </c>
      <c r="BU42" s="36">
        <f t="shared" si="88"/>
        <v>6.4838142847329777E-2</v>
      </c>
      <c r="BV42" s="36">
        <f t="shared" si="88"/>
        <v>6.1322744912921244E-2</v>
      </c>
      <c r="BW42" s="36">
        <f t="shared" si="88"/>
        <v>5.9962476699566947E-2</v>
      </c>
      <c r="BX42" s="36">
        <f t="shared" si="88"/>
        <v>6.1029352541163748E-2</v>
      </c>
      <c r="BY42" s="36">
        <f t="shared" si="88"/>
        <v>6.3482742267735676E-2</v>
      </c>
      <c r="BZ42" s="36">
        <f>BZ17/BZ7</f>
        <v>6.3775657600138674E-2</v>
      </c>
      <c r="CA42" s="37"/>
      <c r="CB42" s="36">
        <f>CB17/CB7</f>
        <v>4.0438038567068027E-2</v>
      </c>
      <c r="CC42" s="36">
        <f>CC17/CC7</f>
        <v>4.2068816881875595E-2</v>
      </c>
      <c r="CD42" s="36">
        <f>CD17/CD7</f>
        <v>4.0553984369230238E-2</v>
      </c>
      <c r="CE42" s="36">
        <f>CE17/CE7</f>
        <v>3.1249060767787447E-2</v>
      </c>
      <c r="CF42" s="36">
        <f>CF17/CF7</f>
        <v>3.4803913744393546E-2</v>
      </c>
      <c r="CH42" s="36">
        <f>CH17/CH7</f>
        <v>4.0431524685125154E-2</v>
      </c>
    </row>
    <row r="43" spans="2:86" s="29" customFormat="1">
      <c r="B43" s="60" t="str">
        <f t="shared" si="78"/>
        <v>Other expenses</v>
      </c>
      <c r="D43" s="104"/>
      <c r="E43" s="104"/>
      <c r="F43" s="104"/>
      <c r="G43" s="104"/>
      <c r="H43" s="104"/>
      <c r="I43" s="36">
        <f t="shared" ref="I43:U43" si="89">I18/I7</f>
        <v>9.1205930462509369E-2</v>
      </c>
      <c r="J43" s="36">
        <f t="shared" si="89"/>
        <v>9.1046975802439131E-2</v>
      </c>
      <c r="K43" s="36">
        <f t="shared" si="89"/>
        <v>9.2040784868541337E-2</v>
      </c>
      <c r="L43" s="36">
        <f t="shared" si="89"/>
        <v>9.3209243115824528E-2</v>
      </c>
      <c r="M43" s="36">
        <f t="shared" si="89"/>
        <v>0.1033842451491826</v>
      </c>
      <c r="N43" s="36">
        <f t="shared" si="89"/>
        <v>6.7692114371879969E-2</v>
      </c>
      <c r="O43" s="36">
        <f t="shared" si="89"/>
        <v>5.8501746246613355E-2</v>
      </c>
      <c r="P43" s="36">
        <f t="shared" si="89"/>
        <v>5.5179502843919488E-2</v>
      </c>
      <c r="Q43" s="36">
        <f t="shared" si="89"/>
        <v>5.662734072706993E-2</v>
      </c>
      <c r="R43" s="36">
        <f t="shared" si="89"/>
        <v>5.775210958085749E-2</v>
      </c>
      <c r="S43" s="36">
        <f t="shared" si="89"/>
        <v>4.3659226338438203E-2</v>
      </c>
      <c r="T43" s="36">
        <f>T18/T7</f>
        <v>4.7139726068952961E-2</v>
      </c>
      <c r="U43" s="36">
        <f t="shared" si="89"/>
        <v>4.7139726068952961E-2</v>
      </c>
      <c r="V43" s="1115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36">
        <f t="shared" ref="AM43:BY43" si="90">AM18/AM7</f>
        <v>8.7832735713307103E-2</v>
      </c>
      <c r="AN43" s="36">
        <f t="shared" si="90"/>
        <v>7.9379110881690779E-2</v>
      </c>
      <c r="AO43" s="36">
        <f t="shared" si="90"/>
        <v>9.5010338802778566E-2</v>
      </c>
      <c r="AP43" s="36">
        <f t="shared" si="90"/>
        <v>0.10368705615785109</v>
      </c>
      <c r="AQ43" s="36">
        <f t="shared" si="90"/>
        <v>8.669611869763777E-2</v>
      </c>
      <c r="AR43" s="36">
        <f t="shared" si="90"/>
        <v>8.5232517024920906E-2</v>
      </c>
      <c r="AS43" s="36">
        <f t="shared" si="90"/>
        <v>9.1364562519071199E-2</v>
      </c>
      <c r="AT43" s="36">
        <f t="shared" si="90"/>
        <v>0.10626902695921933</v>
      </c>
      <c r="AU43" s="36">
        <f t="shared" si="90"/>
        <v>0.11076063420959473</v>
      </c>
      <c r="AV43" s="36">
        <f t="shared" si="90"/>
        <v>0.11075195046939386</v>
      </c>
      <c r="AW43" s="36">
        <f t="shared" si="90"/>
        <v>0.10167618473620177</v>
      </c>
      <c r="AX43" s="36">
        <f t="shared" si="90"/>
        <v>9.0767420079459107E-2</v>
      </c>
      <c r="AY43" s="36">
        <f t="shared" si="90"/>
        <v>8.6662583964625159E-2</v>
      </c>
      <c r="AZ43" s="36">
        <f t="shared" si="90"/>
        <v>6.0684206656381766E-2</v>
      </c>
      <c r="BA43" s="36">
        <f t="shared" si="90"/>
        <v>6.3917328485312411E-2</v>
      </c>
      <c r="BB43" s="36">
        <f t="shared" si="90"/>
        <v>6.0843151238349769E-2</v>
      </c>
      <c r="BC43" s="36">
        <f t="shared" si="90"/>
        <v>6.9452392987087858E-2</v>
      </c>
      <c r="BD43" s="36">
        <f t="shared" si="90"/>
        <v>6.022881520263719E-2</v>
      </c>
      <c r="BE43" s="36">
        <f t="shared" si="90"/>
        <v>5.5815339130697118E-2</v>
      </c>
      <c r="BF43" s="36">
        <f t="shared" si="90"/>
        <v>4.8842428295376689E-2</v>
      </c>
      <c r="BG43" s="36">
        <f t="shared" si="90"/>
        <v>6.3980248458307271E-2</v>
      </c>
      <c r="BH43" s="36">
        <f t="shared" si="90"/>
        <v>5.7151632399457752E-2</v>
      </c>
      <c r="BI43" s="36">
        <f t="shared" si="90"/>
        <v>5.478025620592903E-2</v>
      </c>
      <c r="BJ43" s="36">
        <f t="shared" si="90"/>
        <v>4.6282098900645392E-2</v>
      </c>
      <c r="BK43" s="36">
        <f t="shared" si="90"/>
        <v>5.7967480170463902E-2</v>
      </c>
      <c r="BL43" s="36">
        <f t="shared" si="90"/>
        <v>5.5889917397499912E-2</v>
      </c>
      <c r="BM43" s="36">
        <f t="shared" si="90"/>
        <v>5.8607322005116688E-2</v>
      </c>
      <c r="BN43" s="36">
        <f t="shared" si="90"/>
        <v>5.4144797134049821E-2</v>
      </c>
      <c r="BO43" s="36">
        <f t="shared" si="90"/>
        <v>5.8322649572649571E-2</v>
      </c>
      <c r="BP43" s="36">
        <f t="shared" si="90"/>
        <v>5.3703993650759368E-2</v>
      </c>
      <c r="BQ43" s="36">
        <f t="shared" si="90"/>
        <v>5.9222417182284728E-2</v>
      </c>
      <c r="BR43" s="36">
        <f t="shared" si="90"/>
        <v>5.9690258543422581E-2</v>
      </c>
      <c r="BS43" s="36">
        <f t="shared" si="90"/>
        <v>4.8950304364988678E-2</v>
      </c>
      <c r="BT43" s="36">
        <f t="shared" si="90"/>
        <v>4.7010968502626989E-2</v>
      </c>
      <c r="BU43" s="36">
        <f t="shared" si="90"/>
        <v>4.0734068554132238E-2</v>
      </c>
      <c r="BV43" s="36">
        <f t="shared" si="90"/>
        <v>3.9257501639645587E-2</v>
      </c>
      <c r="BW43" s="36">
        <f t="shared" si="90"/>
        <v>4.8466922482845627E-2</v>
      </c>
      <c r="BX43" s="36">
        <f t="shared" si="90"/>
        <v>4.3729648252770141E-2</v>
      </c>
      <c r="BY43" s="36">
        <f t="shared" si="90"/>
        <v>4.8533203906516297E-2</v>
      </c>
      <c r="BZ43" s="36">
        <f>BZ18/BZ7</f>
        <v>4.780691617674674E-2</v>
      </c>
      <c r="CA43" s="37"/>
      <c r="CB43" s="36">
        <f>CB18/CB7</f>
        <v>8.3696999213999493E-2</v>
      </c>
      <c r="CC43" s="36">
        <f>CC18/CC7</f>
        <v>6.3466331827807865E-2</v>
      </c>
      <c r="CD43" s="36">
        <f>CD18/CD7</f>
        <v>6.4330305360424347E-2</v>
      </c>
      <c r="CE43" s="36">
        <f>CE18/CE7</f>
        <v>6.8650897583972734E-2</v>
      </c>
      <c r="CF43" s="36">
        <f>CF18/CF7</f>
        <v>6.078115273499226E-2</v>
      </c>
      <c r="CH43" s="36">
        <f>CH18/CH7</f>
        <v>6.7707097010386588E-2</v>
      </c>
    </row>
    <row r="44" spans="2:86" s="29" customFormat="1">
      <c r="B44" s="60" t="str">
        <f t="shared" si="78"/>
        <v>Profit from operating activities before D&amp;A and exceptional items</v>
      </c>
      <c r="D44" s="36">
        <f t="shared" ref="D44:U44" si="91">D19/D7</f>
        <v>0.33712417049193544</v>
      </c>
      <c r="E44" s="36">
        <f t="shared" si="91"/>
        <v>0.34704295685288472</v>
      </c>
      <c r="F44" s="36">
        <f t="shared" si="91"/>
        <v>0.30242446854491384</v>
      </c>
      <c r="G44" s="36">
        <f t="shared" si="91"/>
        <v>0.32471450016932463</v>
      </c>
      <c r="H44" s="36">
        <f t="shared" si="91"/>
        <v>0.34103112362748994</v>
      </c>
      <c r="I44" s="36">
        <f t="shared" si="91"/>
        <v>0.3529530591378412</v>
      </c>
      <c r="J44" s="36">
        <f t="shared" si="91"/>
        <v>0.3713316357366791</v>
      </c>
      <c r="K44" s="36">
        <f t="shared" si="91"/>
        <v>0.36239289072852826</v>
      </c>
      <c r="L44" s="36">
        <f t="shared" si="91"/>
        <v>0.36699347037953117</v>
      </c>
      <c r="M44" s="36">
        <f t="shared" si="91"/>
        <v>0.32322400786331301</v>
      </c>
      <c r="N44" s="36">
        <f t="shared" si="91"/>
        <v>0.42191823073144541</v>
      </c>
      <c r="O44" s="36">
        <f t="shared" si="91"/>
        <v>0.45732876943780204</v>
      </c>
      <c r="P44" s="36">
        <f t="shared" si="91"/>
        <v>0.49823890639733875</v>
      </c>
      <c r="Q44" s="36">
        <f t="shared" si="91"/>
        <v>0.51895651149018862</v>
      </c>
      <c r="R44" s="36">
        <f t="shared" si="91"/>
        <v>0.53157703837250236</v>
      </c>
      <c r="S44" s="36">
        <f t="shared" si="91"/>
        <v>0.54763586711464329</v>
      </c>
      <c r="T44" s="36">
        <f>T19/T7</f>
        <v>0.58060470354472238</v>
      </c>
      <c r="U44" s="36">
        <f t="shared" si="91"/>
        <v>0.58060470354472238</v>
      </c>
      <c r="V44" s="1115"/>
      <c r="W44" s="36">
        <f t="shared" ref="W44:BB44" si="92">W19/W7</f>
        <v>0.29555875346982668</v>
      </c>
      <c r="X44" s="36">
        <f t="shared" si="92"/>
        <v>0.30602775376963959</v>
      </c>
      <c r="Y44" s="36">
        <f t="shared" si="92"/>
        <v>0.29825266686524871</v>
      </c>
      <c r="Z44" s="36">
        <f t="shared" si="92"/>
        <v>0.30948711868896484</v>
      </c>
      <c r="AA44" s="36">
        <f t="shared" si="92"/>
        <v>0.32298285283603478</v>
      </c>
      <c r="AB44" s="36">
        <f t="shared" si="92"/>
        <v>0.32230260828656254</v>
      </c>
      <c r="AC44" s="36">
        <f t="shared" si="92"/>
        <v>0.32365932037286049</v>
      </c>
      <c r="AD44" s="36">
        <f t="shared" si="92"/>
        <v>0.32965034902089624</v>
      </c>
      <c r="AE44" s="36">
        <f t="shared" si="92"/>
        <v>0.33655320186746568</v>
      </c>
      <c r="AF44" s="36">
        <f t="shared" si="92"/>
        <v>0.33728310542258327</v>
      </c>
      <c r="AG44" s="36">
        <f t="shared" si="92"/>
        <v>0.33534334606819971</v>
      </c>
      <c r="AH44" s="36">
        <f t="shared" si="92"/>
        <v>0.35495644239751473</v>
      </c>
      <c r="AI44" s="36">
        <f t="shared" si="92"/>
        <v>0.34879113172714177</v>
      </c>
      <c r="AJ44" s="36">
        <f t="shared" si="92"/>
        <v>0.34612786702299492</v>
      </c>
      <c r="AK44" s="36">
        <f t="shared" si="92"/>
        <v>0.3511690815635401</v>
      </c>
      <c r="AL44" s="36">
        <f t="shared" si="92"/>
        <v>0.36513806310998576</v>
      </c>
      <c r="AM44" s="36">
        <f t="shared" si="92"/>
        <v>0.37478347189243139</v>
      </c>
      <c r="AN44" s="36">
        <f t="shared" si="92"/>
        <v>0.38376139526195163</v>
      </c>
      <c r="AO44" s="36">
        <f t="shared" si="92"/>
        <v>0.36466444117810898</v>
      </c>
      <c r="AP44" s="36">
        <f t="shared" si="92"/>
        <v>0.36043511165008707</v>
      </c>
      <c r="AQ44" s="36">
        <f t="shared" si="92"/>
        <v>0.35554159768037313</v>
      </c>
      <c r="AR44" s="36">
        <f t="shared" si="92"/>
        <v>0.36631935674958327</v>
      </c>
      <c r="AS44" s="36">
        <f t="shared" si="92"/>
        <v>0.37100981366826452</v>
      </c>
      <c r="AT44" s="36">
        <f t="shared" si="92"/>
        <v>0.40745440601267169</v>
      </c>
      <c r="AU44" s="36">
        <f t="shared" si="92"/>
        <v>0.34473690450879979</v>
      </c>
      <c r="AV44" s="36">
        <f t="shared" si="92"/>
        <v>0.31332811384384623</v>
      </c>
      <c r="AW44" s="36">
        <f t="shared" si="92"/>
        <v>0.31068469280788058</v>
      </c>
      <c r="AX44" s="36">
        <f t="shared" si="92"/>
        <v>0.32454061959872588</v>
      </c>
      <c r="AY44" s="36">
        <f t="shared" si="92"/>
        <v>0.40329059355093816</v>
      </c>
      <c r="AZ44" s="36">
        <f t="shared" si="92"/>
        <v>0.42250050234096803</v>
      </c>
      <c r="BA44" s="36">
        <f t="shared" si="92"/>
        <v>0.42563426873963772</v>
      </c>
      <c r="BB44" s="36">
        <f t="shared" si="92"/>
        <v>0.4342455654468757</v>
      </c>
      <c r="BC44" s="36">
        <f t="shared" ref="BC44:BY44" si="93">BC19/BC7</f>
        <v>0.43787256617945003</v>
      </c>
      <c r="BD44" s="36">
        <f t="shared" si="93"/>
        <v>0.45593562148535971</v>
      </c>
      <c r="BE44" s="36">
        <f t="shared" si="93"/>
        <v>0.45428353785004788</v>
      </c>
      <c r="BF44" s="36">
        <f t="shared" si="93"/>
        <v>0.48122407617859797</v>
      </c>
      <c r="BG44" s="36">
        <f t="shared" si="93"/>
        <v>0.48583057765066884</v>
      </c>
      <c r="BH44" s="36">
        <f t="shared" si="93"/>
        <v>0.48855131608676006</v>
      </c>
      <c r="BI44" s="36">
        <f t="shared" si="93"/>
        <v>0.49861718441335806</v>
      </c>
      <c r="BJ44" s="36">
        <f t="shared" si="93"/>
        <v>0.51716967774910083</v>
      </c>
      <c r="BK44" s="36">
        <f t="shared" si="93"/>
        <v>0.50973339104881632</v>
      </c>
      <c r="BL44" s="36">
        <f t="shared" si="93"/>
        <v>0.51541700939559998</v>
      </c>
      <c r="BM44" s="36">
        <f t="shared" si="93"/>
        <v>0.52258381651417141</v>
      </c>
      <c r="BN44" s="36">
        <f t="shared" si="93"/>
        <v>0.52714599127995776</v>
      </c>
      <c r="BO44" s="36">
        <f t="shared" si="93"/>
        <v>0.53276709401709399</v>
      </c>
      <c r="BP44" s="36">
        <f t="shared" si="93"/>
        <v>0.53569288247965918</v>
      </c>
      <c r="BQ44" s="36">
        <f t="shared" si="93"/>
        <v>0.53442921410572697</v>
      </c>
      <c r="BR44" s="36">
        <f t="shared" si="93"/>
        <v>0.52346199776058466</v>
      </c>
      <c r="BS44" s="36">
        <f t="shared" si="93"/>
        <v>0.52124062493507572</v>
      </c>
      <c r="BT44" s="36">
        <f t="shared" si="93"/>
        <v>0.53289465752664966</v>
      </c>
      <c r="BU44" s="36">
        <f t="shared" si="93"/>
        <v>0.55543294489389372</v>
      </c>
      <c r="BV44" s="36">
        <f t="shared" si="93"/>
        <v>0.57428534428379863</v>
      </c>
      <c r="BW44" s="36">
        <f t="shared" si="93"/>
        <v>0.5731097839579804</v>
      </c>
      <c r="BX44" s="36">
        <f t="shared" si="93"/>
        <v>0.58085852251588832</v>
      </c>
      <c r="BY44" s="36">
        <f t="shared" si="93"/>
        <v>0.58325614653882063</v>
      </c>
      <c r="BZ44" s="36">
        <f>BZ19/BZ7</f>
        <v>0.58447507547415101</v>
      </c>
      <c r="CA44" s="37"/>
      <c r="CB44" s="36">
        <f>CB19/CB7</f>
        <v>0.40106761051022521</v>
      </c>
      <c r="CC44" s="36">
        <f>CC19/CC7</f>
        <v>0.40883918364287186</v>
      </c>
      <c r="CD44" s="36">
        <f>CD19/CD7</f>
        <v>0.43468571205150597</v>
      </c>
      <c r="CE44" s="36">
        <f>CE19/CE7</f>
        <v>0.42878365671545665</v>
      </c>
      <c r="CF44" s="36">
        <f>CF19/CF7</f>
        <v>0.44561938356929659</v>
      </c>
      <c r="CH44" s="36">
        <f>CH19/CH7</f>
        <v>0.42265681741687483</v>
      </c>
    </row>
    <row r="45" spans="2:86" s="29" customFormat="1">
      <c r="B45" s="60" t="s">
        <v>172</v>
      </c>
      <c r="D45" s="36">
        <f t="shared" ref="D45:U45" si="94">D23/D124</f>
        <v>4.110379807590963E-2</v>
      </c>
      <c r="E45" s="36">
        <f t="shared" si="94"/>
        <v>5.9151125998215093E-2</v>
      </c>
      <c r="F45" s="36">
        <f t="shared" si="94"/>
        <v>6.7709777137779592E-2</v>
      </c>
      <c r="G45" s="36">
        <f t="shared" si="94"/>
        <v>7.9027979536411289E-2</v>
      </c>
      <c r="H45" s="36">
        <f t="shared" si="94"/>
        <v>9.0788868659050934E-2</v>
      </c>
      <c r="I45" s="36">
        <f t="shared" si="94"/>
        <v>8.5075946267194683E-2</v>
      </c>
      <c r="J45" s="36">
        <f t="shared" si="94"/>
        <v>9.8242452393740562E-2</v>
      </c>
      <c r="K45" s="36">
        <f t="shared" si="94"/>
        <v>8.3826759956414948E-2</v>
      </c>
      <c r="L45" s="36">
        <f t="shared" si="94"/>
        <v>8.3140631312081451E-2</v>
      </c>
      <c r="M45" s="36">
        <f t="shared" si="94"/>
        <v>8.7608038719571873E-2</v>
      </c>
      <c r="N45" s="36">
        <f t="shared" si="94"/>
        <v>9.4590299038309289E-2</v>
      </c>
      <c r="O45" s="36">
        <f t="shared" si="94"/>
        <v>9.2822566260095093E-2</v>
      </c>
      <c r="P45" s="36">
        <f t="shared" si="94"/>
        <v>9.8014429466265471E-2</v>
      </c>
      <c r="Q45" s="36">
        <f t="shared" si="94"/>
        <v>8.540923849524959E-2</v>
      </c>
      <c r="R45" s="36">
        <f t="shared" si="94"/>
        <v>0.10535729986244009</v>
      </c>
      <c r="S45" s="36">
        <f t="shared" si="94"/>
        <v>0.10177591697696908</v>
      </c>
      <c r="T45" s="36">
        <f t="shared" si="94"/>
        <v>0.11025131118210471</v>
      </c>
      <c r="U45" s="36">
        <f t="shared" si="94"/>
        <v>0.11025131118210471</v>
      </c>
      <c r="V45" s="1115"/>
      <c r="W45" s="104"/>
      <c r="X45" s="104"/>
      <c r="Y45" s="104"/>
      <c r="Z45" s="36">
        <f t="shared" ref="Z45:BE45" si="95">SUM(W23:Z23)/Z124</f>
        <v>6.7709777137779592E-2</v>
      </c>
      <c r="AA45" s="36">
        <f t="shared" si="95"/>
        <v>6.868697449368083E-2</v>
      </c>
      <c r="AB45" s="36">
        <f t="shared" si="95"/>
        <v>7.4449550465653908E-2</v>
      </c>
      <c r="AC45" s="36">
        <f t="shared" si="95"/>
        <v>7.5573560302261505E-2</v>
      </c>
      <c r="AD45" s="36">
        <f t="shared" si="95"/>
        <v>7.9027979536411289E-2</v>
      </c>
      <c r="AE45" s="36">
        <f t="shared" si="95"/>
        <v>8.356877074465191E-2</v>
      </c>
      <c r="AF45" s="36">
        <f t="shared" si="95"/>
        <v>7.3840749352004853E-2</v>
      </c>
      <c r="AG45" s="36">
        <f t="shared" si="95"/>
        <v>7.6110510564613792E-2</v>
      </c>
      <c r="AH45" s="36">
        <f t="shared" si="95"/>
        <v>9.0788868659050934E-2</v>
      </c>
      <c r="AI45" s="36">
        <f t="shared" si="95"/>
        <v>8.6323154529842586E-2</v>
      </c>
      <c r="AJ45" s="36">
        <f t="shared" si="95"/>
        <v>0.10878777983112639</v>
      </c>
      <c r="AK45" s="36">
        <f t="shared" si="95"/>
        <v>0.10544004540814887</v>
      </c>
      <c r="AL45" s="36">
        <f t="shared" si="95"/>
        <v>8.5075946267194683E-2</v>
      </c>
      <c r="AM45" s="36">
        <f t="shared" si="95"/>
        <v>8.4673452519830286E-2</v>
      </c>
      <c r="AN45" s="36">
        <f t="shared" si="95"/>
        <v>8.2020051792898868E-2</v>
      </c>
      <c r="AO45" s="36">
        <f t="shared" si="95"/>
        <v>8.3357953863026857E-2</v>
      </c>
      <c r="AP45" s="36">
        <f t="shared" si="95"/>
        <v>9.8242452393740562E-2</v>
      </c>
      <c r="AQ45" s="36">
        <f t="shared" si="95"/>
        <v>9.9641189395391003E-2</v>
      </c>
      <c r="AR45" s="36">
        <f t="shared" si="95"/>
        <v>9.7539916513502523E-2</v>
      </c>
      <c r="AS45" s="36">
        <f t="shared" si="95"/>
        <v>8.896602154728965E-2</v>
      </c>
      <c r="AT45" s="36">
        <f t="shared" si="95"/>
        <v>8.3826759956414948E-2</v>
      </c>
      <c r="AU45" s="36">
        <f t="shared" si="95"/>
        <v>8.2433107580683646E-2</v>
      </c>
      <c r="AV45" s="36">
        <f t="shared" si="95"/>
        <v>8.3521224316100914E-2</v>
      </c>
      <c r="AW45" s="36">
        <f t="shared" si="95"/>
        <v>9.1147482068331412E-2</v>
      </c>
      <c r="AX45" s="36">
        <f t="shared" si="95"/>
        <v>8.7608038719571873E-2</v>
      </c>
      <c r="AY45" s="36">
        <f t="shared" si="95"/>
        <v>9.437352007546114E-2</v>
      </c>
      <c r="AZ45" s="36">
        <f t="shared" si="95"/>
        <v>8.8823248937728791E-2</v>
      </c>
      <c r="BA45" s="36">
        <f t="shared" si="95"/>
        <v>8.603492011342119E-2</v>
      </c>
      <c r="BB45" s="36">
        <f t="shared" si="95"/>
        <v>9.4590299038309289E-2</v>
      </c>
      <c r="BC45" s="36">
        <f t="shared" si="95"/>
        <v>9.4050368113340319E-2</v>
      </c>
      <c r="BD45" s="36">
        <f t="shared" si="95"/>
        <v>8.9332533426132843E-2</v>
      </c>
      <c r="BE45" s="36">
        <f t="shared" si="95"/>
        <v>9.4532533376902844E-2</v>
      </c>
      <c r="BF45" s="36">
        <f t="shared" ref="BF45:BZ45" si="96">SUM(BC23:BF23)/BF124</f>
        <v>9.2822566260095093E-2</v>
      </c>
      <c r="BG45" s="36">
        <f t="shared" si="96"/>
        <v>9.4049008306412205E-2</v>
      </c>
      <c r="BH45" s="36">
        <f t="shared" si="96"/>
        <v>8.9145415538767009E-2</v>
      </c>
      <c r="BI45" s="36">
        <f t="shared" si="96"/>
        <v>9.7805453731580616E-2</v>
      </c>
      <c r="BJ45" s="36">
        <f t="shared" si="96"/>
        <v>9.8014429466265471E-2</v>
      </c>
      <c r="BK45" s="36">
        <f t="shared" si="96"/>
        <v>9.4994530507922947E-2</v>
      </c>
      <c r="BL45" s="36">
        <f t="shared" si="96"/>
        <v>8.2044408372523886E-2</v>
      </c>
      <c r="BM45" s="36">
        <f t="shared" si="96"/>
        <v>8.194425237033548E-2</v>
      </c>
      <c r="BN45" s="36">
        <f t="shared" si="96"/>
        <v>8.540923849524959E-2</v>
      </c>
      <c r="BO45" s="36">
        <f t="shared" si="96"/>
        <v>9.0706120385770098E-2</v>
      </c>
      <c r="BP45" s="36">
        <f t="shared" si="96"/>
        <v>9.4996370159080731E-2</v>
      </c>
      <c r="BQ45" s="36">
        <f t="shared" si="96"/>
        <v>0.10346473572156899</v>
      </c>
      <c r="BR45" s="36">
        <f t="shared" si="96"/>
        <v>0.10535729986244009</v>
      </c>
      <c r="BS45" s="36">
        <f t="shared" si="96"/>
        <v>0.10616953949418562</v>
      </c>
      <c r="BT45" s="36">
        <f t="shared" si="96"/>
        <v>9.9373782965525501E-2</v>
      </c>
      <c r="BU45" s="36">
        <f t="shared" si="96"/>
        <v>0.10479333223923287</v>
      </c>
      <c r="BV45" s="36">
        <f t="shared" si="96"/>
        <v>0.10177591697696908</v>
      </c>
      <c r="BW45" s="36">
        <f t="shared" si="96"/>
        <v>0.10843360466636456</v>
      </c>
      <c r="BX45" s="36">
        <f t="shared" si="96"/>
        <v>0.10332930992065932</v>
      </c>
      <c r="BY45" s="36">
        <f t="shared" si="96"/>
        <v>0.10834164123791314</v>
      </c>
      <c r="BZ45" s="36">
        <f t="shared" si="96"/>
        <v>0.11025131118210471</v>
      </c>
      <c r="CA45" s="37"/>
      <c r="CB45" s="36"/>
      <c r="CC45" s="36"/>
      <c r="CD45" s="36"/>
      <c r="CE45" s="36"/>
      <c r="CF45" s="36"/>
      <c r="CH45" s="36">
        <f>CH23/CH124</f>
        <v>9.3551270260829739E-2</v>
      </c>
    </row>
    <row r="46" spans="2:86" s="29" customFormat="1">
      <c r="B46" s="60" t="s">
        <v>173</v>
      </c>
      <c r="D46" s="36">
        <f t="shared" ref="D46:U46" si="97">-D24/D128</f>
        <v>0.20564117476010468</v>
      </c>
      <c r="E46" s="36">
        <f t="shared" si="97"/>
        <v>6.6343691952407247E-2</v>
      </c>
      <c r="F46" s="36">
        <f t="shared" si="97"/>
        <v>6.0897894887584132E-2</v>
      </c>
      <c r="G46" s="36">
        <f t="shared" si="97"/>
        <v>7.5565446923037113E-2</v>
      </c>
      <c r="H46" s="36">
        <f t="shared" si="97"/>
        <v>0.17907558047131236</v>
      </c>
      <c r="I46" s="36">
        <f t="shared" si="97"/>
        <v>0.14635983038539807</v>
      </c>
      <c r="J46" s="36">
        <f t="shared" si="97"/>
        <v>0.2753800622752644</v>
      </c>
      <c r="K46" s="36">
        <f t="shared" si="97"/>
        <v>0.12428582090171071</v>
      </c>
      <c r="L46" s="36">
        <f t="shared" si="97"/>
        <v>0.1039857630565898</v>
      </c>
      <c r="M46" s="36">
        <f t="shared" si="97"/>
        <v>0.11192957911685482</v>
      </c>
      <c r="N46" s="36">
        <f t="shared" si="97"/>
        <v>5.539382677815629E-2</v>
      </c>
      <c r="O46" s="36">
        <f t="shared" si="97"/>
        <v>0</v>
      </c>
      <c r="P46" s="36">
        <f t="shared" si="97"/>
        <v>0</v>
      </c>
      <c r="Q46" s="36">
        <f t="shared" si="97"/>
        <v>0</v>
      </c>
      <c r="R46" s="36">
        <f t="shared" si="97"/>
        <v>0</v>
      </c>
      <c r="S46" s="36">
        <f t="shared" si="97"/>
        <v>0</v>
      </c>
      <c r="T46" s="36">
        <f t="shared" si="97"/>
        <v>0</v>
      </c>
      <c r="U46" s="36">
        <f t="shared" si="97"/>
        <v>0</v>
      </c>
      <c r="V46" s="1115"/>
      <c r="W46" s="104"/>
      <c r="X46" s="104"/>
      <c r="Y46" s="104"/>
      <c r="Z46" s="36">
        <f t="shared" ref="Z46:BE46" si="98">-SUM(W24:Z24)/Z128</f>
        <v>6.0897894887584132E-2</v>
      </c>
      <c r="AA46" s="36">
        <f t="shared" si="98"/>
        <v>4.2900517042062068E-2</v>
      </c>
      <c r="AB46" s="36">
        <f t="shared" si="98"/>
        <v>3.1839739722156458E-2</v>
      </c>
      <c r="AC46" s="36">
        <f t="shared" si="98"/>
        <v>3.6883415225575908E-2</v>
      </c>
      <c r="AD46" s="36">
        <f t="shared" si="98"/>
        <v>7.5565446923037113E-2</v>
      </c>
      <c r="AE46" s="36">
        <f t="shared" si="98"/>
        <v>9.7833577396847268E-2</v>
      </c>
      <c r="AF46" s="36">
        <f t="shared" si="98"/>
        <v>0.12675879001542384</v>
      </c>
      <c r="AG46" s="36">
        <f t="shared" si="98"/>
        <v>0.16693407903181443</v>
      </c>
      <c r="AH46" s="36">
        <f t="shared" si="98"/>
        <v>0.17907558047131236</v>
      </c>
      <c r="AI46" s="36">
        <f t="shared" si="98"/>
        <v>0.10396509531730343</v>
      </c>
      <c r="AJ46" s="36">
        <f t="shared" si="98"/>
        <v>0.20365879545352211</v>
      </c>
      <c r="AK46" s="36">
        <f t="shared" si="98"/>
        <v>0.27487991991452415</v>
      </c>
      <c r="AL46" s="36">
        <f t="shared" si="98"/>
        <v>0.14635983038539807</v>
      </c>
      <c r="AM46" s="36">
        <f t="shared" si="98"/>
        <v>0.13128079394701295</v>
      </c>
      <c r="AN46" s="36">
        <f t="shared" si="98"/>
        <v>9.8442478104998871E-2</v>
      </c>
      <c r="AO46" s="36">
        <f t="shared" si="98"/>
        <v>0.18590241573927613</v>
      </c>
      <c r="AP46" s="36">
        <f t="shared" si="98"/>
        <v>0.2753800622752644</v>
      </c>
      <c r="AQ46" s="36">
        <f t="shared" si="98"/>
        <v>0.28193113391569841</v>
      </c>
      <c r="AR46" s="36">
        <f t="shared" si="98"/>
        <v>0.2669740728652521</v>
      </c>
      <c r="AS46" s="36">
        <f t="shared" si="98"/>
        <v>0.13350950173931894</v>
      </c>
      <c r="AT46" s="36">
        <f t="shared" si="98"/>
        <v>0.12428582090171071</v>
      </c>
      <c r="AU46" s="36">
        <f t="shared" si="98"/>
        <v>0.1248455082274442</v>
      </c>
      <c r="AV46" s="36">
        <f t="shared" si="98"/>
        <v>0.16962154279492994</v>
      </c>
      <c r="AW46" s="36">
        <f t="shared" si="98"/>
        <v>0.21351243568170103</v>
      </c>
      <c r="AX46" s="36">
        <f t="shared" si="98"/>
        <v>0.11192957911685482</v>
      </c>
      <c r="AY46" s="36">
        <f t="shared" si="98"/>
        <v>0.12208989326559015</v>
      </c>
      <c r="AZ46" s="36">
        <f t="shared" si="98"/>
        <v>8.4692971366814279E-2</v>
      </c>
      <c r="BA46" s="36">
        <f t="shared" si="98"/>
        <v>3.0991256443755655E-2</v>
      </c>
      <c r="BB46" s="36">
        <f t="shared" si="98"/>
        <v>5.539382677815629E-2</v>
      </c>
      <c r="BC46" s="36">
        <f t="shared" si="98"/>
        <v>4.9179985666274691E-2</v>
      </c>
      <c r="BD46" s="36">
        <f t="shared" si="98"/>
        <v>5.4306766034093686E-2</v>
      </c>
      <c r="BE46" s="36">
        <f t="shared" si="98"/>
        <v>8.8621256112469432E-2</v>
      </c>
      <c r="BF46" s="36">
        <f t="shared" ref="BF46:BZ46" si="99">-SUM(BC24:BF24)/BF128</f>
        <v>0</v>
      </c>
      <c r="BG46" s="36">
        <f t="shared" si="99"/>
        <v>-2.9106190470910443E-2</v>
      </c>
      <c r="BH46" s="36">
        <f t="shared" si="99"/>
        <v>-1.5519698629940772E-2</v>
      </c>
      <c r="BI46" s="36">
        <f t="shared" si="99"/>
        <v>-2.8911625535631518E-2</v>
      </c>
      <c r="BJ46" s="36">
        <f t="shared" si="99"/>
        <v>0</v>
      </c>
      <c r="BK46" s="36">
        <f t="shared" si="99"/>
        <v>-1.3565760140011707E-2</v>
      </c>
      <c r="BL46" s="36">
        <f t="shared" si="99"/>
        <v>-2.7143983842204317E-2</v>
      </c>
      <c r="BM46" s="36">
        <f t="shared" si="99"/>
        <v>-1.8833906638899129E-2</v>
      </c>
      <c r="BN46" s="36">
        <f t="shared" si="99"/>
        <v>0</v>
      </c>
      <c r="BO46" s="36">
        <f t="shared" si="99"/>
        <v>0</v>
      </c>
      <c r="BP46" s="36">
        <f t="shared" si="99"/>
        <v>0</v>
      </c>
      <c r="BQ46" s="36">
        <f t="shared" si="99"/>
        <v>0</v>
      </c>
      <c r="BR46" s="36">
        <f t="shared" si="99"/>
        <v>0</v>
      </c>
      <c r="BS46" s="36">
        <f t="shared" si="99"/>
        <v>0</v>
      </c>
      <c r="BT46" s="36">
        <f t="shared" si="99"/>
        <v>0</v>
      </c>
      <c r="BU46" s="36">
        <f t="shared" si="99"/>
        <v>0</v>
      </c>
      <c r="BV46" s="36">
        <f t="shared" si="99"/>
        <v>0</v>
      </c>
      <c r="BW46" s="36">
        <f t="shared" si="99"/>
        <v>0</v>
      </c>
      <c r="BX46" s="36">
        <f t="shared" si="99"/>
        <v>0</v>
      </c>
      <c r="BY46" s="36">
        <f t="shared" si="99"/>
        <v>0</v>
      </c>
      <c r="BZ46" s="36">
        <f t="shared" si="99"/>
        <v>0</v>
      </c>
      <c r="CA46" s="37"/>
      <c r="CB46" s="36"/>
      <c r="CC46" s="36"/>
      <c r="CD46" s="36"/>
      <c r="CE46" s="36"/>
      <c r="CF46" s="36"/>
      <c r="CH46" s="36">
        <f>-CH24/CH128</f>
        <v>0</v>
      </c>
    </row>
    <row r="47" spans="2:86" s="29" customFormat="1">
      <c r="B47" s="60" t="s">
        <v>174</v>
      </c>
      <c r="D47" s="36">
        <f t="shared" ref="D47:U47" si="100">-D29/D28</f>
        <v>0.23169492849886691</v>
      </c>
      <c r="E47" s="36">
        <f t="shared" si="100"/>
        <v>0.34674685117285181</v>
      </c>
      <c r="F47" s="36">
        <f t="shared" si="100"/>
        <v>0.52628939229290317</v>
      </c>
      <c r="G47" s="36">
        <f t="shared" si="100"/>
        <v>0.6160624594687385</v>
      </c>
      <c r="H47" s="36">
        <f t="shared" si="100"/>
        <v>0.50181983621474069</v>
      </c>
      <c r="I47" s="36">
        <f t="shared" si="100"/>
        <v>0.46342526641912457</v>
      </c>
      <c r="J47" s="36">
        <f t="shared" si="100"/>
        <v>0.45083060349850451</v>
      </c>
      <c r="K47" s="36">
        <f t="shared" si="100"/>
        <v>0.33164983164983164</v>
      </c>
      <c r="L47" s="36">
        <f t="shared" si="100"/>
        <v>0.33164983164983164</v>
      </c>
      <c r="M47" s="36">
        <f t="shared" si="100"/>
        <v>1.9744196789467605</v>
      </c>
      <c r="N47" s="36">
        <f t="shared" si="100"/>
        <v>0.28432427386134224</v>
      </c>
      <c r="O47" s="36">
        <f t="shared" si="100"/>
        <v>-0.61653621567896633</v>
      </c>
      <c r="P47" s="36">
        <f t="shared" si="100"/>
        <v>0.3346844934351243</v>
      </c>
      <c r="Q47" s="36">
        <f t="shared" si="100"/>
        <v>0.25803860947906793</v>
      </c>
      <c r="R47" s="36">
        <f t="shared" si="100"/>
        <v>0.32502563293635145</v>
      </c>
      <c r="S47" s="36">
        <f t="shared" si="100"/>
        <v>2.3886349727202886E-2</v>
      </c>
      <c r="T47" s="36">
        <f>-T29/T28</f>
        <v>0.2512557363186172</v>
      </c>
      <c r="U47" s="36">
        <f t="shared" si="100"/>
        <v>0.2512557363186172</v>
      </c>
      <c r="V47" s="1115"/>
      <c r="W47" s="36">
        <f t="shared" ref="W47:BB47" si="101">-W29/W28</f>
        <v>0.36952985196030586</v>
      </c>
      <c r="X47" s="36">
        <f t="shared" si="101"/>
        <v>0.50633356790992257</v>
      </c>
      <c r="Y47" s="36">
        <f t="shared" si="101"/>
        <v>0.68556244464127547</v>
      </c>
      <c r="Z47" s="36">
        <f t="shared" si="101"/>
        <v>0.58898993179603765</v>
      </c>
      <c r="AA47" s="36">
        <f t="shared" si="101"/>
        <v>0.52696305164063773</v>
      </c>
      <c r="AB47" s="36">
        <f t="shared" si="101"/>
        <v>0.63257381493149678</v>
      </c>
      <c r="AC47" s="36">
        <f t="shared" si="101"/>
        <v>0.7266467853697044</v>
      </c>
      <c r="AD47" s="36">
        <f t="shared" si="101"/>
        <v>0.56947302120512278</v>
      </c>
      <c r="AE47" s="36">
        <f t="shared" si="101"/>
        <v>0.56704158650288594</v>
      </c>
      <c r="AF47" s="36">
        <f t="shared" si="101"/>
        <v>0.52324757247147213</v>
      </c>
      <c r="AG47" s="36">
        <f t="shared" si="101"/>
        <v>0.4661678133200936</v>
      </c>
      <c r="AH47" s="36">
        <f t="shared" si="101"/>
        <v>0.44566740868991672</v>
      </c>
      <c r="AI47" s="36">
        <f t="shared" si="101"/>
        <v>0.55391383958089624</v>
      </c>
      <c r="AJ47" s="36">
        <f t="shared" si="101"/>
        <v>0.44976205744372066</v>
      </c>
      <c r="AK47" s="36">
        <f t="shared" si="101"/>
        <v>0.51803668738966924</v>
      </c>
      <c r="AL47" s="36">
        <f t="shared" si="101"/>
        <v>0.32662760805882707</v>
      </c>
      <c r="AM47" s="36">
        <f t="shared" si="101"/>
        <v>0.40469217253614082</v>
      </c>
      <c r="AN47" s="36">
        <f t="shared" si="101"/>
        <v>0.40809236079907063</v>
      </c>
      <c r="AO47" s="36">
        <f t="shared" si="101"/>
        <v>0.63812244018107456</v>
      </c>
      <c r="AP47" s="36">
        <f t="shared" si="101"/>
        <v>0.27140424214274655</v>
      </c>
      <c r="AQ47" s="36">
        <f t="shared" si="101"/>
        <v>0.56842715944070887</v>
      </c>
      <c r="AR47" s="36">
        <f t="shared" si="101"/>
        <v>0.47678985895375825</v>
      </c>
      <c r="AS47" s="36">
        <f t="shared" si="101"/>
        <v>6.3314400267290349E-2</v>
      </c>
      <c r="AT47" s="36">
        <f t="shared" si="101"/>
        <v>-0.27172592113468425</v>
      </c>
      <c r="AU47" s="36">
        <f t="shared" si="101"/>
        <v>1.7412197239434217</v>
      </c>
      <c r="AV47" s="36">
        <f t="shared" si="101"/>
        <v>1.1246768207734013</v>
      </c>
      <c r="AW47" s="36">
        <f t="shared" si="101"/>
        <v>-0.91116888694447085</v>
      </c>
      <c r="AX47" s="36">
        <f t="shared" si="101"/>
        <v>0.19256279498677933</v>
      </c>
      <c r="AY47" s="36">
        <f t="shared" si="101"/>
        <v>0.2023873032808749</v>
      </c>
      <c r="AZ47" s="36">
        <f t="shared" si="101"/>
        <v>0.27139515837321188</v>
      </c>
      <c r="BA47" s="36">
        <f t="shared" si="101"/>
        <v>0.69066153052277113</v>
      </c>
      <c r="BB47" s="36">
        <f t="shared" si="101"/>
        <v>0.290063962402139</v>
      </c>
      <c r="BC47" s="36">
        <f t="shared" ref="BC47:BY47" si="102">-BC29/BC28</f>
        <v>-0.33564275477637007</v>
      </c>
      <c r="BD47" s="36">
        <f t="shared" si="102"/>
        <v>1.0654692931633836</v>
      </c>
      <c r="BE47" s="36">
        <f t="shared" si="102"/>
        <v>-1.0369344858305445</v>
      </c>
      <c r="BF47" s="36">
        <f t="shared" si="102"/>
        <v>0.49251439539347408</v>
      </c>
      <c r="BG47" s="36">
        <f t="shared" si="102"/>
        <v>0.46990258460498902</v>
      </c>
      <c r="BH47" s="36">
        <f t="shared" si="102"/>
        <v>0.34032156888639442</v>
      </c>
      <c r="BI47" s="36">
        <f t="shared" si="102"/>
        <v>0.37508991103539657</v>
      </c>
      <c r="BJ47" s="36">
        <f t="shared" si="102"/>
        <v>0.26242852604828465</v>
      </c>
      <c r="BK47" s="36">
        <f t="shared" si="102"/>
        <v>0.31271401130258064</v>
      </c>
      <c r="BL47" s="36">
        <f t="shared" si="102"/>
        <v>0.30159660516259112</v>
      </c>
      <c r="BM47" s="36">
        <f t="shared" si="102"/>
        <v>0.29154582170059362</v>
      </c>
      <c r="BN47" s="36">
        <f t="shared" si="102"/>
        <v>0.15715995213402473</v>
      </c>
      <c r="BO47" s="36">
        <f t="shared" si="102"/>
        <v>0.17955637109396083</v>
      </c>
      <c r="BP47" s="36">
        <f t="shared" si="102"/>
        <v>0.46869050942965201</v>
      </c>
      <c r="BQ47" s="36">
        <f t="shared" si="102"/>
        <v>0.29987343004575989</v>
      </c>
      <c r="BR47" s="36">
        <f t="shared" si="102"/>
        <v>0.25550755939524838</v>
      </c>
      <c r="BS47" s="36">
        <f t="shared" si="102"/>
        <v>0.21704783084940418</v>
      </c>
      <c r="BT47" s="36">
        <f t="shared" si="102"/>
        <v>0.29572353918676025</v>
      </c>
      <c r="BU47" s="36">
        <f t="shared" si="102"/>
        <v>4.4832138480573526E-2</v>
      </c>
      <c r="BV47" s="36">
        <f t="shared" si="102"/>
        <v>-0.30174878440702019</v>
      </c>
      <c r="BW47" s="36">
        <f t="shared" si="102"/>
        <v>0.29345797951334679</v>
      </c>
      <c r="BX47" s="36">
        <f t="shared" si="102"/>
        <v>0.29795573878253251</v>
      </c>
      <c r="BY47" s="36">
        <f t="shared" si="102"/>
        <v>0.30878850202824093</v>
      </c>
      <c r="BZ47" s="36">
        <f>-BZ29/BZ28</f>
        <v>7.9375192887791574E-2</v>
      </c>
      <c r="CA47" s="37"/>
      <c r="CB47" s="36">
        <f>-CB29/CB28</f>
        <v>0.2023873032808749</v>
      </c>
      <c r="CC47" s="36">
        <f>-CC29/CC28</f>
        <v>0.49826589595375753</v>
      </c>
      <c r="CD47" s="36">
        <f>-CD29/CD28</f>
        <v>0.2848670973207667</v>
      </c>
      <c r="CE47" s="36">
        <f>-CE29/CE28</f>
        <v>-0.30573448287252669</v>
      </c>
      <c r="CF47" s="36">
        <f>-CF29/CF28</f>
        <v>-1.6761248479935145</v>
      </c>
      <c r="CH47" s="36">
        <f>-CH29/CH28</f>
        <v>0.27123978981322511</v>
      </c>
    </row>
    <row r="48" spans="2:86" s="29" customFormat="1">
      <c r="B48" s="32" t="s">
        <v>175</v>
      </c>
      <c r="D48" s="36">
        <f t="shared" ref="D48:U48" si="103">D101/D124</f>
        <v>3.5016628642126651E-2</v>
      </c>
      <c r="E48" s="36">
        <f t="shared" si="103"/>
        <v>4.6871196930887003E-2</v>
      </c>
      <c r="F48" s="36">
        <f t="shared" si="103"/>
        <v>5.1454755507872027E-2</v>
      </c>
      <c r="G48" s="36">
        <f t="shared" si="103"/>
        <v>4.9501042127202681E-2</v>
      </c>
      <c r="H48" s="36">
        <f t="shared" si="103"/>
        <v>4.1999705021695775E-2</v>
      </c>
      <c r="I48" s="36">
        <f t="shared" si="103"/>
        <v>3.2741810565381085E-2</v>
      </c>
      <c r="J48" s="36">
        <f t="shared" si="103"/>
        <v>5.4516462638732326E-2</v>
      </c>
      <c r="K48" s="36">
        <f t="shared" si="103"/>
        <v>3.8575743030421938E-2</v>
      </c>
      <c r="L48" s="36">
        <f t="shared" si="103"/>
        <v>3.9264345543031251E-2</v>
      </c>
      <c r="M48" s="36">
        <f t="shared" si="103"/>
        <v>6.0591569518118921E-2</v>
      </c>
      <c r="N48" s="36">
        <f t="shared" si="103"/>
        <v>7.4359773310944649E-2</v>
      </c>
      <c r="O48" s="36">
        <f t="shared" si="103"/>
        <v>4.3851911993553906E-2</v>
      </c>
      <c r="P48" s="36">
        <f t="shared" si="103"/>
        <v>7.7620170343441583E-2</v>
      </c>
      <c r="Q48" s="36">
        <f t="shared" si="103"/>
        <v>2.960264141608366E-2</v>
      </c>
      <c r="R48" s="36">
        <f t="shared" si="103"/>
        <v>6.5250471132191942E-2</v>
      </c>
      <c r="S48" s="36">
        <f t="shared" si="103"/>
        <v>8.209668522633011E-2</v>
      </c>
      <c r="T48" s="36">
        <f t="shared" si="103"/>
        <v>7.6147277948101028E-2</v>
      </c>
      <c r="U48" s="36">
        <f t="shared" si="103"/>
        <v>7.6147277948101028E-2</v>
      </c>
      <c r="V48" s="1115"/>
      <c r="W48" s="104"/>
      <c r="X48" s="104"/>
      <c r="Y48" s="104"/>
      <c r="Z48" s="36">
        <f t="shared" ref="Z48:BE48" si="104">Z101/Z124</f>
        <v>5.1454755507872027E-2</v>
      </c>
      <c r="AA48" s="36">
        <f t="shared" si="104"/>
        <v>4.6589018302828619E-2</v>
      </c>
      <c r="AB48" s="36">
        <f t="shared" si="104"/>
        <v>5.0146620869193768E-2</v>
      </c>
      <c r="AC48" s="36">
        <f t="shared" si="104"/>
        <v>4.949122950596066E-2</v>
      </c>
      <c r="AD48" s="36">
        <f t="shared" si="104"/>
        <v>4.9501042127202681E-2</v>
      </c>
      <c r="AE48" s="36">
        <f t="shared" si="104"/>
        <v>5.1649736100821624E-2</v>
      </c>
      <c r="AF48" s="36">
        <f t="shared" si="104"/>
        <v>4.5502473192620727E-2</v>
      </c>
      <c r="AG48" s="36">
        <f t="shared" si="104"/>
        <v>3.9497192445125062E-2</v>
      </c>
      <c r="AH48" s="36">
        <f t="shared" si="104"/>
        <v>4.1999705021695775E-2</v>
      </c>
      <c r="AI48" s="36">
        <f t="shared" si="104"/>
        <v>3.5556722826983696E-2</v>
      </c>
      <c r="AJ48" s="36">
        <f t="shared" si="104"/>
        <v>3.761315745001962E-2</v>
      </c>
      <c r="AK48" s="36">
        <f t="shared" si="104"/>
        <v>3.7824070866453681E-2</v>
      </c>
      <c r="AL48" s="36">
        <f t="shared" si="104"/>
        <v>3.2741810565381085E-2</v>
      </c>
      <c r="AM48" s="36">
        <f t="shared" si="104"/>
        <v>3.2827228063830392E-2</v>
      </c>
      <c r="AN48" s="36">
        <f t="shared" si="104"/>
        <v>3.235585642803019E-2</v>
      </c>
      <c r="AO48" s="36">
        <f t="shared" si="104"/>
        <v>2.8439122708427762E-2</v>
      </c>
      <c r="AP48" s="36">
        <f t="shared" si="104"/>
        <v>5.4516462638732326E-2</v>
      </c>
      <c r="AQ48" s="36">
        <f t="shared" si="104"/>
        <v>5.8123621876455936E-2</v>
      </c>
      <c r="AR48" s="36">
        <f t="shared" si="104"/>
        <v>5.6592957118976682E-2</v>
      </c>
      <c r="AS48" s="36">
        <f t="shared" si="104"/>
        <v>5.7007417581958972E-2</v>
      </c>
      <c r="AT48" s="36">
        <f t="shared" si="104"/>
        <v>3.8575743030421938E-2</v>
      </c>
      <c r="AU48" s="36">
        <f t="shared" si="104"/>
        <v>5.3279509601068718E-2</v>
      </c>
      <c r="AV48" s="36">
        <f t="shared" si="104"/>
        <v>4.9511705645103966E-2</v>
      </c>
      <c r="AW48" s="36">
        <f t="shared" si="104"/>
        <v>5.4301082625881902E-2</v>
      </c>
      <c r="AX48" s="36">
        <f t="shared" si="104"/>
        <v>6.0591569518118921E-2</v>
      </c>
      <c r="AY48" s="36">
        <f t="shared" si="104"/>
        <v>6.8158739004171548E-2</v>
      </c>
      <c r="AZ48" s="36">
        <f t="shared" si="104"/>
        <v>7.1266390815188943E-2</v>
      </c>
      <c r="BA48" s="36">
        <f t="shared" si="104"/>
        <v>7.2579841035650863E-2</v>
      </c>
      <c r="BB48" s="36">
        <f t="shared" si="104"/>
        <v>7.4359773310944649E-2</v>
      </c>
      <c r="BC48" s="36">
        <f t="shared" si="104"/>
        <v>6.0610313707233666E-2</v>
      </c>
      <c r="BD48" s="36">
        <f t="shared" si="104"/>
        <v>4.6002753495563424E-2</v>
      </c>
      <c r="BE48" s="36">
        <f t="shared" si="104"/>
        <v>4.2838705428330057E-2</v>
      </c>
      <c r="BF48" s="36">
        <f t="shared" ref="BF48:BZ48" si="105">BF101/BF124</f>
        <v>4.3851911993553906E-2</v>
      </c>
      <c r="BG48" s="36">
        <f t="shared" si="105"/>
        <v>4.0729171113989021E-2</v>
      </c>
      <c r="BH48" s="36">
        <f t="shared" si="105"/>
        <v>4.4341301049598728E-2</v>
      </c>
      <c r="BI48" s="36">
        <f t="shared" si="105"/>
        <v>6.266281664401048E-2</v>
      </c>
      <c r="BJ48" s="36">
        <f t="shared" si="105"/>
        <v>7.7620170343441583E-2</v>
      </c>
      <c r="BK48" s="36">
        <f t="shared" si="105"/>
        <v>7.326968513236555E-2</v>
      </c>
      <c r="BL48" s="36">
        <f t="shared" si="105"/>
        <v>6.0308999244239221E-2</v>
      </c>
      <c r="BM48" s="36">
        <f t="shared" si="105"/>
        <v>4.8297722457684697E-2</v>
      </c>
      <c r="BN48" s="36">
        <f t="shared" si="105"/>
        <v>2.960264141608366E-2</v>
      </c>
      <c r="BO48" s="36">
        <f t="shared" si="105"/>
        <v>3.2273227339602382E-2</v>
      </c>
      <c r="BP48" s="36">
        <f t="shared" si="105"/>
        <v>5.2899318417317695E-2</v>
      </c>
      <c r="BQ48" s="36">
        <f t="shared" si="105"/>
        <v>5.5389828966733771E-2</v>
      </c>
      <c r="BR48" s="36">
        <f t="shared" si="105"/>
        <v>6.5250471132191942E-2</v>
      </c>
      <c r="BS48" s="36">
        <f t="shared" si="105"/>
        <v>7.5916302701278665E-2</v>
      </c>
      <c r="BT48" s="36">
        <f t="shared" si="105"/>
        <v>7.4372707552047501E-2</v>
      </c>
      <c r="BU48" s="36">
        <f t="shared" si="105"/>
        <v>8.6462167872419948E-2</v>
      </c>
      <c r="BV48" s="36">
        <f t="shared" si="105"/>
        <v>8.209668522633011E-2</v>
      </c>
      <c r="BW48" s="36">
        <f t="shared" si="105"/>
        <v>8.2161385910611465E-2</v>
      </c>
      <c r="BX48" s="36">
        <f t="shared" si="105"/>
        <v>6.2198339851874465E-2</v>
      </c>
      <c r="BY48" s="36">
        <f t="shared" si="105"/>
        <v>6.4094700708069954E-2</v>
      </c>
      <c r="BZ48" s="36">
        <f t="shared" si="105"/>
        <v>7.6147277948101028E-2</v>
      </c>
      <c r="CA48" s="37"/>
      <c r="CB48" s="36"/>
      <c r="CC48" s="36"/>
      <c r="CD48" s="36"/>
      <c r="CE48" s="36"/>
      <c r="CF48" s="36"/>
      <c r="CH48" s="36">
        <f>CH101/CH124</f>
        <v>7.3117591377934263E-2</v>
      </c>
    </row>
    <row r="49" spans="2:87" s="29" customFormat="1">
      <c r="B49" s="32" t="s">
        <v>176</v>
      </c>
      <c r="D49" s="36">
        <f t="shared" ref="D49:I49" si="106">D113/D97</f>
        <v>-0.30639343107087369</v>
      </c>
      <c r="E49" s="36">
        <f t="shared" si="106"/>
        <v>-0.24510505003531646</v>
      </c>
      <c r="F49" s="36">
        <f t="shared" si="106"/>
        <v>-0.24818318756720456</v>
      </c>
      <c r="G49" s="36">
        <f t="shared" si="106"/>
        <v>-0.25635807509965414</v>
      </c>
      <c r="H49" s="36">
        <f t="shared" si="106"/>
        <v>-0.29421903270306321</v>
      </c>
      <c r="I49" s="36">
        <f t="shared" si="106"/>
        <v>-0.32605838177091095</v>
      </c>
      <c r="J49" s="36">
        <f t="shared" ref="J49:O49" si="107">J113/J97</f>
        <v>-0.23082910254224079</v>
      </c>
      <c r="K49" s="36">
        <f t="shared" si="107"/>
        <v>-0.25990061558293331</v>
      </c>
      <c r="L49" s="36">
        <f t="shared" si="107"/>
        <v>-0.25216509385538777</v>
      </c>
      <c r="M49" s="36">
        <f t="shared" si="107"/>
        <v>-0.29127534494285284</v>
      </c>
      <c r="N49" s="36">
        <f t="shared" si="107"/>
        <v>-0.23237442496227115</v>
      </c>
      <c r="O49" s="36">
        <f t="shared" si="107"/>
        <v>-0.23670483297221173</v>
      </c>
      <c r="P49" s="36">
        <f>P113/P97</f>
        <v>-0.21218521846376703</v>
      </c>
      <c r="Q49" s="36">
        <f>Q76/Q7</f>
        <v>-2.2365190794050513E-2</v>
      </c>
      <c r="R49" s="36">
        <f>R76/R7</f>
        <v>1.6092554859770212E-2</v>
      </c>
      <c r="S49" s="36">
        <f>S76/S7</f>
        <v>4.8450965747358736E-2</v>
      </c>
      <c r="T49" s="36">
        <f>T76/T7</f>
        <v>3.414752991854874E-2</v>
      </c>
      <c r="U49" s="36">
        <f>U76/U7</f>
        <v>3.414752991854874E-2</v>
      </c>
      <c r="V49" s="1115"/>
      <c r="W49" s="104"/>
      <c r="X49" s="104"/>
      <c r="Y49" s="104"/>
      <c r="Z49" s="36">
        <f t="shared" ref="Z49:AK49" si="108">Z113/Z97</f>
        <v>-0.24818318756720456</v>
      </c>
      <c r="AA49" s="36">
        <f t="shared" si="108"/>
        <v>-0.28261501584069187</v>
      </c>
      <c r="AB49" s="36">
        <f t="shared" si="108"/>
        <v>-0.27782605156303519</v>
      </c>
      <c r="AC49" s="36">
        <f t="shared" si="108"/>
        <v>-0.26643550338461391</v>
      </c>
      <c r="AD49" s="36">
        <f t="shared" si="108"/>
        <v>-0.25635807509965414</v>
      </c>
      <c r="AE49" s="36">
        <f t="shared" si="108"/>
        <v>-0.27296622970408491</v>
      </c>
      <c r="AF49" s="36">
        <f t="shared" si="108"/>
        <v>-0.28911047371248683</v>
      </c>
      <c r="AG49" s="36">
        <f t="shared" si="108"/>
        <v>-0.29396600982094184</v>
      </c>
      <c r="AH49" s="36">
        <f t="shared" si="108"/>
        <v>-0.29421903270306321</v>
      </c>
      <c r="AI49" s="36">
        <f t="shared" si="108"/>
        <v>-0.31435593424874797</v>
      </c>
      <c r="AJ49" s="36">
        <f t="shared" si="108"/>
        <v>-0.32863862278066452</v>
      </c>
      <c r="AK49" s="36">
        <f t="shared" si="108"/>
        <v>-0.33699177932293223</v>
      </c>
      <c r="AL49" s="36">
        <f>AL113/AL97</f>
        <v>-0.32605838177091095</v>
      </c>
      <c r="AM49" s="36">
        <f t="shared" ref="AM49:AS49" si="109">AM113/AM97</f>
        <v>-0.34342151611033456</v>
      </c>
      <c r="AN49" s="36">
        <f t="shared" si="109"/>
        <v>-0.34002410126154098</v>
      </c>
      <c r="AO49" s="36">
        <f t="shared" si="109"/>
        <v>-0.33403724868497658</v>
      </c>
      <c r="AP49" s="36">
        <f t="shared" si="109"/>
        <v>-0.23082910254224079</v>
      </c>
      <c r="AQ49" s="36">
        <f t="shared" si="109"/>
        <v>-0.38407914568905283</v>
      </c>
      <c r="AR49" s="36">
        <f t="shared" si="109"/>
        <v>-0.44412300943897631</v>
      </c>
      <c r="AS49" s="36">
        <f t="shared" si="109"/>
        <v>-0.41798702436093293</v>
      </c>
      <c r="AT49" s="36">
        <f t="shared" ref="AT49:AY49" si="110">AT113/AT97</f>
        <v>-0.25990061558293331</v>
      </c>
      <c r="AU49" s="36">
        <f t="shared" si="110"/>
        <v>-0.28474070096085463</v>
      </c>
      <c r="AV49" s="36">
        <f t="shared" si="110"/>
        <v>-0.3182256077195732</v>
      </c>
      <c r="AW49" s="36">
        <f t="shared" si="110"/>
        <v>-0.3100024020958731</v>
      </c>
      <c r="AX49" s="36">
        <f t="shared" si="110"/>
        <v>-0.29127534494285284</v>
      </c>
      <c r="AY49" s="36">
        <f t="shared" si="110"/>
        <v>-0.28956096004036319</v>
      </c>
      <c r="AZ49" s="36">
        <f t="shared" ref="AZ49:BE49" si="111">AZ113/AZ97</f>
        <v>-0.25787743449927381</v>
      </c>
      <c r="BA49" s="36">
        <f t="shared" si="111"/>
        <v>-0.2846372747926707</v>
      </c>
      <c r="BB49" s="36">
        <f t="shared" si="111"/>
        <v>-0.23237442496227115</v>
      </c>
      <c r="BC49" s="36">
        <f t="shared" si="111"/>
        <v>-0.23766200109373387</v>
      </c>
      <c r="BD49" s="36">
        <f t="shared" si="111"/>
        <v>-0.23534608336074433</v>
      </c>
      <c r="BE49" s="36">
        <f t="shared" si="111"/>
        <v>-0.25462748231247939</v>
      </c>
      <c r="BF49" s="36">
        <f t="shared" ref="BF49:BK49" si="112">BF113/BF97</f>
        <v>-0.23670483297221173</v>
      </c>
      <c r="BG49" s="36">
        <f t="shared" si="112"/>
        <v>-0.24692675967908698</v>
      </c>
      <c r="BH49" s="36">
        <f t="shared" si="112"/>
        <v>-0.23285794141480837</v>
      </c>
      <c r="BI49" s="36">
        <f t="shared" si="112"/>
        <v>-0.23446151779327773</v>
      </c>
      <c r="BJ49" s="36">
        <f t="shared" si="112"/>
        <v>-0.21218521846376703</v>
      </c>
      <c r="BK49" s="36">
        <f t="shared" si="112"/>
        <v>-0.22316139215839115</v>
      </c>
      <c r="BL49" s="36">
        <f t="shared" ref="BL49:BQ49" si="113">BL113/BL97</f>
        <v>-0.22064226451626351</v>
      </c>
      <c r="BM49" s="36">
        <f t="shared" si="113"/>
        <v>-0.21863750889968533</v>
      </c>
      <c r="BN49" s="36">
        <f t="shared" si="113"/>
        <v>-0.20456320396569425</v>
      </c>
      <c r="BO49" s="36">
        <f t="shared" si="113"/>
        <v>-0.21330559407591068</v>
      </c>
      <c r="BP49" s="36">
        <f t="shared" si="113"/>
        <v>-0.20643255349841105</v>
      </c>
      <c r="BQ49" s="36">
        <f t="shared" si="113"/>
        <v>-0.20878035884875201</v>
      </c>
      <c r="BR49" s="36">
        <f t="shared" ref="BR49:BY49" si="114">BR76/BR7</f>
        <v>-3.7381213912035131E-2</v>
      </c>
      <c r="BS49" s="36">
        <f t="shared" si="114"/>
        <v>6.33468722082563E-2</v>
      </c>
      <c r="BT49" s="36">
        <f t="shared" si="114"/>
        <v>8.4127378337388134E-2</v>
      </c>
      <c r="BU49" s="36">
        <f t="shared" si="114"/>
        <v>4.721322954266962E-2</v>
      </c>
      <c r="BV49" s="36">
        <f t="shared" si="114"/>
        <v>6.7319461444308448E-3</v>
      </c>
      <c r="BW49" s="36">
        <f t="shared" si="114"/>
        <v>8.1510070234884532E-2</v>
      </c>
      <c r="BX49" s="36">
        <f t="shared" si="114"/>
        <v>3.6948609081529721E-2</v>
      </c>
      <c r="BY49" s="36">
        <f t="shared" si="114"/>
        <v>6.263986247165701E-2</v>
      </c>
      <c r="BZ49" s="36">
        <f>BZ76/BZ7</f>
        <v>-3.856042987765243E-2</v>
      </c>
      <c r="CA49" s="37"/>
      <c r="CB49" s="36"/>
      <c r="CC49" s="36"/>
      <c r="CD49" s="36"/>
      <c r="CE49" s="36"/>
      <c r="CF49" s="36"/>
      <c r="CH49" s="36">
        <f>CH113/CH97</f>
        <v>-0.23682611045768465</v>
      </c>
    </row>
    <row r="50" spans="2:87" s="29" customFormat="1"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1115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H50" s="37"/>
    </row>
    <row r="51" spans="2:87">
      <c r="B51" s="25" t="s">
        <v>177</v>
      </c>
      <c r="C51" s="24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37"/>
      <c r="CB51" s="26"/>
      <c r="CC51" s="26"/>
      <c r="CD51" s="26"/>
      <c r="CE51" s="26"/>
      <c r="CF51" s="26"/>
      <c r="CH51" s="26"/>
    </row>
    <row r="52" spans="2:87" s="20" customFormat="1">
      <c r="B52" s="41" t="str">
        <f>B19</f>
        <v>Profit from operating activities before D&amp;A and exceptional items</v>
      </c>
      <c r="D52" s="34">
        <f t="shared" ref="D52:U52" si="115">D19</f>
        <v>200718</v>
      </c>
      <c r="E52" s="34">
        <f t="shared" si="115"/>
        <v>237123</v>
      </c>
      <c r="F52" s="34">
        <f t="shared" si="115"/>
        <v>232578</v>
      </c>
      <c r="G52" s="34">
        <f t="shared" si="115"/>
        <v>278430</v>
      </c>
      <c r="H52" s="34">
        <f t="shared" si="115"/>
        <v>313883</v>
      </c>
      <c r="I52" s="34">
        <f t="shared" si="115"/>
        <v>340713</v>
      </c>
      <c r="J52" s="34">
        <f t="shared" si="115"/>
        <v>354504</v>
      </c>
      <c r="K52" s="34">
        <f t="shared" si="115"/>
        <v>303279</v>
      </c>
      <c r="L52" s="34">
        <f t="shared" si="115"/>
        <v>303279</v>
      </c>
      <c r="M52" s="34">
        <f t="shared" si="115"/>
        <v>261101</v>
      </c>
      <c r="N52" s="34">
        <f t="shared" si="115"/>
        <v>369343</v>
      </c>
      <c r="O52" s="34">
        <f t="shared" si="115"/>
        <v>460145</v>
      </c>
      <c r="P52" s="34">
        <f t="shared" si="115"/>
        <v>580682</v>
      </c>
      <c r="Q52" s="34">
        <f t="shared" si="115"/>
        <v>722101</v>
      </c>
      <c r="R52" s="34">
        <f t="shared" si="115"/>
        <v>797272</v>
      </c>
      <c r="S52" s="34">
        <f t="shared" si="115"/>
        <v>947329</v>
      </c>
      <c r="T52" s="34">
        <f t="shared" si="115"/>
        <v>1224918</v>
      </c>
      <c r="U52" s="34">
        <f t="shared" si="115"/>
        <v>1224918</v>
      </c>
      <c r="V52" s="34"/>
      <c r="W52" s="34">
        <f t="shared" ref="W52:AG52" si="116">W19</f>
        <v>54856</v>
      </c>
      <c r="X52" s="34">
        <f t="shared" si="116"/>
        <v>59369</v>
      </c>
      <c r="Y52" s="34">
        <f t="shared" si="116"/>
        <v>57749</v>
      </c>
      <c r="Z52" s="34">
        <f t="shared" si="116"/>
        <v>60604</v>
      </c>
      <c r="AA52" s="34">
        <f t="shared" si="116"/>
        <v>65449</v>
      </c>
      <c r="AB52" s="34">
        <f t="shared" si="116"/>
        <v>68729</v>
      </c>
      <c r="AC52" s="34">
        <f t="shared" si="116"/>
        <v>71006</v>
      </c>
      <c r="AD52" s="34">
        <f t="shared" si="116"/>
        <v>73246</v>
      </c>
      <c r="AE52" s="34">
        <f t="shared" si="116"/>
        <v>77278</v>
      </c>
      <c r="AF52" s="34">
        <f t="shared" si="116"/>
        <v>77053</v>
      </c>
      <c r="AG52" s="34">
        <f t="shared" si="116"/>
        <v>77857</v>
      </c>
      <c r="AH52" s="34">
        <f>H52-SUM(AE52:AG52)</f>
        <v>81695</v>
      </c>
      <c r="AI52" s="34">
        <f>AI19</f>
        <v>82562</v>
      </c>
      <c r="AJ52" s="34">
        <f>AJ19</f>
        <v>82502</v>
      </c>
      <c r="AK52" s="34">
        <f>AK19</f>
        <v>84512</v>
      </c>
      <c r="AL52" s="34">
        <f>I52-SUM(AI52:AK52)</f>
        <v>91137</v>
      </c>
      <c r="AM52" s="34">
        <f t="shared" ref="AM52:BZ52" si="117">AM19</f>
        <v>95744.059646999987</v>
      </c>
      <c r="AN52" s="34">
        <f t="shared" si="117"/>
        <v>94602.940353000013</v>
      </c>
      <c r="AO52" s="34">
        <f t="shared" si="117"/>
        <v>85096.999999999971</v>
      </c>
      <c r="AP52" s="34">
        <f t="shared" si="117"/>
        <v>79060</v>
      </c>
      <c r="AQ52" s="34">
        <f t="shared" si="117"/>
        <v>78070.179560254008</v>
      </c>
      <c r="AR52" s="34">
        <f t="shared" si="117"/>
        <v>79773</v>
      </c>
      <c r="AS52" s="34">
        <f t="shared" si="117"/>
        <v>75384</v>
      </c>
      <c r="AT52" s="34">
        <f t="shared" si="117"/>
        <v>80000.820439745992</v>
      </c>
      <c r="AU52" s="34">
        <f t="shared" si="117"/>
        <v>68255.248580711515</v>
      </c>
      <c r="AV52" s="34">
        <f t="shared" si="117"/>
        <v>63128.592404096999</v>
      </c>
      <c r="AW52" s="34">
        <f t="shared" si="117"/>
        <v>62854.824278830056</v>
      </c>
      <c r="AX52" s="34">
        <f t="shared" si="117"/>
        <v>66862.334736361372</v>
      </c>
      <c r="AY52" s="34">
        <f t="shared" si="117"/>
        <v>83634</v>
      </c>
      <c r="AZ52" s="34">
        <f t="shared" si="117"/>
        <v>89279.848651176973</v>
      </c>
      <c r="BA52" s="34">
        <f t="shared" si="117"/>
        <v>93414.378594557027</v>
      </c>
      <c r="BB52" s="34">
        <f t="shared" si="117"/>
        <v>103014.77275426598</v>
      </c>
      <c r="BC52" s="34">
        <f t="shared" si="117"/>
        <v>104821</v>
      </c>
      <c r="BD52" s="34">
        <f t="shared" si="117"/>
        <v>117563</v>
      </c>
      <c r="BE52" s="34">
        <f t="shared" si="117"/>
        <v>120466</v>
      </c>
      <c r="BF52" s="34">
        <f t="shared" si="117"/>
        <v>117295</v>
      </c>
      <c r="BG52" s="34">
        <f t="shared" si="117"/>
        <v>130463</v>
      </c>
      <c r="BH52" s="34">
        <f t="shared" si="117"/>
        <v>138389</v>
      </c>
      <c r="BI52" s="34">
        <f t="shared" si="117"/>
        <v>148920</v>
      </c>
      <c r="BJ52" s="34">
        <f t="shared" si="117"/>
        <v>162910</v>
      </c>
      <c r="BK52" s="34">
        <f t="shared" si="117"/>
        <v>167216</v>
      </c>
      <c r="BL52" s="34">
        <f t="shared" si="117"/>
        <v>177957</v>
      </c>
      <c r="BM52" s="34">
        <f t="shared" si="117"/>
        <v>187108</v>
      </c>
      <c r="BN52" s="34">
        <f t="shared" si="117"/>
        <v>189820</v>
      </c>
      <c r="BO52" s="34">
        <f t="shared" si="117"/>
        <v>199468</v>
      </c>
      <c r="BP52" s="34">
        <f t="shared" si="117"/>
        <v>198441</v>
      </c>
      <c r="BQ52" s="34">
        <f t="shared" si="117"/>
        <v>202546</v>
      </c>
      <c r="BR52" s="34">
        <f t="shared" si="117"/>
        <v>196817</v>
      </c>
      <c r="BS52" s="34">
        <f t="shared" si="117"/>
        <v>200711</v>
      </c>
      <c r="BT52" s="34">
        <f t="shared" si="117"/>
        <v>221009</v>
      </c>
      <c r="BU52" s="34">
        <f t="shared" si="117"/>
        <v>250663</v>
      </c>
      <c r="BV52" s="34">
        <f t="shared" si="117"/>
        <v>274946</v>
      </c>
      <c r="BW52" s="34">
        <f t="shared" si="117"/>
        <v>283475</v>
      </c>
      <c r="BX52" s="34">
        <f t="shared" si="117"/>
        <v>302891</v>
      </c>
      <c r="BY52" s="34">
        <f t="shared" si="117"/>
        <v>314851</v>
      </c>
      <c r="BZ52" s="34">
        <f t="shared" si="117"/>
        <v>323701</v>
      </c>
      <c r="CA52" s="1121"/>
      <c r="CB52" s="34">
        <f>CB19</f>
        <v>83173</v>
      </c>
      <c r="CC52" s="34">
        <f>CC19</f>
        <v>87261</v>
      </c>
      <c r="CD52" s="34">
        <f>CD19</f>
        <v>100059</v>
      </c>
      <c r="CE52" s="34">
        <f>CE19</f>
        <v>99865</v>
      </c>
      <c r="CF52" s="34">
        <f>CF19</f>
        <v>111674</v>
      </c>
      <c r="CH52" s="34">
        <f>CH19</f>
        <v>357891</v>
      </c>
    </row>
    <row r="53" spans="2:87">
      <c r="B53" s="3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37"/>
      <c r="CB53" s="7"/>
      <c r="CC53" s="7"/>
      <c r="CD53" s="7"/>
      <c r="CE53" s="7"/>
      <c r="CF53" s="7"/>
      <c r="CH53" s="7"/>
    </row>
    <row r="54" spans="2:87" s="20" customFormat="1">
      <c r="B54" s="20" t="s">
        <v>177</v>
      </c>
      <c r="D54" s="34">
        <f t="shared" ref="D54:I54" si="118">D52+D53</f>
        <v>200718</v>
      </c>
      <c r="E54" s="34">
        <f t="shared" si="118"/>
        <v>237123</v>
      </c>
      <c r="F54" s="34">
        <f t="shared" si="118"/>
        <v>232578</v>
      </c>
      <c r="G54" s="34">
        <f t="shared" si="118"/>
        <v>278430</v>
      </c>
      <c r="H54" s="34">
        <f t="shared" si="118"/>
        <v>313883</v>
      </c>
      <c r="I54" s="34">
        <f t="shared" si="118"/>
        <v>340713</v>
      </c>
      <c r="J54" s="34">
        <f t="shared" ref="J54:O54" si="119">J52+J53</f>
        <v>354504</v>
      </c>
      <c r="K54" s="34">
        <f t="shared" si="119"/>
        <v>303279</v>
      </c>
      <c r="L54" s="34">
        <f t="shared" si="119"/>
        <v>303279</v>
      </c>
      <c r="M54" s="34">
        <f t="shared" si="119"/>
        <v>261101</v>
      </c>
      <c r="N54" s="34">
        <f t="shared" si="119"/>
        <v>369343</v>
      </c>
      <c r="O54" s="34">
        <f t="shared" si="119"/>
        <v>460145</v>
      </c>
      <c r="P54" s="34">
        <f t="shared" ref="P54:U54" si="120">P52+P53</f>
        <v>580682</v>
      </c>
      <c r="Q54" s="34">
        <f t="shared" si="120"/>
        <v>722101</v>
      </c>
      <c r="R54" s="34">
        <f t="shared" si="120"/>
        <v>797272</v>
      </c>
      <c r="S54" s="34">
        <f t="shared" si="120"/>
        <v>947329</v>
      </c>
      <c r="T54" s="34">
        <f>T52+T53</f>
        <v>1224918</v>
      </c>
      <c r="U54" s="34">
        <f t="shared" si="120"/>
        <v>1224918</v>
      </c>
      <c r="V54" s="34"/>
      <c r="W54" s="34">
        <f t="shared" ref="W54:AT54" si="121">W52+W53</f>
        <v>54856</v>
      </c>
      <c r="X54" s="34">
        <f t="shared" si="121"/>
        <v>59369</v>
      </c>
      <c r="Y54" s="34">
        <f t="shared" si="121"/>
        <v>57749</v>
      </c>
      <c r="Z54" s="34">
        <f t="shared" si="121"/>
        <v>60604</v>
      </c>
      <c r="AA54" s="34">
        <f t="shared" si="121"/>
        <v>65449</v>
      </c>
      <c r="AB54" s="34">
        <f t="shared" si="121"/>
        <v>68729</v>
      </c>
      <c r="AC54" s="34">
        <f t="shared" si="121"/>
        <v>71006</v>
      </c>
      <c r="AD54" s="34">
        <f t="shared" si="121"/>
        <v>73246</v>
      </c>
      <c r="AE54" s="34">
        <f t="shared" si="121"/>
        <v>77278</v>
      </c>
      <c r="AF54" s="34">
        <f t="shared" si="121"/>
        <v>77053</v>
      </c>
      <c r="AG54" s="34">
        <f t="shared" si="121"/>
        <v>77857</v>
      </c>
      <c r="AH54" s="34">
        <f t="shared" si="121"/>
        <v>81695</v>
      </c>
      <c r="AI54" s="34">
        <f t="shared" si="121"/>
        <v>82562</v>
      </c>
      <c r="AJ54" s="34">
        <f t="shared" si="121"/>
        <v>82502</v>
      </c>
      <c r="AK54" s="34">
        <f t="shared" si="121"/>
        <v>84512</v>
      </c>
      <c r="AL54" s="34">
        <f t="shared" si="121"/>
        <v>91137</v>
      </c>
      <c r="AM54" s="34">
        <f t="shared" si="121"/>
        <v>95744.059646999987</v>
      </c>
      <c r="AN54" s="34">
        <f t="shared" si="121"/>
        <v>94602.940353000013</v>
      </c>
      <c r="AO54" s="34">
        <f t="shared" si="121"/>
        <v>85096.999999999971</v>
      </c>
      <c r="AP54" s="34">
        <f t="shared" si="121"/>
        <v>79060</v>
      </c>
      <c r="AQ54" s="34">
        <f t="shared" si="121"/>
        <v>78070.179560254008</v>
      </c>
      <c r="AR54" s="34">
        <f t="shared" si="121"/>
        <v>79773</v>
      </c>
      <c r="AS54" s="34">
        <f t="shared" si="121"/>
        <v>75384</v>
      </c>
      <c r="AT54" s="34">
        <f t="shared" si="121"/>
        <v>80000.820439745992</v>
      </c>
      <c r="AU54" s="34">
        <f t="shared" ref="AU54:BA54" si="122">AU52+AU53</f>
        <v>68255.248580711515</v>
      </c>
      <c r="AV54" s="34">
        <f t="shared" si="122"/>
        <v>63128.592404096999</v>
      </c>
      <c r="AW54" s="34">
        <f t="shared" si="122"/>
        <v>62854.824278830056</v>
      </c>
      <c r="AX54" s="34">
        <f t="shared" si="122"/>
        <v>66862.334736361372</v>
      </c>
      <c r="AY54" s="34">
        <f t="shared" si="122"/>
        <v>83634</v>
      </c>
      <c r="AZ54" s="34">
        <f t="shared" si="122"/>
        <v>89279.848651176973</v>
      </c>
      <c r="BA54" s="34">
        <f t="shared" si="122"/>
        <v>93414.378594557027</v>
      </c>
      <c r="BB54" s="34">
        <f t="shared" ref="BB54:BH54" si="123">BB52+BB53</f>
        <v>103014.77275426598</v>
      </c>
      <c r="BC54" s="34">
        <f t="shared" si="123"/>
        <v>104821</v>
      </c>
      <c r="BD54" s="34">
        <f t="shared" si="123"/>
        <v>117563</v>
      </c>
      <c r="BE54" s="34">
        <f t="shared" si="123"/>
        <v>120466</v>
      </c>
      <c r="BF54" s="34">
        <f t="shared" si="123"/>
        <v>117295</v>
      </c>
      <c r="BG54" s="34">
        <f t="shared" si="123"/>
        <v>130463</v>
      </c>
      <c r="BH54" s="34">
        <f t="shared" si="123"/>
        <v>138389</v>
      </c>
      <c r="BI54" s="34">
        <f t="shared" ref="BI54:BN54" si="124">BI52+BI53</f>
        <v>148920</v>
      </c>
      <c r="BJ54" s="34">
        <f t="shared" si="124"/>
        <v>162910</v>
      </c>
      <c r="BK54" s="34">
        <f t="shared" si="124"/>
        <v>167216</v>
      </c>
      <c r="BL54" s="34">
        <f t="shared" si="124"/>
        <v>177957</v>
      </c>
      <c r="BM54" s="34">
        <f t="shared" si="124"/>
        <v>187108</v>
      </c>
      <c r="BN54" s="34">
        <f t="shared" si="124"/>
        <v>189820</v>
      </c>
      <c r="BO54" s="34">
        <f t="shared" ref="BO54:BT54" si="125">BO52+BO53</f>
        <v>199468</v>
      </c>
      <c r="BP54" s="34">
        <f t="shared" si="125"/>
        <v>198441</v>
      </c>
      <c r="BQ54" s="34">
        <f t="shared" si="125"/>
        <v>202546</v>
      </c>
      <c r="BR54" s="34">
        <f t="shared" si="125"/>
        <v>196817</v>
      </c>
      <c r="BS54" s="34">
        <f t="shared" si="125"/>
        <v>200711</v>
      </c>
      <c r="BT54" s="34">
        <f t="shared" si="125"/>
        <v>221009</v>
      </c>
      <c r="BU54" s="34">
        <f t="shared" ref="BU54:BZ54" si="126">BU52+BU53</f>
        <v>250663</v>
      </c>
      <c r="BV54" s="34">
        <f t="shared" si="126"/>
        <v>274946</v>
      </c>
      <c r="BW54" s="34">
        <f t="shared" si="126"/>
        <v>283475</v>
      </c>
      <c r="BX54" s="34">
        <f t="shared" si="126"/>
        <v>302891</v>
      </c>
      <c r="BY54" s="34">
        <f t="shared" si="126"/>
        <v>314851</v>
      </c>
      <c r="BZ54" s="34">
        <f t="shared" si="126"/>
        <v>323701</v>
      </c>
      <c r="CA54" s="37"/>
      <c r="CB54" s="34">
        <f>CB52+CB53</f>
        <v>83173</v>
      </c>
      <c r="CC54" s="34">
        <f>CC52+CC53</f>
        <v>87261</v>
      </c>
      <c r="CD54" s="34">
        <f>CD52+CD53</f>
        <v>100059</v>
      </c>
      <c r="CE54" s="34">
        <f>CE52+CE53</f>
        <v>99865</v>
      </c>
      <c r="CF54" s="34">
        <f>CF52+CF53</f>
        <v>111674</v>
      </c>
      <c r="CH54" s="34">
        <f>CH52+CH53</f>
        <v>357891</v>
      </c>
    </row>
    <row r="55" spans="2:87" s="29" customFormat="1">
      <c r="B55" s="30" t="s">
        <v>145</v>
      </c>
      <c r="D55" s="32"/>
      <c r="E55" s="32"/>
      <c r="F55" s="31">
        <f t="shared" ref="F55:T55" si="127">(F54-E54)/E54</f>
        <v>-1.9167267620601967E-2</v>
      </c>
      <c r="G55" s="31">
        <f t="shared" si="127"/>
        <v>0.1971467636663829</v>
      </c>
      <c r="H55" s="31">
        <f t="shared" si="127"/>
        <v>0.12733182487519304</v>
      </c>
      <c r="I55" s="31">
        <f t="shared" si="127"/>
        <v>8.5477709847299785E-2</v>
      </c>
      <c r="J55" s="31">
        <f t="shared" si="127"/>
        <v>4.0476882302700516E-2</v>
      </c>
      <c r="K55" s="31">
        <f t="shared" si="127"/>
        <v>-0.14449766434229233</v>
      </c>
      <c r="L55" s="31">
        <f>L54/J54-1</f>
        <v>-0.14449766434229228</v>
      </c>
      <c r="M55" s="31">
        <f t="shared" si="127"/>
        <v>-0.13907326257340599</v>
      </c>
      <c r="N55" s="31">
        <f t="shared" si="127"/>
        <v>0.41455988295716983</v>
      </c>
      <c r="O55" s="31">
        <f t="shared" si="127"/>
        <v>0.24584735598075502</v>
      </c>
      <c r="P55" s="31">
        <f t="shared" si="127"/>
        <v>0.26195438394419152</v>
      </c>
      <c r="Q55" s="31">
        <f t="shared" si="127"/>
        <v>0.24353949321659704</v>
      </c>
      <c r="R55" s="31">
        <f t="shared" si="127"/>
        <v>0.10410039592799346</v>
      </c>
      <c r="S55" s="31">
        <f t="shared" si="127"/>
        <v>0.18821305652274256</v>
      </c>
      <c r="T55" s="31">
        <f t="shared" si="127"/>
        <v>0.29302280411557124</v>
      </c>
      <c r="U55" s="31"/>
      <c r="V55" s="34"/>
      <c r="W55" s="31"/>
      <c r="X55" s="31"/>
      <c r="Y55" s="31"/>
      <c r="Z55" s="31"/>
      <c r="AA55" s="31">
        <f t="shared" ref="AA55:AP55" si="128">AA54/W54-1</f>
        <v>0.19310558553303192</v>
      </c>
      <c r="AB55" s="31">
        <f t="shared" si="128"/>
        <v>0.15765803702268855</v>
      </c>
      <c r="AC55" s="31">
        <f t="shared" si="128"/>
        <v>0.2295624166652237</v>
      </c>
      <c r="AD55" s="31">
        <f t="shared" si="128"/>
        <v>0.2086000924031417</v>
      </c>
      <c r="AE55" s="31">
        <f t="shared" si="128"/>
        <v>0.18073614570123309</v>
      </c>
      <c r="AF55" s="31">
        <f t="shared" si="128"/>
        <v>0.12111335826216019</v>
      </c>
      <c r="AG55" s="31">
        <f t="shared" si="128"/>
        <v>9.6484804101061972E-2</v>
      </c>
      <c r="AH55" s="31">
        <f t="shared" si="128"/>
        <v>0.11535100892881522</v>
      </c>
      <c r="AI55" s="31">
        <f t="shared" si="128"/>
        <v>6.8376510779264432E-2</v>
      </c>
      <c r="AJ55" s="31">
        <f t="shared" si="128"/>
        <v>7.0717558044463003E-2</v>
      </c>
      <c r="AK55" s="31">
        <f t="shared" si="128"/>
        <v>8.5477221059121256E-2</v>
      </c>
      <c r="AL55" s="31">
        <f t="shared" si="128"/>
        <v>0.11557622865536454</v>
      </c>
      <c r="AM55" s="31">
        <f t="shared" si="128"/>
        <v>0.15966255234853799</v>
      </c>
      <c r="AN55" s="31">
        <f t="shared" si="128"/>
        <v>0.14667450913917257</v>
      </c>
      <c r="AO55" s="31">
        <f t="shared" si="128"/>
        <v>6.9220939038239226E-3</v>
      </c>
      <c r="AP55" s="31">
        <f t="shared" si="128"/>
        <v>-0.13251478543291972</v>
      </c>
      <c r="AQ55" s="31">
        <f t="shared" ref="AQ55:BR55" si="129">AQ54/AM54-1</f>
        <v>-0.18459505636076057</v>
      </c>
      <c r="AR55" s="31">
        <f t="shared" si="129"/>
        <v>-0.15675982477567607</v>
      </c>
      <c r="AS55" s="31">
        <f t="shared" si="129"/>
        <v>-0.11414033397182011</v>
      </c>
      <c r="AT55" s="31">
        <f t="shared" si="129"/>
        <v>1.1900081453908307E-2</v>
      </c>
      <c r="AU55" s="31">
        <f t="shared" si="129"/>
        <v>-0.12571933399957658</v>
      </c>
      <c r="AV55" s="31">
        <f t="shared" si="129"/>
        <v>-0.20864713118352074</v>
      </c>
      <c r="AW55" s="31">
        <f>AW54/AS54-1</f>
        <v>-0.16620470817640276</v>
      </c>
      <c r="AX55" s="31">
        <f t="shared" si="129"/>
        <v>-0.16422938703835044</v>
      </c>
      <c r="AY55" s="31">
        <f t="shared" si="129"/>
        <v>0.22531236409026012</v>
      </c>
      <c r="AZ55" s="31">
        <f t="shared" si="129"/>
        <v>0.41425375176562262</v>
      </c>
      <c r="BA55" s="31">
        <f t="shared" si="129"/>
        <v>0.48619266168276676</v>
      </c>
      <c r="BB55" s="31">
        <f t="shared" si="129"/>
        <v>0.54069960554703811</v>
      </c>
      <c r="BC55" s="31">
        <f t="shared" si="129"/>
        <v>0.25332998541263119</v>
      </c>
      <c r="BD55" s="31">
        <f t="shared" si="129"/>
        <v>0.31679210679811298</v>
      </c>
      <c r="BE55" s="31">
        <f t="shared" si="129"/>
        <v>0.28958733989821983</v>
      </c>
      <c r="BF55" s="31">
        <f t="shared" si="129"/>
        <v>0.13862310097793862</v>
      </c>
      <c r="BG55" s="31">
        <f>BG54/BC54-1</f>
        <v>0.24462655383940235</v>
      </c>
      <c r="BH55" s="31">
        <f t="shared" si="129"/>
        <v>0.17714757194015118</v>
      </c>
      <c r="BI55" s="31">
        <f t="shared" si="129"/>
        <v>0.2361994255640596</v>
      </c>
      <c r="BJ55" s="31">
        <f t="shared" si="129"/>
        <v>0.38889125708683236</v>
      </c>
      <c r="BK55" s="31">
        <f>BK54/BG54-1</f>
        <v>0.28171205629182228</v>
      </c>
      <c r="BL55" s="31">
        <f t="shared" si="129"/>
        <v>0.28591867850768482</v>
      </c>
      <c r="BM55" s="31">
        <f t="shared" si="129"/>
        <v>0.25643298415256521</v>
      </c>
      <c r="BN55" s="31">
        <f t="shared" si="129"/>
        <v>0.1651832300042968</v>
      </c>
      <c r="BO55" s="31">
        <f>BO54/BK54-1</f>
        <v>0.19287627978183908</v>
      </c>
      <c r="BP55" s="31">
        <f t="shared" si="129"/>
        <v>0.1151064583017245</v>
      </c>
      <c r="BQ55" s="31">
        <f t="shared" si="129"/>
        <v>8.2508497765996003E-2</v>
      </c>
      <c r="BR55" s="31">
        <f t="shared" si="129"/>
        <v>3.68612369613317E-2</v>
      </c>
      <c r="BS55" s="31">
        <f t="shared" ref="BS55:BZ55" si="130">BS54/BO54-1</f>
        <v>6.2315759921391933E-3</v>
      </c>
      <c r="BT55" s="31">
        <f t="shared" si="130"/>
        <v>0.11372649805231783</v>
      </c>
      <c r="BU55" s="31">
        <f t="shared" si="130"/>
        <v>0.23756085037472974</v>
      </c>
      <c r="BV55" s="31">
        <f t="shared" si="130"/>
        <v>0.3969626607457688</v>
      </c>
      <c r="BW55" s="31">
        <f t="shared" si="130"/>
        <v>0.41235408124118766</v>
      </c>
      <c r="BX55" s="31">
        <f t="shared" si="130"/>
        <v>0.37049169943305471</v>
      </c>
      <c r="BY55" s="31">
        <f t="shared" si="130"/>
        <v>0.25607289468329997</v>
      </c>
      <c r="BZ55" s="31">
        <f t="shared" si="130"/>
        <v>0.17732572941595803</v>
      </c>
      <c r="CA55" s="37"/>
      <c r="CB55" s="31"/>
      <c r="CC55" s="31"/>
      <c r="CD55" s="31"/>
      <c r="CE55" s="31"/>
      <c r="CF55" s="31"/>
      <c r="CH55" s="31">
        <f>(CH54-M54)/M54</f>
        <v>0.37069946112806923</v>
      </c>
    </row>
    <row r="56" spans="2:87" s="29" customFormat="1">
      <c r="B56" s="30" t="s">
        <v>156</v>
      </c>
      <c r="D56" s="31">
        <f t="shared" ref="D56:U56" si="131">D54/D10</f>
        <v>0.33676499703029106</v>
      </c>
      <c r="E56" s="31">
        <f t="shared" si="131"/>
        <v>0.34676382716428517</v>
      </c>
      <c r="F56" s="31">
        <f t="shared" si="131"/>
        <v>0.30225743095648616</v>
      </c>
      <c r="G56" s="31">
        <f t="shared" si="131"/>
        <v>0.32427052240160598</v>
      </c>
      <c r="H56" s="31">
        <f t="shared" si="131"/>
        <v>0.3406768972953847</v>
      </c>
      <c r="I56" s="31">
        <f t="shared" si="131"/>
        <v>0.35263488002384619</v>
      </c>
      <c r="J56" s="31">
        <f t="shared" si="131"/>
        <v>0.37086314415167454</v>
      </c>
      <c r="K56" s="31">
        <f t="shared" si="131"/>
        <v>0.36131870802640559</v>
      </c>
      <c r="L56" s="31">
        <f t="shared" si="131"/>
        <v>0.36589188250112198</v>
      </c>
      <c r="M56" s="31">
        <f t="shared" si="131"/>
        <v>0.32206302099137302</v>
      </c>
      <c r="N56" s="31">
        <f t="shared" si="131"/>
        <v>0.42035855494526758</v>
      </c>
      <c r="O56" s="31">
        <f t="shared" si="131"/>
        <v>0.45442559940587762</v>
      </c>
      <c r="P56" s="31">
        <f t="shared" si="131"/>
        <v>0.49596519338715356</v>
      </c>
      <c r="Q56" s="31">
        <f t="shared" si="131"/>
        <v>0.51548670987011835</v>
      </c>
      <c r="R56" s="31">
        <f t="shared" si="131"/>
        <v>0.52653783108723018</v>
      </c>
      <c r="S56" s="31">
        <f t="shared" si="131"/>
        <v>0.54269876815218243</v>
      </c>
      <c r="T56" s="31">
        <f t="shared" si="131"/>
        <v>0.57295356520250473</v>
      </c>
      <c r="U56" s="31">
        <f t="shared" si="131"/>
        <v>0.57295356520250473</v>
      </c>
      <c r="V56" s="34"/>
      <c r="W56" s="31">
        <f t="shared" ref="W56:BB56" si="132">W54/W10</f>
        <v>0.29539641364243946</v>
      </c>
      <c r="X56" s="31">
        <f t="shared" si="132"/>
        <v>0.305892151216755</v>
      </c>
      <c r="Y56" s="31">
        <f t="shared" si="132"/>
        <v>0.29804640043766489</v>
      </c>
      <c r="Z56" s="31">
        <f t="shared" si="132"/>
        <v>0.30932441675484157</v>
      </c>
      <c r="AA56" s="31">
        <f t="shared" si="132"/>
        <v>0.32241642627689715</v>
      </c>
      <c r="AB56" s="31">
        <f t="shared" si="132"/>
        <v>0.32202474519504531</v>
      </c>
      <c r="AC56" s="31">
        <f t="shared" si="132"/>
        <v>0.32333213422158674</v>
      </c>
      <c r="AD56" s="31">
        <f t="shared" si="132"/>
        <v>0.32904022820691359</v>
      </c>
      <c r="AE56" s="31">
        <f t="shared" si="132"/>
        <v>0.33591097780965423</v>
      </c>
      <c r="AF56" s="31">
        <f t="shared" si="132"/>
        <v>0.33703967771425575</v>
      </c>
      <c r="AG56" s="31">
        <f t="shared" si="132"/>
        <v>0.3351845394156216</v>
      </c>
      <c r="AH56" s="31">
        <f t="shared" si="132"/>
        <v>0.35458207102492212</v>
      </c>
      <c r="AI56" s="31">
        <f t="shared" si="132"/>
        <v>0.34864531603662041</v>
      </c>
      <c r="AJ56" s="31">
        <f t="shared" si="132"/>
        <v>0.34589278003010243</v>
      </c>
      <c r="AK56" s="31">
        <f t="shared" si="132"/>
        <v>0.35062273372221348</v>
      </c>
      <c r="AL56" s="31">
        <f t="shared" si="132"/>
        <v>0.36479460115037765</v>
      </c>
      <c r="AM56" s="31">
        <f t="shared" si="132"/>
        <v>0.37439656686179507</v>
      </c>
      <c r="AN56" s="31">
        <f t="shared" si="132"/>
        <v>0.38345029833208361</v>
      </c>
      <c r="AO56" s="31">
        <f t="shared" si="132"/>
        <v>0.36422429474531209</v>
      </c>
      <c r="AP56" s="31">
        <f t="shared" si="132"/>
        <v>0.35968080944105257</v>
      </c>
      <c r="AQ56" s="31">
        <f t="shared" si="132"/>
        <v>0.35475641309353062</v>
      </c>
      <c r="AR56" s="31">
        <f t="shared" si="132"/>
        <v>0.36539148597026411</v>
      </c>
      <c r="AS56" s="31">
        <f t="shared" si="132"/>
        <v>0.36974328287931252</v>
      </c>
      <c r="AT56" s="31">
        <f t="shared" si="132"/>
        <v>0.40589773734497908</v>
      </c>
      <c r="AU56" s="31">
        <f t="shared" si="132"/>
        <v>0.34300966232026869</v>
      </c>
      <c r="AV56" s="31">
        <f t="shared" si="132"/>
        <v>0.31206885724678535</v>
      </c>
      <c r="AW56" s="31">
        <f t="shared" si="132"/>
        <v>0.30965155494539492</v>
      </c>
      <c r="AX56" s="31">
        <f t="shared" si="132"/>
        <v>0.32386936809369588</v>
      </c>
      <c r="AY56" s="31">
        <f t="shared" si="132"/>
        <v>0.40184504504504504</v>
      </c>
      <c r="AZ56" s="31">
        <f t="shared" si="132"/>
        <v>0.42115122718607939</v>
      </c>
      <c r="BA56" s="31">
        <f t="shared" si="132"/>
        <v>0.42419433008753693</v>
      </c>
      <c r="BB56" s="31">
        <f t="shared" si="132"/>
        <v>0.43227757789014165</v>
      </c>
      <c r="BC56" s="31">
        <f t="shared" ref="BC56:BZ56" si="133">BC54/BC10</f>
        <v>0.43651953741530591</v>
      </c>
      <c r="BD56" s="31">
        <f t="shared" si="133"/>
        <v>0.45392346511295673</v>
      </c>
      <c r="BE56" s="31">
        <f t="shared" si="133"/>
        <v>0.45439320443281006</v>
      </c>
      <c r="BF56" s="31">
        <f t="shared" si="133"/>
        <v>0.47229716126434468</v>
      </c>
      <c r="BG56" s="31">
        <f t="shared" si="133"/>
        <v>0.48463944486545119</v>
      </c>
      <c r="BH56" s="31">
        <f t="shared" si="133"/>
        <v>0.4880619859776828</v>
      </c>
      <c r="BI56" s="31">
        <f t="shared" si="133"/>
        <v>0.49547841015710781</v>
      </c>
      <c r="BJ56" s="31">
        <f t="shared" si="133"/>
        <v>0.51308620200938548</v>
      </c>
      <c r="BK56" s="31">
        <f t="shared" si="133"/>
        <v>0.50676429229501041</v>
      </c>
      <c r="BL56" s="31">
        <f t="shared" si="133"/>
        <v>0.51242056281980031</v>
      </c>
      <c r="BM56" s="31">
        <f t="shared" si="133"/>
        <v>0.5188508679496423</v>
      </c>
      <c r="BN56" s="31">
        <f t="shared" si="133"/>
        <v>0.52300799858929459</v>
      </c>
      <c r="BO56" s="31">
        <f t="shared" si="133"/>
        <v>0.52785650584969424</v>
      </c>
      <c r="BP56" s="31">
        <f t="shared" si="133"/>
        <v>0.53095718436782591</v>
      </c>
      <c r="BQ56" s="31">
        <f t="shared" si="133"/>
        <v>0.52829863873362315</v>
      </c>
      <c r="BR56" s="31">
        <f t="shared" si="133"/>
        <v>0.51908692900094944</v>
      </c>
      <c r="BS56" s="31">
        <f t="shared" si="133"/>
        <v>0.5163661342066741</v>
      </c>
      <c r="BT56" s="31">
        <f t="shared" si="133"/>
        <v>0.52964196702453992</v>
      </c>
      <c r="BU56" s="31">
        <f t="shared" si="133"/>
        <v>0.54971161648281763</v>
      </c>
      <c r="BV56" s="31">
        <f t="shared" si="133"/>
        <v>0.56851660394524628</v>
      </c>
      <c r="BW56" s="31">
        <f t="shared" si="133"/>
        <v>0.56727448100313382</v>
      </c>
      <c r="BX56" s="31">
        <f t="shared" si="133"/>
        <v>0.57286408400490985</v>
      </c>
      <c r="BY56" s="31">
        <f t="shared" si="133"/>
        <v>0.57576544467384372</v>
      </c>
      <c r="BZ56" s="31">
        <f t="shared" si="133"/>
        <v>0.57534877189988931</v>
      </c>
      <c r="CA56" s="37"/>
      <c r="CB56" s="31">
        <f>CB54/CB10</f>
        <v>0.39946496582793417</v>
      </c>
      <c r="CC56" s="31">
        <f>CC54/CC10</f>
        <v>0.40865346339909991</v>
      </c>
      <c r="CD56" s="31">
        <f>CD54/CD10</f>
        <v>0.42747286079864655</v>
      </c>
      <c r="CE56" s="31">
        <f>CE54/CE10</f>
        <v>0.42750977110151245</v>
      </c>
      <c r="CF56" s="31">
        <f>CF54/CF10</f>
        <v>0.44388884693200203</v>
      </c>
      <c r="CH56" s="31">
        <f>CH54/CH10</f>
        <v>0.41512802132412813</v>
      </c>
    </row>
    <row r="57" spans="2:87" s="29" customFormat="1">
      <c r="B57" s="61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34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37"/>
      <c r="CB57" s="62"/>
      <c r="CC57" s="62"/>
      <c r="CD57" s="62"/>
      <c r="CE57" s="62"/>
      <c r="CF57" s="62"/>
      <c r="CH57" s="62"/>
    </row>
    <row r="58" spans="2:87">
      <c r="B58" s="1152" t="s">
        <v>178</v>
      </c>
      <c r="C58" s="1126"/>
      <c r="D58" s="1153">
        <f t="shared" ref="D58:J58" si="134">D59-D54</f>
        <v>0</v>
      </c>
      <c r="E58" s="1153">
        <f t="shared" si="134"/>
        <v>-14590</v>
      </c>
      <c r="F58" s="1153">
        <f t="shared" si="134"/>
        <v>762</v>
      </c>
      <c r="G58" s="1153">
        <f t="shared" si="134"/>
        <v>0</v>
      </c>
      <c r="H58" s="1153">
        <f t="shared" si="134"/>
        <v>634</v>
      </c>
      <c r="I58" s="1153">
        <f t="shared" si="134"/>
        <v>969</v>
      </c>
      <c r="J58" s="1153">
        <f t="shared" si="134"/>
        <v>1704</v>
      </c>
      <c r="K58" s="1153">
        <f t="shared" ref="K58:R58" si="135">K59-K54</f>
        <v>1200</v>
      </c>
      <c r="L58" s="1153">
        <f t="shared" si="135"/>
        <v>1200</v>
      </c>
      <c r="M58" s="1153">
        <f t="shared" si="135"/>
        <v>1836</v>
      </c>
      <c r="N58" s="1153">
        <f t="shared" si="135"/>
        <v>1710</v>
      </c>
      <c r="O58" s="1153">
        <f t="shared" si="135"/>
        <v>1242</v>
      </c>
      <c r="P58" s="1153">
        <f t="shared" si="135"/>
        <v>421</v>
      </c>
      <c r="Q58" s="1153">
        <f t="shared" si="135"/>
        <v>-4771</v>
      </c>
      <c r="R58" s="1153">
        <f t="shared" si="135"/>
        <v>91792</v>
      </c>
      <c r="S58" s="1153">
        <f>S59-S54</f>
        <v>102665</v>
      </c>
      <c r="T58" s="1153">
        <f>T59-T54</f>
        <v>-12242</v>
      </c>
      <c r="U58" s="1153">
        <f>U59-U54</f>
        <v>-12242</v>
      </c>
      <c r="V58" s="34"/>
      <c r="W58" s="1153">
        <f t="shared" ref="W58:AO58" si="136">W59-W54</f>
        <v>0</v>
      </c>
      <c r="X58" s="1153">
        <f t="shared" si="136"/>
        <v>0</v>
      </c>
      <c r="Y58" s="1153">
        <f t="shared" si="136"/>
        <v>0</v>
      </c>
      <c r="Z58" s="1153">
        <f t="shared" si="136"/>
        <v>762</v>
      </c>
      <c r="AA58" s="1153">
        <f t="shared" si="136"/>
        <v>0</v>
      </c>
      <c r="AB58" s="1153">
        <f t="shared" si="136"/>
        <v>0</v>
      </c>
      <c r="AC58" s="1153">
        <f t="shared" si="136"/>
        <v>0</v>
      </c>
      <c r="AD58" s="1153">
        <f t="shared" si="136"/>
        <v>0</v>
      </c>
      <c r="AE58" s="1153">
        <f t="shared" si="136"/>
        <v>-4092</v>
      </c>
      <c r="AF58" s="1153">
        <f t="shared" si="136"/>
        <v>615.99519623341621</v>
      </c>
      <c r="AG58" s="1153">
        <f t="shared" si="136"/>
        <v>-362.59870023335679</v>
      </c>
      <c r="AH58" s="1153">
        <f t="shared" si="136"/>
        <v>4472.6035039999406</v>
      </c>
      <c r="AI58" s="1153">
        <f t="shared" si="136"/>
        <v>54.86525200001779</v>
      </c>
      <c r="AJ58" s="1153">
        <f t="shared" si="136"/>
        <v>151.01972199996817</v>
      </c>
      <c r="AK58" s="1153">
        <f t="shared" si="136"/>
        <v>235.50749100011308</v>
      </c>
      <c r="AL58" s="1153">
        <f t="shared" si="136"/>
        <v>527.60753499990096</v>
      </c>
      <c r="AM58" s="1153">
        <f t="shared" si="136"/>
        <v>168.98239900000044</v>
      </c>
      <c r="AN58" s="1153">
        <f t="shared" si="136"/>
        <v>58.707772199806641</v>
      </c>
      <c r="AO58" s="1153">
        <f t="shared" si="136"/>
        <v>607.88388730757288</v>
      </c>
      <c r="AP58" s="1153">
        <f>J58-SUM(AM58:AO58)</f>
        <v>868.42594149262004</v>
      </c>
      <c r="AQ58" s="1153">
        <f t="shared" ref="AQ58:AX58" si="137">AQ59-AQ54</f>
        <v>160.42561708793801</v>
      </c>
      <c r="AR58" s="1153">
        <f t="shared" si="137"/>
        <v>263.77914940295159</v>
      </c>
      <c r="AS58" s="1153">
        <f t="shared" si="137"/>
        <v>487</v>
      </c>
      <c r="AT58" s="1153">
        <f t="shared" si="137"/>
        <v>-9660.2047664908896</v>
      </c>
      <c r="AU58" s="1153">
        <f t="shared" si="137"/>
        <v>114.75141928848461</v>
      </c>
      <c r="AV58" s="1153">
        <f t="shared" si="137"/>
        <v>304.40759590300149</v>
      </c>
      <c r="AW58" s="1153">
        <f t="shared" si="137"/>
        <v>214.17572116994415</v>
      </c>
      <c r="AX58" s="1153">
        <f t="shared" si="137"/>
        <v>1202.6652636386279</v>
      </c>
      <c r="AY58" s="1153">
        <f t="shared" ref="AY58:BD58" si="138">AY59-AY54</f>
        <v>1292.4012623186718</v>
      </c>
      <c r="AZ58" s="1153">
        <f t="shared" si="138"/>
        <v>82.682215203923988</v>
      </c>
      <c r="BA58" s="1153">
        <f t="shared" si="138"/>
        <v>86.593060216880986</v>
      </c>
      <c r="BB58" s="1153">
        <f t="shared" si="138"/>
        <v>248.32346226052323</v>
      </c>
      <c r="BC58" s="1153">
        <f t="shared" si="138"/>
        <v>1571</v>
      </c>
      <c r="BD58" s="1153">
        <f t="shared" si="138"/>
        <v>920</v>
      </c>
      <c r="BE58" s="1153">
        <f t="shared" ref="BE58:BJ58" si="139">BE59-BE54</f>
        <v>1311</v>
      </c>
      <c r="BF58" s="1153">
        <f t="shared" si="139"/>
        <v>-2560</v>
      </c>
      <c r="BG58" s="1153">
        <f t="shared" si="139"/>
        <v>1431</v>
      </c>
      <c r="BH58" s="1153">
        <f t="shared" si="139"/>
        <v>1788</v>
      </c>
      <c r="BI58" s="1153">
        <f t="shared" si="139"/>
        <v>127</v>
      </c>
      <c r="BJ58" s="1153">
        <f t="shared" si="139"/>
        <v>-2925</v>
      </c>
      <c r="BK58" s="1153">
        <f t="shared" ref="BK58:BP58" si="140">BK59-BK54</f>
        <v>-1172</v>
      </c>
      <c r="BL58" s="1153">
        <f t="shared" si="140"/>
        <v>-745</v>
      </c>
      <c r="BM58" s="1153">
        <f t="shared" si="140"/>
        <v>-1101</v>
      </c>
      <c r="BN58" s="1153">
        <f t="shared" si="140"/>
        <v>-1753</v>
      </c>
      <c r="BO58" s="1153">
        <f t="shared" si="140"/>
        <v>-2007</v>
      </c>
      <c r="BP58" s="1153">
        <f t="shared" si="140"/>
        <v>-1791</v>
      </c>
      <c r="BQ58" s="1153">
        <f t="shared" ref="BQ58:BV58" si="141">BQ59-BQ54</f>
        <v>-2103.3610021159693</v>
      </c>
      <c r="BR58" s="1153">
        <f t="shared" si="141"/>
        <v>97693.361002115998</v>
      </c>
      <c r="BS58" s="1153">
        <f t="shared" si="141"/>
        <v>29548</v>
      </c>
      <c r="BT58" s="1153">
        <f t="shared" si="141"/>
        <v>34116</v>
      </c>
      <c r="BU58" s="1153">
        <f t="shared" si="141"/>
        <v>39904</v>
      </c>
      <c r="BV58" s="1153">
        <f t="shared" si="141"/>
        <v>-903</v>
      </c>
      <c r="BW58" s="1153">
        <f>BW59-BW54</f>
        <v>-1807</v>
      </c>
      <c r="BX58" s="1153">
        <f>BX59-BX54</f>
        <v>-3701</v>
      </c>
      <c r="BY58" s="1153">
        <f>BY59-BY54</f>
        <v>-3415</v>
      </c>
      <c r="BZ58" s="1153">
        <f>BZ59-BZ54</f>
        <v>-3319</v>
      </c>
      <c r="CA58" s="37"/>
      <c r="CB58" s="7">
        <f>CB59-CB54</f>
        <v>1753.4012623186718</v>
      </c>
      <c r="CC58" s="7">
        <f>CC59-CC54</f>
        <v>857.97165477390809</v>
      </c>
      <c r="CD58" s="7">
        <f>CD59-CD54</f>
        <v>-2447.3792341568042</v>
      </c>
      <c r="CE58" s="7">
        <f>CE59-CE54</f>
        <v>1321</v>
      </c>
      <c r="CF58" s="7">
        <f>CF59-CF54</f>
        <v>919.25666681012081</v>
      </c>
      <c r="CH58" s="7">
        <f>CH59-CH54</f>
        <v>-10195</v>
      </c>
    </row>
    <row r="59" spans="2:87" s="20" customFormat="1">
      <c r="B59" s="20" t="s">
        <v>179</v>
      </c>
      <c r="D59" s="67">
        <v>200718</v>
      </c>
      <c r="E59" s="67">
        <v>222533</v>
      </c>
      <c r="F59" s="67">
        <v>233340</v>
      </c>
      <c r="G59" s="67">
        <v>278430</v>
      </c>
      <c r="H59" s="67">
        <v>314517</v>
      </c>
      <c r="I59" s="67">
        <v>341682</v>
      </c>
      <c r="J59" s="67">
        <v>356208</v>
      </c>
      <c r="K59" s="67">
        <v>304479</v>
      </c>
      <c r="L59" s="67">
        <v>304479</v>
      </c>
      <c r="M59" s="67">
        <v>262937</v>
      </c>
      <c r="N59" s="67">
        <v>371053</v>
      </c>
      <c r="O59" s="67">
        <v>461387</v>
      </c>
      <c r="P59" s="67">
        <v>581103</v>
      </c>
      <c r="Q59" s="67">
        <v>717330</v>
      </c>
      <c r="R59" s="67">
        <v>889064</v>
      </c>
      <c r="S59" s="67">
        <v>1049994</v>
      </c>
      <c r="T59" s="67">
        <v>1212676</v>
      </c>
      <c r="U59" s="34">
        <f>SUM(BW59:BZ59)</f>
        <v>1212676</v>
      </c>
      <c r="V59" s="34"/>
      <c r="W59" s="67">
        <v>54856</v>
      </c>
      <c r="X59" s="67">
        <v>59369</v>
      </c>
      <c r="Y59" s="67">
        <v>57749</v>
      </c>
      <c r="Z59" s="34">
        <f>F59-SUM(W59:Y59)</f>
        <v>61366</v>
      </c>
      <c r="AA59" s="67">
        <v>65449</v>
      </c>
      <c r="AB59" s="67">
        <v>68729</v>
      </c>
      <c r="AC59" s="67">
        <v>71006</v>
      </c>
      <c r="AD59" s="34">
        <f>G59-SUM(AA59:AC59)</f>
        <v>73246</v>
      </c>
      <c r="AE59" s="67">
        <v>73186</v>
      </c>
      <c r="AF59" s="67">
        <v>77668.995196233416</v>
      </c>
      <c r="AG59" s="67">
        <v>77494.401299766643</v>
      </c>
      <c r="AH59" s="34">
        <f>H59-SUM(AE59:AG59)</f>
        <v>86167.603503999941</v>
      </c>
      <c r="AI59" s="67">
        <v>82616.865252000018</v>
      </c>
      <c r="AJ59" s="67">
        <v>82653.019721999968</v>
      </c>
      <c r="AK59" s="67">
        <v>84747.507491000113</v>
      </c>
      <c r="AL59" s="34">
        <f>I59-SUM(AI59:AK59)</f>
        <v>91664.607534999901</v>
      </c>
      <c r="AM59" s="67">
        <v>95913.042045999988</v>
      </c>
      <c r="AN59" s="67">
        <v>94661.648125199819</v>
      </c>
      <c r="AO59" s="67">
        <v>85704.883887307544</v>
      </c>
      <c r="AP59" s="34">
        <f>J59-SUM(AM59:AO59)</f>
        <v>79928.425941492664</v>
      </c>
      <c r="AQ59" s="67">
        <v>78230.605177341946</v>
      </c>
      <c r="AR59" s="67">
        <v>80036.779149402952</v>
      </c>
      <c r="AS59" s="67">
        <v>75871</v>
      </c>
      <c r="AT59" s="34">
        <f>+K59-AS59-AR59-AQ59</f>
        <v>70340.615673255103</v>
      </c>
      <c r="AU59" s="67">
        <v>68370</v>
      </c>
      <c r="AV59" s="67">
        <v>63433</v>
      </c>
      <c r="AW59" s="67">
        <v>63069</v>
      </c>
      <c r="AX59" s="34">
        <f>M59-AW59-AV59-AU59</f>
        <v>68065</v>
      </c>
      <c r="AY59" s="67">
        <v>84926.401262318672</v>
      </c>
      <c r="AZ59" s="67">
        <v>89362.530866380897</v>
      </c>
      <c r="BA59" s="67">
        <v>93500.971654773908</v>
      </c>
      <c r="BB59" s="34">
        <f>N59-BA59-AZ59-AY59</f>
        <v>103263.09621652651</v>
      </c>
      <c r="BC59" s="67">
        <v>106392</v>
      </c>
      <c r="BD59" s="67">
        <v>118483</v>
      </c>
      <c r="BE59" s="67">
        <v>121777</v>
      </c>
      <c r="BF59" s="34">
        <f>O59-BE59-BD59-BC59</f>
        <v>114735</v>
      </c>
      <c r="BG59" s="67">
        <v>131894</v>
      </c>
      <c r="BH59" s="67">
        <v>140177</v>
      </c>
      <c r="BI59" s="67">
        <v>149047</v>
      </c>
      <c r="BJ59" s="34">
        <f>P59-BI59-BH59-BG59</f>
        <v>159985</v>
      </c>
      <c r="BK59" s="67">
        <v>166044</v>
      </c>
      <c r="BL59" s="67">
        <v>177212</v>
      </c>
      <c r="BM59" s="67">
        <v>186007</v>
      </c>
      <c r="BN59" s="34">
        <f>Q59-BM59-BL59-BK59</f>
        <v>188067</v>
      </c>
      <c r="BO59" s="67">
        <v>197461</v>
      </c>
      <c r="BP59" s="67">
        <v>196650</v>
      </c>
      <c r="BQ59" s="67">
        <v>200442.63899788403</v>
      </c>
      <c r="BR59" s="34">
        <f>R59-BQ59-BP59-BO59</f>
        <v>294510.361002116</v>
      </c>
      <c r="BS59" s="67">
        <v>230259</v>
      </c>
      <c r="BT59" s="67">
        <v>255125</v>
      </c>
      <c r="BU59" s="67">
        <v>290567</v>
      </c>
      <c r="BV59" s="7">
        <f>S59-BU59-BT59-BS59</f>
        <v>274043</v>
      </c>
      <c r="BW59" s="67">
        <v>281668</v>
      </c>
      <c r="BX59" s="67">
        <v>299190</v>
      </c>
      <c r="BY59" s="67">
        <v>311436</v>
      </c>
      <c r="BZ59" s="34">
        <f>T59-SUM(BW59:BY59)</f>
        <v>320382</v>
      </c>
      <c r="CA59" s="37"/>
      <c r="CB59" s="67">
        <v>84926.401262318672</v>
      </c>
      <c r="CC59" s="67">
        <v>88118.971654773908</v>
      </c>
      <c r="CD59" s="67">
        <v>97611.620765843196</v>
      </c>
      <c r="CE59" s="67">
        <v>101186</v>
      </c>
      <c r="CF59" s="67">
        <v>112593.25666681012</v>
      </c>
      <c r="CH59" s="67">
        <v>347696</v>
      </c>
      <c r="CI59" s="1151"/>
    </row>
    <row r="60" spans="2:87" s="29" customFormat="1">
      <c r="B60" s="30" t="s">
        <v>145</v>
      </c>
      <c r="C60" s="31" t="e">
        <f>+C59/B59-1</f>
        <v>#VALUE!</v>
      </c>
      <c r="D60" s="31"/>
      <c r="E60" s="31"/>
      <c r="F60" s="31">
        <f t="shared" ref="F60:T60" si="142">(F59-E59)/E59</f>
        <v>4.8563583828016517E-2</v>
      </c>
      <c r="G60" s="31">
        <f t="shared" si="142"/>
        <v>0.1932373360761121</v>
      </c>
      <c r="H60" s="31">
        <f t="shared" si="142"/>
        <v>0.12960887835362569</v>
      </c>
      <c r="I60" s="31">
        <f t="shared" si="142"/>
        <v>8.6370530050839861E-2</v>
      </c>
      <c r="J60" s="31">
        <f t="shared" si="142"/>
        <v>4.2513214041125957E-2</v>
      </c>
      <c r="K60" s="31">
        <f t="shared" si="142"/>
        <v>-0.14522133135695997</v>
      </c>
      <c r="L60" s="31">
        <f>(L59-J59)/J59</f>
        <v>-0.14522133135695997</v>
      </c>
      <c r="M60" s="31">
        <f t="shared" si="142"/>
        <v>-0.13643633879512215</v>
      </c>
      <c r="N60" s="31">
        <f t="shared" si="142"/>
        <v>0.41118594948599857</v>
      </c>
      <c r="O60" s="31">
        <f t="shared" si="142"/>
        <v>0.24345309160685941</v>
      </c>
      <c r="P60" s="31">
        <f t="shared" si="142"/>
        <v>0.25946981601128771</v>
      </c>
      <c r="Q60" s="31">
        <f t="shared" si="142"/>
        <v>0.23442831993639682</v>
      </c>
      <c r="R60" s="31">
        <f t="shared" si="142"/>
        <v>0.23940724631620036</v>
      </c>
      <c r="S60" s="31">
        <f t="shared" si="142"/>
        <v>0.18101059091359004</v>
      </c>
      <c r="T60" s="31">
        <f t="shared" si="142"/>
        <v>0.15493612344451493</v>
      </c>
      <c r="U60" s="31"/>
      <c r="V60" s="34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>
        <f t="shared" ref="AQ60:BF60" si="143">AQ59/AM59-1</f>
        <v>-0.18435904535461956</v>
      </c>
      <c r="AR60" s="31">
        <f t="shared" si="143"/>
        <v>-0.15449624283378172</v>
      </c>
      <c r="AS60" s="31">
        <f t="shared" si="143"/>
        <v>-0.11474123108594392</v>
      </c>
      <c r="AT60" s="31">
        <f t="shared" si="143"/>
        <v>-0.11995494913481475</v>
      </c>
      <c r="AU60" s="31">
        <f t="shared" si="143"/>
        <v>-0.12604536491810103</v>
      </c>
      <c r="AV60" s="31">
        <f t="shared" si="143"/>
        <v>-0.20745186557806172</v>
      </c>
      <c r="AW60" s="31">
        <f t="shared" si="143"/>
        <v>-0.16873377179686577</v>
      </c>
      <c r="AX60" s="31">
        <f t="shared" si="143"/>
        <v>-3.2351375538504645E-2</v>
      </c>
      <c r="AY60" s="31">
        <f t="shared" si="143"/>
        <v>0.2421588600602409</v>
      </c>
      <c r="AZ60" s="31">
        <f t="shared" si="143"/>
        <v>0.40877036978198888</v>
      </c>
      <c r="BA60" s="31">
        <f t="shared" si="143"/>
        <v>0.48251869626558075</v>
      </c>
      <c r="BB60" s="31">
        <f t="shared" si="143"/>
        <v>0.51712475158343518</v>
      </c>
      <c r="BC60" s="31">
        <f t="shared" si="143"/>
        <v>0.252755308344915</v>
      </c>
      <c r="BD60" s="31">
        <f t="shared" si="143"/>
        <v>0.32586889439334943</v>
      </c>
      <c r="BE60" s="31">
        <f t="shared" si="143"/>
        <v>0.30241427275886923</v>
      </c>
      <c r="BF60" s="31">
        <f t="shared" si="143"/>
        <v>0.11109393581825899</v>
      </c>
      <c r="BG60" s="31">
        <f>BG59/CE59-1</f>
        <v>0.30348071867649673</v>
      </c>
      <c r="BH60" s="31">
        <f>BH59/CF59-1</f>
        <v>0.24498574914496563</v>
      </c>
      <c r="BI60" s="31">
        <f t="shared" ref="BI60:BZ60" si="144">BI59/BE59-1</f>
        <v>0.22393391198666412</v>
      </c>
      <c r="BJ60" s="31">
        <f t="shared" si="144"/>
        <v>0.39438706584738736</v>
      </c>
      <c r="BK60" s="31">
        <f t="shared" si="144"/>
        <v>0.25892004185179007</v>
      </c>
      <c r="BL60" s="31">
        <f t="shared" si="144"/>
        <v>0.26420168786605513</v>
      </c>
      <c r="BM60" s="31">
        <f t="shared" si="144"/>
        <v>0.24797547082463911</v>
      </c>
      <c r="BN60" s="31">
        <f t="shared" si="144"/>
        <v>0.17552895583961003</v>
      </c>
      <c r="BO60" s="31">
        <f t="shared" si="144"/>
        <v>0.18920888439208894</v>
      </c>
      <c r="BP60" s="31">
        <f t="shared" si="144"/>
        <v>0.10968783152382455</v>
      </c>
      <c r="BQ60" s="31">
        <f t="shared" si="144"/>
        <v>7.7608041621465951E-2</v>
      </c>
      <c r="BR60" s="31">
        <f t="shared" si="144"/>
        <v>0.56598638252386646</v>
      </c>
      <c r="BS60" s="31">
        <f t="shared" si="144"/>
        <v>0.16609862200637093</v>
      </c>
      <c r="BT60" s="31">
        <f t="shared" si="144"/>
        <v>0.29735570811085688</v>
      </c>
      <c r="BU60" s="31">
        <f t="shared" si="144"/>
        <v>0.44962669346549244</v>
      </c>
      <c r="BV60" s="31">
        <f t="shared" si="144"/>
        <v>-6.9496234130686285E-2</v>
      </c>
      <c r="BW60" s="31">
        <f t="shared" si="144"/>
        <v>0.22326597440273788</v>
      </c>
      <c r="BX60" s="31">
        <f t="shared" si="144"/>
        <v>0.17271925526702603</v>
      </c>
      <c r="BY60" s="31">
        <f t="shared" si="144"/>
        <v>7.1821645265979894E-2</v>
      </c>
      <c r="BZ60" s="31">
        <f t="shared" si="144"/>
        <v>0.16909390132205537</v>
      </c>
      <c r="CA60" s="37"/>
      <c r="CB60" s="31">
        <f>CB59/AU59-1</f>
        <v>0.2421588600602409</v>
      </c>
      <c r="CC60" s="31">
        <f>CC59/AY59-1</f>
        <v>3.7592201541592374E-2</v>
      </c>
      <c r="CD60" s="31">
        <f>CD59/AX59-1</f>
        <v>0.43409418593760662</v>
      </c>
      <c r="CE60" s="31">
        <f>CE59/AW59-1</f>
        <v>0.60436981718435367</v>
      </c>
      <c r="CF60" s="31">
        <f>CF59/AV59-1</f>
        <v>0.7749949815838777</v>
      </c>
      <c r="CH60" s="31">
        <f>(CH59-M59)/M59</f>
        <v>0.32235478460619843</v>
      </c>
    </row>
    <row r="61" spans="2:87" s="29" customFormat="1">
      <c r="B61" s="30" t="s">
        <v>156</v>
      </c>
      <c r="D61" s="31">
        <f t="shared" ref="D61:U61" si="145">D59/D10</f>
        <v>0.33676499703029106</v>
      </c>
      <c r="E61" s="31">
        <f t="shared" si="145"/>
        <v>0.3254277094602796</v>
      </c>
      <c r="F61" s="31">
        <f t="shared" si="145"/>
        <v>0.30324772308381054</v>
      </c>
      <c r="G61" s="31">
        <f t="shared" si="145"/>
        <v>0.32427052240160598</v>
      </c>
      <c r="H61" s="31">
        <f t="shared" si="145"/>
        <v>0.34136501724098633</v>
      </c>
      <c r="I61" s="31">
        <f t="shared" si="145"/>
        <v>0.35363778627850367</v>
      </c>
      <c r="J61" s="31">
        <f t="shared" si="145"/>
        <v>0.37264577790935977</v>
      </c>
      <c r="K61" s="31">
        <f t="shared" si="145"/>
        <v>0.36274835679744377</v>
      </c>
      <c r="L61" s="31">
        <f t="shared" si="145"/>
        <v>0.36733962619257887</v>
      </c>
      <c r="M61" s="31">
        <f t="shared" si="145"/>
        <v>0.32432769139301898</v>
      </c>
      <c r="N61" s="31">
        <f t="shared" si="145"/>
        <v>0.42230474894097453</v>
      </c>
      <c r="O61" s="31">
        <f t="shared" si="145"/>
        <v>0.45565216189044683</v>
      </c>
      <c r="P61" s="31">
        <f t="shared" si="145"/>
        <v>0.49632477289265914</v>
      </c>
      <c r="Q61" s="31">
        <f t="shared" si="145"/>
        <v>0.51208083300138352</v>
      </c>
      <c r="R61" s="31">
        <f t="shared" si="145"/>
        <v>0.58715950172304709</v>
      </c>
      <c r="S61" s="31">
        <f t="shared" si="145"/>
        <v>0.60151272722273108</v>
      </c>
      <c r="T61" s="31">
        <f t="shared" si="145"/>
        <v>0.56722738798475703</v>
      </c>
      <c r="U61" s="31">
        <f t="shared" si="145"/>
        <v>0.56722738798475703</v>
      </c>
      <c r="V61" s="1114"/>
      <c r="W61" s="31">
        <f t="shared" ref="W61:BB61" si="146">W59/W10</f>
        <v>0.29539641364243946</v>
      </c>
      <c r="X61" s="31">
        <f t="shared" si="146"/>
        <v>0.305892151216755</v>
      </c>
      <c r="Y61" s="31">
        <f t="shared" si="146"/>
        <v>0.29804640043766489</v>
      </c>
      <c r="Z61" s="31">
        <f t="shared" si="146"/>
        <v>0.31321368488181656</v>
      </c>
      <c r="AA61" s="31">
        <f t="shared" si="146"/>
        <v>0.32241642627689715</v>
      </c>
      <c r="AB61" s="31">
        <f t="shared" si="146"/>
        <v>0.32202474519504531</v>
      </c>
      <c r="AC61" s="31">
        <f t="shared" si="146"/>
        <v>0.32333213422158674</v>
      </c>
      <c r="AD61" s="31">
        <f t="shared" si="146"/>
        <v>0.32904022820691359</v>
      </c>
      <c r="AE61" s="31">
        <f t="shared" si="146"/>
        <v>0.31812392688704877</v>
      </c>
      <c r="AF61" s="31">
        <f t="shared" si="146"/>
        <v>0.33973411949344717</v>
      </c>
      <c r="AG61" s="31">
        <f t="shared" si="146"/>
        <v>0.33362350471957086</v>
      </c>
      <c r="AH61" s="31">
        <f t="shared" si="146"/>
        <v>0.37399458113351652</v>
      </c>
      <c r="AI61" s="31">
        <f t="shared" si="146"/>
        <v>0.34887700268572014</v>
      </c>
      <c r="AJ61" s="31">
        <f t="shared" si="146"/>
        <v>0.34652593597155767</v>
      </c>
      <c r="AK61" s="31">
        <f t="shared" si="146"/>
        <v>0.35159980538430308</v>
      </c>
      <c r="AL61" s="31">
        <f t="shared" si="146"/>
        <v>0.3669064589062202</v>
      </c>
      <c r="AM61" s="31">
        <f t="shared" si="146"/>
        <v>0.37505735386287825</v>
      </c>
      <c r="AN61" s="31">
        <f t="shared" si="146"/>
        <v>0.38368825618709773</v>
      </c>
      <c r="AO61" s="31">
        <f t="shared" si="146"/>
        <v>0.36682610303634045</v>
      </c>
      <c r="AP61" s="31">
        <f t="shared" si="146"/>
        <v>0.36363168403725404</v>
      </c>
      <c r="AQ61" s="31">
        <f t="shared" si="146"/>
        <v>0.35548539843475824</v>
      </c>
      <c r="AR61" s="31">
        <f t="shared" si="146"/>
        <v>0.36659969746247723</v>
      </c>
      <c r="AS61" s="31">
        <f t="shared" si="146"/>
        <v>0.37213191944359975</v>
      </c>
      <c r="AT61" s="31">
        <f t="shared" si="146"/>
        <v>0.35688504928184794</v>
      </c>
      <c r="AU61" s="31">
        <f t="shared" si="146"/>
        <v>0.3435863336590943</v>
      </c>
      <c r="AV61" s="31">
        <f t="shared" si="146"/>
        <v>0.3135736608068363</v>
      </c>
      <c r="AW61" s="31">
        <f t="shared" si="146"/>
        <v>0.31070668230996479</v>
      </c>
      <c r="AX61" s="31">
        <f t="shared" si="146"/>
        <v>0.32969486671707937</v>
      </c>
      <c r="AY61" s="31">
        <f t="shared" si="146"/>
        <v>0.4080547808399696</v>
      </c>
      <c r="AZ61" s="31">
        <f t="shared" si="146"/>
        <v>0.42154125603274162</v>
      </c>
      <c r="BA61" s="31">
        <f t="shared" si="146"/>
        <v>0.42458754883738653</v>
      </c>
      <c r="BB61" s="31">
        <f t="shared" si="146"/>
        <v>0.4333196096485899</v>
      </c>
      <c r="BC61" s="31">
        <f t="shared" ref="BC61:BZ61" si="147">BC59/BC10</f>
        <v>0.44306185425333883</v>
      </c>
      <c r="BD61" s="31">
        <f t="shared" si="147"/>
        <v>0.45747568467101429</v>
      </c>
      <c r="BE61" s="31">
        <f t="shared" si="147"/>
        <v>0.4593382469428246</v>
      </c>
      <c r="BF61" s="31">
        <f t="shared" si="147"/>
        <v>0.46198912824642641</v>
      </c>
      <c r="BG61" s="31">
        <f t="shared" si="147"/>
        <v>0.48995527422398549</v>
      </c>
      <c r="BH61" s="31">
        <f t="shared" si="147"/>
        <v>0.49436779663407959</v>
      </c>
      <c r="BI61" s="31">
        <f t="shared" si="147"/>
        <v>0.49590095755228608</v>
      </c>
      <c r="BJ61" s="31">
        <f t="shared" si="147"/>
        <v>0.50387389373563041</v>
      </c>
      <c r="BK61" s="31">
        <f t="shared" si="147"/>
        <v>0.50321243272074867</v>
      </c>
      <c r="BL61" s="31">
        <f t="shared" si="147"/>
        <v>0.51027536302827348</v>
      </c>
      <c r="BM61" s="31">
        <f t="shared" si="147"/>
        <v>0.51579779269036663</v>
      </c>
      <c r="BN61" s="31">
        <f t="shared" si="147"/>
        <v>0.51817798583232999</v>
      </c>
      <c r="BO61" s="31">
        <f t="shared" si="147"/>
        <v>0.52254533810729775</v>
      </c>
      <c r="BP61" s="31">
        <f t="shared" si="147"/>
        <v>0.52616510855081844</v>
      </c>
      <c r="BQ61" s="31">
        <f t="shared" si="147"/>
        <v>0.52281246396747993</v>
      </c>
      <c r="BR61" s="31">
        <f t="shared" si="147"/>
        <v>0.77674427946543934</v>
      </c>
      <c r="BS61" s="31">
        <f t="shared" si="147"/>
        <v>0.59238382398719835</v>
      </c>
      <c r="BT61" s="31">
        <f t="shared" si="147"/>
        <v>0.61140001917177911</v>
      </c>
      <c r="BU61" s="31">
        <f t="shared" si="147"/>
        <v>0.63722230750674358</v>
      </c>
      <c r="BV61" s="31">
        <f t="shared" si="147"/>
        <v>0.56664943550721636</v>
      </c>
      <c r="BW61" s="31">
        <f t="shared" si="147"/>
        <v>0.5636584126120141</v>
      </c>
      <c r="BX61" s="31">
        <f t="shared" si="147"/>
        <v>0.56586430528945719</v>
      </c>
      <c r="BY61" s="31">
        <f t="shared" si="147"/>
        <v>0.56952046214699392</v>
      </c>
      <c r="BZ61" s="31">
        <f t="shared" si="147"/>
        <v>0.56944955449266554</v>
      </c>
      <c r="CA61" s="37"/>
      <c r="CB61" s="31">
        <f>CB59/CB10</f>
        <v>0.40788623685741232</v>
      </c>
      <c r="CC61" s="31">
        <f>CC59/CC10</f>
        <v>0.41267144495124364</v>
      </c>
      <c r="CD61" s="31">
        <f>CD59/CD10</f>
        <v>0.41701714764256653</v>
      </c>
      <c r="CE61" s="31">
        <f>CE59/CE10</f>
        <v>0.43316480947957381</v>
      </c>
      <c r="CF61" s="31">
        <f>CF59/CF10</f>
        <v>0.44754276621370503</v>
      </c>
      <c r="CH61" s="31">
        <f>CH59/CH10</f>
        <v>0.40330254882719613</v>
      </c>
    </row>
    <row r="62" spans="2:87" s="20" customFormat="1" hidden="1">
      <c r="B62" s="20" t="s">
        <v>180</v>
      </c>
      <c r="C62" s="28">
        <v>15.555</v>
      </c>
      <c r="D62" s="28">
        <v>40590</v>
      </c>
      <c r="E62" s="28">
        <v>45361</v>
      </c>
      <c r="F62" s="28">
        <v>49925</v>
      </c>
      <c r="G62" s="28">
        <v>53825</v>
      </c>
      <c r="H62" s="28">
        <v>57451</v>
      </c>
      <c r="I62" s="28">
        <v>63941</v>
      </c>
      <c r="J62" s="28">
        <v>71059</v>
      </c>
      <c r="K62" s="28">
        <v>66386</v>
      </c>
      <c r="L62" s="7">
        <f>K62</f>
        <v>66386</v>
      </c>
      <c r="M62" s="71">
        <v>78255</v>
      </c>
      <c r="N62" s="837"/>
      <c r="O62" s="837"/>
      <c r="P62" s="837"/>
      <c r="Q62" s="837"/>
      <c r="R62" s="837"/>
      <c r="S62" s="837"/>
      <c r="T62" s="837"/>
      <c r="U62" s="837"/>
      <c r="V62" s="7"/>
      <c r="W62" s="7">
        <f>$F$62/4</f>
        <v>12481.25</v>
      </c>
      <c r="X62" s="7">
        <f>$F$62/4</f>
        <v>12481.25</v>
      </c>
      <c r="Y62" s="7">
        <f>$F$62/4</f>
        <v>12481.25</v>
      </c>
      <c r="Z62" s="7">
        <f>$F$62/4</f>
        <v>12481.25</v>
      </c>
      <c r="AA62" s="7">
        <f>$G$62/4</f>
        <v>13456.25</v>
      </c>
      <c r="AB62" s="7">
        <f>$G$62/4</f>
        <v>13456.25</v>
      </c>
      <c r="AC62" s="7">
        <f>$G$62/4</f>
        <v>13456.25</v>
      </c>
      <c r="AD62" s="7">
        <f>$G$62/4</f>
        <v>13456.25</v>
      </c>
      <c r="AE62" s="7">
        <f>$H$62/4</f>
        <v>14362.75</v>
      </c>
      <c r="AF62" s="7">
        <f>$H$62/4</f>
        <v>14362.75</v>
      </c>
      <c r="AG62" s="7">
        <f>$H$62/4</f>
        <v>14362.75</v>
      </c>
      <c r="AH62" s="7">
        <f>$H$62/4</f>
        <v>14362.75</v>
      </c>
      <c r="AI62" s="7">
        <f>$I$62/4</f>
        <v>15985.25</v>
      </c>
      <c r="AJ62" s="7">
        <f>$I$62/4</f>
        <v>15985.25</v>
      </c>
      <c r="AK62" s="7">
        <f>$I$62/4</f>
        <v>15985.25</v>
      </c>
      <c r="AL62" s="7">
        <f>$I$62/4</f>
        <v>15985.25</v>
      </c>
      <c r="AM62" s="7">
        <f>$J$62/4</f>
        <v>17764.75</v>
      </c>
      <c r="AN62" s="7">
        <f>$J$62/4</f>
        <v>17764.75</v>
      </c>
      <c r="AO62" s="7">
        <f>$J$62/4</f>
        <v>17764.75</v>
      </c>
      <c r="AP62" s="7">
        <f>$J$62/4</f>
        <v>17764.75</v>
      </c>
      <c r="AQ62" s="7">
        <f>$K$62/4</f>
        <v>16596.5</v>
      </c>
      <c r="AR62" s="7">
        <f>$K$62/4</f>
        <v>16596.5</v>
      </c>
      <c r="AS62" s="7">
        <f>$K$62/4</f>
        <v>16596.5</v>
      </c>
      <c r="AT62" s="7">
        <f>$K$62/4</f>
        <v>16596.5</v>
      </c>
      <c r="AU62" s="7">
        <f>$M$62/4</f>
        <v>19563.75</v>
      </c>
      <c r="AV62" s="7">
        <f>$M$62/4</f>
        <v>19563.75</v>
      </c>
      <c r="AW62" s="7">
        <f>$M$62/4</f>
        <v>19563.75</v>
      </c>
      <c r="AX62" s="7">
        <f>$M$62/4</f>
        <v>19563.75</v>
      </c>
      <c r="AY62" s="837"/>
      <c r="AZ62" s="837"/>
      <c r="BA62" s="837"/>
      <c r="BB62" s="837"/>
      <c r="BC62" s="837"/>
      <c r="BD62" s="837"/>
      <c r="BE62" s="837"/>
      <c r="BF62" s="837"/>
      <c r="BG62" s="837"/>
      <c r="BH62" s="837"/>
      <c r="BI62" s="837"/>
      <c r="BJ62" s="837"/>
      <c r="BK62" s="837"/>
      <c r="BL62" s="837"/>
      <c r="BM62" s="837"/>
      <c r="BN62" s="837"/>
      <c r="BO62" s="837"/>
      <c r="BP62" s="837"/>
      <c r="BQ62" s="837"/>
      <c r="BR62" s="837"/>
      <c r="BS62" s="837"/>
      <c r="BT62" s="837"/>
      <c r="BU62" s="837"/>
      <c r="BV62" s="837"/>
      <c r="BW62" s="837"/>
      <c r="BX62" s="837"/>
      <c r="BY62" s="837"/>
      <c r="BZ62" s="837"/>
      <c r="CA62" s="37"/>
      <c r="CB62" s="837"/>
      <c r="CC62" s="837"/>
      <c r="CD62" s="837"/>
      <c r="CE62" s="837"/>
      <c r="CF62" s="837"/>
      <c r="CH62" s="837"/>
    </row>
    <row r="63" spans="2:87" s="20" customFormat="1" hidden="1">
      <c r="B63" s="20" t="s">
        <v>181</v>
      </c>
      <c r="C63" s="20">
        <f>C59+C62</f>
        <v>15.555</v>
      </c>
      <c r="D63" s="34">
        <f t="shared" ref="D63:I63" si="148">D62+D59</f>
        <v>241308</v>
      </c>
      <c r="E63" s="34">
        <f t="shared" si="148"/>
        <v>267894</v>
      </c>
      <c r="F63" s="34">
        <f t="shared" si="148"/>
        <v>283265</v>
      </c>
      <c r="G63" s="34">
        <f t="shared" si="148"/>
        <v>332255</v>
      </c>
      <c r="H63" s="34">
        <f t="shared" si="148"/>
        <v>371968</v>
      </c>
      <c r="I63" s="34">
        <f t="shared" si="148"/>
        <v>405623</v>
      </c>
      <c r="J63" s="34">
        <f>J62+J59</f>
        <v>427267</v>
      </c>
      <c r="K63" s="34">
        <f>K62+K59</f>
        <v>370865</v>
      </c>
      <c r="L63" s="34">
        <f>L62+L59</f>
        <v>370865</v>
      </c>
      <c r="M63" s="34">
        <f>M62+M59</f>
        <v>341192</v>
      </c>
      <c r="N63" s="838"/>
      <c r="O63" s="838"/>
      <c r="P63" s="838"/>
      <c r="Q63" s="838"/>
      <c r="R63" s="838"/>
      <c r="S63" s="838"/>
      <c r="T63" s="838"/>
      <c r="U63" s="838"/>
      <c r="V63" s="34"/>
      <c r="W63" s="34">
        <f t="shared" ref="W63:AM63" si="149">W59+W62</f>
        <v>67337.25</v>
      </c>
      <c r="X63" s="34">
        <f t="shared" si="149"/>
        <v>71850.25</v>
      </c>
      <c r="Y63" s="34">
        <f t="shared" si="149"/>
        <v>70230.25</v>
      </c>
      <c r="Z63" s="34">
        <f t="shared" si="149"/>
        <v>73847.25</v>
      </c>
      <c r="AA63" s="34">
        <f t="shared" si="149"/>
        <v>78905.25</v>
      </c>
      <c r="AB63" s="34">
        <f t="shared" si="149"/>
        <v>82185.25</v>
      </c>
      <c r="AC63" s="34">
        <f t="shared" si="149"/>
        <v>84462.25</v>
      </c>
      <c r="AD63" s="34">
        <f t="shared" si="149"/>
        <v>86702.25</v>
      </c>
      <c r="AE63" s="34">
        <f t="shared" si="149"/>
        <v>87548.75</v>
      </c>
      <c r="AF63" s="34">
        <f t="shared" si="149"/>
        <v>92031.745196233416</v>
      </c>
      <c r="AG63" s="34">
        <f t="shared" si="149"/>
        <v>91857.151299766643</v>
      </c>
      <c r="AH63" s="34">
        <f t="shared" si="149"/>
        <v>100530.35350399994</v>
      </c>
      <c r="AI63" s="34">
        <f t="shared" si="149"/>
        <v>98602.115252000018</v>
      </c>
      <c r="AJ63" s="34">
        <f t="shared" si="149"/>
        <v>98638.269721999968</v>
      </c>
      <c r="AK63" s="34">
        <f t="shared" si="149"/>
        <v>100732.75749100011</v>
      </c>
      <c r="AL63" s="34">
        <f t="shared" si="149"/>
        <v>107649.8575349999</v>
      </c>
      <c r="AM63" s="34">
        <f t="shared" si="149"/>
        <v>113677.79204599999</v>
      </c>
      <c r="AN63" s="34">
        <f t="shared" ref="AN63:AS63" si="150">AN59+AN62</f>
        <v>112426.39812519982</v>
      </c>
      <c r="AO63" s="34">
        <f t="shared" si="150"/>
        <v>103469.63388730754</v>
      </c>
      <c r="AP63" s="34">
        <f t="shared" si="150"/>
        <v>97693.175941492664</v>
      </c>
      <c r="AQ63" s="34">
        <f t="shared" si="150"/>
        <v>94827.105177341946</v>
      </c>
      <c r="AR63" s="34">
        <f t="shared" si="150"/>
        <v>96633.279149402952</v>
      </c>
      <c r="AS63" s="34">
        <f t="shared" si="150"/>
        <v>92467.5</v>
      </c>
      <c r="AT63" s="34">
        <f>AT59+AT62</f>
        <v>86937.115673255103</v>
      </c>
      <c r="AU63" s="34">
        <f>AU59+AU62</f>
        <v>87933.75</v>
      </c>
      <c r="AV63" s="34">
        <f>AV59+AV62</f>
        <v>82996.75</v>
      </c>
      <c r="AW63" s="34">
        <f>AW59+AW62</f>
        <v>82632.75</v>
      </c>
      <c r="AX63" s="34">
        <f>AX59+AX62</f>
        <v>87628.75</v>
      </c>
      <c r="AY63" s="838"/>
      <c r="AZ63" s="838"/>
      <c r="BA63" s="838"/>
      <c r="BB63" s="838"/>
      <c r="BC63" s="838"/>
      <c r="BD63" s="838"/>
      <c r="BE63" s="838"/>
      <c r="BF63" s="838"/>
      <c r="BG63" s="838"/>
      <c r="BH63" s="838"/>
      <c r="BI63" s="838"/>
      <c r="BJ63" s="838"/>
      <c r="BK63" s="838"/>
      <c r="BL63" s="838"/>
      <c r="BM63" s="838"/>
      <c r="BN63" s="838"/>
      <c r="BO63" s="838"/>
      <c r="BP63" s="838"/>
      <c r="BQ63" s="838"/>
      <c r="BR63" s="838"/>
      <c r="BS63" s="838"/>
      <c r="BT63" s="838"/>
      <c r="BU63" s="838"/>
      <c r="BV63" s="838"/>
      <c r="BW63" s="838"/>
      <c r="BX63" s="838"/>
      <c r="BY63" s="838"/>
      <c r="BZ63" s="838"/>
      <c r="CA63" s="37"/>
      <c r="CB63" s="838"/>
      <c r="CC63" s="838"/>
      <c r="CD63" s="838"/>
      <c r="CE63" s="838"/>
      <c r="CF63" s="838"/>
      <c r="CH63" s="838"/>
    </row>
    <row r="64" spans="2:87" s="29" customFormat="1" hidden="1">
      <c r="B64" s="30" t="s">
        <v>182</v>
      </c>
      <c r="C64" s="29" t="e">
        <f>C62/C18</f>
        <v>#DIV/0!</v>
      </c>
      <c r="D64" s="31">
        <f t="shared" ref="D64:M64" si="151">D62/D7</f>
        <v>6.8174603574505818E-2</v>
      </c>
      <c r="E64" s="31">
        <f t="shared" si="151"/>
        <v>6.6388395751587587E-2</v>
      </c>
      <c r="F64" s="31">
        <f t="shared" si="151"/>
        <v>6.4918184833065995E-2</v>
      </c>
      <c r="G64" s="31">
        <f t="shared" si="151"/>
        <v>6.2772538776762199E-2</v>
      </c>
      <c r="H64" s="31">
        <f t="shared" si="151"/>
        <v>6.2420007083922757E-2</v>
      </c>
      <c r="I64" s="31">
        <f t="shared" si="151"/>
        <v>6.6238070030590859E-2</v>
      </c>
      <c r="J64" s="31">
        <f t="shared" si="151"/>
        <v>7.4432036602725724E-2</v>
      </c>
      <c r="K64" s="31">
        <f t="shared" si="151"/>
        <v>7.9325685075142288E-2</v>
      </c>
      <c r="L64" s="36">
        <f t="shared" si="151"/>
        <v>8.0332725063771496E-2</v>
      </c>
      <c r="M64" s="36">
        <f t="shared" si="151"/>
        <v>9.6873986447173932E-2</v>
      </c>
      <c r="N64" s="36"/>
      <c r="O64" s="36"/>
      <c r="P64" s="36"/>
      <c r="Q64" s="36"/>
      <c r="R64" s="36"/>
      <c r="S64" s="36"/>
      <c r="T64" s="36"/>
      <c r="U64" s="36"/>
      <c r="V64" s="1115"/>
      <c r="W64" s="31">
        <f t="shared" ref="W64:AX64" si="152">W62/W7</f>
        <v>6.7247752146442949E-2</v>
      </c>
      <c r="X64" s="31">
        <f t="shared" si="152"/>
        <v>6.4336756585715013E-2</v>
      </c>
      <c r="Y64" s="31">
        <f t="shared" si="152"/>
        <v>6.4461135228521441E-2</v>
      </c>
      <c r="Z64" s="31">
        <f t="shared" si="152"/>
        <v>6.3738137748938065E-2</v>
      </c>
      <c r="AA64" s="31">
        <f t="shared" si="152"/>
        <v>6.6404956736923301E-2</v>
      </c>
      <c r="AB64" s="31">
        <f t="shared" si="152"/>
        <v>6.3102685514936308E-2</v>
      </c>
      <c r="AC64" s="31">
        <f t="shared" si="152"/>
        <v>6.133623538528158E-2</v>
      </c>
      <c r="AD64" s="31">
        <f t="shared" si="152"/>
        <v>6.0561088783174989E-2</v>
      </c>
      <c r="AE64" s="31">
        <f t="shared" si="152"/>
        <v>6.2551172392167786E-2</v>
      </c>
      <c r="AF64" s="31">
        <f t="shared" si="152"/>
        <v>6.2869880762698505E-2</v>
      </c>
      <c r="AG64" s="31">
        <f t="shared" si="152"/>
        <v>6.1862808016505073E-2</v>
      </c>
      <c r="AH64" s="31">
        <f t="shared" si="152"/>
        <v>6.2404683800047794E-2</v>
      </c>
      <c r="AI64" s="31">
        <f t="shared" si="152"/>
        <v>6.7531230329222799E-2</v>
      </c>
      <c r="AJ64" s="31">
        <f t="shared" si="152"/>
        <v>6.7064319487155827E-2</v>
      </c>
      <c r="AK64" s="31">
        <f t="shared" si="152"/>
        <v>6.6422822333675455E-2</v>
      </c>
      <c r="AL64" s="31">
        <f t="shared" si="152"/>
        <v>6.4044495905383095E-2</v>
      </c>
      <c r="AM64" s="31">
        <f t="shared" si="152"/>
        <v>6.953888008142016E-2</v>
      </c>
      <c r="AN64" s="31">
        <f t="shared" si="152"/>
        <v>7.2063566111595645E-2</v>
      </c>
      <c r="AO64" s="31">
        <f t="shared" si="152"/>
        <v>7.6126921412256757E-2</v>
      </c>
      <c r="AP64" s="31">
        <f t="shared" si="152"/>
        <v>8.0989623699543184E-2</v>
      </c>
      <c r="AQ64" s="31">
        <f t="shared" si="152"/>
        <v>7.5582586835837351E-2</v>
      </c>
      <c r="AR64" s="31">
        <f t="shared" si="152"/>
        <v>7.6211490157001224E-2</v>
      </c>
      <c r="AS64" s="31">
        <f t="shared" si="152"/>
        <v>8.16813166261455E-2</v>
      </c>
      <c r="AT64" s="62">
        <f t="shared" si="152"/>
        <v>8.4528096239743708E-2</v>
      </c>
      <c r="AU64" s="31">
        <f t="shared" si="152"/>
        <v>9.8810666664100905E-2</v>
      </c>
      <c r="AV64" s="31">
        <f t="shared" si="152"/>
        <v>9.7101371245127313E-2</v>
      </c>
      <c r="AW64" s="31">
        <f t="shared" si="152"/>
        <v>9.6701529733929106E-2</v>
      </c>
      <c r="AX64" s="31">
        <f t="shared" si="152"/>
        <v>9.4959764293449156E-2</v>
      </c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7"/>
      <c r="CB64" s="31"/>
      <c r="CC64" s="31"/>
      <c r="CD64" s="31"/>
      <c r="CE64" s="31"/>
      <c r="CF64" s="31"/>
      <c r="CH64" s="36"/>
    </row>
    <row r="65" spans="2:86" hidden="1">
      <c r="B65" s="17" t="s">
        <v>183</v>
      </c>
      <c r="C65" s="101"/>
      <c r="D65" s="71">
        <v>86980</v>
      </c>
      <c r="E65" s="71">
        <v>105426</v>
      </c>
      <c r="F65" s="71">
        <v>121835</v>
      </c>
      <c r="G65" s="71">
        <v>132118</v>
      </c>
      <c r="H65" s="71">
        <v>128932</v>
      </c>
      <c r="I65" s="71">
        <v>135280</v>
      </c>
      <c r="J65" s="71">
        <v>142585</v>
      </c>
      <c r="K65" s="71">
        <v>132963</v>
      </c>
      <c r="L65" s="7">
        <f>K65</f>
        <v>132963</v>
      </c>
      <c r="M65" s="71">
        <v>213475</v>
      </c>
      <c r="N65" s="839"/>
      <c r="O65" s="839"/>
      <c r="P65" s="839"/>
      <c r="Q65" s="839"/>
      <c r="R65" s="839"/>
      <c r="S65" s="839"/>
      <c r="T65" s="839"/>
      <c r="U65" s="839"/>
      <c r="V65" s="38"/>
      <c r="W65" s="839"/>
      <c r="X65" s="839"/>
      <c r="Y65" s="839"/>
      <c r="Z65" s="839"/>
      <c r="AA65" s="839"/>
      <c r="AB65" s="839"/>
      <c r="AC65" s="839"/>
      <c r="AD65" s="839"/>
      <c r="AE65" s="839"/>
      <c r="AF65" s="839"/>
      <c r="AG65" s="839"/>
      <c r="AH65" s="839"/>
      <c r="AI65" s="839"/>
      <c r="AJ65" s="839"/>
      <c r="AK65" s="839"/>
      <c r="AL65" s="839"/>
      <c r="AM65" s="839"/>
      <c r="AN65" s="839"/>
      <c r="AO65" s="839"/>
      <c r="AP65" s="839"/>
      <c r="AQ65" s="839"/>
      <c r="AR65" s="839"/>
      <c r="AS65" s="839"/>
      <c r="AT65" s="839"/>
      <c r="AU65" s="839"/>
      <c r="AV65" s="839"/>
      <c r="AW65" s="839"/>
      <c r="AX65" s="839"/>
      <c r="AY65" s="839"/>
      <c r="AZ65" s="839"/>
      <c r="BA65" s="839"/>
      <c r="BB65" s="839"/>
      <c r="BC65" s="839"/>
      <c r="BD65" s="839"/>
      <c r="BE65" s="839"/>
      <c r="BF65" s="839"/>
      <c r="BG65" s="839"/>
      <c r="BH65" s="839"/>
      <c r="BI65" s="839"/>
      <c r="BJ65" s="839"/>
      <c r="BK65" s="839"/>
      <c r="BL65" s="839"/>
      <c r="BM65" s="839"/>
      <c r="BN65" s="839"/>
      <c r="BO65" s="839"/>
      <c r="BP65" s="839"/>
      <c r="BQ65" s="839"/>
      <c r="BR65" s="839"/>
      <c r="BS65" s="839"/>
      <c r="BT65" s="839"/>
      <c r="BU65" s="839"/>
      <c r="BV65" s="839"/>
      <c r="BW65" s="839"/>
      <c r="BX65" s="839"/>
      <c r="BY65" s="839"/>
      <c r="BZ65" s="839"/>
      <c r="CA65" s="37"/>
      <c r="CB65" s="839"/>
      <c r="CC65" s="839"/>
      <c r="CD65" s="839"/>
      <c r="CE65" s="839"/>
      <c r="CF65" s="839"/>
      <c r="CH65" s="839"/>
    </row>
    <row r="66" spans="2:86" hidden="1">
      <c r="B66" s="17" t="s">
        <v>184</v>
      </c>
      <c r="C66" s="102"/>
      <c r="D66" s="71">
        <v>15086</v>
      </c>
      <c r="E66" s="71">
        <v>28255</v>
      </c>
      <c r="F66" s="71">
        <v>26313</v>
      </c>
      <c r="G66" s="71">
        <v>24378</v>
      </c>
      <c r="H66" s="71">
        <v>26379</v>
      </c>
      <c r="I66" s="71">
        <v>39218</v>
      </c>
      <c r="J66" s="71">
        <v>55145</v>
      </c>
      <c r="K66" s="71">
        <v>59468</v>
      </c>
      <c r="L66" s="7">
        <f>K66</f>
        <v>59468</v>
      </c>
      <c r="M66" s="7"/>
      <c r="N66" s="839"/>
      <c r="O66" s="839"/>
      <c r="P66" s="839"/>
      <c r="Q66" s="839"/>
      <c r="R66" s="839"/>
      <c r="S66" s="839"/>
      <c r="T66" s="839"/>
      <c r="U66" s="839"/>
      <c r="V66" s="38"/>
      <c r="W66" s="839"/>
      <c r="X66" s="839"/>
      <c r="Y66" s="839"/>
      <c r="Z66" s="839"/>
      <c r="AA66" s="839"/>
      <c r="AB66" s="839"/>
      <c r="AC66" s="839"/>
      <c r="AD66" s="839"/>
      <c r="AE66" s="839"/>
      <c r="AF66" s="839"/>
      <c r="AG66" s="839"/>
      <c r="AH66" s="839"/>
      <c r="AI66" s="839"/>
      <c r="AJ66" s="839"/>
      <c r="AK66" s="839"/>
      <c r="AL66" s="839"/>
      <c r="AM66" s="839"/>
      <c r="AN66" s="839"/>
      <c r="AO66" s="839"/>
      <c r="AP66" s="839"/>
      <c r="AQ66" s="839"/>
      <c r="AR66" s="839"/>
      <c r="AS66" s="839"/>
      <c r="AT66" s="839"/>
      <c r="AU66" s="839"/>
      <c r="AV66" s="839"/>
      <c r="AW66" s="839"/>
      <c r="AX66" s="839"/>
      <c r="AY66" s="839"/>
      <c r="AZ66" s="839"/>
      <c r="BA66" s="839"/>
      <c r="BB66" s="839"/>
      <c r="BC66" s="839"/>
      <c r="BD66" s="839"/>
      <c r="BE66" s="839"/>
      <c r="BF66" s="839"/>
      <c r="BG66" s="839"/>
      <c r="BH66" s="839"/>
      <c r="BI66" s="839"/>
      <c r="BJ66" s="839"/>
      <c r="BK66" s="839"/>
      <c r="BL66" s="839"/>
      <c r="BM66" s="839"/>
      <c r="BN66" s="839"/>
      <c r="BO66" s="839"/>
      <c r="BP66" s="839"/>
      <c r="BQ66" s="839"/>
      <c r="BR66" s="839"/>
      <c r="BS66" s="839"/>
      <c r="BT66" s="839"/>
      <c r="BU66" s="839"/>
      <c r="BV66" s="839"/>
      <c r="BW66" s="839"/>
      <c r="BX66" s="839"/>
      <c r="BY66" s="839"/>
      <c r="BZ66" s="839"/>
      <c r="CA66" s="37"/>
      <c r="CB66" s="839"/>
      <c r="CC66" s="839"/>
      <c r="CD66" s="839"/>
      <c r="CE66" s="839"/>
      <c r="CF66" s="839"/>
      <c r="CH66" s="839"/>
    </row>
    <row r="67" spans="2:86" s="20" customFormat="1" hidden="1">
      <c r="B67" s="1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7"/>
      <c r="V67" s="7"/>
      <c r="W67" s="67"/>
      <c r="X67" s="67"/>
      <c r="Y67" s="67"/>
      <c r="Z67" s="34"/>
      <c r="AA67" s="67"/>
      <c r="AB67" s="67"/>
      <c r="AC67" s="67"/>
      <c r="AD67" s="34"/>
      <c r="AE67" s="67"/>
      <c r="AF67" s="67"/>
      <c r="AG67" s="67"/>
      <c r="AH67" s="34"/>
      <c r="AI67" s="67"/>
      <c r="AJ67" s="67"/>
      <c r="AK67" s="67"/>
      <c r="AL67" s="34"/>
      <c r="AM67" s="67"/>
      <c r="AN67" s="67"/>
      <c r="AO67" s="67"/>
      <c r="AP67" s="34"/>
      <c r="AQ67" s="67"/>
      <c r="AR67" s="67"/>
      <c r="AS67" s="67"/>
      <c r="AT67" s="34"/>
      <c r="AU67" s="67"/>
      <c r="AV67" s="67"/>
      <c r="AW67" s="67"/>
      <c r="AX67" s="34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37"/>
      <c r="CB67" s="67"/>
      <c r="CC67" s="67"/>
      <c r="CD67" s="67"/>
      <c r="CE67" s="67"/>
      <c r="CF67" s="67"/>
      <c r="CH67" s="67"/>
    </row>
    <row r="68" spans="2:86" s="20" customFormat="1" hidden="1">
      <c r="B68" s="20" t="s">
        <v>185</v>
      </c>
      <c r="D68" s="34">
        <f t="shared" ref="D68:M68" si="153">D7</f>
        <v>595383</v>
      </c>
      <c r="E68" s="34">
        <f t="shared" si="153"/>
        <v>683267</v>
      </c>
      <c r="F68" s="34">
        <f t="shared" si="153"/>
        <v>769044.91597199999</v>
      </c>
      <c r="G68" s="34">
        <f t="shared" si="153"/>
        <v>857460.93831599993</v>
      </c>
      <c r="H68" s="34">
        <f t="shared" si="153"/>
        <v>920394</v>
      </c>
      <c r="I68" s="34">
        <f t="shared" si="153"/>
        <v>965321</v>
      </c>
      <c r="J68" s="34">
        <f t="shared" si="153"/>
        <v>954683</v>
      </c>
      <c r="K68" s="34">
        <f t="shared" si="153"/>
        <v>836879</v>
      </c>
      <c r="L68" s="34">
        <f t="shared" si="153"/>
        <v>826388</v>
      </c>
      <c r="M68" s="34">
        <f t="shared" si="153"/>
        <v>807802</v>
      </c>
      <c r="N68" s="836"/>
      <c r="O68" s="836"/>
      <c r="P68" s="836"/>
      <c r="Q68" s="836"/>
      <c r="R68" s="836"/>
      <c r="S68" s="836"/>
      <c r="T68" s="836"/>
      <c r="U68" s="836"/>
      <c r="V68" s="67"/>
      <c r="W68" s="34">
        <f t="shared" ref="W68:AX68" si="154">W7</f>
        <v>185600.99931400002</v>
      </c>
      <c r="X68" s="34">
        <f t="shared" si="154"/>
        <v>193998.74445599999</v>
      </c>
      <c r="Y68" s="34">
        <f t="shared" si="154"/>
        <v>193624.42122299998</v>
      </c>
      <c r="Z68" s="34">
        <f t="shared" si="154"/>
        <v>195820.750979</v>
      </c>
      <c r="AA68" s="34">
        <f t="shared" si="154"/>
        <v>202639.240521</v>
      </c>
      <c r="AB68" s="34">
        <f t="shared" si="154"/>
        <v>213243.69779499999</v>
      </c>
      <c r="AC68" s="34">
        <f t="shared" si="154"/>
        <v>219385</v>
      </c>
      <c r="AD68" s="34">
        <f t="shared" si="154"/>
        <v>222193</v>
      </c>
      <c r="AE68" s="34">
        <f t="shared" si="154"/>
        <v>229616</v>
      </c>
      <c r="AF68" s="34">
        <f t="shared" si="154"/>
        <v>228452</v>
      </c>
      <c r="AG68" s="34">
        <f t="shared" si="154"/>
        <v>232171</v>
      </c>
      <c r="AH68" s="34">
        <f t="shared" si="154"/>
        <v>230155</v>
      </c>
      <c r="AI68" s="34">
        <f t="shared" si="154"/>
        <v>236709</v>
      </c>
      <c r="AJ68" s="34">
        <f t="shared" si="154"/>
        <v>238357</v>
      </c>
      <c r="AK68" s="34">
        <f t="shared" si="154"/>
        <v>240659</v>
      </c>
      <c r="AL68" s="34">
        <f t="shared" si="154"/>
        <v>249596</v>
      </c>
      <c r="AM68" s="34">
        <f t="shared" si="154"/>
        <v>255465</v>
      </c>
      <c r="AN68" s="34">
        <f t="shared" si="154"/>
        <v>246515</v>
      </c>
      <c r="AO68" s="34">
        <f t="shared" si="154"/>
        <v>233357</v>
      </c>
      <c r="AP68" s="34">
        <f t="shared" si="154"/>
        <v>219346</v>
      </c>
      <c r="AQ68" s="34">
        <f t="shared" si="154"/>
        <v>219581</v>
      </c>
      <c r="AR68" s="34">
        <f t="shared" si="154"/>
        <v>217769</v>
      </c>
      <c r="AS68" s="34">
        <f t="shared" si="154"/>
        <v>203186</v>
      </c>
      <c r="AT68" s="34">
        <f t="shared" si="154"/>
        <v>196343</v>
      </c>
      <c r="AU68" s="34">
        <f t="shared" si="154"/>
        <v>197992.28828710801</v>
      </c>
      <c r="AV68" s="34">
        <f t="shared" si="154"/>
        <v>201477.58727950751</v>
      </c>
      <c r="AW68" s="34">
        <f t="shared" si="154"/>
        <v>202310.65686167506</v>
      </c>
      <c r="AX68" s="34">
        <f t="shared" si="154"/>
        <v>206021.46757170936</v>
      </c>
      <c r="AY68" s="67">
        <v>207114</v>
      </c>
      <c r="AZ68" s="836"/>
      <c r="BA68" s="836"/>
      <c r="BB68" s="836"/>
      <c r="BC68" s="836"/>
      <c r="BD68" s="836"/>
      <c r="BE68" s="836"/>
      <c r="BF68" s="836"/>
      <c r="BG68" s="836"/>
      <c r="BH68" s="836"/>
      <c r="BI68" s="836"/>
      <c r="BJ68" s="836"/>
      <c r="BK68" s="836"/>
      <c r="BL68" s="836"/>
      <c r="BM68" s="836"/>
      <c r="BN68" s="836"/>
      <c r="BO68" s="836"/>
      <c r="BP68" s="836"/>
      <c r="BQ68" s="836"/>
      <c r="BR68" s="836"/>
      <c r="BS68" s="836"/>
      <c r="BT68" s="836"/>
      <c r="BU68" s="836"/>
      <c r="BV68" s="836"/>
      <c r="BW68" s="836"/>
      <c r="BX68" s="836"/>
      <c r="BY68" s="836"/>
      <c r="BZ68" s="836"/>
      <c r="CA68" s="37"/>
      <c r="CB68" s="836"/>
      <c r="CC68" s="836"/>
      <c r="CD68" s="836"/>
      <c r="CE68" s="836"/>
      <c r="CF68" s="836"/>
      <c r="CH68" s="836"/>
    </row>
    <row r="69" spans="2:86" s="29" customFormat="1" hidden="1">
      <c r="B69" s="30" t="s">
        <v>145</v>
      </c>
      <c r="C69" s="31" t="e">
        <f>+C68/B68-1</f>
        <v>#VALUE!</v>
      </c>
      <c r="D69" s="31"/>
      <c r="E69" s="31">
        <f>E68/D68-1</f>
        <v>0.14760918601975526</v>
      </c>
      <c r="F69" s="31">
        <f t="shared" ref="F69:M69" si="155">F68/E68-1</f>
        <v>0.12554084416779965</v>
      </c>
      <c r="G69" s="31">
        <f t="shared" si="155"/>
        <v>0.11496860652443219</v>
      </c>
      <c r="H69" s="31">
        <f t="shared" si="155"/>
        <v>7.3394668925206963E-2</v>
      </c>
      <c r="I69" s="31">
        <f t="shared" si="155"/>
        <v>4.8812791043835624E-2</v>
      </c>
      <c r="J69" s="31">
        <f t="shared" si="155"/>
        <v>-1.1020168420660115E-2</v>
      </c>
      <c r="K69" s="31">
        <f t="shared" si="155"/>
        <v>-0.12339593351929379</v>
      </c>
      <c r="L69" s="31">
        <f>L68/J68-1</f>
        <v>-0.13438492148702763</v>
      </c>
      <c r="M69" s="31">
        <f t="shared" si="155"/>
        <v>-2.2490646040358775E-2</v>
      </c>
      <c r="N69" s="31"/>
      <c r="O69" s="31"/>
      <c r="P69" s="31"/>
      <c r="Q69" s="31"/>
      <c r="R69" s="31"/>
      <c r="S69" s="31"/>
      <c r="T69" s="31"/>
      <c r="U69" s="31"/>
      <c r="V69" s="1114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>
        <f t="shared" ref="AM69:AY69" si="156">AM68/AI68-1</f>
        <v>7.9236530930382854E-2</v>
      </c>
      <c r="AN69" s="31">
        <f t="shared" si="156"/>
        <v>3.4225971966420188E-2</v>
      </c>
      <c r="AO69" s="31">
        <f t="shared" si="156"/>
        <v>-3.0341686785036126E-2</v>
      </c>
      <c r="AP69" s="31">
        <f t="shared" si="156"/>
        <v>-0.1211958524976362</v>
      </c>
      <c r="AQ69" s="31">
        <f t="shared" si="156"/>
        <v>-0.14046542579218291</v>
      </c>
      <c r="AR69" s="31">
        <f t="shared" si="156"/>
        <v>-0.11660953694501353</v>
      </c>
      <c r="AS69" s="31">
        <f t="shared" si="156"/>
        <v>-0.12929117189542205</v>
      </c>
      <c r="AT69" s="31">
        <f t="shared" si="156"/>
        <v>-0.1048708433251575</v>
      </c>
      <c r="AU69" s="31">
        <f t="shared" si="156"/>
        <v>-9.8317758425783608E-2</v>
      </c>
      <c r="AV69" s="31">
        <f t="shared" si="156"/>
        <v>-7.4810522712105421E-2</v>
      </c>
      <c r="AW69" s="31">
        <f t="shared" si="156"/>
        <v>-4.3080878521400967E-3</v>
      </c>
      <c r="AX69" s="31">
        <f t="shared" si="156"/>
        <v>4.92936726631934E-2</v>
      </c>
      <c r="AY69" s="31">
        <f t="shared" si="156"/>
        <v>4.6071045452359405E-2</v>
      </c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7"/>
      <c r="CB69" s="31"/>
      <c r="CC69" s="31"/>
      <c r="CD69" s="31"/>
      <c r="CE69" s="31"/>
      <c r="CF69" s="31"/>
      <c r="CH69" s="31"/>
    </row>
    <row r="70" spans="2:86" s="20" customFormat="1" hidden="1">
      <c r="B70" s="20" t="s">
        <v>186</v>
      </c>
      <c r="D70" s="34">
        <f>D59</f>
        <v>200718</v>
      </c>
      <c r="E70" s="34">
        <f>E59</f>
        <v>222533</v>
      </c>
      <c r="F70" s="34">
        <f t="shared" ref="F70:K70" si="157">F59</f>
        <v>233340</v>
      </c>
      <c r="G70" s="34">
        <f t="shared" si="157"/>
        <v>278430</v>
      </c>
      <c r="H70" s="34">
        <f t="shared" si="157"/>
        <v>314517</v>
      </c>
      <c r="I70" s="34">
        <f t="shared" si="157"/>
        <v>341682</v>
      </c>
      <c r="J70" s="34">
        <f t="shared" si="157"/>
        <v>356208</v>
      </c>
      <c r="K70" s="34">
        <f t="shared" si="157"/>
        <v>304479</v>
      </c>
      <c r="L70" s="34">
        <f>L59</f>
        <v>304479</v>
      </c>
      <c r="M70" s="34">
        <f>M59</f>
        <v>262937</v>
      </c>
      <c r="N70" s="836"/>
      <c r="O70" s="836"/>
      <c r="P70" s="836"/>
      <c r="Q70" s="836"/>
      <c r="R70" s="836"/>
      <c r="S70" s="836"/>
      <c r="T70" s="836"/>
      <c r="U70" s="836"/>
      <c r="V70" s="67"/>
      <c r="W70" s="67"/>
      <c r="X70" s="67"/>
      <c r="Y70" s="67"/>
      <c r="Z70" s="34"/>
      <c r="AA70" s="67"/>
      <c r="AB70" s="67"/>
      <c r="AC70" s="67"/>
      <c r="AD70" s="34"/>
      <c r="AE70" s="67"/>
      <c r="AF70" s="67"/>
      <c r="AG70" s="67"/>
      <c r="AH70" s="34"/>
      <c r="AI70" s="34">
        <f t="shared" ref="AI70:AP70" si="158">AI59</f>
        <v>82616.865252000018</v>
      </c>
      <c r="AJ70" s="34">
        <f t="shared" si="158"/>
        <v>82653.019721999968</v>
      </c>
      <c r="AK70" s="34">
        <f t="shared" si="158"/>
        <v>84747.507491000113</v>
      </c>
      <c r="AL70" s="34">
        <f t="shared" si="158"/>
        <v>91664.607534999901</v>
      </c>
      <c r="AM70" s="34">
        <f t="shared" si="158"/>
        <v>95913.042045999988</v>
      </c>
      <c r="AN70" s="34">
        <f t="shared" si="158"/>
        <v>94661.648125199819</v>
      </c>
      <c r="AO70" s="34">
        <f t="shared" si="158"/>
        <v>85704.883887307544</v>
      </c>
      <c r="AP70" s="34">
        <f t="shared" si="158"/>
        <v>79928.425941492664</v>
      </c>
      <c r="AQ70" s="34">
        <f>AQ59</f>
        <v>78230.605177341946</v>
      </c>
      <c r="AR70" s="34">
        <f t="shared" ref="AR70:AX70" si="159">AR59</f>
        <v>80036.779149402952</v>
      </c>
      <c r="AS70" s="34">
        <f t="shared" si="159"/>
        <v>75871</v>
      </c>
      <c r="AT70" s="34">
        <f t="shared" si="159"/>
        <v>70340.615673255103</v>
      </c>
      <c r="AU70" s="34">
        <f t="shared" si="159"/>
        <v>68370</v>
      </c>
      <c r="AV70" s="34">
        <f t="shared" si="159"/>
        <v>63433</v>
      </c>
      <c r="AW70" s="34">
        <f t="shared" si="159"/>
        <v>63069</v>
      </c>
      <c r="AX70" s="34">
        <f t="shared" si="159"/>
        <v>68065</v>
      </c>
      <c r="AY70" s="67">
        <v>69804</v>
      </c>
      <c r="AZ70" s="836"/>
      <c r="BA70" s="836"/>
      <c r="BB70" s="836"/>
      <c r="BC70" s="836"/>
      <c r="BD70" s="836"/>
      <c r="BE70" s="836"/>
      <c r="BF70" s="836"/>
      <c r="BG70" s="836"/>
      <c r="BH70" s="836"/>
      <c r="BI70" s="836"/>
      <c r="BJ70" s="836"/>
      <c r="BK70" s="836"/>
      <c r="BL70" s="836"/>
      <c r="BM70" s="836"/>
      <c r="BN70" s="836"/>
      <c r="BO70" s="836"/>
      <c r="BP70" s="836"/>
      <c r="BQ70" s="836"/>
      <c r="BR70" s="836"/>
      <c r="BS70" s="836"/>
      <c r="BT70" s="836"/>
      <c r="BU70" s="836"/>
      <c r="BV70" s="836"/>
      <c r="BW70" s="836"/>
      <c r="BX70" s="836"/>
      <c r="BY70" s="836"/>
      <c r="BZ70" s="836"/>
      <c r="CA70" s="37"/>
      <c r="CB70" s="836"/>
      <c r="CC70" s="836"/>
      <c r="CD70" s="836"/>
      <c r="CE70" s="836"/>
      <c r="CF70" s="836"/>
      <c r="CH70" s="836"/>
    </row>
    <row r="71" spans="2:86" s="29" customFormat="1" hidden="1">
      <c r="B71" s="30" t="s">
        <v>145</v>
      </c>
      <c r="C71" s="31" t="e">
        <f>+C70/B70-1</f>
        <v>#VALUE!</v>
      </c>
      <c r="D71" s="31"/>
      <c r="E71" s="31">
        <f>E70/D70-1</f>
        <v>0.10868482149084779</v>
      </c>
      <c r="F71" s="31">
        <f t="shared" ref="F71:M71" si="160">F70/E70-1</f>
        <v>4.856358382801651E-2</v>
      </c>
      <c r="G71" s="31">
        <f t="shared" si="160"/>
        <v>0.19323733607611215</v>
      </c>
      <c r="H71" s="31">
        <f t="shared" si="160"/>
        <v>0.12960887835362578</v>
      </c>
      <c r="I71" s="31">
        <f t="shared" si="160"/>
        <v>8.6370530050839944E-2</v>
      </c>
      <c r="J71" s="31">
        <f t="shared" si="160"/>
        <v>4.2513214041125957E-2</v>
      </c>
      <c r="K71" s="31">
        <f t="shared" si="160"/>
        <v>-0.14522133135696003</v>
      </c>
      <c r="L71" s="31">
        <f>L70/J70-1</f>
        <v>-0.14522133135696003</v>
      </c>
      <c r="M71" s="31">
        <f t="shared" si="160"/>
        <v>-0.13643633879512218</v>
      </c>
      <c r="N71" s="31"/>
      <c r="O71" s="31"/>
      <c r="P71" s="31"/>
      <c r="Q71" s="31"/>
      <c r="R71" s="31"/>
      <c r="S71" s="31"/>
      <c r="T71" s="31"/>
      <c r="U71" s="31"/>
      <c r="V71" s="1114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>
        <f t="shared" ref="AM71:AY71" si="161">AM70/AI70-1</f>
        <v>0.16093780311615125</v>
      </c>
      <c r="AN71" s="31">
        <f t="shared" si="161"/>
        <v>0.14528965116568493</v>
      </c>
      <c r="AO71" s="31">
        <f t="shared" si="161"/>
        <v>1.1296808893277444E-2</v>
      </c>
      <c r="AP71" s="31">
        <f t="shared" si="161"/>
        <v>-0.12803394798833412</v>
      </c>
      <c r="AQ71" s="31">
        <f t="shared" si="161"/>
        <v>-0.18435904535461956</v>
      </c>
      <c r="AR71" s="31">
        <f t="shared" si="161"/>
        <v>-0.15449624283378172</v>
      </c>
      <c r="AS71" s="31">
        <f t="shared" si="161"/>
        <v>-0.11474123108594392</v>
      </c>
      <c r="AT71" s="31">
        <f t="shared" si="161"/>
        <v>-0.11995494913481475</v>
      </c>
      <c r="AU71" s="31">
        <f t="shared" si="161"/>
        <v>-0.12604536491810103</v>
      </c>
      <c r="AV71" s="31">
        <f t="shared" si="161"/>
        <v>-0.20745186557806172</v>
      </c>
      <c r="AW71" s="31">
        <f t="shared" si="161"/>
        <v>-0.16873377179686577</v>
      </c>
      <c r="AX71" s="31">
        <f t="shared" si="161"/>
        <v>-3.2351375538504645E-2</v>
      </c>
      <c r="AY71" s="31">
        <f t="shared" si="161"/>
        <v>2.0974111452391364E-2</v>
      </c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7"/>
      <c r="CB71" s="31"/>
      <c r="CC71" s="31"/>
      <c r="CD71" s="31"/>
      <c r="CE71" s="31"/>
      <c r="CF71" s="31"/>
      <c r="CH71" s="31"/>
    </row>
    <row r="72" spans="2:86" s="29" customFormat="1" hidden="1">
      <c r="B72" s="30"/>
      <c r="D72" s="31">
        <f>D70/D68</f>
        <v>0.33712417049193544</v>
      </c>
      <c r="E72" s="31">
        <f>E70/E68</f>
        <v>0.32568966450889625</v>
      </c>
      <c r="F72" s="31">
        <f>F70/F68</f>
        <v>0.30341530794086369</v>
      </c>
      <c r="G72" s="31">
        <f>G70/G68</f>
        <v>0.32471450016932463</v>
      </c>
      <c r="H72" s="31">
        <f>H70/H68</f>
        <v>0.34171995906101083</v>
      </c>
      <c r="I72" s="31">
        <f t="shared" ref="I72:AW72" si="162">I70/I68</f>
        <v>0.35395687030531814</v>
      </c>
      <c r="J72" s="31">
        <f t="shared" si="162"/>
        <v>0.37311652140029727</v>
      </c>
      <c r="K72" s="31">
        <f t="shared" si="162"/>
        <v>0.36382678977486588</v>
      </c>
      <c r="L72" s="31">
        <f t="shared" si="162"/>
        <v>0.36844557278179257</v>
      </c>
      <c r="M72" s="31">
        <f t="shared" si="162"/>
        <v>0.32549684204792756</v>
      </c>
      <c r="N72" s="31"/>
      <c r="O72" s="31"/>
      <c r="P72" s="31"/>
      <c r="Q72" s="31"/>
      <c r="R72" s="31"/>
      <c r="S72" s="31"/>
      <c r="T72" s="31"/>
      <c r="U72" s="31"/>
      <c r="V72" s="1114"/>
      <c r="W72" s="31">
        <f t="shared" si="162"/>
        <v>0</v>
      </c>
      <c r="X72" s="31">
        <f t="shared" si="162"/>
        <v>0</v>
      </c>
      <c r="Y72" s="31">
        <f t="shared" si="162"/>
        <v>0</v>
      </c>
      <c r="Z72" s="31">
        <f t="shared" si="162"/>
        <v>0</v>
      </c>
      <c r="AA72" s="31">
        <f t="shared" si="162"/>
        <v>0</v>
      </c>
      <c r="AB72" s="31">
        <f t="shared" si="162"/>
        <v>0</v>
      </c>
      <c r="AC72" s="31">
        <f t="shared" si="162"/>
        <v>0</v>
      </c>
      <c r="AD72" s="31">
        <f t="shared" si="162"/>
        <v>0</v>
      </c>
      <c r="AE72" s="31">
        <f t="shared" si="162"/>
        <v>0</v>
      </c>
      <c r="AF72" s="31">
        <f t="shared" si="162"/>
        <v>0</v>
      </c>
      <c r="AG72" s="31">
        <f t="shared" si="162"/>
        <v>0</v>
      </c>
      <c r="AH72" s="31">
        <f t="shared" si="162"/>
        <v>0</v>
      </c>
      <c r="AI72" s="31">
        <f t="shared" si="162"/>
        <v>0.34902291527571838</v>
      </c>
      <c r="AJ72" s="31">
        <f t="shared" si="162"/>
        <v>0.34676145329065211</v>
      </c>
      <c r="AK72" s="31">
        <f t="shared" si="162"/>
        <v>0.35214767571958711</v>
      </c>
      <c r="AL72" s="31">
        <f t="shared" si="162"/>
        <v>0.3672519092253077</v>
      </c>
      <c r="AM72" s="31">
        <f t="shared" si="162"/>
        <v>0.37544494175718784</v>
      </c>
      <c r="AN72" s="31">
        <f t="shared" si="162"/>
        <v>0.38399954617447141</v>
      </c>
      <c r="AO72" s="31">
        <f t="shared" si="162"/>
        <v>0.3672693936213936</v>
      </c>
      <c r="AP72" s="31">
        <f t="shared" si="162"/>
        <v>0.36439427179658013</v>
      </c>
      <c r="AQ72" s="31">
        <f t="shared" si="162"/>
        <v>0.35627219648941366</v>
      </c>
      <c r="AR72" s="31">
        <f t="shared" si="162"/>
        <v>0.36753063635964234</v>
      </c>
      <c r="AS72" s="31">
        <f t="shared" si="162"/>
        <v>0.37340663234671678</v>
      </c>
      <c r="AT72" s="31">
        <f t="shared" si="162"/>
        <v>0.35825374815122057</v>
      </c>
      <c r="AU72" s="31">
        <f t="shared" si="162"/>
        <v>0.34531647970478968</v>
      </c>
      <c r="AV72" s="31">
        <f t="shared" si="162"/>
        <v>0.31483898956959483</v>
      </c>
      <c r="AW72" s="31">
        <f t="shared" si="162"/>
        <v>0.31174334055532171</v>
      </c>
      <c r="AX72" s="31">
        <f>AX70/AX68</f>
        <v>0.33037819214790709</v>
      </c>
      <c r="AY72" s="31">
        <f>AY70/AY68</f>
        <v>0.33703177959964076</v>
      </c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7"/>
      <c r="CB72" s="31"/>
      <c r="CC72" s="31"/>
      <c r="CD72" s="31"/>
      <c r="CE72" s="31"/>
      <c r="CF72" s="31"/>
      <c r="CH72" s="31"/>
    </row>
    <row r="73" spans="2:86" s="29" customFormat="1">
      <c r="B73" s="61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CA73" s="37"/>
      <c r="CB73" s="62"/>
      <c r="CC73" s="62"/>
      <c r="CD73" s="62"/>
      <c r="CE73" s="62"/>
      <c r="CF73" s="62"/>
      <c r="CH73" s="62"/>
    </row>
    <row r="74" spans="2:86">
      <c r="B74" s="25" t="s">
        <v>187</v>
      </c>
      <c r="C74" s="24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37"/>
      <c r="CB74" s="26"/>
      <c r="CC74" s="26"/>
      <c r="CD74" s="26"/>
      <c r="CE74" s="26"/>
      <c r="CF74" s="26"/>
      <c r="CH74" s="26"/>
    </row>
    <row r="75" spans="2:86" s="20" customFormat="1">
      <c r="B75" s="20" t="s">
        <v>188</v>
      </c>
      <c r="D75" s="34">
        <f t="shared" ref="D75:AY75" si="163">D59</f>
        <v>200718</v>
      </c>
      <c r="E75" s="34">
        <f t="shared" si="163"/>
        <v>222533</v>
      </c>
      <c r="F75" s="34">
        <f t="shared" si="163"/>
        <v>233340</v>
      </c>
      <c r="G75" s="34">
        <f t="shared" si="163"/>
        <v>278430</v>
      </c>
      <c r="H75" s="34">
        <f t="shared" si="163"/>
        <v>314517</v>
      </c>
      <c r="I75" s="34">
        <f t="shared" si="163"/>
        <v>341682</v>
      </c>
      <c r="J75" s="34">
        <f t="shared" si="163"/>
        <v>356208</v>
      </c>
      <c r="K75" s="34">
        <f t="shared" si="163"/>
        <v>304479</v>
      </c>
      <c r="L75" s="34">
        <f t="shared" si="163"/>
        <v>304479</v>
      </c>
      <c r="M75" s="34">
        <f t="shared" si="163"/>
        <v>262937</v>
      </c>
      <c r="N75" s="34">
        <f t="shared" ref="N75:U75" si="164">N59</f>
        <v>371053</v>
      </c>
      <c r="O75" s="34">
        <f t="shared" si="164"/>
        <v>461387</v>
      </c>
      <c r="P75" s="34">
        <f t="shared" si="164"/>
        <v>581103</v>
      </c>
      <c r="Q75" s="34">
        <f t="shared" si="164"/>
        <v>717330</v>
      </c>
      <c r="R75" s="34">
        <f t="shared" si="164"/>
        <v>889064</v>
      </c>
      <c r="S75" s="34">
        <f>S59</f>
        <v>1049994</v>
      </c>
      <c r="T75" s="34">
        <f>T59</f>
        <v>1212676</v>
      </c>
      <c r="U75" s="34">
        <f t="shared" si="164"/>
        <v>1212676</v>
      </c>
      <c r="V75" s="34"/>
      <c r="W75" s="34">
        <f t="shared" si="163"/>
        <v>54856</v>
      </c>
      <c r="X75" s="34">
        <f t="shared" si="163"/>
        <v>59369</v>
      </c>
      <c r="Y75" s="34">
        <f t="shared" si="163"/>
        <v>57749</v>
      </c>
      <c r="Z75" s="34">
        <f t="shared" si="163"/>
        <v>61366</v>
      </c>
      <c r="AA75" s="34">
        <f t="shared" si="163"/>
        <v>65449</v>
      </c>
      <c r="AB75" s="34">
        <f t="shared" si="163"/>
        <v>68729</v>
      </c>
      <c r="AC75" s="34">
        <f t="shared" si="163"/>
        <v>71006</v>
      </c>
      <c r="AD75" s="34">
        <f t="shared" si="163"/>
        <v>73246</v>
      </c>
      <c r="AE75" s="34">
        <f t="shared" si="163"/>
        <v>73186</v>
      </c>
      <c r="AF75" s="34">
        <f t="shared" si="163"/>
        <v>77668.995196233416</v>
      </c>
      <c r="AG75" s="34">
        <f t="shared" si="163"/>
        <v>77494.401299766643</v>
      </c>
      <c r="AH75" s="34">
        <f t="shared" si="163"/>
        <v>86167.603503999941</v>
      </c>
      <c r="AI75" s="34">
        <f t="shared" si="163"/>
        <v>82616.865252000018</v>
      </c>
      <c r="AJ75" s="34">
        <f t="shared" si="163"/>
        <v>82653.019721999968</v>
      </c>
      <c r="AK75" s="34">
        <f t="shared" si="163"/>
        <v>84747.507491000113</v>
      </c>
      <c r="AL75" s="34">
        <f t="shared" si="163"/>
        <v>91664.607534999901</v>
      </c>
      <c r="AM75" s="34">
        <f t="shared" si="163"/>
        <v>95913.042045999988</v>
      </c>
      <c r="AN75" s="34">
        <f t="shared" si="163"/>
        <v>94661.648125199819</v>
      </c>
      <c r="AO75" s="34">
        <f t="shared" si="163"/>
        <v>85704.883887307544</v>
      </c>
      <c r="AP75" s="34">
        <f t="shared" si="163"/>
        <v>79928.425941492664</v>
      </c>
      <c r="AQ75" s="34">
        <f t="shared" si="163"/>
        <v>78230.605177341946</v>
      </c>
      <c r="AR75" s="34">
        <f t="shared" si="163"/>
        <v>80036.779149402952</v>
      </c>
      <c r="AS75" s="34">
        <f t="shared" si="163"/>
        <v>75871</v>
      </c>
      <c r="AT75" s="34">
        <f t="shared" si="163"/>
        <v>70340.615673255103</v>
      </c>
      <c r="AU75" s="34">
        <f t="shared" si="163"/>
        <v>68370</v>
      </c>
      <c r="AV75" s="34">
        <f t="shared" si="163"/>
        <v>63433</v>
      </c>
      <c r="AW75" s="34">
        <f t="shared" si="163"/>
        <v>63069</v>
      </c>
      <c r="AX75" s="34">
        <f t="shared" si="163"/>
        <v>68065</v>
      </c>
      <c r="AY75" s="34">
        <f t="shared" si="163"/>
        <v>84926.401262318672</v>
      </c>
      <c r="AZ75" s="34">
        <f t="shared" ref="AZ75:BE75" si="165">AZ59</f>
        <v>89362.530866380897</v>
      </c>
      <c r="BA75" s="34">
        <f t="shared" si="165"/>
        <v>93500.971654773908</v>
      </c>
      <c r="BB75" s="34">
        <f t="shared" si="165"/>
        <v>103263.09621652651</v>
      </c>
      <c r="BC75" s="34">
        <f t="shared" si="165"/>
        <v>106392</v>
      </c>
      <c r="BD75" s="34">
        <f t="shared" si="165"/>
        <v>118483</v>
      </c>
      <c r="BE75" s="34">
        <f t="shared" si="165"/>
        <v>121777</v>
      </c>
      <c r="BF75" s="34">
        <f t="shared" ref="BF75:BK75" si="166">BF59</f>
        <v>114735</v>
      </c>
      <c r="BG75" s="34">
        <f t="shared" si="166"/>
        <v>131894</v>
      </c>
      <c r="BH75" s="34">
        <f t="shared" si="166"/>
        <v>140177</v>
      </c>
      <c r="BI75" s="34">
        <f t="shared" si="166"/>
        <v>149047</v>
      </c>
      <c r="BJ75" s="34">
        <f t="shared" si="166"/>
        <v>159985</v>
      </c>
      <c r="BK75" s="34">
        <f t="shared" si="166"/>
        <v>166044</v>
      </c>
      <c r="BL75" s="34">
        <f t="shared" ref="BL75:BQ75" si="167">BL59</f>
        <v>177212</v>
      </c>
      <c r="BM75" s="34">
        <f t="shared" si="167"/>
        <v>186007</v>
      </c>
      <c r="BN75" s="34">
        <f t="shared" si="167"/>
        <v>188067</v>
      </c>
      <c r="BO75" s="34">
        <f t="shared" si="167"/>
        <v>197461</v>
      </c>
      <c r="BP75" s="34">
        <f t="shared" si="167"/>
        <v>196650</v>
      </c>
      <c r="BQ75" s="34">
        <f t="shared" si="167"/>
        <v>200442.63899788403</v>
      </c>
      <c r="BR75" s="34">
        <f t="shared" ref="BR75:BW75" si="168">BR59</f>
        <v>294510.361002116</v>
      </c>
      <c r="BS75" s="34">
        <f t="shared" si="168"/>
        <v>230259</v>
      </c>
      <c r="BT75" s="34">
        <f t="shared" si="168"/>
        <v>255125</v>
      </c>
      <c r="BU75" s="34">
        <f t="shared" si="168"/>
        <v>290567</v>
      </c>
      <c r="BV75" s="34">
        <f t="shared" si="168"/>
        <v>274043</v>
      </c>
      <c r="BW75" s="34">
        <f t="shared" si="168"/>
        <v>281668</v>
      </c>
      <c r="BX75" s="34">
        <f>BX59</f>
        <v>299190</v>
      </c>
      <c r="BY75" s="34">
        <f>BY59</f>
        <v>311436</v>
      </c>
      <c r="BZ75" s="34">
        <f>BZ59</f>
        <v>320382</v>
      </c>
      <c r="CA75" s="37"/>
      <c r="CB75" s="34">
        <f>CB59</f>
        <v>84926.401262318672</v>
      </c>
      <c r="CC75" s="34">
        <f>CC59</f>
        <v>88118.971654773908</v>
      </c>
      <c r="CD75" s="34">
        <f>CD59</f>
        <v>97611.620765843196</v>
      </c>
      <c r="CE75" s="34">
        <f>CE59</f>
        <v>101186</v>
      </c>
      <c r="CF75" s="34">
        <f>CF59</f>
        <v>112593.25666681012</v>
      </c>
      <c r="CH75" s="34">
        <f>CH59</f>
        <v>347696</v>
      </c>
    </row>
    <row r="76" spans="2:86">
      <c r="B76" s="35" t="s">
        <v>189</v>
      </c>
      <c r="D76" s="39">
        <f>-9207-211+16987</f>
        <v>7569</v>
      </c>
      <c r="E76" s="39">
        <f>-14094+1475+23961</f>
        <v>11342</v>
      </c>
      <c r="F76" s="7">
        <f>SUM(W76:Z76)</f>
        <v>20500</v>
      </c>
      <c r="G76" s="7">
        <f>SUM(AA76:AD76)</f>
        <v>18743</v>
      </c>
      <c r="H76" s="54">
        <f>SUM(AE76:AH76)</f>
        <v>3057</v>
      </c>
      <c r="I76" s="7">
        <f>SUM(AI76:AL76)</f>
        <v>4663</v>
      </c>
      <c r="J76" s="7">
        <f>SUM(AM76:AP76)</f>
        <v>21017</v>
      </c>
      <c r="K76" s="7">
        <f>SUM(AQ76:AT76)</f>
        <v>-1862</v>
      </c>
      <c r="L76" s="71">
        <f>-24474+15122+15258</f>
        <v>5906</v>
      </c>
      <c r="M76" s="71">
        <f>8427+21580-88203</f>
        <v>-58196</v>
      </c>
      <c r="N76" s="71">
        <f>-8925-2477-154562</f>
        <v>-165964</v>
      </c>
      <c r="O76" s="71">
        <f>-3954+6902+27485</f>
        <v>30433</v>
      </c>
      <c r="P76" s="71">
        <f>-7131-4877-1181+2736+11655-15674</f>
        <v>-14472</v>
      </c>
      <c r="Q76" s="71">
        <f>-5583+12671-1157+6494-11991-31554</f>
        <v>-31120</v>
      </c>
      <c r="R76" s="71">
        <f>-14941-771-25398+6398+17332+41516</f>
        <v>24136</v>
      </c>
      <c r="S76" s="71">
        <f>29658+8586-1416+22699+48154-23868</f>
        <v>83813</v>
      </c>
      <c r="T76" s="71">
        <f>-5654+24977+52719</f>
        <v>72042</v>
      </c>
      <c r="U76" s="7">
        <f>SUM(BW76:BZ76)</f>
        <v>72042</v>
      </c>
      <c r="V76" s="7"/>
      <c r="W76" s="28">
        <f>-11947+34+25943</f>
        <v>14030</v>
      </c>
      <c r="X76" s="28">
        <f>-9895-53+6255</f>
        <v>-3693</v>
      </c>
      <c r="Y76" s="28">
        <f>14450+117-1820</f>
        <v>12747</v>
      </c>
      <c r="Z76" s="71">
        <f>3569+170-6323</f>
        <v>-2584</v>
      </c>
      <c r="AA76" s="71">
        <f>6225-269+33574</f>
        <v>39530</v>
      </c>
      <c r="AB76" s="71">
        <f>5217-63-4334</f>
        <v>820</v>
      </c>
      <c r="AC76" s="71">
        <f>-7132+191+522</f>
        <v>-6419</v>
      </c>
      <c r="AD76" s="71">
        <f>-2238-6-12944</f>
        <v>-15188</v>
      </c>
      <c r="AE76" s="71">
        <f>-12158-378+24367</f>
        <v>11831</v>
      </c>
      <c r="AF76" s="71">
        <f>-5800+472+11350</f>
        <v>6022</v>
      </c>
      <c r="AG76" s="71">
        <f>-5461+37+7968</f>
        <v>2544</v>
      </c>
      <c r="AH76" s="71">
        <f>12275-133-29482</f>
        <v>-17340</v>
      </c>
      <c r="AI76" s="71">
        <f>(9338+433-27380)*-1</f>
        <v>17609</v>
      </c>
      <c r="AJ76" s="71">
        <f>1385-361-5659</f>
        <v>-4635</v>
      </c>
      <c r="AK76" s="71">
        <f>2001+1413-206</f>
        <v>3208</v>
      </c>
      <c r="AL76" s="71">
        <f>5399-16790-128</f>
        <v>-11519</v>
      </c>
      <c r="AM76" s="71">
        <f>(-2532-10565-15)*-1</f>
        <v>13112</v>
      </c>
      <c r="AN76" s="71">
        <f>(916-5562+32)*-1</f>
        <v>4614</v>
      </c>
      <c r="AO76" s="71">
        <f>(-3607-4039-191)*-1</f>
        <v>7837</v>
      </c>
      <c r="AP76" s="71">
        <f>7205-12525+774</f>
        <v>-4546</v>
      </c>
      <c r="AQ76" s="71">
        <f>(-292-31941+310)*-1</f>
        <v>31923</v>
      </c>
      <c r="AR76" s="71">
        <f>(343-2851-266)*-1</f>
        <v>2774</v>
      </c>
      <c r="AS76" s="71">
        <f>(10786-9349+113)*-1</f>
        <v>-1550</v>
      </c>
      <c r="AT76" s="71">
        <f>-5945-29019-45</f>
        <v>-35009</v>
      </c>
      <c r="AU76" s="71">
        <f>4562+3503-25420</f>
        <v>-17355</v>
      </c>
      <c r="AV76" s="71">
        <f>182+2363-21551</f>
        <v>-19006</v>
      </c>
      <c r="AW76" s="71">
        <f>-1984+11057-16168</f>
        <v>-7095</v>
      </c>
      <c r="AX76" s="7">
        <f>M76-AW76-AV76-AU76</f>
        <v>-14740</v>
      </c>
      <c r="AY76" s="71">
        <f>91495-87273</f>
        <v>4222</v>
      </c>
      <c r="AZ76" s="71">
        <f>-3801-16497+3019</f>
        <v>-17279</v>
      </c>
      <c r="BA76" s="71">
        <f>-907+23325+1225</f>
        <v>23643</v>
      </c>
      <c r="BB76" s="7">
        <f>N76-BA76-AZ76-AY76</f>
        <v>-176550</v>
      </c>
      <c r="BC76" s="71">
        <f>126318-106790</f>
        <v>19528</v>
      </c>
      <c r="BD76" s="71">
        <f>7872+3539-26095</f>
        <v>-14684</v>
      </c>
      <c r="BE76" s="71">
        <f>-7451+8058+3417</f>
        <v>4024</v>
      </c>
      <c r="BF76" s="7">
        <f>O76-BE76-BD76-BC76</f>
        <v>21565</v>
      </c>
      <c r="BG76" s="71">
        <f>134746-133093</f>
        <v>1653</v>
      </c>
      <c r="BH76" s="71">
        <f>-2534-13297+6259</f>
        <v>-9572</v>
      </c>
      <c r="BI76" s="71">
        <f>258+5265+10000</f>
        <v>15523</v>
      </c>
      <c r="BJ76" s="7">
        <f>P76-BI76-BH76-BG76</f>
        <v>-22076</v>
      </c>
      <c r="BK76" s="71">
        <f>199430-168219</f>
        <v>31211</v>
      </c>
      <c r="BL76" s="71">
        <f>-3682+8684-49885</f>
        <v>-44883</v>
      </c>
      <c r="BM76" s="71">
        <f>-1683+3425+9140</f>
        <v>10882</v>
      </c>
      <c r="BN76" s="7">
        <f>Q76-BM76-BL76-BK76</f>
        <v>-28330</v>
      </c>
      <c r="BO76" s="71">
        <f>222866-200987</f>
        <v>21879</v>
      </c>
      <c r="BP76" s="71">
        <f>-4239-5612+9246</f>
        <v>-605</v>
      </c>
      <c r="BQ76" s="71">
        <f>-1145-3032+21094</f>
        <v>16917</v>
      </c>
      <c r="BR76" s="7">
        <f>R76-BQ76-BP76-BO76</f>
        <v>-14055</v>
      </c>
      <c r="BS76" s="71">
        <f>227209-202816.4</f>
        <v>24392.600000000006</v>
      </c>
      <c r="BT76" s="71">
        <f>256695.4-221805</f>
        <v>34890.399999999994</v>
      </c>
      <c r="BU76" s="71">
        <f>15344+871+5092</f>
        <v>21307</v>
      </c>
      <c r="BV76" s="7">
        <f>S76-BU76-BT76-BS76</f>
        <v>3223</v>
      </c>
      <c r="BW76" s="71">
        <f>323683-283366</f>
        <v>40317</v>
      </c>
      <c r="BX76" s="71">
        <f>316862-297595</f>
        <v>19267</v>
      </c>
      <c r="BY76" s="71">
        <f>4346+3805+25663</f>
        <v>33814</v>
      </c>
      <c r="BZ76" s="71">
        <f>T76-SUM(BW76:BY76)</f>
        <v>-21356</v>
      </c>
      <c r="CA76" s="37"/>
      <c r="CB76" s="71">
        <f>92174-87273</f>
        <v>4901</v>
      </c>
      <c r="CC76" s="71">
        <f>-907.077975738735+23324.7563065251+4041.20815114947</f>
        <v>26458.886481935835</v>
      </c>
      <c r="CD76" s="71">
        <f>7888.18498837911-15629.2352666895-173876.642148957</f>
        <v>-181617.69242726741</v>
      </c>
      <c r="CE76" s="71">
        <f>-14736.7192690098+11084.9752554349+23180.0913513218</f>
        <v>19528.347337746898</v>
      </c>
      <c r="CF76" s="71">
        <f>7872+3539-3971</f>
        <v>7440</v>
      </c>
      <c r="CH76" s="71">
        <f>-8925-2477-154562</f>
        <v>-165964</v>
      </c>
    </row>
    <row r="77" spans="2:86">
      <c r="B77" s="35" t="s">
        <v>190</v>
      </c>
      <c r="D77" s="39">
        <v>-24388</v>
      </c>
      <c r="E77" s="39">
        <v>-29453</v>
      </c>
      <c r="F77" s="7">
        <f t="shared" ref="F77:F86" si="169">SUM(W77:Z77)</f>
        <v>-31294</v>
      </c>
      <c r="G77" s="7">
        <f t="shared" ref="G77:G86" si="170">SUM(AA77:AD77)</f>
        <v>-35039</v>
      </c>
      <c r="H77" s="54">
        <f>SUM(AE77:AH77)</f>
        <v>-46111</v>
      </c>
      <c r="I77" s="7">
        <f t="shared" ref="I77:I86" si="171">SUM(AI77:AL77)</f>
        <v>-46836</v>
      </c>
      <c r="J77" s="7">
        <f t="shared" ref="J77:J86" si="172">SUM(AM77:AP77)</f>
        <v>-31587</v>
      </c>
      <c r="K77" s="7">
        <f>SUM(AQ77:AT77)</f>
        <v>-13723</v>
      </c>
      <c r="L77" s="105">
        <v>-13723</v>
      </c>
      <c r="M77" s="105">
        <v>-11706</v>
      </c>
      <c r="N77" s="105">
        <v>-22937</v>
      </c>
      <c r="O77" s="105">
        <v>-22328</v>
      </c>
      <c r="P77" s="105">
        <v>-21754</v>
      </c>
      <c r="Q77" s="105">
        <v>-37915</v>
      </c>
      <c r="R77" s="105">
        <v>-28806</v>
      </c>
      <c r="S77" s="105">
        <v>-44380</v>
      </c>
      <c r="T77" s="105">
        <v>-62839</v>
      </c>
      <c r="U77" s="7">
        <f t="shared" ref="U77:U89" si="173">SUM(BW77:BZ77)</f>
        <v>-62839</v>
      </c>
      <c r="V77" s="1116"/>
      <c r="W77" s="105">
        <v>-6580</v>
      </c>
      <c r="X77" s="105">
        <v>-9086</v>
      </c>
      <c r="Y77" s="105">
        <v>-7772</v>
      </c>
      <c r="Z77" s="105">
        <v>-7856</v>
      </c>
      <c r="AA77" s="105">
        <v>-5474</v>
      </c>
      <c r="AB77" s="105">
        <v>-9168</v>
      </c>
      <c r="AC77" s="105">
        <v>-9595</v>
      </c>
      <c r="AD77" s="105">
        <v>-10802</v>
      </c>
      <c r="AE77" s="105">
        <v>-6641</v>
      </c>
      <c r="AF77" s="105">
        <v>-11237</v>
      </c>
      <c r="AG77" s="105">
        <v>-13880</v>
      </c>
      <c r="AH77" s="105">
        <v>-14353</v>
      </c>
      <c r="AI77" s="105">
        <v>-10299</v>
      </c>
      <c r="AJ77" s="105">
        <v>-15663</v>
      </c>
      <c r="AK77" s="105">
        <v>-11902</v>
      </c>
      <c r="AL77" s="105">
        <v>-8972</v>
      </c>
      <c r="AM77" s="105">
        <v>-7161.0240000000003</v>
      </c>
      <c r="AN77" s="105">
        <v>-11111.044</v>
      </c>
      <c r="AO77" s="105">
        <v>-5462.125</v>
      </c>
      <c r="AP77" s="105">
        <v>-7852.8069999999998</v>
      </c>
      <c r="AQ77" s="105">
        <v>-1426</v>
      </c>
      <c r="AR77" s="105">
        <v>-6084</v>
      </c>
      <c r="AS77" s="105">
        <v>-1841</v>
      </c>
      <c r="AT77" s="105">
        <v>-4372</v>
      </c>
      <c r="AU77" s="105">
        <v>-7310</v>
      </c>
      <c r="AV77" s="105">
        <v>-5175</v>
      </c>
      <c r="AW77" s="105">
        <v>6372</v>
      </c>
      <c r="AX77" s="7">
        <f>M77-AW77-AV77-AU77</f>
        <v>-5593</v>
      </c>
      <c r="AY77" s="105">
        <v>-7188</v>
      </c>
      <c r="AZ77" s="105">
        <v>-6189</v>
      </c>
      <c r="BA77" s="105">
        <v>-5412</v>
      </c>
      <c r="BB77" s="7">
        <f>N77-BA77-AZ77-AY77</f>
        <v>-4148</v>
      </c>
      <c r="BC77" s="105">
        <v>-10079</v>
      </c>
      <c r="BD77" s="105">
        <v>-3397</v>
      </c>
      <c r="BE77" s="105">
        <v>-5472</v>
      </c>
      <c r="BF77" s="7">
        <f>O77-BE77-BD77-BC77</f>
        <v>-3380</v>
      </c>
      <c r="BG77" s="105">
        <v>-12526</v>
      </c>
      <c r="BH77" s="105">
        <v>-3955</v>
      </c>
      <c r="BI77" s="105">
        <v>-6570.5442165842906</v>
      </c>
      <c r="BJ77" s="7">
        <f>P77-BI77-BH77-BG77</f>
        <v>1297.5442165842906</v>
      </c>
      <c r="BK77" s="105">
        <v>-19943</v>
      </c>
      <c r="BL77" s="105">
        <v>-4977</v>
      </c>
      <c r="BM77" s="105">
        <v>-8019.5153047814201</v>
      </c>
      <c r="BN77" s="7">
        <f>Q77-BM77-BL77-BK77</f>
        <v>-4975.4846952185799</v>
      </c>
      <c r="BO77" s="105">
        <v>-14769</v>
      </c>
      <c r="BP77" s="105">
        <v>-5326</v>
      </c>
      <c r="BQ77" s="105">
        <v>-3459</v>
      </c>
      <c r="BR77" s="7">
        <f>R77-BQ77-BP77-BO77</f>
        <v>-5252</v>
      </c>
      <c r="BS77" s="105">
        <v>-9175.2129700220867</v>
      </c>
      <c r="BT77" s="105">
        <v>-7387.8735410851295</v>
      </c>
      <c r="BU77" s="105">
        <v>-14317</v>
      </c>
      <c r="BV77" s="7">
        <f>S77-BU77-BT77-BS77</f>
        <v>-13499.913488892784</v>
      </c>
      <c r="BW77" s="105">
        <v>-16785</v>
      </c>
      <c r="BX77" s="105">
        <v>-14848</v>
      </c>
      <c r="BY77" s="105">
        <v>-19805</v>
      </c>
      <c r="BZ77" s="105">
        <f t="shared" ref="BZ77:BZ89" si="174">T77-SUM(BW77:BY77)</f>
        <v>-11401</v>
      </c>
      <c r="CA77" s="37"/>
      <c r="CB77" s="105">
        <v>-7188</v>
      </c>
      <c r="CC77" s="105">
        <v>-5411.5030823085299</v>
      </c>
      <c r="CD77" s="105">
        <v>-4148.2945124913904</v>
      </c>
      <c r="CE77" s="105">
        <v>-10078.9105321558</v>
      </c>
      <c r="CF77" s="105">
        <v>-3397.2240887196299</v>
      </c>
      <c r="CH77" s="105">
        <v>-22937</v>
      </c>
    </row>
    <row r="78" spans="2:86">
      <c r="B78" s="35" t="s">
        <v>191</v>
      </c>
      <c r="D78" s="39">
        <v>-21595</v>
      </c>
      <c r="E78" s="39">
        <v>-32352</v>
      </c>
      <c r="F78" s="7">
        <f t="shared" si="169"/>
        <v>-34339</v>
      </c>
      <c r="G78" s="7">
        <f t="shared" si="170"/>
        <v>-37620</v>
      </c>
      <c r="H78" s="54">
        <f>SUM(AE78:AH78)</f>
        <v>-33887</v>
      </c>
      <c r="I78" s="7">
        <f t="shared" si="171"/>
        <v>-32890</v>
      </c>
      <c r="J78" s="7">
        <f t="shared" si="172"/>
        <v>-58566</v>
      </c>
      <c r="K78" s="7">
        <f>SUM(AQ78:AT78)</f>
        <v>-44041</v>
      </c>
      <c r="L78" s="105">
        <v>-44041</v>
      </c>
      <c r="M78" s="105">
        <v>-76171</v>
      </c>
      <c r="N78" s="105">
        <v>-109993</v>
      </c>
      <c r="O78" s="105">
        <v>-71294</v>
      </c>
      <c r="P78" s="105">
        <v>-131588</v>
      </c>
      <c r="Q78" s="105">
        <v>-66893</v>
      </c>
      <c r="R78" s="105">
        <v>-140263</v>
      </c>
      <c r="S78" s="105">
        <v>-175476</v>
      </c>
      <c r="T78" s="105">
        <v>-148876</v>
      </c>
      <c r="U78" s="7">
        <f t="shared" si="173"/>
        <v>-148876</v>
      </c>
      <c r="V78" s="1116"/>
      <c r="W78" s="105">
        <v>-9604</v>
      </c>
      <c r="X78" s="105">
        <v>-7553</v>
      </c>
      <c r="Y78" s="105">
        <v>-11106</v>
      </c>
      <c r="Z78" s="105">
        <v>-6076</v>
      </c>
      <c r="AA78" s="105">
        <v>-9957</v>
      </c>
      <c r="AB78" s="105">
        <v>-10192</v>
      </c>
      <c r="AC78" s="105">
        <v>-10059</v>
      </c>
      <c r="AD78" s="105">
        <v>-7412</v>
      </c>
      <c r="AE78" s="105">
        <v>-9357</v>
      </c>
      <c r="AF78" s="105">
        <v>-7264</v>
      </c>
      <c r="AG78" s="105">
        <v>-7536</v>
      </c>
      <c r="AH78" s="105">
        <v>-9730</v>
      </c>
      <c r="AI78" s="105">
        <v>-9232</v>
      </c>
      <c r="AJ78" s="105">
        <v>-7841</v>
      </c>
      <c r="AK78" s="105">
        <v>-8953</v>
      </c>
      <c r="AL78" s="105">
        <v>-6864</v>
      </c>
      <c r="AM78" s="105">
        <v>-9744</v>
      </c>
      <c r="AN78" s="105">
        <v>-6411</v>
      </c>
      <c r="AO78" s="105">
        <v>-9420</v>
      </c>
      <c r="AP78" s="105">
        <v>-32991</v>
      </c>
      <c r="AQ78" s="105">
        <v>-10936</v>
      </c>
      <c r="AR78" s="105">
        <v>-6259</v>
      </c>
      <c r="AS78" s="105">
        <v>-10379</v>
      </c>
      <c r="AT78" s="105">
        <v>-16467</v>
      </c>
      <c r="AU78" s="105">
        <v>-30987</v>
      </c>
      <c r="AV78" s="105">
        <v>-5763</v>
      </c>
      <c r="AW78" s="105">
        <v>-12801</v>
      </c>
      <c r="AX78" s="7">
        <f>M78-AW78-AV78-AU78</f>
        <v>-26620</v>
      </c>
      <c r="AY78" s="105">
        <v>-43271</v>
      </c>
      <c r="AZ78" s="105">
        <v>-14643</v>
      </c>
      <c r="BA78" s="105">
        <v>-21549</v>
      </c>
      <c r="BB78" s="7">
        <f>N78-BA78-AZ78-AY78</f>
        <v>-30530</v>
      </c>
      <c r="BC78" s="105">
        <v>-21335</v>
      </c>
      <c r="BD78" s="105">
        <v>98</v>
      </c>
      <c r="BE78" s="105">
        <f>-15879</f>
        <v>-15879</v>
      </c>
      <c r="BF78" s="7">
        <f>O78-BE78-BD78-BC78</f>
        <v>-34178</v>
      </c>
      <c r="BG78" s="105">
        <v>-18727</v>
      </c>
      <c r="BH78" s="105">
        <v>-11120</v>
      </c>
      <c r="BI78" s="105">
        <v>-41428.461429768678</v>
      </c>
      <c r="BJ78" s="7">
        <f>P78-BI78-BH78-BG78</f>
        <v>-60312.538570231322</v>
      </c>
      <c r="BK78" s="105">
        <v>-17500.216553712897</v>
      </c>
      <c r="BL78" s="105">
        <v>-12173</v>
      </c>
      <c r="BM78" s="105">
        <v>-17261.570001499284</v>
      </c>
      <c r="BN78" s="7">
        <f>Q78-BM78-BL78-BK78</f>
        <v>-19958.21344478782</v>
      </c>
      <c r="BO78" s="105">
        <v>-23200</v>
      </c>
      <c r="BP78" s="105">
        <v>-54561</v>
      </c>
      <c r="BQ78" s="105">
        <v>-23310</v>
      </c>
      <c r="BR78" s="7">
        <f>R78-BQ78-BP78-BO78</f>
        <v>-39192</v>
      </c>
      <c r="BS78" s="105">
        <v>-41579.664802518048</v>
      </c>
      <c r="BT78" s="105">
        <v>-63744.135818073701</v>
      </c>
      <c r="BU78" s="105">
        <v>-32502</v>
      </c>
      <c r="BV78" s="7">
        <f>S78-BU78-BT78-BS78</f>
        <v>-37650.199379408252</v>
      </c>
      <c r="BW78" s="105">
        <v>-33273</v>
      </c>
      <c r="BX78" s="105">
        <v>-26019</v>
      </c>
      <c r="BY78" s="105">
        <v>-29968</v>
      </c>
      <c r="BZ78" s="105">
        <f t="shared" si="174"/>
        <v>-59616</v>
      </c>
      <c r="CA78" s="7"/>
      <c r="CB78" s="105">
        <v>-43271</v>
      </c>
      <c r="CC78" s="105">
        <f>1038.19590303875-21548.6950793185</f>
        <v>-20510.499176279747</v>
      </c>
      <c r="CD78" s="105">
        <f>1207.83784290074-30529.8084018871</f>
        <v>-29321.970558986362</v>
      </c>
      <c r="CE78" s="105">
        <f>2240.1712552319-21335.1480313445</f>
        <v>-19094.976776112599</v>
      </c>
      <c r="CF78" s="105">
        <f>299.454337731082-22026.0582460548</f>
        <v>-21726.603908323719</v>
      </c>
      <c r="CH78" s="105">
        <v>-109993</v>
      </c>
    </row>
    <row r="79" spans="2:86" s="20" customFormat="1">
      <c r="B79" s="20" t="s">
        <v>192</v>
      </c>
      <c r="D79" s="40">
        <f t="shared" ref="D79:J79" si="175">SUM(D75:D78)</f>
        <v>162304</v>
      </c>
      <c r="E79" s="40">
        <f t="shared" si="175"/>
        <v>172070</v>
      </c>
      <c r="F79" s="40">
        <f t="shared" si="175"/>
        <v>188207</v>
      </c>
      <c r="G79" s="40">
        <f t="shared" si="175"/>
        <v>224514</v>
      </c>
      <c r="H79" s="40">
        <f t="shared" si="175"/>
        <v>237576</v>
      </c>
      <c r="I79" s="40">
        <f t="shared" si="175"/>
        <v>266619</v>
      </c>
      <c r="J79" s="40">
        <f t="shared" si="175"/>
        <v>287072</v>
      </c>
      <c r="K79" s="40">
        <f t="shared" ref="K79:R79" si="176">SUM(K75:K78)</f>
        <v>244853</v>
      </c>
      <c r="L79" s="40">
        <f t="shared" si="176"/>
        <v>252621</v>
      </c>
      <c r="M79" s="40">
        <f t="shared" si="176"/>
        <v>116864</v>
      </c>
      <c r="N79" s="40">
        <f t="shared" si="176"/>
        <v>72159</v>
      </c>
      <c r="O79" s="40">
        <f t="shared" si="176"/>
        <v>398198</v>
      </c>
      <c r="P79" s="40">
        <f t="shared" si="176"/>
        <v>413289</v>
      </c>
      <c r="Q79" s="40">
        <f t="shared" si="176"/>
        <v>581402</v>
      </c>
      <c r="R79" s="40">
        <f t="shared" si="176"/>
        <v>744131</v>
      </c>
      <c r="S79" s="40">
        <f>SUM(S75:S78)</f>
        <v>913951</v>
      </c>
      <c r="T79" s="40">
        <f>SUM(T75:T78)</f>
        <v>1073003</v>
      </c>
      <c r="U79" s="40">
        <f>SUM(U75:U78)</f>
        <v>1073003</v>
      </c>
      <c r="V79" s="40"/>
      <c r="W79" s="40">
        <f t="shared" ref="W79:AT79" si="177">SUM(W75:W78)</f>
        <v>52702</v>
      </c>
      <c r="X79" s="40">
        <f t="shared" si="177"/>
        <v>39037</v>
      </c>
      <c r="Y79" s="40">
        <f t="shared" si="177"/>
        <v>51618</v>
      </c>
      <c r="Z79" s="40">
        <f t="shared" si="177"/>
        <v>44850</v>
      </c>
      <c r="AA79" s="40">
        <f t="shared" si="177"/>
        <v>89548</v>
      </c>
      <c r="AB79" s="40">
        <f t="shared" si="177"/>
        <v>50189</v>
      </c>
      <c r="AC79" s="40">
        <f t="shared" si="177"/>
        <v>44933</v>
      </c>
      <c r="AD79" s="40">
        <f t="shared" si="177"/>
        <v>39844</v>
      </c>
      <c r="AE79" s="40">
        <f t="shared" si="177"/>
        <v>69019</v>
      </c>
      <c r="AF79" s="40">
        <f t="shared" si="177"/>
        <v>65189.995196233416</v>
      </c>
      <c r="AG79" s="40">
        <f t="shared" si="177"/>
        <v>58622.401299766643</v>
      </c>
      <c r="AH79" s="40">
        <f t="shared" si="177"/>
        <v>44744.603503999941</v>
      </c>
      <c r="AI79" s="40">
        <f t="shared" si="177"/>
        <v>80694.865252000018</v>
      </c>
      <c r="AJ79" s="40">
        <f t="shared" si="177"/>
        <v>54514.019721999968</v>
      </c>
      <c r="AK79" s="40">
        <f t="shared" si="177"/>
        <v>67100.507491000113</v>
      </c>
      <c r="AL79" s="40">
        <f t="shared" si="177"/>
        <v>64309.607534999901</v>
      </c>
      <c r="AM79" s="40">
        <f t="shared" si="177"/>
        <v>92120.018045999983</v>
      </c>
      <c r="AN79" s="40">
        <f t="shared" si="177"/>
        <v>81753.604125199825</v>
      </c>
      <c r="AO79" s="40">
        <f t="shared" si="177"/>
        <v>78659.758887307544</v>
      </c>
      <c r="AP79" s="40">
        <f t="shared" si="177"/>
        <v>34538.618941492663</v>
      </c>
      <c r="AQ79" s="40">
        <f t="shared" si="177"/>
        <v>97791.605177341946</v>
      </c>
      <c r="AR79" s="40">
        <f t="shared" si="177"/>
        <v>70467.779149402952</v>
      </c>
      <c r="AS79" s="40">
        <f t="shared" si="177"/>
        <v>62101</v>
      </c>
      <c r="AT79" s="40">
        <f t="shared" si="177"/>
        <v>14492.615673255103</v>
      </c>
      <c r="AU79" s="40">
        <f t="shared" ref="AU79:BA79" si="178">SUM(AU75:AU78)</f>
        <v>12718</v>
      </c>
      <c r="AV79" s="40">
        <f t="shared" si="178"/>
        <v>33489</v>
      </c>
      <c r="AW79" s="40">
        <f t="shared" si="178"/>
        <v>49545</v>
      </c>
      <c r="AX79" s="40">
        <f t="shared" si="178"/>
        <v>21112</v>
      </c>
      <c r="AY79" s="40">
        <f t="shared" si="178"/>
        <v>38689.401262318672</v>
      </c>
      <c r="AZ79" s="40">
        <f t="shared" si="178"/>
        <v>51251.530866380897</v>
      </c>
      <c r="BA79" s="40">
        <f t="shared" si="178"/>
        <v>90182.971654773908</v>
      </c>
      <c r="BB79" s="40">
        <f t="shared" ref="BB79:BH79" si="179">SUM(BB75:BB78)</f>
        <v>-107964.90378347349</v>
      </c>
      <c r="BC79" s="40">
        <f t="shared" si="179"/>
        <v>94506</v>
      </c>
      <c r="BD79" s="40">
        <f t="shared" si="179"/>
        <v>100500</v>
      </c>
      <c r="BE79" s="40">
        <f t="shared" si="179"/>
        <v>104450</v>
      </c>
      <c r="BF79" s="40">
        <f t="shared" si="179"/>
        <v>98742</v>
      </c>
      <c r="BG79" s="40">
        <f t="shared" si="179"/>
        <v>102294</v>
      </c>
      <c r="BH79" s="40">
        <f t="shared" si="179"/>
        <v>115530</v>
      </c>
      <c r="BI79" s="40">
        <f t="shared" ref="BI79:BN79" si="180">SUM(BI75:BI78)</f>
        <v>116570.99435364702</v>
      </c>
      <c r="BJ79" s="40">
        <f t="shared" si="180"/>
        <v>78894.005646352976</v>
      </c>
      <c r="BK79" s="40">
        <f t="shared" si="180"/>
        <v>159811.7834462871</v>
      </c>
      <c r="BL79" s="40">
        <f t="shared" si="180"/>
        <v>115179</v>
      </c>
      <c r="BM79" s="40">
        <f t="shared" si="180"/>
        <v>171607.9146937193</v>
      </c>
      <c r="BN79" s="40">
        <f t="shared" si="180"/>
        <v>134803.3018599936</v>
      </c>
      <c r="BO79" s="40">
        <f t="shared" ref="BO79:BT79" si="181">SUM(BO75:BO78)</f>
        <v>181371</v>
      </c>
      <c r="BP79" s="40">
        <f t="shared" si="181"/>
        <v>136158</v>
      </c>
      <c r="BQ79" s="40">
        <f t="shared" si="181"/>
        <v>190590.63899788403</v>
      </c>
      <c r="BR79" s="40">
        <f t="shared" si="181"/>
        <v>236011.361002116</v>
      </c>
      <c r="BS79" s="40">
        <f t="shared" si="181"/>
        <v>203896.72222745989</v>
      </c>
      <c r="BT79" s="40">
        <f t="shared" si="181"/>
        <v>218883.39064084121</v>
      </c>
      <c r="BU79" s="40">
        <f t="shared" ref="BU79:BZ79" si="182">SUM(BU75:BU78)</f>
        <v>265055</v>
      </c>
      <c r="BV79" s="40">
        <f t="shared" si="182"/>
        <v>226115.88713169895</v>
      </c>
      <c r="BW79" s="40">
        <f t="shared" si="182"/>
        <v>271927</v>
      </c>
      <c r="BX79" s="40">
        <f t="shared" si="182"/>
        <v>277590</v>
      </c>
      <c r="BY79" s="40">
        <f t="shared" si="182"/>
        <v>295477</v>
      </c>
      <c r="BZ79" s="40">
        <f t="shared" si="182"/>
        <v>228009</v>
      </c>
      <c r="CA79" s="40"/>
      <c r="CB79" s="40">
        <f>SUM(CB75:CB78)</f>
        <v>39368.401262318672</v>
      </c>
      <c r="CC79" s="40">
        <f>SUM(CC75:CC78)</f>
        <v>88655.855878121482</v>
      </c>
      <c r="CD79" s="40">
        <f>SUM(CD75:CD78)</f>
        <v>-117476.33673290197</v>
      </c>
      <c r="CE79" s="40">
        <f>SUM(CE75:CE78)</f>
        <v>91540.460029478505</v>
      </c>
      <c r="CF79" s="40">
        <f>SUM(CF75:CF78)</f>
        <v>94909.428669766785</v>
      </c>
      <c r="CH79" s="40">
        <f>SUM(CH75:CH78)</f>
        <v>48802</v>
      </c>
    </row>
    <row r="80" spans="2:86">
      <c r="B80" s="35" t="s">
        <v>193</v>
      </c>
      <c r="D80" s="39">
        <f>-109952+783-167925</f>
        <v>-277094</v>
      </c>
      <c r="E80" s="39">
        <f>-144436+1074-6921</f>
        <v>-150283</v>
      </c>
      <c r="F80" s="7">
        <f t="shared" si="169"/>
        <v>-130063</v>
      </c>
      <c r="G80" s="7">
        <f t="shared" si="170"/>
        <v>-174659</v>
      </c>
      <c r="H80" s="54">
        <f>SUM(AE80:AH80)</f>
        <v>-209786</v>
      </c>
      <c r="I80" s="7">
        <f t="shared" si="171"/>
        <v>-270967</v>
      </c>
      <c r="J80" s="7">
        <f t="shared" si="172"/>
        <v>-384045</v>
      </c>
      <c r="K80" s="7">
        <f>SUM(AQ80:AT80)</f>
        <v>-267262</v>
      </c>
      <c r="L80" s="105">
        <f>-239604-27658</f>
        <v>-267262</v>
      </c>
      <c r="M80" s="105">
        <f>-259746-45524</f>
        <v>-305270</v>
      </c>
      <c r="N80" s="105">
        <f>-190585-30690</f>
        <v>-221275</v>
      </c>
      <c r="O80" s="105">
        <f>-246706-87673</f>
        <v>-334379</v>
      </c>
      <c r="P80" s="105">
        <f>-265406+13791-8593-174482</f>
        <v>-434690</v>
      </c>
      <c r="Q80" s="105">
        <f>-260566+885-4819-123684</f>
        <v>-388184</v>
      </c>
      <c r="R80" s="105">
        <f>-381915+1228-18600-121547</f>
        <v>-520834</v>
      </c>
      <c r="S80" s="105">
        <f>-379077+3382-17722-213487</f>
        <v>-606904</v>
      </c>
      <c r="T80" s="105">
        <f>-440076-23932</f>
        <v>-464008</v>
      </c>
      <c r="U80" s="7">
        <f t="shared" si="173"/>
        <v>-464008</v>
      </c>
      <c r="V80" s="7"/>
      <c r="W80" s="105">
        <f>-27432+279-1144</f>
        <v>-28297</v>
      </c>
      <c r="X80" s="105">
        <f>-32741+310-981</f>
        <v>-33412</v>
      </c>
      <c r="Y80" s="105">
        <f>-33248+814-1221</f>
        <v>-33655</v>
      </c>
      <c r="Z80" s="105">
        <f>-32301-2398</f>
        <v>-34699</v>
      </c>
      <c r="AA80" s="105">
        <f>-45988+5777-1638</f>
        <v>-41849</v>
      </c>
      <c r="AB80" s="105">
        <f>-27645-2005-4831</f>
        <v>-34481</v>
      </c>
      <c r="AC80" s="105">
        <f>-18952+431-943</f>
        <v>-19464</v>
      </c>
      <c r="AD80" s="105">
        <f>-21574+157-57448</f>
        <v>-78865</v>
      </c>
      <c r="AE80" s="105">
        <f>-29424+1156-6961</f>
        <v>-35229</v>
      </c>
      <c r="AF80" s="105">
        <f>-36949+576-4846</f>
        <v>-41219</v>
      </c>
      <c r="AG80" s="105">
        <f>-38225+60-5626</f>
        <v>-43791</v>
      </c>
      <c r="AH80" s="105">
        <f>-41813+803-48537</f>
        <v>-89547</v>
      </c>
      <c r="AI80" s="105">
        <f>-44062+387-67617</f>
        <v>-111292</v>
      </c>
      <c r="AJ80" s="105">
        <f>(44716-359+8859)*-1</f>
        <v>-53216</v>
      </c>
      <c r="AK80" s="105">
        <f>(49316-1588+1643)*-1</f>
        <v>-49371</v>
      </c>
      <c r="AL80" s="105">
        <f>(55219-1464+3333)*-1</f>
        <v>-57088</v>
      </c>
      <c r="AM80" s="105">
        <f>(59577-1688+47099)*-1</f>
        <v>-104988</v>
      </c>
      <c r="AN80" s="105">
        <f>(44926-410+26520)*-1</f>
        <v>-71036</v>
      </c>
      <c r="AO80" s="105">
        <f>(65378-2157+89226)*-1</f>
        <v>-152447</v>
      </c>
      <c r="AP80" s="105">
        <f>(53149-207+2632)*-1</f>
        <v>-55574</v>
      </c>
      <c r="AQ80" s="105">
        <f>(43792-744+2114)*-1</f>
        <v>-45162</v>
      </c>
      <c r="AR80" s="105">
        <f>(57717-1672+3213)*-1</f>
        <v>-59258</v>
      </c>
      <c r="AS80" s="105">
        <f>(81589-3167+3861)*-1</f>
        <v>-82283</v>
      </c>
      <c r="AT80" s="105">
        <f>-62161+72-18470</f>
        <v>-80559</v>
      </c>
      <c r="AU80" s="105">
        <f>-66704-14881</f>
        <v>-81585</v>
      </c>
      <c r="AV80" s="105">
        <f>-5910-92057</f>
        <v>-97967</v>
      </c>
      <c r="AW80" s="105">
        <f>-53366-13430</f>
        <v>-66796</v>
      </c>
      <c r="AX80" s="7">
        <f>M80-AW80-AV80-AU80</f>
        <v>-58922</v>
      </c>
      <c r="AY80" s="105">
        <f>-49202-10201</f>
        <v>-59403</v>
      </c>
      <c r="AZ80" s="105">
        <f>-39691-3428</f>
        <v>-43119</v>
      </c>
      <c r="BA80" s="105">
        <f>-56614-1884</f>
        <v>-58498</v>
      </c>
      <c r="BB80" s="7">
        <f>N80-BA80-AZ80-AY80</f>
        <v>-60255</v>
      </c>
      <c r="BC80" s="105">
        <f>-53338-1764</f>
        <v>-55102</v>
      </c>
      <c r="BD80" s="105">
        <f>-54347-1398</f>
        <v>-55745</v>
      </c>
      <c r="BE80" s="105">
        <f>-69766-6025</f>
        <v>-75791</v>
      </c>
      <c r="BF80" s="7">
        <f>O80-BE80-BD80-BC80</f>
        <v>-147741</v>
      </c>
      <c r="BG80" s="105">
        <f>-71552-3765</f>
        <v>-75317</v>
      </c>
      <c r="BH80" s="105">
        <f>-60887-8081</f>
        <v>-68968</v>
      </c>
      <c r="BI80" s="105">
        <f>-67700-132230</f>
        <v>-199930</v>
      </c>
      <c r="BJ80" s="7">
        <f>P80-BI80-BH80-BG80</f>
        <v>-90475</v>
      </c>
      <c r="BK80" s="105">
        <f>-70040.6223294805-4135.81590913265</f>
        <v>-74176.438238613147</v>
      </c>
      <c r="BL80" s="105">
        <f>-53588-88481</f>
        <v>-142069</v>
      </c>
      <c r="BM80" s="105">
        <f>-64201-32133</f>
        <v>-96334</v>
      </c>
      <c r="BN80" s="7">
        <f>Q80-BM80-BL80-BK80</f>
        <v>-75604.561761386853</v>
      </c>
      <c r="BO80" s="105">
        <f>-90931-12619</f>
        <v>-103550</v>
      </c>
      <c r="BP80" s="105">
        <f>-97060-44009</f>
        <v>-141069</v>
      </c>
      <c r="BQ80" s="105">
        <f>-98723-3537</f>
        <v>-102260</v>
      </c>
      <c r="BR80" s="7">
        <f>R80-BQ80-BP80-BO80</f>
        <v>-173955</v>
      </c>
      <c r="BS80" s="105">
        <f>-98751-70757</f>
        <v>-169508</v>
      </c>
      <c r="BT80" s="105">
        <f>-95562-56608</f>
        <v>-152170</v>
      </c>
      <c r="BU80" s="105">
        <f>-83524-34782</f>
        <v>-118306</v>
      </c>
      <c r="BV80" s="7">
        <f>S80-BU80-BT80-BS80</f>
        <v>-166920</v>
      </c>
      <c r="BW80" s="105">
        <f>-111296-2108</f>
        <v>-113404</v>
      </c>
      <c r="BX80" s="105">
        <f>-108354-5519</f>
        <v>-113873</v>
      </c>
      <c r="BY80" s="105">
        <f>-107797-4542</f>
        <v>-112339</v>
      </c>
      <c r="BZ80" s="105">
        <f t="shared" si="174"/>
        <v>-124392</v>
      </c>
      <c r="CA80" s="40"/>
      <c r="CB80" s="105">
        <f>-49202-10201</f>
        <v>-59403</v>
      </c>
      <c r="CC80" s="105">
        <f>-56614.3659090918-1883.66447034994</f>
        <v>-58498.030379441741</v>
      </c>
      <c r="CD80" s="105">
        <f>-45077.9171168354-15177.1305782764</f>
        <v>-60255.047695111803</v>
      </c>
      <c r="CE80" s="105">
        <f>-53338.3334177686-1764.26661115009</f>
        <v>-55102.600028918685</v>
      </c>
      <c r="CF80" s="105">
        <f>-54346.6990511994-1398.40093280662</f>
        <v>-55745.099984006018</v>
      </c>
      <c r="CG80" s="846"/>
      <c r="CH80" s="105">
        <f>-190585-30690</f>
        <v>-221275</v>
      </c>
    </row>
    <row r="81" spans="2:86">
      <c r="B81" s="35" t="s">
        <v>194</v>
      </c>
      <c r="D81" s="39">
        <v>-373991</v>
      </c>
      <c r="E81" s="39">
        <f>-24985+2543-285</f>
        <v>-22727</v>
      </c>
      <c r="F81" s="7">
        <f t="shared" si="169"/>
        <v>-9179</v>
      </c>
      <c r="G81" s="7">
        <f t="shared" si="170"/>
        <v>-14053</v>
      </c>
      <c r="H81" s="54">
        <f>SUM(AE81:AH81)</f>
        <v>663</v>
      </c>
      <c r="I81" s="7">
        <f t="shared" si="171"/>
        <v>56686</v>
      </c>
      <c r="J81" s="7">
        <f t="shared" si="172"/>
        <v>66638</v>
      </c>
      <c r="K81" s="7">
        <f>SUM(AQ81:AT81)</f>
        <v>-14689</v>
      </c>
      <c r="L81" s="105">
        <f>-19498+4869-60</f>
        <v>-14689</v>
      </c>
      <c r="M81" s="105">
        <f>-5083+3051-60</f>
        <v>-2092</v>
      </c>
      <c r="N81" s="105">
        <f>-1345-4761</f>
        <v>-6106</v>
      </c>
      <c r="O81" s="105">
        <f>0-32603</f>
        <v>-32603</v>
      </c>
      <c r="P81" s="105">
        <f>-26208+5887+998</f>
        <v>-19323</v>
      </c>
      <c r="Q81" s="105">
        <f>-8106</f>
        <v>-8106</v>
      </c>
      <c r="R81" s="105">
        <f>-300-6428</f>
        <v>-6728</v>
      </c>
      <c r="S81" s="105">
        <f>-8788-69+1023+45</f>
        <v>-7789</v>
      </c>
      <c r="T81" s="105">
        <v>0</v>
      </c>
      <c r="U81" s="7">
        <f t="shared" si="173"/>
        <v>0</v>
      </c>
      <c r="V81" s="1116"/>
      <c r="W81" s="105">
        <v>-9281</v>
      </c>
      <c r="X81" s="105">
        <v>0</v>
      </c>
      <c r="Y81" s="105">
        <v>0</v>
      </c>
      <c r="Z81" s="105">
        <v>102</v>
      </c>
      <c r="AA81" s="105">
        <f>-2928-8009</f>
        <v>-10937</v>
      </c>
      <c r="AB81" s="105">
        <v>-747</v>
      </c>
      <c r="AC81" s="105">
        <v>0</v>
      </c>
      <c r="AD81" s="105">
        <v>-2369</v>
      </c>
      <c r="AE81" s="105">
        <v>0</v>
      </c>
      <c r="AF81" s="105">
        <v>0</v>
      </c>
      <c r="AG81" s="105">
        <v>-358</v>
      </c>
      <c r="AH81" s="105">
        <v>1021</v>
      </c>
      <c r="AI81" s="105">
        <v>7346</v>
      </c>
      <c r="AJ81" s="105">
        <f>-135+36298</f>
        <v>36163</v>
      </c>
      <c r="AK81" s="105">
        <v>12723</v>
      </c>
      <c r="AL81" s="105">
        <v>454</v>
      </c>
      <c r="AM81" s="105">
        <f>(283-39611-120)*-1</f>
        <v>39448</v>
      </c>
      <c r="AN81" s="105">
        <f>(-20419-5290-447)*-1</f>
        <v>26156</v>
      </c>
      <c r="AO81" s="105">
        <f>(426-1212)*-1</f>
        <v>786</v>
      </c>
      <c r="AP81" s="105">
        <f>(-498+250)*-1</f>
        <v>248</v>
      </c>
      <c r="AQ81" s="105">
        <v>1840</v>
      </c>
      <c r="AR81" s="105">
        <f>(16764-92)*-1</f>
        <v>-16672</v>
      </c>
      <c r="AS81" s="105">
        <f>(1468-1858)*-1</f>
        <v>390</v>
      </c>
      <c r="AT81" s="105">
        <f>-1266+1079-60</f>
        <v>-247</v>
      </c>
      <c r="AU81" s="105">
        <f>6931+103</f>
        <v>7034</v>
      </c>
      <c r="AV81" s="105">
        <f>-6403-60+2870</f>
        <v>-3593</v>
      </c>
      <c r="AW81" s="105">
        <f>-811+0+78</f>
        <v>-733</v>
      </c>
      <c r="AX81" s="7">
        <f>M81-AW81-AV81-AU81</f>
        <v>-4800</v>
      </c>
      <c r="AY81" s="105">
        <f>-1189-2605</f>
        <v>-3794</v>
      </c>
      <c r="AZ81" s="105">
        <f>1189+2</f>
        <v>1191</v>
      </c>
      <c r="BA81" s="105">
        <v>-2134</v>
      </c>
      <c r="BB81" s="7">
        <f>N81-BA81-AZ81-AY81</f>
        <v>-1369</v>
      </c>
      <c r="BC81" s="105">
        <v>-3317</v>
      </c>
      <c r="BD81" s="105">
        <v>6</v>
      </c>
      <c r="BE81" s="105">
        <v>-17</v>
      </c>
      <c r="BF81" s="7">
        <f>O81-BE81-BD81-BC81</f>
        <v>-29275</v>
      </c>
      <c r="BG81" s="105">
        <v>0</v>
      </c>
      <c r="BH81" s="105">
        <v>0</v>
      </c>
      <c r="BI81" s="105">
        <f>3320</f>
        <v>3320</v>
      </c>
      <c r="BJ81" s="7">
        <f>P81-BI81-BH81-BG81</f>
        <v>-22643</v>
      </c>
      <c r="BK81" s="105">
        <v>0</v>
      </c>
      <c r="BL81" s="105">
        <v>0</v>
      </c>
      <c r="BM81" s="105">
        <v>0</v>
      </c>
      <c r="BN81" s="7">
        <f>Q81-BM81-BL81-BK81</f>
        <v>-8106</v>
      </c>
      <c r="BO81" s="105">
        <v>0</v>
      </c>
      <c r="BP81" s="105">
        <v>0</v>
      </c>
      <c r="BQ81" s="105">
        <v>0</v>
      </c>
      <c r="BR81" s="7">
        <f>R81-BQ81-BP81-BO81</f>
        <v>-6728</v>
      </c>
      <c r="BS81" s="105">
        <v>0</v>
      </c>
      <c r="BT81" s="105">
        <v>0</v>
      </c>
      <c r="BU81" s="105">
        <v>1023</v>
      </c>
      <c r="BV81" s="7">
        <f>S81-BU81-BT81-BS81</f>
        <v>-8812</v>
      </c>
      <c r="BW81" s="105">
        <v>0</v>
      </c>
      <c r="BX81" s="105">
        <v>0</v>
      </c>
      <c r="BY81" s="105">
        <v>0</v>
      </c>
      <c r="BZ81" s="7">
        <f t="shared" si="174"/>
        <v>0</v>
      </c>
      <c r="CA81" s="7"/>
      <c r="CB81" s="105">
        <f>-1189-2605</f>
        <v>-3794</v>
      </c>
      <c r="CC81" s="105">
        <v>0</v>
      </c>
      <c r="CD81" s="105">
        <v>-1345.2128700743201</v>
      </c>
      <c r="CE81" s="105">
        <v>0</v>
      </c>
      <c r="CF81" s="105">
        <v>0</v>
      </c>
      <c r="CH81" s="105">
        <f>-1345-4761</f>
        <v>-6106</v>
      </c>
    </row>
    <row r="82" spans="2:86" s="20" customFormat="1">
      <c r="B82" s="41" t="s">
        <v>195</v>
      </c>
      <c r="C82" s="17"/>
      <c r="D82" s="34">
        <f>SUM(D79:D81)</f>
        <v>-488781</v>
      </c>
      <c r="E82" s="34">
        <f>SUM(E79:E81)</f>
        <v>-940</v>
      </c>
      <c r="F82" s="34">
        <f t="shared" ref="F82:AT82" si="183">SUM(F79:F81)</f>
        <v>48965</v>
      </c>
      <c r="G82" s="34">
        <f t="shared" si="183"/>
        <v>35802</v>
      </c>
      <c r="H82" s="34">
        <f t="shared" si="183"/>
        <v>28453</v>
      </c>
      <c r="I82" s="34">
        <f t="shared" si="183"/>
        <v>52338</v>
      </c>
      <c r="J82" s="34">
        <f t="shared" si="183"/>
        <v>-30335</v>
      </c>
      <c r="K82" s="34">
        <f t="shared" ref="K82:R82" si="184">SUM(K79:K81)</f>
        <v>-37098</v>
      </c>
      <c r="L82" s="34">
        <f t="shared" si="184"/>
        <v>-29330</v>
      </c>
      <c r="M82" s="34">
        <f t="shared" si="184"/>
        <v>-190498</v>
      </c>
      <c r="N82" s="34">
        <f t="shared" si="184"/>
        <v>-155222</v>
      </c>
      <c r="O82" s="34">
        <f t="shared" si="184"/>
        <v>31216</v>
      </c>
      <c r="P82" s="34">
        <f t="shared" si="184"/>
        <v>-40724</v>
      </c>
      <c r="Q82" s="34">
        <f t="shared" si="184"/>
        <v>185112</v>
      </c>
      <c r="R82" s="34">
        <f t="shared" si="184"/>
        <v>216569</v>
      </c>
      <c r="S82" s="34">
        <f>SUM(S79:S81)</f>
        <v>299258</v>
      </c>
      <c r="T82" s="34">
        <f>SUM(T79:T81)</f>
        <v>608995</v>
      </c>
      <c r="U82" s="34">
        <f>SUM(U79:U81)</f>
        <v>608995</v>
      </c>
      <c r="V82" s="1116"/>
      <c r="W82" s="34">
        <f t="shared" si="183"/>
        <v>15124</v>
      </c>
      <c r="X82" s="34">
        <f t="shared" si="183"/>
        <v>5625</v>
      </c>
      <c r="Y82" s="34">
        <f t="shared" si="183"/>
        <v>17963</v>
      </c>
      <c r="Z82" s="34">
        <f t="shared" si="183"/>
        <v>10253</v>
      </c>
      <c r="AA82" s="34">
        <f t="shared" si="183"/>
        <v>36762</v>
      </c>
      <c r="AB82" s="34">
        <f t="shared" si="183"/>
        <v>14961</v>
      </c>
      <c r="AC82" s="34">
        <f t="shared" si="183"/>
        <v>25469</v>
      </c>
      <c r="AD82" s="34">
        <f t="shared" si="183"/>
        <v>-41390</v>
      </c>
      <c r="AE82" s="34">
        <f t="shared" si="183"/>
        <v>33790</v>
      </c>
      <c r="AF82" s="34">
        <f t="shared" si="183"/>
        <v>23970.995196233416</v>
      </c>
      <c r="AG82" s="34">
        <f t="shared" si="183"/>
        <v>14473.401299766643</v>
      </c>
      <c r="AH82" s="34">
        <f t="shared" si="183"/>
        <v>-43781.396496000059</v>
      </c>
      <c r="AI82" s="34">
        <f t="shared" si="183"/>
        <v>-23251.134747999982</v>
      </c>
      <c r="AJ82" s="34">
        <f t="shared" si="183"/>
        <v>37461.019721999968</v>
      </c>
      <c r="AK82" s="34">
        <f t="shared" si="183"/>
        <v>30452.507491000113</v>
      </c>
      <c r="AL82" s="34">
        <f t="shared" si="183"/>
        <v>7675.607534999901</v>
      </c>
      <c r="AM82" s="34">
        <f t="shared" si="183"/>
        <v>26580.018045999983</v>
      </c>
      <c r="AN82" s="34">
        <f t="shared" si="183"/>
        <v>36873.604125199825</v>
      </c>
      <c r="AO82" s="34">
        <f t="shared" si="183"/>
        <v>-73001.241112692456</v>
      </c>
      <c r="AP82" s="34">
        <f t="shared" si="183"/>
        <v>-20787.381058507337</v>
      </c>
      <c r="AQ82" s="34">
        <f t="shared" si="183"/>
        <v>54469.605177341946</v>
      </c>
      <c r="AR82" s="34">
        <f t="shared" si="183"/>
        <v>-5462.2208505970484</v>
      </c>
      <c r="AS82" s="34">
        <f t="shared" si="183"/>
        <v>-19792</v>
      </c>
      <c r="AT82" s="34">
        <f t="shared" si="183"/>
        <v>-66313.384326744897</v>
      </c>
      <c r="AU82" s="34">
        <f t="shared" ref="AU82:BA82" si="185">SUM(AU79:AU81)</f>
        <v>-61833</v>
      </c>
      <c r="AV82" s="34">
        <f t="shared" si="185"/>
        <v>-68071</v>
      </c>
      <c r="AW82" s="34">
        <f t="shared" si="185"/>
        <v>-17984</v>
      </c>
      <c r="AX82" s="34">
        <f t="shared" si="185"/>
        <v>-42610</v>
      </c>
      <c r="AY82" s="34">
        <f t="shared" si="185"/>
        <v>-24507.598737681328</v>
      </c>
      <c r="AZ82" s="34">
        <f t="shared" si="185"/>
        <v>9323.5308663808974</v>
      </c>
      <c r="BA82" s="34">
        <f t="shared" si="185"/>
        <v>29550.971654773908</v>
      </c>
      <c r="BB82" s="34">
        <f t="shared" ref="BB82:BH82" si="186">SUM(BB79:BB81)</f>
        <v>-169588.90378347348</v>
      </c>
      <c r="BC82" s="34">
        <f t="shared" si="186"/>
        <v>36087</v>
      </c>
      <c r="BD82" s="34">
        <f t="shared" si="186"/>
        <v>44761</v>
      </c>
      <c r="BE82" s="34">
        <f t="shared" si="186"/>
        <v>28642</v>
      </c>
      <c r="BF82" s="34">
        <f t="shared" si="186"/>
        <v>-78274</v>
      </c>
      <c r="BG82" s="34">
        <f t="shared" si="186"/>
        <v>26977</v>
      </c>
      <c r="BH82" s="34">
        <f t="shared" si="186"/>
        <v>46562</v>
      </c>
      <c r="BI82" s="34">
        <f t="shared" ref="BI82:BN82" si="187">SUM(BI79:BI81)</f>
        <v>-80039.005646352976</v>
      </c>
      <c r="BJ82" s="34">
        <f t="shared" si="187"/>
        <v>-34223.994353647024</v>
      </c>
      <c r="BK82" s="34">
        <f t="shared" si="187"/>
        <v>85635.345207673949</v>
      </c>
      <c r="BL82" s="34">
        <f t="shared" si="187"/>
        <v>-26890</v>
      </c>
      <c r="BM82" s="34">
        <f t="shared" si="187"/>
        <v>75273.9146937193</v>
      </c>
      <c r="BN82" s="34">
        <f t="shared" si="187"/>
        <v>51092.740098606751</v>
      </c>
      <c r="BO82" s="34">
        <f t="shared" ref="BO82:BT82" si="188">SUM(BO79:BO81)</f>
        <v>77821</v>
      </c>
      <c r="BP82" s="34">
        <f t="shared" si="188"/>
        <v>-4911</v>
      </c>
      <c r="BQ82" s="34">
        <f t="shared" si="188"/>
        <v>88330.638997884031</v>
      </c>
      <c r="BR82" s="34">
        <f t="shared" si="188"/>
        <v>55328.361002115998</v>
      </c>
      <c r="BS82" s="34">
        <f t="shared" si="188"/>
        <v>34388.72222745989</v>
      </c>
      <c r="BT82" s="34">
        <f t="shared" si="188"/>
        <v>66713.390640841215</v>
      </c>
      <c r="BU82" s="34">
        <f t="shared" ref="BU82:BZ82" si="189">SUM(BU79:BU81)</f>
        <v>147772</v>
      </c>
      <c r="BV82" s="34">
        <f t="shared" si="189"/>
        <v>50383.887131698953</v>
      </c>
      <c r="BW82" s="34">
        <f t="shared" si="189"/>
        <v>158523</v>
      </c>
      <c r="BX82" s="34">
        <f t="shared" si="189"/>
        <v>163717</v>
      </c>
      <c r="BY82" s="34">
        <f t="shared" si="189"/>
        <v>183138</v>
      </c>
      <c r="BZ82" s="34">
        <f t="shared" si="189"/>
        <v>103617</v>
      </c>
      <c r="CA82" s="34"/>
      <c r="CB82" s="34">
        <f>SUM(CB79:CB81)</f>
        <v>-23828.598737681328</v>
      </c>
      <c r="CC82" s="34">
        <f>SUM(CC79:CC81)</f>
        <v>30157.82549867974</v>
      </c>
      <c r="CD82" s="34">
        <f>SUM(CD79:CD81)</f>
        <v>-179076.59729808808</v>
      </c>
      <c r="CE82" s="34">
        <f>SUM(CE79:CE81)</f>
        <v>36437.86000055982</v>
      </c>
      <c r="CF82" s="34">
        <f>SUM(CF79:CF81)</f>
        <v>39164.328685760767</v>
      </c>
      <c r="CH82" s="34">
        <f>SUM(CH79:CH81)</f>
        <v>-178579</v>
      </c>
    </row>
    <row r="83" spans="2:86">
      <c r="B83" s="35" t="s">
        <v>196</v>
      </c>
      <c r="D83" s="39">
        <f>46590+565</f>
        <v>47155</v>
      </c>
      <c r="E83" s="39">
        <f>401-10823-172+210</f>
        <v>-10384</v>
      </c>
      <c r="F83" s="7">
        <f t="shared" si="169"/>
        <v>-45528</v>
      </c>
      <c r="G83" s="7">
        <f t="shared" si="170"/>
        <v>-58435</v>
      </c>
      <c r="H83" s="54">
        <f>SUM(AE83:AH83)</f>
        <v>-9571</v>
      </c>
      <c r="I83" s="7">
        <f t="shared" si="171"/>
        <v>72024</v>
      </c>
      <c r="J83" s="7">
        <f t="shared" si="172"/>
        <v>1853</v>
      </c>
      <c r="K83" s="7">
        <f>SUM(AQ83:AT83)</f>
        <v>-7735</v>
      </c>
      <c r="L83" s="71">
        <f>-50259+36495+10377+5662</f>
        <v>2275</v>
      </c>
      <c r="M83" s="71">
        <f>18158-12091+11493+4793</f>
        <v>22353</v>
      </c>
      <c r="N83" s="71">
        <f>-85236+2950+4748</f>
        <v>-77538</v>
      </c>
      <c r="O83" s="71">
        <f>67168+3578+3131-17</f>
        <v>73860</v>
      </c>
      <c r="P83" s="71">
        <f>10048+21298-89+8+4052</f>
        <v>35317</v>
      </c>
      <c r="Q83" s="71">
        <f>-12000+311-323+3508</f>
        <v>-8504</v>
      </c>
      <c r="R83" s="71">
        <f>19015+69-304+5671</f>
        <v>24451</v>
      </c>
      <c r="S83" s="71">
        <f>7100-734+300+1090+4239</f>
        <v>11995</v>
      </c>
      <c r="T83" s="71">
        <f>-126994-1151+907+1813+4088</f>
        <v>-121337</v>
      </c>
      <c r="U83" s="7">
        <f t="shared" si="173"/>
        <v>-121337</v>
      </c>
      <c r="V83" s="1116"/>
      <c r="W83" s="71">
        <f>-60-11156+66</f>
        <v>-11150</v>
      </c>
      <c r="X83" s="71">
        <f>11343+567-40</f>
        <v>11870</v>
      </c>
      <c r="Y83" s="71">
        <f>-50004+155</f>
        <v>-49849</v>
      </c>
      <c r="Z83" s="71">
        <f>-30+1092+111+2428</f>
        <v>3601</v>
      </c>
      <c r="AA83" s="71">
        <f>-47647+286+1154+324</f>
        <v>-45883</v>
      </c>
      <c r="AB83" s="71">
        <f>20266-2500-30505+255+105</f>
        <v>-12379</v>
      </c>
      <c r="AC83" s="71">
        <f>-23351-6342-2-60+139+233</f>
        <v>-29383</v>
      </c>
      <c r="AD83" s="71">
        <f>28734+100+140+236</f>
        <v>29210</v>
      </c>
      <c r="AE83" s="71">
        <f>-15771-357+589-10-65+454+267</f>
        <v>-14893</v>
      </c>
      <c r="AF83" s="71">
        <f>11791-2171+1029-89+523+127</f>
        <v>11210</v>
      </c>
      <c r="AG83" s="71">
        <f>11084+87+137+86</f>
        <v>11394</v>
      </c>
      <c r="AH83" s="71">
        <f>-20925-550+193+4000</f>
        <v>-17282</v>
      </c>
      <c r="AI83" s="71">
        <f>4305+3092+410</f>
        <v>7807</v>
      </c>
      <c r="AJ83" s="71">
        <f>17710-2013+3450+976</f>
        <v>20123</v>
      </c>
      <c r="AK83" s="71">
        <f>33417-1002+1100-19+14+59+1774</f>
        <v>35343</v>
      </c>
      <c r="AL83" s="71">
        <f>8339-203+55+59+501</f>
        <v>8751</v>
      </c>
      <c r="AM83" s="71">
        <f>-32195+61+1365</f>
        <v>-30769</v>
      </c>
      <c r="AN83" s="71">
        <f>33475-14736+1415+62+539</f>
        <v>20755</v>
      </c>
      <c r="AO83" s="71">
        <f>2188-30190+23138+62+51</f>
        <v>-4751</v>
      </c>
      <c r="AP83" s="71">
        <f>2317-44147+58004+94+350</f>
        <v>16618</v>
      </c>
      <c r="AQ83" s="71">
        <f>6134+86+2014-9225</f>
        <v>-991</v>
      </c>
      <c r="AR83" s="71">
        <f>8083+109+1279</f>
        <v>9471</v>
      </c>
      <c r="AS83" s="71">
        <f>-15890+1028+92+571</f>
        <v>-14199</v>
      </c>
      <c r="AT83" s="71">
        <f>-33227+29333+80+1798</f>
        <v>-2016</v>
      </c>
      <c r="AU83" s="71">
        <f>-2668+11331+932</f>
        <v>9595</v>
      </c>
      <c r="AV83" s="71">
        <f>16277+55+911+161</f>
        <v>17404</v>
      </c>
      <c r="AW83" s="71">
        <f>54+2608+14350-14694</f>
        <v>2318</v>
      </c>
      <c r="AX83" s="7">
        <f>M83-AW83-AV83-AU83</f>
        <v>-6964</v>
      </c>
      <c r="AY83" s="71">
        <f>-8595+1620+522</f>
        <v>-6453</v>
      </c>
      <c r="AZ83" s="71">
        <f>-4244+1830+882</f>
        <v>-1532</v>
      </c>
      <c r="BA83" s="71">
        <f>-130950+599+1038</f>
        <v>-129313</v>
      </c>
      <c r="BB83" s="7">
        <f>N83-BA83-AZ83-AY83</f>
        <v>59760</v>
      </c>
      <c r="BC83" s="71">
        <f>-832+2240+3561+4200</f>
        <v>9169</v>
      </c>
      <c r="BD83" s="71">
        <f>49218+76+299</f>
        <v>49593</v>
      </c>
      <c r="BE83" s="71">
        <f>72249-29234+217-42</f>
        <v>43190</v>
      </c>
      <c r="BF83" s="7">
        <f>O83-BE83-BD83-BC83</f>
        <v>-28092</v>
      </c>
      <c r="BG83" s="71">
        <f>54972+392-75+0</f>
        <v>55289</v>
      </c>
      <c r="BH83" s="71">
        <f>-83058+0+401+10048+8</f>
        <v>-72601</v>
      </c>
      <c r="BI83" s="71">
        <f>60065+581-919</f>
        <v>59727</v>
      </c>
      <c r="BJ83" s="7">
        <f>P83-BI83-BH83-BG83</f>
        <v>-7098</v>
      </c>
      <c r="BK83" s="71">
        <f>-56813-BK80-BK81</f>
        <v>17363.438238613147</v>
      </c>
      <c r="BL83" s="71">
        <f>13299+311+760</f>
        <v>14370</v>
      </c>
      <c r="BM83" s="71">
        <f>-43564+1189-157</f>
        <v>-42532</v>
      </c>
      <c r="BN83" s="7">
        <f>Q83-BM83-BL83-BK83</f>
        <v>2294.5617613868526</v>
      </c>
      <c r="BO83" s="71">
        <f>-55756-114+1041</f>
        <v>-54829</v>
      </c>
      <c r="BP83" s="71">
        <f>54505-111+1120-300+463</f>
        <v>55677</v>
      </c>
      <c r="BQ83" s="71">
        <f>-52712+33+609+2367</f>
        <v>-49703</v>
      </c>
      <c r="BR83" s="7">
        <f>R83-BQ83-BP83-BO83</f>
        <v>73306</v>
      </c>
      <c r="BS83" s="71">
        <f>27365-84+1839-67+1085-8638</f>
        <v>21500</v>
      </c>
      <c r="BT83" s="71">
        <f>7425-183+817+67+0-150-69</f>
        <v>7907</v>
      </c>
      <c r="BU83" s="71">
        <f>-11811-1-1+915</f>
        <v>-10898</v>
      </c>
      <c r="BV83" s="7">
        <f>S83-BU83-BT83-BS83</f>
        <v>-6514</v>
      </c>
      <c r="BW83" s="71">
        <f>-27136-28+1813+647</f>
        <v>-24704</v>
      </c>
      <c r="BX83" s="71">
        <f>-4443-436+1026</f>
        <v>-3853</v>
      </c>
      <c r="BY83" s="71">
        <f>-19719-354+634+2223</f>
        <v>-17216</v>
      </c>
      <c r="BZ83" s="71">
        <f t="shared" si="174"/>
        <v>-75564</v>
      </c>
      <c r="CA83" s="7"/>
      <c r="CB83" s="71">
        <f>-8595+1620+522</f>
        <v>-6453</v>
      </c>
      <c r="CC83" s="71">
        <f>-130950.129771264+598.765550883405-2133.58039961218</f>
        <v>-132484.94461999278</v>
      </c>
      <c r="CD83" s="71">
        <f>58553.5142202446-0.814497017655867-25.3731377987101</f>
        <v>58527.326585428229</v>
      </c>
      <c r="CE83" s="71">
        <f>-831.977886+3561.29838313155-3317.059876345+4200</f>
        <v>3612.2606207865501</v>
      </c>
      <c r="CF83" s="71">
        <f>49267.1563785833+33.1116189373765-0.368554520514408</f>
        <v>49299.899443000162</v>
      </c>
      <c r="CH83" s="71">
        <f>-85236+2950+4748</f>
        <v>-77538</v>
      </c>
    </row>
    <row r="84" spans="2:86">
      <c r="B84" s="35" t="s">
        <v>197</v>
      </c>
      <c r="D84" s="39">
        <f>-402+96-4428</f>
        <v>-4734</v>
      </c>
      <c r="E84" s="39">
        <f>-544+187-4411-157</f>
        <v>-4925</v>
      </c>
      <c r="F84" s="7">
        <f t="shared" si="169"/>
        <v>26071</v>
      </c>
      <c r="G84" s="7">
        <f t="shared" si="170"/>
        <v>61319</v>
      </c>
      <c r="H84" s="54">
        <f>SUM(AE84:AH84)</f>
        <v>-20847</v>
      </c>
      <c r="I84" s="7">
        <f t="shared" si="171"/>
        <v>-14265</v>
      </c>
      <c r="J84" s="7">
        <f t="shared" si="172"/>
        <v>-18542</v>
      </c>
      <c r="K84" s="7">
        <f>SUM(AQ84:AT84)</f>
        <v>-33042</v>
      </c>
      <c r="L84" s="71">
        <f>-411-32652+21</f>
        <v>-33042</v>
      </c>
      <c r="M84" s="71">
        <f>-238-46617+104341-5409</f>
        <v>52077</v>
      </c>
      <c r="N84" s="71">
        <f>-492+143055+70456-18263+128514+248759</f>
        <v>572029</v>
      </c>
      <c r="O84" s="71">
        <f>-1102+0+0-26906+36048+24239-10243</f>
        <v>22036</v>
      </c>
      <c r="P84" s="71">
        <f>52226-598+7-14438</f>
        <v>37197</v>
      </c>
      <c r="Q84" s="71">
        <f>52242-499+3-35898+13992</f>
        <v>29840</v>
      </c>
      <c r="R84" s="71">
        <f>-1368+6-41845+1072</f>
        <v>-42135</v>
      </c>
      <c r="S84" s="71">
        <f>-3675-69349</f>
        <v>-73024</v>
      </c>
      <c r="T84" s="71">
        <f>-1447-113277+75-19056+156949</f>
        <v>23244</v>
      </c>
      <c r="U84" s="7">
        <f t="shared" si="173"/>
        <v>23244</v>
      </c>
      <c r="V84" s="7"/>
      <c r="W84" s="28">
        <f>11-101</f>
        <v>-90</v>
      </c>
      <c r="X84" s="28">
        <f>-4412-928+33-762</f>
        <v>-6069</v>
      </c>
      <c r="Y84" s="28">
        <f>32303+13</f>
        <v>32316</v>
      </c>
      <c r="Z84" s="71">
        <f>-97+11</f>
        <v>-86</v>
      </c>
      <c r="AA84" s="71">
        <f>67956-132+13</f>
        <v>67837</v>
      </c>
      <c r="AB84" s="71">
        <f>-4439-1772+13</f>
        <v>-6198</v>
      </c>
      <c r="AC84" s="71">
        <f>-392+7</f>
        <v>-385</v>
      </c>
      <c r="AD84" s="71">
        <v>65</v>
      </c>
      <c r="AE84" s="71">
        <v>83</v>
      </c>
      <c r="AF84" s="71">
        <f>-21331+32</f>
        <v>-21299</v>
      </c>
      <c r="AG84" s="71">
        <f>-68+73</f>
        <v>5</v>
      </c>
      <c r="AH84" s="71">
        <v>364</v>
      </c>
      <c r="AI84" s="71">
        <v>367</v>
      </c>
      <c r="AJ84" s="71">
        <f>-15304+176-514</f>
        <v>-15642</v>
      </c>
      <c r="AK84" s="71">
        <v>15</v>
      </c>
      <c r="AL84" s="71">
        <f>11+984</f>
        <v>995</v>
      </c>
      <c r="AM84" s="71">
        <f>-23+2</f>
        <v>-21</v>
      </c>
      <c r="AN84" s="71">
        <f>-9145+250-7632+16</f>
        <v>-16511</v>
      </c>
      <c r="AO84" s="71">
        <f>37+299-3052</f>
        <v>-2716</v>
      </c>
      <c r="AP84" s="71">
        <f>10+696</f>
        <v>706</v>
      </c>
      <c r="AQ84" s="71">
        <v>-10348</v>
      </c>
      <c r="AR84" s="71">
        <f>-8468+9</f>
        <v>-8459</v>
      </c>
      <c r="AS84" s="71">
        <f>-241+1</f>
        <v>-240</v>
      </c>
      <c r="AT84" s="71">
        <f>-183+3-13836+21</f>
        <v>-13995</v>
      </c>
      <c r="AU84" s="71">
        <f>-52-97</f>
        <v>-149</v>
      </c>
      <c r="AV84" s="71">
        <f>-26700-146+597-5366</f>
        <v>-31615</v>
      </c>
      <c r="AW84" s="71">
        <f>-19820-42+89751-23</f>
        <v>69866</v>
      </c>
      <c r="AX84" s="7">
        <f>M84-AW84-AV84-AU84</f>
        <v>13975</v>
      </c>
      <c r="AY84" s="71">
        <f>-7774-83+231+249129</f>
        <v>241503</v>
      </c>
      <c r="AZ84" s="71">
        <f>2-3784+54799+7</f>
        <v>51024</v>
      </c>
      <c r="BA84" s="71">
        <f>-411-6377+53074-0</f>
        <v>46286</v>
      </c>
      <c r="BB84" s="7">
        <f>N84-BA84-AZ84-AY84</f>
        <v>233216</v>
      </c>
      <c r="BC84" s="71">
        <f>-21-5678</f>
        <v>-5699</v>
      </c>
      <c r="BD84" s="71">
        <f>7-17113</f>
        <v>-17106</v>
      </c>
      <c r="BE84" s="71">
        <f>-4115-1110-224</f>
        <v>-5449</v>
      </c>
      <c r="BF84" s="7">
        <f>O84-BE84-BD84-BC84</f>
        <v>50290</v>
      </c>
      <c r="BG84" s="71">
        <f>0-2998</f>
        <v>-2998</v>
      </c>
      <c r="BH84" s="71">
        <f>-205-3783</f>
        <v>-3988</v>
      </c>
      <c r="BI84" s="71">
        <f>-6284-362+52254-12525</f>
        <v>33083</v>
      </c>
      <c r="BJ84" s="7">
        <f>P84-BI84-BH84-BG84</f>
        <v>11100</v>
      </c>
      <c r="BK84" s="71">
        <v>-4015.7426205937199</v>
      </c>
      <c r="BL84" s="71">
        <f>-23146-299</f>
        <v>-23445</v>
      </c>
      <c r="BM84" s="71">
        <f>-8531-198+42</f>
        <v>-8687</v>
      </c>
      <c r="BN84" s="7">
        <f>Q84-BM84-BL84-BK84</f>
        <v>65987.742620593723</v>
      </c>
      <c r="BO84" s="71">
        <v>-4032</v>
      </c>
      <c r="BP84" s="71">
        <f>-29813-119</f>
        <v>-29932</v>
      </c>
      <c r="BQ84" s="71">
        <f>-8416+3106</f>
        <v>-5310</v>
      </c>
      <c r="BR84" s="7">
        <f>R84-BQ84-BP84-BO84</f>
        <v>-2861</v>
      </c>
      <c r="BS84" s="71">
        <v>-4707</v>
      </c>
      <c r="BT84" s="71">
        <v>-54404</v>
      </c>
      <c r="BU84" s="71">
        <f>-7786-1433+1</f>
        <v>-9218</v>
      </c>
      <c r="BV84" s="7">
        <f>S84-BU84-BT84-BS84</f>
        <v>-4695</v>
      </c>
      <c r="BW84" s="71">
        <v>-2266</v>
      </c>
      <c r="BX84" s="71">
        <v>-101531</v>
      </c>
      <c r="BY84" s="71">
        <f>-129-6460+75</f>
        <v>-6514</v>
      </c>
      <c r="BZ84" s="71">
        <f t="shared" si="174"/>
        <v>133555</v>
      </c>
      <c r="CA84" s="7"/>
      <c r="CB84" s="71">
        <f>-7774-83+231+249129</f>
        <v>241503</v>
      </c>
      <c r="CC84" s="71">
        <f>-6376.66208209059-411.18076372</f>
        <v>-6787.84284581059</v>
      </c>
      <c r="CD84" s="71">
        <f>-328.350107458642+143055+70456.429158011+20409.9846617863-376.738128620199</f>
        <v>233216.32558371843</v>
      </c>
      <c r="CE84" s="71">
        <f>-5677.800164025-0</f>
        <v>-5677.8001640250004</v>
      </c>
      <c r="CF84" s="71">
        <f>-17113.4723831087+7.45565455730972</f>
        <v>-17106.016728551389</v>
      </c>
      <c r="CH84" s="71">
        <f>-492+143055+70456-18263+128514+248759</f>
        <v>572029</v>
      </c>
    </row>
    <row r="85" spans="2:86">
      <c r="B85" s="35" t="s">
        <v>198</v>
      </c>
      <c r="D85" s="39">
        <f>564390-139104+4300</f>
        <v>429586</v>
      </c>
      <c r="E85" s="39">
        <f>164864-163343-4351</f>
        <v>-2830</v>
      </c>
      <c r="F85" s="7">
        <f t="shared" si="169"/>
        <v>-24026</v>
      </c>
      <c r="G85" s="7">
        <f t="shared" si="170"/>
        <v>14252</v>
      </c>
      <c r="H85" s="54">
        <f>SUM(AE85:AH85)</f>
        <v>-72451</v>
      </c>
      <c r="I85" s="7">
        <f t="shared" si="171"/>
        <v>-120426</v>
      </c>
      <c r="J85" s="7">
        <f t="shared" si="172"/>
        <v>5454</v>
      </c>
      <c r="K85" s="7">
        <f>SUM(AQ85:AT85)</f>
        <v>36141</v>
      </c>
      <c r="L85" s="105">
        <f>66947-26874-974</f>
        <v>39099</v>
      </c>
      <c r="M85" s="105">
        <f>7782+98101-3389</f>
        <v>102494</v>
      </c>
      <c r="N85" s="105">
        <f>-62413-117140-47740</f>
        <v>-227293</v>
      </c>
      <c r="O85" s="105">
        <f>-82504-35659-64206</f>
        <v>-182369</v>
      </c>
      <c r="P85" s="105">
        <f>254785-337212-76427+63649</f>
        <v>-95205</v>
      </c>
      <c r="Q85" s="105">
        <f>136077-178227-75986-70972</f>
        <v>-189108</v>
      </c>
      <c r="R85" s="105">
        <f>67123-100803-78552+15516</f>
        <v>-96716</v>
      </c>
      <c r="S85" s="105">
        <f>235597-178594-71538+36927-86292</f>
        <v>-63900</v>
      </c>
      <c r="T85" s="105">
        <f>-280642-44087-67197</f>
        <v>-391926</v>
      </c>
      <c r="U85" s="7">
        <f t="shared" si="173"/>
        <v>-391926</v>
      </c>
      <c r="V85" s="7"/>
      <c r="W85" s="105">
        <f>95433-97326-2295</f>
        <v>-4188</v>
      </c>
      <c r="X85" s="105">
        <f>22660-49302-345</f>
        <v>-26987</v>
      </c>
      <c r="Y85" s="105">
        <f>63206-52138+612</f>
        <v>11680</v>
      </c>
      <c r="Z85" s="105">
        <f>76395-75672-5254</f>
        <v>-4531</v>
      </c>
      <c r="AA85" s="105">
        <f>77593-84698</f>
        <v>-7105</v>
      </c>
      <c r="AB85" s="105">
        <f>22853-65228+4843</f>
        <v>-37532</v>
      </c>
      <c r="AC85" s="105">
        <f>114756-106391-2092</f>
        <v>6273</v>
      </c>
      <c r="AD85" s="105">
        <f>146013-92108-1289</f>
        <v>52616</v>
      </c>
      <c r="AE85" s="105">
        <f>179013-229467+200</f>
        <v>-50254</v>
      </c>
      <c r="AF85" s="105">
        <f>73352-110359+265</f>
        <v>-36742</v>
      </c>
      <c r="AG85" s="105">
        <f>28508-51623+3325</f>
        <v>-19790</v>
      </c>
      <c r="AH85" s="105">
        <f>63713-28876-502</f>
        <v>34335</v>
      </c>
      <c r="AI85" s="105">
        <f>76322-59293+2041-57</f>
        <v>19013</v>
      </c>
      <c r="AJ85" s="105">
        <f>60963-156486+9639-708</f>
        <v>-86592</v>
      </c>
      <c r="AK85" s="105">
        <f>12675-72652-8709-873</f>
        <v>-69559</v>
      </c>
      <c r="AL85" s="105">
        <f>37305-21225+1587-955</f>
        <v>16712</v>
      </c>
      <c r="AM85" s="105">
        <f>44646-71180+8691-844</f>
        <v>-18687</v>
      </c>
      <c r="AN85" s="105">
        <f>21489-60004-4042-987</f>
        <v>-43544</v>
      </c>
      <c r="AO85" s="105">
        <f>124276-68780+41143-866</f>
        <v>95773</v>
      </c>
      <c r="AP85" s="105">
        <f>68173-74644-20415-1202</f>
        <v>-28088</v>
      </c>
      <c r="AQ85" s="105">
        <f>21337-75639-1874-1094</f>
        <v>-57270</v>
      </c>
      <c r="AR85" s="105">
        <f>6659-30576+22200-1003</f>
        <v>-2720</v>
      </c>
      <c r="AS85" s="105">
        <f>11196-9995+1636-1053</f>
        <v>1784</v>
      </c>
      <c r="AT85" s="105">
        <f>158472-14507-48836-782</f>
        <v>94347</v>
      </c>
      <c r="AU85" s="105">
        <f>40748+4500-682</f>
        <v>44566</v>
      </c>
      <c r="AV85" s="105">
        <f>33763+16347+651</f>
        <v>50761</v>
      </c>
      <c r="AW85" s="105">
        <f>-62549+11863-2029</f>
        <v>-52715</v>
      </c>
      <c r="AX85" s="7">
        <f>M85-AW85-AV85-AU85</f>
        <v>59882</v>
      </c>
      <c r="AY85" s="105">
        <f>-105440-83799-11859</f>
        <v>-201098</v>
      </c>
      <c r="AZ85" s="105">
        <f>52163-55053-6372</f>
        <v>-9262</v>
      </c>
      <c r="BA85" s="105">
        <f>75316+17376-16243</f>
        <v>76449</v>
      </c>
      <c r="BB85" s="7">
        <f>N85-BA85-AZ85-AY85</f>
        <v>-93382</v>
      </c>
      <c r="BC85" s="105">
        <f>-4293-22460-13868</f>
        <v>-40621</v>
      </c>
      <c r="BD85" s="105">
        <f>-76170-6490-11389</f>
        <v>-94049</v>
      </c>
      <c r="BE85" s="105">
        <f>-58710+5172-19676</f>
        <v>-73214</v>
      </c>
      <c r="BF85" s="7">
        <f>O85-BE85-BD85-BC85</f>
        <v>25515</v>
      </c>
      <c r="BG85" s="105">
        <f>-61421+4097-17623</f>
        <v>-74947</v>
      </c>
      <c r="BH85" s="105">
        <f>-60115+52488-16244</f>
        <v>-23871</v>
      </c>
      <c r="BI85" s="105">
        <f>16380-3788-20335</f>
        <v>-7743</v>
      </c>
      <c r="BJ85" s="7">
        <f>P85-BI85-BH85-BG85</f>
        <v>11356</v>
      </c>
      <c r="BK85" s="105">
        <v>-88341</v>
      </c>
      <c r="BL85" s="105">
        <f>3056-4364-18871</f>
        <v>-20179</v>
      </c>
      <c r="BM85" s="105">
        <f>20528-25385-19095</f>
        <v>-23952</v>
      </c>
      <c r="BN85" s="7">
        <f>Q85-BM85-BL85-BK85</f>
        <v>-56636</v>
      </c>
      <c r="BO85" s="105">
        <f>-20743+1277-19759</f>
        <v>-39225</v>
      </c>
      <c r="BP85" s="105">
        <f>891-863-20935</f>
        <v>-20907</v>
      </c>
      <c r="BQ85" s="105">
        <f>986+162-19646</f>
        <v>-18498</v>
      </c>
      <c r="BR85" s="7">
        <f>R85-BQ85-BP85-BO85</f>
        <v>-18086</v>
      </c>
      <c r="BS85" s="105">
        <f>-32599+19865-18471</f>
        <v>-31205</v>
      </c>
      <c r="BT85" s="105">
        <f>342+44017-19667</f>
        <v>24692</v>
      </c>
      <c r="BU85" s="105">
        <f>-4147-44240-16321</f>
        <v>-64708</v>
      </c>
      <c r="BV85" s="7">
        <f>S85-BU85-BT85-BS85</f>
        <v>7321</v>
      </c>
      <c r="BW85" s="105">
        <f>-162356+45139-16887</f>
        <v>-134104</v>
      </c>
      <c r="BX85" s="105">
        <f>11341-14059-16030</f>
        <v>-18748</v>
      </c>
      <c r="BY85" s="105">
        <f>-48076-76992-16139</f>
        <v>-141207</v>
      </c>
      <c r="BZ85" s="105">
        <f t="shared" si="174"/>
        <v>-97867</v>
      </c>
      <c r="CA85" s="7"/>
      <c r="CB85" s="105">
        <f>-105440-83799-11859</f>
        <v>-201098</v>
      </c>
      <c r="CC85" s="105">
        <f>75315.6222922733+17376.2320516344-16243.4749205974+53074.2419612836</f>
        <v>129522.62138459392</v>
      </c>
      <c r="CD85" s="105">
        <f>-84452.0436612754+4336.41917541556-13265.6315757869</f>
        <v>-93381.256061646738</v>
      </c>
      <c r="CE85" s="105">
        <f>-4292.896554033-22460.402933-13868.2323984328</f>
        <v>-40621.531885465796</v>
      </c>
      <c r="CF85" s="105">
        <f>-76170.4219842342-6490.40467425-11388.5160557344</f>
        <v>-94049.342714218612</v>
      </c>
      <c r="CH85" s="105">
        <f>-62413-117140-47740</f>
        <v>-227293</v>
      </c>
    </row>
    <row r="86" spans="2:86">
      <c r="B86" s="35" t="s">
        <v>199</v>
      </c>
      <c r="D86" s="39">
        <v>-6104</v>
      </c>
      <c r="E86" s="39">
        <v>0</v>
      </c>
      <c r="F86" s="7">
        <f t="shared" si="169"/>
        <v>-13361</v>
      </c>
      <c r="G86" s="7">
        <f t="shared" si="170"/>
        <v>-10207</v>
      </c>
      <c r="H86" s="54">
        <f>SUM(AE86:AH86)</f>
        <v>30615</v>
      </c>
      <c r="I86" s="7">
        <f t="shared" si="171"/>
        <v>48120</v>
      </c>
      <c r="J86" s="7">
        <f t="shared" si="172"/>
        <v>68140</v>
      </c>
      <c r="K86" s="7">
        <f>SUM(AQ86:AT86)</f>
        <v>60147</v>
      </c>
      <c r="L86" s="71">
        <f>57189</f>
        <v>57189</v>
      </c>
      <c r="M86" s="71">
        <f>16238</f>
        <v>16238</v>
      </c>
      <c r="N86" s="71">
        <f>-41517-1782</f>
        <v>-43299</v>
      </c>
      <c r="O86" s="71">
        <f>0-221+7000-17</f>
        <v>6762</v>
      </c>
      <c r="P86" s="71">
        <f>0-704+10880+40911-13523</f>
        <v>37564</v>
      </c>
      <c r="Q86" s="71">
        <f>-3901-641</f>
        <v>-4542</v>
      </c>
      <c r="R86" s="71">
        <f>-870+573+4391-1693</f>
        <v>2401</v>
      </c>
      <c r="S86" s="71">
        <f>14-37348-16427+829</f>
        <v>-52932</v>
      </c>
      <c r="T86" s="71">
        <v>-5368</v>
      </c>
      <c r="U86" s="7">
        <f t="shared" si="173"/>
        <v>-5368</v>
      </c>
      <c r="V86" s="7"/>
      <c r="W86" s="28">
        <v>0</v>
      </c>
      <c r="X86" s="28">
        <v>0</v>
      </c>
      <c r="Y86" s="28">
        <v>-646</v>
      </c>
      <c r="Z86" s="71">
        <f>-12782+67</f>
        <v>-12715</v>
      </c>
      <c r="AA86" s="71">
        <v>-3828</v>
      </c>
      <c r="AB86" s="71">
        <v>0</v>
      </c>
      <c r="AC86" s="71">
        <v>-2153</v>
      </c>
      <c r="AD86" s="71">
        <v>-4226</v>
      </c>
      <c r="AE86" s="71">
        <v>-9173</v>
      </c>
      <c r="AF86" s="71">
        <v>21230</v>
      </c>
      <c r="AG86" s="71">
        <v>0</v>
      </c>
      <c r="AH86" s="71">
        <f>19182-624</f>
        <v>18558</v>
      </c>
      <c r="AI86" s="71">
        <v>4768</v>
      </c>
      <c r="AJ86" s="71">
        <v>31048</v>
      </c>
      <c r="AK86" s="71">
        <v>12099</v>
      </c>
      <c r="AL86" s="71">
        <v>205</v>
      </c>
      <c r="AM86" s="71">
        <v>92</v>
      </c>
      <c r="AN86" s="71">
        <v>5025</v>
      </c>
      <c r="AO86" s="71">
        <v>660</v>
      </c>
      <c r="AP86" s="71">
        <f>500+61863</f>
        <v>62363</v>
      </c>
      <c r="AQ86" s="71">
        <v>1077</v>
      </c>
      <c r="AR86" s="71">
        <f>99+25532</f>
        <v>25631</v>
      </c>
      <c r="AS86" s="71">
        <f>1191+31630</f>
        <v>32821</v>
      </c>
      <c r="AT86" s="71">
        <f>591+27</f>
        <v>618</v>
      </c>
      <c r="AU86" s="71">
        <v>0</v>
      </c>
      <c r="AV86" s="71">
        <f>16238</f>
        <v>16238</v>
      </c>
      <c r="AW86" s="71">
        <f>0</f>
        <v>0</v>
      </c>
      <c r="AX86" s="7">
        <f>M86-AW86-AV86-AU86</f>
        <v>0</v>
      </c>
      <c r="AY86" s="71">
        <f>-15784-251</f>
        <v>-16035</v>
      </c>
      <c r="AZ86" s="71">
        <v>0</v>
      </c>
      <c r="BA86" s="71">
        <v>-25733</v>
      </c>
      <c r="BB86" s="7">
        <f>N86-BA86-AZ86-AY86</f>
        <v>-1531</v>
      </c>
      <c r="BC86" s="71">
        <f>-15</f>
        <v>-15</v>
      </c>
      <c r="BD86" s="71">
        <v>0</v>
      </c>
      <c r="BE86" s="71">
        <f>-2-192</f>
        <v>-194</v>
      </c>
      <c r="BF86" s="7">
        <f>O86-BE86-BD86-BC86</f>
        <v>6971</v>
      </c>
      <c r="BG86" s="71">
        <f>0+1124-913</f>
        <v>211</v>
      </c>
      <c r="BH86" s="71">
        <f>0+27673-570-40+4000</f>
        <v>31063</v>
      </c>
      <c r="BI86" s="71">
        <f>13092-818</f>
        <v>12274</v>
      </c>
      <c r="BJ86" s="7">
        <f>P86-BI86-BH86-BG86</f>
        <v>-5984</v>
      </c>
      <c r="BK86" s="71">
        <v>-1010</v>
      </c>
      <c r="BL86" s="71">
        <f>-5451-BL85-BL84-BL78</f>
        <v>50346</v>
      </c>
      <c r="BM86" s="71">
        <f>-1363</f>
        <v>-1363</v>
      </c>
      <c r="BN86" s="7">
        <f>Q86-BM86-BL86-BK86</f>
        <v>-52515</v>
      </c>
      <c r="BO86" s="71">
        <f>36+317+8</f>
        <v>361</v>
      </c>
      <c r="BP86" s="71">
        <f>-107541-BP85-BP84-BP78</f>
        <v>-2141</v>
      </c>
      <c r="BQ86" s="71">
        <f>-46710-BQ85-BQ84-BQ78</f>
        <v>408</v>
      </c>
      <c r="BR86" s="7">
        <f>R86-BQ86-BP86-BO86</f>
        <v>3773</v>
      </c>
      <c r="BS86" s="71">
        <f>-447-7103+83-1524</f>
        <v>-8991</v>
      </c>
      <c r="BT86" s="71">
        <f>-1790+66-2620-5237</f>
        <v>-9581</v>
      </c>
      <c r="BU86" s="71">
        <f>-109072-BU85-BU84-BU78</f>
        <v>-2644</v>
      </c>
      <c r="BV86" s="7">
        <f>S86-BU86-BT86-BS86</f>
        <v>-31716</v>
      </c>
      <c r="BW86" s="71">
        <f>-1059-2873</f>
        <v>-3932</v>
      </c>
      <c r="BX86" s="71">
        <f>-1245-1615-11271</f>
        <v>-14131</v>
      </c>
      <c r="BY86" s="71">
        <f>-1414-449</f>
        <v>-1863</v>
      </c>
      <c r="BZ86" s="71">
        <f t="shared" si="174"/>
        <v>14558</v>
      </c>
      <c r="CA86" s="7"/>
      <c r="CB86" s="71">
        <f>-15784-251</f>
        <v>-16035</v>
      </c>
      <c r="CC86" s="71">
        <v>-25733.397064566099</v>
      </c>
      <c r="CD86" s="71">
        <v>-1781.86858553312</v>
      </c>
      <c r="CE86" s="71">
        <v>-14.76278125</v>
      </c>
      <c r="CF86" s="71">
        <v>0</v>
      </c>
      <c r="CH86" s="71">
        <f>-41517-1782</f>
        <v>-43299</v>
      </c>
    </row>
    <row r="87" spans="2:86">
      <c r="B87" s="41" t="s">
        <v>200</v>
      </c>
      <c r="D87" s="34">
        <f t="shared" ref="D87:J87" si="190">SUM(D82:D86)</f>
        <v>-22878</v>
      </c>
      <c r="E87" s="34">
        <f t="shared" si="190"/>
        <v>-19079</v>
      </c>
      <c r="F87" s="34">
        <f t="shared" si="190"/>
        <v>-7879</v>
      </c>
      <c r="G87" s="34">
        <f t="shared" si="190"/>
        <v>42731</v>
      </c>
      <c r="H87" s="34">
        <f t="shared" si="190"/>
        <v>-43801</v>
      </c>
      <c r="I87" s="34">
        <f t="shared" si="190"/>
        <v>37791</v>
      </c>
      <c r="J87" s="34">
        <f t="shared" si="190"/>
        <v>26570</v>
      </c>
      <c r="K87" s="34">
        <f t="shared" ref="K87:R87" si="191">SUM(K82:K86)</f>
        <v>18413</v>
      </c>
      <c r="L87" s="34">
        <f t="shared" si="191"/>
        <v>36191</v>
      </c>
      <c r="M87" s="34">
        <f t="shared" si="191"/>
        <v>2664</v>
      </c>
      <c r="N87" s="34">
        <f t="shared" si="191"/>
        <v>68677</v>
      </c>
      <c r="O87" s="34">
        <f t="shared" si="191"/>
        <v>-48495</v>
      </c>
      <c r="P87" s="34">
        <f t="shared" si="191"/>
        <v>-25851</v>
      </c>
      <c r="Q87" s="34">
        <f t="shared" si="191"/>
        <v>12798</v>
      </c>
      <c r="R87" s="34">
        <f t="shared" si="191"/>
        <v>104570</v>
      </c>
      <c r="S87" s="34">
        <f>SUM(S82:S86)</f>
        <v>121397</v>
      </c>
      <c r="T87" s="34">
        <f>SUM(T82:T86)</f>
        <v>113608</v>
      </c>
      <c r="U87" s="34">
        <f>SUM(U82:U86)</f>
        <v>113608</v>
      </c>
      <c r="V87" s="34"/>
      <c r="W87" s="34">
        <f t="shared" ref="W87:AT87" si="192">SUM(W82:W86)</f>
        <v>-304</v>
      </c>
      <c r="X87" s="34">
        <f t="shared" si="192"/>
        <v>-15561</v>
      </c>
      <c r="Y87" s="34">
        <f t="shared" si="192"/>
        <v>11464</v>
      </c>
      <c r="Z87" s="34">
        <f t="shared" si="192"/>
        <v>-3478</v>
      </c>
      <c r="AA87" s="34">
        <f t="shared" si="192"/>
        <v>47783</v>
      </c>
      <c r="AB87" s="34">
        <f t="shared" si="192"/>
        <v>-41148</v>
      </c>
      <c r="AC87" s="34">
        <f t="shared" si="192"/>
        <v>-179</v>
      </c>
      <c r="AD87" s="34">
        <f t="shared" si="192"/>
        <v>36275</v>
      </c>
      <c r="AE87" s="34">
        <f t="shared" si="192"/>
        <v>-40447</v>
      </c>
      <c r="AF87" s="34">
        <f t="shared" si="192"/>
        <v>-1630.0048037665838</v>
      </c>
      <c r="AG87" s="34">
        <f t="shared" si="192"/>
        <v>6082.4012997666432</v>
      </c>
      <c r="AH87" s="34">
        <f t="shared" si="192"/>
        <v>-7806.3964960000594</v>
      </c>
      <c r="AI87" s="34">
        <f t="shared" si="192"/>
        <v>8703.8652520000178</v>
      </c>
      <c r="AJ87" s="34">
        <f t="shared" si="192"/>
        <v>-13601.980278000032</v>
      </c>
      <c r="AK87" s="34">
        <f t="shared" si="192"/>
        <v>8350.5074910001131</v>
      </c>
      <c r="AL87" s="34">
        <f t="shared" si="192"/>
        <v>34338.607534999901</v>
      </c>
      <c r="AM87" s="34">
        <f t="shared" si="192"/>
        <v>-22804.981954000017</v>
      </c>
      <c r="AN87" s="34">
        <f t="shared" si="192"/>
        <v>2598.6041251998249</v>
      </c>
      <c r="AO87" s="34">
        <f t="shared" si="192"/>
        <v>15964.758887307544</v>
      </c>
      <c r="AP87" s="34">
        <f t="shared" si="192"/>
        <v>30811.618941492663</v>
      </c>
      <c r="AQ87" s="34">
        <f t="shared" si="192"/>
        <v>-13062.394822658054</v>
      </c>
      <c r="AR87" s="34">
        <f t="shared" si="192"/>
        <v>18460.779149402952</v>
      </c>
      <c r="AS87" s="34">
        <f t="shared" si="192"/>
        <v>374</v>
      </c>
      <c r="AT87" s="34">
        <f t="shared" si="192"/>
        <v>12640.615673255103</v>
      </c>
      <c r="AU87" s="34">
        <f t="shared" ref="AU87:BA87" si="193">SUM(AU82:AU86)</f>
        <v>-7821</v>
      </c>
      <c r="AV87" s="34">
        <f t="shared" si="193"/>
        <v>-15283</v>
      </c>
      <c r="AW87" s="34">
        <f t="shared" si="193"/>
        <v>1485</v>
      </c>
      <c r="AX87" s="34">
        <f t="shared" si="193"/>
        <v>24283</v>
      </c>
      <c r="AY87" s="34">
        <f t="shared" si="193"/>
        <v>-6590.5987376813428</v>
      </c>
      <c r="AZ87" s="34">
        <f t="shared" si="193"/>
        <v>49553.530866380897</v>
      </c>
      <c r="BA87" s="34">
        <f t="shared" si="193"/>
        <v>-2760.0283452260919</v>
      </c>
      <c r="BB87" s="34">
        <f t="shared" ref="BB87:BH87" si="194">SUM(BB82:BB86)</f>
        <v>28474.096216526523</v>
      </c>
      <c r="BC87" s="34">
        <f t="shared" si="194"/>
        <v>-1079</v>
      </c>
      <c r="BD87" s="34">
        <f t="shared" si="194"/>
        <v>-16801</v>
      </c>
      <c r="BE87" s="34">
        <f t="shared" si="194"/>
        <v>-7025</v>
      </c>
      <c r="BF87" s="34">
        <f t="shared" si="194"/>
        <v>-23590</v>
      </c>
      <c r="BG87" s="34">
        <f t="shared" si="194"/>
        <v>4532</v>
      </c>
      <c r="BH87" s="34">
        <f t="shared" si="194"/>
        <v>-22835</v>
      </c>
      <c r="BI87" s="34">
        <f t="shared" ref="BI87:BN87" si="195">SUM(BI82:BI86)</f>
        <v>17301.994353647024</v>
      </c>
      <c r="BJ87" s="34">
        <f t="shared" si="195"/>
        <v>-24849.994353647024</v>
      </c>
      <c r="BK87" s="34">
        <f t="shared" si="195"/>
        <v>9632.0408256933733</v>
      </c>
      <c r="BL87" s="34">
        <f t="shared" si="195"/>
        <v>-5798</v>
      </c>
      <c r="BM87" s="34">
        <f t="shared" si="195"/>
        <v>-1260.0853062807</v>
      </c>
      <c r="BN87" s="34">
        <f t="shared" si="195"/>
        <v>10224.044480587327</v>
      </c>
      <c r="BO87" s="34">
        <f t="shared" ref="BO87:BT87" si="196">SUM(BO82:BO86)</f>
        <v>-19904</v>
      </c>
      <c r="BP87" s="34">
        <f t="shared" si="196"/>
        <v>-2214</v>
      </c>
      <c r="BQ87" s="34">
        <f t="shared" si="196"/>
        <v>15227.638997884031</v>
      </c>
      <c r="BR87" s="34">
        <f t="shared" si="196"/>
        <v>111460.361002116</v>
      </c>
      <c r="BS87" s="34">
        <f t="shared" si="196"/>
        <v>10985.72222745989</v>
      </c>
      <c r="BT87" s="34">
        <f t="shared" si="196"/>
        <v>35327.390640841215</v>
      </c>
      <c r="BU87" s="34">
        <f t="shared" ref="BU87:BZ87" si="197">SUM(BU82:BU86)</f>
        <v>60304</v>
      </c>
      <c r="BV87" s="34">
        <f t="shared" si="197"/>
        <v>14779.887131698953</v>
      </c>
      <c r="BW87" s="34">
        <f t="shared" si="197"/>
        <v>-6483</v>
      </c>
      <c r="BX87" s="34">
        <f t="shared" si="197"/>
        <v>25454</v>
      </c>
      <c r="BY87" s="34">
        <f t="shared" si="197"/>
        <v>16338</v>
      </c>
      <c r="BZ87" s="34">
        <f t="shared" si="197"/>
        <v>78299</v>
      </c>
      <c r="CA87" s="34"/>
      <c r="CB87" s="34">
        <f>SUM(CB82:CB86)</f>
        <v>-5911.5987376813428</v>
      </c>
      <c r="CC87" s="34">
        <f>SUM(CC82:CC86)</f>
        <v>-5325.7376470958079</v>
      </c>
      <c r="CD87" s="34">
        <f>SUM(CD82:CD86)</f>
        <v>17503.930223878728</v>
      </c>
      <c r="CE87" s="34">
        <f>SUM(CE82:CE86)</f>
        <v>-6263.9742093944233</v>
      </c>
      <c r="CF87" s="34">
        <f>SUM(CF82:CF86)</f>
        <v>-22691.131314009064</v>
      </c>
      <c r="CH87" s="34">
        <f>SUM(CH82:CH86)</f>
        <v>45320</v>
      </c>
    </row>
    <row r="88" spans="2:86">
      <c r="B88" s="35" t="s">
        <v>201</v>
      </c>
      <c r="D88" s="28">
        <f>-18829-D87</f>
        <v>4049</v>
      </c>
      <c r="E88" s="28">
        <f>1536-E87</f>
        <v>20615</v>
      </c>
      <c r="F88" s="7">
        <f>SUM(W88:Z88)</f>
        <v>3162</v>
      </c>
      <c r="G88" s="7">
        <f>SUM(AA88:AD88)</f>
        <v>-2394</v>
      </c>
      <c r="H88" s="54">
        <f>SUM(AE88:AH88)</f>
        <v>2768</v>
      </c>
      <c r="I88" s="7">
        <f>SUM(AI88:AL88)</f>
        <v>-20083</v>
      </c>
      <c r="J88" s="7">
        <f>SUM(AM88:AP88)</f>
        <v>-53330.000000000015</v>
      </c>
      <c r="K88" s="7">
        <f>SUM(AQ88:AT88)</f>
        <v>19654</v>
      </c>
      <c r="L88" s="28">
        <f>38067-L87</f>
        <v>1876</v>
      </c>
      <c r="M88" s="28">
        <f>7509-M87</f>
        <v>4845</v>
      </c>
      <c r="N88" s="28">
        <f>67812-N87</f>
        <v>-865</v>
      </c>
      <c r="O88" s="28">
        <f>-35937-O87</f>
        <v>12558</v>
      </c>
      <c r="P88" s="28">
        <f>-20562-P87</f>
        <v>5289</v>
      </c>
      <c r="Q88" s="28">
        <f>17749-Q87</f>
        <v>4951</v>
      </c>
      <c r="R88" s="28">
        <f>9158-R87</f>
        <v>-95412</v>
      </c>
      <c r="S88" s="28">
        <f>15292-S87</f>
        <v>-106105</v>
      </c>
      <c r="T88" s="28">
        <f>114025-T87</f>
        <v>417</v>
      </c>
      <c r="U88" s="7">
        <f t="shared" si="173"/>
        <v>417</v>
      </c>
      <c r="V88" s="7"/>
      <c r="W88" s="28">
        <f>2492-W87</f>
        <v>2796</v>
      </c>
      <c r="X88" s="28">
        <f>-9434-X87</f>
        <v>6127</v>
      </c>
      <c r="Y88" s="28">
        <f>9521-Y87</f>
        <v>-1943</v>
      </c>
      <c r="Z88" s="28">
        <f>-7296-Z87</f>
        <v>-3818</v>
      </c>
      <c r="AA88" s="28">
        <f>19443-AA87</f>
        <v>-28340</v>
      </c>
      <c r="AB88" s="28">
        <f>-9780-AB87</f>
        <v>31368</v>
      </c>
      <c r="AC88" s="28">
        <f>4079-AC87</f>
        <v>4258</v>
      </c>
      <c r="AD88" s="28">
        <f>26595-AD87</f>
        <v>-9680</v>
      </c>
      <c r="AE88" s="28">
        <f>-32495-AE87</f>
        <v>7952</v>
      </c>
      <c r="AF88" s="28">
        <f>-5629-AF87</f>
        <v>-3998.9951962334162</v>
      </c>
      <c r="AG88" s="28">
        <f>8239-AG87</f>
        <v>2156.5987002333568</v>
      </c>
      <c r="AH88" s="28">
        <f>-11148-AH87</f>
        <v>-3341.6035039999406</v>
      </c>
      <c r="AI88" s="28">
        <f>5659-AI87</f>
        <v>-3044.8652520000178</v>
      </c>
      <c r="AJ88" s="28">
        <f>-17982-AJ87</f>
        <v>-4380.0197219999682</v>
      </c>
      <c r="AK88" s="28">
        <f>-1497-AK87</f>
        <v>-9847.5074910001131</v>
      </c>
      <c r="AL88" s="28">
        <f>31528-AL87</f>
        <v>-2810.607534999901</v>
      </c>
      <c r="AM88" s="28">
        <f>-16049-AM87</f>
        <v>6755.9819540000171</v>
      </c>
      <c r="AN88" s="28">
        <f>-5170-AN87</f>
        <v>-7768.6041251998249</v>
      </c>
      <c r="AO88" s="28">
        <f>-6368-AO87</f>
        <v>-22332.758887307544</v>
      </c>
      <c r="AP88" s="28">
        <f>827-AP87</f>
        <v>-29984.618941492663</v>
      </c>
      <c r="AQ88" s="28">
        <f>11585-AQ87</f>
        <v>24647.394822658054</v>
      </c>
      <c r="AR88" s="28">
        <f>-8655-AR87</f>
        <v>-27115.779149402952</v>
      </c>
      <c r="AS88" s="28">
        <f>-5803-AS87</f>
        <v>-6177</v>
      </c>
      <c r="AT88" s="28">
        <f>40940-AT87</f>
        <v>28299.384326744897</v>
      </c>
      <c r="AU88" s="28">
        <f>-4950-AU87</f>
        <v>2871</v>
      </c>
      <c r="AV88" s="28">
        <f>-12595-AV87</f>
        <v>2688</v>
      </c>
      <c r="AW88" s="28">
        <f>-551-AW87</f>
        <v>-2036</v>
      </c>
      <c r="AX88" s="7">
        <f>M88-AW88-AV88-AU88</f>
        <v>1322</v>
      </c>
      <c r="AY88" s="28">
        <f>-4244-AY87</f>
        <v>2346.5987376813428</v>
      </c>
      <c r="AZ88" s="28">
        <f>48726-AZ87</f>
        <v>-827.53086638089735</v>
      </c>
      <c r="BA88" s="28">
        <f>-2847-BA87</f>
        <v>-86.971654773908085</v>
      </c>
      <c r="BB88" s="7">
        <f>N88-BA88-AZ88-AY88</f>
        <v>-2297.0962165265373</v>
      </c>
      <c r="BC88" s="28">
        <f>-681-BC87</f>
        <v>398</v>
      </c>
      <c r="BD88" s="28">
        <f>-16825-BD87</f>
        <v>-24</v>
      </c>
      <c r="BE88" s="28">
        <f>-4014-BE87</f>
        <v>3011</v>
      </c>
      <c r="BF88" s="7">
        <f>O88-BE88-BD88-BC88</f>
        <v>9173</v>
      </c>
      <c r="BG88" s="28">
        <f>5731-BG87</f>
        <v>1199</v>
      </c>
      <c r="BH88" s="28">
        <f>-22854-BH87</f>
        <v>-19</v>
      </c>
      <c r="BI88" s="28">
        <f>16762-BI87</f>
        <v>-539.99435364702367</v>
      </c>
      <c r="BJ88" s="7">
        <f>P88-BI88-BH88-BG88</f>
        <v>4648.9943536470237</v>
      </c>
      <c r="BK88" s="28">
        <f>11807-BK87</f>
        <v>2174.9591743066267</v>
      </c>
      <c r="BL88" s="28">
        <f>-4250-BL87</f>
        <v>1548</v>
      </c>
      <c r="BM88" s="28">
        <f>29-BM87</f>
        <v>1289.0853062807</v>
      </c>
      <c r="BN88" s="7">
        <f>Q88-BM88-BL88-BK88</f>
        <v>-61.044480587326689</v>
      </c>
      <c r="BO88" s="28">
        <f>-16380-BO87</f>
        <v>3524</v>
      </c>
      <c r="BP88" s="28">
        <f>-1641-BP87</f>
        <v>573</v>
      </c>
      <c r="BQ88" s="28">
        <f>15674-BQ87</f>
        <v>446.36100211596931</v>
      </c>
      <c r="BR88" s="7">
        <f>R88-BQ88-BP88-BO88</f>
        <v>-99955.361002115969</v>
      </c>
      <c r="BS88" s="28">
        <f>-16457.4-BS87</f>
        <v>-27443.122227459891</v>
      </c>
      <c r="BT88" s="28">
        <f>2007-BT87</f>
        <v>-33320.390640841215</v>
      </c>
      <c r="BU88" s="28">
        <f>20025-BU87</f>
        <v>-40279</v>
      </c>
      <c r="BV88" s="7">
        <f>S88-BU88-BT88-BS88</f>
        <v>-5062.4871316988938</v>
      </c>
      <c r="BW88" s="28">
        <f>-4785-BW87</f>
        <v>1698</v>
      </c>
      <c r="BX88" s="28">
        <f>23859-BX87</f>
        <v>-1595</v>
      </c>
      <c r="BY88" s="28">
        <f>17933-BY87</f>
        <v>1595</v>
      </c>
      <c r="BZ88" s="28">
        <f t="shared" si="174"/>
        <v>-1281</v>
      </c>
      <c r="CA88" s="7"/>
      <c r="CB88" s="28">
        <f>-3565-CB87</f>
        <v>2346.5987376813428</v>
      </c>
      <c r="CC88" s="28">
        <f>-29-CC87</f>
        <v>5296.7376470958079</v>
      </c>
      <c r="CD88" s="28">
        <f>21109-CD87</f>
        <v>3605.0697761212723</v>
      </c>
      <c r="CE88" s="28">
        <f>-660-CE87</f>
        <v>5603.9742093944233</v>
      </c>
      <c r="CF88" s="28">
        <f>-16825-CF87</f>
        <v>5866.1313140090642</v>
      </c>
      <c r="CH88" s="28">
        <f>67812-CH87</f>
        <v>22492</v>
      </c>
    </row>
    <row r="89" spans="2:86">
      <c r="B89" s="35" t="s">
        <v>202</v>
      </c>
      <c r="D89" s="39">
        <v>-124</v>
      </c>
      <c r="E89" s="39">
        <v>493</v>
      </c>
      <c r="F89" s="7">
        <f>SUM(W89:Z89)</f>
        <v>-1624</v>
      </c>
      <c r="G89" s="7">
        <f>SUM(AA89:AD89)</f>
        <v>-2074</v>
      </c>
      <c r="H89" s="54">
        <f>SUM(AE89:AH89)</f>
        <v>43</v>
      </c>
      <c r="I89" s="7">
        <f>SUM(AI89:AL89)</f>
        <v>1340</v>
      </c>
      <c r="J89" s="7">
        <f>SUM(AM89:AP89)</f>
        <v>-755</v>
      </c>
      <c r="K89" s="7">
        <f>SUM(AQ89:AT89)</f>
        <v>281</v>
      </c>
      <c r="L89" s="39">
        <v>281</v>
      </c>
      <c r="M89" s="39">
        <v>1338</v>
      </c>
      <c r="N89" s="39">
        <v>8934</v>
      </c>
      <c r="O89" s="39">
        <v>-3972</v>
      </c>
      <c r="P89" s="39">
        <v>3919</v>
      </c>
      <c r="Q89" s="39">
        <v>-1522</v>
      </c>
      <c r="R89" s="39">
        <v>-8851</v>
      </c>
      <c r="S89" s="39">
        <v>718</v>
      </c>
      <c r="T89" s="39">
        <v>23291</v>
      </c>
      <c r="U89" s="7">
        <f t="shared" si="173"/>
        <v>23291</v>
      </c>
      <c r="V89" s="7"/>
      <c r="W89" s="39">
        <v>-2431</v>
      </c>
      <c r="X89" s="39">
        <v>1669</v>
      </c>
      <c r="Y89" s="39">
        <v>-725</v>
      </c>
      <c r="Z89" s="39">
        <v>-137</v>
      </c>
      <c r="AA89" s="39">
        <v>-84</v>
      </c>
      <c r="AB89" s="39">
        <v>-826</v>
      </c>
      <c r="AC89" s="39">
        <v>-301</v>
      </c>
      <c r="AD89" s="39">
        <v>-863</v>
      </c>
      <c r="AE89" s="39">
        <v>-475</v>
      </c>
      <c r="AF89" s="39">
        <v>46</v>
      </c>
      <c r="AG89" s="39">
        <v>24</v>
      </c>
      <c r="AH89" s="39">
        <v>448</v>
      </c>
      <c r="AI89" s="39">
        <v>1737</v>
      </c>
      <c r="AJ89" s="39">
        <v>-314</v>
      </c>
      <c r="AK89" s="39">
        <v>64</v>
      </c>
      <c r="AL89" s="39">
        <v>-147</v>
      </c>
      <c r="AM89" s="39">
        <v>-821</v>
      </c>
      <c r="AN89" s="39">
        <v>-157</v>
      </c>
      <c r="AO89" s="39">
        <v>88</v>
      </c>
      <c r="AP89" s="39">
        <v>135</v>
      </c>
      <c r="AQ89" s="39">
        <v>-14</v>
      </c>
      <c r="AR89" s="39">
        <v>-9</v>
      </c>
      <c r="AS89" s="39">
        <v>-276</v>
      </c>
      <c r="AT89" s="39">
        <v>580</v>
      </c>
      <c r="AU89" s="39">
        <v>987</v>
      </c>
      <c r="AV89" s="39">
        <v>2104</v>
      </c>
      <c r="AW89" s="39">
        <v>-1221</v>
      </c>
      <c r="AX89" s="7">
        <f>M89-AW89-AV89-AU89</f>
        <v>-532</v>
      </c>
      <c r="AY89" s="39">
        <v>-101</v>
      </c>
      <c r="AZ89" s="39">
        <v>2560</v>
      </c>
      <c r="BA89" s="39">
        <v>-1.64</v>
      </c>
      <c r="BB89" s="7">
        <f>N89-BA89-AZ89-AY89</f>
        <v>6476.6399999999994</v>
      </c>
      <c r="BC89" s="39">
        <v>-364</v>
      </c>
      <c r="BD89" s="39">
        <v>-2295</v>
      </c>
      <c r="BE89" s="39">
        <v>-1863</v>
      </c>
      <c r="BF89" s="7">
        <f>O89-BE89-BD89-BC89</f>
        <v>550</v>
      </c>
      <c r="BG89" s="39">
        <v>711</v>
      </c>
      <c r="BH89" s="39">
        <v>-211</v>
      </c>
      <c r="BI89" s="39">
        <v>507</v>
      </c>
      <c r="BJ89" s="7">
        <f>P89-BI89-BH89-BG89</f>
        <v>2912</v>
      </c>
      <c r="BK89" s="39">
        <v>2355</v>
      </c>
      <c r="BL89" s="39">
        <v>1034</v>
      </c>
      <c r="BM89" s="39">
        <v>-2172</v>
      </c>
      <c r="BN89" s="7">
        <f>Q89-BM89-BL89-BK89</f>
        <v>-2739</v>
      </c>
      <c r="BO89" s="39">
        <v>-1504</v>
      </c>
      <c r="BP89" s="39">
        <v>-2942</v>
      </c>
      <c r="BQ89" s="39">
        <v>-6201</v>
      </c>
      <c r="BR89" s="7">
        <f>R89-BQ89-BP89-BO89</f>
        <v>1796</v>
      </c>
      <c r="BS89" s="39">
        <v>1886.1463239441885</v>
      </c>
      <c r="BT89" s="39">
        <v>-633</v>
      </c>
      <c r="BU89" s="39">
        <v>1875</v>
      </c>
      <c r="BV89" s="7">
        <f>S89-BU89-BT89-BS89</f>
        <v>-2410.1463239441882</v>
      </c>
      <c r="BW89" s="39">
        <v>4626</v>
      </c>
      <c r="BX89" s="39">
        <v>5673</v>
      </c>
      <c r="BY89" s="39">
        <v>2558</v>
      </c>
      <c r="BZ89" s="39">
        <f t="shared" si="174"/>
        <v>10434</v>
      </c>
      <c r="CA89" s="7"/>
      <c r="CB89" s="39">
        <v>-101</v>
      </c>
      <c r="CC89" s="39">
        <v>988.35715764928955</v>
      </c>
      <c r="CD89" s="39">
        <v>5486.041117027321</v>
      </c>
      <c r="CE89" s="39">
        <v>-364.32529165028518</v>
      </c>
      <c r="CF89" s="39">
        <v>-2295.16913044891</v>
      </c>
      <c r="CH89" s="39">
        <v>8934</v>
      </c>
    </row>
    <row r="90" spans="2:86">
      <c r="B90" s="41" t="s">
        <v>203</v>
      </c>
      <c r="D90" s="34">
        <f t="shared" ref="D90:J90" si="198">D87+D89+D88</f>
        <v>-18953</v>
      </c>
      <c r="E90" s="34">
        <f t="shared" si="198"/>
        <v>2029</v>
      </c>
      <c r="F90" s="34">
        <f t="shared" si="198"/>
        <v>-6341</v>
      </c>
      <c r="G90" s="34">
        <f t="shared" si="198"/>
        <v>38263</v>
      </c>
      <c r="H90" s="34">
        <f t="shared" si="198"/>
        <v>-40990</v>
      </c>
      <c r="I90" s="34">
        <f t="shared" si="198"/>
        <v>19048</v>
      </c>
      <c r="J90" s="34">
        <f t="shared" si="198"/>
        <v>-27515.000000000015</v>
      </c>
      <c r="K90" s="34">
        <f>K87+K89+K88</f>
        <v>38348</v>
      </c>
      <c r="L90" s="34">
        <f t="shared" ref="L90:R90" si="199">SUM(L87:L89)</f>
        <v>38348</v>
      </c>
      <c r="M90" s="34">
        <f t="shared" si="199"/>
        <v>8847</v>
      </c>
      <c r="N90" s="34">
        <f t="shared" si="199"/>
        <v>76746</v>
      </c>
      <c r="O90" s="34">
        <f t="shared" si="199"/>
        <v>-39909</v>
      </c>
      <c r="P90" s="34">
        <f t="shared" si="199"/>
        <v>-16643</v>
      </c>
      <c r="Q90" s="34">
        <f t="shared" si="199"/>
        <v>16227</v>
      </c>
      <c r="R90" s="34">
        <f t="shared" si="199"/>
        <v>307</v>
      </c>
      <c r="S90" s="34">
        <f>SUM(S87:S89)</f>
        <v>16010</v>
      </c>
      <c r="T90" s="34">
        <f>SUM(T87:T89)</f>
        <v>137316</v>
      </c>
      <c r="U90" s="34">
        <f>SUM(U87:U89)</f>
        <v>137316</v>
      </c>
      <c r="V90" s="34"/>
      <c r="W90" s="34">
        <f t="shared" ref="W90:AC90" si="200">W87+W89+W88</f>
        <v>61</v>
      </c>
      <c r="X90" s="34">
        <f t="shared" si="200"/>
        <v>-7765</v>
      </c>
      <c r="Y90" s="34">
        <f t="shared" si="200"/>
        <v>8796</v>
      </c>
      <c r="Z90" s="34">
        <f t="shared" si="200"/>
        <v>-7433</v>
      </c>
      <c r="AA90" s="34">
        <f t="shared" si="200"/>
        <v>19359</v>
      </c>
      <c r="AB90" s="34">
        <f t="shared" si="200"/>
        <v>-10606</v>
      </c>
      <c r="AC90" s="34">
        <f t="shared" si="200"/>
        <v>3778</v>
      </c>
      <c r="AD90" s="34">
        <f t="shared" ref="AD90:AQ90" si="201">SUM(AD87:AD89)</f>
        <v>25732</v>
      </c>
      <c r="AE90" s="34">
        <f t="shared" si="201"/>
        <v>-32970</v>
      </c>
      <c r="AF90" s="34">
        <f t="shared" si="201"/>
        <v>-5583</v>
      </c>
      <c r="AG90" s="34">
        <f t="shared" si="201"/>
        <v>8263</v>
      </c>
      <c r="AH90" s="34">
        <f t="shared" si="201"/>
        <v>-10700</v>
      </c>
      <c r="AI90" s="34">
        <f t="shared" si="201"/>
        <v>7396</v>
      </c>
      <c r="AJ90" s="34">
        <f t="shared" si="201"/>
        <v>-18296</v>
      </c>
      <c r="AK90" s="34">
        <f t="shared" si="201"/>
        <v>-1433</v>
      </c>
      <c r="AL90" s="34">
        <f t="shared" si="201"/>
        <v>31381</v>
      </c>
      <c r="AM90" s="34">
        <f t="shared" si="201"/>
        <v>-16870</v>
      </c>
      <c r="AN90" s="34">
        <f t="shared" si="201"/>
        <v>-5327</v>
      </c>
      <c r="AO90" s="34">
        <f t="shared" si="201"/>
        <v>-6280</v>
      </c>
      <c r="AP90" s="34">
        <f t="shared" si="201"/>
        <v>962</v>
      </c>
      <c r="AQ90" s="34">
        <f t="shared" si="201"/>
        <v>11571</v>
      </c>
      <c r="AR90" s="34">
        <f>AR87+AR89+AR88</f>
        <v>-8664</v>
      </c>
      <c r="AS90" s="34">
        <f>AS87+AS89+AS88</f>
        <v>-6079</v>
      </c>
      <c r="AT90" s="34">
        <f>AT87+AT89+AT88</f>
        <v>41520</v>
      </c>
      <c r="AU90" s="34">
        <f t="shared" ref="AU90:BA90" si="202">SUM(AU87:AU89)</f>
        <v>-3963</v>
      </c>
      <c r="AV90" s="34">
        <f t="shared" si="202"/>
        <v>-10491</v>
      </c>
      <c r="AW90" s="34">
        <f t="shared" si="202"/>
        <v>-1772</v>
      </c>
      <c r="AX90" s="34">
        <f t="shared" si="202"/>
        <v>25073</v>
      </c>
      <c r="AY90" s="34">
        <f t="shared" si="202"/>
        <v>-4345</v>
      </c>
      <c r="AZ90" s="34">
        <f t="shared" si="202"/>
        <v>51286</v>
      </c>
      <c r="BA90" s="34">
        <f t="shared" si="202"/>
        <v>-2848.64</v>
      </c>
      <c r="BB90" s="34">
        <f t="shared" ref="BB90:BH90" si="203">SUM(BB87:BB89)</f>
        <v>32653.639999999985</v>
      </c>
      <c r="BC90" s="34">
        <f t="shared" si="203"/>
        <v>-1045</v>
      </c>
      <c r="BD90" s="34">
        <f t="shared" si="203"/>
        <v>-19120</v>
      </c>
      <c r="BE90" s="34">
        <f t="shared" si="203"/>
        <v>-5877</v>
      </c>
      <c r="BF90" s="34">
        <f t="shared" si="203"/>
        <v>-13867</v>
      </c>
      <c r="BG90" s="34">
        <f t="shared" si="203"/>
        <v>6442</v>
      </c>
      <c r="BH90" s="34">
        <f t="shared" si="203"/>
        <v>-23065</v>
      </c>
      <c r="BI90" s="34">
        <f t="shared" ref="BI90:BN90" si="204">SUM(BI87:BI89)</f>
        <v>17269</v>
      </c>
      <c r="BJ90" s="34">
        <f t="shared" si="204"/>
        <v>-17289</v>
      </c>
      <c r="BK90" s="34">
        <f t="shared" si="204"/>
        <v>14162</v>
      </c>
      <c r="BL90" s="34">
        <f t="shared" si="204"/>
        <v>-3216</v>
      </c>
      <c r="BM90" s="34">
        <f t="shared" si="204"/>
        <v>-2143</v>
      </c>
      <c r="BN90" s="34">
        <f t="shared" si="204"/>
        <v>7424</v>
      </c>
      <c r="BO90" s="34">
        <f t="shared" ref="BO90:BT90" si="205">SUM(BO87:BO89)</f>
        <v>-17884</v>
      </c>
      <c r="BP90" s="34">
        <f t="shared" si="205"/>
        <v>-4583</v>
      </c>
      <c r="BQ90" s="34">
        <f t="shared" si="205"/>
        <v>9473</v>
      </c>
      <c r="BR90" s="34">
        <f t="shared" si="205"/>
        <v>13301.000000000029</v>
      </c>
      <c r="BS90" s="34">
        <f t="shared" si="205"/>
        <v>-14571.253676055812</v>
      </c>
      <c r="BT90" s="34">
        <f t="shared" si="205"/>
        <v>1374</v>
      </c>
      <c r="BU90" s="34">
        <f t="shared" ref="BU90:BZ90" si="206">SUM(BU87:BU89)</f>
        <v>21900</v>
      </c>
      <c r="BV90" s="34">
        <f t="shared" si="206"/>
        <v>7307.2536760558714</v>
      </c>
      <c r="BW90" s="34">
        <f t="shared" si="206"/>
        <v>-159</v>
      </c>
      <c r="BX90" s="34">
        <f t="shared" si="206"/>
        <v>29532</v>
      </c>
      <c r="BY90" s="34">
        <f t="shared" si="206"/>
        <v>20491</v>
      </c>
      <c r="BZ90" s="34">
        <f t="shared" si="206"/>
        <v>87452</v>
      </c>
      <c r="CA90" s="34"/>
      <c r="CB90" s="34">
        <f>SUM(CB87:CB89)</f>
        <v>-3666</v>
      </c>
      <c r="CC90" s="34">
        <f>SUM(CC87:CC89)</f>
        <v>959.35715764928955</v>
      </c>
      <c r="CD90" s="34">
        <f>SUM(CD87:CD89)</f>
        <v>26595.041117027322</v>
      </c>
      <c r="CE90" s="34">
        <f>SUM(CE87:CE89)</f>
        <v>-1024.3252916502852</v>
      </c>
      <c r="CF90" s="34">
        <f>SUM(CF87:CF89)</f>
        <v>-19120.16913044891</v>
      </c>
      <c r="CH90" s="34">
        <f>SUM(CH87:CH89)</f>
        <v>76746</v>
      </c>
    </row>
    <row r="91" spans="2:86" s="20" customFormat="1">
      <c r="B91" s="41" t="s">
        <v>204</v>
      </c>
      <c r="D91" s="34">
        <f>24961+D90</f>
        <v>6008</v>
      </c>
      <c r="E91" s="34">
        <v>7652</v>
      </c>
      <c r="F91" s="34">
        <f t="shared" ref="F91:K91" si="207">F90+E91</f>
        <v>1311</v>
      </c>
      <c r="G91" s="34">
        <f t="shared" si="207"/>
        <v>39574</v>
      </c>
      <c r="H91" s="1122">
        <f t="shared" si="207"/>
        <v>-1416</v>
      </c>
      <c r="I91" s="34">
        <f t="shared" si="207"/>
        <v>17632</v>
      </c>
      <c r="J91" s="34">
        <f t="shared" si="207"/>
        <v>-9883.0000000000146</v>
      </c>
      <c r="K91" s="34">
        <f t="shared" si="207"/>
        <v>28464.999999999985</v>
      </c>
      <c r="L91" s="49">
        <f>-9880+L90</f>
        <v>28468</v>
      </c>
      <c r="M91" s="49">
        <f>AT91+M90</f>
        <v>37315</v>
      </c>
      <c r="N91" s="1123">
        <f>53793+N90</f>
        <v>130539</v>
      </c>
      <c r="O91" s="1123">
        <f>130539+O90</f>
        <v>90630</v>
      </c>
      <c r="P91" s="1123">
        <f>90630+P90</f>
        <v>73987</v>
      </c>
      <c r="Q91" s="49">
        <f>P91+Q90</f>
        <v>90214</v>
      </c>
      <c r="R91" s="49">
        <f>Q91+R90</f>
        <v>90521</v>
      </c>
      <c r="S91" s="49">
        <f>R91+S90</f>
        <v>106531</v>
      </c>
      <c r="T91" s="49">
        <f>S91+T90</f>
        <v>243847</v>
      </c>
      <c r="U91" s="34">
        <f>U90+BV91</f>
        <v>243847.00000000006</v>
      </c>
      <c r="V91" s="34"/>
      <c r="W91" s="49">
        <f>E91+W90</f>
        <v>7713</v>
      </c>
      <c r="X91" s="49">
        <f t="shared" ref="X91:AM91" si="208">W91+X90</f>
        <v>-52</v>
      </c>
      <c r="Y91" s="49">
        <f t="shared" si="208"/>
        <v>8744</v>
      </c>
      <c r="Z91" s="49">
        <f t="shared" si="208"/>
        <v>1311</v>
      </c>
      <c r="AA91" s="49">
        <f t="shared" si="208"/>
        <v>20670</v>
      </c>
      <c r="AB91" s="49">
        <f t="shared" si="208"/>
        <v>10064</v>
      </c>
      <c r="AC91" s="49">
        <f t="shared" si="208"/>
        <v>13842</v>
      </c>
      <c r="AD91" s="49">
        <f t="shared" si="208"/>
        <v>39574</v>
      </c>
      <c r="AE91" s="49">
        <f t="shared" si="208"/>
        <v>6604</v>
      </c>
      <c r="AF91" s="49">
        <f t="shared" si="208"/>
        <v>1021</v>
      </c>
      <c r="AG91" s="49">
        <f t="shared" si="208"/>
        <v>9284</v>
      </c>
      <c r="AH91" s="49">
        <f t="shared" si="208"/>
        <v>-1416</v>
      </c>
      <c r="AI91" s="49">
        <f t="shared" si="208"/>
        <v>5980</v>
      </c>
      <c r="AJ91" s="49">
        <f t="shared" si="208"/>
        <v>-12316</v>
      </c>
      <c r="AK91" s="49">
        <f t="shared" si="208"/>
        <v>-13749</v>
      </c>
      <c r="AL91" s="49">
        <f t="shared" si="208"/>
        <v>17632</v>
      </c>
      <c r="AM91" s="49">
        <f t="shared" si="208"/>
        <v>762</v>
      </c>
      <c r="AN91" s="49">
        <f t="shared" ref="AN91:AV91" si="209">AM91+AN90</f>
        <v>-4565</v>
      </c>
      <c r="AO91" s="49">
        <f t="shared" si="209"/>
        <v>-10845</v>
      </c>
      <c r="AP91" s="49">
        <f t="shared" si="209"/>
        <v>-9883</v>
      </c>
      <c r="AQ91" s="49">
        <f t="shared" si="209"/>
        <v>1688</v>
      </c>
      <c r="AR91" s="49">
        <f t="shared" si="209"/>
        <v>-6976</v>
      </c>
      <c r="AS91" s="49">
        <f t="shared" si="209"/>
        <v>-13055</v>
      </c>
      <c r="AT91" s="1123">
        <f>-13052+AT90</f>
        <v>28468</v>
      </c>
      <c r="AU91" s="49">
        <f t="shared" si="209"/>
        <v>24505</v>
      </c>
      <c r="AV91" s="49">
        <f t="shared" si="209"/>
        <v>14014</v>
      </c>
      <c r="AW91" s="49">
        <f>AV91+AW90</f>
        <v>12242</v>
      </c>
      <c r="AX91" s="49">
        <f>AW91+AX90</f>
        <v>37315</v>
      </c>
      <c r="AY91" s="49">
        <f>AX91+AY90</f>
        <v>32970</v>
      </c>
      <c r="AZ91" s="49">
        <f>AY91+AZ90</f>
        <v>84256</v>
      </c>
      <c r="BA91" s="49">
        <f>AZ91+BA90</f>
        <v>81407.360000000001</v>
      </c>
      <c r="BB91" s="49">
        <f>N91</f>
        <v>130539</v>
      </c>
      <c r="BC91" s="49">
        <f>BB91+BC90</f>
        <v>129494</v>
      </c>
      <c r="BD91" s="49">
        <f>BC91+BD90</f>
        <v>110374</v>
      </c>
      <c r="BE91" s="49">
        <f>BD91+BE90</f>
        <v>104497</v>
      </c>
      <c r="BF91" s="49">
        <f>O91</f>
        <v>90630</v>
      </c>
      <c r="BG91" s="49">
        <f>BF91+BG90</f>
        <v>97072</v>
      </c>
      <c r="BH91" s="49">
        <f>BG91+BH90</f>
        <v>74007</v>
      </c>
      <c r="BI91" s="49">
        <f>BH91+BI90</f>
        <v>91276</v>
      </c>
      <c r="BJ91" s="49">
        <f>P91</f>
        <v>73987</v>
      </c>
      <c r="BK91" s="49">
        <f>BJ91+BK90</f>
        <v>88149</v>
      </c>
      <c r="BL91" s="49">
        <f>BK91+BL90</f>
        <v>84933</v>
      </c>
      <c r="BM91" s="49">
        <f>BL91+BM90</f>
        <v>82790</v>
      </c>
      <c r="BN91" s="49">
        <f>Q91</f>
        <v>90214</v>
      </c>
      <c r="BO91" s="49">
        <f>BN91+BO90</f>
        <v>72330</v>
      </c>
      <c r="BP91" s="49">
        <f>BO91+BP90</f>
        <v>67747</v>
      </c>
      <c r="BQ91" s="49">
        <f>BP91+BQ90</f>
        <v>77220</v>
      </c>
      <c r="BR91" s="49">
        <f>R91</f>
        <v>90521</v>
      </c>
      <c r="BS91" s="49">
        <f t="shared" ref="BS91:BZ91" si="210">BR91+BS90</f>
        <v>75949.746323944186</v>
      </c>
      <c r="BT91" s="49">
        <f t="shared" si="210"/>
        <v>77323.746323944186</v>
      </c>
      <c r="BU91" s="49">
        <f t="shared" si="210"/>
        <v>99223.746323944186</v>
      </c>
      <c r="BV91" s="49">
        <f t="shared" si="210"/>
        <v>106531.00000000006</v>
      </c>
      <c r="BW91" s="49">
        <f t="shared" si="210"/>
        <v>106372.00000000006</v>
      </c>
      <c r="BX91" s="49">
        <f t="shared" si="210"/>
        <v>135904.00000000006</v>
      </c>
      <c r="BY91" s="49">
        <f t="shared" si="210"/>
        <v>156395.00000000006</v>
      </c>
      <c r="BZ91" s="49">
        <f t="shared" si="210"/>
        <v>243847.00000000006</v>
      </c>
      <c r="CA91" s="49"/>
      <c r="CB91" s="49">
        <f>53793+CB90</f>
        <v>50127</v>
      </c>
      <c r="CC91" s="49">
        <f>102985+CC90</f>
        <v>103944.35715764928</v>
      </c>
      <c r="CD91" s="49">
        <f>103944+CD90</f>
        <v>130539.04111702731</v>
      </c>
      <c r="CE91" s="49">
        <f>130539+CE90</f>
        <v>129514.67470834972</v>
      </c>
      <c r="CF91" s="49">
        <f>129494+CF90</f>
        <v>110373.83086955109</v>
      </c>
      <c r="CH91" s="1123">
        <f>53793+CH90</f>
        <v>130539</v>
      </c>
    </row>
    <row r="92" spans="2:86">
      <c r="B92" s="35"/>
      <c r="D92" s="71"/>
      <c r="E92" s="71"/>
      <c r="F92" s="71"/>
      <c r="G92" s="71"/>
      <c r="H92" s="71"/>
      <c r="I92" s="71"/>
      <c r="J92" s="71"/>
      <c r="K92" s="71"/>
      <c r="L92" s="39"/>
      <c r="M92" s="39"/>
      <c r="N92" s="39"/>
      <c r="O92" s="39"/>
      <c r="P92" s="39"/>
      <c r="Q92" s="39"/>
      <c r="R92" s="39"/>
      <c r="S92" s="39"/>
      <c r="T92" s="39"/>
      <c r="U92" s="28"/>
      <c r="V92" s="28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54"/>
      <c r="AH92" s="54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H92" s="39"/>
    </row>
    <row r="93" spans="2:86" s="68" customFormat="1" ht="10.5">
      <c r="B93" s="69" t="s">
        <v>205</v>
      </c>
      <c r="D93" s="70">
        <f>188513-565-D75-D76-D77-D88</f>
        <v>0</v>
      </c>
      <c r="E93" s="70">
        <f>225438-401-E75-E76-E77-E88</f>
        <v>0</v>
      </c>
      <c r="F93" s="70"/>
      <c r="G93" s="70"/>
      <c r="H93" s="70"/>
      <c r="I93" s="70"/>
      <c r="J93" s="70"/>
      <c r="K93" s="70"/>
      <c r="L93" s="70">
        <f>298538-L75-L76-L77-L88</f>
        <v>0</v>
      </c>
      <c r="M93" s="70">
        <f>197880-M75-M76-M77-M88</f>
        <v>0</v>
      </c>
      <c r="N93" s="70">
        <f>181287-N75-N76-N77-N88</f>
        <v>0</v>
      </c>
      <c r="O93" s="70">
        <f>482050-O75-O76-O77-O88</f>
        <v>0</v>
      </c>
      <c r="P93" s="70">
        <f>550166-P75-P76-P77-P88</f>
        <v>0</v>
      </c>
      <c r="Q93" s="70">
        <f>653246-Q75-Q76-Q77-Q88</f>
        <v>0</v>
      </c>
      <c r="R93" s="70">
        <f>788982-R75-R76-R77-R88</f>
        <v>0</v>
      </c>
      <c r="S93" s="70">
        <f>983322-S75-S76-S77-S88</f>
        <v>0</v>
      </c>
      <c r="T93" s="70">
        <f>1222296-T75-T76-T77-T88</f>
        <v>0</v>
      </c>
      <c r="U93" s="70"/>
      <c r="V93" s="1117"/>
      <c r="W93" s="70">
        <f>65168-66-W75-W76-W77-W88</f>
        <v>0</v>
      </c>
      <c r="X93" s="70">
        <f>53284-567-X75-X76-X77-X88</f>
        <v>0</v>
      </c>
      <c r="Y93" s="70">
        <f>60936-155-Y75-Y76-Y77-Y88</f>
        <v>0</v>
      </c>
      <c r="Z93" s="70">
        <f>48311-1092-111-Z75-Z76-Z77-Z88</f>
        <v>0</v>
      </c>
      <c r="AA93" s="70">
        <f>72643-1154-324-AA75-AA76-AA77-AA88</f>
        <v>0</v>
      </c>
      <c r="AB93" s="70">
        <f>92109-105-255-AB75-AB76-AB77-AB88</f>
        <v>0</v>
      </c>
      <c r="AC93" s="70">
        <f>59622-139-233-AC75-AC76-AC77-AC88</f>
        <v>0</v>
      </c>
      <c r="AD93" s="70">
        <f>37952-140-236-AD75-AD76-AD77-AD88</f>
        <v>0</v>
      </c>
      <c r="AE93" s="70">
        <f>87049-267-454-AE75-AE76-AE77-AE88</f>
        <v>0</v>
      </c>
      <c r="AF93" s="70">
        <f>69105-523-127-AF75-AF76-AF77-AF88</f>
        <v>0</v>
      </c>
      <c r="AG93" s="70">
        <f>68538-137-86-AG75-AG76-AG77-AG88</f>
        <v>0</v>
      </c>
      <c r="AH93" s="70">
        <f>51326-193-AH75-AH76-AH77-AH88</f>
        <v>0</v>
      </c>
      <c r="AI93" s="70">
        <f>86882-AI75-AI76-AI77-AI88</f>
        <v>0</v>
      </c>
      <c r="AJ93" s="70">
        <f>57972-AJ75-AJ76-AJ77-AJ88</f>
        <v>-3</v>
      </c>
      <c r="AK93" s="70">
        <f>66206-AK75-AK76-AK77-AK88</f>
        <v>0</v>
      </c>
      <c r="AL93" s="70">
        <f>68363-AL75-AL76-AL77-AL88</f>
        <v>0</v>
      </c>
      <c r="AM93" s="70">
        <f>108620-AM75-AM76-AM77-AM88</f>
        <v>0</v>
      </c>
      <c r="AN93" s="70">
        <f>80396-AN75-AN76-AN77-AN88</f>
        <v>0</v>
      </c>
      <c r="AO93" s="70">
        <f>65747-AO75-AO76-AO77-AO88</f>
        <v>0</v>
      </c>
      <c r="AP93" s="70">
        <f>37544-AP75-AP76-AP77-AP88</f>
        <v>-1</v>
      </c>
      <c r="AQ93" s="70">
        <f>133375-AQ75-AQ76-AQ77-AQ88</f>
        <v>0</v>
      </c>
      <c r="AR93" s="70">
        <f>49611-AR75-AR76-AR77-AR88</f>
        <v>0</v>
      </c>
      <c r="AS93" s="70">
        <f>66303-AS75-AS76-AS77-AS88</f>
        <v>0</v>
      </c>
      <c r="AT93" s="70">
        <f>59259-AT75-AT76-AT77-AT88</f>
        <v>0</v>
      </c>
      <c r="AU93" s="70">
        <f>46576-AU75-AU76-AU77-AU88</f>
        <v>0</v>
      </c>
      <c r="AV93" s="70">
        <f>41940-AV75-AV76-AV77-AV88</f>
        <v>0</v>
      </c>
      <c r="AW93" s="70">
        <f>60310-AW75-AW76-AW77-AW88</f>
        <v>0</v>
      </c>
      <c r="AX93" s="70">
        <f>M93-AW93-AV93-AU93</f>
        <v>0</v>
      </c>
      <c r="AY93" s="70">
        <f>84307-AY75-AY76-AY77-AY88</f>
        <v>-1.4551915228366852E-11</v>
      </c>
      <c r="AZ93" s="70">
        <f>65067-AZ75-AZ76-AZ77-AZ88</f>
        <v>0</v>
      </c>
      <c r="BA93" s="70">
        <f>111645-BA75-BA76-BA77-BA88</f>
        <v>0</v>
      </c>
      <c r="BB93" s="70">
        <f>N93-BA93-AZ93-AY93</f>
        <v>1.4551915228366852E-11</v>
      </c>
      <c r="BC93" s="70">
        <f>116239-BC75-BC76-BC77-BC88</f>
        <v>0</v>
      </c>
      <c r="BD93" s="70">
        <f>100378-BD75-BD76-BD77-BD88</f>
        <v>0</v>
      </c>
      <c r="BE93" s="70">
        <f>123341-BE75-BE76-BE77-BE88</f>
        <v>1</v>
      </c>
      <c r="BF93" s="70">
        <f>O93-BE93-BD93-BC93</f>
        <v>-1</v>
      </c>
      <c r="BG93" s="70">
        <f>122220-BG75-BG76-BG77-BG88</f>
        <v>0</v>
      </c>
      <c r="BH93" s="70">
        <f>126633-BH75-BH76-BH77-BH88-2</f>
        <v>0</v>
      </c>
      <c r="BI93" s="70">
        <f>157457-BI75-BI76-BI77-BI88+2</f>
        <v>-0.46142976868577534</v>
      </c>
      <c r="BJ93" s="70">
        <f>P93-BI93-BH93-BG93</f>
        <v>0.46142976868577534</v>
      </c>
      <c r="BK93" s="70">
        <f>179487-BK75-BK76-BK77-BK88</f>
        <v>4.0825693373335525E-2</v>
      </c>
      <c r="BL93" s="70">
        <f>128900-BL75-BL76-BL77-BL88</f>
        <v>0</v>
      </c>
      <c r="BM93" s="70">
        <f>190159-BM75-BM76-BM77-BM88</f>
        <v>0.42999850072010304</v>
      </c>
      <c r="BN93" s="70">
        <f>Q93-BM93-BL93-BK93</f>
        <v>-0.47082419409343856</v>
      </c>
      <c r="BO93" s="70">
        <f>208097-BO75-BO76-BO77-BO88-2</f>
        <v>0</v>
      </c>
      <c r="BP93" s="70">
        <f>191291-BP75-BP76-BP77-BP88</f>
        <v>-1</v>
      </c>
      <c r="BQ93" s="70">
        <f>214346-BQ75-BQ76-BQ77-BQ88</f>
        <v>-1</v>
      </c>
      <c r="BR93" s="70">
        <f>W93-BQ93-BP93-BO93</f>
        <v>2</v>
      </c>
      <c r="BS93" s="70">
        <f>218034-BS75-BS76-BS77-BS88-1</f>
        <v>-0.2648025180278637</v>
      </c>
      <c r="BT93" s="70">
        <f>249307.4-BT75-BT76-BT77-BT88</f>
        <v>0.26418192634446314</v>
      </c>
      <c r="BU93" s="70">
        <f>257278-BU75-BU76-BU77-BU88</f>
        <v>0</v>
      </c>
      <c r="BV93" s="70">
        <f>AA93-BU93-BT93-BS93</f>
        <v>6.2059168340056203E-4</v>
      </c>
      <c r="BW93" s="70">
        <f>306898-BW75-BW76-BW77-BW88</f>
        <v>0</v>
      </c>
      <c r="BX93" s="70">
        <f>302014-BX75-BX76-BX77-BX88</f>
        <v>0</v>
      </c>
      <c r="BY93" s="70">
        <f>327040-BY75-BY76-BY77-BY88</f>
        <v>0</v>
      </c>
      <c r="BZ93" s="70">
        <f>286344-BZ75-BZ76-BZ77-BZ88</f>
        <v>0</v>
      </c>
      <c r="CA93" s="70"/>
      <c r="CB93" s="70">
        <f>84986-CB75-CB76-CB77-CB88</f>
        <v>-1.4551915228366852E-11</v>
      </c>
      <c r="CC93" s="70">
        <f>114463-CC75-CC76-CC77-CC88</f>
        <v>-9.2701497021153045E-2</v>
      </c>
      <c r="CD93" s="70">
        <f>-84550-CD75-CD76-CD77-CD88+1</f>
        <v>0.29639779433000513</v>
      </c>
      <c r="CE93" s="70">
        <f>116239-CE75-CE76-CE77-CE88</f>
        <v>-0.41101498552143312</v>
      </c>
      <c r="CF93" s="70">
        <f>122502-CF75-CF76-CF77-CF88</f>
        <v>-0.16389209955559636</v>
      </c>
      <c r="CH93" s="70">
        <f>181287-CH75-CH76-CH77-CH88</f>
        <v>0</v>
      </c>
    </row>
    <row r="94" spans="2:86" s="63" customFormat="1">
      <c r="B94" s="64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1118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H94" s="65"/>
    </row>
    <row r="95" spans="2:86">
      <c r="B95" s="25" t="s">
        <v>206</v>
      </c>
      <c r="C95" s="24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B95"/>
      <c r="CC95"/>
      <c r="CD95"/>
      <c r="CE95"/>
      <c r="CF95"/>
      <c r="CH95" s="26"/>
    </row>
    <row r="96" spans="2:86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CA96" s="7"/>
      <c r="CB96"/>
      <c r="CC96"/>
      <c r="CD96"/>
      <c r="CE96"/>
      <c r="CF96"/>
      <c r="CH96" s="7"/>
    </row>
    <row r="97" spans="2:86">
      <c r="B97" s="17" t="s">
        <v>207</v>
      </c>
      <c r="D97" s="7">
        <f t="shared" ref="D97:U97" si="211">D10</f>
        <v>596018</v>
      </c>
      <c r="E97" s="7">
        <f t="shared" si="211"/>
        <v>683817</v>
      </c>
      <c r="F97" s="7">
        <f t="shared" si="211"/>
        <v>769469.91597199999</v>
      </c>
      <c r="G97" s="7">
        <f t="shared" si="211"/>
        <v>858634.93831599993</v>
      </c>
      <c r="H97" s="7">
        <f t="shared" si="211"/>
        <v>921351</v>
      </c>
      <c r="I97" s="7">
        <f t="shared" si="211"/>
        <v>966192</v>
      </c>
      <c r="J97" s="7">
        <f t="shared" si="211"/>
        <v>955889</v>
      </c>
      <c r="K97" s="7">
        <f t="shared" si="211"/>
        <v>839367</v>
      </c>
      <c r="L97" s="7">
        <f t="shared" si="211"/>
        <v>828876</v>
      </c>
      <c r="M97" s="7">
        <f t="shared" si="211"/>
        <v>810714</v>
      </c>
      <c r="N97" s="7">
        <f t="shared" si="211"/>
        <v>878638</v>
      </c>
      <c r="O97" s="7">
        <f t="shared" si="211"/>
        <v>1012586</v>
      </c>
      <c r="P97" s="7">
        <f t="shared" si="211"/>
        <v>1170812</v>
      </c>
      <c r="Q97" s="7">
        <f t="shared" si="211"/>
        <v>1400814</v>
      </c>
      <c r="R97" s="7">
        <f t="shared" si="211"/>
        <v>1514178</v>
      </c>
      <c r="S97" s="7">
        <f t="shared" si="211"/>
        <v>1745589</v>
      </c>
      <c r="T97" s="7">
        <f>T10</f>
        <v>2137901</v>
      </c>
      <c r="U97" s="7">
        <f t="shared" si="211"/>
        <v>2137901</v>
      </c>
      <c r="V97" s="7"/>
      <c r="W97" s="104"/>
      <c r="X97" s="104"/>
      <c r="Y97" s="104"/>
      <c r="Z97" s="7">
        <f t="shared" ref="Z97:BE97" si="212">SUM(W10:Z10)</f>
        <v>769469.91597199999</v>
      </c>
      <c r="AA97" s="7">
        <f t="shared" si="212"/>
        <v>786762.15717899997</v>
      </c>
      <c r="AB97" s="7">
        <f t="shared" si="212"/>
        <v>806105.11051799986</v>
      </c>
      <c r="AC97" s="7">
        <f t="shared" si="212"/>
        <v>831953.68929499993</v>
      </c>
      <c r="AD97" s="7">
        <f t="shared" si="212"/>
        <v>858634.93831599993</v>
      </c>
      <c r="AE97" s="7">
        <f t="shared" si="212"/>
        <v>885694.69779499993</v>
      </c>
      <c r="AF97" s="7">
        <f t="shared" si="212"/>
        <v>900884</v>
      </c>
      <c r="AG97" s="7">
        <f t="shared" si="212"/>
        <v>913558</v>
      </c>
      <c r="AH97" s="7">
        <f t="shared" si="212"/>
        <v>921351</v>
      </c>
      <c r="AI97" s="7">
        <f t="shared" si="212"/>
        <v>928104</v>
      </c>
      <c r="AJ97" s="7">
        <f t="shared" si="212"/>
        <v>938006</v>
      </c>
      <c r="AK97" s="7">
        <f t="shared" si="212"/>
        <v>946759</v>
      </c>
      <c r="AL97" s="7">
        <f t="shared" si="212"/>
        <v>966192</v>
      </c>
      <c r="AM97" s="7">
        <f t="shared" si="212"/>
        <v>985113</v>
      </c>
      <c r="AN97" s="7">
        <f t="shared" si="212"/>
        <v>993309</v>
      </c>
      <c r="AO97" s="7">
        <f t="shared" si="212"/>
        <v>985914</v>
      </c>
      <c r="AP97" s="7">
        <f t="shared" si="212"/>
        <v>955889</v>
      </c>
      <c r="AQ97" s="7">
        <f t="shared" si="212"/>
        <v>920227</v>
      </c>
      <c r="AR97" s="7">
        <f t="shared" si="212"/>
        <v>891834</v>
      </c>
      <c r="AS97" s="7">
        <f t="shared" si="212"/>
        <v>862077</v>
      </c>
      <c r="AT97" s="7">
        <f t="shared" si="212"/>
        <v>839367</v>
      </c>
      <c r="AU97" s="7">
        <f t="shared" si="212"/>
        <v>818289.28828710807</v>
      </c>
      <c r="AV97" s="7">
        <f t="shared" si="212"/>
        <v>802257.87556661561</v>
      </c>
      <c r="AW97" s="7">
        <f t="shared" si="212"/>
        <v>801361.53242829058</v>
      </c>
      <c r="AX97" s="7">
        <f t="shared" si="212"/>
        <v>810714</v>
      </c>
      <c r="AY97" s="7">
        <f t="shared" si="212"/>
        <v>819849.71171289193</v>
      </c>
      <c r="AZ97" s="7">
        <f t="shared" si="212"/>
        <v>829549.12443338439</v>
      </c>
      <c r="BA97" s="7">
        <f t="shared" si="212"/>
        <v>846779.46757170931</v>
      </c>
      <c r="BB97" s="7">
        <f t="shared" si="212"/>
        <v>878638</v>
      </c>
      <c r="BC97" s="7">
        <f t="shared" si="212"/>
        <v>910642</v>
      </c>
      <c r="BD97" s="7">
        <f t="shared" si="212"/>
        <v>957645</v>
      </c>
      <c r="BE97" s="7">
        <f t="shared" si="212"/>
        <v>1002543</v>
      </c>
      <c r="BF97" s="7">
        <f t="shared" ref="BF97:BZ97" si="213">SUM(BC10:BF10)</f>
        <v>1012586</v>
      </c>
      <c r="BG97" s="7">
        <f t="shared" si="213"/>
        <v>1041653</v>
      </c>
      <c r="BH97" s="7">
        <f t="shared" si="213"/>
        <v>1066208</v>
      </c>
      <c r="BI97" s="7">
        <f t="shared" si="213"/>
        <v>1101652</v>
      </c>
      <c r="BJ97" s="7">
        <f t="shared" si="213"/>
        <v>1170812</v>
      </c>
      <c r="BK97" s="7">
        <f t="shared" si="213"/>
        <v>1231584</v>
      </c>
      <c r="BL97" s="7">
        <f t="shared" si="213"/>
        <v>1295323</v>
      </c>
      <c r="BM97" s="7">
        <f t="shared" si="213"/>
        <v>1355385</v>
      </c>
      <c r="BN97" s="7">
        <f t="shared" si="213"/>
        <v>1400814</v>
      </c>
      <c r="BO97" s="7">
        <f t="shared" si="213"/>
        <v>1448729</v>
      </c>
      <c r="BP97" s="7">
        <f t="shared" si="213"/>
        <v>1475184</v>
      </c>
      <c r="BQ97" s="7">
        <f t="shared" si="213"/>
        <v>1497957</v>
      </c>
      <c r="BR97" s="7">
        <f t="shared" si="213"/>
        <v>1514178</v>
      </c>
      <c r="BS97" s="7">
        <f t="shared" si="213"/>
        <v>1524994</v>
      </c>
      <c r="BT97" s="7">
        <f t="shared" si="213"/>
        <v>1568532</v>
      </c>
      <c r="BU97" s="7">
        <f t="shared" si="213"/>
        <v>1641129</v>
      </c>
      <c r="BV97" s="7">
        <f t="shared" si="213"/>
        <v>1745589</v>
      </c>
      <c r="BW97" s="7">
        <f t="shared" si="213"/>
        <v>1856604</v>
      </c>
      <c r="BX97" s="7">
        <f t="shared" si="213"/>
        <v>1968055</v>
      </c>
      <c r="BY97" s="7">
        <f t="shared" si="213"/>
        <v>2058904</v>
      </c>
      <c r="BZ97" s="7">
        <f t="shared" si="213"/>
        <v>2137901</v>
      </c>
      <c r="CA97" s="7"/>
      <c r="CB97"/>
      <c r="CC97" s="7"/>
      <c r="CD97" s="7"/>
      <c r="CE97" s="7"/>
      <c r="CF97" s="7"/>
      <c r="CH97" s="7">
        <f>CH10</f>
        <v>862122</v>
      </c>
    </row>
    <row r="98" spans="2:86">
      <c r="B98" s="17" t="s">
        <v>208</v>
      </c>
      <c r="D98" s="7">
        <f t="shared" ref="D98:U98" si="214">+D19</f>
        <v>200718</v>
      </c>
      <c r="E98" s="7">
        <f t="shared" si="214"/>
        <v>237123</v>
      </c>
      <c r="F98" s="7">
        <f t="shared" si="214"/>
        <v>232578</v>
      </c>
      <c r="G98" s="7">
        <f t="shared" si="214"/>
        <v>278430</v>
      </c>
      <c r="H98" s="7">
        <f t="shared" si="214"/>
        <v>313883</v>
      </c>
      <c r="I98" s="7">
        <f t="shared" si="214"/>
        <v>340713</v>
      </c>
      <c r="J98" s="7">
        <f t="shared" si="214"/>
        <v>354504</v>
      </c>
      <c r="K98" s="7">
        <f t="shared" si="214"/>
        <v>303279</v>
      </c>
      <c r="L98" s="7">
        <f t="shared" si="214"/>
        <v>303279</v>
      </c>
      <c r="M98" s="7">
        <f t="shared" si="214"/>
        <v>261101</v>
      </c>
      <c r="N98" s="7">
        <f t="shared" si="214"/>
        <v>369343</v>
      </c>
      <c r="O98" s="7">
        <f t="shared" si="214"/>
        <v>460145</v>
      </c>
      <c r="P98" s="7">
        <f t="shared" si="214"/>
        <v>580682</v>
      </c>
      <c r="Q98" s="7">
        <f t="shared" si="214"/>
        <v>722101</v>
      </c>
      <c r="R98" s="7">
        <f t="shared" si="214"/>
        <v>797272</v>
      </c>
      <c r="S98" s="7">
        <f t="shared" si="214"/>
        <v>947329</v>
      </c>
      <c r="T98" s="7">
        <f>+T19</f>
        <v>1224918</v>
      </c>
      <c r="U98" s="7">
        <f t="shared" si="214"/>
        <v>1224918</v>
      </c>
      <c r="V98" s="7"/>
      <c r="W98" s="104"/>
      <c r="X98" s="104"/>
      <c r="Y98" s="104"/>
      <c r="Z98" s="7">
        <f t="shared" ref="Z98:BE98" si="215">SUM(W19:Z19)</f>
        <v>232578</v>
      </c>
      <c r="AA98" s="7">
        <f t="shared" si="215"/>
        <v>243171</v>
      </c>
      <c r="AB98" s="7">
        <f t="shared" si="215"/>
        <v>252531</v>
      </c>
      <c r="AC98" s="7">
        <f t="shared" si="215"/>
        <v>265788</v>
      </c>
      <c r="AD98" s="7">
        <f t="shared" si="215"/>
        <v>278430</v>
      </c>
      <c r="AE98" s="7">
        <f t="shared" si="215"/>
        <v>290259</v>
      </c>
      <c r="AF98" s="7">
        <f t="shared" si="215"/>
        <v>298583</v>
      </c>
      <c r="AG98" s="7">
        <f t="shared" si="215"/>
        <v>305434</v>
      </c>
      <c r="AH98" s="7">
        <f t="shared" si="215"/>
        <v>313883</v>
      </c>
      <c r="AI98" s="7">
        <f t="shared" si="215"/>
        <v>319167</v>
      </c>
      <c r="AJ98" s="7">
        <f t="shared" si="215"/>
        <v>324616</v>
      </c>
      <c r="AK98" s="7">
        <f t="shared" si="215"/>
        <v>331271</v>
      </c>
      <c r="AL98" s="7">
        <f t="shared" si="215"/>
        <v>340713</v>
      </c>
      <c r="AM98" s="7">
        <f t="shared" si="215"/>
        <v>353895.05964699999</v>
      </c>
      <c r="AN98" s="7">
        <f t="shared" si="215"/>
        <v>365996</v>
      </c>
      <c r="AO98" s="7">
        <f t="shared" si="215"/>
        <v>366581</v>
      </c>
      <c r="AP98" s="7">
        <f t="shared" si="215"/>
        <v>354504</v>
      </c>
      <c r="AQ98" s="7">
        <f t="shared" si="215"/>
        <v>336830.11991325399</v>
      </c>
      <c r="AR98" s="7">
        <f t="shared" si="215"/>
        <v>322000.17956025398</v>
      </c>
      <c r="AS98" s="7">
        <f t="shared" si="215"/>
        <v>312287.17956025398</v>
      </c>
      <c r="AT98" s="7">
        <f t="shared" si="215"/>
        <v>313228</v>
      </c>
      <c r="AU98" s="7">
        <f t="shared" si="215"/>
        <v>303413.06902045751</v>
      </c>
      <c r="AV98" s="7">
        <f t="shared" si="215"/>
        <v>286768.66142455454</v>
      </c>
      <c r="AW98" s="7">
        <f t="shared" si="215"/>
        <v>274239.48570338456</v>
      </c>
      <c r="AX98" s="7">
        <f t="shared" si="215"/>
        <v>261100.99999999994</v>
      </c>
      <c r="AY98" s="7">
        <f t="shared" si="215"/>
        <v>276479.75141928846</v>
      </c>
      <c r="AZ98" s="7">
        <f t="shared" si="215"/>
        <v>302631.00766636839</v>
      </c>
      <c r="BA98" s="7">
        <f t="shared" si="215"/>
        <v>333190.56198209536</v>
      </c>
      <c r="BB98" s="7">
        <f t="shared" si="215"/>
        <v>369342.99999999994</v>
      </c>
      <c r="BC98" s="7">
        <f t="shared" si="215"/>
        <v>390530</v>
      </c>
      <c r="BD98" s="7">
        <f t="shared" si="215"/>
        <v>418813.15134882298</v>
      </c>
      <c r="BE98" s="7">
        <f t="shared" si="215"/>
        <v>445864.77275426598</v>
      </c>
      <c r="BF98" s="7">
        <f t="shared" ref="BF98:BZ98" si="216">SUM(BC19:BF19)</f>
        <v>460145</v>
      </c>
      <c r="BG98" s="7">
        <f t="shared" si="216"/>
        <v>485787</v>
      </c>
      <c r="BH98" s="7">
        <f t="shared" si="216"/>
        <v>506613</v>
      </c>
      <c r="BI98" s="7">
        <f t="shared" si="216"/>
        <v>535067</v>
      </c>
      <c r="BJ98" s="7">
        <f t="shared" si="216"/>
        <v>580682</v>
      </c>
      <c r="BK98" s="7">
        <f t="shared" si="216"/>
        <v>617435</v>
      </c>
      <c r="BL98" s="7">
        <f t="shared" si="216"/>
        <v>657003</v>
      </c>
      <c r="BM98" s="7">
        <f t="shared" si="216"/>
        <v>695191</v>
      </c>
      <c r="BN98" s="7">
        <f t="shared" si="216"/>
        <v>722101</v>
      </c>
      <c r="BO98" s="7">
        <f t="shared" si="216"/>
        <v>754353</v>
      </c>
      <c r="BP98" s="7">
        <f t="shared" si="216"/>
        <v>774837</v>
      </c>
      <c r="BQ98" s="7">
        <f t="shared" si="216"/>
        <v>790275</v>
      </c>
      <c r="BR98" s="7">
        <f t="shared" si="216"/>
        <v>797272</v>
      </c>
      <c r="BS98" s="7">
        <f t="shared" si="216"/>
        <v>798515</v>
      </c>
      <c r="BT98" s="7">
        <f t="shared" si="216"/>
        <v>821083</v>
      </c>
      <c r="BU98" s="7">
        <f t="shared" si="216"/>
        <v>869200</v>
      </c>
      <c r="BV98" s="7">
        <f t="shared" si="216"/>
        <v>947329</v>
      </c>
      <c r="BW98" s="7">
        <f t="shared" si="216"/>
        <v>1030093</v>
      </c>
      <c r="BX98" s="7">
        <f t="shared" si="216"/>
        <v>1111975</v>
      </c>
      <c r="BY98" s="7">
        <f t="shared" si="216"/>
        <v>1176163</v>
      </c>
      <c r="BZ98" s="7">
        <f t="shared" si="216"/>
        <v>1224918</v>
      </c>
      <c r="CA98" s="7"/>
      <c r="CB98"/>
      <c r="CC98"/>
      <c r="CD98" s="7"/>
      <c r="CE98" s="7"/>
      <c r="CF98" s="7"/>
      <c r="CH98" s="7">
        <f>+CH19</f>
        <v>357891</v>
      </c>
    </row>
    <row r="99" spans="2:86">
      <c r="B99" s="17" t="s">
        <v>209</v>
      </c>
      <c r="D99" s="7">
        <f t="shared" ref="D99:M99" si="217">+D54</f>
        <v>200718</v>
      </c>
      <c r="E99" s="7">
        <f t="shared" si="217"/>
        <v>237123</v>
      </c>
      <c r="F99" s="7">
        <f t="shared" si="217"/>
        <v>232578</v>
      </c>
      <c r="G99" s="7">
        <f t="shared" si="217"/>
        <v>278430</v>
      </c>
      <c r="H99" s="7">
        <f t="shared" si="217"/>
        <v>313883</v>
      </c>
      <c r="I99" s="7">
        <f t="shared" si="217"/>
        <v>340713</v>
      </c>
      <c r="J99" s="7">
        <f t="shared" si="217"/>
        <v>354504</v>
      </c>
      <c r="K99" s="7">
        <f t="shared" si="217"/>
        <v>303279</v>
      </c>
      <c r="L99" s="7">
        <f t="shared" si="217"/>
        <v>303279</v>
      </c>
      <c r="M99" s="7">
        <f t="shared" si="217"/>
        <v>261101</v>
      </c>
      <c r="N99" s="7">
        <f t="shared" ref="N99:U99" si="218">+N54</f>
        <v>369343</v>
      </c>
      <c r="O99" s="7">
        <f t="shared" si="218"/>
        <v>460145</v>
      </c>
      <c r="P99" s="7">
        <f t="shared" si="218"/>
        <v>580682</v>
      </c>
      <c r="Q99" s="7">
        <f t="shared" si="218"/>
        <v>722101</v>
      </c>
      <c r="R99" s="7">
        <f t="shared" si="218"/>
        <v>797272</v>
      </c>
      <c r="S99" s="7">
        <f>+S54</f>
        <v>947329</v>
      </c>
      <c r="T99" s="7">
        <f>+T54</f>
        <v>1224918</v>
      </c>
      <c r="U99" s="7">
        <f t="shared" si="218"/>
        <v>1224918</v>
      </c>
      <c r="V99" s="7"/>
      <c r="W99" s="104"/>
      <c r="X99" s="104"/>
      <c r="Y99" s="104"/>
      <c r="Z99" s="7">
        <f t="shared" ref="Z99:BI99" si="219">SUM(W54:Z54)</f>
        <v>232578</v>
      </c>
      <c r="AA99" s="7">
        <f t="shared" si="219"/>
        <v>243171</v>
      </c>
      <c r="AB99" s="7">
        <f t="shared" si="219"/>
        <v>252531</v>
      </c>
      <c r="AC99" s="7">
        <f t="shared" si="219"/>
        <v>265788</v>
      </c>
      <c r="AD99" s="7">
        <f t="shared" si="219"/>
        <v>278430</v>
      </c>
      <c r="AE99" s="7">
        <f t="shared" si="219"/>
        <v>290259</v>
      </c>
      <c r="AF99" s="7">
        <f t="shared" si="219"/>
        <v>298583</v>
      </c>
      <c r="AG99" s="7">
        <f t="shared" si="219"/>
        <v>305434</v>
      </c>
      <c r="AH99" s="7">
        <f t="shared" si="219"/>
        <v>313883</v>
      </c>
      <c r="AI99" s="7">
        <f t="shared" si="219"/>
        <v>319167</v>
      </c>
      <c r="AJ99" s="7">
        <f t="shared" si="219"/>
        <v>324616</v>
      </c>
      <c r="AK99" s="7">
        <f t="shared" si="219"/>
        <v>331271</v>
      </c>
      <c r="AL99" s="7">
        <f t="shared" si="219"/>
        <v>340713</v>
      </c>
      <c r="AM99" s="7">
        <f t="shared" si="219"/>
        <v>353895.05964699999</v>
      </c>
      <c r="AN99" s="7">
        <f t="shared" si="219"/>
        <v>365996</v>
      </c>
      <c r="AO99" s="7">
        <f t="shared" si="219"/>
        <v>366581</v>
      </c>
      <c r="AP99" s="7">
        <f t="shared" si="219"/>
        <v>354504</v>
      </c>
      <c r="AQ99" s="7">
        <f t="shared" si="219"/>
        <v>336830.11991325399</v>
      </c>
      <c r="AR99" s="7">
        <f t="shared" si="219"/>
        <v>322000.17956025398</v>
      </c>
      <c r="AS99" s="7">
        <f t="shared" si="219"/>
        <v>312287.17956025398</v>
      </c>
      <c r="AT99" s="7">
        <f t="shared" si="219"/>
        <v>313228</v>
      </c>
      <c r="AU99" s="7">
        <f t="shared" si="219"/>
        <v>303413.06902045751</v>
      </c>
      <c r="AV99" s="7">
        <f t="shared" si="219"/>
        <v>286768.66142455454</v>
      </c>
      <c r="AW99" s="7">
        <f t="shared" si="219"/>
        <v>274239.48570338456</v>
      </c>
      <c r="AX99" s="7">
        <f t="shared" si="219"/>
        <v>261100.99999999994</v>
      </c>
      <c r="AY99" s="7">
        <f t="shared" si="219"/>
        <v>276479.75141928846</v>
      </c>
      <c r="AZ99" s="7">
        <f t="shared" si="219"/>
        <v>302631.00766636839</v>
      </c>
      <c r="BA99" s="7">
        <f t="shared" si="219"/>
        <v>333190.56198209536</v>
      </c>
      <c r="BB99" s="7">
        <f t="shared" si="219"/>
        <v>369342.99999999994</v>
      </c>
      <c r="BC99" s="7">
        <f t="shared" si="219"/>
        <v>390530</v>
      </c>
      <c r="BD99" s="7">
        <f t="shared" si="219"/>
        <v>418813.15134882298</v>
      </c>
      <c r="BE99" s="7">
        <f t="shared" si="219"/>
        <v>445864.77275426598</v>
      </c>
      <c r="BF99" s="7">
        <f t="shared" si="219"/>
        <v>460145</v>
      </c>
      <c r="BG99" s="7">
        <f>SUM(BD54:BG54)</f>
        <v>485787</v>
      </c>
      <c r="BH99" s="7">
        <f t="shared" si="219"/>
        <v>506613</v>
      </c>
      <c r="BI99" s="7">
        <f t="shared" si="219"/>
        <v>535067</v>
      </c>
      <c r="BJ99" s="7">
        <f t="shared" ref="BJ99:BZ99" si="220">SUM(BG54:BJ54)</f>
        <v>580682</v>
      </c>
      <c r="BK99" s="7">
        <f t="shared" si="220"/>
        <v>617435</v>
      </c>
      <c r="BL99" s="7">
        <f t="shared" si="220"/>
        <v>657003</v>
      </c>
      <c r="BM99" s="7">
        <f t="shared" si="220"/>
        <v>695191</v>
      </c>
      <c r="BN99" s="7">
        <f t="shared" si="220"/>
        <v>722101</v>
      </c>
      <c r="BO99" s="7">
        <f t="shared" si="220"/>
        <v>754353</v>
      </c>
      <c r="BP99" s="7">
        <f t="shared" si="220"/>
        <v>774837</v>
      </c>
      <c r="BQ99" s="7">
        <f t="shared" si="220"/>
        <v>790275</v>
      </c>
      <c r="BR99" s="7">
        <f t="shared" si="220"/>
        <v>797272</v>
      </c>
      <c r="BS99" s="7">
        <f t="shared" si="220"/>
        <v>798515</v>
      </c>
      <c r="BT99" s="7">
        <f t="shared" si="220"/>
        <v>821083</v>
      </c>
      <c r="BU99" s="7">
        <f t="shared" si="220"/>
        <v>869200</v>
      </c>
      <c r="BV99" s="7">
        <f t="shared" si="220"/>
        <v>947329</v>
      </c>
      <c r="BW99" s="7">
        <f t="shared" si="220"/>
        <v>1030093</v>
      </c>
      <c r="BX99" s="7">
        <f t="shared" si="220"/>
        <v>1111975</v>
      </c>
      <c r="BY99" s="7">
        <f t="shared" si="220"/>
        <v>1176163</v>
      </c>
      <c r="BZ99" s="7">
        <f t="shared" si="220"/>
        <v>1224918</v>
      </c>
      <c r="CA99" s="7"/>
      <c r="CB99"/>
      <c r="CC99"/>
      <c r="CD99" s="7"/>
      <c r="CE99" s="7"/>
      <c r="CF99" s="7"/>
      <c r="CH99" s="7">
        <f>+CH54</f>
        <v>357891</v>
      </c>
    </row>
    <row r="100" spans="2:86" s="20" customFormat="1">
      <c r="B100" s="17" t="s">
        <v>210</v>
      </c>
      <c r="C100" s="17"/>
      <c r="D100" s="7">
        <f t="shared" ref="D100:M100" si="221">+D59</f>
        <v>200718</v>
      </c>
      <c r="E100" s="7">
        <f t="shared" si="221"/>
        <v>222533</v>
      </c>
      <c r="F100" s="7">
        <f t="shared" si="221"/>
        <v>233340</v>
      </c>
      <c r="G100" s="7">
        <f t="shared" si="221"/>
        <v>278430</v>
      </c>
      <c r="H100" s="7">
        <f t="shared" si="221"/>
        <v>314517</v>
      </c>
      <c r="I100" s="7">
        <f t="shared" si="221"/>
        <v>341682</v>
      </c>
      <c r="J100" s="7">
        <f t="shared" si="221"/>
        <v>356208</v>
      </c>
      <c r="K100" s="7">
        <f t="shared" si="221"/>
        <v>304479</v>
      </c>
      <c r="L100" s="7">
        <f t="shared" si="221"/>
        <v>304479</v>
      </c>
      <c r="M100" s="7">
        <f t="shared" si="221"/>
        <v>262937</v>
      </c>
      <c r="N100" s="7">
        <f t="shared" ref="N100:U100" si="222">+N59</f>
        <v>371053</v>
      </c>
      <c r="O100" s="7">
        <f t="shared" si="222"/>
        <v>461387</v>
      </c>
      <c r="P100" s="7">
        <f t="shared" si="222"/>
        <v>581103</v>
      </c>
      <c r="Q100" s="7">
        <f t="shared" si="222"/>
        <v>717330</v>
      </c>
      <c r="R100" s="7">
        <f t="shared" si="222"/>
        <v>889064</v>
      </c>
      <c r="S100" s="7">
        <f>+S59</f>
        <v>1049994</v>
      </c>
      <c r="T100" s="7">
        <f>+T59</f>
        <v>1212676</v>
      </c>
      <c r="U100" s="7">
        <f t="shared" si="222"/>
        <v>1212676</v>
      </c>
      <c r="V100" s="7"/>
      <c r="W100" s="104"/>
      <c r="X100" s="104"/>
      <c r="Y100" s="104"/>
      <c r="Z100" s="7">
        <f t="shared" ref="Z100:BI100" si="223">SUM(W59:Z59)</f>
        <v>233340</v>
      </c>
      <c r="AA100" s="7">
        <f t="shared" si="223"/>
        <v>243933</v>
      </c>
      <c r="AB100" s="7">
        <f t="shared" si="223"/>
        <v>253293</v>
      </c>
      <c r="AC100" s="7">
        <f t="shared" si="223"/>
        <v>266550</v>
      </c>
      <c r="AD100" s="7">
        <f t="shared" si="223"/>
        <v>278430</v>
      </c>
      <c r="AE100" s="7">
        <f t="shared" si="223"/>
        <v>286167</v>
      </c>
      <c r="AF100" s="7">
        <f t="shared" si="223"/>
        <v>295106.99519623339</v>
      </c>
      <c r="AG100" s="7">
        <f t="shared" si="223"/>
        <v>301595.39649600006</v>
      </c>
      <c r="AH100" s="7">
        <f t="shared" si="223"/>
        <v>314517</v>
      </c>
      <c r="AI100" s="7">
        <f t="shared" si="223"/>
        <v>323947.86525200005</v>
      </c>
      <c r="AJ100" s="7">
        <f t="shared" si="223"/>
        <v>328931.88977776654</v>
      </c>
      <c r="AK100" s="7">
        <f t="shared" si="223"/>
        <v>336184.99596900004</v>
      </c>
      <c r="AL100" s="7">
        <f t="shared" si="223"/>
        <v>341682</v>
      </c>
      <c r="AM100" s="7">
        <f t="shared" si="223"/>
        <v>354978.17679399997</v>
      </c>
      <c r="AN100" s="7">
        <f t="shared" si="223"/>
        <v>366986.80519719981</v>
      </c>
      <c r="AO100" s="7">
        <f t="shared" si="223"/>
        <v>367944.18159350724</v>
      </c>
      <c r="AP100" s="7">
        <f t="shared" si="223"/>
        <v>356208</v>
      </c>
      <c r="AQ100" s="7">
        <f t="shared" si="223"/>
        <v>338525.563131342</v>
      </c>
      <c r="AR100" s="7">
        <f t="shared" si="223"/>
        <v>323900.69415554509</v>
      </c>
      <c r="AS100" s="7">
        <f t="shared" si="223"/>
        <v>314066.8102682376</v>
      </c>
      <c r="AT100" s="7">
        <f t="shared" si="223"/>
        <v>304479</v>
      </c>
      <c r="AU100" s="7">
        <f t="shared" si="223"/>
        <v>294618.39482265804</v>
      </c>
      <c r="AV100" s="7">
        <f t="shared" si="223"/>
        <v>278014.61567325512</v>
      </c>
      <c r="AW100" s="7">
        <f t="shared" si="223"/>
        <v>265212.61567325512</v>
      </c>
      <c r="AX100" s="7">
        <f t="shared" si="223"/>
        <v>262937</v>
      </c>
      <c r="AY100" s="7">
        <f t="shared" si="223"/>
        <v>279493.40126231866</v>
      </c>
      <c r="AZ100" s="7">
        <f t="shared" si="223"/>
        <v>305422.93212869955</v>
      </c>
      <c r="BA100" s="7">
        <f t="shared" si="223"/>
        <v>335854.90378347348</v>
      </c>
      <c r="BB100" s="7">
        <f t="shared" si="223"/>
        <v>371053</v>
      </c>
      <c r="BC100" s="7">
        <f t="shared" si="223"/>
        <v>392518.59873768134</v>
      </c>
      <c r="BD100" s="7">
        <f t="shared" si="223"/>
        <v>421639.06787130039</v>
      </c>
      <c r="BE100" s="7">
        <f t="shared" si="223"/>
        <v>449915.09621652652</v>
      </c>
      <c r="BF100" s="7">
        <f t="shared" si="223"/>
        <v>461387</v>
      </c>
      <c r="BG100" s="7">
        <f>SUM(BD59:BG59)</f>
        <v>486889</v>
      </c>
      <c r="BH100" s="7">
        <f t="shared" si="223"/>
        <v>508583</v>
      </c>
      <c r="BI100" s="7">
        <f t="shared" si="223"/>
        <v>535853</v>
      </c>
      <c r="BJ100" s="7">
        <f t="shared" ref="BJ100:BZ100" si="224">SUM(BG59:BJ59)</f>
        <v>581103</v>
      </c>
      <c r="BK100" s="7">
        <f t="shared" si="224"/>
        <v>615253</v>
      </c>
      <c r="BL100" s="7">
        <f t="shared" si="224"/>
        <v>652288</v>
      </c>
      <c r="BM100" s="7">
        <f t="shared" si="224"/>
        <v>689248</v>
      </c>
      <c r="BN100" s="7">
        <f t="shared" si="224"/>
        <v>717330</v>
      </c>
      <c r="BO100" s="7">
        <f t="shared" si="224"/>
        <v>748747</v>
      </c>
      <c r="BP100" s="7">
        <f t="shared" si="224"/>
        <v>768185</v>
      </c>
      <c r="BQ100" s="7">
        <f t="shared" si="224"/>
        <v>782620.638997884</v>
      </c>
      <c r="BR100" s="7">
        <f t="shared" si="224"/>
        <v>889064</v>
      </c>
      <c r="BS100" s="7">
        <f t="shared" si="224"/>
        <v>921862</v>
      </c>
      <c r="BT100" s="7">
        <f t="shared" si="224"/>
        <v>980337</v>
      </c>
      <c r="BU100" s="7">
        <f t="shared" si="224"/>
        <v>1070461.361002116</v>
      </c>
      <c r="BV100" s="7">
        <f t="shared" si="224"/>
        <v>1049994</v>
      </c>
      <c r="BW100" s="7">
        <f t="shared" si="224"/>
        <v>1101403</v>
      </c>
      <c r="BX100" s="7">
        <f t="shared" si="224"/>
        <v>1145468</v>
      </c>
      <c r="BY100" s="7">
        <f t="shared" si="224"/>
        <v>1166337</v>
      </c>
      <c r="BZ100" s="7">
        <f t="shared" si="224"/>
        <v>1212676</v>
      </c>
      <c r="CA100" s="7"/>
      <c r="CB100"/>
      <c r="CC100"/>
      <c r="CD100" s="7"/>
      <c r="CE100" s="7"/>
      <c r="CF100" s="7"/>
      <c r="CH100" s="7">
        <f>+CH59</f>
        <v>347696</v>
      </c>
    </row>
    <row r="101" spans="2:86">
      <c r="B101" s="17" t="s">
        <v>191</v>
      </c>
      <c r="D101" s="7">
        <f t="shared" ref="D101:K101" si="225">-D78</f>
        <v>21595</v>
      </c>
      <c r="E101" s="7">
        <f t="shared" si="225"/>
        <v>32352</v>
      </c>
      <c r="F101" s="7">
        <f t="shared" si="225"/>
        <v>34339</v>
      </c>
      <c r="G101" s="7">
        <f t="shared" si="225"/>
        <v>37620</v>
      </c>
      <c r="H101" s="7">
        <f t="shared" si="225"/>
        <v>33887</v>
      </c>
      <c r="I101" s="7">
        <f t="shared" si="225"/>
        <v>32890</v>
      </c>
      <c r="J101" s="7">
        <f t="shared" si="225"/>
        <v>58566</v>
      </c>
      <c r="K101" s="7">
        <f t="shared" si="225"/>
        <v>44041</v>
      </c>
      <c r="L101" s="7">
        <f t="shared" ref="L101:Q101" si="226">-L78</f>
        <v>44041</v>
      </c>
      <c r="M101" s="7">
        <f t="shared" si="226"/>
        <v>76171</v>
      </c>
      <c r="N101" s="7">
        <f t="shared" si="226"/>
        <v>109993</v>
      </c>
      <c r="O101" s="7">
        <f t="shared" si="226"/>
        <v>71294</v>
      </c>
      <c r="P101" s="7">
        <f t="shared" si="226"/>
        <v>131588</v>
      </c>
      <c r="Q101" s="7">
        <f t="shared" si="226"/>
        <v>66893</v>
      </c>
      <c r="R101" s="7">
        <f>-R78</f>
        <v>140263</v>
      </c>
      <c r="S101" s="7">
        <f>-S78</f>
        <v>175476</v>
      </c>
      <c r="T101" s="7">
        <f>-T78</f>
        <v>148876</v>
      </c>
      <c r="U101" s="7">
        <f>-U78</f>
        <v>148876</v>
      </c>
      <c r="V101" s="7"/>
      <c r="W101" s="104"/>
      <c r="X101" s="104"/>
      <c r="Y101" s="104"/>
      <c r="Z101" s="7">
        <f t="shared" ref="Z101:AV101" si="227">-SUM(W78:Z78)</f>
        <v>34339</v>
      </c>
      <c r="AA101" s="7">
        <f t="shared" si="227"/>
        <v>34692</v>
      </c>
      <c r="AB101" s="7">
        <f t="shared" si="227"/>
        <v>37331</v>
      </c>
      <c r="AC101" s="7">
        <f t="shared" si="227"/>
        <v>36284</v>
      </c>
      <c r="AD101" s="7">
        <f t="shared" si="227"/>
        <v>37620</v>
      </c>
      <c r="AE101" s="7">
        <f t="shared" si="227"/>
        <v>37020</v>
      </c>
      <c r="AF101" s="7">
        <f t="shared" si="227"/>
        <v>34092</v>
      </c>
      <c r="AG101" s="7">
        <f t="shared" si="227"/>
        <v>31569</v>
      </c>
      <c r="AH101" s="7">
        <f t="shared" si="227"/>
        <v>33887</v>
      </c>
      <c r="AI101" s="7">
        <f t="shared" si="227"/>
        <v>33762</v>
      </c>
      <c r="AJ101" s="7">
        <f t="shared" si="227"/>
        <v>34339</v>
      </c>
      <c r="AK101" s="7">
        <f t="shared" si="227"/>
        <v>35756</v>
      </c>
      <c r="AL101" s="7">
        <f t="shared" si="227"/>
        <v>32890</v>
      </c>
      <c r="AM101" s="7">
        <f t="shared" si="227"/>
        <v>33402</v>
      </c>
      <c r="AN101" s="7">
        <f t="shared" si="227"/>
        <v>31972</v>
      </c>
      <c r="AO101" s="7">
        <f t="shared" si="227"/>
        <v>32439</v>
      </c>
      <c r="AP101" s="7">
        <f t="shared" si="227"/>
        <v>58566</v>
      </c>
      <c r="AQ101" s="7">
        <f t="shared" si="227"/>
        <v>59758</v>
      </c>
      <c r="AR101" s="7">
        <f t="shared" si="227"/>
        <v>59606</v>
      </c>
      <c r="AS101" s="7">
        <f t="shared" si="227"/>
        <v>60565</v>
      </c>
      <c r="AT101" s="7">
        <f t="shared" si="227"/>
        <v>44041</v>
      </c>
      <c r="AU101" s="7">
        <f t="shared" si="227"/>
        <v>64092</v>
      </c>
      <c r="AV101" s="7">
        <f t="shared" si="227"/>
        <v>63596</v>
      </c>
      <c r="AW101" s="7">
        <f t="shared" ref="AW101:BR101" si="228">-SUM(AT78:AW78)</f>
        <v>66018</v>
      </c>
      <c r="AX101" s="7">
        <f t="shared" si="228"/>
        <v>76171</v>
      </c>
      <c r="AY101" s="7">
        <f t="shared" si="228"/>
        <v>88455</v>
      </c>
      <c r="AZ101" s="7">
        <f t="shared" si="228"/>
        <v>97335</v>
      </c>
      <c r="BA101" s="7">
        <f t="shared" si="228"/>
        <v>106083</v>
      </c>
      <c r="BB101" s="7">
        <f t="shared" si="228"/>
        <v>109993</v>
      </c>
      <c r="BC101" s="7">
        <f t="shared" si="228"/>
        <v>88057</v>
      </c>
      <c r="BD101" s="7">
        <f t="shared" si="228"/>
        <v>73316</v>
      </c>
      <c r="BE101" s="7">
        <f t="shared" si="228"/>
        <v>67646</v>
      </c>
      <c r="BF101" s="7">
        <f t="shared" si="228"/>
        <v>71294</v>
      </c>
      <c r="BG101" s="7">
        <f>-SUM(BD78:BG78)</f>
        <v>68686</v>
      </c>
      <c r="BH101" s="7">
        <f t="shared" si="228"/>
        <v>79904</v>
      </c>
      <c r="BI101" s="7">
        <f t="shared" si="228"/>
        <v>105453.46142976868</v>
      </c>
      <c r="BJ101" s="7">
        <f t="shared" si="228"/>
        <v>131588</v>
      </c>
      <c r="BK101" s="7">
        <f>-SUM(BH78:BK78)</f>
        <v>130361.2165537129</v>
      </c>
      <c r="BL101" s="7">
        <f t="shared" si="228"/>
        <v>131414.2165537129</v>
      </c>
      <c r="BM101" s="7">
        <f t="shared" si="228"/>
        <v>107247.32512544352</v>
      </c>
      <c r="BN101" s="7">
        <f t="shared" si="228"/>
        <v>66893</v>
      </c>
      <c r="BO101" s="7">
        <f>-SUM(BL78:BO78)</f>
        <v>72592.783446287096</v>
      </c>
      <c r="BP101" s="7">
        <f t="shared" si="228"/>
        <v>114980.7834462871</v>
      </c>
      <c r="BQ101" s="7">
        <f t="shared" si="228"/>
        <v>121029.21344478782</v>
      </c>
      <c r="BR101" s="7">
        <f t="shared" si="228"/>
        <v>140263</v>
      </c>
      <c r="BS101" s="7">
        <f t="shared" ref="BS101:BZ101" si="229">-SUM(BP78:BS78)</f>
        <v>158642.66480251803</v>
      </c>
      <c r="BT101" s="7">
        <f t="shared" si="229"/>
        <v>167825.80062059173</v>
      </c>
      <c r="BU101" s="7">
        <f t="shared" si="229"/>
        <v>177017.80062059173</v>
      </c>
      <c r="BV101" s="7">
        <f t="shared" si="229"/>
        <v>175476</v>
      </c>
      <c r="BW101" s="7">
        <f t="shared" si="229"/>
        <v>167169.33519748197</v>
      </c>
      <c r="BX101" s="7">
        <f t="shared" si="229"/>
        <v>129444.19937940825</v>
      </c>
      <c r="BY101" s="7">
        <f t="shared" si="229"/>
        <v>126910.19937940825</v>
      </c>
      <c r="BZ101" s="7">
        <f t="shared" si="229"/>
        <v>148876</v>
      </c>
      <c r="CA101" s="7"/>
      <c r="CB101"/>
      <c r="CC101"/>
      <c r="CD101" s="7"/>
      <c r="CE101" s="7"/>
      <c r="CF101" s="7"/>
      <c r="CH101" s="7">
        <f>-CH78</f>
        <v>109993</v>
      </c>
    </row>
    <row r="102" spans="2:86">
      <c r="B102" s="17" t="s">
        <v>211</v>
      </c>
      <c r="D102" s="7">
        <f t="shared" ref="D102:U102" si="230">+D30</f>
        <v>58992</v>
      </c>
      <c r="E102" s="7">
        <f t="shared" si="230"/>
        <v>42581</v>
      </c>
      <c r="F102" s="7">
        <f t="shared" si="230"/>
        <v>22668</v>
      </c>
      <c r="G102" s="7">
        <f t="shared" si="230"/>
        <v>30194</v>
      </c>
      <c r="H102" s="7">
        <f t="shared" si="230"/>
        <v>53655</v>
      </c>
      <c r="I102" s="7">
        <f t="shared" si="230"/>
        <v>68930</v>
      </c>
      <c r="J102" s="7">
        <f t="shared" si="230"/>
        <v>42414</v>
      </c>
      <c r="K102" s="7">
        <f t="shared" si="230"/>
        <v>21835</v>
      </c>
      <c r="L102" s="7">
        <f t="shared" si="230"/>
        <v>21835</v>
      </c>
      <c r="M102" s="7">
        <f t="shared" si="230"/>
        <v>16875</v>
      </c>
      <c r="N102" s="7">
        <f t="shared" si="230"/>
        <v>-306642</v>
      </c>
      <c r="O102" s="7">
        <f t="shared" si="230"/>
        <v>-234207</v>
      </c>
      <c r="P102" s="7">
        <f t="shared" si="230"/>
        <v>83052</v>
      </c>
      <c r="Q102" s="7">
        <f t="shared" si="230"/>
        <v>122874</v>
      </c>
      <c r="R102" s="7">
        <f t="shared" si="230"/>
        <v>85580</v>
      </c>
      <c r="S102" s="7">
        <f t="shared" si="230"/>
        <v>374813</v>
      </c>
      <c r="T102" s="7">
        <f>+T30</f>
        <v>338228</v>
      </c>
      <c r="U102" s="7">
        <f t="shared" si="230"/>
        <v>338228</v>
      </c>
      <c r="V102" s="7"/>
      <c r="W102" s="104"/>
      <c r="X102" s="104"/>
      <c r="Y102" s="104"/>
      <c r="Z102" s="7">
        <f t="shared" ref="Z102:BE102" si="231">SUM(W30:Z30)</f>
        <v>22668</v>
      </c>
      <c r="AA102" s="7">
        <f t="shared" si="231"/>
        <v>23610</v>
      </c>
      <c r="AB102" s="7">
        <f t="shared" si="231"/>
        <v>21610</v>
      </c>
      <c r="AC102" s="7">
        <f t="shared" si="231"/>
        <v>25003</v>
      </c>
      <c r="AD102" s="7">
        <f t="shared" si="231"/>
        <v>30194</v>
      </c>
      <c r="AE102" s="7">
        <f t="shared" si="231"/>
        <v>33203</v>
      </c>
      <c r="AF102" s="7">
        <f t="shared" si="231"/>
        <v>41641</v>
      </c>
      <c r="AG102" s="7">
        <f t="shared" si="231"/>
        <v>50461</v>
      </c>
      <c r="AH102" s="7">
        <f t="shared" si="231"/>
        <v>53655</v>
      </c>
      <c r="AI102" s="7">
        <f t="shared" si="231"/>
        <v>59494</v>
      </c>
      <c r="AJ102" s="7">
        <f t="shared" si="231"/>
        <v>62344</v>
      </c>
      <c r="AK102" s="7">
        <f t="shared" si="231"/>
        <v>59850</v>
      </c>
      <c r="AL102" s="7">
        <f t="shared" si="231"/>
        <v>68930</v>
      </c>
      <c r="AM102" s="7">
        <f t="shared" si="231"/>
        <v>66230.059646999987</v>
      </c>
      <c r="AN102" s="7">
        <f t="shared" si="231"/>
        <v>66079</v>
      </c>
      <c r="AO102" s="7">
        <f t="shared" si="231"/>
        <v>60234.999999999971</v>
      </c>
      <c r="AP102" s="7">
        <f t="shared" si="231"/>
        <v>42413.999999999971</v>
      </c>
      <c r="AQ102" s="7">
        <f t="shared" si="231"/>
        <v>33750.119913253991</v>
      </c>
      <c r="AR102" s="7">
        <f t="shared" si="231"/>
        <v>23459.179560253979</v>
      </c>
      <c r="AS102" s="7">
        <f t="shared" si="231"/>
        <v>22351.179560254008</v>
      </c>
      <c r="AT102" s="7">
        <f t="shared" si="231"/>
        <v>31784</v>
      </c>
      <c r="AU102" s="7">
        <f t="shared" si="231"/>
        <v>30403.069020457508</v>
      </c>
      <c r="AV102" s="7">
        <f t="shared" si="231"/>
        <v>27033.661424554506</v>
      </c>
      <c r="AW102" s="7">
        <f t="shared" si="231"/>
        <v>25252.485703384562</v>
      </c>
      <c r="AX102" s="7">
        <f t="shared" si="231"/>
        <v>16874.999999999942</v>
      </c>
      <c r="AY102" s="7">
        <f t="shared" si="231"/>
        <v>-11843.248580711574</v>
      </c>
      <c r="AZ102" s="7">
        <f t="shared" si="231"/>
        <v>-242635.99233363161</v>
      </c>
      <c r="BA102" s="7">
        <f t="shared" si="231"/>
        <v>-251110.43801790464</v>
      </c>
      <c r="BB102" s="7">
        <f t="shared" si="231"/>
        <v>-306642</v>
      </c>
      <c r="BC102" s="7">
        <f t="shared" si="231"/>
        <v>-434632</v>
      </c>
      <c r="BD102" s="7">
        <f t="shared" si="231"/>
        <v>-206669.84865117699</v>
      </c>
      <c r="BE102" s="7">
        <f t="shared" si="231"/>
        <v>-286621.22724573402</v>
      </c>
      <c r="BF102" s="7">
        <f t="shared" ref="BF102:BZ102" si="232">SUM(BC30:BF30)</f>
        <v>-234207</v>
      </c>
      <c r="BG102" s="7">
        <f t="shared" si="232"/>
        <v>-72881</v>
      </c>
      <c r="BH102" s="7">
        <f t="shared" si="232"/>
        <v>-52561</v>
      </c>
      <c r="BI102" s="7">
        <f t="shared" si="232"/>
        <v>48546</v>
      </c>
      <c r="BJ102" s="7">
        <f t="shared" si="232"/>
        <v>83052</v>
      </c>
      <c r="BK102" s="7">
        <f t="shared" si="232"/>
        <v>98326</v>
      </c>
      <c r="BL102" s="7">
        <f t="shared" si="232"/>
        <v>108134</v>
      </c>
      <c r="BM102" s="7">
        <f t="shared" si="232"/>
        <v>117764</v>
      </c>
      <c r="BN102" s="7">
        <f t="shared" si="232"/>
        <v>122874</v>
      </c>
      <c r="BO102" s="7">
        <f t="shared" si="232"/>
        <v>113388</v>
      </c>
      <c r="BP102" s="7">
        <f t="shared" si="232"/>
        <v>104531</v>
      </c>
      <c r="BQ102" s="7">
        <f t="shared" si="232"/>
        <v>107158</v>
      </c>
      <c r="BR102" s="7">
        <f t="shared" si="232"/>
        <v>85580</v>
      </c>
      <c r="BS102" s="7">
        <f t="shared" si="232"/>
        <v>117554</v>
      </c>
      <c r="BT102" s="7">
        <f t="shared" si="232"/>
        <v>138156</v>
      </c>
      <c r="BU102" s="7">
        <f t="shared" si="232"/>
        <v>270738</v>
      </c>
      <c r="BV102" s="7">
        <f t="shared" si="232"/>
        <v>374813</v>
      </c>
      <c r="BW102" s="7">
        <f t="shared" si="232"/>
        <v>401855</v>
      </c>
      <c r="BX102" s="7">
        <f t="shared" si="232"/>
        <v>446829</v>
      </c>
      <c r="BY102" s="7">
        <f t="shared" si="232"/>
        <v>370511</v>
      </c>
      <c r="BZ102" s="7">
        <f t="shared" si="232"/>
        <v>338228</v>
      </c>
      <c r="CA102" s="7"/>
      <c r="CB102"/>
      <c r="CC102"/>
      <c r="CD102" s="7"/>
      <c r="CE102" s="7"/>
      <c r="CF102" s="7"/>
      <c r="CH102" s="7">
        <f>+CH30</f>
        <v>-336180</v>
      </c>
    </row>
    <row r="103" spans="2:86">
      <c r="B103" s="17" t="s">
        <v>212</v>
      </c>
      <c r="D103" s="7">
        <f t="shared" ref="D103:K103" si="233">-D80</f>
        <v>277094</v>
      </c>
      <c r="E103" s="7">
        <f t="shared" si="233"/>
        <v>150283</v>
      </c>
      <c r="F103" s="7">
        <f t="shared" si="233"/>
        <v>130063</v>
      </c>
      <c r="G103" s="7">
        <f t="shared" si="233"/>
        <v>174659</v>
      </c>
      <c r="H103" s="7">
        <f t="shared" si="233"/>
        <v>209786</v>
      </c>
      <c r="I103" s="7">
        <f t="shared" si="233"/>
        <v>270967</v>
      </c>
      <c r="J103" s="7">
        <f t="shared" si="233"/>
        <v>384045</v>
      </c>
      <c r="K103" s="7">
        <f t="shared" si="233"/>
        <v>267262</v>
      </c>
      <c r="L103" s="7">
        <f t="shared" ref="L103:Q103" si="234">-L80</f>
        <v>267262</v>
      </c>
      <c r="M103" s="7">
        <f t="shared" si="234"/>
        <v>305270</v>
      </c>
      <c r="N103" s="7">
        <f t="shared" si="234"/>
        <v>221275</v>
      </c>
      <c r="O103" s="7">
        <f t="shared" si="234"/>
        <v>334379</v>
      </c>
      <c r="P103" s="7">
        <f t="shared" si="234"/>
        <v>434690</v>
      </c>
      <c r="Q103" s="7">
        <f t="shared" si="234"/>
        <v>388184</v>
      </c>
      <c r="R103" s="7">
        <f>-R80</f>
        <v>520834</v>
      </c>
      <c r="S103" s="7">
        <f>-S80</f>
        <v>606904</v>
      </c>
      <c r="T103" s="7">
        <f>-T80</f>
        <v>464008</v>
      </c>
      <c r="U103" s="7">
        <f>-U80</f>
        <v>464008</v>
      </c>
      <c r="V103" s="7"/>
      <c r="W103" s="104"/>
      <c r="X103" s="104"/>
      <c r="Y103" s="104"/>
      <c r="Z103" s="7">
        <f t="shared" ref="Z103:AT103" si="235">-SUM(W80:Z80)</f>
        <v>130063</v>
      </c>
      <c r="AA103" s="7">
        <f t="shared" si="235"/>
        <v>143615</v>
      </c>
      <c r="AB103" s="7">
        <f t="shared" si="235"/>
        <v>144684</v>
      </c>
      <c r="AC103" s="7">
        <f t="shared" si="235"/>
        <v>130493</v>
      </c>
      <c r="AD103" s="7">
        <f t="shared" si="235"/>
        <v>174659</v>
      </c>
      <c r="AE103" s="7">
        <f t="shared" si="235"/>
        <v>168039</v>
      </c>
      <c r="AF103" s="7">
        <f t="shared" si="235"/>
        <v>174777</v>
      </c>
      <c r="AG103" s="7">
        <f t="shared" si="235"/>
        <v>199104</v>
      </c>
      <c r="AH103" s="7">
        <f t="shared" si="235"/>
        <v>209786</v>
      </c>
      <c r="AI103" s="7">
        <f t="shared" si="235"/>
        <v>285849</v>
      </c>
      <c r="AJ103" s="7">
        <f t="shared" si="235"/>
        <v>297846</v>
      </c>
      <c r="AK103" s="7">
        <f t="shared" si="235"/>
        <v>303426</v>
      </c>
      <c r="AL103" s="7">
        <f t="shared" si="235"/>
        <v>270967</v>
      </c>
      <c r="AM103" s="7">
        <f t="shared" si="235"/>
        <v>264663</v>
      </c>
      <c r="AN103" s="7">
        <f t="shared" si="235"/>
        <v>282483</v>
      </c>
      <c r="AO103" s="7">
        <f t="shared" si="235"/>
        <v>385559</v>
      </c>
      <c r="AP103" s="7">
        <f t="shared" si="235"/>
        <v>384045</v>
      </c>
      <c r="AQ103" s="7">
        <f t="shared" si="235"/>
        <v>324219</v>
      </c>
      <c r="AR103" s="7">
        <f t="shared" si="235"/>
        <v>312441</v>
      </c>
      <c r="AS103" s="7">
        <f t="shared" si="235"/>
        <v>242277</v>
      </c>
      <c r="AT103" s="7">
        <f t="shared" si="235"/>
        <v>267262</v>
      </c>
      <c r="AU103" s="7">
        <f t="shared" ref="AU103:BR103" si="236">-SUM(AR80:AU80)</f>
        <v>303685</v>
      </c>
      <c r="AV103" s="7">
        <f t="shared" si="236"/>
        <v>342394</v>
      </c>
      <c r="AW103" s="7">
        <f t="shared" si="236"/>
        <v>326907</v>
      </c>
      <c r="AX103" s="7">
        <f t="shared" si="236"/>
        <v>305270</v>
      </c>
      <c r="AY103" s="7">
        <f t="shared" si="236"/>
        <v>283088</v>
      </c>
      <c r="AZ103" s="7">
        <f t="shared" si="236"/>
        <v>228240</v>
      </c>
      <c r="BA103" s="7">
        <f t="shared" si="236"/>
        <v>219942</v>
      </c>
      <c r="BB103" s="7">
        <f t="shared" si="236"/>
        <v>221275</v>
      </c>
      <c r="BC103" s="7">
        <f t="shared" si="236"/>
        <v>216974</v>
      </c>
      <c r="BD103" s="7">
        <f t="shared" si="236"/>
        <v>229600</v>
      </c>
      <c r="BE103" s="7">
        <f t="shared" si="236"/>
        <v>246893</v>
      </c>
      <c r="BF103" s="7">
        <f t="shared" si="236"/>
        <v>334379</v>
      </c>
      <c r="BG103" s="7">
        <f>-SUM(BD80:BG80)</f>
        <v>354594</v>
      </c>
      <c r="BH103" s="7">
        <f t="shared" si="236"/>
        <v>367817</v>
      </c>
      <c r="BI103" s="7">
        <f t="shared" si="236"/>
        <v>491956</v>
      </c>
      <c r="BJ103" s="7">
        <f t="shared" si="236"/>
        <v>434690</v>
      </c>
      <c r="BK103" s="7">
        <f>-SUM(BH80:BK80)</f>
        <v>433549.43823861313</v>
      </c>
      <c r="BL103" s="7">
        <f t="shared" si="236"/>
        <v>506650.43823861313</v>
      </c>
      <c r="BM103" s="7">
        <f t="shared" si="236"/>
        <v>403054.43823861313</v>
      </c>
      <c r="BN103" s="7">
        <f t="shared" si="236"/>
        <v>388184</v>
      </c>
      <c r="BO103" s="7">
        <f>-SUM(BL80:BO80)</f>
        <v>417557.56176138687</v>
      </c>
      <c r="BP103" s="7">
        <f t="shared" si="236"/>
        <v>416557.56176138687</v>
      </c>
      <c r="BQ103" s="7">
        <f t="shared" si="236"/>
        <v>422483.56176138687</v>
      </c>
      <c r="BR103" s="7">
        <f t="shared" si="236"/>
        <v>520834</v>
      </c>
      <c r="BS103" s="7">
        <f t="shared" ref="BS103:BZ103" si="237">-SUM(BP80:BS80)</f>
        <v>586792</v>
      </c>
      <c r="BT103" s="7">
        <f t="shared" si="237"/>
        <v>597893</v>
      </c>
      <c r="BU103" s="7">
        <f t="shared" si="237"/>
        <v>613939</v>
      </c>
      <c r="BV103" s="7">
        <f t="shared" si="237"/>
        <v>606904</v>
      </c>
      <c r="BW103" s="7">
        <f t="shared" si="237"/>
        <v>550800</v>
      </c>
      <c r="BX103" s="7">
        <f t="shared" si="237"/>
        <v>512503</v>
      </c>
      <c r="BY103" s="7">
        <f t="shared" si="237"/>
        <v>506536</v>
      </c>
      <c r="BZ103" s="7">
        <f t="shared" si="237"/>
        <v>464008</v>
      </c>
      <c r="CA103" s="7"/>
      <c r="CB103"/>
      <c r="CC103"/>
      <c r="CD103" s="7"/>
      <c r="CE103" s="7"/>
      <c r="CF103" s="7"/>
      <c r="CH103" s="7">
        <f>-CH80</f>
        <v>221275</v>
      </c>
    </row>
    <row r="104" spans="2:86">
      <c r="B104" s="17" t="s">
        <v>195</v>
      </c>
      <c r="D104" s="7">
        <f t="shared" ref="D104:K104" si="238">+D82</f>
        <v>-488781</v>
      </c>
      <c r="E104" s="7">
        <f t="shared" si="238"/>
        <v>-940</v>
      </c>
      <c r="F104" s="7">
        <f t="shared" si="238"/>
        <v>48965</v>
      </c>
      <c r="G104" s="7">
        <f t="shared" si="238"/>
        <v>35802</v>
      </c>
      <c r="H104" s="7">
        <f t="shared" si="238"/>
        <v>28453</v>
      </c>
      <c r="I104" s="7">
        <f t="shared" si="238"/>
        <v>52338</v>
      </c>
      <c r="J104" s="7">
        <f t="shared" si="238"/>
        <v>-30335</v>
      </c>
      <c r="K104" s="7">
        <f t="shared" si="238"/>
        <v>-37098</v>
      </c>
      <c r="L104" s="7">
        <f t="shared" ref="L104:Q104" si="239">+L82</f>
        <v>-29330</v>
      </c>
      <c r="M104" s="7">
        <f t="shared" si="239"/>
        <v>-190498</v>
      </c>
      <c r="N104" s="7">
        <f t="shared" si="239"/>
        <v>-155222</v>
      </c>
      <c r="O104" s="7">
        <f t="shared" si="239"/>
        <v>31216</v>
      </c>
      <c r="P104" s="7">
        <f t="shared" si="239"/>
        <v>-40724</v>
      </c>
      <c r="Q104" s="7">
        <f t="shared" si="239"/>
        <v>185112</v>
      </c>
      <c r="R104" s="7">
        <f>+R82</f>
        <v>216569</v>
      </c>
      <c r="S104" s="7">
        <f>+S82</f>
        <v>299258</v>
      </c>
      <c r="T104" s="7">
        <f>+T82</f>
        <v>608995</v>
      </c>
      <c r="U104" s="7">
        <f>+U82</f>
        <v>608995</v>
      </c>
      <c r="V104" s="7"/>
      <c r="W104" s="104"/>
      <c r="X104" s="104"/>
      <c r="Y104" s="104"/>
      <c r="Z104" s="7">
        <f t="shared" ref="Z104:AS104" si="240">SUM(W82:Z82)</f>
        <v>48965</v>
      </c>
      <c r="AA104" s="7">
        <f t="shared" si="240"/>
        <v>70603</v>
      </c>
      <c r="AB104" s="7">
        <f t="shared" si="240"/>
        <v>79939</v>
      </c>
      <c r="AC104" s="7">
        <f t="shared" si="240"/>
        <v>87445</v>
      </c>
      <c r="AD104" s="7">
        <f t="shared" si="240"/>
        <v>35802</v>
      </c>
      <c r="AE104" s="7">
        <f t="shared" si="240"/>
        <v>32830</v>
      </c>
      <c r="AF104" s="7">
        <f t="shared" si="240"/>
        <v>41839.995196233416</v>
      </c>
      <c r="AG104" s="7">
        <f t="shared" si="240"/>
        <v>30844.396496000059</v>
      </c>
      <c r="AH104" s="7">
        <f t="shared" si="240"/>
        <v>28453</v>
      </c>
      <c r="AI104" s="7">
        <f t="shared" si="240"/>
        <v>-28588.134747999982</v>
      </c>
      <c r="AJ104" s="7">
        <f t="shared" si="240"/>
        <v>-15098.11022223343</v>
      </c>
      <c r="AK104" s="7">
        <f t="shared" si="240"/>
        <v>880.99596900003962</v>
      </c>
      <c r="AL104" s="7">
        <f t="shared" si="240"/>
        <v>52338</v>
      </c>
      <c r="AM104" s="7">
        <f t="shared" si="240"/>
        <v>102169.15279399997</v>
      </c>
      <c r="AN104" s="7">
        <f t="shared" si="240"/>
        <v>101581.73719719982</v>
      </c>
      <c r="AO104" s="7">
        <f t="shared" si="240"/>
        <v>-1872.0114064927475</v>
      </c>
      <c r="AP104" s="7">
        <f t="shared" si="240"/>
        <v>-30334.999999999985</v>
      </c>
      <c r="AQ104" s="7">
        <f t="shared" si="240"/>
        <v>-2445.4128686580225</v>
      </c>
      <c r="AR104" s="7">
        <f t="shared" si="240"/>
        <v>-44781.237844454896</v>
      </c>
      <c r="AS104" s="7">
        <f t="shared" si="240"/>
        <v>8428.0032682375604</v>
      </c>
      <c r="AT104" s="7">
        <f t="shared" ref="AT104:BI104" si="241">SUM(AQ82:AT82)</f>
        <v>-37098</v>
      </c>
      <c r="AU104" s="7">
        <f t="shared" si="241"/>
        <v>-153400.60517734196</v>
      </c>
      <c r="AV104" s="7">
        <f t="shared" si="241"/>
        <v>-216009.38432674488</v>
      </c>
      <c r="AW104" s="7">
        <f t="shared" si="241"/>
        <v>-214201.38432674488</v>
      </c>
      <c r="AX104" s="7">
        <f t="shared" si="241"/>
        <v>-190498</v>
      </c>
      <c r="AY104" s="7">
        <f t="shared" si="241"/>
        <v>-153172.59873768134</v>
      </c>
      <c r="AZ104" s="7">
        <f t="shared" si="241"/>
        <v>-75778.067871300431</v>
      </c>
      <c r="BA104" s="7">
        <f t="shared" si="241"/>
        <v>-28243.096216526523</v>
      </c>
      <c r="BB104" s="7">
        <f t="shared" si="241"/>
        <v>-155222</v>
      </c>
      <c r="BC104" s="7">
        <f t="shared" si="241"/>
        <v>-94627.401262318672</v>
      </c>
      <c r="BD104" s="7">
        <f t="shared" si="241"/>
        <v>-59189.932128699555</v>
      </c>
      <c r="BE104" s="7">
        <f t="shared" si="241"/>
        <v>-60098.903783473477</v>
      </c>
      <c r="BF104" s="7">
        <f t="shared" si="241"/>
        <v>31216</v>
      </c>
      <c r="BG104" s="7">
        <f>SUM(BD82:BG82)</f>
        <v>22106</v>
      </c>
      <c r="BH104" s="7">
        <f t="shared" si="241"/>
        <v>23907</v>
      </c>
      <c r="BI104" s="7">
        <f t="shared" si="241"/>
        <v>-84774.005646352976</v>
      </c>
      <c r="BJ104" s="7">
        <f t="shared" ref="BJ104:BZ104" si="242">SUM(BG82:BJ82)</f>
        <v>-40724</v>
      </c>
      <c r="BK104" s="7">
        <f t="shared" si="242"/>
        <v>17934.345207673949</v>
      </c>
      <c r="BL104" s="7">
        <f t="shared" si="242"/>
        <v>-55517.654792326051</v>
      </c>
      <c r="BM104" s="7">
        <f t="shared" si="242"/>
        <v>99795.265547746225</v>
      </c>
      <c r="BN104" s="7">
        <f t="shared" si="242"/>
        <v>185112</v>
      </c>
      <c r="BO104" s="7">
        <f t="shared" si="242"/>
        <v>177297.65479232604</v>
      </c>
      <c r="BP104" s="7">
        <f t="shared" si="242"/>
        <v>199276.65479232604</v>
      </c>
      <c r="BQ104" s="7">
        <f t="shared" si="242"/>
        <v>212333.3790964908</v>
      </c>
      <c r="BR104" s="7">
        <f t="shared" si="242"/>
        <v>216569.00000000003</v>
      </c>
      <c r="BS104" s="7">
        <f t="shared" si="242"/>
        <v>173136.72222745992</v>
      </c>
      <c r="BT104" s="7">
        <f t="shared" si="242"/>
        <v>244761.11286830113</v>
      </c>
      <c r="BU104" s="7">
        <f t="shared" si="242"/>
        <v>304202.4738704171</v>
      </c>
      <c r="BV104" s="7">
        <f t="shared" si="242"/>
        <v>299258.00000000006</v>
      </c>
      <c r="BW104" s="7">
        <f t="shared" si="242"/>
        <v>423392.27777254017</v>
      </c>
      <c r="BX104" s="7">
        <f t="shared" si="242"/>
        <v>520395.88713169895</v>
      </c>
      <c r="BY104" s="7">
        <f t="shared" si="242"/>
        <v>555761.8871316989</v>
      </c>
      <c r="BZ104" s="7">
        <f t="shared" si="242"/>
        <v>608995</v>
      </c>
      <c r="CA104" s="7"/>
      <c r="CB104"/>
      <c r="CC104"/>
      <c r="CD104" s="7"/>
      <c r="CE104" s="7"/>
      <c r="CF104" s="7"/>
      <c r="CH104" s="7">
        <f>+CH82</f>
        <v>-178579</v>
      </c>
    </row>
    <row r="105" spans="2:86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/>
      <c r="CC105"/>
      <c r="CD105"/>
      <c r="CE105" s="7"/>
      <c r="CF105"/>
      <c r="CH105" s="7"/>
    </row>
    <row r="106" spans="2:86">
      <c r="B106" s="25" t="s">
        <v>213</v>
      </c>
      <c r="C106" s="24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B106"/>
      <c r="CC106"/>
      <c r="CD106"/>
      <c r="CE106"/>
      <c r="CF106"/>
      <c r="CH106" s="26"/>
    </row>
    <row r="107" spans="2:86"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CA107" s="28"/>
      <c r="CB107"/>
      <c r="CC107"/>
      <c r="CD107"/>
      <c r="CE107"/>
      <c r="CF107"/>
      <c r="CH107" s="28"/>
    </row>
    <row r="108" spans="2:86" s="20" customFormat="1">
      <c r="B108" s="17" t="s">
        <v>214</v>
      </c>
      <c r="C108" s="17"/>
      <c r="D108" s="28">
        <v>651426</v>
      </c>
      <c r="E108" s="28">
        <v>674931.56029100018</v>
      </c>
      <c r="F108" s="7">
        <f>Z108</f>
        <v>688430.03527700016</v>
      </c>
      <c r="G108" s="7">
        <f>AD108</f>
        <v>596429</v>
      </c>
      <c r="H108" s="7">
        <f>AH108</f>
        <v>579157</v>
      </c>
      <c r="I108" s="7">
        <f>AL108</f>
        <v>610508.00000000012</v>
      </c>
      <c r="J108" s="7">
        <f>AP108</f>
        <v>620088</v>
      </c>
      <c r="K108" s="7">
        <f>+AT108</f>
        <v>706079</v>
      </c>
      <c r="L108" s="39">
        <v>758168</v>
      </c>
      <c r="M108" s="39">
        <v>903661</v>
      </c>
      <c r="N108" s="39">
        <v>1176594</v>
      </c>
      <c r="O108" s="39">
        <v>1189828</v>
      </c>
      <c r="P108" s="39">
        <f>905725+42386+322286</f>
        <v>1270397</v>
      </c>
      <c r="Q108" s="39">
        <f>952241+110293+546466</f>
        <v>1609000</v>
      </c>
      <c r="R108" s="39">
        <f>1066121+89077+559367</f>
        <v>1714565</v>
      </c>
      <c r="S108" s="39">
        <f>1432724+105962+602415</f>
        <v>2141101</v>
      </c>
      <c r="T108" s="39">
        <v>2370034</v>
      </c>
      <c r="U108" s="7">
        <f>BZ108</f>
        <v>2370034</v>
      </c>
      <c r="V108" s="7"/>
      <c r="W108" s="28">
        <v>694282.77031099994</v>
      </c>
      <c r="X108" s="28">
        <v>687485.32976600016</v>
      </c>
      <c r="Y108" s="28">
        <v>687660.27471899986</v>
      </c>
      <c r="Z108" s="28">
        <v>688430.03527700016</v>
      </c>
      <c r="AA108" s="28">
        <v>613848.06295599998</v>
      </c>
      <c r="AB108" s="28">
        <v>615313</v>
      </c>
      <c r="AC108" s="28">
        <v>605396</v>
      </c>
      <c r="AD108" s="28">
        <v>596429</v>
      </c>
      <c r="AE108" s="28">
        <v>584228</v>
      </c>
      <c r="AF108" s="28">
        <v>573972</v>
      </c>
      <c r="AG108" s="28">
        <v>560625</v>
      </c>
      <c r="AH108" s="28">
        <v>579157</v>
      </c>
      <c r="AI108" s="28">
        <v>552349</v>
      </c>
      <c r="AJ108" s="28">
        <v>562438</v>
      </c>
      <c r="AK108" s="28">
        <v>576367</v>
      </c>
      <c r="AL108" s="28">
        <v>610508.00000000012</v>
      </c>
      <c r="AM108" s="28">
        <v>592300</v>
      </c>
      <c r="AN108" s="28">
        <v>595048</v>
      </c>
      <c r="AO108" s="28">
        <v>600057</v>
      </c>
      <c r="AP108" s="28">
        <v>620088</v>
      </c>
      <c r="AQ108" s="28">
        <v>619637</v>
      </c>
      <c r="AR108" s="28">
        <v>625541</v>
      </c>
      <c r="AS108" s="28">
        <v>647645</v>
      </c>
      <c r="AT108" s="28">
        <v>706079</v>
      </c>
      <c r="AU108" s="28">
        <v>815142</v>
      </c>
      <c r="AV108" s="28">
        <v>869810</v>
      </c>
      <c r="AW108" s="28">
        <v>880811</v>
      </c>
      <c r="AX108" s="7">
        <f>M108</f>
        <v>903661</v>
      </c>
      <c r="AY108" s="28">
        <v>1118292</v>
      </c>
      <c r="AZ108" s="28">
        <v>1143109</v>
      </c>
      <c r="BA108" s="28">
        <v>1153315</v>
      </c>
      <c r="BB108" s="7">
        <f>N108</f>
        <v>1176594</v>
      </c>
      <c r="BC108" s="28">
        <v>1171339</v>
      </c>
      <c r="BD108" s="28">
        <v>1184512</v>
      </c>
      <c r="BE108" s="28">
        <v>1164988</v>
      </c>
      <c r="BF108" s="7">
        <f>O108</f>
        <v>1189828</v>
      </c>
      <c r="BG108" s="28">
        <v>1213714</v>
      </c>
      <c r="BH108" s="28">
        <v>1246145</v>
      </c>
      <c r="BI108" s="28">
        <v>1259219</v>
      </c>
      <c r="BJ108" s="7">
        <f>P108</f>
        <v>1270397</v>
      </c>
      <c r="BK108" s="28">
        <v>1391332</v>
      </c>
      <c r="BL108" s="28">
        <v>1450932</v>
      </c>
      <c r="BM108" s="28">
        <v>1507572</v>
      </c>
      <c r="BN108" s="7">
        <f t="shared" ref="BN108:BN113" si="243">Q108</f>
        <v>1609000</v>
      </c>
      <c r="BO108" s="28">
        <v>1607047</v>
      </c>
      <c r="BP108" s="28">
        <v>1636927</v>
      </c>
      <c r="BQ108" s="28">
        <v>1655598</v>
      </c>
      <c r="BR108" s="7">
        <f t="shared" ref="BR108:BR113" si="244">R108</f>
        <v>1714565</v>
      </c>
      <c r="BS108" s="28">
        <v>1759878</v>
      </c>
      <c r="BT108" s="28">
        <v>1877458</v>
      </c>
      <c r="BU108" s="28">
        <v>2066509</v>
      </c>
      <c r="BV108" s="7">
        <f>S108</f>
        <v>2141101</v>
      </c>
      <c r="BW108" s="28">
        <v>1759878</v>
      </c>
      <c r="BX108" s="28">
        <f>1484396+102192+628893</f>
        <v>2215481</v>
      </c>
      <c r="BY108" s="28">
        <v>2260721</v>
      </c>
      <c r="BZ108" s="28">
        <f>T108</f>
        <v>2370034</v>
      </c>
      <c r="CB108"/>
      <c r="CC108"/>
      <c r="CD108"/>
      <c r="CE108" s="28"/>
      <c r="CF108"/>
      <c r="CH108" s="39">
        <v>1176594</v>
      </c>
    </row>
    <row r="109" spans="2:86" s="20" customFormat="1">
      <c r="B109" s="17" t="s">
        <v>215</v>
      </c>
      <c r="C109" s="17"/>
      <c r="D109" s="39">
        <v>0</v>
      </c>
      <c r="E109" s="39">
        <v>0</v>
      </c>
      <c r="F109" s="7">
        <f>Z109</f>
        <v>0</v>
      </c>
      <c r="G109" s="7">
        <f>AD109</f>
        <v>0</v>
      </c>
      <c r="H109" s="7">
        <f>AH109</f>
        <v>0</v>
      </c>
      <c r="I109" s="7">
        <f>AL109</f>
        <v>0</v>
      </c>
      <c r="J109" s="7">
        <f>AP109</f>
        <v>0</v>
      </c>
      <c r="K109" s="7">
        <f>+AT109</f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7">
        <f>BZ109</f>
        <v>0</v>
      </c>
      <c r="V109" s="7"/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  <c r="AQ109" s="39">
        <v>0</v>
      </c>
      <c r="AR109" s="39">
        <v>0</v>
      </c>
      <c r="AS109" s="39">
        <v>0</v>
      </c>
      <c r="AT109" s="39">
        <v>0</v>
      </c>
      <c r="AU109" s="39">
        <v>0</v>
      </c>
      <c r="AV109" s="39">
        <v>0</v>
      </c>
      <c r="AW109" s="39">
        <v>0</v>
      </c>
      <c r="AX109" s="7">
        <f>M109</f>
        <v>0</v>
      </c>
      <c r="AY109" s="39">
        <v>0</v>
      </c>
      <c r="AZ109" s="39">
        <v>0</v>
      </c>
      <c r="BA109" s="39">
        <v>0</v>
      </c>
      <c r="BB109" s="54">
        <f>N109</f>
        <v>0</v>
      </c>
      <c r="BC109" s="39">
        <v>0</v>
      </c>
      <c r="BD109" s="39">
        <v>0</v>
      </c>
      <c r="BE109" s="39">
        <v>0</v>
      </c>
      <c r="BF109" s="54">
        <f>O109</f>
        <v>0</v>
      </c>
      <c r="BG109" s="39">
        <v>0</v>
      </c>
      <c r="BH109" s="39">
        <v>0</v>
      </c>
      <c r="BI109" s="39">
        <v>0</v>
      </c>
      <c r="BJ109" s="54">
        <f>P109</f>
        <v>0</v>
      </c>
      <c r="BK109" s="39">
        <v>0</v>
      </c>
      <c r="BL109" s="39"/>
      <c r="BM109" s="39">
        <v>0</v>
      </c>
      <c r="BN109" s="7">
        <f t="shared" si="243"/>
        <v>0</v>
      </c>
      <c r="BO109" s="39">
        <v>0</v>
      </c>
      <c r="BP109" s="39"/>
      <c r="BQ109" s="39"/>
      <c r="BR109" s="7">
        <f t="shared" si="244"/>
        <v>0</v>
      </c>
      <c r="BS109" s="39">
        <v>0</v>
      </c>
      <c r="BT109" s="39">
        <v>0</v>
      </c>
      <c r="BU109" s="39">
        <v>0</v>
      </c>
      <c r="BV109" s="7">
        <f>S109</f>
        <v>0</v>
      </c>
      <c r="BW109" s="39">
        <v>0</v>
      </c>
      <c r="BX109" s="39">
        <v>0</v>
      </c>
      <c r="BY109" s="39">
        <v>0</v>
      </c>
      <c r="BZ109" s="28">
        <f>T109</f>
        <v>0</v>
      </c>
      <c r="CA109" s="7"/>
      <c r="CB109"/>
      <c r="CC109"/>
      <c r="CD109"/>
      <c r="CE109" s="39"/>
      <c r="CF109"/>
      <c r="CH109" s="39">
        <v>0</v>
      </c>
    </row>
    <row r="110" spans="2:86" s="20" customFormat="1">
      <c r="B110" s="35" t="s">
        <v>216</v>
      </c>
      <c r="C110" s="17"/>
      <c r="D110" s="28">
        <v>2139</v>
      </c>
      <c r="E110" s="28">
        <v>1308</v>
      </c>
      <c r="F110" s="7">
        <f>Z110</f>
        <v>1108.5035170000001</v>
      </c>
      <c r="G110" s="7">
        <f>AD110</f>
        <v>1422</v>
      </c>
      <c r="H110" s="7">
        <f>AH110</f>
        <v>1339</v>
      </c>
      <c r="I110" s="7">
        <f>AL110</f>
        <v>1692</v>
      </c>
      <c r="J110" s="7">
        <f>AP110</f>
        <v>488</v>
      </c>
      <c r="K110" s="7">
        <f>+AT110</f>
        <v>693</v>
      </c>
      <c r="L110" s="28">
        <v>693</v>
      </c>
      <c r="M110" s="28">
        <v>884</v>
      </c>
      <c r="N110" s="39"/>
      <c r="O110" s="39">
        <v>2660</v>
      </c>
      <c r="P110" s="39">
        <v>3750</v>
      </c>
      <c r="Q110" s="39">
        <v>2576</v>
      </c>
      <c r="R110" s="39">
        <v>3639</v>
      </c>
      <c r="S110" s="39">
        <v>4517</v>
      </c>
      <c r="T110" s="39">
        <v>0</v>
      </c>
      <c r="U110" s="7">
        <f>BZ110</f>
        <v>0</v>
      </c>
      <c r="V110" s="7"/>
      <c r="W110" s="28">
        <v>1323</v>
      </c>
      <c r="X110" s="28">
        <v>1355</v>
      </c>
      <c r="Y110" s="28">
        <v>1252</v>
      </c>
      <c r="Z110" s="28">
        <v>1108.5035170000001</v>
      </c>
      <c r="AA110" s="28">
        <v>1533.6933289999999</v>
      </c>
      <c r="AB110" s="28">
        <v>1662</v>
      </c>
      <c r="AC110" s="28">
        <v>1442</v>
      </c>
      <c r="AD110" s="28">
        <v>1422</v>
      </c>
      <c r="AE110" s="28">
        <v>1770</v>
      </c>
      <c r="AF110" s="28">
        <v>1308</v>
      </c>
      <c r="AG110" s="28">
        <v>1264</v>
      </c>
      <c r="AH110" s="28">
        <v>1339</v>
      </c>
      <c r="AI110" s="28">
        <v>1748</v>
      </c>
      <c r="AJ110" s="28">
        <v>1571</v>
      </c>
      <c r="AK110" s="28">
        <v>1814</v>
      </c>
      <c r="AL110" s="28">
        <v>1692</v>
      </c>
      <c r="AM110" s="28">
        <v>1623</v>
      </c>
      <c r="AN110" s="28">
        <v>1483</v>
      </c>
      <c r="AO110" s="28">
        <v>1288</v>
      </c>
      <c r="AP110" s="28">
        <v>488</v>
      </c>
      <c r="AQ110" s="28">
        <v>807</v>
      </c>
      <c r="AR110" s="28">
        <v>544</v>
      </c>
      <c r="AS110" s="28">
        <v>645</v>
      </c>
      <c r="AT110" s="28">
        <v>693</v>
      </c>
      <c r="AU110" s="28">
        <v>809</v>
      </c>
      <c r="AV110" s="28">
        <v>730</v>
      </c>
      <c r="AW110" s="39"/>
      <c r="AX110" s="7">
        <f>M110</f>
        <v>884</v>
      </c>
      <c r="AY110" s="39"/>
      <c r="AZ110" s="39"/>
      <c r="BA110" s="39"/>
      <c r="BB110" s="54">
        <f>N110</f>
        <v>0</v>
      </c>
      <c r="BC110" s="39"/>
      <c r="BD110" s="39"/>
      <c r="BE110" s="39"/>
      <c r="BF110" s="54">
        <f>O110</f>
        <v>2660</v>
      </c>
      <c r="BG110" s="39"/>
      <c r="BH110" s="39"/>
      <c r="BI110" s="39"/>
      <c r="BJ110" s="54">
        <f>P110</f>
        <v>3750</v>
      </c>
      <c r="BK110" s="39"/>
      <c r="BL110" s="39"/>
      <c r="BM110" s="39">
        <v>0</v>
      </c>
      <c r="BN110" s="7">
        <f t="shared" si="243"/>
        <v>2576</v>
      </c>
      <c r="BO110" s="39">
        <v>0</v>
      </c>
      <c r="BP110" s="39"/>
      <c r="BQ110" s="39"/>
      <c r="BR110" s="7">
        <f t="shared" si="244"/>
        <v>3639</v>
      </c>
      <c r="BS110" s="39">
        <v>0</v>
      </c>
      <c r="BT110" s="39">
        <v>0</v>
      </c>
      <c r="BU110" s="39">
        <v>0</v>
      </c>
      <c r="BV110" s="7">
        <f>S110</f>
        <v>4517</v>
      </c>
      <c r="BW110" s="39">
        <v>0</v>
      </c>
      <c r="BX110" s="39">
        <v>4296</v>
      </c>
      <c r="BY110" s="39">
        <v>0</v>
      </c>
      <c r="BZ110" s="28">
        <f>T110</f>
        <v>0</v>
      </c>
      <c r="CA110" s="7"/>
      <c r="CB110"/>
      <c r="CC110"/>
      <c r="CD110"/>
      <c r="CE110" s="39"/>
      <c r="CF110"/>
      <c r="CH110" s="39"/>
    </row>
    <row r="111" spans="2:86" s="20" customFormat="1">
      <c r="B111" s="35" t="s">
        <v>217</v>
      </c>
      <c r="C111" s="17"/>
      <c r="D111" s="28">
        <v>54929</v>
      </c>
      <c r="E111" s="28">
        <v>63735</v>
      </c>
      <c r="F111" s="7">
        <f>Z111</f>
        <v>67824</v>
      </c>
      <c r="G111" s="7">
        <f>AD111</f>
        <v>62441</v>
      </c>
      <c r="H111" s="7">
        <f>AH111</f>
        <v>67252</v>
      </c>
      <c r="I111" s="7">
        <f>AL111</f>
        <v>65767</v>
      </c>
      <c r="J111" s="7">
        <f>AP111</f>
        <v>47402</v>
      </c>
      <c r="K111" s="7">
        <f>+AT111</f>
        <v>58830</v>
      </c>
      <c r="L111" s="28">
        <v>58830</v>
      </c>
      <c r="M111" s="28">
        <v>43006</v>
      </c>
      <c r="N111" s="28">
        <v>46058</v>
      </c>
      <c r="O111" s="28">
        <v>36377</v>
      </c>
      <c r="P111" s="28">
        <v>40562</v>
      </c>
      <c r="Q111" s="28">
        <v>39815</v>
      </c>
      <c r="R111" s="28">
        <v>47277</v>
      </c>
      <c r="S111" s="28">
        <v>74557</v>
      </c>
      <c r="T111" s="28">
        <v>79776</v>
      </c>
      <c r="U111" s="7">
        <f>BZ111</f>
        <v>79776</v>
      </c>
      <c r="V111" s="7"/>
      <c r="W111" s="28">
        <v>70882</v>
      </c>
      <c r="X111" s="28">
        <v>77332</v>
      </c>
      <c r="Y111" s="28">
        <v>68873</v>
      </c>
      <c r="Z111" s="28">
        <v>67824</v>
      </c>
      <c r="AA111" s="28">
        <v>57452</v>
      </c>
      <c r="AB111" s="28">
        <v>52474</v>
      </c>
      <c r="AC111" s="28">
        <v>62141</v>
      </c>
      <c r="AD111" s="28">
        <v>62441</v>
      </c>
      <c r="AE111" s="28">
        <v>64608</v>
      </c>
      <c r="AF111" s="28">
        <v>66654</v>
      </c>
      <c r="AG111" s="28">
        <v>72140</v>
      </c>
      <c r="AH111" s="28">
        <v>67252</v>
      </c>
      <c r="AI111" s="28">
        <v>70859</v>
      </c>
      <c r="AJ111" s="28">
        <v>67500</v>
      </c>
      <c r="AK111" s="28">
        <v>67495</v>
      </c>
      <c r="AL111" s="28">
        <v>65767</v>
      </c>
      <c r="AM111" s="28">
        <v>54896</v>
      </c>
      <c r="AN111" s="28">
        <v>56260</v>
      </c>
      <c r="AO111" s="28">
        <v>51360</v>
      </c>
      <c r="AP111" s="28">
        <v>47402</v>
      </c>
      <c r="AQ111" s="28">
        <v>48989</v>
      </c>
      <c r="AR111" s="28">
        <v>48989</v>
      </c>
      <c r="AS111" s="28">
        <v>54785</v>
      </c>
      <c r="AT111" s="28">
        <v>58830</v>
      </c>
      <c r="AU111" s="28">
        <v>51563</v>
      </c>
      <c r="AV111" s="28">
        <v>50480</v>
      </c>
      <c r="AW111" s="28">
        <v>48955</v>
      </c>
      <c r="AX111" s="7">
        <f>M111</f>
        <v>43006</v>
      </c>
      <c r="AY111" s="28">
        <v>51551</v>
      </c>
      <c r="AZ111" s="28">
        <v>53290</v>
      </c>
      <c r="BA111" s="28">
        <v>53558</v>
      </c>
      <c r="BB111" s="7">
        <f>N111</f>
        <v>46058</v>
      </c>
      <c r="BC111" s="28">
        <v>56047</v>
      </c>
      <c r="BD111" s="28">
        <v>49617</v>
      </c>
      <c r="BE111" s="28">
        <v>45826</v>
      </c>
      <c r="BF111" s="7">
        <f>O111</f>
        <v>36377</v>
      </c>
      <c r="BG111" s="28">
        <v>47707</v>
      </c>
      <c r="BH111" s="28">
        <v>50350</v>
      </c>
      <c r="BI111" s="28">
        <v>49846</v>
      </c>
      <c r="BJ111" s="7">
        <f>P111</f>
        <v>40562</v>
      </c>
      <c r="BK111" s="28">
        <v>44933</v>
      </c>
      <c r="BL111" s="28">
        <v>47751</v>
      </c>
      <c r="BM111" s="28">
        <v>47595</v>
      </c>
      <c r="BN111" s="7">
        <f t="shared" si="243"/>
        <v>39815</v>
      </c>
      <c r="BO111" s="28">
        <v>52163</v>
      </c>
      <c r="BP111" s="28">
        <v>55927</v>
      </c>
      <c r="BQ111" s="28">
        <v>55099</v>
      </c>
      <c r="BR111" s="7">
        <f t="shared" si="244"/>
        <v>47277</v>
      </c>
      <c r="BS111" s="28">
        <v>50768</v>
      </c>
      <c r="BT111" s="28">
        <v>56452</v>
      </c>
      <c r="BU111" s="28">
        <v>99707</v>
      </c>
      <c r="BV111" s="7">
        <f>S111</f>
        <v>74557</v>
      </c>
      <c r="BW111" s="28">
        <v>80612</v>
      </c>
      <c r="BX111" s="28">
        <v>89089</v>
      </c>
      <c r="BY111" s="28">
        <v>83655</v>
      </c>
      <c r="BZ111" s="28">
        <f>T111</f>
        <v>79776</v>
      </c>
      <c r="CA111" s="7"/>
      <c r="CB111"/>
      <c r="CC111"/>
      <c r="CD111"/>
      <c r="CE111" s="28"/>
      <c r="CF111"/>
      <c r="CH111" s="28">
        <v>46058</v>
      </c>
    </row>
    <row r="112" spans="2:86" s="20" customFormat="1">
      <c r="B112" s="35" t="s">
        <v>218</v>
      </c>
      <c r="C112" s="17"/>
      <c r="D112" s="28">
        <v>239684</v>
      </c>
      <c r="E112" s="28">
        <v>232650</v>
      </c>
      <c r="F112" s="7">
        <f>Z112</f>
        <v>259902</v>
      </c>
      <c r="G112" s="7">
        <f>AD112</f>
        <v>283981</v>
      </c>
      <c r="H112" s="7">
        <f>AH112</f>
        <v>339670</v>
      </c>
      <c r="I112" s="7">
        <f>AL112</f>
        <v>382494</v>
      </c>
      <c r="J112" s="7">
        <f>AP112</f>
        <v>268537</v>
      </c>
      <c r="K112" s="7">
        <f>+AT112</f>
        <v>277675</v>
      </c>
      <c r="L112" s="28">
        <v>268536.59433447837</v>
      </c>
      <c r="M112" s="28">
        <v>280031</v>
      </c>
      <c r="N112" s="28">
        <v>250231</v>
      </c>
      <c r="O112" s="28">
        <v>278721</v>
      </c>
      <c r="P112" s="28">
        <v>292741</v>
      </c>
      <c r="Q112" s="28">
        <v>328946</v>
      </c>
      <c r="R112" s="28">
        <v>351325</v>
      </c>
      <c r="S112" s="28">
        <v>381537</v>
      </c>
      <c r="T112" s="28">
        <v>450152</v>
      </c>
      <c r="U112" s="7">
        <f>BZ112</f>
        <v>450152</v>
      </c>
      <c r="V112" s="7"/>
      <c r="W112" s="28">
        <v>274399.39892299997</v>
      </c>
      <c r="X112" s="28">
        <v>276236.06242700003</v>
      </c>
      <c r="Y112" s="28">
        <v>279301.61330099998</v>
      </c>
      <c r="Z112" s="28">
        <v>259902</v>
      </c>
      <c r="AA112" s="28">
        <v>281336.49284299999</v>
      </c>
      <c r="AB112" s="28">
        <v>278093</v>
      </c>
      <c r="AC112" s="28">
        <v>285245</v>
      </c>
      <c r="AD112" s="28">
        <v>283981</v>
      </c>
      <c r="AE112" s="28">
        <v>308142.74232600001</v>
      </c>
      <c r="AF112" s="28">
        <v>328417</v>
      </c>
      <c r="AG112" s="28">
        <v>341959</v>
      </c>
      <c r="AH112" s="28">
        <v>339670</v>
      </c>
      <c r="AI112" s="28">
        <f>235152+129210</f>
        <v>364362</v>
      </c>
      <c r="AJ112" s="28">
        <f>250872+126464</f>
        <v>377336</v>
      </c>
      <c r="AK112" s="28">
        <f>260415+127944</f>
        <v>388359</v>
      </c>
      <c r="AL112" s="28">
        <f>255806+126688</f>
        <v>382494</v>
      </c>
      <c r="AM112" s="28">
        <f>(270748+124080)</f>
        <v>394828</v>
      </c>
      <c r="AN112" s="28">
        <f>(278731+116761)</f>
        <v>395492</v>
      </c>
      <c r="AO112" s="28">
        <f>(273660+108320)</f>
        <v>381980</v>
      </c>
      <c r="AP112" s="28">
        <v>268537</v>
      </c>
      <c r="AQ112" s="28">
        <f>(298518+104718)</f>
        <v>403236</v>
      </c>
      <c r="AR112" s="28">
        <f>304215+141402</f>
        <v>445617</v>
      </c>
      <c r="AS112" s="28">
        <f>301979+113788</f>
        <v>415767</v>
      </c>
      <c r="AT112" s="28">
        <v>277675</v>
      </c>
      <c r="AU112" s="28">
        <v>285372.26553562999</v>
      </c>
      <c r="AV112" s="28">
        <v>306509</v>
      </c>
      <c r="AW112" s="28">
        <v>297379</v>
      </c>
      <c r="AX112" s="7">
        <f>M112</f>
        <v>280031</v>
      </c>
      <c r="AY112" s="28">
        <v>288947.46961239999</v>
      </c>
      <c r="AZ112" s="28">
        <v>267212</v>
      </c>
      <c r="BA112" s="28">
        <v>294583</v>
      </c>
      <c r="BB112" s="7">
        <f>N112</f>
        <v>250231</v>
      </c>
      <c r="BC112" s="28">
        <v>272472</v>
      </c>
      <c r="BD112" s="28">
        <v>274995</v>
      </c>
      <c r="BE112" s="28">
        <v>301101</v>
      </c>
      <c r="BF112" s="7">
        <f>O112</f>
        <v>278721</v>
      </c>
      <c r="BG112" s="28">
        <v>304919</v>
      </c>
      <c r="BH112" s="28">
        <v>298625</v>
      </c>
      <c r="BI112" s="28">
        <v>308141</v>
      </c>
      <c r="BJ112" s="7">
        <f>P112</f>
        <v>292741</v>
      </c>
      <c r="BK112" s="28">
        <v>319775</v>
      </c>
      <c r="BL112" s="28">
        <v>333554</v>
      </c>
      <c r="BM112" s="28">
        <v>343933</v>
      </c>
      <c r="BN112" s="7">
        <f t="shared" si="243"/>
        <v>328946</v>
      </c>
      <c r="BO112" s="28">
        <v>361185</v>
      </c>
      <c r="BP112" s="28">
        <v>360453</v>
      </c>
      <c r="BQ112" s="28">
        <v>367843</v>
      </c>
      <c r="BR112" s="7">
        <f t="shared" si="244"/>
        <v>351325</v>
      </c>
      <c r="BS112" s="28">
        <v>382085</v>
      </c>
      <c r="BT112" s="28">
        <v>395892</v>
      </c>
      <c r="BU112" s="28">
        <v>402031</v>
      </c>
      <c r="BV112" s="7">
        <f>S112</f>
        <v>381537</v>
      </c>
      <c r="BW112" s="28">
        <v>434766</v>
      </c>
      <c r="BX112" s="28">
        <v>452326</v>
      </c>
      <c r="BY112" s="28">
        <v>465069</v>
      </c>
      <c r="BZ112" s="28">
        <f>T112</f>
        <v>450152</v>
      </c>
      <c r="CA112" s="7"/>
      <c r="CB112"/>
      <c r="CC112"/>
      <c r="CD112"/>
      <c r="CE112" s="28"/>
      <c r="CF112" s="28"/>
      <c r="CH112" s="28">
        <v>250231</v>
      </c>
    </row>
    <row r="113" spans="2:86" s="20" customFormat="1">
      <c r="B113" s="20" t="s">
        <v>219</v>
      </c>
      <c r="D113" s="34">
        <f t="shared" ref="D113:J113" si="245">D110+D111-D112</f>
        <v>-182616</v>
      </c>
      <c r="E113" s="34">
        <f t="shared" si="245"/>
        <v>-167607</v>
      </c>
      <c r="F113" s="34">
        <f t="shared" si="245"/>
        <v>-190969.496483</v>
      </c>
      <c r="G113" s="34">
        <f t="shared" si="245"/>
        <v>-220118</v>
      </c>
      <c r="H113" s="34">
        <f t="shared" si="245"/>
        <v>-271079</v>
      </c>
      <c r="I113" s="34">
        <f t="shared" si="245"/>
        <v>-315035</v>
      </c>
      <c r="J113" s="34">
        <f t="shared" si="245"/>
        <v>-220647</v>
      </c>
      <c r="K113" s="34">
        <f t="shared" ref="K113:Q113" si="246">K110+K111-K112</f>
        <v>-218152</v>
      </c>
      <c r="L113" s="34">
        <f t="shared" si="246"/>
        <v>-209013.59433447837</v>
      </c>
      <c r="M113" s="34">
        <f t="shared" si="246"/>
        <v>-236141</v>
      </c>
      <c r="N113" s="34">
        <f t="shared" si="246"/>
        <v>-204173</v>
      </c>
      <c r="O113" s="34">
        <f t="shared" si="246"/>
        <v>-239684</v>
      </c>
      <c r="P113" s="34">
        <f t="shared" si="246"/>
        <v>-248429</v>
      </c>
      <c r="Q113" s="34">
        <f t="shared" si="246"/>
        <v>-286555</v>
      </c>
      <c r="R113" s="34">
        <f>R110+R111-R112</f>
        <v>-300409</v>
      </c>
      <c r="S113" s="34">
        <f>S110+S111-S112</f>
        <v>-302463</v>
      </c>
      <c r="T113" s="34">
        <f>T110+T111-T112</f>
        <v>-370376</v>
      </c>
      <c r="U113" s="34">
        <f>U110+U111-U112</f>
        <v>-370376</v>
      </c>
      <c r="V113" s="34"/>
      <c r="W113" s="34">
        <f t="shared" ref="W113:AS113" si="247">W110+W111-W112</f>
        <v>-202194.39892299997</v>
      </c>
      <c r="X113" s="34">
        <f t="shared" si="247"/>
        <v>-197549.06242700003</v>
      </c>
      <c r="Y113" s="34">
        <f t="shared" si="247"/>
        <v>-209176.61330099998</v>
      </c>
      <c r="Z113" s="34">
        <f t="shared" si="247"/>
        <v>-190969.496483</v>
      </c>
      <c r="AA113" s="34">
        <f t="shared" si="247"/>
        <v>-222350.79951399998</v>
      </c>
      <c r="AB113" s="34">
        <f t="shared" si="247"/>
        <v>-223957</v>
      </c>
      <c r="AC113" s="34">
        <f t="shared" si="247"/>
        <v>-221662</v>
      </c>
      <c r="AD113" s="34">
        <f t="shared" si="247"/>
        <v>-220118</v>
      </c>
      <c r="AE113" s="34">
        <f t="shared" si="247"/>
        <v>-241764.74232600001</v>
      </c>
      <c r="AF113" s="34">
        <f t="shared" si="247"/>
        <v>-260455</v>
      </c>
      <c r="AG113" s="34">
        <f t="shared" si="247"/>
        <v>-268555</v>
      </c>
      <c r="AH113" s="34">
        <f t="shared" si="247"/>
        <v>-271079</v>
      </c>
      <c r="AI113" s="34">
        <f t="shared" si="247"/>
        <v>-291755</v>
      </c>
      <c r="AJ113" s="34">
        <f t="shared" si="247"/>
        <v>-308265</v>
      </c>
      <c r="AK113" s="34">
        <f t="shared" si="247"/>
        <v>-319050</v>
      </c>
      <c r="AL113" s="34">
        <f t="shared" si="247"/>
        <v>-315035</v>
      </c>
      <c r="AM113" s="34">
        <f t="shared" si="247"/>
        <v>-338309</v>
      </c>
      <c r="AN113" s="34">
        <f t="shared" si="247"/>
        <v>-337749</v>
      </c>
      <c r="AO113" s="34">
        <f t="shared" si="247"/>
        <v>-329332</v>
      </c>
      <c r="AP113" s="34">
        <f t="shared" si="247"/>
        <v>-220647</v>
      </c>
      <c r="AQ113" s="34">
        <f t="shared" si="247"/>
        <v>-353440</v>
      </c>
      <c r="AR113" s="34">
        <f t="shared" si="247"/>
        <v>-396084</v>
      </c>
      <c r="AS113" s="34">
        <f t="shared" si="247"/>
        <v>-360337</v>
      </c>
      <c r="AT113" s="34">
        <f t="shared" ref="AT113:AY113" si="248">AT110+AT111-AT112</f>
        <v>-218152</v>
      </c>
      <c r="AU113" s="34">
        <f t="shared" si="248"/>
        <v>-233000.26553562999</v>
      </c>
      <c r="AV113" s="34">
        <f t="shared" si="248"/>
        <v>-255299</v>
      </c>
      <c r="AW113" s="34">
        <f t="shared" si="248"/>
        <v>-248424</v>
      </c>
      <c r="AX113" s="34">
        <f t="shared" si="248"/>
        <v>-236141</v>
      </c>
      <c r="AY113" s="34">
        <f t="shared" si="248"/>
        <v>-237396.46961239999</v>
      </c>
      <c r="AZ113" s="34">
        <f t="shared" ref="AZ113:BE113" si="249">AZ110+AZ111-AZ112</f>
        <v>-213922</v>
      </c>
      <c r="BA113" s="34">
        <f t="shared" si="249"/>
        <v>-241025</v>
      </c>
      <c r="BB113" s="34">
        <f t="shared" si="249"/>
        <v>-204173</v>
      </c>
      <c r="BC113" s="34">
        <f t="shared" si="249"/>
        <v>-216425</v>
      </c>
      <c r="BD113" s="34">
        <f t="shared" si="249"/>
        <v>-225378</v>
      </c>
      <c r="BE113" s="34">
        <f t="shared" si="249"/>
        <v>-255275</v>
      </c>
      <c r="BF113" s="34">
        <f t="shared" ref="BF113:BL113" si="250">BF110+BF111-BF112</f>
        <v>-239684</v>
      </c>
      <c r="BG113" s="34">
        <f t="shared" si="250"/>
        <v>-257212</v>
      </c>
      <c r="BH113" s="34">
        <f t="shared" si="250"/>
        <v>-248275</v>
      </c>
      <c r="BI113" s="34">
        <f t="shared" si="250"/>
        <v>-258295</v>
      </c>
      <c r="BJ113" s="34">
        <f t="shared" si="250"/>
        <v>-248429</v>
      </c>
      <c r="BK113" s="34">
        <f t="shared" si="250"/>
        <v>-274842</v>
      </c>
      <c r="BL113" s="34">
        <f t="shared" si="250"/>
        <v>-285803</v>
      </c>
      <c r="BM113" s="34">
        <f>BM110+BM111-BM112</f>
        <v>-296338</v>
      </c>
      <c r="BN113" s="34">
        <f t="shared" si="243"/>
        <v>-286555</v>
      </c>
      <c r="BO113" s="34">
        <f>BO110+BO111-BO112</f>
        <v>-309022</v>
      </c>
      <c r="BP113" s="34">
        <f>BP110+BP111-BP112</f>
        <v>-304526</v>
      </c>
      <c r="BQ113" s="34">
        <f>BQ110+BQ111-BQ112</f>
        <v>-312744</v>
      </c>
      <c r="BR113" s="34">
        <f t="shared" si="244"/>
        <v>-300409</v>
      </c>
      <c r="BS113" s="34">
        <f t="shared" ref="BS113:BX113" si="251">BS110+BS111-BS112</f>
        <v>-331317</v>
      </c>
      <c r="BT113" s="34">
        <f t="shared" si="251"/>
        <v>-339440</v>
      </c>
      <c r="BU113" s="34">
        <f t="shared" si="251"/>
        <v>-302324</v>
      </c>
      <c r="BV113" s="34">
        <f t="shared" si="251"/>
        <v>-302463</v>
      </c>
      <c r="BW113" s="34">
        <f t="shared" si="251"/>
        <v>-354154</v>
      </c>
      <c r="BX113" s="34">
        <f t="shared" si="251"/>
        <v>-358941</v>
      </c>
      <c r="BY113" s="34">
        <f>BY110+BY111-BY112</f>
        <v>-381414</v>
      </c>
      <c r="BZ113" s="34">
        <f>BZ110+BZ111-BZ112</f>
        <v>-370376</v>
      </c>
      <c r="CA113" s="34"/>
      <c r="CB113" s="893"/>
      <c r="CC113" s="893"/>
      <c r="CD113" s="893"/>
      <c r="CE113" s="34"/>
      <c r="CF113" s="893"/>
      <c r="CH113" s="34">
        <f>CH110+CH111-CH112</f>
        <v>-204173</v>
      </c>
    </row>
    <row r="114" spans="2:86" s="29" customFormat="1">
      <c r="B114" s="42" t="s">
        <v>220</v>
      </c>
      <c r="D114" s="43">
        <f t="shared" ref="D114:J114" si="252">D113/D97</f>
        <v>-0.30639343107087369</v>
      </c>
      <c r="E114" s="43">
        <f t="shared" si="252"/>
        <v>-0.24510505003531646</v>
      </c>
      <c r="F114" s="43">
        <f t="shared" si="252"/>
        <v>-0.24818318756720456</v>
      </c>
      <c r="G114" s="43">
        <f t="shared" si="252"/>
        <v>-0.25635807509965414</v>
      </c>
      <c r="H114" s="43">
        <f t="shared" si="252"/>
        <v>-0.29421903270306321</v>
      </c>
      <c r="I114" s="43">
        <f t="shared" si="252"/>
        <v>-0.32605838177091095</v>
      </c>
      <c r="J114" s="43">
        <f t="shared" si="252"/>
        <v>-0.23082910254224079</v>
      </c>
      <c r="K114" s="43">
        <f t="shared" ref="K114:R114" si="253">K113/K97</f>
        <v>-0.25990061558293331</v>
      </c>
      <c r="L114" s="43">
        <f t="shared" si="253"/>
        <v>-0.25216509385538777</v>
      </c>
      <c r="M114" s="43">
        <f t="shared" si="253"/>
        <v>-0.29127534494285284</v>
      </c>
      <c r="N114" s="43">
        <f t="shared" si="253"/>
        <v>-0.23237442496227115</v>
      </c>
      <c r="O114" s="43">
        <f t="shared" si="253"/>
        <v>-0.23670483297221173</v>
      </c>
      <c r="P114" s="43">
        <f t="shared" si="253"/>
        <v>-0.21218521846376703</v>
      </c>
      <c r="Q114" s="43">
        <f t="shared" si="253"/>
        <v>-0.20456320396569425</v>
      </c>
      <c r="R114" s="43">
        <f t="shared" si="253"/>
        <v>-0.19839741430664029</v>
      </c>
      <c r="S114" s="43">
        <f>S113/S97</f>
        <v>-0.17327274633375897</v>
      </c>
      <c r="T114" s="43">
        <f>T113/T97</f>
        <v>-0.17324282087898363</v>
      </c>
      <c r="U114" s="43">
        <f>U113/U97</f>
        <v>-0.17324282087898363</v>
      </c>
      <c r="V114" s="1044"/>
      <c r="W114" s="104"/>
      <c r="X114" s="104"/>
      <c r="Y114" s="104"/>
      <c r="Z114" s="43">
        <f t="shared" ref="Z114:AS114" si="254">Z113/Z97</f>
        <v>-0.24818318756720456</v>
      </c>
      <c r="AA114" s="43">
        <f t="shared" si="254"/>
        <v>-0.28261501584069187</v>
      </c>
      <c r="AB114" s="43">
        <f t="shared" si="254"/>
        <v>-0.27782605156303519</v>
      </c>
      <c r="AC114" s="43">
        <f t="shared" si="254"/>
        <v>-0.26643550338461391</v>
      </c>
      <c r="AD114" s="43">
        <f t="shared" si="254"/>
        <v>-0.25635807509965414</v>
      </c>
      <c r="AE114" s="43">
        <f t="shared" si="254"/>
        <v>-0.27296622970408491</v>
      </c>
      <c r="AF114" s="43">
        <f t="shared" si="254"/>
        <v>-0.28911047371248683</v>
      </c>
      <c r="AG114" s="43">
        <f t="shared" si="254"/>
        <v>-0.29396600982094184</v>
      </c>
      <c r="AH114" s="43">
        <f t="shared" si="254"/>
        <v>-0.29421903270306321</v>
      </c>
      <c r="AI114" s="43">
        <f t="shared" si="254"/>
        <v>-0.31435593424874797</v>
      </c>
      <c r="AJ114" s="43">
        <f t="shared" si="254"/>
        <v>-0.32863862278066452</v>
      </c>
      <c r="AK114" s="43">
        <f t="shared" si="254"/>
        <v>-0.33699177932293223</v>
      </c>
      <c r="AL114" s="43">
        <f t="shared" si="254"/>
        <v>-0.32605838177091095</v>
      </c>
      <c r="AM114" s="43">
        <f t="shared" si="254"/>
        <v>-0.34342151611033456</v>
      </c>
      <c r="AN114" s="43">
        <f t="shared" si="254"/>
        <v>-0.34002410126154098</v>
      </c>
      <c r="AO114" s="43">
        <f t="shared" si="254"/>
        <v>-0.33403724868497658</v>
      </c>
      <c r="AP114" s="43">
        <f t="shared" si="254"/>
        <v>-0.23082910254224079</v>
      </c>
      <c r="AQ114" s="43">
        <f t="shared" si="254"/>
        <v>-0.38407914568905283</v>
      </c>
      <c r="AR114" s="43">
        <f t="shared" si="254"/>
        <v>-0.44412300943897631</v>
      </c>
      <c r="AS114" s="43">
        <f t="shared" si="254"/>
        <v>-0.41798702436093293</v>
      </c>
      <c r="AT114" s="43">
        <f t="shared" ref="AT114:AY114" si="255">AT113/AT97</f>
        <v>-0.25990061558293331</v>
      </c>
      <c r="AU114" s="43">
        <f t="shared" si="255"/>
        <v>-0.28474070096085463</v>
      </c>
      <c r="AV114" s="43">
        <f t="shared" si="255"/>
        <v>-0.3182256077195732</v>
      </c>
      <c r="AW114" s="43">
        <f t="shared" si="255"/>
        <v>-0.3100024020958731</v>
      </c>
      <c r="AX114" s="43">
        <f t="shared" si="255"/>
        <v>-0.29127534494285284</v>
      </c>
      <c r="AY114" s="43">
        <f t="shared" si="255"/>
        <v>-0.28956096004036319</v>
      </c>
      <c r="AZ114" s="43">
        <f t="shared" ref="AZ114:BE114" si="256">AZ113/AZ97</f>
        <v>-0.25787743449927381</v>
      </c>
      <c r="BA114" s="43">
        <f t="shared" si="256"/>
        <v>-0.2846372747926707</v>
      </c>
      <c r="BB114" s="43">
        <f t="shared" si="256"/>
        <v>-0.23237442496227115</v>
      </c>
      <c r="BC114" s="43">
        <f t="shared" si="256"/>
        <v>-0.23766200109373387</v>
      </c>
      <c r="BD114" s="43">
        <f t="shared" si="256"/>
        <v>-0.23534608336074433</v>
      </c>
      <c r="BE114" s="43">
        <f t="shared" si="256"/>
        <v>-0.25462748231247939</v>
      </c>
      <c r="BF114" s="43">
        <f t="shared" ref="BF114:BL114" si="257">BF113/BF97</f>
        <v>-0.23670483297221173</v>
      </c>
      <c r="BG114" s="43">
        <f t="shared" si="257"/>
        <v>-0.24692675967908698</v>
      </c>
      <c r="BH114" s="43">
        <f t="shared" si="257"/>
        <v>-0.23285794141480837</v>
      </c>
      <c r="BI114" s="43">
        <f t="shared" si="257"/>
        <v>-0.23446151779327773</v>
      </c>
      <c r="BJ114" s="43">
        <f t="shared" si="257"/>
        <v>-0.21218521846376703</v>
      </c>
      <c r="BK114" s="43">
        <f t="shared" si="257"/>
        <v>-0.22316139215839115</v>
      </c>
      <c r="BL114" s="43">
        <f t="shared" si="257"/>
        <v>-0.22064226451626351</v>
      </c>
      <c r="BM114" s="43">
        <f t="shared" ref="BM114:BR114" si="258">BM113/BM97</f>
        <v>-0.21863750889968533</v>
      </c>
      <c r="BN114" s="43">
        <f t="shared" si="258"/>
        <v>-0.20456320396569425</v>
      </c>
      <c r="BO114" s="43">
        <f t="shared" si="258"/>
        <v>-0.21330559407591068</v>
      </c>
      <c r="BP114" s="43">
        <f t="shared" si="258"/>
        <v>-0.20643255349841105</v>
      </c>
      <c r="BQ114" s="43">
        <f t="shared" si="258"/>
        <v>-0.20878035884875201</v>
      </c>
      <c r="BR114" s="43">
        <f t="shared" si="258"/>
        <v>-0.19839741430664029</v>
      </c>
      <c r="BS114" s="43">
        <f t="shared" ref="BS114:BX114" si="259">BS113/BS97</f>
        <v>-0.2172579039655238</v>
      </c>
      <c r="BT114" s="43">
        <f t="shared" si="259"/>
        <v>-0.21640616831534198</v>
      </c>
      <c r="BU114" s="43">
        <f t="shared" si="259"/>
        <v>-0.18421708470205572</v>
      </c>
      <c r="BV114" s="43">
        <f t="shared" si="259"/>
        <v>-0.17327274633375897</v>
      </c>
      <c r="BW114" s="43">
        <f t="shared" si="259"/>
        <v>-0.1907536555991477</v>
      </c>
      <c r="BX114" s="43">
        <f t="shared" si="259"/>
        <v>-0.18238362240892658</v>
      </c>
      <c r="BY114" s="43">
        <f>BY113/BY97</f>
        <v>-0.18525098790424421</v>
      </c>
      <c r="BZ114" s="43">
        <f>BZ113/BZ97</f>
        <v>-0.17324282087898363</v>
      </c>
      <c r="CA114" s="1044"/>
      <c r="CB114"/>
      <c r="CC114"/>
      <c r="CD114"/>
      <c r="CE114" s="43"/>
      <c r="CF114"/>
      <c r="CH114" s="43">
        <f>CH113/CH97</f>
        <v>-0.23682611045768465</v>
      </c>
    </row>
    <row r="115" spans="2:86">
      <c r="B115" s="20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/>
      <c r="CC115"/>
      <c r="CD115"/>
      <c r="CE115"/>
      <c r="CF115"/>
      <c r="CH115" s="38"/>
    </row>
    <row r="116" spans="2:86">
      <c r="B116" s="20" t="s">
        <v>44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CA116" s="38"/>
      <c r="CB116" s="38"/>
      <c r="CC116" s="38"/>
      <c r="CD116" s="38"/>
      <c r="CE116" s="38"/>
      <c r="CF116" s="38"/>
      <c r="CG116" s="38"/>
      <c r="CH116" s="38"/>
    </row>
    <row r="117" spans="2:86">
      <c r="B117" s="17" t="s">
        <v>44</v>
      </c>
      <c r="D117" s="28">
        <v>0</v>
      </c>
      <c r="E117" s="28">
        <v>0</v>
      </c>
      <c r="F117" s="7">
        <f>Z117</f>
        <v>0</v>
      </c>
      <c r="G117" s="7">
        <f>AD117</f>
        <v>0</v>
      </c>
      <c r="H117" s="7">
        <f>AH117</f>
        <v>0</v>
      </c>
      <c r="I117" s="7">
        <f>AL117</f>
        <v>43977</v>
      </c>
      <c r="J117" s="7">
        <f>AP117</f>
        <v>12038</v>
      </c>
      <c r="K117" s="7">
        <f>+AT117</f>
        <v>21925</v>
      </c>
      <c r="L117" s="28">
        <f>16865+5060</f>
        <v>21925</v>
      </c>
      <c r="M117" s="28">
        <f>1413+1682</f>
        <v>3095</v>
      </c>
      <c r="N117" s="28">
        <f t="shared" ref="N117:T117" si="260">M117</f>
        <v>3095</v>
      </c>
      <c r="O117" s="28">
        <f t="shared" si="260"/>
        <v>3095</v>
      </c>
      <c r="P117" s="28">
        <f t="shared" si="260"/>
        <v>3095</v>
      </c>
      <c r="Q117" s="28">
        <f t="shared" si="260"/>
        <v>3095</v>
      </c>
      <c r="R117" s="28">
        <f t="shared" si="260"/>
        <v>3095</v>
      </c>
      <c r="S117" s="28">
        <f t="shared" si="260"/>
        <v>3095</v>
      </c>
      <c r="T117" s="28">
        <f t="shared" si="260"/>
        <v>3095</v>
      </c>
      <c r="U117" s="7">
        <f>BZ117</f>
        <v>3095</v>
      </c>
      <c r="V117" s="7"/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43977</v>
      </c>
      <c r="AM117" s="28">
        <v>43977</v>
      </c>
      <c r="AN117" s="28">
        <v>43977</v>
      </c>
      <c r="AO117" s="28">
        <v>43977</v>
      </c>
      <c r="AP117" s="28">
        <f>11375+663</f>
        <v>12038</v>
      </c>
      <c r="AQ117" s="28">
        <f>AP117</f>
        <v>12038</v>
      </c>
      <c r="AR117" s="28">
        <f>AQ117</f>
        <v>12038</v>
      </c>
      <c r="AS117" s="28">
        <f>AR117</f>
        <v>12038</v>
      </c>
      <c r="AT117" s="28">
        <f>16865+5060</f>
        <v>21925</v>
      </c>
      <c r="AU117" s="28">
        <f>+AT117</f>
        <v>21925</v>
      </c>
      <c r="AV117" s="28">
        <f>+AU117</f>
        <v>21925</v>
      </c>
      <c r="AW117" s="28">
        <f>+AV117</f>
        <v>21925</v>
      </c>
      <c r="AX117" s="7">
        <f>M117</f>
        <v>3095</v>
      </c>
      <c r="AY117" s="800">
        <f>+AX117</f>
        <v>3095</v>
      </c>
      <c r="AZ117" s="800">
        <f>+AY117</f>
        <v>3095</v>
      </c>
      <c r="BA117" s="800">
        <f>+AZ117</f>
        <v>3095</v>
      </c>
      <c r="BB117" s="7">
        <f>N117</f>
        <v>3095</v>
      </c>
      <c r="BC117" s="800">
        <f>+BB117</f>
        <v>3095</v>
      </c>
      <c r="BD117" s="800">
        <f>+BC117</f>
        <v>3095</v>
      </c>
      <c r="BE117" s="800">
        <f>+BD117</f>
        <v>3095</v>
      </c>
      <c r="BF117" s="7">
        <f>O117</f>
        <v>3095</v>
      </c>
      <c r="BG117" s="800">
        <f>+BF117</f>
        <v>3095</v>
      </c>
      <c r="BH117" s="800">
        <f>+BG117</f>
        <v>3095</v>
      </c>
      <c r="BI117" s="800">
        <f>+BH117</f>
        <v>3095</v>
      </c>
      <c r="BJ117" s="7">
        <f>P117</f>
        <v>3095</v>
      </c>
      <c r="BK117" s="800">
        <f>+BJ117</f>
        <v>3095</v>
      </c>
      <c r="BL117" s="800">
        <f>+BK117</f>
        <v>3095</v>
      </c>
      <c r="BM117" s="800">
        <f>+BL117</f>
        <v>3095</v>
      </c>
      <c r="BN117" s="7">
        <f>Q117</f>
        <v>3095</v>
      </c>
      <c r="BO117" s="800">
        <f>+BN117</f>
        <v>3095</v>
      </c>
      <c r="BP117" s="800">
        <f>+BO117</f>
        <v>3095</v>
      </c>
      <c r="BQ117" s="800">
        <f>+BP117</f>
        <v>3095</v>
      </c>
      <c r="BR117" s="7">
        <f>R117</f>
        <v>3095</v>
      </c>
      <c r="BS117" s="800">
        <f>+BR117</f>
        <v>3095</v>
      </c>
      <c r="BT117" s="800">
        <f>+BS117</f>
        <v>3095</v>
      </c>
      <c r="BU117" s="800">
        <f>+BT117</f>
        <v>3095</v>
      </c>
      <c r="BV117" s="7">
        <f>S117</f>
        <v>3095</v>
      </c>
      <c r="BW117" s="800">
        <f>BV117</f>
        <v>3095</v>
      </c>
      <c r="BX117" s="800">
        <f>BW117</f>
        <v>3095</v>
      </c>
      <c r="BY117" s="800">
        <f>BX117</f>
        <v>3095</v>
      </c>
      <c r="BZ117" s="28">
        <f>T117</f>
        <v>3095</v>
      </c>
      <c r="CA117" s="7"/>
      <c r="CB117"/>
      <c r="CC117" s="800"/>
      <c r="CD117" s="800"/>
      <c r="CE117" s="800"/>
      <c r="CF117" s="800"/>
      <c r="CH117" s="28">
        <f>M117</f>
        <v>3095</v>
      </c>
    </row>
    <row r="118" spans="2:86">
      <c r="B118" s="17" t="s">
        <v>45</v>
      </c>
      <c r="D118" s="28">
        <v>0</v>
      </c>
      <c r="E118" s="28">
        <v>0</v>
      </c>
      <c r="F118" s="7">
        <f>Z118</f>
        <v>0</v>
      </c>
      <c r="G118" s="7">
        <f>AD118</f>
        <v>0</v>
      </c>
      <c r="H118" s="7">
        <f>AH118</f>
        <v>0</v>
      </c>
      <c r="I118" s="7">
        <f>AL118</f>
        <v>57871</v>
      </c>
      <c r="J118" s="7">
        <f>AP118</f>
        <v>56547</v>
      </c>
      <c r="K118" s="7">
        <f>+AT118</f>
        <v>48831</v>
      </c>
      <c r="L118" s="28">
        <v>48775.799020983992</v>
      </c>
      <c r="M118" s="28">
        <v>47553.012530246</v>
      </c>
      <c r="N118" s="28">
        <v>306078.12536631798</v>
      </c>
      <c r="O118" s="28">
        <v>329953</v>
      </c>
      <c r="P118" s="28">
        <f>290562+77072</f>
        <v>367634</v>
      </c>
      <c r="Q118" s="28">
        <f>508295+96460</f>
        <v>604755</v>
      </c>
      <c r="R118" s="28">
        <f>539271+97487</f>
        <v>636758</v>
      </c>
      <c r="S118" s="28">
        <f>556701+96597</f>
        <v>653298</v>
      </c>
      <c r="T118" s="28">
        <v>737403</v>
      </c>
      <c r="U118" s="7">
        <f>BZ118</f>
        <v>737403</v>
      </c>
      <c r="V118" s="7"/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42411.077557999997</v>
      </c>
      <c r="AJ118" s="28">
        <v>53594.805378999998</v>
      </c>
      <c r="AK118" s="28">
        <v>56919.947976000003</v>
      </c>
      <c r="AL118" s="28">
        <v>57871</v>
      </c>
      <c r="AM118" s="28">
        <v>54525</v>
      </c>
      <c r="AN118" s="28">
        <v>58830</v>
      </c>
      <c r="AO118" s="28">
        <v>59854</v>
      </c>
      <c r="AP118" s="28">
        <v>56547</v>
      </c>
      <c r="AQ118" s="28">
        <v>55387</v>
      </c>
      <c r="AR118" s="28">
        <v>53506.256908324998</v>
      </c>
      <c r="AS118" s="28">
        <v>48389.605602575008</v>
      </c>
      <c r="AT118" s="28">
        <v>48831</v>
      </c>
      <c r="AU118" s="28">
        <v>50118</v>
      </c>
      <c r="AV118" s="28">
        <v>52304.929718986998</v>
      </c>
      <c r="AW118" s="28">
        <v>49293.864981571998</v>
      </c>
      <c r="AX118" s="7">
        <f>M118</f>
        <v>47553.012530246</v>
      </c>
      <c r="AY118" s="28">
        <v>281967.46913360804</v>
      </c>
      <c r="AZ118" s="28">
        <v>299807.14039910294</v>
      </c>
      <c r="BA118" s="28">
        <v>301529.25138223497</v>
      </c>
      <c r="BB118" s="7">
        <f>N118</f>
        <v>306078.12536631798</v>
      </c>
      <c r="BC118" s="28">
        <v>306132.54535619501</v>
      </c>
      <c r="BD118" s="28">
        <v>304383</v>
      </c>
      <c r="BE118" s="28">
        <v>324529</v>
      </c>
      <c r="BF118" s="7">
        <f>O118</f>
        <v>329953</v>
      </c>
      <c r="BG118" s="28">
        <v>331104</v>
      </c>
      <c r="BH118" s="28">
        <v>348981</v>
      </c>
      <c r="BI118" s="28">
        <v>352346.28986856603</v>
      </c>
      <c r="BJ118" s="7">
        <f>P118</f>
        <v>367634</v>
      </c>
      <c r="BK118" s="28">
        <v>478105.46610308997</v>
      </c>
      <c r="BL118" s="28">
        <v>523642.47112139699</v>
      </c>
      <c r="BM118" s="28">
        <v>549018.03515972802</v>
      </c>
      <c r="BN118" s="7">
        <f>Q118</f>
        <v>604755</v>
      </c>
      <c r="BO118" s="28">
        <v>589108</v>
      </c>
      <c r="BP118" s="28">
        <v>595564.62068680022</v>
      </c>
      <c r="BQ118" s="28">
        <v>597143</v>
      </c>
      <c r="BR118" s="7">
        <f>R118</f>
        <v>636758</v>
      </c>
      <c r="BS118" s="28">
        <v>674544</v>
      </c>
      <c r="BT118" s="28">
        <v>792003</v>
      </c>
      <c r="BU118" s="28">
        <v>629333</v>
      </c>
      <c r="BV118" s="7">
        <f>S118</f>
        <v>653298</v>
      </c>
      <c r="BW118" s="28">
        <v>660901</v>
      </c>
      <c r="BX118" s="28">
        <f>595781+84837</f>
        <v>680618</v>
      </c>
      <c r="BY118" s="28">
        <v>701294</v>
      </c>
      <c r="BZ118" s="28">
        <f>T118</f>
        <v>737403</v>
      </c>
      <c r="CA118" s="7"/>
      <c r="CB118"/>
      <c r="CC118" s="28"/>
      <c r="CD118" s="28"/>
      <c r="CE118" s="28"/>
      <c r="CF118" s="28"/>
      <c r="CG118" s="28"/>
      <c r="CH118" s="28">
        <v>331208</v>
      </c>
    </row>
    <row r="119" spans="2:86" s="20" customFormat="1">
      <c r="B119" s="20" t="s">
        <v>46</v>
      </c>
      <c r="D119" s="34">
        <f>D117+D118</f>
        <v>0</v>
      </c>
      <c r="E119" s="34">
        <f>E117+E118</f>
        <v>0</v>
      </c>
      <c r="F119" s="34">
        <f t="shared" ref="F119:K119" si="261">SUM(F117:F118)</f>
        <v>0</v>
      </c>
      <c r="G119" s="34">
        <f t="shared" si="261"/>
        <v>0</v>
      </c>
      <c r="H119" s="34">
        <f t="shared" si="261"/>
        <v>0</v>
      </c>
      <c r="I119" s="34">
        <f t="shared" si="261"/>
        <v>101848</v>
      </c>
      <c r="J119" s="34">
        <f t="shared" si="261"/>
        <v>68585</v>
      </c>
      <c r="K119" s="34">
        <f t="shared" si="261"/>
        <v>70756</v>
      </c>
      <c r="L119" s="34">
        <f t="shared" ref="L119:Q119" si="262">L117+L118</f>
        <v>70700.799020983992</v>
      </c>
      <c r="M119" s="34">
        <f t="shared" si="262"/>
        <v>50648.012530246</v>
      </c>
      <c r="N119" s="34">
        <f t="shared" si="262"/>
        <v>309173.12536631798</v>
      </c>
      <c r="O119" s="34">
        <f t="shared" si="262"/>
        <v>333048</v>
      </c>
      <c r="P119" s="34">
        <f t="shared" si="262"/>
        <v>370729</v>
      </c>
      <c r="Q119" s="34">
        <f t="shared" si="262"/>
        <v>607850</v>
      </c>
      <c r="R119" s="34">
        <f>R117+R118</f>
        <v>639853</v>
      </c>
      <c r="S119" s="34">
        <f>S117+S118</f>
        <v>656393</v>
      </c>
      <c r="T119" s="34">
        <f>T117+T118</f>
        <v>740498</v>
      </c>
      <c r="U119" s="34">
        <f>SUM(U117:U118)</f>
        <v>740498</v>
      </c>
      <c r="V119" s="34"/>
      <c r="W119" s="34">
        <f t="shared" ref="W119:AB119" si="263">W117+W118</f>
        <v>0</v>
      </c>
      <c r="X119" s="34">
        <f t="shared" si="263"/>
        <v>0</v>
      </c>
      <c r="Y119" s="34">
        <f t="shared" si="263"/>
        <v>0</v>
      </c>
      <c r="Z119" s="34">
        <f t="shared" si="263"/>
        <v>0</v>
      </c>
      <c r="AA119" s="34">
        <f t="shared" si="263"/>
        <v>0</v>
      </c>
      <c r="AB119" s="34">
        <f t="shared" si="263"/>
        <v>0</v>
      </c>
      <c r="AC119" s="34">
        <f t="shared" ref="AC119:AL119" si="264">AC117+AC118</f>
        <v>0</v>
      </c>
      <c r="AD119" s="34">
        <f t="shared" si="264"/>
        <v>0</v>
      </c>
      <c r="AE119" s="34">
        <f t="shared" si="264"/>
        <v>0</v>
      </c>
      <c r="AF119" s="34">
        <f t="shared" si="264"/>
        <v>0</v>
      </c>
      <c r="AG119" s="34">
        <f t="shared" si="264"/>
        <v>0</v>
      </c>
      <c r="AH119" s="34">
        <f t="shared" si="264"/>
        <v>0</v>
      </c>
      <c r="AI119" s="34">
        <f t="shared" si="264"/>
        <v>42411.077557999997</v>
      </c>
      <c r="AJ119" s="34">
        <f t="shared" si="264"/>
        <v>53594.805378999998</v>
      </c>
      <c r="AK119" s="34">
        <f t="shared" si="264"/>
        <v>56919.947976000003</v>
      </c>
      <c r="AL119" s="34">
        <f t="shared" si="264"/>
        <v>101848</v>
      </c>
      <c r="AM119" s="34">
        <f t="shared" ref="AM119:AT119" si="265">AM117+AM118</f>
        <v>98502</v>
      </c>
      <c r="AN119" s="34">
        <f t="shared" si="265"/>
        <v>102807</v>
      </c>
      <c r="AO119" s="34">
        <f t="shared" si="265"/>
        <v>103831</v>
      </c>
      <c r="AP119" s="34">
        <f t="shared" si="265"/>
        <v>68585</v>
      </c>
      <c r="AQ119" s="34">
        <f t="shared" si="265"/>
        <v>67425</v>
      </c>
      <c r="AR119" s="34">
        <f t="shared" si="265"/>
        <v>65544.256908324998</v>
      </c>
      <c r="AS119" s="34">
        <f t="shared" si="265"/>
        <v>60427.605602575008</v>
      </c>
      <c r="AT119" s="34">
        <f t="shared" si="265"/>
        <v>70756</v>
      </c>
      <c r="AU119" s="34">
        <f>AU117+AU118</f>
        <v>72043</v>
      </c>
      <c r="AV119" s="34">
        <f>AV117+AV118</f>
        <v>74229.929718986998</v>
      </c>
      <c r="AW119" s="34">
        <f>AW117+AW118</f>
        <v>71218.864981571998</v>
      </c>
      <c r="AX119" s="34">
        <f>M119</f>
        <v>50648.012530246</v>
      </c>
      <c r="AY119" s="34">
        <f t="shared" ref="AY119:BD119" si="266">AY117+AY118</f>
        <v>285062.46913360804</v>
      </c>
      <c r="AZ119" s="34">
        <f t="shared" si="266"/>
        <v>302902.14039910294</v>
      </c>
      <c r="BA119" s="34">
        <f t="shared" si="266"/>
        <v>304624.25138223497</v>
      </c>
      <c r="BB119" s="34">
        <f t="shared" si="266"/>
        <v>309173.12536631798</v>
      </c>
      <c r="BC119" s="34">
        <f t="shared" si="266"/>
        <v>309227.54535619501</v>
      </c>
      <c r="BD119" s="34">
        <f t="shared" si="266"/>
        <v>307478</v>
      </c>
      <c r="BE119" s="34">
        <f t="shared" ref="BE119:BJ119" si="267">BE117+BE118</f>
        <v>327624</v>
      </c>
      <c r="BF119" s="34">
        <f t="shared" si="267"/>
        <v>333048</v>
      </c>
      <c r="BG119" s="34">
        <f t="shared" si="267"/>
        <v>334199</v>
      </c>
      <c r="BH119" s="34">
        <f t="shared" si="267"/>
        <v>352076</v>
      </c>
      <c r="BI119" s="34">
        <f t="shared" si="267"/>
        <v>355441.28986856603</v>
      </c>
      <c r="BJ119" s="34">
        <f t="shared" si="267"/>
        <v>370729</v>
      </c>
      <c r="BK119" s="34">
        <f t="shared" ref="BK119:BP119" si="268">BK117+BK118</f>
        <v>481200.46610308997</v>
      </c>
      <c r="BL119" s="34">
        <f t="shared" si="268"/>
        <v>526737.47112139699</v>
      </c>
      <c r="BM119" s="34">
        <f t="shared" si="268"/>
        <v>552113.03515972802</v>
      </c>
      <c r="BN119" s="34">
        <f t="shared" si="268"/>
        <v>607850</v>
      </c>
      <c r="BO119" s="34">
        <f t="shared" si="268"/>
        <v>592203</v>
      </c>
      <c r="BP119" s="34">
        <f t="shared" si="268"/>
        <v>598659.62068680022</v>
      </c>
      <c r="BQ119" s="34">
        <f t="shared" ref="BQ119:BV119" si="269">BQ117+BQ118</f>
        <v>600238</v>
      </c>
      <c r="BR119" s="34">
        <f t="shared" si="269"/>
        <v>639853</v>
      </c>
      <c r="BS119" s="34">
        <f t="shared" si="269"/>
        <v>677639</v>
      </c>
      <c r="BT119" s="34">
        <f t="shared" si="269"/>
        <v>795098</v>
      </c>
      <c r="BU119" s="34">
        <f t="shared" si="269"/>
        <v>632428</v>
      </c>
      <c r="BV119" s="34">
        <f t="shared" si="269"/>
        <v>656393</v>
      </c>
      <c r="BW119" s="34">
        <f>BW117+BW118</f>
        <v>663996</v>
      </c>
      <c r="BX119" s="34">
        <f>BX117+BX118</f>
        <v>683713</v>
      </c>
      <c r="BY119" s="34">
        <f>BY117+BY118</f>
        <v>704389</v>
      </c>
      <c r="BZ119" s="34">
        <f>BZ117+BZ118</f>
        <v>740498</v>
      </c>
      <c r="CA119" s="34"/>
      <c r="CB119" s="893"/>
      <c r="CC119" s="34"/>
      <c r="CD119" s="34"/>
      <c r="CE119" s="34"/>
      <c r="CF119" s="34"/>
      <c r="CH119" s="34">
        <f>CH117+CH118</f>
        <v>334303</v>
      </c>
    </row>
    <row r="120" spans="2:86">
      <c r="D120" s="28"/>
      <c r="E120" s="28"/>
      <c r="F120" s="38"/>
      <c r="G120" s="38"/>
      <c r="H120" s="38"/>
      <c r="I120" s="38"/>
      <c r="J120" s="38"/>
      <c r="K120" s="38"/>
      <c r="L120" s="28"/>
      <c r="M120" s="28"/>
      <c r="N120" s="28"/>
      <c r="O120" s="28"/>
      <c r="P120" s="28"/>
      <c r="Q120" s="28"/>
      <c r="R120" s="28"/>
      <c r="S120" s="28"/>
      <c r="T120" s="28"/>
      <c r="U120" s="38"/>
      <c r="V120" s="3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/>
      <c r="CC120" s="28"/>
      <c r="CD120" s="28"/>
      <c r="CE120" s="28"/>
      <c r="CF120" s="28"/>
      <c r="CH120" s="28"/>
    </row>
    <row r="121" spans="2:86">
      <c r="B121" s="20" t="s">
        <v>47</v>
      </c>
      <c r="D121" s="28"/>
      <c r="E121" s="28"/>
      <c r="F121" s="38"/>
      <c r="G121" s="38"/>
      <c r="H121" s="38"/>
      <c r="I121" s="38"/>
      <c r="J121" s="38"/>
      <c r="K121" s="38"/>
      <c r="L121" s="28"/>
      <c r="M121" s="28"/>
      <c r="N121" s="28"/>
      <c r="O121" s="28"/>
      <c r="P121" s="28"/>
      <c r="Q121" s="28"/>
      <c r="R121" s="28"/>
      <c r="S121" s="28"/>
      <c r="T121" s="28"/>
      <c r="U121" s="38"/>
      <c r="V121" s="3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/>
      <c r="CC121" s="28"/>
      <c r="CD121" s="28"/>
      <c r="CE121" s="28"/>
      <c r="CF121" s="28"/>
      <c r="CH121" s="28"/>
    </row>
    <row r="122" spans="2:86">
      <c r="B122" s="17" t="s">
        <v>47</v>
      </c>
      <c r="D122" s="28">
        <f>599512+D127+D126-D117</f>
        <v>616707</v>
      </c>
      <c r="E122" s="28">
        <f>650394+E127+E126-E117</f>
        <v>690232</v>
      </c>
      <c r="F122" s="7">
        <f>Z122</f>
        <v>667363</v>
      </c>
      <c r="G122" s="7">
        <f>AD122</f>
        <v>759984</v>
      </c>
      <c r="H122" s="7">
        <f>AH122</f>
        <v>806839</v>
      </c>
      <c r="I122" s="7">
        <f>AL122</f>
        <v>902678</v>
      </c>
      <c r="J122" s="7">
        <f>AP122</f>
        <v>1005696</v>
      </c>
      <c r="K122" s="7">
        <f>+AT122</f>
        <v>1070920</v>
      </c>
      <c r="L122" s="28">
        <f>952284.508735186+L127+L126-L117</f>
        <v>1050952.9402915391</v>
      </c>
      <c r="M122" s="28">
        <f>1082346.21955661+M127+M126-M117</f>
        <v>1206474.0690692791</v>
      </c>
      <c r="N122" s="28">
        <f>882512.18822327+N127+N126-N117</f>
        <v>1170027.18822327</v>
      </c>
      <c r="O122" s="28">
        <f>1155124+O127+O126-O117</f>
        <v>1292742</v>
      </c>
      <c r="P122" s="28">
        <f>1235439+P127+P126-P117</f>
        <v>1324552</v>
      </c>
      <c r="Q122" s="28">
        <f>1526508+Q127+Q126-Q117</f>
        <v>1651847</v>
      </c>
      <c r="R122" s="28">
        <f>1409704+R127+R126-R117</f>
        <v>1509756</v>
      </c>
      <c r="S122" s="28">
        <f>1385086+S127+S126-S117</f>
        <v>1481038</v>
      </c>
      <c r="T122" s="28">
        <f>910485+T127+T126-T117</f>
        <v>1214608</v>
      </c>
      <c r="U122" s="7">
        <f>BZ122</f>
        <v>1214608</v>
      </c>
      <c r="V122" s="7"/>
      <c r="W122" s="28">
        <f>654424+W127+W126-W117</f>
        <v>705776</v>
      </c>
      <c r="X122" s="28">
        <f>610526+X127+X126-X117</f>
        <v>643282</v>
      </c>
      <c r="Y122" s="28">
        <f>583937+Y127+Y126-Y117</f>
        <v>678051</v>
      </c>
      <c r="Z122" s="28">
        <f>583567+Z127+Z126-Z117</f>
        <v>667363</v>
      </c>
      <c r="AA122" s="28">
        <f>587205+AA127+AA126-AA117</f>
        <v>744639</v>
      </c>
      <c r="AB122" s="28">
        <f>613500+AB127+AB126-AB117</f>
        <v>744437</v>
      </c>
      <c r="AC122" s="28">
        <f>576430+AC127+AC126-AC117</f>
        <v>733140</v>
      </c>
      <c r="AD122" s="28">
        <f>605416+AD127+AD126-AD117</f>
        <v>759984</v>
      </c>
      <c r="AE122" s="28">
        <f>577443+AE127+AE126-AE117</f>
        <v>716751</v>
      </c>
      <c r="AF122" s="28">
        <f>622158+AF127+AF126-AF117</f>
        <v>749234</v>
      </c>
      <c r="AG122" s="28">
        <f>668388+AG127+AG126-AG117</f>
        <v>799272</v>
      </c>
      <c r="AH122" s="28">
        <f>668417+AH127+AH126-AH117</f>
        <v>806839</v>
      </c>
      <c r="AI122" s="28">
        <f>677460+AI127+AI126-AI117</f>
        <v>907114</v>
      </c>
      <c r="AJ122" s="28">
        <f>703896+AJ127+AJ126-AJ117</f>
        <v>859357</v>
      </c>
      <c r="AK122" s="28">
        <f>784515+AK127+AK126-AK117</f>
        <v>888404</v>
      </c>
      <c r="AL122" s="28">
        <f>126402+395292+341424+20621+18939</f>
        <v>902678</v>
      </c>
      <c r="AM122" s="28">
        <f>834915+AM127+AM126-AM117</f>
        <v>919007</v>
      </c>
      <c r="AN122" s="28">
        <f>814803+AN127+AN126-AN117</f>
        <v>885329.41577116004</v>
      </c>
      <c r="AO122" s="28">
        <f>973952+AO127+AO126-AO117</f>
        <v>1036816</v>
      </c>
      <c r="AP122" s="28">
        <f>68800+368912+439205+106745+22034</f>
        <v>1005696</v>
      </c>
      <c r="AQ122" s="28">
        <f>878404+AQ127+AQ126-AQ117</f>
        <v>960694</v>
      </c>
      <c r="AR122" s="28">
        <f>914801+AR127+AR126-AR117</f>
        <v>987696.34111677797</v>
      </c>
      <c r="AS122" s="28">
        <f>917139+AS127+AS126-AS117</f>
        <v>1001978</v>
      </c>
      <c r="AT122" s="28">
        <f>71011+389558+30068+455602+76816+33507+14358</f>
        <v>1070920</v>
      </c>
      <c r="AU122" s="28">
        <f>1029028+AU127+AU126-AU117</f>
        <v>1130896</v>
      </c>
      <c r="AV122" s="28">
        <f>1132042+AV127+AV126-AV117</f>
        <v>1210234</v>
      </c>
      <c r="AW122" s="28">
        <f>1063674+AW127+AW126-AW117</f>
        <v>1144558</v>
      </c>
      <c r="AX122" s="7">
        <f>M122</f>
        <v>1206474.0690692791</v>
      </c>
      <c r="AY122" s="28">
        <f>884490.550827087+AY127+AY126-AY117</f>
        <v>1012716.822155602</v>
      </c>
      <c r="AZ122" s="28">
        <f>881257.854397722+AZ127+AZ126-AZ117</f>
        <v>1062888.927264381</v>
      </c>
      <c r="BA122" s="28">
        <f>847664.245679761+BA127+BA126-BA117</f>
        <v>1156979.9418246991</v>
      </c>
      <c r="BB122" s="7">
        <f>N122</f>
        <v>1170027.18822327</v>
      </c>
      <c r="BC122" s="28">
        <f>859272+BC127+BC126-BC117</f>
        <v>1143611</v>
      </c>
      <c r="BD122" s="28">
        <f>1074033.81777+BD127+BD126-BD117</f>
        <v>1286252.6884700002</v>
      </c>
      <c r="BE122" s="28">
        <f>1149853+BE127+BE126-BE117</f>
        <v>1251462</v>
      </c>
      <c r="BF122" s="7">
        <f>O122</f>
        <v>1292742</v>
      </c>
      <c r="BG122" s="28">
        <f>1265117+BG127+BG126-BG117</f>
        <v>1352209</v>
      </c>
      <c r="BH122" s="28">
        <f>1313412+BH127+BH126-BH117</f>
        <v>1449946</v>
      </c>
      <c r="BI122" s="28">
        <f>1239074+BI127+BI126-BI117</f>
        <v>1327430.101451956</v>
      </c>
      <c r="BJ122" s="7">
        <f>P122</f>
        <v>1324552</v>
      </c>
      <c r="BK122" s="28">
        <f>1195089.53645118+BK127+BK126-BK117</f>
        <v>1297996.7055267389</v>
      </c>
      <c r="BL122" s="28">
        <f>1572776+BL127+BL126-BL117</f>
        <v>1652277.571418307</v>
      </c>
      <c r="BM122" s="28">
        <f>1548293+BM127+BM126-BM117</f>
        <v>1668433.18665035</v>
      </c>
      <c r="BN122" s="7">
        <f>Q122</f>
        <v>1651847</v>
      </c>
      <c r="BO122" s="28">
        <f>1488182+BO127+BO126-BO117</f>
        <v>1657116</v>
      </c>
      <c r="BP122" s="28">
        <f>1474593+BP127+BP126-BP117</f>
        <v>1574918.1660667951</v>
      </c>
      <c r="BQ122" s="28">
        <f>1423559+BQ127+BQ126-BQ117</f>
        <v>1584806</v>
      </c>
      <c r="BR122" s="7">
        <f>R122</f>
        <v>1509756</v>
      </c>
      <c r="BS122" s="28">
        <f>1351258+BS127+BS126-BS117</f>
        <v>1412065.8348989999</v>
      </c>
      <c r="BT122" s="28">
        <f>1410382+BT127+BT126-BT117</f>
        <v>1461452.9061660001</v>
      </c>
      <c r="BU122" s="28">
        <f>1336754+BU127+BU126-BU117</f>
        <v>1414916</v>
      </c>
      <c r="BV122" s="7">
        <f>S122</f>
        <v>1481038</v>
      </c>
      <c r="BW122" s="28">
        <f>1254893+BW127+BW126-BW117</f>
        <v>1370650</v>
      </c>
      <c r="BX122" s="28">
        <f>1266513+BX127+BX126-BX117</f>
        <v>1397439</v>
      </c>
      <c r="BY122" s="28">
        <f>1124912+BY127+BY126-BY117</f>
        <v>1275653</v>
      </c>
      <c r="BZ122" s="28">
        <f>T122</f>
        <v>1214608</v>
      </c>
      <c r="CA122" s="7"/>
      <c r="CB122" s="28"/>
      <c r="CC122" s="28"/>
      <c r="CD122" s="28"/>
      <c r="CE122" s="28"/>
      <c r="CF122" s="28"/>
      <c r="CH122" s="28">
        <f>882512.18822327+CH127+CH126-CH117</f>
        <v>1170027.18822327</v>
      </c>
    </row>
    <row r="123" spans="2:86">
      <c r="D123" s="28"/>
      <c r="E123" s="2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7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/>
      <c r="CC123" s="28"/>
      <c r="CD123" s="28"/>
      <c r="CE123" s="28"/>
      <c r="CF123" s="28"/>
      <c r="CH123" s="38"/>
    </row>
    <row r="124" spans="2:86">
      <c r="B124" s="20" t="s">
        <v>221</v>
      </c>
      <c r="C124" s="34" t="e">
        <f>#REF!+#REF!</f>
        <v>#REF!</v>
      </c>
      <c r="D124" s="34">
        <f>D122+D119</f>
        <v>616707</v>
      </c>
      <c r="E124" s="34">
        <f t="shared" ref="E124:K124" si="270">E122+E119</f>
        <v>690232</v>
      </c>
      <c r="F124" s="34">
        <f t="shared" si="270"/>
        <v>667363</v>
      </c>
      <c r="G124" s="34">
        <f t="shared" si="270"/>
        <v>759984</v>
      </c>
      <c r="H124" s="34">
        <f t="shared" si="270"/>
        <v>806839</v>
      </c>
      <c r="I124" s="34">
        <f t="shared" si="270"/>
        <v>1004526</v>
      </c>
      <c r="J124" s="34">
        <f t="shared" si="270"/>
        <v>1074281</v>
      </c>
      <c r="K124" s="34">
        <f t="shared" si="270"/>
        <v>1141676</v>
      </c>
      <c r="L124" s="34">
        <f t="shared" ref="L124:Q124" si="271">L122+L119</f>
        <v>1121653.739312523</v>
      </c>
      <c r="M124" s="34">
        <f t="shared" si="271"/>
        <v>1257122.0815995252</v>
      </c>
      <c r="N124" s="34">
        <f t="shared" si="271"/>
        <v>1479200.313589588</v>
      </c>
      <c r="O124" s="34">
        <f t="shared" si="271"/>
        <v>1625790</v>
      </c>
      <c r="P124" s="34">
        <f t="shared" si="271"/>
        <v>1695281</v>
      </c>
      <c r="Q124" s="34">
        <f t="shared" si="271"/>
        <v>2259697</v>
      </c>
      <c r="R124" s="34">
        <f>R122+R119</f>
        <v>2149609</v>
      </c>
      <c r="S124" s="34">
        <f>S122+S119</f>
        <v>2137431</v>
      </c>
      <c r="T124" s="34">
        <f>T122+T119</f>
        <v>1955106</v>
      </c>
      <c r="U124" s="34">
        <f>U122+U119</f>
        <v>1955106</v>
      </c>
      <c r="V124" s="34"/>
      <c r="W124" s="34">
        <f t="shared" ref="W124:AL124" si="272">W122+W119</f>
        <v>705776</v>
      </c>
      <c r="X124" s="34">
        <f t="shared" si="272"/>
        <v>643282</v>
      </c>
      <c r="Y124" s="34">
        <f t="shared" si="272"/>
        <v>678051</v>
      </c>
      <c r="Z124" s="34">
        <f t="shared" si="272"/>
        <v>667363</v>
      </c>
      <c r="AA124" s="34">
        <f t="shared" si="272"/>
        <v>744639</v>
      </c>
      <c r="AB124" s="34">
        <f t="shared" si="272"/>
        <v>744437</v>
      </c>
      <c r="AC124" s="34">
        <f t="shared" si="272"/>
        <v>733140</v>
      </c>
      <c r="AD124" s="34">
        <f t="shared" si="272"/>
        <v>759984</v>
      </c>
      <c r="AE124" s="34">
        <f t="shared" si="272"/>
        <v>716751</v>
      </c>
      <c r="AF124" s="34">
        <f t="shared" si="272"/>
        <v>749234</v>
      </c>
      <c r="AG124" s="34">
        <f t="shared" si="272"/>
        <v>799272</v>
      </c>
      <c r="AH124" s="34">
        <f t="shared" si="272"/>
        <v>806839</v>
      </c>
      <c r="AI124" s="34">
        <f t="shared" si="272"/>
        <v>949525.07755799999</v>
      </c>
      <c r="AJ124" s="34">
        <f t="shared" si="272"/>
        <v>912951.80537900003</v>
      </c>
      <c r="AK124" s="34">
        <f t="shared" si="272"/>
        <v>945323.94797600002</v>
      </c>
      <c r="AL124" s="34">
        <f t="shared" si="272"/>
        <v>1004526</v>
      </c>
      <c r="AM124" s="34">
        <f t="shared" ref="AM124:AT124" si="273">AM122+AM119</f>
        <v>1017509</v>
      </c>
      <c r="AN124" s="34">
        <f t="shared" si="273"/>
        <v>988136.41577116004</v>
      </c>
      <c r="AO124" s="34">
        <f t="shared" si="273"/>
        <v>1140647</v>
      </c>
      <c r="AP124" s="34">
        <f t="shared" si="273"/>
        <v>1074281</v>
      </c>
      <c r="AQ124" s="34">
        <f t="shared" si="273"/>
        <v>1028119</v>
      </c>
      <c r="AR124" s="34">
        <f t="shared" si="273"/>
        <v>1053240.5980251029</v>
      </c>
      <c r="AS124" s="34">
        <f t="shared" si="273"/>
        <v>1062405.605602575</v>
      </c>
      <c r="AT124" s="34">
        <f t="shared" si="273"/>
        <v>1141676</v>
      </c>
      <c r="AU124" s="34">
        <f t="shared" ref="AU124:AZ124" si="274">AU122+AU119</f>
        <v>1202939</v>
      </c>
      <c r="AV124" s="34">
        <f t="shared" si="274"/>
        <v>1284463.9297189871</v>
      </c>
      <c r="AW124" s="34">
        <f t="shared" si="274"/>
        <v>1215776.8649815719</v>
      </c>
      <c r="AX124" s="34">
        <f t="shared" si="274"/>
        <v>1257122.0815995252</v>
      </c>
      <c r="AY124" s="34">
        <f t="shared" si="274"/>
        <v>1297779.2912892101</v>
      </c>
      <c r="AZ124" s="34">
        <f t="shared" si="274"/>
        <v>1365791.0676634838</v>
      </c>
      <c r="BA124" s="34">
        <f t="shared" ref="BA124:BF124" si="275">BA122+BA119</f>
        <v>1461604.193206934</v>
      </c>
      <c r="BB124" s="34">
        <f t="shared" si="275"/>
        <v>1479200.313589588</v>
      </c>
      <c r="BC124" s="34">
        <f t="shared" si="275"/>
        <v>1452838.545356195</v>
      </c>
      <c r="BD124" s="34">
        <f t="shared" si="275"/>
        <v>1593730.6884700002</v>
      </c>
      <c r="BE124" s="34">
        <f t="shared" si="275"/>
        <v>1579086</v>
      </c>
      <c r="BF124" s="34">
        <f t="shared" si="275"/>
        <v>1625790</v>
      </c>
      <c r="BG124" s="34">
        <f t="shared" ref="BG124:BL124" si="276">BG122+BG119</f>
        <v>1686408</v>
      </c>
      <c r="BH124" s="34">
        <f t="shared" si="276"/>
        <v>1802022</v>
      </c>
      <c r="BI124" s="34">
        <f t="shared" si="276"/>
        <v>1682871.3913205219</v>
      </c>
      <c r="BJ124" s="34">
        <f t="shared" si="276"/>
        <v>1695281</v>
      </c>
      <c r="BK124" s="34">
        <f t="shared" si="276"/>
        <v>1779197.1716298289</v>
      </c>
      <c r="BL124" s="34">
        <f t="shared" si="276"/>
        <v>2179015.0425397041</v>
      </c>
      <c r="BM124" s="34">
        <f t="shared" ref="BM124:BR124" si="277">BM122+BM119</f>
        <v>2220546.2218100782</v>
      </c>
      <c r="BN124" s="34">
        <f t="shared" si="277"/>
        <v>2259697</v>
      </c>
      <c r="BO124" s="34">
        <f t="shared" si="277"/>
        <v>2249319</v>
      </c>
      <c r="BP124" s="34">
        <f t="shared" si="277"/>
        <v>2173577.7867535953</v>
      </c>
      <c r="BQ124" s="34">
        <f t="shared" si="277"/>
        <v>2185044</v>
      </c>
      <c r="BR124" s="34">
        <f t="shared" si="277"/>
        <v>2149609</v>
      </c>
      <c r="BS124" s="34">
        <f t="shared" ref="BS124:BX124" si="278">BS122+BS119</f>
        <v>2089704.8348989999</v>
      </c>
      <c r="BT124" s="34">
        <f t="shared" si="278"/>
        <v>2256550.9061660003</v>
      </c>
      <c r="BU124" s="34">
        <f t="shared" si="278"/>
        <v>2047344</v>
      </c>
      <c r="BV124" s="34">
        <f t="shared" si="278"/>
        <v>2137431</v>
      </c>
      <c r="BW124" s="34">
        <f t="shared" si="278"/>
        <v>2034646</v>
      </c>
      <c r="BX124" s="34">
        <f t="shared" si="278"/>
        <v>2081152</v>
      </c>
      <c r="BY124" s="34">
        <f>BY122+BY119</f>
        <v>1980042</v>
      </c>
      <c r="BZ124" s="34">
        <f>BZ122+BZ119</f>
        <v>1955106</v>
      </c>
      <c r="CA124" s="34"/>
      <c r="CB124" s="34"/>
      <c r="CC124" s="34"/>
      <c r="CD124" s="34"/>
      <c r="CE124" s="34"/>
      <c r="CF124" s="34"/>
      <c r="CH124" s="34">
        <f>CH122+CH119</f>
        <v>1504330.18822327</v>
      </c>
    </row>
    <row r="125" spans="2:86"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/>
      <c r="CC125" s="38"/>
      <c r="CD125" s="38"/>
      <c r="CE125" s="38"/>
      <c r="CF125" s="38"/>
      <c r="CH125" s="38"/>
    </row>
    <row r="126" spans="2:86">
      <c r="B126" s="17" t="s">
        <v>222</v>
      </c>
      <c r="D126" s="28">
        <v>9574</v>
      </c>
      <c r="E126" s="28">
        <v>20300</v>
      </c>
      <c r="F126" s="7">
        <f>Z126</f>
        <v>16078</v>
      </c>
      <c r="G126" s="7">
        <f>AD126</f>
        <v>49808</v>
      </c>
      <c r="H126" s="7">
        <f>AH126</f>
        <v>11719</v>
      </c>
      <c r="I126" s="7">
        <f>AL126</f>
        <v>37087</v>
      </c>
      <c r="J126" s="7">
        <f>AP126</f>
        <v>12817</v>
      </c>
      <c r="K126" s="7">
        <f>+AT126</f>
        <v>47886</v>
      </c>
      <c r="L126" s="28">
        <v>47886.435579327997</v>
      </c>
      <c r="M126" s="28">
        <v>62121.413908979011</v>
      </c>
      <c r="N126" s="28">
        <v>135508</v>
      </c>
      <c r="O126" s="28">
        <v>80860</v>
      </c>
      <c r="P126" s="28">
        <v>60959</v>
      </c>
      <c r="Q126" s="28">
        <v>71794</v>
      </c>
      <c r="R126" s="28">
        <v>69155</v>
      </c>
      <c r="S126" s="28">
        <v>61056</v>
      </c>
      <c r="T126" s="28">
        <v>137222</v>
      </c>
      <c r="U126" s="7">
        <f>BZ126</f>
        <v>137222</v>
      </c>
      <c r="V126" s="7"/>
      <c r="W126" s="28">
        <v>22385</v>
      </c>
      <c r="X126" s="28">
        <v>14981</v>
      </c>
      <c r="Y126" s="28">
        <v>25764</v>
      </c>
      <c r="Z126" s="28">
        <v>16078</v>
      </c>
      <c r="AA126" s="28">
        <v>37835</v>
      </c>
      <c r="AB126" s="28">
        <v>30819</v>
      </c>
      <c r="AC126" s="28">
        <v>25378</v>
      </c>
      <c r="AD126" s="28">
        <v>49808</v>
      </c>
      <c r="AE126" s="28">
        <v>20368</v>
      </c>
      <c r="AF126" s="28">
        <v>15949</v>
      </c>
      <c r="AG126" s="28">
        <v>25378</v>
      </c>
      <c r="AH126" s="28">
        <v>11719</v>
      </c>
      <c r="AI126" s="28">
        <v>37146</v>
      </c>
      <c r="AJ126" s="28">
        <v>21637</v>
      </c>
      <c r="AK126" s="28">
        <v>21339</v>
      </c>
      <c r="AL126" s="28">
        <v>37087</v>
      </c>
      <c r="AM126" s="28">
        <v>20477</v>
      </c>
      <c r="AN126" s="28">
        <v>21677.441972292003</v>
      </c>
      <c r="AO126" s="28">
        <v>13165</v>
      </c>
      <c r="AP126" s="28">
        <v>12817</v>
      </c>
      <c r="AQ126" s="28">
        <v>16514</v>
      </c>
      <c r="AR126" s="28">
        <v>16418.785471968</v>
      </c>
      <c r="AS126" s="28">
        <v>18294</v>
      </c>
      <c r="AT126" s="28">
        <v>47886</v>
      </c>
      <c r="AU126" s="28">
        <v>51330</v>
      </c>
      <c r="AV126" s="28">
        <v>41672</v>
      </c>
      <c r="AW126" s="28">
        <v>43459</v>
      </c>
      <c r="AX126" s="7">
        <f>M126</f>
        <v>62121.413908979011</v>
      </c>
      <c r="AY126" s="28">
        <v>57104.490895554998</v>
      </c>
      <c r="AZ126" s="28">
        <v>106957.558873784</v>
      </c>
      <c r="BA126" s="28">
        <v>102059.670051658</v>
      </c>
      <c r="BB126" s="7">
        <f>N126</f>
        <v>135508</v>
      </c>
      <c r="BC126" s="28">
        <v>129214</v>
      </c>
      <c r="BD126" s="28">
        <v>105241</v>
      </c>
      <c r="BE126" s="28">
        <v>98344</v>
      </c>
      <c r="BF126" s="7">
        <f>O126</f>
        <v>80860</v>
      </c>
      <c r="BG126" s="28">
        <v>84917</v>
      </c>
      <c r="BH126" s="28">
        <v>61708</v>
      </c>
      <c r="BI126" s="28">
        <v>73015.206727081008</v>
      </c>
      <c r="BJ126" s="7">
        <f>P126</f>
        <v>60959</v>
      </c>
      <c r="BK126" s="28">
        <v>75847.449576157014</v>
      </c>
      <c r="BL126" s="28">
        <v>64942.238504570996</v>
      </c>
      <c r="BM126" s="28">
        <v>60727</v>
      </c>
      <c r="BN126" s="7">
        <f>Q126</f>
        <v>71794</v>
      </c>
      <c r="BO126" s="28">
        <v>58799</v>
      </c>
      <c r="BP126" s="28">
        <v>43656.680242158014</v>
      </c>
      <c r="BQ126" s="28">
        <v>53507</v>
      </c>
      <c r="BR126" s="7">
        <f>R126</f>
        <v>69155</v>
      </c>
      <c r="BS126" s="28">
        <v>50178.834899000001</v>
      </c>
      <c r="BT126" s="28">
        <v>47379.251248</v>
      </c>
      <c r="BU126" s="28">
        <v>60244</v>
      </c>
      <c r="BV126" s="7">
        <f>S126</f>
        <v>61056</v>
      </c>
      <c r="BW126" s="28">
        <v>53237</v>
      </c>
      <c r="BX126" s="28">
        <v>62991</v>
      </c>
      <c r="BY126" s="28">
        <v>61983</v>
      </c>
      <c r="BZ126" s="28">
        <f>T126</f>
        <v>137222</v>
      </c>
      <c r="CA126" s="7"/>
      <c r="CB126"/>
      <c r="CC126" s="28"/>
      <c r="CD126" s="28"/>
      <c r="CE126" s="28"/>
      <c r="CF126" s="28"/>
      <c r="CH126" s="28">
        <v>135508</v>
      </c>
    </row>
    <row r="127" spans="2:86">
      <c r="B127" s="17" t="s">
        <v>223</v>
      </c>
      <c r="D127" s="28">
        <f>744+653+6224</f>
        <v>7621</v>
      </c>
      <c r="E127" s="28">
        <f>989+417+18132</f>
        <v>19538</v>
      </c>
      <c r="F127" s="7">
        <f>Z127</f>
        <v>67718</v>
      </c>
      <c r="G127" s="7">
        <f>AD127</f>
        <v>104760</v>
      </c>
      <c r="H127" s="7">
        <f>AH127</f>
        <v>126703</v>
      </c>
      <c r="I127" s="7">
        <f>AL127</f>
        <v>74460</v>
      </c>
      <c r="J127" s="7">
        <f>AP127</f>
        <v>90916</v>
      </c>
      <c r="K127" s="7">
        <f>+AT127</f>
        <v>72707</v>
      </c>
      <c r="L127" s="28">
        <v>72706.995977024984</v>
      </c>
      <c r="M127" s="28">
        <v>65101.435603689999</v>
      </c>
      <c r="N127" s="28">
        <v>155102</v>
      </c>
      <c r="O127" s="28">
        <v>59853</v>
      </c>
      <c r="P127" s="28">
        <v>31249</v>
      </c>
      <c r="Q127" s="28">
        <v>56640</v>
      </c>
      <c r="R127" s="28">
        <v>33992</v>
      </c>
      <c r="S127" s="28">
        <v>37991</v>
      </c>
      <c r="T127" s="28">
        <v>169996</v>
      </c>
      <c r="U127" s="7">
        <f>BZ127</f>
        <v>169996</v>
      </c>
      <c r="V127" s="7"/>
      <c r="W127" s="28">
        <f>950+831+27186</f>
        <v>28967</v>
      </c>
      <c r="X127" s="28">
        <f>1234+253+16288</f>
        <v>17775</v>
      </c>
      <c r="Y127" s="28">
        <f>1399+54+66897</f>
        <v>68350</v>
      </c>
      <c r="Z127" s="28">
        <f>2015+157+65546</f>
        <v>67718</v>
      </c>
      <c r="AA127" s="28">
        <f>1138+4371+114090</f>
        <v>119599</v>
      </c>
      <c r="AB127" s="28">
        <f>1994+4248+93876</f>
        <v>100118</v>
      </c>
      <c r="AC127" s="28">
        <f>1624+4214+125494</f>
        <v>131332</v>
      </c>
      <c r="AD127" s="28">
        <f>1982+4172+98606</f>
        <v>104760</v>
      </c>
      <c r="AE127" s="28">
        <f>1449+160+117331</f>
        <v>118940</v>
      </c>
      <c r="AF127" s="28">
        <f>1008+757+109362</f>
        <v>111127</v>
      </c>
      <c r="AG127" s="28">
        <f>1999+103507</f>
        <v>105506</v>
      </c>
      <c r="AH127" s="28">
        <f>2603+124100</f>
        <v>126703</v>
      </c>
      <c r="AI127" s="28">
        <f>2345+190163</f>
        <v>192508</v>
      </c>
      <c r="AJ127" s="28">
        <f>2567+131257</f>
        <v>133824</v>
      </c>
      <c r="AK127" s="28">
        <f>2953+79597</f>
        <v>82550</v>
      </c>
      <c r="AL127" s="28">
        <f>2577+71883</f>
        <v>74460</v>
      </c>
      <c r="AM127" s="28">
        <f>2247+105345</f>
        <v>107592</v>
      </c>
      <c r="AN127" s="28">
        <f>2339.973798868+90486</f>
        <v>92825.973798867999</v>
      </c>
      <c r="AO127" s="28">
        <f>1449+92227</f>
        <v>93676</v>
      </c>
      <c r="AP127" s="28">
        <f>15440+75476</f>
        <v>90916</v>
      </c>
      <c r="AQ127" s="28">
        <f>2259+75555</f>
        <v>77814</v>
      </c>
      <c r="AR127" s="28">
        <f>2157.55564481+66357</f>
        <v>68514.555644809996</v>
      </c>
      <c r="AS127" s="28">
        <f>1931+76652</f>
        <v>78583</v>
      </c>
      <c r="AT127" s="28">
        <v>72707</v>
      </c>
      <c r="AU127" s="28">
        <v>72463</v>
      </c>
      <c r="AV127" s="28">
        <v>58445</v>
      </c>
      <c r="AW127" s="28">
        <v>59350</v>
      </c>
      <c r="AX127" s="7">
        <f>M127</f>
        <v>65101.435603689999</v>
      </c>
      <c r="AY127" s="28">
        <v>74216.780432960004</v>
      </c>
      <c r="AZ127" s="28">
        <v>77768.513992875</v>
      </c>
      <c r="BA127" s="28">
        <v>210351.02609328</v>
      </c>
      <c r="BB127" s="7">
        <f>N127</f>
        <v>155102</v>
      </c>
      <c r="BC127" s="28">
        <v>158220</v>
      </c>
      <c r="BD127" s="28">
        <v>110072.8707</v>
      </c>
      <c r="BE127" s="28">
        <v>6360</v>
      </c>
      <c r="BF127" s="7">
        <f>O127</f>
        <v>59853</v>
      </c>
      <c r="BG127" s="28">
        <v>5270</v>
      </c>
      <c r="BH127" s="28">
        <v>77921</v>
      </c>
      <c r="BI127" s="28">
        <v>18435.894724875005</v>
      </c>
      <c r="BJ127" s="7">
        <f>P127</f>
        <v>31249</v>
      </c>
      <c r="BK127" s="28">
        <v>30154.719499401996</v>
      </c>
      <c r="BL127" s="28">
        <v>17654.332913736002</v>
      </c>
      <c r="BM127" s="28">
        <v>62508.186650349999</v>
      </c>
      <c r="BN127" s="7">
        <f>Q127</f>
        <v>56640</v>
      </c>
      <c r="BO127" s="28">
        <v>113230</v>
      </c>
      <c r="BP127" s="28">
        <v>59763.485824636999</v>
      </c>
      <c r="BQ127" s="28">
        <v>110835</v>
      </c>
      <c r="BR127" s="7">
        <f>R127</f>
        <v>33992</v>
      </c>
      <c r="BS127" s="28">
        <v>13724</v>
      </c>
      <c r="BT127" s="28">
        <v>6786.6549180000002</v>
      </c>
      <c r="BU127" s="28">
        <v>21013</v>
      </c>
      <c r="BV127" s="7">
        <f>S127</f>
        <v>37991</v>
      </c>
      <c r="BW127" s="28">
        <v>65615</v>
      </c>
      <c r="BX127" s="28">
        <v>71030</v>
      </c>
      <c r="BY127" s="28">
        <v>91853</v>
      </c>
      <c r="BZ127" s="28">
        <f>T127</f>
        <v>169996</v>
      </c>
      <c r="CA127" s="7"/>
      <c r="CB127"/>
      <c r="CC127" s="28"/>
      <c r="CD127" s="28"/>
      <c r="CE127" s="28"/>
      <c r="CF127" s="28"/>
      <c r="CH127" s="28">
        <v>155102</v>
      </c>
    </row>
    <row r="128" spans="2:86" s="20" customFormat="1">
      <c r="B128" s="20" t="s">
        <v>224</v>
      </c>
      <c r="D128" s="34">
        <f t="shared" ref="D128:M128" si="279">D126+D127</f>
        <v>17195</v>
      </c>
      <c r="E128" s="34">
        <f t="shared" si="279"/>
        <v>39838</v>
      </c>
      <c r="F128" s="34">
        <f t="shared" si="279"/>
        <v>83796</v>
      </c>
      <c r="G128" s="34">
        <f t="shared" si="279"/>
        <v>154568</v>
      </c>
      <c r="H128" s="34">
        <f t="shared" si="279"/>
        <v>138422</v>
      </c>
      <c r="I128" s="34">
        <f t="shared" si="279"/>
        <v>111547</v>
      </c>
      <c r="J128" s="34">
        <f t="shared" si="279"/>
        <v>103733</v>
      </c>
      <c r="K128" s="34">
        <f t="shared" si="279"/>
        <v>120593</v>
      </c>
      <c r="L128" s="34">
        <f t="shared" si="279"/>
        <v>120593.43155635298</v>
      </c>
      <c r="M128" s="34">
        <f t="shared" si="279"/>
        <v>127222.84951266901</v>
      </c>
      <c r="N128" s="34">
        <f t="shared" ref="N128:U128" si="280">N126+N127</f>
        <v>290610</v>
      </c>
      <c r="O128" s="34">
        <f t="shared" si="280"/>
        <v>140713</v>
      </c>
      <c r="P128" s="34">
        <f t="shared" si="280"/>
        <v>92208</v>
      </c>
      <c r="Q128" s="34">
        <f t="shared" si="280"/>
        <v>128434</v>
      </c>
      <c r="R128" s="34">
        <f t="shared" si="280"/>
        <v>103147</v>
      </c>
      <c r="S128" s="34">
        <f>S126+S127</f>
        <v>99047</v>
      </c>
      <c r="T128" s="34">
        <f>T126+T127</f>
        <v>307218</v>
      </c>
      <c r="U128" s="34">
        <f t="shared" si="280"/>
        <v>307218</v>
      </c>
      <c r="V128" s="34"/>
      <c r="W128" s="34">
        <f t="shared" ref="W128:AB128" si="281">W126+W127</f>
        <v>51352</v>
      </c>
      <c r="X128" s="34">
        <f t="shared" si="281"/>
        <v>32756</v>
      </c>
      <c r="Y128" s="34">
        <f t="shared" si="281"/>
        <v>94114</v>
      </c>
      <c r="Z128" s="34">
        <f t="shared" si="281"/>
        <v>83796</v>
      </c>
      <c r="AA128" s="34">
        <f t="shared" si="281"/>
        <v>157434</v>
      </c>
      <c r="AB128" s="34">
        <f t="shared" si="281"/>
        <v>130937</v>
      </c>
      <c r="AC128" s="34">
        <f t="shared" ref="AC128:AL128" si="282">AC126+AC127</f>
        <v>156710</v>
      </c>
      <c r="AD128" s="34">
        <f t="shared" si="282"/>
        <v>154568</v>
      </c>
      <c r="AE128" s="34">
        <f t="shared" si="282"/>
        <v>139308</v>
      </c>
      <c r="AF128" s="34">
        <f t="shared" si="282"/>
        <v>127076</v>
      </c>
      <c r="AG128" s="34">
        <f t="shared" si="282"/>
        <v>130884</v>
      </c>
      <c r="AH128" s="34">
        <f t="shared" si="282"/>
        <v>138422</v>
      </c>
      <c r="AI128" s="34">
        <f t="shared" si="282"/>
        <v>229654</v>
      </c>
      <c r="AJ128" s="34">
        <f t="shared" si="282"/>
        <v>155461</v>
      </c>
      <c r="AK128" s="34">
        <f t="shared" si="282"/>
        <v>103889</v>
      </c>
      <c r="AL128" s="34">
        <f t="shared" si="282"/>
        <v>111547</v>
      </c>
      <c r="AM128" s="34">
        <f t="shared" ref="AM128:AT128" si="283">AM126+AM127</f>
        <v>128069</v>
      </c>
      <c r="AN128" s="34">
        <f t="shared" si="283"/>
        <v>114503.41577116</v>
      </c>
      <c r="AO128" s="34">
        <f t="shared" si="283"/>
        <v>106841</v>
      </c>
      <c r="AP128" s="34">
        <f t="shared" si="283"/>
        <v>103733</v>
      </c>
      <c r="AQ128" s="34">
        <f t="shared" si="283"/>
        <v>94328</v>
      </c>
      <c r="AR128" s="34">
        <f t="shared" si="283"/>
        <v>84933.341116778</v>
      </c>
      <c r="AS128" s="34">
        <f t="shared" si="283"/>
        <v>96877</v>
      </c>
      <c r="AT128" s="34">
        <f t="shared" si="283"/>
        <v>120593</v>
      </c>
      <c r="AU128" s="34">
        <f t="shared" ref="AU128:BA128" si="284">AU126+AU127</f>
        <v>123793</v>
      </c>
      <c r="AV128" s="34">
        <f t="shared" si="284"/>
        <v>100117</v>
      </c>
      <c r="AW128" s="34">
        <f t="shared" si="284"/>
        <v>102809</v>
      </c>
      <c r="AX128" s="34">
        <f t="shared" si="284"/>
        <v>127222.84951266901</v>
      </c>
      <c r="AY128" s="34">
        <f t="shared" si="284"/>
        <v>131321.27132851499</v>
      </c>
      <c r="AZ128" s="34">
        <f t="shared" si="284"/>
        <v>184726.072866659</v>
      </c>
      <c r="BA128" s="34">
        <f t="shared" si="284"/>
        <v>312410.696144938</v>
      </c>
      <c r="BB128" s="34">
        <f t="shared" ref="BB128:BH128" si="285">BB126+BB127</f>
        <v>290610</v>
      </c>
      <c r="BC128" s="34">
        <f t="shared" si="285"/>
        <v>287434</v>
      </c>
      <c r="BD128" s="34">
        <f t="shared" si="285"/>
        <v>215313.8707</v>
      </c>
      <c r="BE128" s="34">
        <f t="shared" si="285"/>
        <v>104704</v>
      </c>
      <c r="BF128" s="34">
        <f t="shared" si="285"/>
        <v>140713</v>
      </c>
      <c r="BG128" s="34">
        <f t="shared" si="285"/>
        <v>90187</v>
      </c>
      <c r="BH128" s="34">
        <f t="shared" si="285"/>
        <v>139629</v>
      </c>
      <c r="BI128" s="34">
        <f t="shared" ref="BI128:BN128" si="286">BI126+BI127</f>
        <v>91451.101451956012</v>
      </c>
      <c r="BJ128" s="34">
        <f t="shared" si="286"/>
        <v>92208</v>
      </c>
      <c r="BK128" s="34">
        <f t="shared" si="286"/>
        <v>106002.16907555901</v>
      </c>
      <c r="BL128" s="34">
        <f t="shared" si="286"/>
        <v>82596.571418306994</v>
      </c>
      <c r="BM128" s="34">
        <f t="shared" si="286"/>
        <v>123235.18665034999</v>
      </c>
      <c r="BN128" s="34">
        <f t="shared" si="286"/>
        <v>128434</v>
      </c>
      <c r="BO128" s="34">
        <f t="shared" ref="BO128:BT128" si="287">BO126+BO127</f>
        <v>172029</v>
      </c>
      <c r="BP128" s="34">
        <f t="shared" si="287"/>
        <v>103420.16606679501</v>
      </c>
      <c r="BQ128" s="34">
        <f t="shared" si="287"/>
        <v>164342</v>
      </c>
      <c r="BR128" s="34">
        <f t="shared" si="287"/>
        <v>103147</v>
      </c>
      <c r="BS128" s="34">
        <f t="shared" si="287"/>
        <v>63902.834899000001</v>
      </c>
      <c r="BT128" s="34">
        <f t="shared" si="287"/>
        <v>54165.906166000001</v>
      </c>
      <c r="BU128" s="34">
        <f t="shared" ref="BU128:BZ128" si="288">BU126+BU127</f>
        <v>81257</v>
      </c>
      <c r="BV128" s="34">
        <f t="shared" si="288"/>
        <v>99047</v>
      </c>
      <c r="BW128" s="34">
        <f t="shared" si="288"/>
        <v>118852</v>
      </c>
      <c r="BX128" s="34">
        <f t="shared" si="288"/>
        <v>134021</v>
      </c>
      <c r="BY128" s="34">
        <f t="shared" si="288"/>
        <v>153836</v>
      </c>
      <c r="BZ128" s="34">
        <f t="shared" si="288"/>
        <v>307218</v>
      </c>
      <c r="CA128" s="34"/>
      <c r="CB128"/>
      <c r="CC128" s="34"/>
      <c r="CD128" s="34"/>
      <c r="CE128" s="34"/>
      <c r="CF128" s="34"/>
      <c r="CH128" s="34">
        <f>CH126+CH127</f>
        <v>290610</v>
      </c>
    </row>
    <row r="129" spans="2:86"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/>
      <c r="CC129" s="38"/>
      <c r="CD129" s="38"/>
      <c r="CE129" s="38"/>
      <c r="CF129" s="38"/>
      <c r="CH129" s="38"/>
    </row>
    <row r="130" spans="2:86">
      <c r="B130" s="17" t="s">
        <v>225</v>
      </c>
      <c r="D130" s="34">
        <f>D124-D128</f>
        <v>599512</v>
      </c>
      <c r="E130" s="34">
        <f t="shared" ref="E130:K130" si="289">E124-E128</f>
        <v>650394</v>
      </c>
      <c r="F130" s="34">
        <f t="shared" si="289"/>
        <v>583567</v>
      </c>
      <c r="G130" s="34">
        <f t="shared" si="289"/>
        <v>605416</v>
      </c>
      <c r="H130" s="34">
        <f t="shared" si="289"/>
        <v>668417</v>
      </c>
      <c r="I130" s="34">
        <f t="shared" si="289"/>
        <v>892979</v>
      </c>
      <c r="J130" s="34">
        <f t="shared" si="289"/>
        <v>970548</v>
      </c>
      <c r="K130" s="34">
        <f t="shared" si="289"/>
        <v>1021083</v>
      </c>
      <c r="L130" s="34">
        <f t="shared" ref="L130:Z130" si="290">L124-L128</f>
        <v>1001060.30775617</v>
      </c>
      <c r="M130" s="34">
        <f t="shared" si="290"/>
        <v>1129899.2320868562</v>
      </c>
      <c r="N130" s="34">
        <f t="shared" si="290"/>
        <v>1188590.313589588</v>
      </c>
      <c r="O130" s="34">
        <f t="shared" si="290"/>
        <v>1485077</v>
      </c>
      <c r="P130" s="34">
        <f t="shared" ref="P130:U130" si="291">P124-P128</f>
        <v>1603073</v>
      </c>
      <c r="Q130" s="34">
        <f t="shared" si="291"/>
        <v>2131263</v>
      </c>
      <c r="R130" s="34">
        <f t="shared" si="291"/>
        <v>2046462</v>
      </c>
      <c r="S130" s="34">
        <f t="shared" si="291"/>
        <v>2038384</v>
      </c>
      <c r="T130" s="34">
        <f t="shared" si="291"/>
        <v>1647888</v>
      </c>
      <c r="U130" s="34">
        <f t="shared" si="291"/>
        <v>1647888</v>
      </c>
      <c r="V130" s="34"/>
      <c r="W130" s="34">
        <f t="shared" si="290"/>
        <v>654424</v>
      </c>
      <c r="X130" s="34">
        <f t="shared" si="290"/>
        <v>610526</v>
      </c>
      <c r="Y130" s="34">
        <f t="shared" si="290"/>
        <v>583937</v>
      </c>
      <c r="Z130" s="34">
        <f t="shared" si="290"/>
        <v>583567</v>
      </c>
      <c r="AA130" s="34">
        <f t="shared" ref="AA130:AH130" si="292">AA124-AA128</f>
        <v>587205</v>
      </c>
      <c r="AB130" s="34">
        <f t="shared" si="292"/>
        <v>613500</v>
      </c>
      <c r="AC130" s="34">
        <f t="shared" si="292"/>
        <v>576430</v>
      </c>
      <c r="AD130" s="34">
        <f t="shared" si="292"/>
        <v>605416</v>
      </c>
      <c r="AE130" s="34">
        <f t="shared" si="292"/>
        <v>577443</v>
      </c>
      <c r="AF130" s="34">
        <f t="shared" si="292"/>
        <v>622158</v>
      </c>
      <c r="AG130" s="34">
        <f t="shared" si="292"/>
        <v>668388</v>
      </c>
      <c r="AH130" s="34">
        <f t="shared" si="292"/>
        <v>668417</v>
      </c>
      <c r="AI130" s="34">
        <f t="shared" ref="AI130:AR130" si="293">AI124-AI128</f>
        <v>719871.07755799999</v>
      </c>
      <c r="AJ130" s="34">
        <f t="shared" si="293"/>
        <v>757490.80537900003</v>
      </c>
      <c r="AK130" s="34">
        <f t="shared" si="293"/>
        <v>841434.94797600002</v>
      </c>
      <c r="AL130" s="34">
        <f t="shared" si="293"/>
        <v>892979</v>
      </c>
      <c r="AM130" s="34">
        <f t="shared" si="293"/>
        <v>889440</v>
      </c>
      <c r="AN130" s="34">
        <f t="shared" si="293"/>
        <v>873633</v>
      </c>
      <c r="AO130" s="34">
        <f t="shared" si="293"/>
        <v>1033806</v>
      </c>
      <c r="AP130" s="34">
        <f t="shared" si="293"/>
        <v>970548</v>
      </c>
      <c r="AQ130" s="34">
        <f t="shared" si="293"/>
        <v>933791</v>
      </c>
      <c r="AR130" s="34">
        <f t="shared" si="293"/>
        <v>968307.2569083249</v>
      </c>
      <c r="AS130" s="34">
        <f t="shared" ref="AS130:AX130" si="294">AS124-AS128</f>
        <v>965528.605602575</v>
      </c>
      <c r="AT130" s="34">
        <f t="shared" si="294"/>
        <v>1021083</v>
      </c>
      <c r="AU130" s="34">
        <f t="shared" si="294"/>
        <v>1079146</v>
      </c>
      <c r="AV130" s="34">
        <f t="shared" si="294"/>
        <v>1184346.9297189871</v>
      </c>
      <c r="AW130" s="34">
        <f t="shared" si="294"/>
        <v>1112967.8649815719</v>
      </c>
      <c r="AX130" s="34">
        <f t="shared" si="294"/>
        <v>1129899.2320868562</v>
      </c>
      <c r="AY130" s="34">
        <f t="shared" ref="AY130:BD130" si="295">AY124-AY128</f>
        <v>1166458.0199606952</v>
      </c>
      <c r="AZ130" s="34">
        <f t="shared" si="295"/>
        <v>1181064.9947968249</v>
      </c>
      <c r="BA130" s="34">
        <f t="shared" si="295"/>
        <v>1149193.497061996</v>
      </c>
      <c r="BB130" s="34">
        <f t="shared" si="295"/>
        <v>1188590.313589588</v>
      </c>
      <c r="BC130" s="34">
        <f t="shared" si="295"/>
        <v>1165404.545356195</v>
      </c>
      <c r="BD130" s="34">
        <f t="shared" si="295"/>
        <v>1378416.8177700001</v>
      </c>
      <c r="BE130" s="34">
        <f t="shared" ref="BE130:BJ130" si="296">BE124-BE128</f>
        <v>1474382</v>
      </c>
      <c r="BF130" s="34">
        <f t="shared" si="296"/>
        <v>1485077</v>
      </c>
      <c r="BG130" s="34">
        <f t="shared" si="296"/>
        <v>1596221</v>
      </c>
      <c r="BH130" s="34">
        <f t="shared" si="296"/>
        <v>1662393</v>
      </c>
      <c r="BI130" s="34">
        <f t="shared" si="296"/>
        <v>1591420.289868566</v>
      </c>
      <c r="BJ130" s="34">
        <f t="shared" si="296"/>
        <v>1603073</v>
      </c>
      <c r="BK130" s="34">
        <f t="shared" ref="BK130:BP130" si="297">BK124-BK128</f>
        <v>1673195.00255427</v>
      </c>
      <c r="BL130" s="34">
        <f t="shared" si="297"/>
        <v>2096418.4711213971</v>
      </c>
      <c r="BM130" s="34">
        <f t="shared" si="297"/>
        <v>2097311.0351597285</v>
      </c>
      <c r="BN130" s="34">
        <f t="shared" si="297"/>
        <v>2131263</v>
      </c>
      <c r="BO130" s="34">
        <f t="shared" si="297"/>
        <v>2077290</v>
      </c>
      <c r="BP130" s="34">
        <f t="shared" si="297"/>
        <v>2070157.6206868002</v>
      </c>
      <c r="BQ130" s="34">
        <f t="shared" ref="BQ130:BV130" si="298">BQ124-BQ128</f>
        <v>2020702</v>
      </c>
      <c r="BR130" s="34">
        <f t="shared" si="298"/>
        <v>2046462</v>
      </c>
      <c r="BS130" s="34">
        <f t="shared" si="298"/>
        <v>2025802</v>
      </c>
      <c r="BT130" s="34">
        <f t="shared" si="298"/>
        <v>2202385.0000000005</v>
      </c>
      <c r="BU130" s="34">
        <f t="shared" si="298"/>
        <v>1966087</v>
      </c>
      <c r="BV130" s="34">
        <f t="shared" si="298"/>
        <v>2038384</v>
      </c>
      <c r="BW130" s="34">
        <f>BW124-BW128</f>
        <v>1915794</v>
      </c>
      <c r="BX130" s="34">
        <f>BX124-BX128</f>
        <v>1947131</v>
      </c>
      <c r="BY130" s="34">
        <f>BY124-BY128</f>
        <v>1826206</v>
      </c>
      <c r="BZ130" s="34">
        <f>BZ124-BZ128</f>
        <v>1647888</v>
      </c>
      <c r="CA130" s="34"/>
      <c r="CB130" s="845"/>
      <c r="CD130" s="34"/>
      <c r="CE130" s="34"/>
      <c r="CF130" s="34"/>
      <c r="CH130" s="34">
        <f>CH124-CH128</f>
        <v>1213720.18822327</v>
      </c>
    </row>
    <row r="131" spans="2:86"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/>
      <c r="CD131" s="38"/>
      <c r="CE131" s="38"/>
      <c r="CF131" s="38"/>
      <c r="CH131" s="38"/>
    </row>
    <row r="132" spans="2:86">
      <c r="B132" s="17" t="s">
        <v>72</v>
      </c>
      <c r="D132" s="97">
        <v>1357238</v>
      </c>
      <c r="E132" s="97">
        <v>1283186</v>
      </c>
      <c r="F132" s="7">
        <f>Z132</f>
        <v>1107929.3999999999</v>
      </c>
      <c r="G132" s="7">
        <f>AD132</f>
        <v>1320141.3999999999</v>
      </c>
      <c r="H132" s="7">
        <f>AH132</f>
        <v>1572177.4</v>
      </c>
      <c r="I132" s="7">
        <f>AL132</f>
        <v>1402288</v>
      </c>
      <c r="J132" s="7">
        <f>AP132</f>
        <v>1399289.9</v>
      </c>
      <c r="K132" s="7">
        <f>+AT132</f>
        <v>1593763.4</v>
      </c>
      <c r="L132" s="7">
        <f>K132</f>
        <v>1593763.4</v>
      </c>
      <c r="M132" s="71">
        <v>1331533.8999999999</v>
      </c>
      <c r="N132" s="71">
        <v>3184000</v>
      </c>
      <c r="O132" s="71">
        <v>2841025.7</v>
      </c>
      <c r="P132" s="71">
        <v>4303000</v>
      </c>
      <c r="Q132" s="71">
        <v>4320000</v>
      </c>
      <c r="R132" s="71">
        <v>7273000</v>
      </c>
      <c r="S132" s="71">
        <v>10980575</v>
      </c>
      <c r="T132" s="71">
        <v>11417637.560000001</v>
      </c>
      <c r="U132" s="7">
        <f>BZ132</f>
        <v>11417637.560000001</v>
      </c>
      <c r="V132" s="7"/>
      <c r="W132" s="97">
        <v>1219407</v>
      </c>
      <c r="X132" s="97">
        <v>1061110</v>
      </c>
      <c r="Y132" s="97">
        <v>1204219</v>
      </c>
      <c r="Z132" s="75">
        <v>1107929.3999999999</v>
      </c>
      <c r="AA132" s="97">
        <v>1166241.5</v>
      </c>
      <c r="AB132" s="97">
        <v>1166241.5</v>
      </c>
      <c r="AC132" s="97">
        <v>1320141.3999999999</v>
      </c>
      <c r="AD132" s="75">
        <v>1320141.3999999999</v>
      </c>
      <c r="AE132" s="97">
        <v>1346724.1</v>
      </c>
      <c r="AF132" s="97">
        <v>1619746.5</v>
      </c>
      <c r="AG132" s="97">
        <v>1409883</v>
      </c>
      <c r="AH132" s="97">
        <v>1572177.4</v>
      </c>
      <c r="AI132" s="97">
        <v>1679107.9</v>
      </c>
      <c r="AJ132" s="97">
        <v>1350521.6</v>
      </c>
      <c r="AK132" s="97">
        <v>1360715</v>
      </c>
      <c r="AL132" s="75">
        <v>1402288</v>
      </c>
      <c r="AM132" s="97">
        <v>1466246.3</v>
      </c>
      <c r="AN132" s="97">
        <v>1255183.6000000001</v>
      </c>
      <c r="AO132" s="97">
        <v>1221805.3</v>
      </c>
      <c r="AP132" s="97">
        <v>1399289.9</v>
      </c>
      <c r="AQ132" s="799">
        <v>1517812.8</v>
      </c>
      <c r="AR132" s="799">
        <v>1556787.4</v>
      </c>
      <c r="AS132" s="799">
        <v>2117222.9</v>
      </c>
      <c r="AT132" s="799">
        <v>1593763.4</v>
      </c>
      <c r="AU132" s="799">
        <v>1429670.1</v>
      </c>
      <c r="AV132" s="799">
        <v>1353319.8</v>
      </c>
      <c r="AW132" s="799">
        <v>1224803</v>
      </c>
      <c r="AX132" s="7">
        <f>M132</f>
        <v>1331533.8999999999</v>
      </c>
      <c r="AY132" s="799">
        <v>1778657.7</v>
      </c>
      <c r="AZ132" s="845">
        <v>1467245.7</v>
      </c>
      <c r="BA132" s="845">
        <v>2339165.6</v>
      </c>
      <c r="BB132" s="7">
        <f>N132</f>
        <v>3184000</v>
      </c>
      <c r="BC132" s="845">
        <v>3054294</v>
      </c>
      <c r="BD132" s="845">
        <v>2296513.7999999998</v>
      </c>
      <c r="BE132" s="845">
        <v>3267610</v>
      </c>
      <c r="BF132" s="7">
        <f>O132</f>
        <v>2841025.7</v>
      </c>
      <c r="BG132" s="845">
        <v>2867946.4</v>
      </c>
      <c r="BH132" s="845">
        <v>3780162.2</v>
      </c>
      <c r="BI132" s="845">
        <v>4021230</v>
      </c>
      <c r="BJ132" s="7">
        <f>P132</f>
        <v>4303000</v>
      </c>
      <c r="BK132" s="845">
        <v>4050000</v>
      </c>
      <c r="BL132" s="845">
        <v>4820000</v>
      </c>
      <c r="BM132" s="845">
        <v>4536000</v>
      </c>
      <c r="BN132" s="7">
        <f>Q132</f>
        <v>4320000</v>
      </c>
      <c r="BO132" s="845">
        <v>5062740</v>
      </c>
      <c r="BP132" s="845">
        <v>5420642.3229212491</v>
      </c>
      <c r="BQ132" s="845">
        <v>6560410</v>
      </c>
      <c r="BR132" s="7">
        <f>R132</f>
        <v>7273000</v>
      </c>
      <c r="BS132" s="845">
        <v>8757000</v>
      </c>
      <c r="BT132" s="845">
        <v>9798000</v>
      </c>
      <c r="BU132" s="845">
        <v>10033000</v>
      </c>
      <c r="BV132" s="7">
        <f>S132</f>
        <v>10980575</v>
      </c>
      <c r="BW132" s="845">
        <v>11567615.800000001</v>
      </c>
      <c r="BX132" s="845">
        <v>11989647.9</v>
      </c>
      <c r="BY132" s="845">
        <v>12178531.1</v>
      </c>
      <c r="BZ132" s="845">
        <f>T132</f>
        <v>11417637.560000001</v>
      </c>
      <c r="CA132" s="7"/>
      <c r="CC132" s="853"/>
      <c r="CD132" s="853"/>
      <c r="CE132" s="853"/>
      <c r="CF132" s="853"/>
      <c r="CH132" s="71">
        <v>3184000</v>
      </c>
    </row>
    <row r="133" spans="2:86">
      <c r="B133" s="17" t="s">
        <v>226</v>
      </c>
      <c r="D133" s="28">
        <v>516231</v>
      </c>
      <c r="E133" s="28">
        <v>533808</v>
      </c>
      <c r="F133" s="7">
        <f>Z133</f>
        <v>544102.68405500008</v>
      </c>
      <c r="G133" s="7">
        <f>AD133</f>
        <v>639662</v>
      </c>
      <c r="H133" s="7">
        <f>AH133</f>
        <v>668088.74298099999</v>
      </c>
      <c r="I133" s="7">
        <f>AL133</f>
        <v>722674</v>
      </c>
      <c r="J133" s="7">
        <f>AP133</f>
        <v>743313</v>
      </c>
      <c r="K133" s="7">
        <f>+AT133</f>
        <v>783483</v>
      </c>
      <c r="L133" s="28">
        <v>783483</v>
      </c>
      <c r="M133" s="71">
        <v>849480</v>
      </c>
      <c r="N133" s="71">
        <v>1021295</v>
      </c>
      <c r="O133" s="71">
        <v>812266</v>
      </c>
      <c r="P133" s="71">
        <v>919350</v>
      </c>
      <c r="Q133" s="71">
        <v>1064443</v>
      </c>
      <c r="R133" s="71">
        <v>1055639</v>
      </c>
      <c r="S133" s="71">
        <v>1534677</v>
      </c>
      <c r="T133" s="71">
        <v>1959634</v>
      </c>
      <c r="U133" s="7">
        <f>BZ133</f>
        <v>1959634</v>
      </c>
      <c r="V133" s="7"/>
      <c r="W133" s="28">
        <v>522849.39100299997</v>
      </c>
      <c r="X133" s="28">
        <v>519821.650479</v>
      </c>
      <c r="Y133" s="28">
        <v>558254.65044800006</v>
      </c>
      <c r="Z133" s="28">
        <v>544102.68405500008</v>
      </c>
      <c r="AA133" s="28">
        <v>619033</v>
      </c>
      <c r="AB133" s="28">
        <v>629021</v>
      </c>
      <c r="AC133" s="28">
        <v>633685</v>
      </c>
      <c r="AD133" s="28">
        <v>639662</v>
      </c>
      <c r="AE133" s="28">
        <v>650074</v>
      </c>
      <c r="AF133" s="28">
        <v>659602</v>
      </c>
      <c r="AG133" s="28">
        <v>652852</v>
      </c>
      <c r="AH133" s="28">
        <v>668088.74298099999</v>
      </c>
      <c r="AI133" s="28">
        <v>705445</v>
      </c>
      <c r="AJ133" s="28">
        <v>692310</v>
      </c>
      <c r="AK133" s="28">
        <v>704690</v>
      </c>
      <c r="AL133" s="28">
        <v>722674</v>
      </c>
      <c r="AM133" s="28">
        <v>695182</v>
      </c>
      <c r="AN133" s="28">
        <v>686296</v>
      </c>
      <c r="AO133" s="28">
        <v>688120</v>
      </c>
      <c r="AP133" s="28">
        <v>743313</v>
      </c>
      <c r="AQ133" s="28">
        <v>750246.30391999998</v>
      </c>
      <c r="AR133" s="28">
        <v>771188.02885300003</v>
      </c>
      <c r="AS133" s="28">
        <v>799768.57497099997</v>
      </c>
      <c r="AT133" s="28">
        <v>783483</v>
      </c>
      <c r="AU133" s="28">
        <v>784887</v>
      </c>
      <c r="AV133" s="28">
        <v>763996</v>
      </c>
      <c r="AW133" s="28">
        <v>832059</v>
      </c>
      <c r="AX133" s="7">
        <f>M133</f>
        <v>849480</v>
      </c>
      <c r="AY133" s="28">
        <v>1040449</v>
      </c>
      <c r="AZ133" s="28">
        <v>870149</v>
      </c>
      <c r="BA133" s="28">
        <v>911205</v>
      </c>
      <c r="BB133" s="7">
        <f>N133</f>
        <v>1021295</v>
      </c>
      <c r="BC133" s="28">
        <v>858446</v>
      </c>
      <c r="BD133" s="28">
        <v>842970</v>
      </c>
      <c r="BE133" s="28">
        <v>778411</v>
      </c>
      <c r="BF133" s="7">
        <f>O133</f>
        <v>812266</v>
      </c>
      <c r="BG133" s="28">
        <v>820943</v>
      </c>
      <c r="BH133" s="28">
        <v>835516</v>
      </c>
      <c r="BI133" s="28">
        <v>887636</v>
      </c>
      <c r="BJ133" s="7">
        <f>P133</f>
        <v>919350</v>
      </c>
      <c r="BK133" s="28">
        <v>946108</v>
      </c>
      <c r="BL133" s="28">
        <v>1005595</v>
      </c>
      <c r="BM133" s="28">
        <v>1021997.91</v>
      </c>
      <c r="BN133" s="7">
        <f>Q133</f>
        <v>1064443</v>
      </c>
      <c r="BO133" s="28">
        <v>1030533</v>
      </c>
      <c r="BP133" s="28">
        <v>1034092</v>
      </c>
      <c r="BQ133" s="28">
        <v>1035469</v>
      </c>
      <c r="BR133" s="7">
        <f>R133</f>
        <v>1055639</v>
      </c>
      <c r="BS133" s="28">
        <v>1120335</v>
      </c>
      <c r="BT133" s="28">
        <v>1103030</v>
      </c>
      <c r="BU133" s="28">
        <v>1514323</v>
      </c>
      <c r="BV133" s="7">
        <f>S133</f>
        <v>1534677</v>
      </c>
      <c r="BW133" s="28">
        <v>1607482</v>
      </c>
      <c r="BX133" s="28">
        <v>1603540</v>
      </c>
      <c r="BY133" s="28">
        <v>1690131</v>
      </c>
      <c r="BZ133" s="845">
        <f>T133</f>
        <v>1959634</v>
      </c>
      <c r="CA133" s="7"/>
      <c r="CB133"/>
      <c r="CC133" s="28"/>
      <c r="CD133" s="28"/>
      <c r="CE133" s="28"/>
      <c r="CF133" s="28"/>
      <c r="CH133" s="71">
        <v>1021295</v>
      </c>
    </row>
    <row r="134" spans="2:86" s="20" customFormat="1">
      <c r="B134" s="20" t="s">
        <v>227</v>
      </c>
      <c r="C134" s="17"/>
      <c r="D134" s="106">
        <f t="shared" ref="D134:J134" si="299">D133+D124</f>
        <v>1132938</v>
      </c>
      <c r="E134" s="106">
        <f t="shared" si="299"/>
        <v>1224040</v>
      </c>
      <c r="F134" s="106">
        <f t="shared" si="299"/>
        <v>1211465.6840550001</v>
      </c>
      <c r="G134" s="106">
        <f t="shared" si="299"/>
        <v>1399646</v>
      </c>
      <c r="H134" s="106">
        <f t="shared" si="299"/>
        <v>1474927.7429809999</v>
      </c>
      <c r="I134" s="106">
        <f t="shared" si="299"/>
        <v>1727200</v>
      </c>
      <c r="J134" s="106">
        <f t="shared" si="299"/>
        <v>1817594</v>
      </c>
      <c r="K134" s="106">
        <f t="shared" ref="K134:R134" si="300">K133+K124</f>
        <v>1925159</v>
      </c>
      <c r="L134" s="106">
        <f t="shared" si="300"/>
        <v>1905136.739312523</v>
      </c>
      <c r="M134" s="106">
        <f t="shared" si="300"/>
        <v>2106602.0815995252</v>
      </c>
      <c r="N134" s="106">
        <f t="shared" si="300"/>
        <v>2500495.3135895878</v>
      </c>
      <c r="O134" s="106">
        <f t="shared" si="300"/>
        <v>2438056</v>
      </c>
      <c r="P134" s="106">
        <f t="shared" si="300"/>
        <v>2614631</v>
      </c>
      <c r="Q134" s="1154">
        <f t="shared" si="300"/>
        <v>3324140</v>
      </c>
      <c r="R134" s="1154">
        <f t="shared" si="300"/>
        <v>3205248</v>
      </c>
      <c r="S134" s="1154">
        <f>S133+S124</f>
        <v>3672108</v>
      </c>
      <c r="T134" s="1154">
        <f>T133+T124</f>
        <v>3914740</v>
      </c>
      <c r="U134" s="1154">
        <f>U133+U124</f>
        <v>3914740</v>
      </c>
      <c r="V134" s="1155"/>
      <c r="W134" s="1154">
        <f t="shared" ref="W134:AP134" si="301">W133+W124</f>
        <v>1228625.3910030001</v>
      </c>
      <c r="X134" s="1154">
        <f t="shared" si="301"/>
        <v>1163103.6504790001</v>
      </c>
      <c r="Y134" s="1154">
        <f t="shared" si="301"/>
        <v>1236305.6504480001</v>
      </c>
      <c r="Z134" s="1154">
        <f t="shared" si="301"/>
        <v>1211465.6840550001</v>
      </c>
      <c r="AA134" s="1154">
        <f t="shared" si="301"/>
        <v>1363672</v>
      </c>
      <c r="AB134" s="1154">
        <f t="shared" si="301"/>
        <v>1373458</v>
      </c>
      <c r="AC134" s="1154">
        <f t="shared" si="301"/>
        <v>1366825</v>
      </c>
      <c r="AD134" s="1154">
        <f t="shared" si="301"/>
        <v>1399646</v>
      </c>
      <c r="AE134" s="1154">
        <f t="shared" si="301"/>
        <v>1366825</v>
      </c>
      <c r="AF134" s="1154">
        <f t="shared" si="301"/>
        <v>1408836</v>
      </c>
      <c r="AG134" s="1154">
        <f t="shared" si="301"/>
        <v>1452124</v>
      </c>
      <c r="AH134" s="1154">
        <f t="shared" si="301"/>
        <v>1474927.7429809999</v>
      </c>
      <c r="AI134" s="1154">
        <f t="shared" si="301"/>
        <v>1654970.0775580001</v>
      </c>
      <c r="AJ134" s="1154">
        <f t="shared" si="301"/>
        <v>1605261.805379</v>
      </c>
      <c r="AK134" s="1154">
        <f t="shared" si="301"/>
        <v>1650013.9479760001</v>
      </c>
      <c r="AL134" s="1154">
        <f t="shared" si="301"/>
        <v>1727200</v>
      </c>
      <c r="AM134" s="1154">
        <f t="shared" si="301"/>
        <v>1712691</v>
      </c>
      <c r="AN134" s="1154">
        <f t="shared" si="301"/>
        <v>1674432.41577116</v>
      </c>
      <c r="AO134" s="1154">
        <f t="shared" si="301"/>
        <v>1828767</v>
      </c>
      <c r="AP134" s="1154">
        <f t="shared" si="301"/>
        <v>1817594</v>
      </c>
      <c r="AQ134" s="1154">
        <f t="shared" ref="AQ134:AV134" si="302">AQ133+AQ124</f>
        <v>1778365.3039199999</v>
      </c>
      <c r="AR134" s="1154">
        <f t="shared" si="302"/>
        <v>1824428.6268781028</v>
      </c>
      <c r="AS134" s="1154">
        <f t="shared" si="302"/>
        <v>1862174.180573575</v>
      </c>
      <c r="AT134" s="1154">
        <f t="shared" si="302"/>
        <v>1925159</v>
      </c>
      <c r="AU134" s="1154">
        <f t="shared" si="302"/>
        <v>1987826</v>
      </c>
      <c r="AV134" s="1154">
        <f t="shared" si="302"/>
        <v>2048459.9297189871</v>
      </c>
      <c r="AW134" s="1154">
        <f t="shared" ref="AW134:BB134" si="303">AW133+AW124</f>
        <v>2047835.8649815719</v>
      </c>
      <c r="AX134" s="1154">
        <f t="shared" si="303"/>
        <v>2106602.0815995252</v>
      </c>
      <c r="AY134" s="1154">
        <f t="shared" si="303"/>
        <v>2338228.2912892103</v>
      </c>
      <c r="AZ134" s="1154">
        <f t="shared" si="303"/>
        <v>2235940.0676634838</v>
      </c>
      <c r="BA134" s="1154">
        <f t="shared" si="303"/>
        <v>2372809.1932069343</v>
      </c>
      <c r="BB134" s="1154">
        <f t="shared" si="303"/>
        <v>2500495.3135895878</v>
      </c>
      <c r="BC134" s="1154">
        <f t="shared" ref="BC134:BH134" si="304">BC133+BC124</f>
        <v>2311284.545356195</v>
      </c>
      <c r="BD134" s="1154">
        <f t="shared" si="304"/>
        <v>2436700.6884700004</v>
      </c>
      <c r="BE134" s="1154">
        <f t="shared" si="304"/>
        <v>2357497</v>
      </c>
      <c r="BF134" s="1154">
        <f t="shared" si="304"/>
        <v>2438056</v>
      </c>
      <c r="BG134" s="1154">
        <f t="shared" si="304"/>
        <v>2507351</v>
      </c>
      <c r="BH134" s="1154">
        <f t="shared" si="304"/>
        <v>2637538</v>
      </c>
      <c r="BI134" s="1154">
        <f t="shared" ref="BI134:BN134" si="305">BI133+BI124</f>
        <v>2570507.3913205219</v>
      </c>
      <c r="BJ134" s="1154">
        <f t="shared" si="305"/>
        <v>2614631</v>
      </c>
      <c r="BK134" s="1154">
        <f t="shared" si="305"/>
        <v>2725305.1716298289</v>
      </c>
      <c r="BL134" s="1154">
        <f t="shared" si="305"/>
        <v>3184610.0425397041</v>
      </c>
      <c r="BM134" s="1154">
        <f t="shared" si="305"/>
        <v>3242544.1318100784</v>
      </c>
      <c r="BN134" s="1154">
        <f t="shared" si="305"/>
        <v>3324140</v>
      </c>
      <c r="BO134" s="1154">
        <f t="shared" ref="BO134:BT134" si="306">BO133+BO124</f>
        <v>3279852</v>
      </c>
      <c r="BP134" s="1154">
        <f t="shared" si="306"/>
        <v>3207669.7867535953</v>
      </c>
      <c r="BQ134" s="1154">
        <f t="shared" si="306"/>
        <v>3220513</v>
      </c>
      <c r="BR134" s="1154">
        <f t="shared" si="306"/>
        <v>3205248</v>
      </c>
      <c r="BS134" s="1154">
        <f t="shared" si="306"/>
        <v>3210039.8348989999</v>
      </c>
      <c r="BT134" s="1154">
        <f t="shared" si="306"/>
        <v>3359580.9061660003</v>
      </c>
      <c r="BU134" s="1154">
        <f t="shared" ref="BU134:BZ134" si="307">BU133+BU124</f>
        <v>3561667</v>
      </c>
      <c r="BV134" s="1154">
        <f t="shared" si="307"/>
        <v>3672108</v>
      </c>
      <c r="BW134" s="1154">
        <f t="shared" si="307"/>
        <v>3642128</v>
      </c>
      <c r="BX134" s="1154">
        <f t="shared" si="307"/>
        <v>3684692</v>
      </c>
      <c r="BY134" s="1154">
        <f t="shared" si="307"/>
        <v>3670173</v>
      </c>
      <c r="BZ134" s="845">
        <f t="shared" si="307"/>
        <v>3914740</v>
      </c>
      <c r="CA134" s="106"/>
      <c r="CB134"/>
      <c r="CC134" s="854"/>
      <c r="CD134" s="854"/>
      <c r="CE134" s="854"/>
      <c r="CF134" s="854"/>
      <c r="CH134" s="106">
        <f>CH133+CH124</f>
        <v>2525625.1882232698</v>
      </c>
    </row>
    <row r="135" spans="2:86" s="20" customFormat="1">
      <c r="B135" s="20" t="s">
        <v>228</v>
      </c>
      <c r="D135" s="1124">
        <f t="shared" ref="D135:J135" si="308">D132+D130</f>
        <v>1956750</v>
      </c>
      <c r="E135" s="1124">
        <f t="shared" si="308"/>
        <v>1933580</v>
      </c>
      <c r="F135" s="1124">
        <f t="shared" si="308"/>
        <v>1691496.4</v>
      </c>
      <c r="G135" s="1124">
        <f t="shared" si="308"/>
        <v>1925557.4</v>
      </c>
      <c r="H135" s="1124">
        <f t="shared" si="308"/>
        <v>2240594.4</v>
      </c>
      <c r="I135" s="1124">
        <f t="shared" si="308"/>
        <v>2295267</v>
      </c>
      <c r="J135" s="1124">
        <f t="shared" si="308"/>
        <v>2369837.9</v>
      </c>
      <c r="K135" s="1124">
        <f t="shared" ref="K135:Q135" si="309">K132+K130</f>
        <v>2614846.4</v>
      </c>
      <c r="L135" s="1124">
        <f t="shared" si="309"/>
        <v>2594823.7077561701</v>
      </c>
      <c r="M135" s="1124">
        <f t="shared" si="309"/>
        <v>2461433.1320868563</v>
      </c>
      <c r="N135" s="1124">
        <f t="shared" si="309"/>
        <v>4372590.3135895878</v>
      </c>
      <c r="O135" s="1124">
        <f t="shared" si="309"/>
        <v>4326102.7</v>
      </c>
      <c r="P135" s="1124">
        <f t="shared" si="309"/>
        <v>5906073</v>
      </c>
      <c r="Q135" s="1156">
        <f t="shared" si="309"/>
        <v>6451263</v>
      </c>
      <c r="R135" s="1156">
        <f>R132+R130</f>
        <v>9319462</v>
      </c>
      <c r="S135" s="1156">
        <f>S132+S130</f>
        <v>13018959</v>
      </c>
      <c r="T135" s="1156">
        <f>T132+T130</f>
        <v>13065525.560000001</v>
      </c>
      <c r="U135" s="1156">
        <f>U132+U130</f>
        <v>13065525.560000001</v>
      </c>
      <c r="V135" s="1157"/>
      <c r="W135" s="1156">
        <f t="shared" ref="W135:AP135" si="310">W132+W130</f>
        <v>1873831</v>
      </c>
      <c r="X135" s="1156">
        <f t="shared" si="310"/>
        <v>1671636</v>
      </c>
      <c r="Y135" s="1156">
        <f t="shared" si="310"/>
        <v>1788156</v>
      </c>
      <c r="Z135" s="1156">
        <f t="shared" si="310"/>
        <v>1691496.4</v>
      </c>
      <c r="AA135" s="1156">
        <f t="shared" si="310"/>
        <v>1753446.5</v>
      </c>
      <c r="AB135" s="1156">
        <f t="shared" si="310"/>
        <v>1779741.5</v>
      </c>
      <c r="AC135" s="1156">
        <f t="shared" si="310"/>
        <v>1896571.4</v>
      </c>
      <c r="AD135" s="1156">
        <f t="shared" si="310"/>
        <v>1925557.4</v>
      </c>
      <c r="AE135" s="1156">
        <f t="shared" si="310"/>
        <v>1924167.1</v>
      </c>
      <c r="AF135" s="1156">
        <f t="shared" si="310"/>
        <v>2241904.5</v>
      </c>
      <c r="AG135" s="1156">
        <f t="shared" si="310"/>
        <v>2078271</v>
      </c>
      <c r="AH135" s="1156">
        <f t="shared" si="310"/>
        <v>2240594.4</v>
      </c>
      <c r="AI135" s="1156">
        <f t="shared" si="310"/>
        <v>2398978.977558</v>
      </c>
      <c r="AJ135" s="1156">
        <f t="shared" si="310"/>
        <v>2108012.4053790001</v>
      </c>
      <c r="AK135" s="1156">
        <f t="shared" si="310"/>
        <v>2202149.9479760001</v>
      </c>
      <c r="AL135" s="1156">
        <f t="shared" si="310"/>
        <v>2295267</v>
      </c>
      <c r="AM135" s="1156">
        <f t="shared" si="310"/>
        <v>2355686.2999999998</v>
      </c>
      <c r="AN135" s="1156">
        <f t="shared" si="310"/>
        <v>2128816.6</v>
      </c>
      <c r="AO135" s="1156">
        <f t="shared" si="310"/>
        <v>2255611.2999999998</v>
      </c>
      <c r="AP135" s="1156">
        <f t="shared" si="310"/>
        <v>2369837.9</v>
      </c>
      <c r="AQ135" s="1156">
        <f t="shared" ref="AQ135:AV135" si="311">AQ132+AQ130</f>
        <v>2451603.7999999998</v>
      </c>
      <c r="AR135" s="1156">
        <f t="shared" si="311"/>
        <v>2525094.6569083249</v>
      </c>
      <c r="AS135" s="1156">
        <f t="shared" si="311"/>
        <v>3082751.5056025749</v>
      </c>
      <c r="AT135" s="1156">
        <f t="shared" si="311"/>
        <v>2614846.4</v>
      </c>
      <c r="AU135" s="1156">
        <f t="shared" si="311"/>
        <v>2508816.1</v>
      </c>
      <c r="AV135" s="1156">
        <f t="shared" si="311"/>
        <v>2537666.7297189869</v>
      </c>
      <c r="AW135" s="1156">
        <f t="shared" ref="AW135:BB135" si="312">AW132+AW130</f>
        <v>2337770.8649815721</v>
      </c>
      <c r="AX135" s="1156">
        <f t="shared" si="312"/>
        <v>2461433.1320868563</v>
      </c>
      <c r="AY135" s="1156">
        <f t="shared" si="312"/>
        <v>2945115.7199606951</v>
      </c>
      <c r="AZ135" s="1156">
        <f t="shared" si="312"/>
        <v>2648310.6947968248</v>
      </c>
      <c r="BA135" s="1156">
        <f t="shared" si="312"/>
        <v>3488359.0970619963</v>
      </c>
      <c r="BB135" s="1156">
        <f t="shared" si="312"/>
        <v>4372590.3135895878</v>
      </c>
      <c r="BC135" s="1156">
        <f t="shared" ref="BC135:BH135" si="313">BC132+BC130</f>
        <v>4219698.5453561954</v>
      </c>
      <c r="BD135" s="1156">
        <f t="shared" si="313"/>
        <v>3674930.6177699999</v>
      </c>
      <c r="BE135" s="1156">
        <f t="shared" si="313"/>
        <v>4741992</v>
      </c>
      <c r="BF135" s="1156">
        <f t="shared" si="313"/>
        <v>4326102.7</v>
      </c>
      <c r="BG135" s="1156">
        <f t="shared" si="313"/>
        <v>4464167.4000000004</v>
      </c>
      <c r="BH135" s="1156">
        <f t="shared" si="313"/>
        <v>5442555.2000000002</v>
      </c>
      <c r="BI135" s="1156">
        <f t="shared" ref="BI135:BN135" si="314">BI132+BI130</f>
        <v>5612650.2898685662</v>
      </c>
      <c r="BJ135" s="1156">
        <f t="shared" si="314"/>
        <v>5906073</v>
      </c>
      <c r="BK135" s="1156">
        <f t="shared" si="314"/>
        <v>5723195.0025542695</v>
      </c>
      <c r="BL135" s="1156">
        <f t="shared" si="314"/>
        <v>6916418.4711213969</v>
      </c>
      <c r="BM135" s="1156">
        <f t="shared" si="314"/>
        <v>6633311.0351597285</v>
      </c>
      <c r="BN135" s="1156">
        <f t="shared" si="314"/>
        <v>6451263</v>
      </c>
      <c r="BO135" s="1156">
        <f t="shared" ref="BO135:BT135" si="315">BO132+BO130</f>
        <v>7140030</v>
      </c>
      <c r="BP135" s="1156">
        <f t="shared" si="315"/>
        <v>7490799.9436080493</v>
      </c>
      <c r="BQ135" s="1156">
        <f t="shared" si="315"/>
        <v>8581112</v>
      </c>
      <c r="BR135" s="1156">
        <f t="shared" si="315"/>
        <v>9319462</v>
      </c>
      <c r="BS135" s="1156">
        <f t="shared" si="315"/>
        <v>10782802</v>
      </c>
      <c r="BT135" s="1156">
        <f t="shared" si="315"/>
        <v>12000385</v>
      </c>
      <c r="BU135" s="1156">
        <f t="shared" ref="BU135:BZ135" si="316">BU132+BU130</f>
        <v>11999087</v>
      </c>
      <c r="BV135" s="1156">
        <f t="shared" si="316"/>
        <v>13018959</v>
      </c>
      <c r="BW135" s="1156">
        <f t="shared" si="316"/>
        <v>13483409.800000001</v>
      </c>
      <c r="BX135" s="1156">
        <f t="shared" si="316"/>
        <v>13936778.9</v>
      </c>
      <c r="BY135" s="1156">
        <f t="shared" si="316"/>
        <v>14004737.1</v>
      </c>
      <c r="BZ135" s="1156">
        <f t="shared" si="316"/>
        <v>13065525.560000001</v>
      </c>
      <c r="CA135" s="1124"/>
      <c r="CB135" s="893"/>
      <c r="CC135" s="1125"/>
      <c r="CD135" s="1125"/>
      <c r="CE135" s="1125"/>
      <c r="CF135" s="1125"/>
      <c r="CH135" s="1124">
        <f>CH132+CH130</f>
        <v>4397720.1882232698</v>
      </c>
    </row>
    <row r="136" spans="2:86">
      <c r="CB136"/>
      <c r="CC136"/>
      <c r="CD136"/>
      <c r="CE136"/>
      <c r="CF136"/>
    </row>
    <row r="137" spans="2:86">
      <c r="B137" s="25" t="s">
        <v>229</v>
      </c>
      <c r="C137" s="24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B137"/>
      <c r="CC137"/>
      <c r="CD137"/>
      <c r="CE137"/>
      <c r="CF137"/>
      <c r="CH137" s="26"/>
    </row>
    <row r="138" spans="2:86">
      <c r="B138" s="20"/>
      <c r="AY138" s="17" t="s">
        <v>230</v>
      </c>
      <c r="CB138"/>
      <c r="CC138"/>
      <c r="CD138"/>
      <c r="CE138"/>
      <c r="CF138"/>
    </row>
    <row r="139" spans="2:86">
      <c r="B139" s="17" t="s">
        <v>231</v>
      </c>
      <c r="D139" s="44">
        <f t="shared" ref="D139:U139" si="317">D119/D100</f>
        <v>0</v>
      </c>
      <c r="E139" s="44">
        <f t="shared" si="317"/>
        <v>0</v>
      </c>
      <c r="F139" s="44">
        <f t="shared" si="317"/>
        <v>0</v>
      </c>
      <c r="G139" s="44">
        <f t="shared" si="317"/>
        <v>0</v>
      </c>
      <c r="H139" s="44">
        <f t="shared" si="317"/>
        <v>0</v>
      </c>
      <c r="I139" s="44">
        <f t="shared" si="317"/>
        <v>0.29807833014323259</v>
      </c>
      <c r="J139" s="44">
        <f t="shared" si="317"/>
        <v>0.19254199793379148</v>
      </c>
      <c r="K139" s="44">
        <f t="shared" si="317"/>
        <v>0.23238384256385497</v>
      </c>
      <c r="L139" s="44">
        <f t="shared" si="317"/>
        <v>0.232202546057311</v>
      </c>
      <c r="M139" s="44">
        <f t="shared" si="317"/>
        <v>0.19262413631495759</v>
      </c>
      <c r="N139" s="44">
        <f t="shared" si="317"/>
        <v>0.83323170912596844</v>
      </c>
      <c r="O139" s="44">
        <f t="shared" si="317"/>
        <v>0.72184088411680436</v>
      </c>
      <c r="P139" s="44">
        <f t="shared" si="317"/>
        <v>0.63797467918768269</v>
      </c>
      <c r="Q139" s="44">
        <f t="shared" si="317"/>
        <v>0.84737847294829438</v>
      </c>
      <c r="R139" s="44">
        <f t="shared" si="317"/>
        <v>0.71969284550943469</v>
      </c>
      <c r="S139" s="44">
        <f t="shared" si="317"/>
        <v>0.62513976270340588</v>
      </c>
      <c r="T139" s="44">
        <f t="shared" si="317"/>
        <v>0.61063136402468587</v>
      </c>
      <c r="U139" s="44">
        <f t="shared" si="317"/>
        <v>0.61063136402468587</v>
      </c>
      <c r="V139" s="44"/>
      <c r="W139" s="104"/>
      <c r="X139" s="104"/>
      <c r="Y139" s="104"/>
      <c r="Z139" s="44">
        <f t="shared" ref="Z139:AX139" si="318">Z119/Z100</f>
        <v>0</v>
      </c>
      <c r="AA139" s="44">
        <f t="shared" si="318"/>
        <v>0</v>
      </c>
      <c r="AB139" s="44">
        <f t="shared" si="318"/>
        <v>0</v>
      </c>
      <c r="AC139" s="44">
        <f t="shared" si="318"/>
        <v>0</v>
      </c>
      <c r="AD139" s="44">
        <f t="shared" si="318"/>
        <v>0</v>
      </c>
      <c r="AE139" s="44">
        <f t="shared" si="318"/>
        <v>0</v>
      </c>
      <c r="AF139" s="44">
        <f t="shared" si="318"/>
        <v>0</v>
      </c>
      <c r="AG139" s="44">
        <f t="shared" si="318"/>
        <v>0</v>
      </c>
      <c r="AH139" s="44">
        <f t="shared" si="318"/>
        <v>0</v>
      </c>
      <c r="AI139" s="44">
        <f t="shared" si="318"/>
        <v>0.13091945373681746</v>
      </c>
      <c r="AJ139" s="44">
        <f t="shared" si="318"/>
        <v>0.16293587531208908</v>
      </c>
      <c r="AK139" s="44">
        <f t="shared" si="318"/>
        <v>0.16931138705919122</v>
      </c>
      <c r="AL139" s="44">
        <f t="shared" si="318"/>
        <v>0.29807833014323259</v>
      </c>
      <c r="AM139" s="44">
        <f t="shared" si="318"/>
        <v>0.27748748075057705</v>
      </c>
      <c r="AN139" s="44">
        <f t="shared" si="318"/>
        <v>0.28013813724108366</v>
      </c>
      <c r="AO139" s="44">
        <f t="shared" si="318"/>
        <v>0.28219225957134203</v>
      </c>
      <c r="AP139" s="44">
        <f t="shared" si="318"/>
        <v>0.19254199793379148</v>
      </c>
      <c r="AQ139" s="44">
        <f t="shared" si="318"/>
        <v>0.19917255103668574</v>
      </c>
      <c r="AR139" s="44">
        <f t="shared" si="318"/>
        <v>0.20235911219396471</v>
      </c>
      <c r="AS139" s="44">
        <f t="shared" si="318"/>
        <v>0.19240366580271601</v>
      </c>
      <c r="AT139" s="44">
        <f t="shared" si="318"/>
        <v>0.23238384256385497</v>
      </c>
      <c r="AU139" s="44">
        <f t="shared" si="318"/>
        <v>0.24452987751618635</v>
      </c>
      <c r="AV139" s="44">
        <f t="shared" si="318"/>
        <v>0.26700009831939164</v>
      </c>
      <c r="AW139" s="44">
        <f t="shared" si="318"/>
        <v>0.26853498202104542</v>
      </c>
      <c r="AX139" s="44">
        <f t="shared" si="318"/>
        <v>0.19262413631495759</v>
      </c>
      <c r="AY139" s="841">
        <f>AY119/(4*AY59)</f>
        <v>0.83914561578181612</v>
      </c>
      <c r="AZ139" s="841">
        <f>AZ119/(4*AZ59)</f>
        <v>0.84739693880205957</v>
      </c>
      <c r="BA139" s="841">
        <f>BA119/(4*BA59)</f>
        <v>0.81449488168683026</v>
      </c>
      <c r="BB139" s="44">
        <f>BB119/BB100</f>
        <v>0.83323170912596844</v>
      </c>
      <c r="BC139" s="841">
        <f>BC119/(4*BC59)</f>
        <v>0.72662311394699552</v>
      </c>
      <c r="BD139" s="841">
        <f>BD119/(4*BD59)</f>
        <v>0.64878083775731543</v>
      </c>
      <c r="BE139" s="841">
        <f>BE119/(4*BE59)</f>
        <v>0.67259006216280581</v>
      </c>
      <c r="BF139" s="44">
        <f>BF119/BF100</f>
        <v>0.72184088411680436</v>
      </c>
      <c r="BG139" s="841">
        <f>BG119/(4*BG59)</f>
        <v>0.63346134016710387</v>
      </c>
      <c r="BH139" s="841">
        <f>BH119/(4*BH59)</f>
        <v>0.62791328106608069</v>
      </c>
      <c r="BI139" s="44">
        <f>BI119/BI100</f>
        <v>0.66331865244491683</v>
      </c>
      <c r="BJ139" s="44">
        <f>BJ119/BJ100</f>
        <v>0.63797467918768269</v>
      </c>
      <c r="BK139" s="841">
        <f>BK119/(4*BK59)</f>
        <v>0.72450745902153946</v>
      </c>
      <c r="BL139" s="841">
        <f>BL119/(4*BL59)</f>
        <v>0.74308945094208767</v>
      </c>
      <c r="BM139" s="44">
        <f>BM119/BM100</f>
        <v>0.80103683312788432</v>
      </c>
      <c r="BN139" s="44">
        <f>BN119/BN100</f>
        <v>0.84737847294829438</v>
      </c>
      <c r="BO139" s="841">
        <f>BO119/(4*BO59)</f>
        <v>0.7497721068970582</v>
      </c>
      <c r="BP139" s="841">
        <f>BP119/(4*BP59)</f>
        <v>0.76107249006712463</v>
      </c>
      <c r="BQ139" s="841">
        <f>BQ119/(4*BQ59)</f>
        <v>0.74864061234787527</v>
      </c>
      <c r="BR139" s="44">
        <f t="shared" ref="BR139:BZ139" si="319">BR119/BR100</f>
        <v>0.71969284550943469</v>
      </c>
      <c r="BS139" s="44">
        <f t="shared" si="319"/>
        <v>0.73507639972143335</v>
      </c>
      <c r="BT139" s="44">
        <f t="shared" si="319"/>
        <v>0.81104558942486105</v>
      </c>
      <c r="BU139" s="44">
        <f t="shared" si="319"/>
        <v>0.59079946557617957</v>
      </c>
      <c r="BV139" s="44">
        <f t="shared" si="319"/>
        <v>0.62513976270340588</v>
      </c>
      <c r="BW139" s="44">
        <f t="shared" si="319"/>
        <v>0.60286380189630862</v>
      </c>
      <c r="BX139" s="44">
        <f t="shared" si="319"/>
        <v>0.59688529055372996</v>
      </c>
      <c r="BY139" s="44">
        <f t="shared" si="319"/>
        <v>0.60393265411283359</v>
      </c>
      <c r="BZ139" s="44">
        <f t="shared" si="319"/>
        <v>0.61063136402468587</v>
      </c>
      <c r="CA139" s="44"/>
      <c r="CB139"/>
      <c r="CC139" s="841"/>
      <c r="CD139" s="841"/>
      <c r="CE139" s="841"/>
      <c r="CF139" s="841"/>
      <c r="CH139" s="44">
        <f>CH119/CH100</f>
        <v>0.96148071878882702</v>
      </c>
    </row>
    <row r="140" spans="2:86" s="20" customFormat="1">
      <c r="B140" s="20" t="s">
        <v>69</v>
      </c>
      <c r="D140" s="45">
        <f t="shared" ref="D140:U140" si="320">(D119-D128)/D100</f>
        <v>-8.5667453840711838E-2</v>
      </c>
      <c r="E140" s="45">
        <f t="shared" si="320"/>
        <v>-0.1790206396354698</v>
      </c>
      <c r="F140" s="45">
        <f t="shared" si="320"/>
        <v>-0.35911545384417587</v>
      </c>
      <c r="G140" s="45">
        <f t="shared" si="320"/>
        <v>-0.55514132816147688</v>
      </c>
      <c r="H140" s="45">
        <f t="shared" si="320"/>
        <v>-0.44010975559349735</v>
      </c>
      <c r="I140" s="45">
        <f t="shared" si="320"/>
        <v>-2.838604316294098E-2</v>
      </c>
      <c r="J140" s="45">
        <f t="shared" si="320"/>
        <v>-9.8672685621883846E-2</v>
      </c>
      <c r="K140" s="45">
        <f t="shared" si="320"/>
        <v>-0.16367959695085704</v>
      </c>
      <c r="L140" s="45">
        <f t="shared" si="320"/>
        <v>-0.16386231081739297</v>
      </c>
      <c r="M140" s="45">
        <f t="shared" si="320"/>
        <v>-0.29122883801984129</v>
      </c>
      <c r="N140" s="45">
        <f t="shared" si="320"/>
        <v>5.0028231455662618E-2</v>
      </c>
      <c r="O140" s="45">
        <f t="shared" si="320"/>
        <v>0.41686263375431037</v>
      </c>
      <c r="P140" s="45">
        <f t="shared" si="320"/>
        <v>0.4792971297687329</v>
      </c>
      <c r="Q140" s="45">
        <f t="shared" si="320"/>
        <v>0.66833396065966855</v>
      </c>
      <c r="R140" s="45">
        <f t="shared" si="320"/>
        <v>0.60367532596078577</v>
      </c>
      <c r="S140" s="45">
        <f t="shared" si="320"/>
        <v>0.530808747478557</v>
      </c>
      <c r="T140" s="45">
        <f t="shared" si="320"/>
        <v>0.35729246723774527</v>
      </c>
      <c r="U140" s="45">
        <f t="shared" si="320"/>
        <v>0.35729246723774527</v>
      </c>
      <c r="V140" s="45"/>
      <c r="W140" s="104"/>
      <c r="X140" s="104"/>
      <c r="Y140" s="104"/>
      <c r="Z140" s="45">
        <f t="shared" ref="Z140:AX140" si="321">(Z119-Z128)/Z100</f>
        <v>-0.35911545384417587</v>
      </c>
      <c r="AA140" s="45">
        <f t="shared" si="321"/>
        <v>-0.64539853156399507</v>
      </c>
      <c r="AB140" s="45">
        <f t="shared" si="321"/>
        <v>-0.5169388810586949</v>
      </c>
      <c r="AC140" s="45">
        <f t="shared" si="321"/>
        <v>-0.58791971487525796</v>
      </c>
      <c r="AD140" s="45">
        <f t="shared" si="321"/>
        <v>-0.55514132816147688</v>
      </c>
      <c r="AE140" s="45">
        <f t="shared" si="321"/>
        <v>-0.48680665485538166</v>
      </c>
      <c r="AF140" s="45">
        <f t="shared" si="321"/>
        <v>-0.43060992137953202</v>
      </c>
      <c r="AG140" s="45">
        <f t="shared" si="321"/>
        <v>-0.43397214122177713</v>
      </c>
      <c r="AH140" s="45">
        <f t="shared" si="321"/>
        <v>-0.44010975559349735</v>
      </c>
      <c r="AI140" s="45">
        <f t="shared" si="321"/>
        <v>-0.5780032607911868</v>
      </c>
      <c r="AJ140" s="45">
        <f t="shared" si="321"/>
        <v>-0.30968780403086787</v>
      </c>
      <c r="AK140" s="45">
        <f t="shared" si="321"/>
        <v>-0.13971192226654594</v>
      </c>
      <c r="AL140" s="45">
        <f t="shared" si="321"/>
        <v>-2.838604316294098E-2</v>
      </c>
      <c r="AM140" s="45">
        <f t="shared" si="321"/>
        <v>-8.3292444248363601E-2</v>
      </c>
      <c r="AN140" s="45">
        <f t="shared" si="321"/>
        <v>-3.187148858083589E-2</v>
      </c>
      <c r="AO140" s="45">
        <f t="shared" si="321"/>
        <v>-8.1805886614762409E-3</v>
      </c>
      <c r="AP140" s="45">
        <f t="shared" si="321"/>
        <v>-9.8672685621883846E-2</v>
      </c>
      <c r="AQ140" s="45">
        <f t="shared" si="321"/>
        <v>-7.9471103307971178E-2</v>
      </c>
      <c r="AR140" s="45">
        <f t="shared" si="321"/>
        <v>-5.9861199924264086E-2</v>
      </c>
      <c r="AS140" s="45">
        <f t="shared" si="321"/>
        <v>-0.11605618042318563</v>
      </c>
      <c r="AT140" s="45">
        <f t="shared" si="321"/>
        <v>-0.16367959695085704</v>
      </c>
      <c r="AU140" s="45">
        <f t="shared" si="321"/>
        <v>-0.17565094681596607</v>
      </c>
      <c r="AV140" s="45">
        <f t="shared" si="321"/>
        <v>-9.311406243273751E-2</v>
      </c>
      <c r="AW140" s="45">
        <f t="shared" si="321"/>
        <v>-0.11911248994786658</v>
      </c>
      <c r="AX140" s="45">
        <f t="shared" si="321"/>
        <v>-0.29122883801984129</v>
      </c>
      <c r="AY140" s="842">
        <f>(AY119-AY128)/(4*AY59)</f>
        <v>0.45257186081104761</v>
      </c>
      <c r="AZ140" s="842">
        <f>(AZ119-AZ128)/(4*AZ59)</f>
        <v>0.33060855144407897</v>
      </c>
      <c r="BA140" s="842">
        <f>(BA119-BA128)/(4*BA59)</f>
        <v>-2.0819154669997154E-2</v>
      </c>
      <c r="BB140" s="45">
        <f>(BB119-BB128)/BB100</f>
        <v>5.0028231455662618E-2</v>
      </c>
      <c r="BC140" s="842">
        <f>(BC119-BC128)/(4*BC59)</f>
        <v>5.1210488937596374E-2</v>
      </c>
      <c r="BD140" s="842">
        <f>(BD119-BD128)/(4*BD59)</f>
        <v>0.19446698956812369</v>
      </c>
      <c r="BE140" s="842">
        <f>(BE119-BE128)/(4*BE59)</f>
        <v>0.457639784195702</v>
      </c>
      <c r="BF140" s="45">
        <f>(BF119-BF128)/BF100</f>
        <v>0.41686263375431037</v>
      </c>
      <c r="BG140" s="842">
        <f>(BG119-BG128)/(4*BG59)</f>
        <v>0.46251535323820642</v>
      </c>
      <c r="BH140" s="842">
        <f>(BH119-BH128)/(4*BH59)</f>
        <v>0.3788906168629661</v>
      </c>
      <c r="BI140" s="45">
        <f>(BI119-BI128)/BI100</f>
        <v>0.49265412047074481</v>
      </c>
      <c r="BJ140" s="45">
        <f>(BJ119-BJ128)/BJ100</f>
        <v>0.4792971297687329</v>
      </c>
      <c r="BK140" s="842">
        <f>(BK119-BK128)/(4*BK59)</f>
        <v>0.56490794161115576</v>
      </c>
      <c r="BL140" s="842">
        <f>(BL119-BL128)/(4*BL59)</f>
        <v>0.62656719029056995</v>
      </c>
      <c r="BM140" s="45">
        <f>(BM119-BM128)/BM100</f>
        <v>0.62224025098277835</v>
      </c>
      <c r="BN140" s="45">
        <f>(BN119-BN128)/BN100</f>
        <v>0.66833396065966855</v>
      </c>
      <c r="BO140" s="842">
        <f>(BO119-BO128)/(4*BO59)</f>
        <v>0.53197087019715283</v>
      </c>
      <c r="BP140" s="842">
        <f>(BP119-BP128)/(4*BP59)</f>
        <v>0.62959503511315185</v>
      </c>
      <c r="BQ140" s="842">
        <f>(BQ119-BQ128)/(4*BQ59)</f>
        <v>0.54366675945206644</v>
      </c>
      <c r="BR140" s="45">
        <f t="shared" ref="BR140:BZ140" si="322">(BR119-BR128)/BR100</f>
        <v>0.60367532596078577</v>
      </c>
      <c r="BS140" s="45">
        <f t="shared" si="322"/>
        <v>0.6657570928197496</v>
      </c>
      <c r="BT140" s="45">
        <f t="shared" si="322"/>
        <v>0.75579325663929842</v>
      </c>
      <c r="BU140" s="45">
        <f t="shared" si="322"/>
        <v>0.51489107414771085</v>
      </c>
      <c r="BV140" s="45">
        <f t="shared" si="322"/>
        <v>0.530808747478557</v>
      </c>
      <c r="BW140" s="45">
        <f t="shared" si="322"/>
        <v>0.49495416300845374</v>
      </c>
      <c r="BX140" s="45">
        <f t="shared" si="322"/>
        <v>0.4798842045347404</v>
      </c>
      <c r="BY140" s="45">
        <f t="shared" si="322"/>
        <v>0.4720359553027984</v>
      </c>
      <c r="BZ140" s="45">
        <f t="shared" si="322"/>
        <v>0.35729246723774527</v>
      </c>
      <c r="CA140" s="45"/>
      <c r="CB140"/>
      <c r="CC140" s="842"/>
      <c r="CD140" s="842"/>
      <c r="CE140" s="842"/>
      <c r="CF140" s="842"/>
      <c r="CH140" s="45">
        <f>(CH119-CH128)/CH100</f>
        <v>0.12566437347567991</v>
      </c>
    </row>
    <row r="141" spans="2:86"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104"/>
      <c r="X141" s="104"/>
      <c r="Y141" s="10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/>
      <c r="CC141" s="44"/>
      <c r="CD141" s="44"/>
      <c r="CE141" s="44"/>
      <c r="CF141" s="44"/>
      <c r="CH141" s="44"/>
    </row>
    <row r="142" spans="2:86" s="20" customFormat="1">
      <c r="B142" s="20" t="s">
        <v>232</v>
      </c>
      <c r="C142" s="45"/>
      <c r="D142" s="45">
        <f t="shared" ref="D142:U142" si="323">D130/D100</f>
        <v>2.9868372542572166</v>
      </c>
      <c r="E142" s="45">
        <f t="shared" si="323"/>
        <v>2.92268562415462</v>
      </c>
      <c r="F142" s="45">
        <f t="shared" si="323"/>
        <v>2.5009299734293307</v>
      </c>
      <c r="G142" s="45">
        <f t="shared" si="323"/>
        <v>2.1743921272851345</v>
      </c>
      <c r="H142" s="45">
        <f t="shared" si="323"/>
        <v>2.1252173968338752</v>
      </c>
      <c r="I142" s="45">
        <f t="shared" si="323"/>
        <v>2.6134797852974403</v>
      </c>
      <c r="J142" s="45">
        <f t="shared" si="323"/>
        <v>2.7246664869963615</v>
      </c>
      <c r="K142" s="45">
        <f t="shared" si="323"/>
        <v>3.3535416235602455</v>
      </c>
      <c r="L142" s="45">
        <f t="shared" si="323"/>
        <v>3.287781120393098</v>
      </c>
      <c r="M142" s="45">
        <f t="shared" si="323"/>
        <v>4.2972241718999458</v>
      </c>
      <c r="N142" s="45">
        <f t="shared" si="323"/>
        <v>3.203289863145125</v>
      </c>
      <c r="O142" s="45">
        <f t="shared" si="323"/>
        <v>3.2187231109675825</v>
      </c>
      <c r="P142" s="45">
        <f t="shared" si="323"/>
        <v>2.7586727309960541</v>
      </c>
      <c r="Q142" s="45">
        <f t="shared" si="323"/>
        <v>2.971105349002551</v>
      </c>
      <c r="R142" s="45">
        <f t="shared" si="323"/>
        <v>2.3018162921904386</v>
      </c>
      <c r="S142" s="45">
        <f t="shared" si="323"/>
        <v>1.9413291885477442</v>
      </c>
      <c r="T142" s="45">
        <f t="shared" si="323"/>
        <v>1.3588856380434675</v>
      </c>
      <c r="U142" s="45">
        <f t="shared" si="323"/>
        <v>1.3588856380434675</v>
      </c>
      <c r="V142" s="45"/>
      <c r="W142" s="104"/>
      <c r="X142" s="104"/>
      <c r="Y142" s="104"/>
      <c r="Z142" s="45">
        <f t="shared" ref="Z142:AX142" si="324">Z130/Z100</f>
        <v>2.5009299734293307</v>
      </c>
      <c r="AA142" s="45">
        <f t="shared" si="324"/>
        <v>2.4072388729692169</v>
      </c>
      <c r="AB142" s="45">
        <f t="shared" si="324"/>
        <v>2.4220961495185418</v>
      </c>
      <c r="AC142" s="45">
        <f t="shared" si="324"/>
        <v>2.1625586193959858</v>
      </c>
      <c r="AD142" s="45">
        <f t="shared" si="324"/>
        <v>2.1743921272851345</v>
      </c>
      <c r="AE142" s="45">
        <f t="shared" si="324"/>
        <v>2.0178532115862415</v>
      </c>
      <c r="AF142" s="45">
        <f t="shared" si="324"/>
        <v>2.1082455181595807</v>
      </c>
      <c r="AG142" s="45">
        <f t="shared" si="324"/>
        <v>2.2161744103705661</v>
      </c>
      <c r="AH142" s="45">
        <f t="shared" si="324"/>
        <v>2.1252173968338752</v>
      </c>
      <c r="AI142" s="45">
        <f t="shared" si="324"/>
        <v>2.2221818841065986</v>
      </c>
      <c r="AJ142" s="45">
        <f t="shared" si="324"/>
        <v>2.3028804105639531</v>
      </c>
      <c r="AK142" s="45">
        <f t="shared" si="324"/>
        <v>2.5028926277649512</v>
      </c>
      <c r="AL142" s="45">
        <f t="shared" si="324"/>
        <v>2.6134797852974403</v>
      </c>
      <c r="AM142" s="45">
        <f t="shared" si="324"/>
        <v>2.5056188186919375</v>
      </c>
      <c r="AN142" s="45">
        <f t="shared" si="324"/>
        <v>2.3805569781468154</v>
      </c>
      <c r="AO142" s="45">
        <f t="shared" si="324"/>
        <v>2.8096816085601679</v>
      </c>
      <c r="AP142" s="45">
        <f t="shared" si="324"/>
        <v>2.7246664869963615</v>
      </c>
      <c r="AQ142" s="45">
        <f t="shared" si="324"/>
        <v>2.7584061639614066</v>
      </c>
      <c r="AR142" s="45">
        <f t="shared" si="324"/>
        <v>2.9895189308958994</v>
      </c>
      <c r="AS142" s="45">
        <f t="shared" si="324"/>
        <v>3.0742777461201269</v>
      </c>
      <c r="AT142" s="45">
        <f t="shared" si="324"/>
        <v>3.3535416235602455</v>
      </c>
      <c r="AU142" s="45">
        <f t="shared" si="324"/>
        <v>3.6628602251722224</v>
      </c>
      <c r="AV142" s="45">
        <f t="shared" si="324"/>
        <v>4.260016786710688</v>
      </c>
      <c r="AW142" s="45">
        <f t="shared" si="324"/>
        <v>4.1965117766221223</v>
      </c>
      <c r="AX142" s="45">
        <f t="shared" si="324"/>
        <v>4.2972241718999458</v>
      </c>
      <c r="AY142" s="842">
        <f>AY130/(4*AY59)</f>
        <v>3.4337320392211343</v>
      </c>
      <c r="AZ142" s="842">
        <f>AZ130/(4*AZ59)</f>
        <v>3.3041392833949872</v>
      </c>
      <c r="BA142" s="842">
        <f>BA130/(4*BA59)</f>
        <v>3.0726779538320481</v>
      </c>
      <c r="BB142" s="45">
        <f>BB130/BB100</f>
        <v>3.203289863145125</v>
      </c>
      <c r="BC142" s="842">
        <f>BC130/(4*BC59)</f>
        <v>2.7384684594616959</v>
      </c>
      <c r="BD142" s="842">
        <f>BD130/(4*BD59)</f>
        <v>2.9084696069689326</v>
      </c>
      <c r="BE142" s="842">
        <f>BE130/(4*BE59)</f>
        <v>3.0268071967612933</v>
      </c>
      <c r="BF142" s="45">
        <f>BF130/BF100</f>
        <v>3.2187231109675825</v>
      </c>
      <c r="BG142" s="842">
        <f>BG130/(4*BG59)</f>
        <v>3.0255754621135154</v>
      </c>
      <c r="BH142" s="842">
        <f>BH130/(4*BH59)</f>
        <v>2.9648105609336768</v>
      </c>
      <c r="BI142" s="45">
        <f>BI130/BI100</f>
        <v>2.9698822062553836</v>
      </c>
      <c r="BJ142" s="45">
        <f>BJ130/BJ100</f>
        <v>2.7586727309960541</v>
      </c>
      <c r="BK142" s="842">
        <f>BK130/(4*BK59)</f>
        <v>2.5192042509128152</v>
      </c>
      <c r="BL142" s="842">
        <f>BL130/(4*BL59)</f>
        <v>2.9575007210592359</v>
      </c>
      <c r="BM142" s="45">
        <f>BM130/BM100</f>
        <v>3.0428975276819497</v>
      </c>
      <c r="BN142" s="45">
        <f>BN130/BN100</f>
        <v>2.971105349002551</v>
      </c>
      <c r="BO142" s="842">
        <f>BO130/(4*BO59)</f>
        <v>2.6300003545003823</v>
      </c>
      <c r="BP142" s="842">
        <f>BP130/(4*BP59)</f>
        <v>2.6317793296297993</v>
      </c>
      <c r="BQ142" s="842">
        <f>BQ130/(4*BQ59)</f>
        <v>2.5202995855853447</v>
      </c>
      <c r="BR142" s="45">
        <f t="shared" ref="BR142:BZ142" si="325">BR130/BR100</f>
        <v>2.3018162921904386</v>
      </c>
      <c r="BS142" s="45">
        <f t="shared" si="325"/>
        <v>2.197511124224667</v>
      </c>
      <c r="BT142" s="45">
        <f t="shared" si="325"/>
        <v>2.2465590914144835</v>
      </c>
      <c r="BU142" s="45">
        <f t="shared" si="325"/>
        <v>1.8366725522530221</v>
      </c>
      <c r="BV142" s="45">
        <f t="shared" si="325"/>
        <v>1.9413291885477442</v>
      </c>
      <c r="BW142" s="45">
        <f t="shared" si="325"/>
        <v>1.7394123676801316</v>
      </c>
      <c r="BX142" s="45">
        <f t="shared" si="325"/>
        <v>1.6998563032751679</v>
      </c>
      <c r="BY142" s="45">
        <f t="shared" si="325"/>
        <v>1.5657618681393113</v>
      </c>
      <c r="BZ142" s="45">
        <f t="shared" si="325"/>
        <v>1.3588856380434675</v>
      </c>
      <c r="CA142" s="45"/>
      <c r="CB142"/>
      <c r="CC142" s="842"/>
      <c r="CD142" s="842"/>
      <c r="CE142" s="842"/>
      <c r="CF142" s="842"/>
      <c r="CH142" s="45">
        <f>CH130/CH100</f>
        <v>3.4907510820465868</v>
      </c>
    </row>
    <row r="143" spans="2:86">
      <c r="B143" s="17" t="s">
        <v>233</v>
      </c>
      <c r="C143" s="44"/>
      <c r="D143" s="44">
        <f t="shared" ref="D143:U143" si="326">D124/D100</f>
        <v>3.0725047080979286</v>
      </c>
      <c r="E143" s="44">
        <f t="shared" si="326"/>
        <v>3.1017062637900894</v>
      </c>
      <c r="F143" s="44">
        <f t="shared" si="326"/>
        <v>2.8600454272735063</v>
      </c>
      <c r="G143" s="44">
        <f t="shared" si="326"/>
        <v>2.7295334554466115</v>
      </c>
      <c r="H143" s="44">
        <f t="shared" si="326"/>
        <v>2.5653271524273729</v>
      </c>
      <c r="I143" s="44">
        <f t="shared" si="326"/>
        <v>2.9399441586036139</v>
      </c>
      <c r="J143" s="44">
        <f t="shared" si="326"/>
        <v>3.0158811705520372</v>
      </c>
      <c r="K143" s="44">
        <f t="shared" si="326"/>
        <v>3.7496050630749576</v>
      </c>
      <c r="L143" s="44">
        <f t="shared" si="326"/>
        <v>3.6838459772678021</v>
      </c>
      <c r="M143" s="44">
        <f t="shared" si="326"/>
        <v>4.781077146234745</v>
      </c>
      <c r="N143" s="44">
        <f t="shared" si="326"/>
        <v>3.9864933408154308</v>
      </c>
      <c r="O143" s="44">
        <f t="shared" si="326"/>
        <v>3.5237013613300765</v>
      </c>
      <c r="P143" s="44">
        <f t="shared" si="326"/>
        <v>2.917350280415004</v>
      </c>
      <c r="Q143" s="44">
        <f t="shared" si="326"/>
        <v>3.1501498612911769</v>
      </c>
      <c r="R143" s="44">
        <f t="shared" si="326"/>
        <v>2.4178338117390874</v>
      </c>
      <c r="S143" s="44">
        <f t="shared" si="326"/>
        <v>2.035660203772593</v>
      </c>
      <c r="T143" s="44">
        <f t="shared" si="326"/>
        <v>1.6122245348304081</v>
      </c>
      <c r="U143" s="44">
        <f t="shared" si="326"/>
        <v>1.6122245348304081</v>
      </c>
      <c r="V143" s="44"/>
      <c r="W143" s="104"/>
      <c r="X143" s="104"/>
      <c r="Y143" s="104"/>
      <c r="Z143" s="44">
        <f t="shared" ref="Z143:AX143" si="327">Z124/Z100</f>
        <v>2.8600454272735063</v>
      </c>
      <c r="AA143" s="44">
        <f t="shared" si="327"/>
        <v>3.0526374045332121</v>
      </c>
      <c r="AB143" s="44">
        <f t="shared" si="327"/>
        <v>2.9390350305772368</v>
      </c>
      <c r="AC143" s="44">
        <f t="shared" si="327"/>
        <v>2.7504783342712438</v>
      </c>
      <c r="AD143" s="44">
        <f t="shared" si="327"/>
        <v>2.7295334554466115</v>
      </c>
      <c r="AE143" s="44">
        <f t="shared" si="327"/>
        <v>2.5046598664416231</v>
      </c>
      <c r="AF143" s="44">
        <f t="shared" si="327"/>
        <v>2.538855439539113</v>
      </c>
      <c r="AG143" s="44">
        <f t="shared" si="327"/>
        <v>2.6501465515923432</v>
      </c>
      <c r="AH143" s="44">
        <f t="shared" si="327"/>
        <v>2.5653271524273729</v>
      </c>
      <c r="AI143" s="44">
        <f t="shared" si="327"/>
        <v>2.9311045986346027</v>
      </c>
      <c r="AJ143" s="44">
        <f t="shared" si="327"/>
        <v>2.7755040899069101</v>
      </c>
      <c r="AK143" s="44">
        <f t="shared" si="327"/>
        <v>2.8119159370906885</v>
      </c>
      <c r="AL143" s="44">
        <f t="shared" si="327"/>
        <v>2.9399441586036139</v>
      </c>
      <c r="AM143" s="44">
        <f t="shared" si="327"/>
        <v>2.8663987436908784</v>
      </c>
      <c r="AN143" s="44">
        <f t="shared" si="327"/>
        <v>2.6925666039687353</v>
      </c>
      <c r="AO143" s="44">
        <f t="shared" si="327"/>
        <v>3.1000544567929862</v>
      </c>
      <c r="AP143" s="44">
        <f t="shared" si="327"/>
        <v>3.0158811705520372</v>
      </c>
      <c r="AQ143" s="44">
        <f t="shared" si="327"/>
        <v>3.0370498183060635</v>
      </c>
      <c r="AR143" s="44">
        <f t="shared" si="327"/>
        <v>3.2517392430141281</v>
      </c>
      <c r="AS143" s="44">
        <f t="shared" si="327"/>
        <v>3.3827375923460283</v>
      </c>
      <c r="AT143" s="44">
        <f t="shared" si="327"/>
        <v>3.7496050630749576</v>
      </c>
      <c r="AU143" s="44">
        <f t="shared" si="327"/>
        <v>4.0830410495043754</v>
      </c>
      <c r="AV143" s="44">
        <f t="shared" si="327"/>
        <v>4.6201309474628172</v>
      </c>
      <c r="AW143" s="44">
        <f t="shared" si="327"/>
        <v>4.5841592485910345</v>
      </c>
      <c r="AX143" s="44">
        <f t="shared" si="327"/>
        <v>4.781077146234745</v>
      </c>
      <c r="AY143" s="841">
        <f>AY124/(4*AY59)</f>
        <v>3.8203057941919023</v>
      </c>
      <c r="AZ143" s="841">
        <f>AZ124/(4*AZ59)</f>
        <v>3.8209276707529676</v>
      </c>
      <c r="BA143" s="841">
        <f>BA124/(4*BA59)</f>
        <v>3.9079919901888753</v>
      </c>
      <c r="BB143" s="44">
        <f>BB124/BB100</f>
        <v>3.9864933408154308</v>
      </c>
      <c r="BC143" s="841">
        <f>BC124/(4*BC59)</f>
        <v>3.413881084471095</v>
      </c>
      <c r="BD143" s="841">
        <f>BD124/(4*BD59)</f>
        <v>3.3627834551581244</v>
      </c>
      <c r="BE143" s="841">
        <f>BE124/(4*BE59)</f>
        <v>3.2417574747283968</v>
      </c>
      <c r="BF143" s="44">
        <f>BF124/BF100</f>
        <v>3.5237013613300765</v>
      </c>
      <c r="BG143" s="841">
        <f>BG124/(4*BG59)</f>
        <v>3.1965214490424128</v>
      </c>
      <c r="BH143" s="841">
        <f>BH124/(4*BH59)</f>
        <v>3.2138332251367911</v>
      </c>
      <c r="BI143" s="44">
        <f>BI124/BI100</f>
        <v>3.1405467382295553</v>
      </c>
      <c r="BJ143" s="44">
        <f>BJ124/BJ100</f>
        <v>2.917350280415004</v>
      </c>
      <c r="BK143" s="841">
        <f>BK124/(4*BK59)</f>
        <v>2.6788037683231987</v>
      </c>
      <c r="BL143" s="841">
        <f>BL124/(4*BL59)</f>
        <v>3.0740229817107534</v>
      </c>
      <c r="BM143" s="44">
        <f>BM124/BM100</f>
        <v>3.2216941098270553</v>
      </c>
      <c r="BN143" s="44">
        <f>BN124/BN100</f>
        <v>3.1501498612911769</v>
      </c>
      <c r="BO143" s="841">
        <f>BO124/(4*BO59)</f>
        <v>2.8478015912002879</v>
      </c>
      <c r="BP143" s="841">
        <f>BP124/(4*BP59)</f>
        <v>2.7632567845837723</v>
      </c>
      <c r="BQ143" s="841">
        <f>BQ124/(4*BQ59)</f>
        <v>2.7252734384811537</v>
      </c>
      <c r="BR143" s="44">
        <f t="shared" ref="BR143:BZ143" si="328">BR124/BR100</f>
        <v>2.4178338117390874</v>
      </c>
      <c r="BS143" s="44">
        <f t="shared" si="328"/>
        <v>2.2668304311263507</v>
      </c>
      <c r="BT143" s="44">
        <f t="shared" si="328"/>
        <v>2.3018114242000456</v>
      </c>
      <c r="BU143" s="44">
        <f t="shared" si="328"/>
        <v>1.9125809436814909</v>
      </c>
      <c r="BV143" s="44">
        <f t="shared" si="328"/>
        <v>2.035660203772593</v>
      </c>
      <c r="BW143" s="44">
        <f t="shared" si="328"/>
        <v>1.8473220065679865</v>
      </c>
      <c r="BX143" s="44">
        <f t="shared" si="328"/>
        <v>1.8168573892941575</v>
      </c>
      <c r="BY143" s="44">
        <f t="shared" si="328"/>
        <v>1.6976585669493465</v>
      </c>
      <c r="BZ143" s="44">
        <f t="shared" si="328"/>
        <v>1.6122245348304081</v>
      </c>
      <c r="CA143" s="44"/>
      <c r="CB143"/>
      <c r="CC143" s="841"/>
      <c r="CD143" s="841"/>
      <c r="CE143" s="841"/>
      <c r="CF143" s="841"/>
      <c r="CH143" s="44">
        <f>CH124/CH100</f>
        <v>4.3265674273597341</v>
      </c>
    </row>
    <row r="144" spans="2:86"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104"/>
      <c r="X144" s="104"/>
      <c r="Y144" s="104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/>
      <c r="CC144" s="46"/>
      <c r="CD144" s="46"/>
      <c r="CE144" s="46"/>
      <c r="CF144" s="46"/>
      <c r="CH144" s="46"/>
    </row>
    <row r="145" spans="2:86" s="20" customFormat="1">
      <c r="B145" s="20" t="s">
        <v>234</v>
      </c>
      <c r="C145" s="17"/>
      <c r="D145" s="45">
        <f t="shared" ref="D145:U145" si="329">+(D100-D103)/D101</f>
        <v>-3.5367446168094467</v>
      </c>
      <c r="E145" s="45">
        <f t="shared" si="329"/>
        <v>2.2332467853610285</v>
      </c>
      <c r="F145" s="45">
        <f t="shared" si="329"/>
        <v>3.0075715658580622</v>
      </c>
      <c r="G145" s="45">
        <f t="shared" si="329"/>
        <v>2.7583997873471557</v>
      </c>
      <c r="H145" s="45">
        <f t="shared" si="329"/>
        <v>3.0905952135037036</v>
      </c>
      <c r="I145" s="45">
        <f t="shared" si="329"/>
        <v>2.1500456065673457</v>
      </c>
      <c r="J145" s="45">
        <f t="shared" si="329"/>
        <v>-0.47530990677184715</v>
      </c>
      <c r="K145" s="45">
        <f t="shared" si="329"/>
        <v>0.84505347290025201</v>
      </c>
      <c r="L145" s="45">
        <f t="shared" si="329"/>
        <v>0.84505347290025201</v>
      </c>
      <c r="M145" s="45">
        <f t="shared" si="329"/>
        <v>-0.55576269183810112</v>
      </c>
      <c r="N145" s="45">
        <f t="shared" si="329"/>
        <v>1.3617048357622759</v>
      </c>
      <c r="O145" s="45">
        <f t="shared" si="329"/>
        <v>1.7814682862512974</v>
      </c>
      <c r="P145" s="45">
        <f t="shared" si="329"/>
        <v>1.1126622488372799</v>
      </c>
      <c r="Q145" s="45">
        <f t="shared" si="329"/>
        <v>4.9204849535825872</v>
      </c>
      <c r="R145" s="45">
        <f t="shared" si="329"/>
        <v>2.6252825050084483</v>
      </c>
      <c r="S145" s="45">
        <f t="shared" si="329"/>
        <v>2.5250746540837494</v>
      </c>
      <c r="T145" s="45">
        <f t="shared" si="329"/>
        <v>5.0288024933501703</v>
      </c>
      <c r="U145" s="45">
        <f t="shared" si="329"/>
        <v>5.0288024933501703</v>
      </c>
      <c r="V145" s="45"/>
      <c r="W145" s="104"/>
      <c r="X145" s="104"/>
      <c r="Y145" s="104"/>
      <c r="Z145" s="45">
        <f t="shared" ref="Z145:BE145" si="330">+(Z100-Z103)/Z101</f>
        <v>3.0075715658580622</v>
      </c>
      <c r="AA145" s="45">
        <f t="shared" si="330"/>
        <v>2.8916753141934741</v>
      </c>
      <c r="AB145" s="45">
        <f t="shared" si="330"/>
        <v>2.9093514773244755</v>
      </c>
      <c r="AC145" s="45">
        <f t="shared" si="330"/>
        <v>3.7497795171425423</v>
      </c>
      <c r="AD145" s="45">
        <f t="shared" si="330"/>
        <v>2.7583997873471557</v>
      </c>
      <c r="AE145" s="45">
        <f t="shared" si="330"/>
        <v>3.1909238249594813</v>
      </c>
      <c r="AF145" s="45">
        <f t="shared" si="330"/>
        <v>3.5295669129482983</v>
      </c>
      <c r="AG145" s="45">
        <f t="shared" si="330"/>
        <v>3.2465835628623037</v>
      </c>
      <c r="AH145" s="45">
        <f t="shared" si="330"/>
        <v>3.0905952135037036</v>
      </c>
      <c r="AI145" s="45">
        <f t="shared" si="330"/>
        <v>1.1284540386233057</v>
      </c>
      <c r="AJ145" s="45">
        <f t="shared" si="330"/>
        <v>0.90526485272624535</v>
      </c>
      <c r="AK145" s="45">
        <f t="shared" si="330"/>
        <v>0.91618178680501283</v>
      </c>
      <c r="AL145" s="45">
        <f t="shared" si="330"/>
        <v>2.1500456065673457</v>
      </c>
      <c r="AM145" s="45">
        <f t="shared" si="330"/>
        <v>2.7038853001017893</v>
      </c>
      <c r="AN145" s="45">
        <f t="shared" si="330"/>
        <v>2.6430565869260541</v>
      </c>
      <c r="AO145" s="45">
        <f t="shared" si="330"/>
        <v>-0.54301360727805303</v>
      </c>
      <c r="AP145" s="45">
        <f t="shared" si="330"/>
        <v>-0.47530990677184715</v>
      </c>
      <c r="AQ145" s="45">
        <f t="shared" si="330"/>
        <v>0.23940833246330201</v>
      </c>
      <c r="AR145" s="45">
        <f t="shared" si="330"/>
        <v>0.19225739280517212</v>
      </c>
      <c r="AS145" s="45">
        <f t="shared" si="330"/>
        <v>1.1853349338435994</v>
      </c>
      <c r="AT145" s="45">
        <f t="shared" si="330"/>
        <v>0.84505347290025201</v>
      </c>
      <c r="AU145" s="45">
        <f t="shared" si="330"/>
        <v>-0.14146235376243463</v>
      </c>
      <c r="AV145" s="45">
        <f t="shared" si="330"/>
        <v>-1.0123181383537467</v>
      </c>
      <c r="AW145" s="45">
        <f t="shared" si="330"/>
        <v>-0.93450853292654856</v>
      </c>
      <c r="AX145" s="45">
        <f t="shared" si="330"/>
        <v>-0.55576269183810112</v>
      </c>
      <c r="AY145" s="45">
        <f t="shared" si="330"/>
        <v>-4.0637598074516341E-2</v>
      </c>
      <c r="AZ145" s="45">
        <f t="shared" si="330"/>
        <v>0.79296175197718755</v>
      </c>
      <c r="BA145" s="45">
        <f t="shared" si="330"/>
        <v>1.0926623849577546</v>
      </c>
      <c r="BB145" s="45">
        <f t="shared" si="330"/>
        <v>1.3617048357622759</v>
      </c>
      <c r="BC145" s="45">
        <f t="shared" si="330"/>
        <v>1.9935337194962506</v>
      </c>
      <c r="BD145" s="45">
        <f t="shared" si="330"/>
        <v>2.6193336771141413</v>
      </c>
      <c r="BE145" s="45">
        <f t="shared" si="330"/>
        <v>3.0012431809201803</v>
      </c>
      <c r="BF145" s="45">
        <f t="shared" ref="BF145:BZ145" si="331">+(BF100-BF103)/BF101</f>
        <v>1.7814682862512974</v>
      </c>
      <c r="BG145" s="45">
        <f t="shared" si="331"/>
        <v>1.926083918120141</v>
      </c>
      <c r="BH145" s="45">
        <f t="shared" si="331"/>
        <v>1.7616890268321987</v>
      </c>
      <c r="BI145" s="45">
        <f t="shared" si="331"/>
        <v>0.41626893422777894</v>
      </c>
      <c r="BJ145" s="45">
        <f t="shared" si="331"/>
        <v>1.1126622488372799</v>
      </c>
      <c r="BK145" s="45">
        <f t="shared" si="331"/>
        <v>1.3938467787044571</v>
      </c>
      <c r="BL145" s="45">
        <f t="shared" si="331"/>
        <v>1.1082329262440223</v>
      </c>
      <c r="BM145" s="45">
        <f t="shared" si="331"/>
        <v>2.6685379931540116</v>
      </c>
      <c r="BN145" s="45">
        <f t="shared" si="331"/>
        <v>4.9204849535825872</v>
      </c>
      <c r="BO145" s="45">
        <f t="shared" si="331"/>
        <v>4.5622914911875094</v>
      </c>
      <c r="BP145" s="45">
        <f t="shared" si="331"/>
        <v>3.0581409145022462</v>
      </c>
      <c r="BQ145" s="45">
        <f t="shared" si="331"/>
        <v>2.9756210668987588</v>
      </c>
      <c r="BR145" s="45">
        <f t="shared" si="331"/>
        <v>2.6252825050084483</v>
      </c>
      <c r="BS145" s="45">
        <f t="shared" si="331"/>
        <v>2.1121052172005728</v>
      </c>
      <c r="BT145" s="45">
        <f t="shared" si="331"/>
        <v>2.2788152869569878</v>
      </c>
      <c r="BU145" s="45">
        <f t="shared" si="331"/>
        <v>2.5789630161578829</v>
      </c>
      <c r="BV145" s="45">
        <f t="shared" si="331"/>
        <v>2.5250746540837494</v>
      </c>
      <c r="BW145" s="45">
        <f t="shared" si="331"/>
        <v>3.2936842115783782</v>
      </c>
      <c r="BX145" s="45">
        <f t="shared" si="331"/>
        <v>4.8898676266268515</v>
      </c>
      <c r="BY145" s="45">
        <f t="shared" si="331"/>
        <v>5.1989596047160234</v>
      </c>
      <c r="BZ145" s="45">
        <f t="shared" si="331"/>
        <v>5.0288024933501703</v>
      </c>
      <c r="CA145" s="45"/>
      <c r="CB145"/>
      <c r="CC145" s="45"/>
      <c r="CD145" s="45"/>
      <c r="CE145" s="45"/>
      <c r="CF145" s="45"/>
      <c r="CH145" s="45">
        <f>+(CH100-CH103)/CH101</f>
        <v>1.1493549589519334</v>
      </c>
    </row>
    <row r="146" spans="2:86">
      <c r="B146" s="17" t="s">
        <v>235</v>
      </c>
      <c r="D146" s="44">
        <f t="shared" ref="D146:U146" si="332">+D100/D101</f>
        <v>9.2946515397082656</v>
      </c>
      <c r="E146" s="44">
        <f t="shared" si="332"/>
        <v>6.8784928288822949</v>
      </c>
      <c r="F146" s="44">
        <f t="shared" si="332"/>
        <v>6.7951891435394156</v>
      </c>
      <c r="G146" s="44">
        <f t="shared" si="332"/>
        <v>7.4011164274322168</v>
      </c>
      <c r="H146" s="44">
        <f t="shared" si="332"/>
        <v>9.2813468291675267</v>
      </c>
      <c r="I146" s="44">
        <f t="shared" si="332"/>
        <v>10.388628762541806</v>
      </c>
      <c r="J146" s="44">
        <f t="shared" si="332"/>
        <v>6.0821637127343511</v>
      </c>
      <c r="K146" s="44">
        <f t="shared" si="332"/>
        <v>6.9135351150064714</v>
      </c>
      <c r="L146" s="44">
        <f t="shared" si="332"/>
        <v>6.9135351150064714</v>
      </c>
      <c r="M146" s="44">
        <f t="shared" si="332"/>
        <v>3.4519305247403866</v>
      </c>
      <c r="N146" s="44">
        <f t="shared" si="332"/>
        <v>3.3734237633303938</v>
      </c>
      <c r="O146" s="44">
        <f t="shared" si="332"/>
        <v>6.471610514208769</v>
      </c>
      <c r="P146" s="44">
        <f t="shared" si="332"/>
        <v>4.4160789737666049</v>
      </c>
      <c r="Q146" s="44">
        <f t="shared" si="332"/>
        <v>10.723543569581272</v>
      </c>
      <c r="R146" s="44">
        <f t="shared" si="332"/>
        <v>6.338549724446219</v>
      </c>
      <c r="S146" s="44">
        <f t="shared" si="332"/>
        <v>5.9836900772755248</v>
      </c>
      <c r="T146" s="44">
        <f t="shared" si="332"/>
        <v>8.1455439426099581</v>
      </c>
      <c r="U146" s="44">
        <f t="shared" si="332"/>
        <v>8.1455439426099581</v>
      </c>
      <c r="V146" s="44"/>
      <c r="W146" s="104"/>
      <c r="X146" s="104"/>
      <c r="Y146" s="104"/>
      <c r="Z146" s="44">
        <f t="shared" ref="Z146:BE146" si="333">+Z100/Z101</f>
        <v>6.7951891435394156</v>
      </c>
      <c r="AA146" s="44">
        <f t="shared" si="333"/>
        <v>7.0313905223106188</v>
      </c>
      <c r="AB146" s="44">
        <f t="shared" si="333"/>
        <v>6.7850579946960972</v>
      </c>
      <c r="AC146" s="44">
        <f t="shared" si="333"/>
        <v>7.3462132069231618</v>
      </c>
      <c r="AD146" s="44">
        <f t="shared" si="333"/>
        <v>7.4011164274322168</v>
      </c>
      <c r="AE146" s="44">
        <f t="shared" si="333"/>
        <v>7.7300648298217176</v>
      </c>
      <c r="AF146" s="44">
        <f t="shared" si="333"/>
        <v>8.6561948608539652</v>
      </c>
      <c r="AG146" s="44">
        <f t="shared" si="333"/>
        <v>9.5535302510690894</v>
      </c>
      <c r="AH146" s="44">
        <f t="shared" si="333"/>
        <v>9.2813468291675267</v>
      </c>
      <c r="AI146" s="44">
        <f t="shared" si="333"/>
        <v>9.5950436956341463</v>
      </c>
      <c r="AJ146" s="44">
        <f t="shared" si="333"/>
        <v>9.578959485650909</v>
      </c>
      <c r="AK146" s="44">
        <f t="shared" si="333"/>
        <v>9.4021981197281583</v>
      </c>
      <c r="AL146" s="44">
        <f t="shared" si="333"/>
        <v>10.388628762541806</v>
      </c>
      <c r="AM146" s="44">
        <f t="shared" si="333"/>
        <v>10.627452751152624</v>
      </c>
      <c r="AN146" s="44">
        <f t="shared" si="333"/>
        <v>11.478381246002746</v>
      </c>
      <c r="AO146" s="44">
        <f t="shared" si="333"/>
        <v>11.342648712768804</v>
      </c>
      <c r="AP146" s="44">
        <f t="shared" si="333"/>
        <v>6.0821637127343511</v>
      </c>
      <c r="AQ146" s="44">
        <f t="shared" si="333"/>
        <v>5.6649413154948629</v>
      </c>
      <c r="AR146" s="44">
        <f t="shared" si="333"/>
        <v>5.4340283554599385</v>
      </c>
      <c r="AS146" s="44">
        <f t="shared" si="333"/>
        <v>5.1856156240111879</v>
      </c>
      <c r="AT146" s="44">
        <f t="shared" si="333"/>
        <v>6.9135351150064714</v>
      </c>
      <c r="AU146" s="44">
        <f t="shared" si="333"/>
        <v>4.5968045126171448</v>
      </c>
      <c r="AV146" s="44">
        <f t="shared" si="333"/>
        <v>4.3715739303298182</v>
      </c>
      <c r="AW146" s="44">
        <f t="shared" si="333"/>
        <v>4.0172773436525659</v>
      </c>
      <c r="AX146" s="44">
        <f t="shared" si="333"/>
        <v>3.4519305247403866</v>
      </c>
      <c r="AY146" s="44">
        <f t="shared" si="333"/>
        <v>3.1597241677951349</v>
      </c>
      <c r="AZ146" s="44">
        <f t="shared" si="333"/>
        <v>3.1378531065772801</v>
      </c>
      <c r="BA146" s="44">
        <f t="shared" si="333"/>
        <v>3.1659634793838172</v>
      </c>
      <c r="BB146" s="44">
        <f t="shared" si="333"/>
        <v>3.3734237633303938</v>
      </c>
      <c r="BC146" s="44">
        <f t="shared" si="333"/>
        <v>4.4575513444437282</v>
      </c>
      <c r="BD146" s="44">
        <f t="shared" si="333"/>
        <v>5.7509829760393423</v>
      </c>
      <c r="BE146" s="44">
        <f t="shared" si="333"/>
        <v>6.6510229166029999</v>
      </c>
      <c r="BF146" s="44">
        <f t="shared" ref="BF146:BZ146" si="334">+BF100/BF101</f>
        <v>6.471610514208769</v>
      </c>
      <c r="BG146" s="44">
        <f t="shared" si="334"/>
        <v>7.0886206796144773</v>
      </c>
      <c r="BH146" s="44">
        <f t="shared" si="334"/>
        <v>6.3649254104925914</v>
      </c>
      <c r="BI146" s="44">
        <f t="shared" si="334"/>
        <v>5.0814168898275058</v>
      </c>
      <c r="BJ146" s="44">
        <f t="shared" si="334"/>
        <v>4.4160789737666049</v>
      </c>
      <c r="BK146" s="44">
        <f t="shared" si="334"/>
        <v>4.7196015522492187</v>
      </c>
      <c r="BL146" s="44">
        <f t="shared" si="334"/>
        <v>4.963603003586682</v>
      </c>
      <c r="BM146" s="44">
        <f t="shared" si="334"/>
        <v>6.426715064397273</v>
      </c>
      <c r="BN146" s="44">
        <f t="shared" si="334"/>
        <v>10.723543569581272</v>
      </c>
      <c r="BO146" s="44">
        <f t="shared" si="334"/>
        <v>10.314344821259175</v>
      </c>
      <c r="BP146" s="44">
        <f t="shared" si="334"/>
        <v>6.6809859610919693</v>
      </c>
      <c r="BQ146" s="44">
        <f t="shared" si="334"/>
        <v>6.4663779654728302</v>
      </c>
      <c r="BR146" s="44">
        <f t="shared" si="334"/>
        <v>6.338549724446219</v>
      </c>
      <c r="BS146" s="44">
        <f t="shared" si="334"/>
        <v>5.8109336548749644</v>
      </c>
      <c r="BT146" s="44">
        <f t="shared" si="334"/>
        <v>5.8413962357091567</v>
      </c>
      <c r="BU146" s="44">
        <f t="shared" si="334"/>
        <v>6.047196142135288</v>
      </c>
      <c r="BV146" s="44">
        <f t="shared" si="334"/>
        <v>5.9836900772755248</v>
      </c>
      <c r="BW146" s="44">
        <f t="shared" si="334"/>
        <v>6.5885468689510596</v>
      </c>
      <c r="BX146" s="44">
        <f t="shared" si="334"/>
        <v>8.8491257660960816</v>
      </c>
      <c r="BY146" s="44">
        <f t="shared" si="334"/>
        <v>9.1902542561858382</v>
      </c>
      <c r="BZ146" s="44">
        <f t="shared" si="334"/>
        <v>8.1455439426099581</v>
      </c>
      <c r="CA146" s="44"/>
      <c r="CB146"/>
      <c r="CC146" s="44"/>
      <c r="CD146" s="44"/>
      <c r="CE146" s="44"/>
      <c r="CF146" s="44"/>
      <c r="CH146" s="44">
        <f>+CH100/CH101</f>
        <v>3.1610738865200512</v>
      </c>
    </row>
    <row r="147" spans="2:86"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104"/>
      <c r="X147" s="104"/>
      <c r="Y147" s="104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/>
      <c r="CC147"/>
      <c r="CD147"/>
      <c r="CE147"/>
      <c r="CF147"/>
      <c r="CH147" s="46"/>
    </row>
    <row r="148" spans="2:86">
      <c r="B148" s="17" t="s">
        <v>236</v>
      </c>
      <c r="D148" s="47">
        <f t="shared" ref="D148:U148" si="335">+D104/D130</f>
        <v>-0.81529810912875811</v>
      </c>
      <c r="E148" s="47">
        <f t="shared" si="335"/>
        <v>-1.4452777854654256E-3</v>
      </c>
      <c r="F148" s="47">
        <f t="shared" si="335"/>
        <v>8.3906389497692635E-2</v>
      </c>
      <c r="G148" s="47">
        <f t="shared" si="335"/>
        <v>5.9136197259405103E-2</v>
      </c>
      <c r="H148" s="47">
        <f t="shared" si="335"/>
        <v>4.2567738402823387E-2</v>
      </c>
      <c r="I148" s="47">
        <f t="shared" si="335"/>
        <v>5.8610560830657833E-2</v>
      </c>
      <c r="J148" s="47">
        <f t="shared" si="335"/>
        <v>-3.1255538108367641E-2</v>
      </c>
      <c r="K148" s="47">
        <f t="shared" si="335"/>
        <v>-3.6332012187060211E-2</v>
      </c>
      <c r="L148" s="47">
        <f t="shared" si="335"/>
        <v>-2.9298934112912563E-2</v>
      </c>
      <c r="M148" s="47">
        <f t="shared" si="335"/>
        <v>-0.16859733557669707</v>
      </c>
      <c r="N148" s="47">
        <f t="shared" si="335"/>
        <v>-0.13059335771568223</v>
      </c>
      <c r="O148" s="47">
        <f t="shared" si="335"/>
        <v>2.1019785506071403E-2</v>
      </c>
      <c r="P148" s="47">
        <f t="shared" si="335"/>
        <v>-2.5403709001399186E-2</v>
      </c>
      <c r="Q148" s="47">
        <f t="shared" si="335"/>
        <v>8.6855540587904914E-2</v>
      </c>
      <c r="R148" s="47">
        <f t="shared" si="335"/>
        <v>0.1058260549181954</v>
      </c>
      <c r="S148" s="47">
        <f t="shared" si="335"/>
        <v>0.14681139569384374</v>
      </c>
      <c r="T148" s="47">
        <f t="shared" si="335"/>
        <v>0.36956091676133329</v>
      </c>
      <c r="U148" s="47">
        <f t="shared" si="335"/>
        <v>0.36956091676133329</v>
      </c>
      <c r="V148" s="47"/>
      <c r="W148" s="104"/>
      <c r="X148" s="104"/>
      <c r="Y148" s="104"/>
      <c r="Z148" s="47">
        <f t="shared" ref="Z148:BE148" si="336">+Z104/Z130</f>
        <v>8.3906389497692635E-2</v>
      </c>
      <c r="AA148" s="47">
        <f t="shared" si="336"/>
        <v>0.12023569281596716</v>
      </c>
      <c r="AB148" s="47">
        <f t="shared" si="336"/>
        <v>0.13029991850040751</v>
      </c>
      <c r="AC148" s="47">
        <f t="shared" si="336"/>
        <v>0.15170098711031696</v>
      </c>
      <c r="AD148" s="47">
        <f t="shared" si="336"/>
        <v>5.9136197259405103E-2</v>
      </c>
      <c r="AE148" s="47">
        <f t="shared" si="336"/>
        <v>5.6854096421638155E-2</v>
      </c>
      <c r="AF148" s="47">
        <f t="shared" si="336"/>
        <v>6.7249790561615244E-2</v>
      </c>
      <c r="AG148" s="47">
        <f t="shared" si="336"/>
        <v>4.6147442048630527E-2</v>
      </c>
      <c r="AH148" s="47">
        <f t="shared" si="336"/>
        <v>4.2567738402823387E-2</v>
      </c>
      <c r="AI148" s="47">
        <f t="shared" si="336"/>
        <v>-3.9712853647320807E-2</v>
      </c>
      <c r="AJ148" s="47">
        <f t="shared" si="336"/>
        <v>-1.9931740576942449E-2</v>
      </c>
      <c r="AK148" s="47">
        <f t="shared" si="336"/>
        <v>1.0470161372773978E-3</v>
      </c>
      <c r="AL148" s="47">
        <f t="shared" si="336"/>
        <v>5.8610560830657833E-2</v>
      </c>
      <c r="AM148" s="47">
        <f t="shared" si="336"/>
        <v>0.11486907806484975</v>
      </c>
      <c r="AN148" s="47">
        <f t="shared" si="336"/>
        <v>0.11627506881859982</v>
      </c>
      <c r="AO148" s="47">
        <f t="shared" si="336"/>
        <v>-1.8107956487897609E-3</v>
      </c>
      <c r="AP148" s="47">
        <f t="shared" si="336"/>
        <v>-3.1255538108367627E-2</v>
      </c>
      <c r="AQ148" s="47">
        <f t="shared" si="336"/>
        <v>-2.618801068609595E-3</v>
      </c>
      <c r="AR148" s="47">
        <f t="shared" si="336"/>
        <v>-4.6246929912965209E-2</v>
      </c>
      <c r="AS148" s="47">
        <f t="shared" si="336"/>
        <v>8.7289006450282664E-3</v>
      </c>
      <c r="AT148" s="47">
        <f t="shared" si="336"/>
        <v>-3.6332012187060211E-2</v>
      </c>
      <c r="AU148" s="47">
        <f t="shared" si="336"/>
        <v>-0.14215000118366</v>
      </c>
      <c r="AV148" s="47">
        <f t="shared" si="336"/>
        <v>-0.18238691628811665</v>
      </c>
      <c r="AW148" s="47">
        <f t="shared" si="336"/>
        <v>-0.19245963074620448</v>
      </c>
      <c r="AX148" s="47">
        <f t="shared" si="336"/>
        <v>-0.16859733557669707</v>
      </c>
      <c r="AY148" s="47">
        <f t="shared" si="336"/>
        <v>-0.13131428316883845</v>
      </c>
      <c r="AZ148" s="47">
        <f t="shared" si="336"/>
        <v>-6.4160794033470026E-2</v>
      </c>
      <c r="BA148" s="47">
        <f t="shared" si="336"/>
        <v>-2.4576449735168385E-2</v>
      </c>
      <c r="BB148" s="47">
        <f t="shared" si="336"/>
        <v>-0.13059335771568223</v>
      </c>
      <c r="BC148" s="47">
        <f t="shared" si="336"/>
        <v>-8.1197041524663602E-2</v>
      </c>
      <c r="BD148" s="47">
        <f t="shared" si="336"/>
        <v>-4.2940517966442771E-2</v>
      </c>
      <c r="BE148" s="47">
        <f t="shared" si="336"/>
        <v>-4.076209814245798E-2</v>
      </c>
      <c r="BF148" s="47">
        <f t="shared" ref="BF148:BZ148" si="337">+BF104/BF130</f>
        <v>2.1019785506071403E-2</v>
      </c>
      <c r="BG148" s="47">
        <f t="shared" si="337"/>
        <v>1.3848959511245623E-2</v>
      </c>
      <c r="BH148" s="47">
        <f t="shared" si="337"/>
        <v>1.4381075954963718E-2</v>
      </c>
      <c r="BI148" s="47">
        <f t="shared" si="337"/>
        <v>-5.3269401041351805E-2</v>
      </c>
      <c r="BJ148" s="47">
        <f t="shared" si="337"/>
        <v>-2.5403709001399186E-2</v>
      </c>
      <c r="BK148" s="47">
        <f t="shared" si="337"/>
        <v>1.0718622264766326E-2</v>
      </c>
      <c r="BL148" s="47">
        <f t="shared" si="337"/>
        <v>-2.6482143501926431E-2</v>
      </c>
      <c r="BM148" s="47">
        <f t="shared" si="337"/>
        <v>4.7582482461952021E-2</v>
      </c>
      <c r="BN148" s="47">
        <f t="shared" si="337"/>
        <v>8.6855540587904914E-2</v>
      </c>
      <c r="BO148" s="47">
        <f t="shared" si="337"/>
        <v>8.5350458911527052E-2</v>
      </c>
      <c r="BP148" s="47">
        <f t="shared" si="337"/>
        <v>9.6261585495221166E-2</v>
      </c>
      <c r="BQ148" s="47">
        <f t="shared" si="337"/>
        <v>0.10507901664693299</v>
      </c>
      <c r="BR148" s="47">
        <f t="shared" si="337"/>
        <v>0.10582605491819541</v>
      </c>
      <c r="BS148" s="47">
        <f t="shared" si="337"/>
        <v>8.5465767250432131E-2</v>
      </c>
      <c r="BT148" s="47">
        <f t="shared" si="337"/>
        <v>0.11113457132531374</v>
      </c>
      <c r="BU148" s="47">
        <f t="shared" si="337"/>
        <v>0.1547248284894906</v>
      </c>
      <c r="BV148" s="47">
        <f t="shared" si="337"/>
        <v>0.14681139569384377</v>
      </c>
      <c r="BW148" s="47">
        <f t="shared" si="337"/>
        <v>0.22100094152739813</v>
      </c>
      <c r="BX148" s="47">
        <f t="shared" si="337"/>
        <v>0.26726290482340376</v>
      </c>
      <c r="BY148" s="47">
        <f t="shared" si="337"/>
        <v>0.30432595618002511</v>
      </c>
      <c r="BZ148" s="47">
        <f t="shared" si="337"/>
        <v>0.36956091676133329</v>
      </c>
      <c r="CA148" s="47"/>
      <c r="CB148"/>
      <c r="CC148"/>
      <c r="CD148" s="47"/>
      <c r="CE148" s="47"/>
      <c r="CF148" s="47"/>
      <c r="CH148" s="47">
        <f>+CH104/CH130</f>
        <v>-0.1471335829565599</v>
      </c>
    </row>
    <row r="149" spans="2:86" s="20" customFormat="1">
      <c r="B149" s="20" t="s">
        <v>237</v>
      </c>
      <c r="D149" s="48">
        <f>D130/D133</f>
        <v>1.1613250657167042</v>
      </c>
      <c r="E149" s="48">
        <f t="shared" ref="E149:J149" si="338">E130/E133</f>
        <v>1.2184043701106015</v>
      </c>
      <c r="F149" s="48">
        <f t="shared" si="338"/>
        <v>1.0725310076599635</v>
      </c>
      <c r="G149" s="48">
        <f t="shared" si="338"/>
        <v>0.94646235042882021</v>
      </c>
      <c r="H149" s="48">
        <f t="shared" si="338"/>
        <v>1.0004913374494762</v>
      </c>
      <c r="I149" s="48">
        <f t="shared" si="338"/>
        <v>1.2356595089902225</v>
      </c>
      <c r="J149" s="48">
        <f t="shared" si="338"/>
        <v>1.3057056717694968</v>
      </c>
      <c r="K149" s="48">
        <f t="shared" ref="K149:Q149" si="339">K130/K133</f>
        <v>1.3032612066885945</v>
      </c>
      <c r="L149" s="48">
        <f t="shared" si="339"/>
        <v>1.2777052058004705</v>
      </c>
      <c r="M149" s="48">
        <f t="shared" si="339"/>
        <v>1.3301069266926309</v>
      </c>
      <c r="N149" s="48">
        <f t="shared" si="339"/>
        <v>1.1638070426170577</v>
      </c>
      <c r="O149" s="48">
        <f t="shared" si="339"/>
        <v>1.8283136312488766</v>
      </c>
      <c r="P149" s="48">
        <f t="shared" si="339"/>
        <v>1.7437026159786806</v>
      </c>
      <c r="Q149" s="48">
        <f t="shared" si="339"/>
        <v>2.002233092800648</v>
      </c>
      <c r="R149" s="48">
        <f>R130/R133</f>
        <v>1.9386002222350633</v>
      </c>
      <c r="S149" s="48">
        <f>S130/S133</f>
        <v>1.32821694727946</v>
      </c>
      <c r="T149" s="48">
        <f>T130/T133</f>
        <v>0.84091621190487609</v>
      </c>
      <c r="U149" s="48">
        <f>U130/U133</f>
        <v>0.84091621190487609</v>
      </c>
      <c r="V149" s="48"/>
      <c r="W149" s="104"/>
      <c r="X149" s="104"/>
      <c r="Y149" s="104"/>
      <c r="Z149" s="48">
        <f t="shared" ref="Z149:AS149" si="340">Z130/Z133</f>
        <v>1.0725310076599635</v>
      </c>
      <c r="AA149" s="48">
        <f t="shared" si="340"/>
        <v>0.94858432426058059</v>
      </c>
      <c r="AB149" s="48">
        <f t="shared" si="340"/>
        <v>0.9753251481270101</v>
      </c>
      <c r="AC149" s="48">
        <f t="shared" si="340"/>
        <v>0.90964753781452934</v>
      </c>
      <c r="AD149" s="48">
        <f t="shared" si="340"/>
        <v>0.94646235042882021</v>
      </c>
      <c r="AE149" s="48">
        <f t="shared" si="340"/>
        <v>0.88827271972113941</v>
      </c>
      <c r="AF149" s="48">
        <f t="shared" si="340"/>
        <v>0.94323243410420221</v>
      </c>
      <c r="AG149" s="48">
        <f t="shared" si="340"/>
        <v>1.0237971240036026</v>
      </c>
      <c r="AH149" s="48">
        <f t="shared" si="340"/>
        <v>1.0004913374494762</v>
      </c>
      <c r="AI149" s="48">
        <f t="shared" si="340"/>
        <v>1.0204496134468315</v>
      </c>
      <c r="AJ149" s="48">
        <f t="shared" si="340"/>
        <v>1.0941497383816499</v>
      </c>
      <c r="AK149" s="48">
        <f t="shared" si="340"/>
        <v>1.1940497920731101</v>
      </c>
      <c r="AL149" s="48">
        <f t="shared" si="340"/>
        <v>1.2356595089902225</v>
      </c>
      <c r="AM149" s="48">
        <f t="shared" si="340"/>
        <v>1.2794347379535143</v>
      </c>
      <c r="AN149" s="48">
        <f t="shared" si="340"/>
        <v>1.2729682236236259</v>
      </c>
      <c r="AO149" s="48">
        <f t="shared" si="340"/>
        <v>1.5023629599488462</v>
      </c>
      <c r="AP149" s="48">
        <f t="shared" si="340"/>
        <v>1.3057056717694968</v>
      </c>
      <c r="AQ149" s="48">
        <f t="shared" si="340"/>
        <v>1.2446459184417011</v>
      </c>
      <c r="AR149" s="48">
        <f t="shared" si="340"/>
        <v>1.2556046264728764</v>
      </c>
      <c r="AS149" s="48">
        <f t="shared" si="340"/>
        <v>1.2072599947273317</v>
      </c>
      <c r="AT149" s="48">
        <f t="shared" ref="AT149:AY149" si="341">AT130/AT133</f>
        <v>1.3032612066885945</v>
      </c>
      <c r="AU149" s="48">
        <f t="shared" si="341"/>
        <v>1.3749061966881857</v>
      </c>
      <c r="AV149" s="48">
        <f t="shared" si="341"/>
        <v>1.5502004326187402</v>
      </c>
      <c r="AW149" s="48">
        <f t="shared" si="341"/>
        <v>1.3376069064592437</v>
      </c>
      <c r="AX149" s="48">
        <f t="shared" si="341"/>
        <v>1.3301069266926309</v>
      </c>
      <c r="AY149" s="48">
        <f t="shared" si="341"/>
        <v>1.1211102321792756</v>
      </c>
      <c r="AZ149" s="48">
        <f t="shared" ref="AZ149:BE149" si="342">AZ130/AZ133</f>
        <v>1.3573135115903425</v>
      </c>
      <c r="BA149" s="48">
        <f t="shared" si="342"/>
        <v>1.2611799727415851</v>
      </c>
      <c r="BB149" s="48">
        <f t="shared" si="342"/>
        <v>1.1638070426170577</v>
      </c>
      <c r="BC149" s="48">
        <f t="shared" si="342"/>
        <v>1.3575746702252616</v>
      </c>
      <c r="BD149" s="48">
        <f t="shared" si="342"/>
        <v>1.6351908345136839</v>
      </c>
      <c r="BE149" s="48">
        <f t="shared" si="342"/>
        <v>1.8940919385774353</v>
      </c>
      <c r="BF149" s="48">
        <f t="shared" ref="BF149:BK149" si="343">BF130/BF133</f>
        <v>1.8283136312488766</v>
      </c>
      <c r="BG149" s="48">
        <f t="shared" si="343"/>
        <v>1.9443749444236689</v>
      </c>
      <c r="BH149" s="48">
        <f t="shared" si="343"/>
        <v>1.9896602817899358</v>
      </c>
      <c r="BI149" s="48">
        <f t="shared" si="343"/>
        <v>1.7928748832500776</v>
      </c>
      <c r="BJ149" s="48">
        <f t="shared" si="343"/>
        <v>1.7437026159786806</v>
      </c>
      <c r="BK149" s="48">
        <f t="shared" si="343"/>
        <v>1.7685031756990428</v>
      </c>
      <c r="BL149" s="48">
        <f t="shared" ref="BL149:BQ149" si="344">BL130/BL133</f>
        <v>2.0847542709752904</v>
      </c>
      <c r="BM149" s="48">
        <f t="shared" si="344"/>
        <v>2.0521676361938241</v>
      </c>
      <c r="BN149" s="48">
        <f t="shared" si="344"/>
        <v>2.002233092800648</v>
      </c>
      <c r="BO149" s="48">
        <f t="shared" si="344"/>
        <v>2.0157433095301172</v>
      </c>
      <c r="BP149" s="48">
        <f t="shared" si="344"/>
        <v>2.001908554255134</v>
      </c>
      <c r="BQ149" s="48">
        <f t="shared" si="344"/>
        <v>1.9514847861210718</v>
      </c>
      <c r="BR149" s="48">
        <f t="shared" ref="BR149:BW149" si="345">BR130/BR133</f>
        <v>1.9386002222350633</v>
      </c>
      <c r="BS149" s="48">
        <f t="shared" si="345"/>
        <v>1.8082109369072643</v>
      </c>
      <c r="BT149" s="48">
        <f t="shared" si="345"/>
        <v>1.9966682683154588</v>
      </c>
      <c r="BU149" s="48">
        <f t="shared" si="345"/>
        <v>1.2983273713732144</v>
      </c>
      <c r="BV149" s="48">
        <f t="shared" si="345"/>
        <v>1.32821694727946</v>
      </c>
      <c r="BW149" s="48">
        <f t="shared" si="345"/>
        <v>1.1917981041156294</v>
      </c>
      <c r="BX149" s="48">
        <f>BX130/BX133</f>
        <v>1.2142703019569203</v>
      </c>
      <c r="BY149" s="48">
        <f>BY130/BY133</f>
        <v>1.0805115106462162</v>
      </c>
      <c r="BZ149" s="48">
        <f>BZ130/BZ133</f>
        <v>0.84091621190487609</v>
      </c>
      <c r="CA149" s="48"/>
      <c r="CB149"/>
      <c r="CC149"/>
      <c r="CD149" s="48"/>
      <c r="CE149" s="48"/>
      <c r="CF149" s="48"/>
      <c r="CH149" s="48">
        <f>CH130/CH133</f>
        <v>1.1884129347771897</v>
      </c>
    </row>
    <row r="150" spans="2:86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/>
      <c r="CC150"/>
      <c r="CD150"/>
      <c r="CE150"/>
      <c r="CF150"/>
      <c r="CH150" s="7"/>
    </row>
    <row r="151" spans="2:86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/>
      <c r="CC151"/>
      <c r="CD151"/>
      <c r="CE151"/>
      <c r="CF151"/>
      <c r="CH151" s="7"/>
    </row>
    <row r="152" spans="2:86">
      <c r="B152" s="777" t="s">
        <v>238</v>
      </c>
      <c r="C152" s="777"/>
      <c r="D152" s="778">
        <f t="shared" ref="D152:U152" si="346">D3</f>
        <v>40612</v>
      </c>
      <c r="E152" s="778">
        <f t="shared" si="346"/>
        <v>40979</v>
      </c>
      <c r="F152" s="778">
        <f t="shared" si="346"/>
        <v>41346</v>
      </c>
      <c r="G152" s="778">
        <f t="shared" si="346"/>
        <v>41713</v>
      </c>
      <c r="H152" s="778">
        <f t="shared" si="346"/>
        <v>42080</v>
      </c>
      <c r="I152" s="778">
        <f t="shared" si="346"/>
        <v>42460</v>
      </c>
      <c r="J152" s="778">
        <f t="shared" si="346"/>
        <v>42825</v>
      </c>
      <c r="K152" s="778">
        <f t="shared" si="346"/>
        <v>43190</v>
      </c>
      <c r="L152" s="778">
        <f t="shared" si="346"/>
        <v>43190</v>
      </c>
      <c r="M152" s="778">
        <f t="shared" si="346"/>
        <v>43555</v>
      </c>
      <c r="N152" s="778">
        <f t="shared" si="346"/>
        <v>43921</v>
      </c>
      <c r="O152" s="778">
        <f t="shared" si="346"/>
        <v>44286</v>
      </c>
      <c r="P152" s="778">
        <f t="shared" si="346"/>
        <v>44651</v>
      </c>
      <c r="Q152" s="778">
        <f t="shared" si="346"/>
        <v>45016</v>
      </c>
      <c r="R152" s="778">
        <f t="shared" si="346"/>
        <v>45382</v>
      </c>
      <c r="S152" s="778">
        <f t="shared" si="346"/>
        <v>45747</v>
      </c>
      <c r="T152" s="778">
        <f t="shared" si="346"/>
        <v>46112</v>
      </c>
      <c r="U152" s="778">
        <f t="shared" si="346"/>
        <v>46112</v>
      </c>
      <c r="V152" s="1042"/>
      <c r="W152" s="778">
        <f t="shared" ref="W152:BB152" si="347">W3</f>
        <v>41068</v>
      </c>
      <c r="X152" s="778">
        <f t="shared" si="347"/>
        <v>41161</v>
      </c>
      <c r="Y152" s="778">
        <f t="shared" si="347"/>
        <v>41253</v>
      </c>
      <c r="Z152" s="778">
        <f t="shared" si="347"/>
        <v>41343</v>
      </c>
      <c r="AA152" s="778">
        <f t="shared" si="347"/>
        <v>41433</v>
      </c>
      <c r="AB152" s="778">
        <f t="shared" si="347"/>
        <v>41526</v>
      </c>
      <c r="AC152" s="778">
        <f t="shared" si="347"/>
        <v>41618</v>
      </c>
      <c r="AD152" s="778">
        <f t="shared" si="347"/>
        <v>41708</v>
      </c>
      <c r="AE152" s="778">
        <f t="shared" si="347"/>
        <v>41798</v>
      </c>
      <c r="AF152" s="778">
        <f t="shared" si="347"/>
        <v>41891</v>
      </c>
      <c r="AG152" s="778">
        <f t="shared" si="347"/>
        <v>41983</v>
      </c>
      <c r="AH152" s="778">
        <f t="shared" si="347"/>
        <v>42073</v>
      </c>
      <c r="AI152" s="778">
        <f t="shared" si="347"/>
        <v>42163</v>
      </c>
      <c r="AJ152" s="778">
        <f t="shared" si="347"/>
        <v>42256</v>
      </c>
      <c r="AK152" s="778">
        <f t="shared" si="347"/>
        <v>42348</v>
      </c>
      <c r="AL152" s="778">
        <f t="shared" si="347"/>
        <v>42439</v>
      </c>
      <c r="AM152" s="778">
        <f t="shared" si="347"/>
        <v>42529</v>
      </c>
      <c r="AN152" s="778">
        <f t="shared" si="347"/>
        <v>42622</v>
      </c>
      <c r="AO152" s="778">
        <f t="shared" si="347"/>
        <v>42714</v>
      </c>
      <c r="AP152" s="778">
        <f t="shared" si="347"/>
        <v>42804</v>
      </c>
      <c r="AQ152" s="778">
        <f t="shared" si="347"/>
        <v>42916</v>
      </c>
      <c r="AR152" s="778">
        <f t="shared" si="347"/>
        <v>43008</v>
      </c>
      <c r="AS152" s="778">
        <f t="shared" si="347"/>
        <v>43100</v>
      </c>
      <c r="AT152" s="778">
        <f t="shared" si="347"/>
        <v>43190</v>
      </c>
      <c r="AU152" s="778">
        <f t="shared" si="347"/>
        <v>43281</v>
      </c>
      <c r="AV152" s="778">
        <f t="shared" si="347"/>
        <v>43373</v>
      </c>
      <c r="AW152" s="778">
        <f t="shared" si="347"/>
        <v>43465</v>
      </c>
      <c r="AX152" s="778">
        <f t="shared" si="347"/>
        <v>43555</v>
      </c>
      <c r="AY152" s="778">
        <f t="shared" si="347"/>
        <v>43646</v>
      </c>
      <c r="AZ152" s="778">
        <f t="shared" si="347"/>
        <v>43738</v>
      </c>
      <c r="BA152" s="778">
        <f t="shared" si="347"/>
        <v>43830</v>
      </c>
      <c r="BB152" s="778">
        <f t="shared" si="347"/>
        <v>43921</v>
      </c>
      <c r="BC152" s="778">
        <f t="shared" ref="BC152:BZ152" si="348">BC3</f>
        <v>44012</v>
      </c>
      <c r="BD152" s="778">
        <f t="shared" si="348"/>
        <v>44104</v>
      </c>
      <c r="BE152" s="778">
        <f t="shared" si="348"/>
        <v>44196</v>
      </c>
      <c r="BF152" s="778">
        <f t="shared" si="348"/>
        <v>44286</v>
      </c>
      <c r="BG152" s="778">
        <f t="shared" si="348"/>
        <v>44377</v>
      </c>
      <c r="BH152" s="778">
        <f t="shared" si="348"/>
        <v>44469</v>
      </c>
      <c r="BI152" s="778">
        <f t="shared" si="348"/>
        <v>44561</v>
      </c>
      <c r="BJ152" s="778">
        <f t="shared" si="348"/>
        <v>44651</v>
      </c>
      <c r="BK152" s="778">
        <f t="shared" si="348"/>
        <v>44742</v>
      </c>
      <c r="BL152" s="778">
        <f t="shared" si="348"/>
        <v>44834</v>
      </c>
      <c r="BM152" s="778">
        <f t="shared" si="348"/>
        <v>44926</v>
      </c>
      <c r="BN152" s="778">
        <f t="shared" si="348"/>
        <v>45016</v>
      </c>
      <c r="BO152" s="778">
        <f t="shared" si="348"/>
        <v>45107</v>
      </c>
      <c r="BP152" s="778">
        <f t="shared" si="348"/>
        <v>45199</v>
      </c>
      <c r="BQ152" s="778">
        <f t="shared" si="348"/>
        <v>45290</v>
      </c>
      <c r="BR152" s="778">
        <f t="shared" si="348"/>
        <v>45382</v>
      </c>
      <c r="BS152" s="778">
        <f t="shared" si="348"/>
        <v>45473</v>
      </c>
      <c r="BT152" s="778">
        <f t="shared" si="348"/>
        <v>45565</v>
      </c>
      <c r="BU152" s="778">
        <f t="shared" si="348"/>
        <v>45656</v>
      </c>
      <c r="BV152" s="778">
        <f t="shared" si="348"/>
        <v>45747</v>
      </c>
      <c r="BW152" s="778">
        <f t="shared" si="348"/>
        <v>45838</v>
      </c>
      <c r="BX152" s="778">
        <f t="shared" si="348"/>
        <v>45930</v>
      </c>
      <c r="BY152" s="778">
        <f t="shared" si="348"/>
        <v>46021</v>
      </c>
      <c r="BZ152" s="778">
        <f t="shared" si="348"/>
        <v>46112</v>
      </c>
      <c r="CA152" s="1042"/>
      <c r="CB152"/>
      <c r="CC152"/>
      <c r="CD152" s="21"/>
      <c r="CE152" s="21"/>
      <c r="CF152" s="21"/>
      <c r="CH152" s="778">
        <f>CH3</f>
        <v>43921</v>
      </c>
    </row>
    <row r="153" spans="2:86">
      <c r="B153" s="25"/>
      <c r="C153" s="25"/>
      <c r="D153" s="779" t="s">
        <v>116</v>
      </c>
      <c r="E153" s="779" t="s">
        <v>116</v>
      </c>
      <c r="F153" s="779" t="s">
        <v>116</v>
      </c>
      <c r="G153" s="779" t="s">
        <v>116</v>
      </c>
      <c r="H153" s="779" t="s">
        <v>116</v>
      </c>
      <c r="I153" s="779" t="s">
        <v>116</v>
      </c>
      <c r="J153" s="779" t="s">
        <v>116</v>
      </c>
      <c r="K153" s="779" t="s">
        <v>116</v>
      </c>
      <c r="L153" s="779" t="s">
        <v>116</v>
      </c>
      <c r="M153" s="779" t="s">
        <v>116</v>
      </c>
      <c r="N153" s="779" t="s">
        <v>116</v>
      </c>
      <c r="O153" s="779" t="s">
        <v>116</v>
      </c>
      <c r="P153" s="779" t="s">
        <v>116</v>
      </c>
      <c r="Q153" s="779" t="s">
        <v>116</v>
      </c>
      <c r="R153" s="779" t="s">
        <v>116</v>
      </c>
      <c r="S153" s="779" t="s">
        <v>116</v>
      </c>
      <c r="T153" s="779" t="s">
        <v>116</v>
      </c>
      <c r="U153" s="779" t="s">
        <v>116</v>
      </c>
      <c r="V153" s="1042"/>
      <c r="W153" s="779" t="s">
        <v>116</v>
      </c>
      <c r="X153" s="779" t="s">
        <v>116</v>
      </c>
      <c r="Y153" s="779" t="s">
        <v>116</v>
      </c>
      <c r="Z153" s="779" t="s">
        <v>116</v>
      </c>
      <c r="AA153" s="779" t="s">
        <v>116</v>
      </c>
      <c r="AB153" s="779" t="s">
        <v>116</v>
      </c>
      <c r="AC153" s="779" t="s">
        <v>116</v>
      </c>
      <c r="AD153" s="779" t="s">
        <v>116</v>
      </c>
      <c r="AE153" s="779" t="s">
        <v>116</v>
      </c>
      <c r="AF153" s="779" t="s">
        <v>116</v>
      </c>
      <c r="AG153" s="779" t="s">
        <v>116</v>
      </c>
      <c r="AH153" s="779" t="s">
        <v>116</v>
      </c>
      <c r="AI153" s="779" t="s">
        <v>116</v>
      </c>
      <c r="AJ153" s="779" t="s">
        <v>116</v>
      </c>
      <c r="AK153" s="779" t="s">
        <v>116</v>
      </c>
      <c r="AL153" s="779" t="s">
        <v>116</v>
      </c>
      <c r="AM153" s="779" t="s">
        <v>116</v>
      </c>
      <c r="AN153" s="779" t="s">
        <v>116</v>
      </c>
      <c r="AO153" s="779" t="s">
        <v>116</v>
      </c>
      <c r="AP153" s="779" t="s">
        <v>116</v>
      </c>
      <c r="AQ153" s="779" t="s">
        <v>116</v>
      </c>
      <c r="AR153" s="779" t="s">
        <v>116</v>
      </c>
      <c r="AS153" s="779" t="s">
        <v>116</v>
      </c>
      <c r="AT153" s="779" t="s">
        <v>116</v>
      </c>
      <c r="AU153" s="779" t="s">
        <v>116</v>
      </c>
      <c r="AV153" s="779" t="s">
        <v>116</v>
      </c>
      <c r="AW153" s="779" t="s">
        <v>116</v>
      </c>
      <c r="AX153" s="779" t="s">
        <v>116</v>
      </c>
      <c r="AY153" s="779" t="s">
        <v>116</v>
      </c>
      <c r="AZ153" s="779" t="s">
        <v>116</v>
      </c>
      <c r="BA153" s="779"/>
      <c r="BB153" s="779"/>
      <c r="BC153" s="779" t="s">
        <v>116</v>
      </c>
      <c r="BD153" s="779" t="s">
        <v>116</v>
      </c>
      <c r="BE153" s="779" t="s">
        <v>116</v>
      </c>
      <c r="BF153" s="779" t="s">
        <v>116</v>
      </c>
      <c r="BG153" s="779" t="s">
        <v>116</v>
      </c>
      <c r="BH153" s="779" t="s">
        <v>116</v>
      </c>
      <c r="BI153" s="779" t="s">
        <v>116</v>
      </c>
      <c r="BJ153" s="779" t="s">
        <v>116</v>
      </c>
      <c r="BK153" s="779" t="s">
        <v>116</v>
      </c>
      <c r="BL153" s="779" t="s">
        <v>116</v>
      </c>
      <c r="BM153" s="779" t="s">
        <v>116</v>
      </c>
      <c r="BN153" s="779" t="s">
        <v>116</v>
      </c>
      <c r="BO153" s="779" t="s">
        <v>116</v>
      </c>
      <c r="BP153" s="779" t="s">
        <v>116</v>
      </c>
      <c r="BQ153" s="779" t="s">
        <v>116</v>
      </c>
      <c r="BR153" s="779" t="s">
        <v>116</v>
      </c>
      <c r="BS153" s="779" t="s">
        <v>116</v>
      </c>
      <c r="BT153" s="779" t="s">
        <v>116</v>
      </c>
      <c r="BU153" s="779" t="s">
        <v>116</v>
      </c>
      <c r="BV153" s="779" t="s">
        <v>116</v>
      </c>
      <c r="BW153" s="779" t="s">
        <v>116</v>
      </c>
      <c r="BX153" s="779" t="s">
        <v>116</v>
      </c>
      <c r="BY153" s="779" t="s">
        <v>116</v>
      </c>
      <c r="BZ153" s="779" t="s">
        <v>116</v>
      </c>
      <c r="CA153" s="1042"/>
      <c r="CB153"/>
      <c r="CC153"/>
      <c r="CD153" s="21"/>
      <c r="CE153" s="21"/>
      <c r="CF153" s="21"/>
      <c r="CH153" s="779"/>
    </row>
    <row r="154" spans="2:86">
      <c r="B154" s="17" t="s">
        <v>239</v>
      </c>
      <c r="D154" s="7">
        <f t="shared" ref="D154:U154" si="349">D97</f>
        <v>596018</v>
      </c>
      <c r="E154" s="7">
        <f t="shared" si="349"/>
        <v>683817</v>
      </c>
      <c r="F154" s="7">
        <f t="shared" si="349"/>
        <v>769469.91597199999</v>
      </c>
      <c r="G154" s="7">
        <f t="shared" si="349"/>
        <v>858634.93831599993</v>
      </c>
      <c r="H154" s="7">
        <f t="shared" si="349"/>
        <v>921351</v>
      </c>
      <c r="I154" s="7">
        <f t="shared" si="349"/>
        <v>966192</v>
      </c>
      <c r="J154" s="7">
        <f t="shared" si="349"/>
        <v>955889</v>
      </c>
      <c r="K154" s="7">
        <f t="shared" si="349"/>
        <v>839367</v>
      </c>
      <c r="L154" s="7">
        <f t="shared" si="349"/>
        <v>828876</v>
      </c>
      <c r="M154" s="7">
        <f t="shared" si="349"/>
        <v>810714</v>
      </c>
      <c r="N154" s="7">
        <f t="shared" si="349"/>
        <v>878638</v>
      </c>
      <c r="O154" s="7">
        <f t="shared" si="349"/>
        <v>1012586</v>
      </c>
      <c r="P154" s="7">
        <f t="shared" si="349"/>
        <v>1170812</v>
      </c>
      <c r="Q154" s="7">
        <f t="shared" si="349"/>
        <v>1400814</v>
      </c>
      <c r="R154" s="7">
        <f t="shared" si="349"/>
        <v>1514178</v>
      </c>
      <c r="S154" s="7">
        <f t="shared" si="349"/>
        <v>1745589</v>
      </c>
      <c r="T154" s="7">
        <f t="shared" si="349"/>
        <v>2137901</v>
      </c>
      <c r="U154" s="7">
        <f t="shared" si="349"/>
        <v>2137901</v>
      </c>
      <c r="V154" s="7"/>
      <c r="W154" s="7"/>
      <c r="X154" s="7"/>
      <c r="Y154" s="7"/>
      <c r="Z154" s="7">
        <f t="shared" ref="Z154:BE154" si="350">Z97</f>
        <v>769469.91597199999</v>
      </c>
      <c r="AA154" s="7">
        <f t="shared" si="350"/>
        <v>786762.15717899997</v>
      </c>
      <c r="AB154" s="7">
        <f t="shared" si="350"/>
        <v>806105.11051799986</v>
      </c>
      <c r="AC154" s="7">
        <f t="shared" si="350"/>
        <v>831953.68929499993</v>
      </c>
      <c r="AD154" s="7">
        <f t="shared" si="350"/>
        <v>858634.93831599993</v>
      </c>
      <c r="AE154" s="7">
        <f t="shared" si="350"/>
        <v>885694.69779499993</v>
      </c>
      <c r="AF154" s="7">
        <f t="shared" si="350"/>
        <v>900884</v>
      </c>
      <c r="AG154" s="7">
        <f t="shared" si="350"/>
        <v>913558</v>
      </c>
      <c r="AH154" s="7">
        <f t="shared" si="350"/>
        <v>921351</v>
      </c>
      <c r="AI154" s="7">
        <f t="shared" si="350"/>
        <v>928104</v>
      </c>
      <c r="AJ154" s="7">
        <f t="shared" si="350"/>
        <v>938006</v>
      </c>
      <c r="AK154" s="7">
        <f t="shared" si="350"/>
        <v>946759</v>
      </c>
      <c r="AL154" s="7">
        <f t="shared" si="350"/>
        <v>966192</v>
      </c>
      <c r="AM154" s="7">
        <f t="shared" si="350"/>
        <v>985113</v>
      </c>
      <c r="AN154" s="7">
        <f t="shared" si="350"/>
        <v>993309</v>
      </c>
      <c r="AO154" s="7">
        <f t="shared" si="350"/>
        <v>985914</v>
      </c>
      <c r="AP154" s="7">
        <f t="shared" si="350"/>
        <v>955889</v>
      </c>
      <c r="AQ154" s="7">
        <f t="shared" si="350"/>
        <v>920227</v>
      </c>
      <c r="AR154" s="7">
        <f t="shared" si="350"/>
        <v>891834</v>
      </c>
      <c r="AS154" s="7">
        <f t="shared" si="350"/>
        <v>862077</v>
      </c>
      <c r="AT154" s="7">
        <f t="shared" si="350"/>
        <v>839367</v>
      </c>
      <c r="AU154" s="7">
        <f t="shared" si="350"/>
        <v>818289.28828710807</v>
      </c>
      <c r="AV154" s="7">
        <f t="shared" si="350"/>
        <v>802257.87556661561</v>
      </c>
      <c r="AW154" s="7">
        <f t="shared" si="350"/>
        <v>801361.53242829058</v>
      </c>
      <c r="AX154" s="7">
        <f t="shared" si="350"/>
        <v>810714</v>
      </c>
      <c r="AY154" s="7">
        <f t="shared" si="350"/>
        <v>819849.71171289193</v>
      </c>
      <c r="AZ154" s="7">
        <f t="shared" si="350"/>
        <v>829549.12443338439</v>
      </c>
      <c r="BA154" s="7">
        <f t="shared" si="350"/>
        <v>846779.46757170931</v>
      </c>
      <c r="BB154" s="7">
        <f t="shared" si="350"/>
        <v>878638</v>
      </c>
      <c r="BC154" s="7">
        <f t="shared" si="350"/>
        <v>910642</v>
      </c>
      <c r="BD154" s="7">
        <f t="shared" si="350"/>
        <v>957645</v>
      </c>
      <c r="BE154" s="7">
        <f t="shared" si="350"/>
        <v>1002543</v>
      </c>
      <c r="BF154" s="7">
        <f t="shared" ref="BF154:BZ154" si="351">BF97</f>
        <v>1012586</v>
      </c>
      <c r="BG154" s="7">
        <f t="shared" si="351"/>
        <v>1041653</v>
      </c>
      <c r="BH154" s="7">
        <f t="shared" si="351"/>
        <v>1066208</v>
      </c>
      <c r="BI154" s="7">
        <f t="shared" si="351"/>
        <v>1101652</v>
      </c>
      <c r="BJ154" s="7">
        <f t="shared" si="351"/>
        <v>1170812</v>
      </c>
      <c r="BK154" s="7">
        <f t="shared" si="351"/>
        <v>1231584</v>
      </c>
      <c r="BL154" s="7">
        <f t="shared" si="351"/>
        <v>1295323</v>
      </c>
      <c r="BM154" s="7">
        <f t="shared" si="351"/>
        <v>1355385</v>
      </c>
      <c r="BN154" s="7">
        <f t="shared" si="351"/>
        <v>1400814</v>
      </c>
      <c r="BO154" s="7">
        <f t="shared" si="351"/>
        <v>1448729</v>
      </c>
      <c r="BP154" s="7">
        <f t="shared" si="351"/>
        <v>1475184</v>
      </c>
      <c r="BQ154" s="7">
        <f t="shared" si="351"/>
        <v>1497957</v>
      </c>
      <c r="BR154" s="7">
        <f t="shared" si="351"/>
        <v>1514178</v>
      </c>
      <c r="BS154" s="7">
        <f t="shared" si="351"/>
        <v>1524994</v>
      </c>
      <c r="BT154" s="7">
        <f t="shared" si="351"/>
        <v>1568532</v>
      </c>
      <c r="BU154" s="7">
        <f t="shared" si="351"/>
        <v>1641129</v>
      </c>
      <c r="BV154" s="7">
        <f t="shared" si="351"/>
        <v>1745589</v>
      </c>
      <c r="BW154" s="7">
        <f t="shared" si="351"/>
        <v>1856604</v>
      </c>
      <c r="BX154" s="7">
        <f t="shared" si="351"/>
        <v>1968055</v>
      </c>
      <c r="BY154" s="7">
        <f t="shared" si="351"/>
        <v>2058904</v>
      </c>
      <c r="BZ154" s="7">
        <f t="shared" si="351"/>
        <v>2137901</v>
      </c>
      <c r="CA154" s="7"/>
      <c r="CB154"/>
      <c r="CC154"/>
      <c r="CD154" s="7"/>
      <c r="CE154" s="7"/>
      <c r="CF154" s="7"/>
      <c r="CH154" s="7">
        <f>CH97</f>
        <v>862122</v>
      </c>
    </row>
    <row r="155" spans="2:86">
      <c r="B155" s="17" t="s">
        <v>240</v>
      </c>
      <c r="D155" s="7">
        <f t="shared" ref="D155:U155" si="352">D100</f>
        <v>200718</v>
      </c>
      <c r="E155" s="7">
        <f t="shared" si="352"/>
        <v>222533</v>
      </c>
      <c r="F155" s="7">
        <f t="shared" si="352"/>
        <v>233340</v>
      </c>
      <c r="G155" s="7">
        <f t="shared" si="352"/>
        <v>278430</v>
      </c>
      <c r="H155" s="7">
        <f t="shared" si="352"/>
        <v>314517</v>
      </c>
      <c r="I155" s="7">
        <f t="shared" si="352"/>
        <v>341682</v>
      </c>
      <c r="J155" s="7">
        <f t="shared" si="352"/>
        <v>356208</v>
      </c>
      <c r="K155" s="7">
        <f t="shared" si="352"/>
        <v>304479</v>
      </c>
      <c r="L155" s="7">
        <f t="shared" si="352"/>
        <v>304479</v>
      </c>
      <c r="M155" s="7">
        <f t="shared" si="352"/>
        <v>262937</v>
      </c>
      <c r="N155" s="7">
        <f t="shared" si="352"/>
        <v>371053</v>
      </c>
      <c r="O155" s="7">
        <f t="shared" si="352"/>
        <v>461387</v>
      </c>
      <c r="P155" s="7">
        <f t="shared" si="352"/>
        <v>581103</v>
      </c>
      <c r="Q155" s="7">
        <f t="shared" si="352"/>
        <v>717330</v>
      </c>
      <c r="R155" s="7">
        <f t="shared" si="352"/>
        <v>889064</v>
      </c>
      <c r="S155" s="7">
        <f t="shared" si="352"/>
        <v>1049994</v>
      </c>
      <c r="T155" s="7">
        <f t="shared" si="352"/>
        <v>1212676</v>
      </c>
      <c r="U155" s="7">
        <f t="shared" si="352"/>
        <v>1212676</v>
      </c>
      <c r="V155" s="7"/>
      <c r="W155" s="7"/>
      <c r="X155" s="7"/>
      <c r="Y155" s="7"/>
      <c r="Z155" s="7">
        <f t="shared" ref="Z155:BE155" si="353">Z100</f>
        <v>233340</v>
      </c>
      <c r="AA155" s="7">
        <f t="shared" si="353"/>
        <v>243933</v>
      </c>
      <c r="AB155" s="7">
        <f t="shared" si="353"/>
        <v>253293</v>
      </c>
      <c r="AC155" s="7">
        <f t="shared" si="353"/>
        <v>266550</v>
      </c>
      <c r="AD155" s="7">
        <f t="shared" si="353"/>
        <v>278430</v>
      </c>
      <c r="AE155" s="7">
        <f t="shared" si="353"/>
        <v>286167</v>
      </c>
      <c r="AF155" s="7">
        <f t="shared" si="353"/>
        <v>295106.99519623339</v>
      </c>
      <c r="AG155" s="7">
        <f t="shared" si="353"/>
        <v>301595.39649600006</v>
      </c>
      <c r="AH155" s="7">
        <f t="shared" si="353"/>
        <v>314517</v>
      </c>
      <c r="AI155" s="7">
        <f t="shared" si="353"/>
        <v>323947.86525200005</v>
      </c>
      <c r="AJ155" s="7">
        <f t="shared" si="353"/>
        <v>328931.88977776654</v>
      </c>
      <c r="AK155" s="7">
        <f t="shared" si="353"/>
        <v>336184.99596900004</v>
      </c>
      <c r="AL155" s="7">
        <f t="shared" si="353"/>
        <v>341682</v>
      </c>
      <c r="AM155" s="7">
        <f t="shared" si="353"/>
        <v>354978.17679399997</v>
      </c>
      <c r="AN155" s="7">
        <f t="shared" si="353"/>
        <v>366986.80519719981</v>
      </c>
      <c r="AO155" s="7">
        <f t="shared" si="353"/>
        <v>367944.18159350724</v>
      </c>
      <c r="AP155" s="7">
        <f t="shared" si="353"/>
        <v>356208</v>
      </c>
      <c r="AQ155" s="7">
        <f t="shared" si="353"/>
        <v>338525.563131342</v>
      </c>
      <c r="AR155" s="7">
        <f t="shared" si="353"/>
        <v>323900.69415554509</v>
      </c>
      <c r="AS155" s="7">
        <f t="shared" si="353"/>
        <v>314066.8102682376</v>
      </c>
      <c r="AT155" s="7">
        <f t="shared" si="353"/>
        <v>304479</v>
      </c>
      <c r="AU155" s="7">
        <f t="shared" si="353"/>
        <v>294618.39482265804</v>
      </c>
      <c r="AV155" s="7">
        <f t="shared" si="353"/>
        <v>278014.61567325512</v>
      </c>
      <c r="AW155" s="7">
        <f t="shared" si="353"/>
        <v>265212.61567325512</v>
      </c>
      <c r="AX155" s="7">
        <f t="shared" si="353"/>
        <v>262937</v>
      </c>
      <c r="AY155" s="7">
        <f t="shared" si="353"/>
        <v>279493.40126231866</v>
      </c>
      <c r="AZ155" s="7">
        <f t="shared" si="353"/>
        <v>305422.93212869955</v>
      </c>
      <c r="BA155" s="7">
        <f t="shared" si="353"/>
        <v>335854.90378347348</v>
      </c>
      <c r="BB155" s="7">
        <f t="shared" si="353"/>
        <v>371053</v>
      </c>
      <c r="BC155" s="7">
        <f t="shared" si="353"/>
        <v>392518.59873768134</v>
      </c>
      <c r="BD155" s="7">
        <f t="shared" si="353"/>
        <v>421639.06787130039</v>
      </c>
      <c r="BE155" s="7">
        <f t="shared" si="353"/>
        <v>449915.09621652652</v>
      </c>
      <c r="BF155" s="7">
        <f t="shared" ref="BF155:BZ155" si="354">BF100</f>
        <v>461387</v>
      </c>
      <c r="BG155" s="7">
        <f t="shared" si="354"/>
        <v>486889</v>
      </c>
      <c r="BH155" s="7">
        <f t="shared" si="354"/>
        <v>508583</v>
      </c>
      <c r="BI155" s="7">
        <f t="shared" si="354"/>
        <v>535853</v>
      </c>
      <c r="BJ155" s="7">
        <f t="shared" si="354"/>
        <v>581103</v>
      </c>
      <c r="BK155" s="7">
        <f t="shared" si="354"/>
        <v>615253</v>
      </c>
      <c r="BL155" s="7">
        <f t="shared" si="354"/>
        <v>652288</v>
      </c>
      <c r="BM155" s="7">
        <f t="shared" si="354"/>
        <v>689248</v>
      </c>
      <c r="BN155" s="7">
        <f t="shared" si="354"/>
        <v>717330</v>
      </c>
      <c r="BO155" s="7">
        <f t="shared" si="354"/>
        <v>748747</v>
      </c>
      <c r="BP155" s="7">
        <f t="shared" si="354"/>
        <v>768185</v>
      </c>
      <c r="BQ155" s="7">
        <f t="shared" si="354"/>
        <v>782620.638997884</v>
      </c>
      <c r="BR155" s="7">
        <f t="shared" si="354"/>
        <v>889064</v>
      </c>
      <c r="BS155" s="7">
        <f t="shared" si="354"/>
        <v>921862</v>
      </c>
      <c r="BT155" s="7">
        <f t="shared" si="354"/>
        <v>980337</v>
      </c>
      <c r="BU155" s="7">
        <f t="shared" si="354"/>
        <v>1070461.361002116</v>
      </c>
      <c r="BV155" s="7">
        <f t="shared" si="354"/>
        <v>1049994</v>
      </c>
      <c r="BW155" s="7">
        <f t="shared" si="354"/>
        <v>1101403</v>
      </c>
      <c r="BX155" s="7">
        <f t="shared" si="354"/>
        <v>1145468</v>
      </c>
      <c r="BY155" s="7">
        <f t="shared" si="354"/>
        <v>1166337</v>
      </c>
      <c r="BZ155" s="7">
        <f t="shared" si="354"/>
        <v>1212676</v>
      </c>
      <c r="CA155" s="7"/>
      <c r="CB155"/>
      <c r="CC155"/>
      <c r="CD155" s="7"/>
      <c r="CE155" s="7"/>
      <c r="CF155" s="7"/>
      <c r="CH155" s="7">
        <f>CH100</f>
        <v>347696</v>
      </c>
    </row>
    <row r="156" spans="2:86">
      <c r="B156" s="17" t="s">
        <v>241</v>
      </c>
      <c r="D156" s="58">
        <f>D155/D154</f>
        <v>0.33676499703029106</v>
      </c>
      <c r="E156" s="58">
        <f t="shared" ref="E156:J156" si="355">E155/E154</f>
        <v>0.3254277094602796</v>
      </c>
      <c r="F156" s="58">
        <f t="shared" si="355"/>
        <v>0.30324772308381054</v>
      </c>
      <c r="G156" s="58">
        <f t="shared" si="355"/>
        <v>0.32427052240160598</v>
      </c>
      <c r="H156" s="58">
        <f t="shared" si="355"/>
        <v>0.34136501724098633</v>
      </c>
      <c r="I156" s="58">
        <f t="shared" si="355"/>
        <v>0.35363778627850367</v>
      </c>
      <c r="J156" s="58">
        <f t="shared" si="355"/>
        <v>0.37264577790935977</v>
      </c>
      <c r="K156" s="58">
        <f t="shared" ref="K156:R156" si="356">K155/K154</f>
        <v>0.36274835679744377</v>
      </c>
      <c r="L156" s="58">
        <f t="shared" si="356"/>
        <v>0.36733962619257887</v>
      </c>
      <c r="M156" s="58">
        <f t="shared" si="356"/>
        <v>0.32432769139301898</v>
      </c>
      <c r="N156" s="58">
        <f t="shared" si="356"/>
        <v>0.42230474894097453</v>
      </c>
      <c r="O156" s="58">
        <f t="shared" si="356"/>
        <v>0.45565216189044683</v>
      </c>
      <c r="P156" s="58">
        <f t="shared" si="356"/>
        <v>0.49632477289265914</v>
      </c>
      <c r="Q156" s="58">
        <f t="shared" si="356"/>
        <v>0.51208083300138352</v>
      </c>
      <c r="R156" s="58">
        <f t="shared" si="356"/>
        <v>0.58715950172304709</v>
      </c>
      <c r="S156" s="58">
        <f>S155/S154</f>
        <v>0.60151272722273108</v>
      </c>
      <c r="T156" s="58">
        <f>T155/T154</f>
        <v>0.56722738798475703</v>
      </c>
      <c r="U156" s="58">
        <f>U155/U154</f>
        <v>0.56722738798475703</v>
      </c>
      <c r="V156" s="58"/>
      <c r="W156" s="58"/>
      <c r="X156" s="58"/>
      <c r="Y156" s="58"/>
      <c r="Z156" s="58">
        <f t="shared" ref="Z156:AS156" si="357">Z155/Z154</f>
        <v>0.30324772308381054</v>
      </c>
      <c r="AA156" s="58">
        <f t="shared" si="357"/>
        <v>0.31004668663099116</v>
      </c>
      <c r="AB156" s="58">
        <f t="shared" si="357"/>
        <v>0.31421832797615556</v>
      </c>
      <c r="AC156" s="58">
        <f t="shared" si="357"/>
        <v>0.32039042969552223</v>
      </c>
      <c r="AD156" s="58">
        <f t="shared" si="357"/>
        <v>0.32427052240160598</v>
      </c>
      <c r="AE156" s="58">
        <f t="shared" si="357"/>
        <v>0.32309891965305104</v>
      </c>
      <c r="AF156" s="58">
        <f t="shared" si="357"/>
        <v>0.32757490997313016</v>
      </c>
      <c r="AG156" s="58">
        <f t="shared" si="357"/>
        <v>0.33013272993723447</v>
      </c>
      <c r="AH156" s="58">
        <f t="shared" si="357"/>
        <v>0.34136501724098633</v>
      </c>
      <c r="AI156" s="58">
        <f t="shared" si="357"/>
        <v>0.34904263450216794</v>
      </c>
      <c r="AJ156" s="58">
        <f t="shared" si="357"/>
        <v>0.35067141337877</v>
      </c>
      <c r="AK156" s="58">
        <f t="shared" si="357"/>
        <v>0.35509036192843169</v>
      </c>
      <c r="AL156" s="58">
        <f t="shared" si="357"/>
        <v>0.35363778627850367</v>
      </c>
      <c r="AM156" s="58">
        <f t="shared" si="357"/>
        <v>0.36034259703607602</v>
      </c>
      <c r="AN156" s="58">
        <f t="shared" si="357"/>
        <v>0.36945885439193626</v>
      </c>
      <c r="AO156" s="58">
        <f t="shared" si="357"/>
        <v>0.37320109217792552</v>
      </c>
      <c r="AP156" s="58">
        <f t="shared" si="357"/>
        <v>0.37264577790935977</v>
      </c>
      <c r="AQ156" s="58">
        <f t="shared" si="357"/>
        <v>0.36787180025291805</v>
      </c>
      <c r="AR156" s="58">
        <f t="shared" si="357"/>
        <v>0.36318495836169634</v>
      </c>
      <c r="AS156" s="58">
        <f t="shared" si="357"/>
        <v>0.36431410450370166</v>
      </c>
      <c r="AT156" s="58">
        <f t="shared" ref="AT156:AY156" si="358">AT155/AT154</f>
        <v>0.36274835679744377</v>
      </c>
      <c r="AU156" s="58">
        <f t="shared" si="358"/>
        <v>0.3600418568833656</v>
      </c>
      <c r="AV156" s="58">
        <f t="shared" si="358"/>
        <v>0.34654021373975297</v>
      </c>
      <c r="AW156" s="58">
        <f t="shared" si="358"/>
        <v>0.330952516362504</v>
      </c>
      <c r="AX156" s="58">
        <f t="shared" si="358"/>
        <v>0.32432769139301898</v>
      </c>
      <c r="AY156" s="58">
        <f t="shared" si="358"/>
        <v>0.34090809238485908</v>
      </c>
      <c r="AZ156" s="58">
        <f t="shared" ref="AZ156:BE156" si="359">AZ155/AZ154</f>
        <v>0.3681794400510226</v>
      </c>
      <c r="BA156" s="58">
        <f t="shared" si="359"/>
        <v>0.39662617794287941</v>
      </c>
      <c r="BB156" s="58">
        <f t="shared" si="359"/>
        <v>0.42230474894097453</v>
      </c>
      <c r="BC156" s="58">
        <f t="shared" si="359"/>
        <v>0.43103502664898097</v>
      </c>
      <c r="BD156" s="58">
        <f t="shared" si="359"/>
        <v>0.44028744249831658</v>
      </c>
      <c r="BE156" s="58">
        <f t="shared" si="359"/>
        <v>0.44877386427966331</v>
      </c>
      <c r="BF156" s="58">
        <f t="shared" ref="BF156:BL156" si="360">BF155/BF154</f>
        <v>0.45565216189044683</v>
      </c>
      <c r="BG156" s="58">
        <f t="shared" si="360"/>
        <v>0.46741957254479177</v>
      </c>
      <c r="BH156" s="58">
        <f t="shared" si="360"/>
        <v>0.47700167321948439</v>
      </c>
      <c r="BI156" s="58">
        <f t="shared" si="360"/>
        <v>0.48640859363937067</v>
      </c>
      <c r="BJ156" s="58">
        <f t="shared" si="360"/>
        <v>0.49632477289265914</v>
      </c>
      <c r="BK156" s="58">
        <f t="shared" si="360"/>
        <v>0.49956235222282847</v>
      </c>
      <c r="BL156" s="58">
        <f t="shared" si="360"/>
        <v>0.50357169601713236</v>
      </c>
      <c r="BM156" s="58">
        <f t="shared" ref="BM156:BR156" si="361">BM155/BM154</f>
        <v>0.50852562187127648</v>
      </c>
      <c r="BN156" s="58">
        <f t="shared" si="361"/>
        <v>0.51208083300138352</v>
      </c>
      <c r="BO156" s="58">
        <f t="shared" si="361"/>
        <v>0.51683026984342828</v>
      </c>
      <c r="BP156" s="58">
        <f t="shared" si="361"/>
        <v>0.52073842991789498</v>
      </c>
      <c r="BQ156" s="58">
        <f t="shared" si="361"/>
        <v>0.52245868138930829</v>
      </c>
      <c r="BR156" s="58">
        <f t="shared" si="361"/>
        <v>0.58715950172304709</v>
      </c>
      <c r="BS156" s="58">
        <f t="shared" ref="BS156:BX156" si="362">BS155/BS154</f>
        <v>0.60450205049987082</v>
      </c>
      <c r="BT156" s="58">
        <f t="shared" si="362"/>
        <v>0.62500286892457402</v>
      </c>
      <c r="BU156" s="58">
        <f t="shared" si="362"/>
        <v>0.65227130895993912</v>
      </c>
      <c r="BV156" s="58">
        <f t="shared" si="362"/>
        <v>0.60151272722273108</v>
      </c>
      <c r="BW156" s="58">
        <f t="shared" si="362"/>
        <v>0.59323528334529063</v>
      </c>
      <c r="BX156" s="58">
        <f t="shared" si="362"/>
        <v>0.5820304818716957</v>
      </c>
      <c r="BY156" s="58">
        <f>BY155/BY154</f>
        <v>0.56648440140968204</v>
      </c>
      <c r="BZ156" s="58">
        <f>BZ155/BZ154</f>
        <v>0.56722738798475703</v>
      </c>
      <c r="CA156" s="58"/>
      <c r="CB156"/>
      <c r="CC156"/>
      <c r="CD156" s="58"/>
      <c r="CE156" s="58"/>
      <c r="CF156" s="58"/>
      <c r="CH156" s="58">
        <f>CH155/CH154</f>
        <v>0.40330254882719613</v>
      </c>
    </row>
    <row r="157" spans="2:86">
      <c r="B157" s="17" t="s">
        <v>242</v>
      </c>
      <c r="D157" s="7">
        <f>D124</f>
        <v>616707</v>
      </c>
      <c r="E157" s="7">
        <f t="shared" ref="E157:J157" si="363">E124</f>
        <v>690232</v>
      </c>
      <c r="F157" s="7">
        <f t="shared" si="363"/>
        <v>667363</v>
      </c>
      <c r="G157" s="7">
        <f t="shared" si="363"/>
        <v>759984</v>
      </c>
      <c r="H157" s="7">
        <f t="shared" si="363"/>
        <v>806839</v>
      </c>
      <c r="I157" s="7">
        <f t="shared" si="363"/>
        <v>1004526</v>
      </c>
      <c r="J157" s="7">
        <f t="shared" si="363"/>
        <v>1074281</v>
      </c>
      <c r="K157" s="7">
        <f t="shared" ref="K157:Q157" si="364">K124</f>
        <v>1141676</v>
      </c>
      <c r="L157" s="7">
        <f t="shared" si="364"/>
        <v>1121653.739312523</v>
      </c>
      <c r="M157" s="7">
        <f t="shared" si="364"/>
        <v>1257122.0815995252</v>
      </c>
      <c r="N157" s="7">
        <f t="shared" si="364"/>
        <v>1479200.313589588</v>
      </c>
      <c r="O157" s="7">
        <f t="shared" si="364"/>
        <v>1625790</v>
      </c>
      <c r="P157" s="7">
        <f t="shared" si="364"/>
        <v>1695281</v>
      </c>
      <c r="Q157" s="7">
        <f t="shared" si="364"/>
        <v>2259697</v>
      </c>
      <c r="R157" s="7">
        <f>R124</f>
        <v>2149609</v>
      </c>
      <c r="S157" s="7">
        <f>S124</f>
        <v>2137431</v>
      </c>
      <c r="T157" s="7">
        <f>T124</f>
        <v>1955106</v>
      </c>
      <c r="U157" s="7">
        <f>U124</f>
        <v>1955106</v>
      </c>
      <c r="V157" s="7"/>
      <c r="W157" s="7">
        <f t="shared" ref="W157:AS157" si="365">W124</f>
        <v>705776</v>
      </c>
      <c r="X157" s="7">
        <f t="shared" si="365"/>
        <v>643282</v>
      </c>
      <c r="Y157" s="7">
        <f t="shared" si="365"/>
        <v>678051</v>
      </c>
      <c r="Z157" s="7">
        <f t="shared" si="365"/>
        <v>667363</v>
      </c>
      <c r="AA157" s="7">
        <f t="shared" si="365"/>
        <v>744639</v>
      </c>
      <c r="AB157" s="7">
        <f t="shared" si="365"/>
        <v>744437</v>
      </c>
      <c r="AC157" s="7">
        <f t="shared" si="365"/>
        <v>733140</v>
      </c>
      <c r="AD157" s="7">
        <f t="shared" si="365"/>
        <v>759984</v>
      </c>
      <c r="AE157" s="7">
        <f t="shared" si="365"/>
        <v>716751</v>
      </c>
      <c r="AF157" s="7">
        <f t="shared" si="365"/>
        <v>749234</v>
      </c>
      <c r="AG157" s="7">
        <f t="shared" si="365"/>
        <v>799272</v>
      </c>
      <c r="AH157" s="7">
        <f t="shared" si="365"/>
        <v>806839</v>
      </c>
      <c r="AI157" s="7">
        <f t="shared" si="365"/>
        <v>949525.07755799999</v>
      </c>
      <c r="AJ157" s="7">
        <f t="shared" si="365"/>
        <v>912951.80537900003</v>
      </c>
      <c r="AK157" s="7">
        <f t="shared" si="365"/>
        <v>945323.94797600002</v>
      </c>
      <c r="AL157" s="7">
        <f t="shared" si="365"/>
        <v>1004526</v>
      </c>
      <c r="AM157" s="7">
        <f t="shared" si="365"/>
        <v>1017509</v>
      </c>
      <c r="AN157" s="7">
        <f t="shared" si="365"/>
        <v>988136.41577116004</v>
      </c>
      <c r="AO157" s="7">
        <f t="shared" si="365"/>
        <v>1140647</v>
      </c>
      <c r="AP157" s="7">
        <f t="shared" si="365"/>
        <v>1074281</v>
      </c>
      <c r="AQ157" s="7">
        <f t="shared" si="365"/>
        <v>1028119</v>
      </c>
      <c r="AR157" s="7">
        <f t="shared" si="365"/>
        <v>1053240.5980251029</v>
      </c>
      <c r="AS157" s="7">
        <f t="shared" si="365"/>
        <v>1062405.605602575</v>
      </c>
      <c r="AT157" s="7">
        <f t="shared" ref="AT157:AY157" si="366">AT124</f>
        <v>1141676</v>
      </c>
      <c r="AU157" s="7">
        <f t="shared" si="366"/>
        <v>1202939</v>
      </c>
      <c r="AV157" s="7">
        <f t="shared" si="366"/>
        <v>1284463.9297189871</v>
      </c>
      <c r="AW157" s="7">
        <f t="shared" si="366"/>
        <v>1215776.8649815719</v>
      </c>
      <c r="AX157" s="7">
        <f t="shared" si="366"/>
        <v>1257122.0815995252</v>
      </c>
      <c r="AY157" s="7">
        <f t="shared" si="366"/>
        <v>1297779.2912892101</v>
      </c>
      <c r="AZ157" s="7">
        <f t="shared" ref="AZ157:BE157" si="367">AZ124</f>
        <v>1365791.0676634838</v>
      </c>
      <c r="BA157" s="7">
        <f t="shared" si="367"/>
        <v>1461604.193206934</v>
      </c>
      <c r="BB157" s="7">
        <f t="shared" si="367"/>
        <v>1479200.313589588</v>
      </c>
      <c r="BC157" s="7">
        <f t="shared" si="367"/>
        <v>1452838.545356195</v>
      </c>
      <c r="BD157" s="7">
        <f t="shared" si="367"/>
        <v>1593730.6884700002</v>
      </c>
      <c r="BE157" s="7">
        <f t="shared" si="367"/>
        <v>1579086</v>
      </c>
      <c r="BF157" s="7">
        <f t="shared" ref="BF157:BK157" si="368">BF124</f>
        <v>1625790</v>
      </c>
      <c r="BG157" s="7">
        <f t="shared" si="368"/>
        <v>1686408</v>
      </c>
      <c r="BH157" s="7">
        <f t="shared" si="368"/>
        <v>1802022</v>
      </c>
      <c r="BI157" s="7">
        <f t="shared" si="368"/>
        <v>1682871.3913205219</v>
      </c>
      <c r="BJ157" s="7">
        <f t="shared" si="368"/>
        <v>1695281</v>
      </c>
      <c r="BK157" s="7">
        <f t="shared" si="368"/>
        <v>1779197.1716298289</v>
      </c>
      <c r="BL157" s="7">
        <f t="shared" ref="BL157:BQ157" si="369">BL124</f>
        <v>2179015.0425397041</v>
      </c>
      <c r="BM157" s="7">
        <f t="shared" si="369"/>
        <v>2220546.2218100782</v>
      </c>
      <c r="BN157" s="7">
        <f t="shared" si="369"/>
        <v>2259697</v>
      </c>
      <c r="BO157" s="7">
        <f t="shared" si="369"/>
        <v>2249319</v>
      </c>
      <c r="BP157" s="7">
        <f t="shared" si="369"/>
        <v>2173577.7867535953</v>
      </c>
      <c r="BQ157" s="7">
        <f t="shared" si="369"/>
        <v>2185044</v>
      </c>
      <c r="BR157" s="7">
        <f t="shared" ref="BR157:BW157" si="370">BR124</f>
        <v>2149609</v>
      </c>
      <c r="BS157" s="7">
        <f t="shared" si="370"/>
        <v>2089704.8348989999</v>
      </c>
      <c r="BT157" s="7">
        <f t="shared" si="370"/>
        <v>2256550.9061660003</v>
      </c>
      <c r="BU157" s="7">
        <f t="shared" si="370"/>
        <v>2047344</v>
      </c>
      <c r="BV157" s="7">
        <f t="shared" si="370"/>
        <v>2137431</v>
      </c>
      <c r="BW157" s="7">
        <f t="shared" si="370"/>
        <v>2034646</v>
      </c>
      <c r="BX157" s="7">
        <f>BX124</f>
        <v>2081152</v>
      </c>
      <c r="BY157" s="7">
        <f>BY124</f>
        <v>1980042</v>
      </c>
      <c r="BZ157" s="7">
        <f>BZ124</f>
        <v>1955106</v>
      </c>
      <c r="CA157" s="7"/>
      <c r="CB157"/>
      <c r="CC157"/>
      <c r="CD157" s="7"/>
      <c r="CE157" s="7"/>
      <c r="CF157" s="7"/>
      <c r="CH157" s="7">
        <f>CH124</f>
        <v>1504330.18822327</v>
      </c>
    </row>
    <row r="158" spans="2:86">
      <c r="B158" s="17" t="s">
        <v>79</v>
      </c>
      <c r="D158" s="7">
        <f>D128</f>
        <v>17195</v>
      </c>
      <c r="E158" s="7">
        <f t="shared" ref="E158:J158" si="371">E128</f>
        <v>39838</v>
      </c>
      <c r="F158" s="7">
        <f t="shared" si="371"/>
        <v>83796</v>
      </c>
      <c r="G158" s="7">
        <f t="shared" si="371"/>
        <v>154568</v>
      </c>
      <c r="H158" s="7">
        <f t="shared" si="371"/>
        <v>138422</v>
      </c>
      <c r="I158" s="7">
        <f t="shared" si="371"/>
        <v>111547</v>
      </c>
      <c r="J158" s="7">
        <f t="shared" si="371"/>
        <v>103733</v>
      </c>
      <c r="K158" s="7">
        <f t="shared" ref="K158:Q158" si="372">K128</f>
        <v>120593</v>
      </c>
      <c r="L158" s="7">
        <f t="shared" si="372"/>
        <v>120593.43155635298</v>
      </c>
      <c r="M158" s="7">
        <f t="shared" si="372"/>
        <v>127222.84951266901</v>
      </c>
      <c r="N158" s="7">
        <f t="shared" si="372"/>
        <v>290610</v>
      </c>
      <c r="O158" s="7">
        <f t="shared" si="372"/>
        <v>140713</v>
      </c>
      <c r="P158" s="7">
        <f t="shared" si="372"/>
        <v>92208</v>
      </c>
      <c r="Q158" s="7">
        <f t="shared" si="372"/>
        <v>128434</v>
      </c>
      <c r="R158" s="7">
        <f>R128</f>
        <v>103147</v>
      </c>
      <c r="S158" s="7">
        <f>S128</f>
        <v>99047</v>
      </c>
      <c r="T158" s="7">
        <f>T128</f>
        <v>307218</v>
      </c>
      <c r="U158" s="7">
        <f>U128</f>
        <v>307218</v>
      </c>
      <c r="V158" s="7"/>
      <c r="W158" s="7">
        <f t="shared" ref="W158:AS158" si="373">W128</f>
        <v>51352</v>
      </c>
      <c r="X158" s="7">
        <f t="shared" si="373"/>
        <v>32756</v>
      </c>
      <c r="Y158" s="7">
        <f t="shared" si="373"/>
        <v>94114</v>
      </c>
      <c r="Z158" s="7">
        <f t="shared" si="373"/>
        <v>83796</v>
      </c>
      <c r="AA158" s="7">
        <f t="shared" si="373"/>
        <v>157434</v>
      </c>
      <c r="AB158" s="7">
        <f t="shared" si="373"/>
        <v>130937</v>
      </c>
      <c r="AC158" s="7">
        <f t="shared" si="373"/>
        <v>156710</v>
      </c>
      <c r="AD158" s="7">
        <f t="shared" si="373"/>
        <v>154568</v>
      </c>
      <c r="AE158" s="7">
        <f t="shared" si="373"/>
        <v>139308</v>
      </c>
      <c r="AF158" s="7">
        <f t="shared" si="373"/>
        <v>127076</v>
      </c>
      <c r="AG158" s="7">
        <f t="shared" si="373"/>
        <v>130884</v>
      </c>
      <c r="AH158" s="7">
        <f t="shared" si="373"/>
        <v>138422</v>
      </c>
      <c r="AI158" s="7">
        <f t="shared" si="373"/>
        <v>229654</v>
      </c>
      <c r="AJ158" s="7">
        <f t="shared" si="373"/>
        <v>155461</v>
      </c>
      <c r="AK158" s="7">
        <f t="shared" si="373"/>
        <v>103889</v>
      </c>
      <c r="AL158" s="7">
        <f t="shared" si="373"/>
        <v>111547</v>
      </c>
      <c r="AM158" s="7">
        <f t="shared" si="373"/>
        <v>128069</v>
      </c>
      <c r="AN158" s="7">
        <f t="shared" si="373"/>
        <v>114503.41577116</v>
      </c>
      <c r="AO158" s="7">
        <f t="shared" si="373"/>
        <v>106841</v>
      </c>
      <c r="AP158" s="7">
        <f t="shared" si="373"/>
        <v>103733</v>
      </c>
      <c r="AQ158" s="7">
        <f t="shared" si="373"/>
        <v>94328</v>
      </c>
      <c r="AR158" s="7">
        <f t="shared" si="373"/>
        <v>84933.341116778</v>
      </c>
      <c r="AS158" s="7">
        <f t="shared" si="373"/>
        <v>96877</v>
      </c>
      <c r="AT158" s="7">
        <f t="shared" ref="AT158:AY158" si="374">AT128</f>
        <v>120593</v>
      </c>
      <c r="AU158" s="7">
        <f t="shared" si="374"/>
        <v>123793</v>
      </c>
      <c r="AV158" s="7">
        <f t="shared" si="374"/>
        <v>100117</v>
      </c>
      <c r="AW158" s="7">
        <f t="shared" si="374"/>
        <v>102809</v>
      </c>
      <c r="AX158" s="7">
        <f t="shared" si="374"/>
        <v>127222.84951266901</v>
      </c>
      <c r="AY158" s="7">
        <f t="shared" si="374"/>
        <v>131321.27132851499</v>
      </c>
      <c r="AZ158" s="7">
        <f t="shared" ref="AZ158:BE158" si="375">AZ128</f>
        <v>184726.072866659</v>
      </c>
      <c r="BA158" s="7">
        <f t="shared" si="375"/>
        <v>312410.696144938</v>
      </c>
      <c r="BB158" s="7">
        <f t="shared" si="375"/>
        <v>290610</v>
      </c>
      <c r="BC158" s="7">
        <f t="shared" si="375"/>
        <v>287434</v>
      </c>
      <c r="BD158" s="7">
        <f t="shared" si="375"/>
        <v>215313.8707</v>
      </c>
      <c r="BE158" s="7">
        <f t="shared" si="375"/>
        <v>104704</v>
      </c>
      <c r="BF158" s="7">
        <f t="shared" ref="BF158:BK158" si="376">BF128</f>
        <v>140713</v>
      </c>
      <c r="BG158" s="7">
        <f t="shared" si="376"/>
        <v>90187</v>
      </c>
      <c r="BH158" s="7">
        <f t="shared" si="376"/>
        <v>139629</v>
      </c>
      <c r="BI158" s="7">
        <f t="shared" si="376"/>
        <v>91451.101451956012</v>
      </c>
      <c r="BJ158" s="7">
        <f t="shared" si="376"/>
        <v>92208</v>
      </c>
      <c r="BK158" s="7">
        <f t="shared" si="376"/>
        <v>106002.16907555901</v>
      </c>
      <c r="BL158" s="7">
        <f t="shared" ref="BL158:BQ158" si="377">BL128</f>
        <v>82596.571418306994</v>
      </c>
      <c r="BM158" s="7">
        <f t="shared" si="377"/>
        <v>123235.18665034999</v>
      </c>
      <c r="BN158" s="7">
        <f t="shared" si="377"/>
        <v>128434</v>
      </c>
      <c r="BO158" s="7">
        <f t="shared" si="377"/>
        <v>172029</v>
      </c>
      <c r="BP158" s="7">
        <f t="shared" si="377"/>
        <v>103420.16606679501</v>
      </c>
      <c r="BQ158" s="7">
        <f t="shared" si="377"/>
        <v>164342</v>
      </c>
      <c r="BR158" s="7">
        <f t="shared" ref="BR158:BW158" si="378">BR128</f>
        <v>103147</v>
      </c>
      <c r="BS158" s="7">
        <f t="shared" si="378"/>
        <v>63902.834899000001</v>
      </c>
      <c r="BT158" s="7">
        <f t="shared" si="378"/>
        <v>54165.906166000001</v>
      </c>
      <c r="BU158" s="7">
        <f t="shared" si="378"/>
        <v>81257</v>
      </c>
      <c r="BV158" s="7">
        <f t="shared" si="378"/>
        <v>99047</v>
      </c>
      <c r="BW158" s="7">
        <f t="shared" si="378"/>
        <v>118852</v>
      </c>
      <c r="BX158" s="7">
        <f>BX128</f>
        <v>134021</v>
      </c>
      <c r="BY158" s="7">
        <f>BY128</f>
        <v>153836</v>
      </c>
      <c r="BZ158" s="7">
        <f>BZ128</f>
        <v>307218</v>
      </c>
      <c r="CA158" s="7"/>
      <c r="CB158"/>
      <c r="CC158"/>
      <c r="CD158" s="7"/>
      <c r="CE158" s="7"/>
      <c r="CF158" s="7"/>
      <c r="CH158" s="7">
        <f>CH128</f>
        <v>290610</v>
      </c>
    </row>
    <row r="159" spans="2:86">
      <c r="B159" s="17" t="s">
        <v>243</v>
      </c>
      <c r="D159" s="7">
        <f>D157-D158</f>
        <v>599512</v>
      </c>
      <c r="E159" s="7">
        <f t="shared" ref="E159:J159" si="379">E157-E158</f>
        <v>650394</v>
      </c>
      <c r="F159" s="7">
        <f t="shared" si="379"/>
        <v>583567</v>
      </c>
      <c r="G159" s="7">
        <f t="shared" si="379"/>
        <v>605416</v>
      </c>
      <c r="H159" s="7">
        <f t="shared" si="379"/>
        <v>668417</v>
      </c>
      <c r="I159" s="7">
        <f t="shared" si="379"/>
        <v>892979</v>
      </c>
      <c r="J159" s="7">
        <f t="shared" si="379"/>
        <v>970548</v>
      </c>
      <c r="K159" s="7">
        <f t="shared" ref="K159:R159" si="380">K157-K158</f>
        <v>1021083</v>
      </c>
      <c r="L159" s="7">
        <f t="shared" si="380"/>
        <v>1001060.30775617</v>
      </c>
      <c r="M159" s="7">
        <f t="shared" si="380"/>
        <v>1129899.2320868562</v>
      </c>
      <c r="N159" s="7">
        <f t="shared" si="380"/>
        <v>1188590.313589588</v>
      </c>
      <c r="O159" s="7">
        <f t="shared" si="380"/>
        <v>1485077</v>
      </c>
      <c r="P159" s="7">
        <f t="shared" si="380"/>
        <v>1603073</v>
      </c>
      <c r="Q159" s="7">
        <f t="shared" si="380"/>
        <v>2131263</v>
      </c>
      <c r="R159" s="7">
        <f t="shared" si="380"/>
        <v>2046462</v>
      </c>
      <c r="S159" s="7">
        <f>S157-S158</f>
        <v>2038384</v>
      </c>
      <c r="T159" s="7">
        <f>T157-T158</f>
        <v>1647888</v>
      </c>
      <c r="U159" s="7">
        <f>U157-U158</f>
        <v>1647888</v>
      </c>
      <c r="V159" s="7"/>
      <c r="W159" s="7">
        <f t="shared" ref="W159:AS159" si="381">W157-W158</f>
        <v>654424</v>
      </c>
      <c r="X159" s="7">
        <f t="shared" si="381"/>
        <v>610526</v>
      </c>
      <c r="Y159" s="7">
        <f t="shared" si="381"/>
        <v>583937</v>
      </c>
      <c r="Z159" s="7">
        <f t="shared" si="381"/>
        <v>583567</v>
      </c>
      <c r="AA159" s="7">
        <f t="shared" si="381"/>
        <v>587205</v>
      </c>
      <c r="AB159" s="7">
        <f t="shared" si="381"/>
        <v>613500</v>
      </c>
      <c r="AC159" s="7">
        <f t="shared" si="381"/>
        <v>576430</v>
      </c>
      <c r="AD159" s="7">
        <f t="shared" si="381"/>
        <v>605416</v>
      </c>
      <c r="AE159" s="7">
        <f t="shared" si="381"/>
        <v>577443</v>
      </c>
      <c r="AF159" s="7">
        <f t="shared" si="381"/>
        <v>622158</v>
      </c>
      <c r="AG159" s="7">
        <f t="shared" si="381"/>
        <v>668388</v>
      </c>
      <c r="AH159" s="7">
        <f t="shared" si="381"/>
        <v>668417</v>
      </c>
      <c r="AI159" s="7">
        <f t="shared" si="381"/>
        <v>719871.07755799999</v>
      </c>
      <c r="AJ159" s="7">
        <f t="shared" si="381"/>
        <v>757490.80537900003</v>
      </c>
      <c r="AK159" s="7">
        <f t="shared" si="381"/>
        <v>841434.94797600002</v>
      </c>
      <c r="AL159" s="7">
        <f t="shared" si="381"/>
        <v>892979</v>
      </c>
      <c r="AM159" s="7">
        <f t="shared" si="381"/>
        <v>889440</v>
      </c>
      <c r="AN159" s="7">
        <f t="shared" si="381"/>
        <v>873633</v>
      </c>
      <c r="AO159" s="7">
        <f t="shared" si="381"/>
        <v>1033806</v>
      </c>
      <c r="AP159" s="7">
        <f t="shared" si="381"/>
        <v>970548</v>
      </c>
      <c r="AQ159" s="7">
        <f t="shared" si="381"/>
        <v>933791</v>
      </c>
      <c r="AR159" s="7">
        <f t="shared" si="381"/>
        <v>968307.2569083249</v>
      </c>
      <c r="AS159" s="7">
        <f t="shared" si="381"/>
        <v>965528.605602575</v>
      </c>
      <c r="AT159" s="7">
        <f t="shared" ref="AT159:AY159" si="382">AT157-AT158</f>
        <v>1021083</v>
      </c>
      <c r="AU159" s="7">
        <f t="shared" si="382"/>
        <v>1079146</v>
      </c>
      <c r="AV159" s="7">
        <f t="shared" si="382"/>
        <v>1184346.9297189871</v>
      </c>
      <c r="AW159" s="7">
        <f t="shared" si="382"/>
        <v>1112967.8649815719</v>
      </c>
      <c r="AX159" s="7">
        <f t="shared" si="382"/>
        <v>1129899.2320868562</v>
      </c>
      <c r="AY159" s="7">
        <f t="shared" si="382"/>
        <v>1166458.0199606952</v>
      </c>
      <c r="AZ159" s="7">
        <f t="shared" ref="AZ159:BE159" si="383">AZ157-AZ158</f>
        <v>1181064.9947968249</v>
      </c>
      <c r="BA159" s="7">
        <f t="shared" si="383"/>
        <v>1149193.497061996</v>
      </c>
      <c r="BB159" s="7">
        <f t="shared" si="383"/>
        <v>1188590.313589588</v>
      </c>
      <c r="BC159" s="7">
        <f t="shared" si="383"/>
        <v>1165404.545356195</v>
      </c>
      <c r="BD159" s="7">
        <f t="shared" si="383"/>
        <v>1378416.8177700001</v>
      </c>
      <c r="BE159" s="7">
        <f t="shared" si="383"/>
        <v>1474382</v>
      </c>
      <c r="BF159" s="7">
        <f t="shared" ref="BF159:BL159" si="384">BF157-BF158</f>
        <v>1485077</v>
      </c>
      <c r="BG159" s="7">
        <f t="shared" si="384"/>
        <v>1596221</v>
      </c>
      <c r="BH159" s="7">
        <f t="shared" si="384"/>
        <v>1662393</v>
      </c>
      <c r="BI159" s="7">
        <f t="shared" si="384"/>
        <v>1591420.289868566</v>
      </c>
      <c r="BJ159" s="7">
        <f t="shared" si="384"/>
        <v>1603073</v>
      </c>
      <c r="BK159" s="7">
        <f t="shared" si="384"/>
        <v>1673195.00255427</v>
      </c>
      <c r="BL159" s="7">
        <f t="shared" si="384"/>
        <v>2096418.4711213971</v>
      </c>
      <c r="BM159" s="7">
        <f t="shared" ref="BM159:BR159" si="385">BM157-BM158</f>
        <v>2097311.0351597285</v>
      </c>
      <c r="BN159" s="7">
        <f t="shared" si="385"/>
        <v>2131263</v>
      </c>
      <c r="BO159" s="7">
        <f t="shared" si="385"/>
        <v>2077290</v>
      </c>
      <c r="BP159" s="7">
        <f t="shared" si="385"/>
        <v>2070157.6206868002</v>
      </c>
      <c r="BQ159" s="7">
        <f t="shared" si="385"/>
        <v>2020702</v>
      </c>
      <c r="BR159" s="7">
        <f t="shared" si="385"/>
        <v>2046462</v>
      </c>
      <c r="BS159" s="7">
        <f t="shared" ref="BS159:BX159" si="386">BS157-BS158</f>
        <v>2025802</v>
      </c>
      <c r="BT159" s="7">
        <f t="shared" si="386"/>
        <v>2202385.0000000005</v>
      </c>
      <c r="BU159" s="7">
        <f t="shared" si="386"/>
        <v>1966087</v>
      </c>
      <c r="BV159" s="7">
        <f t="shared" si="386"/>
        <v>2038384</v>
      </c>
      <c r="BW159" s="7">
        <f t="shared" si="386"/>
        <v>1915794</v>
      </c>
      <c r="BX159" s="7">
        <f t="shared" si="386"/>
        <v>1947131</v>
      </c>
      <c r="BY159" s="7">
        <f>BY157-BY158</f>
        <v>1826206</v>
      </c>
      <c r="BZ159" s="7">
        <f>BZ157-BZ158</f>
        <v>1647888</v>
      </c>
      <c r="CA159" s="7"/>
      <c r="CB159"/>
      <c r="CC159"/>
      <c r="CD159" s="7"/>
      <c r="CE159" s="7"/>
      <c r="CF159" s="7"/>
      <c r="CH159" s="7">
        <f>CH157-CH158</f>
        <v>1213720.18822327</v>
      </c>
    </row>
    <row r="160" spans="2:86">
      <c r="B160" s="17" t="s">
        <v>244</v>
      </c>
      <c r="D160" s="72">
        <f>D157/D155</f>
        <v>3.0725047080979286</v>
      </c>
      <c r="E160" s="72">
        <f t="shared" ref="E160:J160" si="387">E157/E155</f>
        <v>3.1017062637900894</v>
      </c>
      <c r="F160" s="72">
        <f t="shared" si="387"/>
        <v>2.8600454272735063</v>
      </c>
      <c r="G160" s="72">
        <f t="shared" si="387"/>
        <v>2.7295334554466115</v>
      </c>
      <c r="H160" s="72">
        <f t="shared" si="387"/>
        <v>2.5653271524273729</v>
      </c>
      <c r="I160" s="72">
        <f t="shared" si="387"/>
        <v>2.9399441586036139</v>
      </c>
      <c r="J160" s="72">
        <f t="shared" si="387"/>
        <v>3.0158811705520372</v>
      </c>
      <c r="K160" s="72">
        <f t="shared" ref="K160:P160" si="388">K157/K155</f>
        <v>3.7496050630749576</v>
      </c>
      <c r="L160" s="72">
        <f t="shared" si="388"/>
        <v>3.6838459772678021</v>
      </c>
      <c r="M160" s="72">
        <f t="shared" si="388"/>
        <v>4.781077146234745</v>
      </c>
      <c r="N160" s="72">
        <f t="shared" si="388"/>
        <v>3.9864933408154308</v>
      </c>
      <c r="O160" s="72">
        <f t="shared" si="388"/>
        <v>3.5237013613300765</v>
      </c>
      <c r="P160" s="72">
        <f t="shared" si="388"/>
        <v>2.917350280415004</v>
      </c>
      <c r="Q160" s="72">
        <f>Q157/Q155</f>
        <v>3.1501498612911769</v>
      </c>
      <c r="R160" s="72">
        <f>R157/R155</f>
        <v>2.4178338117390874</v>
      </c>
      <c r="S160" s="72">
        <f>S157/S155</f>
        <v>2.035660203772593</v>
      </c>
      <c r="T160" s="72">
        <f>T157/T155</f>
        <v>1.6122245348304081</v>
      </c>
      <c r="U160" s="72">
        <f>U143</f>
        <v>1.6122245348304081</v>
      </c>
      <c r="V160" s="72"/>
      <c r="W160" s="104"/>
      <c r="X160" s="104"/>
      <c r="Y160" s="104"/>
      <c r="Z160" s="72">
        <f>Z143</f>
        <v>2.8600454272735063</v>
      </c>
      <c r="AA160" s="72">
        <f t="shared" ref="AA160:AS160" si="389">AA143</f>
        <v>3.0526374045332121</v>
      </c>
      <c r="AB160" s="72">
        <f t="shared" si="389"/>
        <v>2.9390350305772368</v>
      </c>
      <c r="AC160" s="72">
        <f t="shared" si="389"/>
        <v>2.7504783342712438</v>
      </c>
      <c r="AD160" s="72">
        <f t="shared" si="389"/>
        <v>2.7295334554466115</v>
      </c>
      <c r="AE160" s="72">
        <f t="shared" si="389"/>
        <v>2.5046598664416231</v>
      </c>
      <c r="AF160" s="72">
        <f t="shared" si="389"/>
        <v>2.538855439539113</v>
      </c>
      <c r="AG160" s="72">
        <f t="shared" si="389"/>
        <v>2.6501465515923432</v>
      </c>
      <c r="AH160" s="72">
        <f t="shared" si="389"/>
        <v>2.5653271524273729</v>
      </c>
      <c r="AI160" s="72">
        <f t="shared" si="389"/>
        <v>2.9311045986346027</v>
      </c>
      <c r="AJ160" s="72">
        <f t="shared" si="389"/>
        <v>2.7755040899069101</v>
      </c>
      <c r="AK160" s="72">
        <f t="shared" si="389"/>
        <v>2.8119159370906885</v>
      </c>
      <c r="AL160" s="72">
        <f t="shared" si="389"/>
        <v>2.9399441586036139</v>
      </c>
      <c r="AM160" s="72">
        <f t="shared" si="389"/>
        <v>2.8663987436908784</v>
      </c>
      <c r="AN160" s="72">
        <f t="shared" si="389"/>
        <v>2.6925666039687353</v>
      </c>
      <c r="AO160" s="72">
        <f t="shared" si="389"/>
        <v>3.1000544567929862</v>
      </c>
      <c r="AP160" s="72">
        <f t="shared" si="389"/>
        <v>3.0158811705520372</v>
      </c>
      <c r="AQ160" s="72">
        <f t="shared" si="389"/>
        <v>3.0370498183060635</v>
      </c>
      <c r="AR160" s="72">
        <f t="shared" si="389"/>
        <v>3.2517392430141281</v>
      </c>
      <c r="AS160" s="72">
        <f t="shared" si="389"/>
        <v>3.3827375923460283</v>
      </c>
      <c r="AT160" s="72">
        <f t="shared" ref="AT160:AY160" si="390">AT143</f>
        <v>3.7496050630749576</v>
      </c>
      <c r="AU160" s="72">
        <f t="shared" si="390"/>
        <v>4.0830410495043754</v>
      </c>
      <c r="AV160" s="72">
        <f t="shared" si="390"/>
        <v>4.6201309474628172</v>
      </c>
      <c r="AW160" s="72">
        <f t="shared" si="390"/>
        <v>4.5841592485910345</v>
      </c>
      <c r="AX160" s="72">
        <f t="shared" si="390"/>
        <v>4.781077146234745</v>
      </c>
      <c r="AY160" s="72">
        <f t="shared" si="390"/>
        <v>3.8203057941919023</v>
      </c>
      <c r="AZ160" s="72">
        <f t="shared" ref="AZ160:BE160" si="391">AZ143</f>
        <v>3.8209276707529676</v>
      </c>
      <c r="BA160" s="72">
        <f t="shared" si="391"/>
        <v>3.9079919901888753</v>
      </c>
      <c r="BB160" s="72">
        <f t="shared" si="391"/>
        <v>3.9864933408154308</v>
      </c>
      <c r="BC160" s="72">
        <f t="shared" si="391"/>
        <v>3.413881084471095</v>
      </c>
      <c r="BD160" s="72">
        <f t="shared" si="391"/>
        <v>3.3627834551581244</v>
      </c>
      <c r="BE160" s="72">
        <f t="shared" si="391"/>
        <v>3.2417574747283968</v>
      </c>
      <c r="BF160" s="72">
        <f t="shared" ref="BF160:BK160" si="392">BF143</f>
        <v>3.5237013613300765</v>
      </c>
      <c r="BG160" s="72">
        <f t="shared" si="392"/>
        <v>3.1965214490424128</v>
      </c>
      <c r="BH160" s="72">
        <f t="shared" si="392"/>
        <v>3.2138332251367911</v>
      </c>
      <c r="BI160" s="72">
        <f t="shared" si="392"/>
        <v>3.1405467382295553</v>
      </c>
      <c r="BJ160" s="72">
        <f t="shared" si="392"/>
        <v>2.917350280415004</v>
      </c>
      <c r="BK160" s="72">
        <f t="shared" si="392"/>
        <v>2.6788037683231987</v>
      </c>
      <c r="BL160" s="72">
        <f t="shared" ref="BL160:BQ160" si="393">BL143</f>
        <v>3.0740229817107534</v>
      </c>
      <c r="BM160" s="72">
        <f t="shared" si="393"/>
        <v>3.2216941098270553</v>
      </c>
      <c r="BN160" s="72">
        <f t="shared" si="393"/>
        <v>3.1501498612911769</v>
      </c>
      <c r="BO160" s="72">
        <f t="shared" si="393"/>
        <v>2.8478015912002879</v>
      </c>
      <c r="BP160" s="72">
        <f t="shared" si="393"/>
        <v>2.7632567845837723</v>
      </c>
      <c r="BQ160" s="72">
        <f t="shared" si="393"/>
        <v>2.7252734384811537</v>
      </c>
      <c r="BR160" s="72">
        <f t="shared" ref="BR160:BY160" si="394">BR157/BR155</f>
        <v>2.4178338117390874</v>
      </c>
      <c r="BS160" s="72">
        <f t="shared" si="394"/>
        <v>2.2668304311263507</v>
      </c>
      <c r="BT160" s="72">
        <f t="shared" si="394"/>
        <v>2.3018114242000456</v>
      </c>
      <c r="BU160" s="72">
        <f t="shared" si="394"/>
        <v>1.9125809436814909</v>
      </c>
      <c r="BV160" s="72">
        <f t="shared" si="394"/>
        <v>2.035660203772593</v>
      </c>
      <c r="BW160" s="72">
        <f t="shared" si="394"/>
        <v>1.8473220065679865</v>
      </c>
      <c r="BX160" s="72">
        <f t="shared" si="394"/>
        <v>1.8168573892941575</v>
      </c>
      <c r="BY160" s="72">
        <f t="shared" si="394"/>
        <v>1.6976585669493465</v>
      </c>
      <c r="BZ160" s="72">
        <f>BZ157/BZ155</f>
        <v>1.6122245348304081</v>
      </c>
      <c r="CA160" s="72"/>
      <c r="CB160"/>
      <c r="CC160"/>
      <c r="CD160" s="72"/>
      <c r="CE160" s="72"/>
      <c r="CF160" s="72"/>
      <c r="CH160" s="72">
        <f>CH157/CH155</f>
        <v>4.3265674273597341</v>
      </c>
    </row>
    <row r="161" spans="2:87">
      <c r="B161" s="17" t="s">
        <v>245</v>
      </c>
      <c r="D161" s="57">
        <f>D159/D155</f>
        <v>2.9868372542572166</v>
      </c>
      <c r="E161" s="57">
        <f t="shared" ref="E161:J161" si="395">E159/E155</f>
        <v>2.92268562415462</v>
      </c>
      <c r="F161" s="57">
        <f t="shared" si="395"/>
        <v>2.5009299734293307</v>
      </c>
      <c r="G161" s="57">
        <f t="shared" si="395"/>
        <v>2.1743921272851345</v>
      </c>
      <c r="H161" s="57">
        <f t="shared" si="395"/>
        <v>2.1252173968338752</v>
      </c>
      <c r="I161" s="57">
        <f t="shared" si="395"/>
        <v>2.6134797852974403</v>
      </c>
      <c r="J161" s="57">
        <f t="shared" si="395"/>
        <v>2.7246664869963615</v>
      </c>
      <c r="K161" s="57">
        <f t="shared" ref="K161:P161" si="396">K159/K155</f>
        <v>3.3535416235602455</v>
      </c>
      <c r="L161" s="57">
        <f t="shared" si="396"/>
        <v>3.287781120393098</v>
      </c>
      <c r="M161" s="57">
        <f t="shared" si="396"/>
        <v>4.2972241718999458</v>
      </c>
      <c r="N161" s="57">
        <f t="shared" si="396"/>
        <v>3.203289863145125</v>
      </c>
      <c r="O161" s="57">
        <f t="shared" si="396"/>
        <v>3.2187231109675825</v>
      </c>
      <c r="P161" s="57">
        <f t="shared" si="396"/>
        <v>2.7586727309960541</v>
      </c>
      <c r="Q161" s="57">
        <f>Q159/Q155</f>
        <v>2.971105349002551</v>
      </c>
      <c r="R161" s="57">
        <f>R159/R155</f>
        <v>2.3018162921904386</v>
      </c>
      <c r="S161" s="57">
        <f>S159/S155</f>
        <v>1.9413291885477442</v>
      </c>
      <c r="T161" s="57">
        <f>T159/T155</f>
        <v>1.3588856380434675</v>
      </c>
      <c r="U161" s="57">
        <f>U142</f>
        <v>1.3588856380434675</v>
      </c>
      <c r="V161" s="57"/>
      <c r="W161" s="104"/>
      <c r="X161" s="104"/>
      <c r="Y161" s="104"/>
      <c r="Z161" s="57">
        <f>Z142</f>
        <v>2.5009299734293307</v>
      </c>
      <c r="AA161" s="57">
        <f t="shared" ref="AA161:AS161" si="397">AA142</f>
        <v>2.4072388729692169</v>
      </c>
      <c r="AB161" s="57">
        <f t="shared" si="397"/>
        <v>2.4220961495185418</v>
      </c>
      <c r="AC161" s="57">
        <f t="shared" si="397"/>
        <v>2.1625586193959858</v>
      </c>
      <c r="AD161" s="57">
        <f t="shared" si="397"/>
        <v>2.1743921272851345</v>
      </c>
      <c r="AE161" s="57">
        <f t="shared" si="397"/>
        <v>2.0178532115862415</v>
      </c>
      <c r="AF161" s="57">
        <f t="shared" si="397"/>
        <v>2.1082455181595807</v>
      </c>
      <c r="AG161" s="57">
        <f t="shared" si="397"/>
        <v>2.2161744103705661</v>
      </c>
      <c r="AH161" s="57">
        <f t="shared" si="397"/>
        <v>2.1252173968338752</v>
      </c>
      <c r="AI161" s="57">
        <f t="shared" si="397"/>
        <v>2.2221818841065986</v>
      </c>
      <c r="AJ161" s="57">
        <f t="shared" si="397"/>
        <v>2.3028804105639531</v>
      </c>
      <c r="AK161" s="57">
        <f t="shared" si="397"/>
        <v>2.5028926277649512</v>
      </c>
      <c r="AL161" s="57">
        <f t="shared" si="397"/>
        <v>2.6134797852974403</v>
      </c>
      <c r="AM161" s="57">
        <f t="shared" si="397"/>
        <v>2.5056188186919375</v>
      </c>
      <c r="AN161" s="57">
        <f t="shared" si="397"/>
        <v>2.3805569781468154</v>
      </c>
      <c r="AO161" s="57">
        <f t="shared" si="397"/>
        <v>2.8096816085601679</v>
      </c>
      <c r="AP161" s="57">
        <f t="shared" si="397"/>
        <v>2.7246664869963615</v>
      </c>
      <c r="AQ161" s="57">
        <f t="shared" si="397"/>
        <v>2.7584061639614066</v>
      </c>
      <c r="AR161" s="57">
        <f t="shared" si="397"/>
        <v>2.9895189308958994</v>
      </c>
      <c r="AS161" s="57">
        <f t="shared" si="397"/>
        <v>3.0742777461201269</v>
      </c>
      <c r="AT161" s="57">
        <f t="shared" ref="AT161:AY161" si="398">AT142</f>
        <v>3.3535416235602455</v>
      </c>
      <c r="AU161" s="57">
        <f t="shared" si="398"/>
        <v>3.6628602251722224</v>
      </c>
      <c r="AV161" s="57">
        <f t="shared" si="398"/>
        <v>4.260016786710688</v>
      </c>
      <c r="AW161" s="57">
        <f t="shared" si="398"/>
        <v>4.1965117766221223</v>
      </c>
      <c r="AX161" s="57">
        <f t="shared" si="398"/>
        <v>4.2972241718999458</v>
      </c>
      <c r="AY161" s="57">
        <f t="shared" si="398"/>
        <v>3.4337320392211343</v>
      </c>
      <c r="AZ161" s="57">
        <f t="shared" ref="AZ161:BE161" si="399">AZ142</f>
        <v>3.3041392833949872</v>
      </c>
      <c r="BA161" s="57">
        <f t="shared" si="399"/>
        <v>3.0726779538320481</v>
      </c>
      <c r="BB161" s="57">
        <f t="shared" si="399"/>
        <v>3.203289863145125</v>
      </c>
      <c r="BC161" s="57">
        <f t="shared" si="399"/>
        <v>2.7384684594616959</v>
      </c>
      <c r="BD161" s="57">
        <f t="shared" si="399"/>
        <v>2.9084696069689326</v>
      </c>
      <c r="BE161" s="57">
        <f t="shared" si="399"/>
        <v>3.0268071967612933</v>
      </c>
      <c r="BF161" s="57">
        <f t="shared" ref="BF161:BK161" si="400">BF142</f>
        <v>3.2187231109675825</v>
      </c>
      <c r="BG161" s="57">
        <f t="shared" si="400"/>
        <v>3.0255754621135154</v>
      </c>
      <c r="BH161" s="57">
        <f t="shared" si="400"/>
        <v>2.9648105609336768</v>
      </c>
      <c r="BI161" s="57">
        <f t="shared" si="400"/>
        <v>2.9698822062553836</v>
      </c>
      <c r="BJ161" s="57">
        <f t="shared" si="400"/>
        <v>2.7586727309960541</v>
      </c>
      <c r="BK161" s="57">
        <f t="shared" si="400"/>
        <v>2.5192042509128152</v>
      </c>
      <c r="BL161" s="57">
        <f t="shared" ref="BL161:BQ161" si="401">BL142</f>
        <v>2.9575007210592359</v>
      </c>
      <c r="BM161" s="57">
        <f t="shared" si="401"/>
        <v>3.0428975276819497</v>
      </c>
      <c r="BN161" s="57">
        <f t="shared" si="401"/>
        <v>2.971105349002551</v>
      </c>
      <c r="BO161" s="57">
        <f t="shared" si="401"/>
        <v>2.6300003545003823</v>
      </c>
      <c r="BP161" s="57">
        <f t="shared" si="401"/>
        <v>2.6317793296297993</v>
      </c>
      <c r="BQ161" s="57">
        <f t="shared" si="401"/>
        <v>2.5202995855853447</v>
      </c>
      <c r="BR161" s="57">
        <f t="shared" ref="BR161:BY161" si="402">BR159/BR155</f>
        <v>2.3018162921904386</v>
      </c>
      <c r="BS161" s="57">
        <f t="shared" si="402"/>
        <v>2.197511124224667</v>
      </c>
      <c r="BT161" s="57">
        <f t="shared" si="402"/>
        <v>2.2465590914144835</v>
      </c>
      <c r="BU161" s="57">
        <f t="shared" si="402"/>
        <v>1.8366725522530221</v>
      </c>
      <c r="BV161" s="57">
        <f t="shared" si="402"/>
        <v>1.9413291885477442</v>
      </c>
      <c r="BW161" s="57">
        <f t="shared" si="402"/>
        <v>1.7394123676801316</v>
      </c>
      <c r="BX161" s="57">
        <f t="shared" si="402"/>
        <v>1.6998563032751679</v>
      </c>
      <c r="BY161" s="57">
        <f t="shared" si="402"/>
        <v>1.5657618681393113</v>
      </c>
      <c r="BZ161" s="57">
        <f>BZ159/BZ155</f>
        <v>1.3588856380434675</v>
      </c>
      <c r="CA161" s="57"/>
      <c r="CB161"/>
      <c r="CC161"/>
      <c r="CD161" s="57"/>
      <c r="CE161" s="57"/>
      <c r="CF161" s="57"/>
      <c r="CH161" s="57">
        <f>CH159/CH155</f>
        <v>3.4907510820465868</v>
      </c>
    </row>
    <row r="162" spans="2:87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/>
      <c r="CC162"/>
      <c r="CD162"/>
      <c r="CE162"/>
      <c r="CF162"/>
      <c r="CH162" s="7"/>
    </row>
    <row r="163" spans="2:87" s="20" customFormat="1" ht="21">
      <c r="B163" s="781" t="s">
        <v>246</v>
      </c>
      <c r="C163" s="782"/>
      <c r="D163" s="781"/>
      <c r="E163" s="781"/>
      <c r="F163" s="781"/>
      <c r="G163" s="781"/>
      <c r="H163" s="781"/>
      <c r="I163" s="781"/>
      <c r="J163" s="781"/>
      <c r="K163" s="781"/>
      <c r="L163" s="781"/>
      <c r="M163" s="781"/>
      <c r="N163" s="781"/>
      <c r="O163" s="781"/>
      <c r="P163" s="781"/>
      <c r="Q163" s="781"/>
      <c r="R163" s="781"/>
      <c r="S163" s="781"/>
      <c r="T163" s="781"/>
      <c r="U163" s="781"/>
      <c r="V163" s="1045"/>
      <c r="W163" s="781"/>
      <c r="X163" s="781"/>
      <c r="Y163" s="781"/>
      <c r="Z163" s="781"/>
      <c r="AA163" s="781"/>
      <c r="AB163" s="781"/>
      <c r="AC163" s="781"/>
      <c r="AD163" s="781"/>
      <c r="AE163" s="781"/>
      <c r="AF163" s="781"/>
      <c r="AG163" s="781"/>
      <c r="AH163" s="781"/>
      <c r="AI163" s="781"/>
      <c r="AJ163" s="781"/>
      <c r="AK163" s="781"/>
      <c r="AL163" s="781"/>
      <c r="AM163" s="781"/>
      <c r="AN163" s="781"/>
      <c r="AO163" s="781"/>
      <c r="AP163" s="781"/>
      <c r="AQ163" s="781"/>
      <c r="AR163" s="781"/>
      <c r="AS163" s="781"/>
      <c r="AT163" s="781"/>
      <c r="AU163" s="781"/>
      <c r="AV163" s="781"/>
      <c r="AW163" s="781"/>
      <c r="AX163" s="781"/>
      <c r="AY163" s="781"/>
      <c r="AZ163" s="781"/>
      <c r="BA163" s="781"/>
      <c r="BB163" s="781"/>
      <c r="BC163" s="781"/>
      <c r="BD163" s="781"/>
      <c r="BE163" s="781"/>
      <c r="BF163" s="781"/>
      <c r="BG163" s="781"/>
      <c r="BH163" s="781"/>
      <c r="BI163" s="781"/>
      <c r="BJ163" s="781"/>
      <c r="BK163" s="781"/>
      <c r="BL163" s="781"/>
      <c r="BM163" s="781"/>
      <c r="BN163" s="781"/>
      <c r="BO163" s="781"/>
      <c r="BP163" s="781"/>
      <c r="BQ163" s="781"/>
      <c r="BR163" s="781"/>
      <c r="BS163" s="781"/>
      <c r="BT163" s="781"/>
      <c r="BU163" s="781"/>
      <c r="BV163" s="781"/>
      <c r="BW163" s="781"/>
      <c r="BX163" s="781"/>
      <c r="BY163" s="781"/>
      <c r="BZ163" s="781"/>
      <c r="CA163" s="1045"/>
      <c r="CB163"/>
      <c r="CC163"/>
      <c r="CD163"/>
      <c r="CE163"/>
      <c r="CF163"/>
      <c r="CH163" s="781"/>
    </row>
    <row r="164" spans="2:87" s="20" customFormat="1">
      <c r="B164" s="25" t="str">
        <f>B3</f>
        <v>(INR millions)</v>
      </c>
      <c r="C164" s="780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B164"/>
      <c r="CC164"/>
      <c r="CD164"/>
      <c r="CE164"/>
      <c r="CF164"/>
      <c r="CH164" s="25"/>
    </row>
    <row r="165" spans="2:87" s="20" customFormat="1"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</row>
    <row r="166" spans="2:87" s="20" customFormat="1">
      <c r="B166" s="20" t="s">
        <v>247</v>
      </c>
      <c r="D166" s="49">
        <f t="shared" ref="D166:U166" si="403">D10</f>
        <v>596018</v>
      </c>
      <c r="E166" s="49">
        <f t="shared" si="403"/>
        <v>683817</v>
      </c>
      <c r="F166" s="49">
        <f t="shared" si="403"/>
        <v>769469.91597199999</v>
      </c>
      <c r="G166" s="49">
        <f t="shared" si="403"/>
        <v>858634.93831599993</v>
      </c>
      <c r="H166" s="49">
        <f t="shared" si="403"/>
        <v>921351</v>
      </c>
      <c r="I166" s="49">
        <f t="shared" si="403"/>
        <v>966192</v>
      </c>
      <c r="J166" s="49">
        <f t="shared" si="403"/>
        <v>955889</v>
      </c>
      <c r="K166" s="49">
        <f t="shared" si="403"/>
        <v>839367</v>
      </c>
      <c r="L166" s="49">
        <f t="shared" si="403"/>
        <v>828876</v>
      </c>
      <c r="M166" s="49">
        <f t="shared" si="403"/>
        <v>810714</v>
      </c>
      <c r="N166" s="49">
        <f t="shared" si="403"/>
        <v>878638</v>
      </c>
      <c r="O166" s="49">
        <f t="shared" si="403"/>
        <v>1012586</v>
      </c>
      <c r="P166" s="49">
        <f t="shared" si="403"/>
        <v>1170812</v>
      </c>
      <c r="Q166" s="49">
        <f t="shared" si="403"/>
        <v>1400814</v>
      </c>
      <c r="R166" s="49">
        <f t="shared" si="403"/>
        <v>1514178</v>
      </c>
      <c r="S166" s="49">
        <f t="shared" si="403"/>
        <v>1745589</v>
      </c>
      <c r="T166" s="49">
        <f t="shared" si="403"/>
        <v>2137901</v>
      </c>
      <c r="U166" s="49">
        <f t="shared" si="403"/>
        <v>2137901</v>
      </c>
      <c r="V166" s="49"/>
      <c r="W166" s="49">
        <f t="shared" ref="W166:BB166" si="404">W10</f>
        <v>185702.99931400002</v>
      </c>
      <c r="X166" s="49">
        <f t="shared" si="404"/>
        <v>194084.74445599999</v>
      </c>
      <c r="Y166" s="49">
        <f t="shared" si="404"/>
        <v>193758.42122299998</v>
      </c>
      <c r="Z166" s="49">
        <f t="shared" si="404"/>
        <v>195923.750979</v>
      </c>
      <c r="AA166" s="49">
        <f t="shared" si="404"/>
        <v>202995.240521</v>
      </c>
      <c r="AB166" s="49">
        <f t="shared" si="404"/>
        <v>213427.69779499999</v>
      </c>
      <c r="AC166" s="49">
        <f t="shared" si="404"/>
        <v>219607</v>
      </c>
      <c r="AD166" s="49">
        <f t="shared" si="404"/>
        <v>222605</v>
      </c>
      <c r="AE166" s="49">
        <f t="shared" si="404"/>
        <v>230055</v>
      </c>
      <c r="AF166" s="49">
        <f t="shared" si="404"/>
        <v>228617</v>
      </c>
      <c r="AG166" s="49">
        <f t="shared" si="404"/>
        <v>232281</v>
      </c>
      <c r="AH166" s="49">
        <f t="shared" si="404"/>
        <v>230398</v>
      </c>
      <c r="AI166" s="49">
        <f t="shared" si="404"/>
        <v>236808</v>
      </c>
      <c r="AJ166" s="49">
        <f t="shared" si="404"/>
        <v>238519</v>
      </c>
      <c r="AK166" s="49">
        <f t="shared" si="404"/>
        <v>241034</v>
      </c>
      <c r="AL166" s="49">
        <f t="shared" si="404"/>
        <v>249831</v>
      </c>
      <c r="AM166" s="49">
        <f t="shared" si="404"/>
        <v>255729</v>
      </c>
      <c r="AN166" s="49">
        <f t="shared" si="404"/>
        <v>246715</v>
      </c>
      <c r="AO166" s="49">
        <f t="shared" si="404"/>
        <v>233639</v>
      </c>
      <c r="AP166" s="49">
        <f t="shared" si="404"/>
        <v>219806</v>
      </c>
      <c r="AQ166" s="49">
        <f t="shared" si="404"/>
        <v>220067</v>
      </c>
      <c r="AR166" s="49">
        <f t="shared" si="404"/>
        <v>218322</v>
      </c>
      <c r="AS166" s="49">
        <f t="shared" si="404"/>
        <v>203882</v>
      </c>
      <c r="AT166" s="49">
        <f t="shared" si="404"/>
        <v>197096</v>
      </c>
      <c r="AU166" s="49">
        <f t="shared" si="404"/>
        <v>198989.28828710801</v>
      </c>
      <c r="AV166" s="49">
        <f t="shared" si="404"/>
        <v>202290.58727950751</v>
      </c>
      <c r="AW166" s="49">
        <f t="shared" si="404"/>
        <v>202985.65686167506</v>
      </c>
      <c r="AX166" s="49">
        <f t="shared" si="404"/>
        <v>206448.46757170936</v>
      </c>
      <c r="AY166" s="49">
        <f t="shared" si="404"/>
        <v>208125</v>
      </c>
      <c r="AZ166" s="49">
        <f t="shared" si="404"/>
        <v>211990</v>
      </c>
      <c r="BA166" s="49">
        <f t="shared" si="404"/>
        <v>220216</v>
      </c>
      <c r="BB166" s="49">
        <f t="shared" si="404"/>
        <v>238307</v>
      </c>
      <c r="BC166" s="49">
        <f t="shared" ref="BC166:BZ166" si="405">BC10</f>
        <v>240129</v>
      </c>
      <c r="BD166" s="49">
        <f t="shared" si="405"/>
        <v>258993</v>
      </c>
      <c r="BE166" s="49">
        <f t="shared" si="405"/>
        <v>265114</v>
      </c>
      <c r="BF166" s="49">
        <f t="shared" si="405"/>
        <v>248350</v>
      </c>
      <c r="BG166" s="49">
        <f t="shared" si="405"/>
        <v>269196</v>
      </c>
      <c r="BH166" s="49">
        <f t="shared" si="405"/>
        <v>283548</v>
      </c>
      <c r="BI166" s="49">
        <f t="shared" si="405"/>
        <v>300558</v>
      </c>
      <c r="BJ166" s="49">
        <f t="shared" si="405"/>
        <v>317510</v>
      </c>
      <c r="BK166" s="49">
        <f t="shared" si="405"/>
        <v>329968</v>
      </c>
      <c r="BL166" s="49">
        <f t="shared" si="405"/>
        <v>347287</v>
      </c>
      <c r="BM166" s="49">
        <f t="shared" si="405"/>
        <v>360620</v>
      </c>
      <c r="BN166" s="49">
        <f t="shared" si="405"/>
        <v>362939</v>
      </c>
      <c r="BO166" s="49">
        <f t="shared" si="405"/>
        <v>377883</v>
      </c>
      <c r="BP166" s="49">
        <f t="shared" si="405"/>
        <v>373742</v>
      </c>
      <c r="BQ166" s="49">
        <f t="shared" si="405"/>
        <v>383393</v>
      </c>
      <c r="BR166" s="49">
        <f t="shared" si="405"/>
        <v>379160</v>
      </c>
      <c r="BS166" s="49">
        <f t="shared" si="405"/>
        <v>388699</v>
      </c>
      <c r="BT166" s="49">
        <f t="shared" si="405"/>
        <v>417280</v>
      </c>
      <c r="BU166" s="49">
        <f t="shared" si="405"/>
        <v>455990</v>
      </c>
      <c r="BV166" s="49">
        <f t="shared" si="405"/>
        <v>483620</v>
      </c>
      <c r="BW166" s="49">
        <f t="shared" si="405"/>
        <v>499714</v>
      </c>
      <c r="BX166" s="49">
        <f t="shared" si="405"/>
        <v>528731</v>
      </c>
      <c r="BY166" s="49">
        <f t="shared" si="405"/>
        <v>546839</v>
      </c>
      <c r="BZ166" s="49">
        <f t="shared" si="405"/>
        <v>562617</v>
      </c>
      <c r="CA166" s="49"/>
      <c r="CB166"/>
      <c r="CC166"/>
      <c r="CD166" s="49"/>
      <c r="CE166" s="49"/>
      <c r="CF166" s="49"/>
      <c r="CH166" s="49">
        <f>CH10</f>
        <v>862122</v>
      </c>
    </row>
    <row r="167" spans="2:87" s="29" customFormat="1">
      <c r="B167" s="32" t="s">
        <v>145</v>
      </c>
      <c r="C167" s="29">
        <f>+C8</f>
        <v>0</v>
      </c>
      <c r="D167" s="50"/>
      <c r="E167" s="50">
        <f t="shared" ref="E167:T167" si="406">E166/D166-1</f>
        <v>0.14730930945038567</v>
      </c>
      <c r="F167" s="50">
        <f t="shared" si="406"/>
        <v>0.12525707312336487</v>
      </c>
      <c r="G167" s="50">
        <f t="shared" si="406"/>
        <v>0.11587850349076478</v>
      </c>
      <c r="H167" s="50">
        <f t="shared" si="406"/>
        <v>7.3041590652020316E-2</v>
      </c>
      <c r="I167" s="50">
        <f t="shared" si="406"/>
        <v>4.8668748392306505E-2</v>
      </c>
      <c r="J167" s="50">
        <f t="shared" si="406"/>
        <v>-1.0663512014175258E-2</v>
      </c>
      <c r="K167" s="50">
        <f t="shared" si="406"/>
        <v>-0.12189909079401484</v>
      </c>
      <c r="L167" s="50">
        <f>L166/J166-1</f>
        <v>-0.13287421447469316</v>
      </c>
      <c r="M167" s="50">
        <f t="shared" si="406"/>
        <v>-2.1911600770199602E-2</v>
      </c>
      <c r="N167" s="50">
        <f t="shared" si="406"/>
        <v>8.3782937016013026E-2</v>
      </c>
      <c r="O167" s="50">
        <f t="shared" si="406"/>
        <v>0.15244958674676035</v>
      </c>
      <c r="P167" s="50">
        <f t="shared" si="406"/>
        <v>0.15625932019601296</v>
      </c>
      <c r="Q167" s="50">
        <f t="shared" si="406"/>
        <v>0.19644656870616295</v>
      </c>
      <c r="R167" s="50">
        <f t="shared" si="406"/>
        <v>8.0927232309214503E-2</v>
      </c>
      <c r="S167" s="50">
        <f t="shared" si="406"/>
        <v>0.15282945598205755</v>
      </c>
      <c r="T167" s="50">
        <f t="shared" si="406"/>
        <v>0.22474477096269507</v>
      </c>
      <c r="U167" s="31"/>
      <c r="V167" s="1114"/>
      <c r="W167" s="50"/>
      <c r="X167" s="50"/>
      <c r="Y167" s="50"/>
      <c r="Z167" s="50"/>
      <c r="AA167" s="50">
        <f>AA166/W166-1</f>
        <v>9.3117727074299994E-2</v>
      </c>
      <c r="AB167" s="50">
        <f t="shared" ref="AB167:BF167" si="407">AB166/X166-1</f>
        <v>9.966240980565666E-2</v>
      </c>
      <c r="AC167" s="50">
        <f t="shared" si="407"/>
        <v>0.1334062210759368</v>
      </c>
      <c r="AD167" s="50">
        <f t="shared" si="407"/>
        <v>0.13618179974443123</v>
      </c>
      <c r="AE167" s="50">
        <f t="shared" si="407"/>
        <v>0.1333024331484296</v>
      </c>
      <c r="AF167" s="50">
        <f t="shared" si="407"/>
        <v>7.1168373936121077E-2</v>
      </c>
      <c r="AG167" s="50">
        <f t="shared" si="407"/>
        <v>5.7712185859285059E-2</v>
      </c>
      <c r="AH167" s="50">
        <f t="shared" si="407"/>
        <v>3.5008198378293498E-2</v>
      </c>
      <c r="AI167" s="50">
        <f t="shared" si="407"/>
        <v>2.9353850166264683E-2</v>
      </c>
      <c r="AJ167" s="50">
        <f t="shared" si="407"/>
        <v>4.3312614547474704E-2</v>
      </c>
      <c r="AK167" s="50">
        <f t="shared" si="407"/>
        <v>3.7682806600626062E-2</v>
      </c>
      <c r="AL167" s="50">
        <f t="shared" si="407"/>
        <v>8.4345350220053961E-2</v>
      </c>
      <c r="AM167" s="50">
        <f t="shared" si="407"/>
        <v>7.9900172291476723E-2</v>
      </c>
      <c r="AN167" s="50">
        <f t="shared" si="407"/>
        <v>3.436204243687091E-2</v>
      </c>
      <c r="AO167" s="50">
        <f t="shared" si="407"/>
        <v>-3.0680318959151021E-2</v>
      </c>
      <c r="AP167" s="50">
        <f t="shared" si="407"/>
        <v>-0.12018124251994344</v>
      </c>
      <c r="AQ167" s="50">
        <f t="shared" si="407"/>
        <v>-0.13945231084468324</v>
      </c>
      <c r="AR167" s="50">
        <f t="shared" si="407"/>
        <v>-0.11508420647305595</v>
      </c>
      <c r="AS167" s="50">
        <f t="shared" si="407"/>
        <v>-0.12736315426790901</v>
      </c>
      <c r="AT167" s="50">
        <f t="shared" si="407"/>
        <v>-0.10331838075393751</v>
      </c>
      <c r="AU167" s="50">
        <f t="shared" si="407"/>
        <v>-9.5778611572348349E-2</v>
      </c>
      <c r="AV167" s="50">
        <f t="shared" si="407"/>
        <v>-7.3430129444089443E-2</v>
      </c>
      <c r="AW167" s="50">
        <f t="shared" si="407"/>
        <v>-4.3963819185849351E-3</v>
      </c>
      <c r="AX167" s="50">
        <f t="shared" si="407"/>
        <v>4.7451331187387646E-2</v>
      </c>
      <c r="AY167" s="50">
        <f t="shared" si="407"/>
        <v>4.5910570320301325E-2</v>
      </c>
      <c r="AZ167" s="50">
        <f t="shared" si="407"/>
        <v>4.7947919134223804E-2</v>
      </c>
      <c r="BA167" s="50">
        <f t="shared" si="407"/>
        <v>8.4884535216528167E-2</v>
      </c>
      <c r="BB167" s="50">
        <f t="shared" si="407"/>
        <v>0.15431711750160915</v>
      </c>
      <c r="BC167" s="50">
        <f>BC166/CB10-1</f>
        <v>0.15329641565527274</v>
      </c>
      <c r="BD167" s="50">
        <f t="shared" si="407"/>
        <v>0.22172272276994187</v>
      </c>
      <c r="BE167" s="50">
        <f t="shared" si="407"/>
        <v>0.20388164347731319</v>
      </c>
      <c r="BF167" s="50">
        <f t="shared" si="407"/>
        <v>4.214311791092995E-2</v>
      </c>
      <c r="BG167" s="50">
        <f>BG166/CE10-1</f>
        <v>0.15239493657880887</v>
      </c>
      <c r="BH167" s="50">
        <f>BH166/CF10-1</f>
        <v>0.12706444445327758</v>
      </c>
      <c r="BI167" s="50">
        <f t="shared" ref="BI167:BZ167" si="408">BI166/BE166-1</f>
        <v>0.13369342999615252</v>
      </c>
      <c r="BJ167" s="50">
        <f t="shared" si="408"/>
        <v>0.27847795449969803</v>
      </c>
      <c r="BK167" s="50">
        <f t="shared" si="408"/>
        <v>0.22575372590974596</v>
      </c>
      <c r="BL167" s="50">
        <f t="shared" si="408"/>
        <v>0.22479086433337558</v>
      </c>
      <c r="BM167" s="50">
        <f t="shared" si="408"/>
        <v>0.19983497361574143</v>
      </c>
      <c r="BN167" s="50">
        <f t="shared" si="408"/>
        <v>0.14307895814305072</v>
      </c>
      <c r="BO167" s="50">
        <f t="shared" si="408"/>
        <v>0.14521105076855934</v>
      </c>
      <c r="BP167" s="50">
        <f t="shared" si="408"/>
        <v>7.6176188570260317E-2</v>
      </c>
      <c r="BQ167" s="50">
        <f t="shared" si="408"/>
        <v>6.3149575730686136E-2</v>
      </c>
      <c r="BR167" s="50">
        <f t="shared" si="408"/>
        <v>4.4693460884611458E-2</v>
      </c>
      <c r="BS167" s="50">
        <f t="shared" si="408"/>
        <v>2.8622615994897904E-2</v>
      </c>
      <c r="BT167" s="50">
        <f t="shared" si="408"/>
        <v>0.11649212558395905</v>
      </c>
      <c r="BU167" s="50">
        <f t="shared" si="408"/>
        <v>0.18935400489836796</v>
      </c>
      <c r="BV167" s="50">
        <f t="shared" si="408"/>
        <v>0.27550374512079334</v>
      </c>
      <c r="BW167" s="50">
        <f t="shared" si="408"/>
        <v>0.28560660048006303</v>
      </c>
      <c r="BX167" s="50">
        <f t="shared" si="408"/>
        <v>0.26708924463190176</v>
      </c>
      <c r="BY167" s="50">
        <f t="shared" si="408"/>
        <v>0.19923463233842842</v>
      </c>
      <c r="BZ167" s="50">
        <f t="shared" si="408"/>
        <v>0.16334518837103507</v>
      </c>
      <c r="CA167" s="1046"/>
      <c r="CB167"/>
      <c r="CC167"/>
      <c r="CD167" s="855"/>
      <c r="CE167" s="855"/>
      <c r="CF167" s="855"/>
      <c r="CH167" s="50">
        <f>CH166/M166-1</f>
        <v>6.3410771246086739E-2</v>
      </c>
    </row>
    <row r="168" spans="2:87" s="20" customFormat="1" ht="13.5" thickBot="1">
      <c r="B168" s="51" t="str">
        <f>+B59</f>
        <v xml:space="preserve">Adj. EBITDA </v>
      </c>
      <c r="D168" s="52">
        <f t="shared" ref="D168:U168" si="409">+D59</f>
        <v>200718</v>
      </c>
      <c r="E168" s="52">
        <f t="shared" si="409"/>
        <v>222533</v>
      </c>
      <c r="F168" s="52">
        <f t="shared" si="409"/>
        <v>233340</v>
      </c>
      <c r="G168" s="52">
        <f t="shared" si="409"/>
        <v>278430</v>
      </c>
      <c r="H168" s="52">
        <f t="shared" si="409"/>
        <v>314517</v>
      </c>
      <c r="I168" s="52">
        <f t="shared" si="409"/>
        <v>341682</v>
      </c>
      <c r="J168" s="52">
        <f t="shared" si="409"/>
        <v>356208</v>
      </c>
      <c r="K168" s="52">
        <f t="shared" si="409"/>
        <v>304479</v>
      </c>
      <c r="L168" s="52">
        <f t="shared" si="409"/>
        <v>304479</v>
      </c>
      <c r="M168" s="52">
        <f t="shared" si="409"/>
        <v>262937</v>
      </c>
      <c r="N168" s="52">
        <f t="shared" si="409"/>
        <v>371053</v>
      </c>
      <c r="O168" s="52">
        <f t="shared" si="409"/>
        <v>461387</v>
      </c>
      <c r="P168" s="52">
        <f t="shared" si="409"/>
        <v>581103</v>
      </c>
      <c r="Q168" s="52">
        <f t="shared" si="409"/>
        <v>717330</v>
      </c>
      <c r="R168" s="52">
        <f t="shared" si="409"/>
        <v>889064</v>
      </c>
      <c r="S168" s="52">
        <f t="shared" si="409"/>
        <v>1049994</v>
      </c>
      <c r="T168" s="52">
        <f t="shared" si="409"/>
        <v>1212676</v>
      </c>
      <c r="U168" s="52">
        <f t="shared" si="409"/>
        <v>1212676</v>
      </c>
      <c r="V168" s="49"/>
      <c r="W168" s="52">
        <f t="shared" ref="W168:BB168" si="410">+W59</f>
        <v>54856</v>
      </c>
      <c r="X168" s="52">
        <f t="shared" si="410"/>
        <v>59369</v>
      </c>
      <c r="Y168" s="52">
        <f t="shared" si="410"/>
        <v>57749</v>
      </c>
      <c r="Z168" s="52">
        <f t="shared" si="410"/>
        <v>61366</v>
      </c>
      <c r="AA168" s="52">
        <f t="shared" si="410"/>
        <v>65449</v>
      </c>
      <c r="AB168" s="52">
        <f t="shared" si="410"/>
        <v>68729</v>
      </c>
      <c r="AC168" s="52">
        <f t="shared" si="410"/>
        <v>71006</v>
      </c>
      <c r="AD168" s="52">
        <f t="shared" si="410"/>
        <v>73246</v>
      </c>
      <c r="AE168" s="52">
        <f t="shared" si="410"/>
        <v>73186</v>
      </c>
      <c r="AF168" s="52">
        <f t="shared" si="410"/>
        <v>77668.995196233416</v>
      </c>
      <c r="AG168" s="52">
        <f t="shared" si="410"/>
        <v>77494.401299766643</v>
      </c>
      <c r="AH168" s="52">
        <f t="shared" si="410"/>
        <v>86167.603503999941</v>
      </c>
      <c r="AI168" s="52">
        <f t="shared" si="410"/>
        <v>82616.865252000018</v>
      </c>
      <c r="AJ168" s="52">
        <f t="shared" si="410"/>
        <v>82653.019721999968</v>
      </c>
      <c r="AK168" s="52">
        <f t="shared" si="410"/>
        <v>84747.507491000113</v>
      </c>
      <c r="AL168" s="52">
        <f t="shared" si="410"/>
        <v>91664.607534999901</v>
      </c>
      <c r="AM168" s="52">
        <f t="shared" si="410"/>
        <v>95913.042045999988</v>
      </c>
      <c r="AN168" s="52">
        <f t="shared" si="410"/>
        <v>94661.648125199819</v>
      </c>
      <c r="AO168" s="52">
        <f t="shared" si="410"/>
        <v>85704.883887307544</v>
      </c>
      <c r="AP168" s="52">
        <f t="shared" si="410"/>
        <v>79928.425941492664</v>
      </c>
      <c r="AQ168" s="52">
        <f t="shared" si="410"/>
        <v>78230.605177341946</v>
      </c>
      <c r="AR168" s="52">
        <f t="shared" si="410"/>
        <v>80036.779149402952</v>
      </c>
      <c r="AS168" s="52">
        <f t="shared" si="410"/>
        <v>75871</v>
      </c>
      <c r="AT168" s="52">
        <f t="shared" si="410"/>
        <v>70340.615673255103</v>
      </c>
      <c r="AU168" s="52">
        <f t="shared" si="410"/>
        <v>68370</v>
      </c>
      <c r="AV168" s="52">
        <f t="shared" si="410"/>
        <v>63433</v>
      </c>
      <c r="AW168" s="52">
        <f t="shared" si="410"/>
        <v>63069</v>
      </c>
      <c r="AX168" s="52">
        <f t="shared" si="410"/>
        <v>68065</v>
      </c>
      <c r="AY168" s="52">
        <f t="shared" si="410"/>
        <v>84926.401262318672</v>
      </c>
      <c r="AZ168" s="52">
        <f t="shared" si="410"/>
        <v>89362.530866380897</v>
      </c>
      <c r="BA168" s="52">
        <f t="shared" si="410"/>
        <v>93500.971654773908</v>
      </c>
      <c r="BB168" s="52">
        <f t="shared" si="410"/>
        <v>103263.09621652651</v>
      </c>
      <c r="BC168" s="52">
        <f t="shared" ref="BC168:BZ168" si="411">+BC59</f>
        <v>106392</v>
      </c>
      <c r="BD168" s="52">
        <f t="shared" si="411"/>
        <v>118483</v>
      </c>
      <c r="BE168" s="52">
        <f t="shared" si="411"/>
        <v>121777</v>
      </c>
      <c r="BF168" s="52">
        <f t="shared" si="411"/>
        <v>114735</v>
      </c>
      <c r="BG168" s="52">
        <f t="shared" si="411"/>
        <v>131894</v>
      </c>
      <c r="BH168" s="52">
        <f t="shared" si="411"/>
        <v>140177</v>
      </c>
      <c r="BI168" s="52">
        <f t="shared" si="411"/>
        <v>149047</v>
      </c>
      <c r="BJ168" s="52">
        <f t="shared" si="411"/>
        <v>159985</v>
      </c>
      <c r="BK168" s="52">
        <f t="shared" si="411"/>
        <v>166044</v>
      </c>
      <c r="BL168" s="52">
        <f t="shared" si="411"/>
        <v>177212</v>
      </c>
      <c r="BM168" s="52">
        <f t="shared" si="411"/>
        <v>186007</v>
      </c>
      <c r="BN168" s="52">
        <f t="shared" si="411"/>
        <v>188067</v>
      </c>
      <c r="BO168" s="52">
        <f t="shared" si="411"/>
        <v>197461</v>
      </c>
      <c r="BP168" s="52">
        <f t="shared" si="411"/>
        <v>196650</v>
      </c>
      <c r="BQ168" s="52">
        <f t="shared" si="411"/>
        <v>200442.63899788403</v>
      </c>
      <c r="BR168" s="52">
        <f t="shared" si="411"/>
        <v>294510.361002116</v>
      </c>
      <c r="BS168" s="52">
        <f t="shared" si="411"/>
        <v>230259</v>
      </c>
      <c r="BT168" s="52">
        <f t="shared" si="411"/>
        <v>255125</v>
      </c>
      <c r="BU168" s="52">
        <f t="shared" si="411"/>
        <v>290567</v>
      </c>
      <c r="BV168" s="52">
        <f t="shared" si="411"/>
        <v>274043</v>
      </c>
      <c r="BW168" s="52">
        <f t="shared" si="411"/>
        <v>281668</v>
      </c>
      <c r="BX168" s="52">
        <f t="shared" si="411"/>
        <v>299190</v>
      </c>
      <c r="BY168" s="52">
        <f t="shared" si="411"/>
        <v>311436</v>
      </c>
      <c r="BZ168" s="52">
        <f t="shared" si="411"/>
        <v>320382</v>
      </c>
      <c r="CA168" s="49"/>
      <c r="CB168"/>
      <c r="CC168"/>
      <c r="CD168" s="49"/>
      <c r="CE168" s="49"/>
      <c r="CF168" s="49"/>
      <c r="CH168" s="52">
        <f>+CH59</f>
        <v>347696</v>
      </c>
    </row>
    <row r="169" spans="2:87" s="29" customFormat="1" ht="13.5" thickTop="1">
      <c r="B169" s="32" t="str">
        <f>+B60</f>
        <v xml:space="preserve">% growth </v>
      </c>
      <c r="D169" s="50"/>
      <c r="E169" s="50">
        <f t="shared" ref="E169:T169" si="412">E168/D168-1</f>
        <v>0.10868482149084779</v>
      </c>
      <c r="F169" s="50">
        <f t="shared" si="412"/>
        <v>4.856358382801651E-2</v>
      </c>
      <c r="G169" s="50">
        <f t="shared" si="412"/>
        <v>0.19323733607611215</v>
      </c>
      <c r="H169" s="50">
        <f t="shared" si="412"/>
        <v>0.12960887835362578</v>
      </c>
      <c r="I169" s="50">
        <f t="shared" si="412"/>
        <v>8.6370530050839944E-2</v>
      </c>
      <c r="J169" s="50">
        <f t="shared" si="412"/>
        <v>4.2513214041125957E-2</v>
      </c>
      <c r="K169" s="50">
        <f t="shared" si="412"/>
        <v>-0.14522133135696003</v>
      </c>
      <c r="L169" s="50">
        <f t="shared" si="412"/>
        <v>0</v>
      </c>
      <c r="M169" s="50">
        <f t="shared" si="412"/>
        <v>-0.13643633879512218</v>
      </c>
      <c r="N169" s="50">
        <f t="shared" si="412"/>
        <v>0.41118594948599863</v>
      </c>
      <c r="O169" s="50">
        <f t="shared" si="412"/>
        <v>0.24345309160685935</v>
      </c>
      <c r="P169" s="50">
        <f t="shared" si="412"/>
        <v>0.2594698160112876</v>
      </c>
      <c r="Q169" s="50">
        <f t="shared" si="412"/>
        <v>0.23442831993639679</v>
      </c>
      <c r="R169" s="50">
        <f t="shared" si="412"/>
        <v>0.23940724631620025</v>
      </c>
      <c r="S169" s="50">
        <f t="shared" si="412"/>
        <v>0.18101059091358995</v>
      </c>
      <c r="T169" s="50">
        <f t="shared" si="412"/>
        <v>0.15493612344451502</v>
      </c>
      <c r="U169" s="31"/>
      <c r="V169" s="1114"/>
      <c r="W169" s="50"/>
      <c r="X169" s="50"/>
      <c r="Y169" s="50"/>
      <c r="Z169" s="50"/>
      <c r="AA169" s="50">
        <f>AA168/W168-1</f>
        <v>0.19310558553303192</v>
      </c>
      <c r="AB169" s="50">
        <f t="shared" ref="AB169:BF169" si="413">AB168/X168-1</f>
        <v>0.15765803702268855</v>
      </c>
      <c r="AC169" s="50">
        <f t="shared" si="413"/>
        <v>0.2295624166652237</v>
      </c>
      <c r="AD169" s="50">
        <f t="shared" si="413"/>
        <v>0.19359254310204355</v>
      </c>
      <c r="AE169" s="50">
        <f t="shared" si="413"/>
        <v>0.11821418203486678</v>
      </c>
      <c r="AF169" s="50">
        <f t="shared" si="413"/>
        <v>0.13007602607681501</v>
      </c>
      <c r="AG169" s="50">
        <f t="shared" si="413"/>
        <v>9.1378211697133338E-2</v>
      </c>
      <c r="AH169" s="50">
        <f t="shared" si="413"/>
        <v>0.17641377691614468</v>
      </c>
      <c r="AI169" s="50">
        <f t="shared" si="413"/>
        <v>0.12886160265624591</v>
      </c>
      <c r="AJ169" s="50">
        <f t="shared" si="413"/>
        <v>6.4170065715080327E-2</v>
      </c>
      <c r="AK169" s="50">
        <f t="shared" si="413"/>
        <v>9.3595228424008914E-2</v>
      </c>
      <c r="AL169" s="50">
        <f t="shared" si="413"/>
        <v>6.3794324171320138E-2</v>
      </c>
      <c r="AM169" s="50">
        <f t="shared" si="413"/>
        <v>0.16093780311615125</v>
      </c>
      <c r="AN169" s="50">
        <f t="shared" si="413"/>
        <v>0.14528965116568493</v>
      </c>
      <c r="AO169" s="50">
        <f t="shared" si="413"/>
        <v>1.1296808893277444E-2</v>
      </c>
      <c r="AP169" s="50">
        <f t="shared" si="413"/>
        <v>-0.12803394798833412</v>
      </c>
      <c r="AQ169" s="50">
        <f t="shared" si="413"/>
        <v>-0.18435904535461956</v>
      </c>
      <c r="AR169" s="50">
        <f t="shared" si="413"/>
        <v>-0.15449624283378172</v>
      </c>
      <c r="AS169" s="50">
        <f t="shared" si="413"/>
        <v>-0.11474123108594392</v>
      </c>
      <c r="AT169" s="50">
        <f t="shared" si="413"/>
        <v>-0.11995494913481475</v>
      </c>
      <c r="AU169" s="50">
        <f t="shared" si="413"/>
        <v>-0.12604536491810103</v>
      </c>
      <c r="AV169" s="50">
        <f t="shared" si="413"/>
        <v>-0.20745186557806172</v>
      </c>
      <c r="AW169" s="50">
        <f t="shared" si="413"/>
        <v>-0.16873377179686577</v>
      </c>
      <c r="AX169" s="50">
        <f t="shared" si="413"/>
        <v>-3.2351375538504645E-2</v>
      </c>
      <c r="AY169" s="50">
        <f t="shared" si="413"/>
        <v>0.2421588600602409</v>
      </c>
      <c r="AZ169" s="50">
        <f t="shared" si="413"/>
        <v>0.40877036978198888</v>
      </c>
      <c r="BA169" s="50">
        <f t="shared" si="413"/>
        <v>0.48251869626558075</v>
      </c>
      <c r="BB169" s="50">
        <f t="shared" si="413"/>
        <v>0.51712475158343518</v>
      </c>
      <c r="BC169" s="50">
        <f>BC168/CB59-1</f>
        <v>0.252755308344915</v>
      </c>
      <c r="BD169" s="50">
        <f t="shared" si="413"/>
        <v>0.32586889439334943</v>
      </c>
      <c r="BE169" s="50">
        <f t="shared" si="413"/>
        <v>0.30241427275886923</v>
      </c>
      <c r="BF169" s="50">
        <f t="shared" si="413"/>
        <v>0.11109393581825899</v>
      </c>
      <c r="BG169" s="50">
        <f>BG168/CE59-1</f>
        <v>0.30348071867649673</v>
      </c>
      <c r="BH169" s="50">
        <f>BH168/CF59-1</f>
        <v>0.24498574914496563</v>
      </c>
      <c r="BI169" s="50">
        <f t="shared" ref="BI169:BZ169" si="414">BI168/BE168-1</f>
        <v>0.22393391198666412</v>
      </c>
      <c r="BJ169" s="50">
        <f t="shared" si="414"/>
        <v>0.39438706584738736</v>
      </c>
      <c r="BK169" s="50">
        <f t="shared" si="414"/>
        <v>0.25892004185179007</v>
      </c>
      <c r="BL169" s="50">
        <f t="shared" si="414"/>
        <v>0.26420168786605513</v>
      </c>
      <c r="BM169" s="50">
        <f t="shared" si="414"/>
        <v>0.24797547082463911</v>
      </c>
      <c r="BN169" s="50">
        <f t="shared" si="414"/>
        <v>0.17552895583961003</v>
      </c>
      <c r="BO169" s="50">
        <f t="shared" si="414"/>
        <v>0.18920888439208894</v>
      </c>
      <c r="BP169" s="50">
        <f t="shared" si="414"/>
        <v>0.10968783152382455</v>
      </c>
      <c r="BQ169" s="50">
        <f t="shared" si="414"/>
        <v>7.7608041621465951E-2</v>
      </c>
      <c r="BR169" s="50">
        <f t="shared" si="414"/>
        <v>0.56598638252386646</v>
      </c>
      <c r="BS169" s="50">
        <f t="shared" si="414"/>
        <v>0.16609862200637093</v>
      </c>
      <c r="BT169" s="50">
        <f t="shared" si="414"/>
        <v>0.29735570811085688</v>
      </c>
      <c r="BU169" s="50">
        <f t="shared" si="414"/>
        <v>0.44962669346549244</v>
      </c>
      <c r="BV169" s="50">
        <f t="shared" si="414"/>
        <v>-6.9496234130686285E-2</v>
      </c>
      <c r="BW169" s="50">
        <f t="shared" si="414"/>
        <v>0.22326597440273788</v>
      </c>
      <c r="BX169" s="50">
        <f t="shared" si="414"/>
        <v>0.17271925526702603</v>
      </c>
      <c r="BY169" s="50">
        <f t="shared" si="414"/>
        <v>7.1821645265979894E-2</v>
      </c>
      <c r="BZ169" s="50">
        <f t="shared" si="414"/>
        <v>0.16909390132205537</v>
      </c>
      <c r="CA169" s="1046"/>
      <c r="CB169"/>
      <c r="CC169"/>
      <c r="CD169" s="855"/>
      <c r="CE169" s="855"/>
      <c r="CF169" s="855"/>
      <c r="CH169" s="50">
        <f>CH168/M168-1</f>
        <v>0.32235478460619849</v>
      </c>
    </row>
    <row r="170" spans="2:87" s="29" customFormat="1">
      <c r="B170" s="32" t="str">
        <f>+B61</f>
        <v>% margin</v>
      </c>
      <c r="D170" s="50">
        <f t="shared" ref="D170:J170" si="415">+D168/D166</f>
        <v>0.33676499703029106</v>
      </c>
      <c r="E170" s="50">
        <f t="shared" si="415"/>
        <v>0.3254277094602796</v>
      </c>
      <c r="F170" s="50">
        <f t="shared" si="415"/>
        <v>0.30324772308381054</v>
      </c>
      <c r="G170" s="50">
        <f t="shared" si="415"/>
        <v>0.32427052240160598</v>
      </c>
      <c r="H170" s="50">
        <f t="shared" si="415"/>
        <v>0.34136501724098633</v>
      </c>
      <c r="I170" s="50">
        <f t="shared" si="415"/>
        <v>0.35363778627850367</v>
      </c>
      <c r="J170" s="50">
        <f t="shared" si="415"/>
        <v>0.37264577790935977</v>
      </c>
      <c r="K170" s="50">
        <f t="shared" ref="K170:Q170" si="416">+K168/K166</f>
        <v>0.36274835679744377</v>
      </c>
      <c r="L170" s="50">
        <f t="shared" si="416"/>
        <v>0.36733962619257887</v>
      </c>
      <c r="M170" s="50">
        <f t="shared" si="416"/>
        <v>0.32432769139301898</v>
      </c>
      <c r="N170" s="50">
        <f t="shared" si="416"/>
        <v>0.42230474894097453</v>
      </c>
      <c r="O170" s="50">
        <f t="shared" si="416"/>
        <v>0.45565216189044683</v>
      </c>
      <c r="P170" s="50">
        <f t="shared" si="416"/>
        <v>0.49632477289265914</v>
      </c>
      <c r="Q170" s="50">
        <f t="shared" si="416"/>
        <v>0.51208083300138352</v>
      </c>
      <c r="R170" s="50">
        <f>+R168/R166</f>
        <v>0.58715950172304709</v>
      </c>
      <c r="S170" s="50">
        <f>+S168/S166</f>
        <v>0.60151272722273108</v>
      </c>
      <c r="T170" s="50">
        <f>+T168/T166</f>
        <v>0.56722738798475703</v>
      </c>
      <c r="U170" s="50">
        <f>+U168/U166</f>
        <v>0.56722738798475703</v>
      </c>
      <c r="V170" s="1119"/>
      <c r="W170" s="50">
        <f t="shared" ref="W170:AS170" si="417">+W168/W166</f>
        <v>0.29539641364243946</v>
      </c>
      <c r="X170" s="50">
        <f t="shared" si="417"/>
        <v>0.305892151216755</v>
      </c>
      <c r="Y170" s="50">
        <f t="shared" si="417"/>
        <v>0.29804640043766489</v>
      </c>
      <c r="Z170" s="50">
        <f t="shared" si="417"/>
        <v>0.31321368488181656</v>
      </c>
      <c r="AA170" s="50">
        <f t="shared" si="417"/>
        <v>0.32241642627689715</v>
      </c>
      <c r="AB170" s="50">
        <f t="shared" si="417"/>
        <v>0.32202474519504531</v>
      </c>
      <c r="AC170" s="50">
        <f t="shared" si="417"/>
        <v>0.32333213422158674</v>
      </c>
      <c r="AD170" s="50">
        <f t="shared" si="417"/>
        <v>0.32904022820691359</v>
      </c>
      <c r="AE170" s="50">
        <f t="shared" si="417"/>
        <v>0.31812392688704877</v>
      </c>
      <c r="AF170" s="50">
        <f t="shared" si="417"/>
        <v>0.33973411949344717</v>
      </c>
      <c r="AG170" s="50">
        <f t="shared" si="417"/>
        <v>0.33362350471957086</v>
      </c>
      <c r="AH170" s="50">
        <f t="shared" si="417"/>
        <v>0.37399458113351652</v>
      </c>
      <c r="AI170" s="50">
        <f t="shared" si="417"/>
        <v>0.34887700268572014</v>
      </c>
      <c r="AJ170" s="50">
        <f t="shared" si="417"/>
        <v>0.34652593597155767</v>
      </c>
      <c r="AK170" s="50">
        <f t="shared" si="417"/>
        <v>0.35159980538430308</v>
      </c>
      <c r="AL170" s="50">
        <f t="shared" si="417"/>
        <v>0.3669064589062202</v>
      </c>
      <c r="AM170" s="50">
        <f t="shared" si="417"/>
        <v>0.37505735386287825</v>
      </c>
      <c r="AN170" s="50">
        <f t="shared" si="417"/>
        <v>0.38368825618709773</v>
      </c>
      <c r="AO170" s="50">
        <f t="shared" si="417"/>
        <v>0.36682610303634045</v>
      </c>
      <c r="AP170" s="50">
        <f t="shared" si="417"/>
        <v>0.36363168403725404</v>
      </c>
      <c r="AQ170" s="50">
        <f t="shared" si="417"/>
        <v>0.35548539843475824</v>
      </c>
      <c r="AR170" s="50">
        <f t="shared" si="417"/>
        <v>0.36659969746247723</v>
      </c>
      <c r="AS170" s="50">
        <f t="shared" si="417"/>
        <v>0.37213191944359975</v>
      </c>
      <c r="AT170" s="50">
        <f t="shared" ref="AT170:AY170" si="418">+AT168/AT166</f>
        <v>0.35688504928184794</v>
      </c>
      <c r="AU170" s="50">
        <f t="shared" si="418"/>
        <v>0.3435863336590943</v>
      </c>
      <c r="AV170" s="50">
        <f t="shared" si="418"/>
        <v>0.3135736608068363</v>
      </c>
      <c r="AW170" s="50">
        <f t="shared" si="418"/>
        <v>0.31070668230996479</v>
      </c>
      <c r="AX170" s="50">
        <f t="shared" si="418"/>
        <v>0.32969486671707937</v>
      </c>
      <c r="AY170" s="50">
        <f t="shared" si="418"/>
        <v>0.4080547808399696</v>
      </c>
      <c r="AZ170" s="50">
        <f t="shared" ref="AZ170:BE170" si="419">+AZ168/AZ166</f>
        <v>0.42154125603274162</v>
      </c>
      <c r="BA170" s="50">
        <f t="shared" si="419"/>
        <v>0.42458754883738653</v>
      </c>
      <c r="BB170" s="50">
        <f t="shared" si="419"/>
        <v>0.4333196096485899</v>
      </c>
      <c r="BC170" s="50">
        <f t="shared" si="419"/>
        <v>0.44306185425333883</v>
      </c>
      <c r="BD170" s="50">
        <f t="shared" si="419"/>
        <v>0.45747568467101429</v>
      </c>
      <c r="BE170" s="50">
        <f t="shared" si="419"/>
        <v>0.4593382469428246</v>
      </c>
      <c r="BF170" s="50">
        <f t="shared" ref="BF170:BK170" si="420">+BF168/BF166</f>
        <v>0.46198912824642641</v>
      </c>
      <c r="BG170" s="50">
        <f t="shared" si="420"/>
        <v>0.48995527422398549</v>
      </c>
      <c r="BH170" s="50">
        <f t="shared" si="420"/>
        <v>0.49436779663407959</v>
      </c>
      <c r="BI170" s="50">
        <f t="shared" si="420"/>
        <v>0.49590095755228608</v>
      </c>
      <c r="BJ170" s="50">
        <f t="shared" si="420"/>
        <v>0.50387389373563041</v>
      </c>
      <c r="BK170" s="50">
        <f t="shared" si="420"/>
        <v>0.50321243272074867</v>
      </c>
      <c r="BL170" s="50">
        <f t="shared" ref="BL170:BQ170" si="421">+BL168/BL166</f>
        <v>0.51027536302827348</v>
      </c>
      <c r="BM170" s="50">
        <f t="shared" si="421"/>
        <v>0.51579779269036663</v>
      </c>
      <c r="BN170" s="50">
        <f t="shared" si="421"/>
        <v>0.51817798583232999</v>
      </c>
      <c r="BO170" s="50">
        <f t="shared" si="421"/>
        <v>0.52254533810729775</v>
      </c>
      <c r="BP170" s="50">
        <f t="shared" si="421"/>
        <v>0.52616510855081844</v>
      </c>
      <c r="BQ170" s="50">
        <f t="shared" si="421"/>
        <v>0.52281246396747993</v>
      </c>
      <c r="BR170" s="50">
        <f t="shared" ref="BR170:BW170" si="422">+BR168/BR166</f>
        <v>0.77674427946543934</v>
      </c>
      <c r="BS170" s="50">
        <f t="shared" si="422"/>
        <v>0.59238382398719835</v>
      </c>
      <c r="BT170" s="50">
        <f t="shared" si="422"/>
        <v>0.61140001917177911</v>
      </c>
      <c r="BU170" s="50">
        <f t="shared" si="422"/>
        <v>0.63722230750674358</v>
      </c>
      <c r="BV170" s="50">
        <f t="shared" si="422"/>
        <v>0.56664943550721636</v>
      </c>
      <c r="BW170" s="50">
        <f t="shared" si="422"/>
        <v>0.5636584126120141</v>
      </c>
      <c r="BX170" s="50">
        <f>+BX168/BX166</f>
        <v>0.56586430528945719</v>
      </c>
      <c r="BY170" s="50">
        <f>+BY168/BY166</f>
        <v>0.56952046214699392</v>
      </c>
      <c r="BZ170" s="50">
        <f>+BZ168/BZ166</f>
        <v>0.56944955449266554</v>
      </c>
      <c r="CA170" s="1046"/>
      <c r="CB170"/>
      <c r="CC170"/>
      <c r="CD170" s="855"/>
      <c r="CE170" s="855"/>
      <c r="CF170" s="855"/>
      <c r="CH170" s="50">
        <f>+CH168/CH166</f>
        <v>0.40330254882719613</v>
      </c>
    </row>
    <row r="171" spans="2:87"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/>
      <c r="CC171"/>
      <c r="CD171" s="53"/>
      <c r="CE171" s="53"/>
      <c r="CF171" s="53"/>
      <c r="CH171" s="53"/>
    </row>
    <row r="172" spans="2:87" s="20" customFormat="1">
      <c r="B172" s="20" t="str">
        <f t="shared" ref="B172:B184" si="423">+B75</f>
        <v xml:space="preserve">Adj EBITDA </v>
      </c>
      <c r="D172" s="49">
        <f t="shared" ref="D172:U172" si="424">+D75</f>
        <v>200718</v>
      </c>
      <c r="E172" s="49">
        <f t="shared" si="424"/>
        <v>222533</v>
      </c>
      <c r="F172" s="49">
        <f t="shared" si="424"/>
        <v>233340</v>
      </c>
      <c r="G172" s="49">
        <f t="shared" si="424"/>
        <v>278430</v>
      </c>
      <c r="H172" s="49">
        <f t="shared" si="424"/>
        <v>314517</v>
      </c>
      <c r="I172" s="49">
        <f t="shared" si="424"/>
        <v>341682</v>
      </c>
      <c r="J172" s="49">
        <f t="shared" si="424"/>
        <v>356208</v>
      </c>
      <c r="K172" s="49">
        <f t="shared" si="424"/>
        <v>304479</v>
      </c>
      <c r="L172" s="49">
        <f t="shared" si="424"/>
        <v>304479</v>
      </c>
      <c r="M172" s="49">
        <f t="shared" si="424"/>
        <v>262937</v>
      </c>
      <c r="N172" s="49">
        <f t="shared" si="424"/>
        <v>371053</v>
      </c>
      <c r="O172" s="49">
        <f t="shared" si="424"/>
        <v>461387</v>
      </c>
      <c r="P172" s="49">
        <f t="shared" si="424"/>
        <v>581103</v>
      </c>
      <c r="Q172" s="49">
        <f t="shared" si="424"/>
        <v>717330</v>
      </c>
      <c r="R172" s="49">
        <f t="shared" si="424"/>
        <v>889064</v>
      </c>
      <c r="S172" s="49">
        <f t="shared" si="424"/>
        <v>1049994</v>
      </c>
      <c r="T172" s="49">
        <f t="shared" si="424"/>
        <v>1212676</v>
      </c>
      <c r="U172" s="49">
        <f t="shared" si="424"/>
        <v>1212676</v>
      </c>
      <c r="V172" s="49"/>
      <c r="W172" s="49">
        <f t="shared" ref="W172:BB172" si="425">+W75</f>
        <v>54856</v>
      </c>
      <c r="X172" s="49">
        <f t="shared" si="425"/>
        <v>59369</v>
      </c>
      <c r="Y172" s="49">
        <f t="shared" si="425"/>
        <v>57749</v>
      </c>
      <c r="Z172" s="49">
        <f t="shared" si="425"/>
        <v>61366</v>
      </c>
      <c r="AA172" s="49">
        <f t="shared" si="425"/>
        <v>65449</v>
      </c>
      <c r="AB172" s="49">
        <f t="shared" si="425"/>
        <v>68729</v>
      </c>
      <c r="AC172" s="49">
        <f t="shared" si="425"/>
        <v>71006</v>
      </c>
      <c r="AD172" s="49">
        <f t="shared" si="425"/>
        <v>73246</v>
      </c>
      <c r="AE172" s="49">
        <f t="shared" si="425"/>
        <v>73186</v>
      </c>
      <c r="AF172" s="49">
        <f t="shared" si="425"/>
        <v>77668.995196233416</v>
      </c>
      <c r="AG172" s="49">
        <f t="shared" si="425"/>
        <v>77494.401299766643</v>
      </c>
      <c r="AH172" s="49">
        <f t="shared" si="425"/>
        <v>86167.603503999941</v>
      </c>
      <c r="AI172" s="49">
        <f t="shared" si="425"/>
        <v>82616.865252000018</v>
      </c>
      <c r="AJ172" s="49">
        <f t="shared" si="425"/>
        <v>82653.019721999968</v>
      </c>
      <c r="AK172" s="49">
        <f t="shared" si="425"/>
        <v>84747.507491000113</v>
      </c>
      <c r="AL172" s="49">
        <f t="shared" si="425"/>
        <v>91664.607534999901</v>
      </c>
      <c r="AM172" s="49">
        <f t="shared" si="425"/>
        <v>95913.042045999988</v>
      </c>
      <c r="AN172" s="49">
        <f t="shared" si="425"/>
        <v>94661.648125199819</v>
      </c>
      <c r="AO172" s="49">
        <f t="shared" si="425"/>
        <v>85704.883887307544</v>
      </c>
      <c r="AP172" s="49">
        <f t="shared" si="425"/>
        <v>79928.425941492664</v>
      </c>
      <c r="AQ172" s="49">
        <f t="shared" si="425"/>
        <v>78230.605177341946</v>
      </c>
      <c r="AR172" s="49">
        <f t="shared" si="425"/>
        <v>80036.779149402952</v>
      </c>
      <c r="AS172" s="49">
        <f t="shared" si="425"/>
        <v>75871</v>
      </c>
      <c r="AT172" s="49">
        <f t="shared" si="425"/>
        <v>70340.615673255103</v>
      </c>
      <c r="AU172" s="49">
        <f t="shared" si="425"/>
        <v>68370</v>
      </c>
      <c r="AV172" s="49">
        <f t="shared" si="425"/>
        <v>63433</v>
      </c>
      <c r="AW172" s="49">
        <f t="shared" si="425"/>
        <v>63069</v>
      </c>
      <c r="AX172" s="49">
        <f t="shared" si="425"/>
        <v>68065</v>
      </c>
      <c r="AY172" s="49">
        <f t="shared" si="425"/>
        <v>84926.401262318672</v>
      </c>
      <c r="AZ172" s="49">
        <f t="shared" si="425"/>
        <v>89362.530866380897</v>
      </c>
      <c r="BA172" s="49">
        <f t="shared" si="425"/>
        <v>93500.971654773908</v>
      </c>
      <c r="BB172" s="49">
        <f t="shared" si="425"/>
        <v>103263.09621652651</v>
      </c>
      <c r="BC172" s="49">
        <f t="shared" ref="BC172:BZ172" si="426">+BC75</f>
        <v>106392</v>
      </c>
      <c r="BD172" s="49">
        <f t="shared" si="426"/>
        <v>118483</v>
      </c>
      <c r="BE172" s="49">
        <f t="shared" si="426"/>
        <v>121777</v>
      </c>
      <c r="BF172" s="49">
        <f t="shared" si="426"/>
        <v>114735</v>
      </c>
      <c r="BG172" s="49">
        <f t="shared" si="426"/>
        <v>131894</v>
      </c>
      <c r="BH172" s="49">
        <f t="shared" si="426"/>
        <v>140177</v>
      </c>
      <c r="BI172" s="49">
        <f t="shared" si="426"/>
        <v>149047</v>
      </c>
      <c r="BJ172" s="49">
        <f t="shared" si="426"/>
        <v>159985</v>
      </c>
      <c r="BK172" s="49">
        <f t="shared" si="426"/>
        <v>166044</v>
      </c>
      <c r="BL172" s="49">
        <f t="shared" si="426"/>
        <v>177212</v>
      </c>
      <c r="BM172" s="49">
        <f t="shared" si="426"/>
        <v>186007</v>
      </c>
      <c r="BN172" s="49">
        <f t="shared" si="426"/>
        <v>188067</v>
      </c>
      <c r="BO172" s="49">
        <f t="shared" si="426"/>
        <v>197461</v>
      </c>
      <c r="BP172" s="49">
        <f t="shared" si="426"/>
        <v>196650</v>
      </c>
      <c r="BQ172" s="49">
        <f t="shared" si="426"/>
        <v>200442.63899788403</v>
      </c>
      <c r="BR172" s="49">
        <f t="shared" si="426"/>
        <v>294510.361002116</v>
      </c>
      <c r="BS172" s="49">
        <f t="shared" si="426"/>
        <v>230259</v>
      </c>
      <c r="BT172" s="49">
        <f t="shared" si="426"/>
        <v>255125</v>
      </c>
      <c r="BU172" s="49">
        <f t="shared" si="426"/>
        <v>290567</v>
      </c>
      <c r="BV172" s="49">
        <f t="shared" si="426"/>
        <v>274043</v>
      </c>
      <c r="BW172" s="49">
        <f t="shared" si="426"/>
        <v>281668</v>
      </c>
      <c r="BX172" s="49">
        <f t="shared" si="426"/>
        <v>299190</v>
      </c>
      <c r="BY172" s="49">
        <f t="shared" si="426"/>
        <v>311436</v>
      </c>
      <c r="BZ172" s="49">
        <f t="shared" si="426"/>
        <v>320382</v>
      </c>
      <c r="CA172" s="49"/>
      <c r="CB172"/>
      <c r="CC172"/>
      <c r="CD172" s="49"/>
      <c r="CE172" s="49"/>
      <c r="CF172" s="49"/>
      <c r="CH172" s="49">
        <f>+CH75</f>
        <v>347696</v>
      </c>
    </row>
    <row r="173" spans="2:87">
      <c r="B173" s="17" t="str">
        <f t="shared" si="423"/>
        <v>Working Capital</v>
      </c>
      <c r="D173" s="54">
        <f t="shared" ref="D173:U173" si="427">+D76</f>
        <v>7569</v>
      </c>
      <c r="E173" s="54">
        <f t="shared" si="427"/>
        <v>11342</v>
      </c>
      <c r="F173" s="54">
        <f t="shared" si="427"/>
        <v>20500</v>
      </c>
      <c r="G173" s="54">
        <f t="shared" si="427"/>
        <v>18743</v>
      </c>
      <c r="H173" s="54">
        <f t="shared" si="427"/>
        <v>3057</v>
      </c>
      <c r="I173" s="54">
        <f t="shared" si="427"/>
        <v>4663</v>
      </c>
      <c r="J173" s="54">
        <f t="shared" si="427"/>
        <v>21017</v>
      </c>
      <c r="K173" s="54">
        <f t="shared" si="427"/>
        <v>-1862</v>
      </c>
      <c r="L173" s="54">
        <f t="shared" si="427"/>
        <v>5906</v>
      </c>
      <c r="M173" s="54">
        <f t="shared" si="427"/>
        <v>-58196</v>
      </c>
      <c r="N173" s="54">
        <f t="shared" si="427"/>
        <v>-165964</v>
      </c>
      <c r="O173" s="54">
        <f t="shared" si="427"/>
        <v>30433</v>
      </c>
      <c r="P173" s="54">
        <f t="shared" si="427"/>
        <v>-14472</v>
      </c>
      <c r="Q173" s="54">
        <f t="shared" si="427"/>
        <v>-31120</v>
      </c>
      <c r="R173" s="54">
        <f t="shared" si="427"/>
        <v>24136</v>
      </c>
      <c r="S173" s="54">
        <f t="shared" si="427"/>
        <v>83813</v>
      </c>
      <c r="T173" s="54">
        <f t="shared" si="427"/>
        <v>72042</v>
      </c>
      <c r="U173" s="54">
        <f t="shared" si="427"/>
        <v>72042</v>
      </c>
      <c r="V173" s="54"/>
      <c r="W173" s="54">
        <f t="shared" ref="W173:BB173" si="428">+W76</f>
        <v>14030</v>
      </c>
      <c r="X173" s="54">
        <f t="shared" si="428"/>
        <v>-3693</v>
      </c>
      <c r="Y173" s="54">
        <f t="shared" si="428"/>
        <v>12747</v>
      </c>
      <c r="Z173" s="54">
        <f t="shared" si="428"/>
        <v>-2584</v>
      </c>
      <c r="AA173" s="54">
        <f t="shared" si="428"/>
        <v>39530</v>
      </c>
      <c r="AB173" s="54">
        <f t="shared" si="428"/>
        <v>820</v>
      </c>
      <c r="AC173" s="54">
        <f t="shared" si="428"/>
        <v>-6419</v>
      </c>
      <c r="AD173" s="54">
        <f t="shared" si="428"/>
        <v>-15188</v>
      </c>
      <c r="AE173" s="54">
        <f t="shared" si="428"/>
        <v>11831</v>
      </c>
      <c r="AF173" s="54">
        <f t="shared" si="428"/>
        <v>6022</v>
      </c>
      <c r="AG173" s="54">
        <f t="shared" si="428"/>
        <v>2544</v>
      </c>
      <c r="AH173" s="54">
        <f t="shared" si="428"/>
        <v>-17340</v>
      </c>
      <c r="AI173" s="54">
        <f t="shared" si="428"/>
        <v>17609</v>
      </c>
      <c r="AJ173" s="54">
        <f t="shared" si="428"/>
        <v>-4635</v>
      </c>
      <c r="AK173" s="54">
        <f t="shared" si="428"/>
        <v>3208</v>
      </c>
      <c r="AL173" s="54">
        <f t="shared" si="428"/>
        <v>-11519</v>
      </c>
      <c r="AM173" s="54">
        <f t="shared" si="428"/>
        <v>13112</v>
      </c>
      <c r="AN173" s="54">
        <f t="shared" si="428"/>
        <v>4614</v>
      </c>
      <c r="AO173" s="54">
        <f t="shared" si="428"/>
        <v>7837</v>
      </c>
      <c r="AP173" s="54">
        <f t="shared" si="428"/>
        <v>-4546</v>
      </c>
      <c r="AQ173" s="54">
        <f t="shared" si="428"/>
        <v>31923</v>
      </c>
      <c r="AR173" s="54">
        <f t="shared" si="428"/>
        <v>2774</v>
      </c>
      <c r="AS173" s="54">
        <f t="shared" si="428"/>
        <v>-1550</v>
      </c>
      <c r="AT173" s="54">
        <f t="shared" si="428"/>
        <v>-35009</v>
      </c>
      <c r="AU173" s="54">
        <f t="shared" si="428"/>
        <v>-17355</v>
      </c>
      <c r="AV173" s="54">
        <f t="shared" si="428"/>
        <v>-19006</v>
      </c>
      <c r="AW173" s="54">
        <f t="shared" si="428"/>
        <v>-7095</v>
      </c>
      <c r="AX173" s="54">
        <f t="shared" si="428"/>
        <v>-14740</v>
      </c>
      <c r="AY173" s="54">
        <f t="shared" si="428"/>
        <v>4222</v>
      </c>
      <c r="AZ173" s="54">
        <f t="shared" si="428"/>
        <v>-17279</v>
      </c>
      <c r="BA173" s="54">
        <f t="shared" si="428"/>
        <v>23643</v>
      </c>
      <c r="BB173" s="54">
        <f t="shared" si="428"/>
        <v>-176550</v>
      </c>
      <c r="BC173" s="54">
        <f t="shared" ref="BC173:BZ173" si="429">+BC76</f>
        <v>19528</v>
      </c>
      <c r="BD173" s="54">
        <f t="shared" si="429"/>
        <v>-14684</v>
      </c>
      <c r="BE173" s="54">
        <f t="shared" si="429"/>
        <v>4024</v>
      </c>
      <c r="BF173" s="54">
        <f t="shared" si="429"/>
        <v>21565</v>
      </c>
      <c r="BG173" s="54">
        <f t="shared" si="429"/>
        <v>1653</v>
      </c>
      <c r="BH173" s="54">
        <f t="shared" si="429"/>
        <v>-9572</v>
      </c>
      <c r="BI173" s="54">
        <f t="shared" si="429"/>
        <v>15523</v>
      </c>
      <c r="BJ173" s="54">
        <f t="shared" si="429"/>
        <v>-22076</v>
      </c>
      <c r="BK173" s="54">
        <f t="shared" si="429"/>
        <v>31211</v>
      </c>
      <c r="BL173" s="54">
        <f t="shared" si="429"/>
        <v>-44883</v>
      </c>
      <c r="BM173" s="54">
        <f t="shared" si="429"/>
        <v>10882</v>
      </c>
      <c r="BN173" s="54">
        <f t="shared" si="429"/>
        <v>-28330</v>
      </c>
      <c r="BO173" s="54">
        <f t="shared" si="429"/>
        <v>21879</v>
      </c>
      <c r="BP173" s="54">
        <f t="shared" si="429"/>
        <v>-605</v>
      </c>
      <c r="BQ173" s="54">
        <f t="shared" si="429"/>
        <v>16917</v>
      </c>
      <c r="BR173" s="54">
        <f t="shared" si="429"/>
        <v>-14055</v>
      </c>
      <c r="BS173" s="54">
        <f t="shared" si="429"/>
        <v>24392.600000000006</v>
      </c>
      <c r="BT173" s="54">
        <f t="shared" si="429"/>
        <v>34890.399999999994</v>
      </c>
      <c r="BU173" s="54">
        <f t="shared" si="429"/>
        <v>21307</v>
      </c>
      <c r="BV173" s="54">
        <f t="shared" si="429"/>
        <v>3223</v>
      </c>
      <c r="BW173" s="54">
        <f t="shared" si="429"/>
        <v>40317</v>
      </c>
      <c r="BX173" s="54">
        <f t="shared" si="429"/>
        <v>19267</v>
      </c>
      <c r="BY173" s="54">
        <f t="shared" si="429"/>
        <v>33814</v>
      </c>
      <c r="BZ173" s="54">
        <f t="shared" si="429"/>
        <v>-21356</v>
      </c>
      <c r="CA173" s="54"/>
      <c r="CB173"/>
      <c r="CC173"/>
      <c r="CD173" s="54"/>
      <c r="CE173" s="54"/>
      <c r="CF173" s="54"/>
      <c r="CH173" s="54">
        <f>+CH76</f>
        <v>-165964</v>
      </c>
    </row>
    <row r="174" spans="2:87">
      <c r="B174" s="17" t="str">
        <f t="shared" si="423"/>
        <v>Taxes</v>
      </c>
      <c r="D174" s="54">
        <f t="shared" ref="D174:U174" si="430">+D77</f>
        <v>-24388</v>
      </c>
      <c r="E174" s="54">
        <f t="shared" si="430"/>
        <v>-29453</v>
      </c>
      <c r="F174" s="54">
        <f t="shared" si="430"/>
        <v>-31294</v>
      </c>
      <c r="G174" s="54">
        <f t="shared" si="430"/>
        <v>-35039</v>
      </c>
      <c r="H174" s="54">
        <f t="shared" si="430"/>
        <v>-46111</v>
      </c>
      <c r="I174" s="54">
        <f t="shared" si="430"/>
        <v>-46836</v>
      </c>
      <c r="J174" s="54">
        <f t="shared" si="430"/>
        <v>-31587</v>
      </c>
      <c r="K174" s="54">
        <f t="shared" si="430"/>
        <v>-13723</v>
      </c>
      <c r="L174" s="54">
        <f t="shared" si="430"/>
        <v>-13723</v>
      </c>
      <c r="M174" s="54">
        <f t="shared" si="430"/>
        <v>-11706</v>
      </c>
      <c r="N174" s="54">
        <f t="shared" si="430"/>
        <v>-22937</v>
      </c>
      <c r="O174" s="54">
        <f t="shared" si="430"/>
        <v>-22328</v>
      </c>
      <c r="P174" s="54">
        <f t="shared" si="430"/>
        <v>-21754</v>
      </c>
      <c r="Q174" s="54">
        <f t="shared" si="430"/>
        <v>-37915</v>
      </c>
      <c r="R174" s="54">
        <f t="shared" si="430"/>
        <v>-28806</v>
      </c>
      <c r="S174" s="54">
        <f t="shared" si="430"/>
        <v>-44380</v>
      </c>
      <c r="T174" s="54">
        <f t="shared" si="430"/>
        <v>-62839</v>
      </c>
      <c r="U174" s="54">
        <f t="shared" si="430"/>
        <v>-62839</v>
      </c>
      <c r="V174" s="54"/>
      <c r="W174" s="54">
        <f t="shared" ref="W174:BB174" si="431">+W77</f>
        <v>-6580</v>
      </c>
      <c r="X174" s="54">
        <f t="shared" si="431"/>
        <v>-9086</v>
      </c>
      <c r="Y174" s="54">
        <f t="shared" si="431"/>
        <v>-7772</v>
      </c>
      <c r="Z174" s="54">
        <f t="shared" si="431"/>
        <v>-7856</v>
      </c>
      <c r="AA174" s="54">
        <f t="shared" si="431"/>
        <v>-5474</v>
      </c>
      <c r="AB174" s="54">
        <f t="shared" si="431"/>
        <v>-9168</v>
      </c>
      <c r="AC174" s="54">
        <f t="shared" si="431"/>
        <v>-9595</v>
      </c>
      <c r="AD174" s="54">
        <f t="shared" si="431"/>
        <v>-10802</v>
      </c>
      <c r="AE174" s="54">
        <f t="shared" si="431"/>
        <v>-6641</v>
      </c>
      <c r="AF174" s="54">
        <f t="shared" si="431"/>
        <v>-11237</v>
      </c>
      <c r="AG174" s="54">
        <f t="shared" si="431"/>
        <v>-13880</v>
      </c>
      <c r="AH174" s="54">
        <f t="shared" si="431"/>
        <v>-14353</v>
      </c>
      <c r="AI174" s="54">
        <f t="shared" si="431"/>
        <v>-10299</v>
      </c>
      <c r="AJ174" s="54">
        <f t="shared" si="431"/>
        <v>-15663</v>
      </c>
      <c r="AK174" s="54">
        <f t="shared" si="431"/>
        <v>-11902</v>
      </c>
      <c r="AL174" s="54">
        <f t="shared" si="431"/>
        <v>-8972</v>
      </c>
      <c r="AM174" s="54">
        <f t="shared" si="431"/>
        <v>-7161.0240000000003</v>
      </c>
      <c r="AN174" s="54">
        <f t="shared" si="431"/>
        <v>-11111.044</v>
      </c>
      <c r="AO174" s="54">
        <f t="shared" si="431"/>
        <v>-5462.125</v>
      </c>
      <c r="AP174" s="54">
        <f t="shared" si="431"/>
        <v>-7852.8069999999998</v>
      </c>
      <c r="AQ174" s="54">
        <f t="shared" si="431"/>
        <v>-1426</v>
      </c>
      <c r="AR174" s="54">
        <f t="shared" si="431"/>
        <v>-6084</v>
      </c>
      <c r="AS174" s="54">
        <f t="shared" si="431"/>
        <v>-1841</v>
      </c>
      <c r="AT174" s="54">
        <f t="shared" si="431"/>
        <v>-4372</v>
      </c>
      <c r="AU174" s="54">
        <f t="shared" si="431"/>
        <v>-7310</v>
      </c>
      <c r="AV174" s="54">
        <f t="shared" si="431"/>
        <v>-5175</v>
      </c>
      <c r="AW174" s="54">
        <f t="shared" si="431"/>
        <v>6372</v>
      </c>
      <c r="AX174" s="54">
        <f t="shared" si="431"/>
        <v>-5593</v>
      </c>
      <c r="AY174" s="54">
        <f t="shared" si="431"/>
        <v>-7188</v>
      </c>
      <c r="AZ174" s="54">
        <f t="shared" si="431"/>
        <v>-6189</v>
      </c>
      <c r="BA174" s="54">
        <f t="shared" si="431"/>
        <v>-5412</v>
      </c>
      <c r="BB174" s="54">
        <f t="shared" si="431"/>
        <v>-4148</v>
      </c>
      <c r="BC174" s="54">
        <f t="shared" ref="BC174:BZ174" si="432">+BC77</f>
        <v>-10079</v>
      </c>
      <c r="BD174" s="54">
        <f t="shared" si="432"/>
        <v>-3397</v>
      </c>
      <c r="BE174" s="54">
        <f t="shared" si="432"/>
        <v>-5472</v>
      </c>
      <c r="BF174" s="54">
        <f t="shared" si="432"/>
        <v>-3380</v>
      </c>
      <c r="BG174" s="54">
        <f t="shared" si="432"/>
        <v>-12526</v>
      </c>
      <c r="BH174" s="54">
        <f t="shared" si="432"/>
        <v>-3955</v>
      </c>
      <c r="BI174" s="54">
        <f t="shared" si="432"/>
        <v>-6570.5442165842906</v>
      </c>
      <c r="BJ174" s="54">
        <f t="shared" si="432"/>
        <v>1297.5442165842906</v>
      </c>
      <c r="BK174" s="54">
        <f t="shared" si="432"/>
        <v>-19943</v>
      </c>
      <c r="BL174" s="54">
        <f t="shared" si="432"/>
        <v>-4977</v>
      </c>
      <c r="BM174" s="54">
        <f t="shared" si="432"/>
        <v>-8019.5153047814201</v>
      </c>
      <c r="BN174" s="54">
        <f t="shared" si="432"/>
        <v>-4975.4846952185799</v>
      </c>
      <c r="BO174" s="54">
        <f t="shared" si="432"/>
        <v>-14769</v>
      </c>
      <c r="BP174" s="54">
        <f t="shared" si="432"/>
        <v>-5326</v>
      </c>
      <c r="BQ174" s="54">
        <f t="shared" si="432"/>
        <v>-3459</v>
      </c>
      <c r="BR174" s="54">
        <f t="shared" si="432"/>
        <v>-5252</v>
      </c>
      <c r="BS174" s="54">
        <f t="shared" si="432"/>
        <v>-9175.2129700220867</v>
      </c>
      <c r="BT174" s="54">
        <f t="shared" si="432"/>
        <v>-7387.8735410851295</v>
      </c>
      <c r="BU174" s="54">
        <f t="shared" si="432"/>
        <v>-14317</v>
      </c>
      <c r="BV174" s="54">
        <f t="shared" si="432"/>
        <v>-13499.913488892784</v>
      </c>
      <c r="BW174" s="54">
        <f t="shared" si="432"/>
        <v>-16785</v>
      </c>
      <c r="BX174" s="54">
        <f t="shared" si="432"/>
        <v>-14848</v>
      </c>
      <c r="BY174" s="54">
        <f t="shared" si="432"/>
        <v>-19805</v>
      </c>
      <c r="BZ174" s="54">
        <f t="shared" si="432"/>
        <v>-11401</v>
      </c>
      <c r="CA174" s="54"/>
      <c r="CB174"/>
      <c r="CC174"/>
      <c r="CD174" s="54"/>
      <c r="CE174" s="54"/>
      <c r="CF174" s="54"/>
      <c r="CH174" s="54">
        <f>+CH77</f>
        <v>-22937</v>
      </c>
    </row>
    <row r="175" spans="2:87">
      <c r="B175" s="17" t="str">
        <f t="shared" si="423"/>
        <v>Cash interest paid</v>
      </c>
      <c r="D175" s="54">
        <f t="shared" ref="D175:U175" si="433">+D78</f>
        <v>-21595</v>
      </c>
      <c r="E175" s="54">
        <f t="shared" si="433"/>
        <v>-32352</v>
      </c>
      <c r="F175" s="54">
        <f t="shared" si="433"/>
        <v>-34339</v>
      </c>
      <c r="G175" s="54">
        <f t="shared" si="433"/>
        <v>-37620</v>
      </c>
      <c r="H175" s="54">
        <f t="shared" si="433"/>
        <v>-33887</v>
      </c>
      <c r="I175" s="54">
        <f t="shared" si="433"/>
        <v>-32890</v>
      </c>
      <c r="J175" s="54">
        <f t="shared" si="433"/>
        <v>-58566</v>
      </c>
      <c r="K175" s="54">
        <f t="shared" si="433"/>
        <v>-44041</v>
      </c>
      <c r="L175" s="54">
        <f t="shared" si="433"/>
        <v>-44041</v>
      </c>
      <c r="M175" s="54">
        <f t="shared" si="433"/>
        <v>-76171</v>
      </c>
      <c r="N175" s="54">
        <f t="shared" si="433"/>
        <v>-109993</v>
      </c>
      <c r="O175" s="54">
        <f t="shared" si="433"/>
        <v>-71294</v>
      </c>
      <c r="P175" s="54">
        <f t="shared" si="433"/>
        <v>-131588</v>
      </c>
      <c r="Q175" s="54">
        <f t="shared" si="433"/>
        <v>-66893</v>
      </c>
      <c r="R175" s="54">
        <f t="shared" si="433"/>
        <v>-140263</v>
      </c>
      <c r="S175" s="54">
        <f t="shared" si="433"/>
        <v>-175476</v>
      </c>
      <c r="T175" s="54">
        <f t="shared" si="433"/>
        <v>-148876</v>
      </c>
      <c r="U175" s="54">
        <f t="shared" si="433"/>
        <v>-148876</v>
      </c>
      <c r="V175" s="54"/>
      <c r="W175" s="54">
        <f t="shared" ref="W175:BB175" si="434">+W78</f>
        <v>-9604</v>
      </c>
      <c r="X175" s="54">
        <f t="shared" si="434"/>
        <v>-7553</v>
      </c>
      <c r="Y175" s="54">
        <f t="shared" si="434"/>
        <v>-11106</v>
      </c>
      <c r="Z175" s="54">
        <f t="shared" si="434"/>
        <v>-6076</v>
      </c>
      <c r="AA175" s="54">
        <f t="shared" si="434"/>
        <v>-9957</v>
      </c>
      <c r="AB175" s="54">
        <f t="shared" si="434"/>
        <v>-10192</v>
      </c>
      <c r="AC175" s="54">
        <f t="shared" si="434"/>
        <v>-10059</v>
      </c>
      <c r="AD175" s="54">
        <f t="shared" si="434"/>
        <v>-7412</v>
      </c>
      <c r="AE175" s="54">
        <f t="shared" si="434"/>
        <v>-9357</v>
      </c>
      <c r="AF175" s="54">
        <f t="shared" si="434"/>
        <v>-7264</v>
      </c>
      <c r="AG175" s="54">
        <f t="shared" si="434"/>
        <v>-7536</v>
      </c>
      <c r="AH175" s="54">
        <f t="shared" si="434"/>
        <v>-9730</v>
      </c>
      <c r="AI175" s="54">
        <f t="shared" si="434"/>
        <v>-9232</v>
      </c>
      <c r="AJ175" s="54">
        <f t="shared" si="434"/>
        <v>-7841</v>
      </c>
      <c r="AK175" s="54">
        <f t="shared" si="434"/>
        <v>-8953</v>
      </c>
      <c r="AL175" s="54">
        <f t="shared" si="434"/>
        <v>-6864</v>
      </c>
      <c r="AM175" s="54">
        <f t="shared" si="434"/>
        <v>-9744</v>
      </c>
      <c r="AN175" s="54">
        <f t="shared" si="434"/>
        <v>-6411</v>
      </c>
      <c r="AO175" s="54">
        <f t="shared" si="434"/>
        <v>-9420</v>
      </c>
      <c r="AP175" s="54">
        <f t="shared" si="434"/>
        <v>-32991</v>
      </c>
      <c r="AQ175" s="54">
        <f t="shared" si="434"/>
        <v>-10936</v>
      </c>
      <c r="AR175" s="54">
        <f t="shared" si="434"/>
        <v>-6259</v>
      </c>
      <c r="AS175" s="54">
        <f t="shared" si="434"/>
        <v>-10379</v>
      </c>
      <c r="AT175" s="54">
        <f t="shared" si="434"/>
        <v>-16467</v>
      </c>
      <c r="AU175" s="54">
        <f t="shared" si="434"/>
        <v>-30987</v>
      </c>
      <c r="AV175" s="54">
        <f t="shared" si="434"/>
        <v>-5763</v>
      </c>
      <c r="AW175" s="54">
        <f t="shared" si="434"/>
        <v>-12801</v>
      </c>
      <c r="AX175" s="54">
        <f t="shared" si="434"/>
        <v>-26620</v>
      </c>
      <c r="AY175" s="54">
        <f t="shared" si="434"/>
        <v>-43271</v>
      </c>
      <c r="AZ175" s="54">
        <f t="shared" si="434"/>
        <v>-14643</v>
      </c>
      <c r="BA175" s="54">
        <f t="shared" si="434"/>
        <v>-21549</v>
      </c>
      <c r="BB175" s="54">
        <f t="shared" si="434"/>
        <v>-30530</v>
      </c>
      <c r="BC175" s="54">
        <f t="shared" ref="BC175:BZ175" si="435">+BC78</f>
        <v>-21335</v>
      </c>
      <c r="BD175" s="54">
        <f t="shared" si="435"/>
        <v>98</v>
      </c>
      <c r="BE175" s="54">
        <f t="shared" si="435"/>
        <v>-15879</v>
      </c>
      <c r="BF175" s="54">
        <f t="shared" si="435"/>
        <v>-34178</v>
      </c>
      <c r="BG175" s="54">
        <f t="shared" si="435"/>
        <v>-18727</v>
      </c>
      <c r="BH175" s="54">
        <f t="shared" si="435"/>
        <v>-11120</v>
      </c>
      <c r="BI175" s="54">
        <f t="shared" si="435"/>
        <v>-41428.461429768678</v>
      </c>
      <c r="BJ175" s="54">
        <f t="shared" si="435"/>
        <v>-60312.538570231322</v>
      </c>
      <c r="BK175" s="54">
        <f t="shared" si="435"/>
        <v>-17500.216553712897</v>
      </c>
      <c r="BL175" s="54">
        <f t="shared" si="435"/>
        <v>-12173</v>
      </c>
      <c r="BM175" s="54">
        <f t="shared" si="435"/>
        <v>-17261.570001499284</v>
      </c>
      <c r="BN175" s="54">
        <f t="shared" si="435"/>
        <v>-19958.21344478782</v>
      </c>
      <c r="BO175" s="54">
        <f t="shared" si="435"/>
        <v>-23200</v>
      </c>
      <c r="BP175" s="54">
        <f t="shared" si="435"/>
        <v>-54561</v>
      </c>
      <c r="BQ175" s="54">
        <f t="shared" si="435"/>
        <v>-23310</v>
      </c>
      <c r="BR175" s="54">
        <f t="shared" si="435"/>
        <v>-39192</v>
      </c>
      <c r="BS175" s="54">
        <f t="shared" si="435"/>
        <v>-41579.664802518048</v>
      </c>
      <c r="BT175" s="54">
        <f t="shared" si="435"/>
        <v>-63744.135818073701</v>
      </c>
      <c r="BU175" s="54">
        <f t="shared" si="435"/>
        <v>-32502</v>
      </c>
      <c r="BV175" s="54">
        <f t="shared" si="435"/>
        <v>-37650.199379408252</v>
      </c>
      <c r="BW175" s="54">
        <f t="shared" si="435"/>
        <v>-33273</v>
      </c>
      <c r="BX175" s="54">
        <f t="shared" si="435"/>
        <v>-26019</v>
      </c>
      <c r="BY175" s="54">
        <f t="shared" si="435"/>
        <v>-29968</v>
      </c>
      <c r="BZ175" s="54">
        <f t="shared" si="435"/>
        <v>-59616</v>
      </c>
      <c r="CA175" s="54"/>
      <c r="CB175"/>
      <c r="CC175"/>
      <c r="CD175" s="54"/>
      <c r="CE175" s="54"/>
      <c r="CF175" s="54"/>
      <c r="CH175" s="54">
        <f>+CH78</f>
        <v>-109993</v>
      </c>
    </row>
    <row r="176" spans="2:87" s="20" customFormat="1" ht="13.5" thickBot="1">
      <c r="B176" s="51" t="str">
        <f t="shared" si="423"/>
        <v xml:space="preserve">Net cash from operations </v>
      </c>
      <c r="D176" s="52">
        <f t="shared" ref="D176:J176" si="436">SUM(D172:D175)</f>
        <v>162304</v>
      </c>
      <c r="E176" s="52">
        <f t="shared" si="436"/>
        <v>172070</v>
      </c>
      <c r="F176" s="52">
        <f t="shared" si="436"/>
        <v>188207</v>
      </c>
      <c r="G176" s="52">
        <f t="shared" si="436"/>
        <v>224514</v>
      </c>
      <c r="H176" s="52">
        <f t="shared" si="436"/>
        <v>237576</v>
      </c>
      <c r="I176" s="52">
        <f t="shared" si="436"/>
        <v>266619</v>
      </c>
      <c r="J176" s="52">
        <f t="shared" si="436"/>
        <v>287072</v>
      </c>
      <c r="K176" s="52">
        <f t="shared" ref="K176:R176" si="437">SUM(K172:K175)</f>
        <v>244853</v>
      </c>
      <c r="L176" s="52">
        <f t="shared" si="437"/>
        <v>252621</v>
      </c>
      <c r="M176" s="52">
        <f t="shared" si="437"/>
        <v>116864</v>
      </c>
      <c r="N176" s="52">
        <f t="shared" si="437"/>
        <v>72159</v>
      </c>
      <c r="O176" s="52">
        <f t="shared" si="437"/>
        <v>398198</v>
      </c>
      <c r="P176" s="52">
        <f t="shared" si="437"/>
        <v>413289</v>
      </c>
      <c r="Q176" s="52">
        <f t="shared" si="437"/>
        <v>581402</v>
      </c>
      <c r="R176" s="52">
        <f t="shared" si="437"/>
        <v>744131</v>
      </c>
      <c r="S176" s="52">
        <f>SUM(S172:S175)</f>
        <v>913951</v>
      </c>
      <c r="T176" s="52">
        <f>SUM(T172:T175)</f>
        <v>1073003</v>
      </c>
      <c r="U176" s="52">
        <f>SUM(U172:U175)</f>
        <v>1073003</v>
      </c>
      <c r="V176" s="49"/>
      <c r="W176" s="52">
        <f t="shared" ref="W176:AP176" si="438">SUM(W172:W175)</f>
        <v>52702</v>
      </c>
      <c r="X176" s="52">
        <f t="shared" si="438"/>
        <v>39037</v>
      </c>
      <c r="Y176" s="52">
        <f t="shared" si="438"/>
        <v>51618</v>
      </c>
      <c r="Z176" s="52">
        <f t="shared" si="438"/>
        <v>44850</v>
      </c>
      <c r="AA176" s="52">
        <f t="shared" si="438"/>
        <v>89548</v>
      </c>
      <c r="AB176" s="52">
        <f t="shared" si="438"/>
        <v>50189</v>
      </c>
      <c r="AC176" s="52">
        <f t="shared" si="438"/>
        <v>44933</v>
      </c>
      <c r="AD176" s="52">
        <f t="shared" si="438"/>
        <v>39844</v>
      </c>
      <c r="AE176" s="52">
        <f t="shared" si="438"/>
        <v>69019</v>
      </c>
      <c r="AF176" s="52">
        <f t="shared" si="438"/>
        <v>65189.995196233416</v>
      </c>
      <c r="AG176" s="52">
        <f t="shared" si="438"/>
        <v>58622.401299766643</v>
      </c>
      <c r="AH176" s="52">
        <f t="shared" si="438"/>
        <v>44744.603503999941</v>
      </c>
      <c r="AI176" s="52">
        <f t="shared" si="438"/>
        <v>80694.865252000018</v>
      </c>
      <c r="AJ176" s="52">
        <f t="shared" si="438"/>
        <v>54514.019721999968</v>
      </c>
      <c r="AK176" s="52">
        <f t="shared" si="438"/>
        <v>67100.507491000113</v>
      </c>
      <c r="AL176" s="52">
        <f t="shared" si="438"/>
        <v>64309.607534999901</v>
      </c>
      <c r="AM176" s="52">
        <f t="shared" si="438"/>
        <v>92120.018045999983</v>
      </c>
      <c r="AN176" s="52">
        <f t="shared" si="438"/>
        <v>81753.604125199825</v>
      </c>
      <c r="AO176" s="52">
        <f t="shared" si="438"/>
        <v>78659.758887307544</v>
      </c>
      <c r="AP176" s="52">
        <f t="shared" si="438"/>
        <v>34538.618941492663</v>
      </c>
      <c r="AQ176" s="52">
        <f t="shared" ref="AQ176:AV176" si="439">SUM(AQ172:AQ175)</f>
        <v>97791.605177341946</v>
      </c>
      <c r="AR176" s="52">
        <f t="shared" si="439"/>
        <v>70467.779149402952</v>
      </c>
      <c r="AS176" s="52">
        <f t="shared" si="439"/>
        <v>62101</v>
      </c>
      <c r="AT176" s="52">
        <f t="shared" si="439"/>
        <v>14492.615673255103</v>
      </c>
      <c r="AU176" s="52">
        <f t="shared" si="439"/>
        <v>12718</v>
      </c>
      <c r="AV176" s="52">
        <f t="shared" si="439"/>
        <v>33489</v>
      </c>
      <c r="AW176" s="52">
        <f t="shared" ref="AW176:BB176" si="440">SUM(AW172:AW175)</f>
        <v>49545</v>
      </c>
      <c r="AX176" s="52">
        <f t="shared" si="440"/>
        <v>21112</v>
      </c>
      <c r="AY176" s="52">
        <f t="shared" si="440"/>
        <v>38689.401262318672</v>
      </c>
      <c r="AZ176" s="52">
        <f t="shared" si="440"/>
        <v>51251.530866380897</v>
      </c>
      <c r="BA176" s="52">
        <f t="shared" si="440"/>
        <v>90182.971654773908</v>
      </c>
      <c r="BB176" s="52">
        <f t="shared" si="440"/>
        <v>-107964.90378347349</v>
      </c>
      <c r="BC176" s="52">
        <f t="shared" ref="BC176:BH176" si="441">SUM(BC172:BC175)</f>
        <v>94506</v>
      </c>
      <c r="BD176" s="52">
        <f t="shared" si="441"/>
        <v>100500</v>
      </c>
      <c r="BE176" s="52">
        <f t="shared" si="441"/>
        <v>104450</v>
      </c>
      <c r="BF176" s="52">
        <f t="shared" si="441"/>
        <v>98742</v>
      </c>
      <c r="BG176" s="52">
        <f t="shared" si="441"/>
        <v>102294</v>
      </c>
      <c r="BH176" s="52">
        <f t="shared" si="441"/>
        <v>115530</v>
      </c>
      <c r="BI176" s="52">
        <f t="shared" ref="BI176:BN176" si="442">SUM(BI172:BI175)</f>
        <v>116570.99435364702</v>
      </c>
      <c r="BJ176" s="52">
        <f t="shared" si="442"/>
        <v>78894.005646352976</v>
      </c>
      <c r="BK176" s="52">
        <f t="shared" si="442"/>
        <v>159811.7834462871</v>
      </c>
      <c r="BL176" s="52">
        <f t="shared" si="442"/>
        <v>115179</v>
      </c>
      <c r="BM176" s="52">
        <f t="shared" si="442"/>
        <v>171607.9146937193</v>
      </c>
      <c r="BN176" s="52">
        <f t="shared" si="442"/>
        <v>134803.3018599936</v>
      </c>
      <c r="BO176" s="52">
        <f t="shared" ref="BO176:BT176" si="443">SUM(BO172:BO175)</f>
        <v>181371</v>
      </c>
      <c r="BP176" s="52">
        <f t="shared" si="443"/>
        <v>136158</v>
      </c>
      <c r="BQ176" s="52">
        <f t="shared" si="443"/>
        <v>190590.63899788403</v>
      </c>
      <c r="BR176" s="52">
        <f t="shared" si="443"/>
        <v>236011.361002116</v>
      </c>
      <c r="BS176" s="52">
        <f t="shared" si="443"/>
        <v>203896.72222745989</v>
      </c>
      <c r="BT176" s="52">
        <f t="shared" si="443"/>
        <v>218883.39064084121</v>
      </c>
      <c r="BU176" s="52">
        <f t="shared" ref="BU176:BZ176" si="444">SUM(BU172:BU175)</f>
        <v>265055</v>
      </c>
      <c r="BV176" s="52">
        <f t="shared" si="444"/>
        <v>226115.88713169895</v>
      </c>
      <c r="BW176" s="52">
        <f t="shared" si="444"/>
        <v>271927</v>
      </c>
      <c r="BX176" s="52">
        <f t="shared" si="444"/>
        <v>277590</v>
      </c>
      <c r="BY176" s="52">
        <f t="shared" si="444"/>
        <v>295477</v>
      </c>
      <c r="BZ176" s="52">
        <f t="shared" si="444"/>
        <v>228009</v>
      </c>
      <c r="CA176" s="49"/>
      <c r="CB176"/>
      <c r="CC176"/>
      <c r="CD176" s="49"/>
      <c r="CE176" s="49"/>
      <c r="CF176" s="49"/>
      <c r="CH176" s="52">
        <f>SUM(CH172:CH175)</f>
        <v>48802</v>
      </c>
    </row>
    <row r="177" spans="2:86" ht="13.5" thickTop="1">
      <c r="B177" s="17" t="str">
        <f t="shared" si="423"/>
        <v>Net Capex</v>
      </c>
      <c r="D177" s="54">
        <f t="shared" ref="D177:U177" si="445">+D80</f>
        <v>-277094</v>
      </c>
      <c r="E177" s="54">
        <f t="shared" si="445"/>
        <v>-150283</v>
      </c>
      <c r="F177" s="54">
        <f t="shared" si="445"/>
        <v>-130063</v>
      </c>
      <c r="G177" s="54">
        <f t="shared" si="445"/>
        <v>-174659</v>
      </c>
      <c r="H177" s="54">
        <f t="shared" si="445"/>
        <v>-209786</v>
      </c>
      <c r="I177" s="54">
        <f t="shared" si="445"/>
        <v>-270967</v>
      </c>
      <c r="J177" s="54">
        <f t="shared" si="445"/>
        <v>-384045</v>
      </c>
      <c r="K177" s="54">
        <f t="shared" si="445"/>
        <v>-267262</v>
      </c>
      <c r="L177" s="54">
        <f t="shared" si="445"/>
        <v>-267262</v>
      </c>
      <c r="M177" s="54">
        <f t="shared" si="445"/>
        <v>-305270</v>
      </c>
      <c r="N177" s="54">
        <f t="shared" si="445"/>
        <v>-221275</v>
      </c>
      <c r="O177" s="54">
        <f t="shared" si="445"/>
        <v>-334379</v>
      </c>
      <c r="P177" s="54">
        <f t="shared" si="445"/>
        <v>-434690</v>
      </c>
      <c r="Q177" s="54">
        <f t="shared" si="445"/>
        <v>-388184</v>
      </c>
      <c r="R177" s="54">
        <f t="shared" si="445"/>
        <v>-520834</v>
      </c>
      <c r="S177" s="54">
        <f t="shared" si="445"/>
        <v>-606904</v>
      </c>
      <c r="T177" s="54">
        <f t="shared" si="445"/>
        <v>-464008</v>
      </c>
      <c r="U177" s="54">
        <f t="shared" si="445"/>
        <v>-464008</v>
      </c>
      <c r="V177" s="54"/>
      <c r="W177" s="54">
        <f t="shared" ref="W177:BB177" si="446">+W80</f>
        <v>-28297</v>
      </c>
      <c r="X177" s="54">
        <f t="shared" si="446"/>
        <v>-33412</v>
      </c>
      <c r="Y177" s="54">
        <f t="shared" si="446"/>
        <v>-33655</v>
      </c>
      <c r="Z177" s="54">
        <f t="shared" si="446"/>
        <v>-34699</v>
      </c>
      <c r="AA177" s="54">
        <f t="shared" si="446"/>
        <v>-41849</v>
      </c>
      <c r="AB177" s="54">
        <f t="shared" si="446"/>
        <v>-34481</v>
      </c>
      <c r="AC177" s="54">
        <f t="shared" si="446"/>
        <v>-19464</v>
      </c>
      <c r="AD177" s="54">
        <f t="shared" si="446"/>
        <v>-78865</v>
      </c>
      <c r="AE177" s="54">
        <f t="shared" si="446"/>
        <v>-35229</v>
      </c>
      <c r="AF177" s="54">
        <f t="shared" si="446"/>
        <v>-41219</v>
      </c>
      <c r="AG177" s="54">
        <f t="shared" si="446"/>
        <v>-43791</v>
      </c>
      <c r="AH177" s="54">
        <f t="shared" si="446"/>
        <v>-89547</v>
      </c>
      <c r="AI177" s="54">
        <f t="shared" si="446"/>
        <v>-111292</v>
      </c>
      <c r="AJ177" s="54">
        <f t="shared" si="446"/>
        <v>-53216</v>
      </c>
      <c r="AK177" s="54">
        <f t="shared" si="446"/>
        <v>-49371</v>
      </c>
      <c r="AL177" s="54">
        <f t="shared" si="446"/>
        <v>-57088</v>
      </c>
      <c r="AM177" s="54">
        <f t="shared" si="446"/>
        <v>-104988</v>
      </c>
      <c r="AN177" s="54">
        <f t="shared" si="446"/>
        <v>-71036</v>
      </c>
      <c r="AO177" s="54">
        <f t="shared" si="446"/>
        <v>-152447</v>
      </c>
      <c r="AP177" s="54">
        <f t="shared" si="446"/>
        <v>-55574</v>
      </c>
      <c r="AQ177" s="54">
        <f t="shared" si="446"/>
        <v>-45162</v>
      </c>
      <c r="AR177" s="54">
        <f t="shared" si="446"/>
        <v>-59258</v>
      </c>
      <c r="AS177" s="54">
        <f t="shared" si="446"/>
        <v>-82283</v>
      </c>
      <c r="AT177" s="54">
        <f t="shared" si="446"/>
        <v>-80559</v>
      </c>
      <c r="AU177" s="54">
        <f t="shared" si="446"/>
        <v>-81585</v>
      </c>
      <c r="AV177" s="54">
        <f t="shared" si="446"/>
        <v>-97967</v>
      </c>
      <c r="AW177" s="54">
        <f t="shared" si="446"/>
        <v>-66796</v>
      </c>
      <c r="AX177" s="54">
        <f t="shared" si="446"/>
        <v>-58922</v>
      </c>
      <c r="AY177" s="54">
        <f t="shared" si="446"/>
        <v>-59403</v>
      </c>
      <c r="AZ177" s="54">
        <f t="shared" si="446"/>
        <v>-43119</v>
      </c>
      <c r="BA177" s="54">
        <f t="shared" si="446"/>
        <v>-58498</v>
      </c>
      <c r="BB177" s="54">
        <f t="shared" si="446"/>
        <v>-60255</v>
      </c>
      <c r="BC177" s="54">
        <f t="shared" ref="BC177:BZ177" si="447">+BC80</f>
        <v>-55102</v>
      </c>
      <c r="BD177" s="54">
        <f t="shared" si="447"/>
        <v>-55745</v>
      </c>
      <c r="BE177" s="54">
        <f t="shared" si="447"/>
        <v>-75791</v>
      </c>
      <c r="BF177" s="54">
        <f t="shared" si="447"/>
        <v>-147741</v>
      </c>
      <c r="BG177" s="54">
        <f t="shared" si="447"/>
        <v>-75317</v>
      </c>
      <c r="BH177" s="54">
        <f t="shared" si="447"/>
        <v>-68968</v>
      </c>
      <c r="BI177" s="54">
        <f t="shared" si="447"/>
        <v>-199930</v>
      </c>
      <c r="BJ177" s="54">
        <f t="shared" si="447"/>
        <v>-90475</v>
      </c>
      <c r="BK177" s="54">
        <f t="shared" si="447"/>
        <v>-74176.438238613147</v>
      </c>
      <c r="BL177" s="54">
        <f t="shared" si="447"/>
        <v>-142069</v>
      </c>
      <c r="BM177" s="54">
        <f t="shared" si="447"/>
        <v>-96334</v>
      </c>
      <c r="BN177" s="54">
        <f t="shared" si="447"/>
        <v>-75604.561761386853</v>
      </c>
      <c r="BO177" s="54">
        <f t="shared" si="447"/>
        <v>-103550</v>
      </c>
      <c r="BP177" s="54">
        <f t="shared" si="447"/>
        <v>-141069</v>
      </c>
      <c r="BQ177" s="54">
        <f t="shared" si="447"/>
        <v>-102260</v>
      </c>
      <c r="BR177" s="54">
        <f t="shared" si="447"/>
        <v>-173955</v>
      </c>
      <c r="BS177" s="54">
        <f t="shared" si="447"/>
        <v>-169508</v>
      </c>
      <c r="BT177" s="54">
        <f t="shared" si="447"/>
        <v>-152170</v>
      </c>
      <c r="BU177" s="54">
        <f t="shared" si="447"/>
        <v>-118306</v>
      </c>
      <c r="BV177" s="54">
        <f t="shared" si="447"/>
        <v>-166920</v>
      </c>
      <c r="BW177" s="54">
        <f t="shared" si="447"/>
        <v>-113404</v>
      </c>
      <c r="BX177" s="54">
        <f t="shared" si="447"/>
        <v>-113873</v>
      </c>
      <c r="BY177" s="54">
        <f t="shared" si="447"/>
        <v>-112339</v>
      </c>
      <c r="BZ177" s="54">
        <f t="shared" si="447"/>
        <v>-124392</v>
      </c>
      <c r="CA177" s="54"/>
      <c r="CB177"/>
      <c r="CC177"/>
      <c r="CD177" s="54"/>
      <c r="CE177" s="54"/>
      <c r="CF177" s="54"/>
      <c r="CH177" s="54">
        <f t="shared" ref="CH177:CH184" si="448">+CH80</f>
        <v>-221275</v>
      </c>
    </row>
    <row r="178" spans="2:86">
      <c r="B178" s="17" t="str">
        <f t="shared" si="423"/>
        <v>Acquisitions / (Asset Sales)</v>
      </c>
      <c r="D178" s="54">
        <f t="shared" ref="D178:U178" si="449">+D81</f>
        <v>-373991</v>
      </c>
      <c r="E178" s="54">
        <f t="shared" si="449"/>
        <v>-22727</v>
      </c>
      <c r="F178" s="54">
        <f t="shared" si="449"/>
        <v>-9179</v>
      </c>
      <c r="G178" s="54">
        <f t="shared" si="449"/>
        <v>-14053</v>
      </c>
      <c r="H178" s="54">
        <f t="shared" si="449"/>
        <v>663</v>
      </c>
      <c r="I178" s="54">
        <f t="shared" si="449"/>
        <v>56686</v>
      </c>
      <c r="J178" s="54">
        <f t="shared" si="449"/>
        <v>66638</v>
      </c>
      <c r="K178" s="54">
        <f t="shared" si="449"/>
        <v>-14689</v>
      </c>
      <c r="L178" s="54">
        <f t="shared" si="449"/>
        <v>-14689</v>
      </c>
      <c r="M178" s="54">
        <f t="shared" si="449"/>
        <v>-2092</v>
      </c>
      <c r="N178" s="54">
        <f t="shared" si="449"/>
        <v>-6106</v>
      </c>
      <c r="O178" s="54">
        <f t="shared" si="449"/>
        <v>-32603</v>
      </c>
      <c r="P178" s="54">
        <f t="shared" si="449"/>
        <v>-19323</v>
      </c>
      <c r="Q178" s="54">
        <f t="shared" si="449"/>
        <v>-8106</v>
      </c>
      <c r="R178" s="54">
        <f t="shared" si="449"/>
        <v>-6728</v>
      </c>
      <c r="S178" s="54">
        <f t="shared" si="449"/>
        <v>-7789</v>
      </c>
      <c r="T178" s="54">
        <f t="shared" si="449"/>
        <v>0</v>
      </c>
      <c r="U178" s="54">
        <f t="shared" si="449"/>
        <v>0</v>
      </c>
      <c r="V178" s="54"/>
      <c r="W178" s="54">
        <f t="shared" ref="W178:BB178" si="450">+W81</f>
        <v>-9281</v>
      </c>
      <c r="X178" s="54">
        <f t="shared" si="450"/>
        <v>0</v>
      </c>
      <c r="Y178" s="54">
        <f t="shared" si="450"/>
        <v>0</v>
      </c>
      <c r="Z178" s="54">
        <f t="shared" si="450"/>
        <v>102</v>
      </c>
      <c r="AA178" s="54">
        <f t="shared" si="450"/>
        <v>-10937</v>
      </c>
      <c r="AB178" s="54">
        <f t="shared" si="450"/>
        <v>-747</v>
      </c>
      <c r="AC178" s="54">
        <f t="shared" si="450"/>
        <v>0</v>
      </c>
      <c r="AD178" s="54">
        <f t="shared" si="450"/>
        <v>-2369</v>
      </c>
      <c r="AE178" s="54">
        <f t="shared" si="450"/>
        <v>0</v>
      </c>
      <c r="AF178" s="54">
        <f t="shared" si="450"/>
        <v>0</v>
      </c>
      <c r="AG178" s="54">
        <f t="shared" si="450"/>
        <v>-358</v>
      </c>
      <c r="AH178" s="54">
        <f t="shared" si="450"/>
        <v>1021</v>
      </c>
      <c r="AI178" s="54">
        <f t="shared" si="450"/>
        <v>7346</v>
      </c>
      <c r="AJ178" s="54">
        <f t="shared" si="450"/>
        <v>36163</v>
      </c>
      <c r="AK178" s="54">
        <f t="shared" si="450"/>
        <v>12723</v>
      </c>
      <c r="AL178" s="54">
        <f t="shared" si="450"/>
        <v>454</v>
      </c>
      <c r="AM178" s="54">
        <f t="shared" si="450"/>
        <v>39448</v>
      </c>
      <c r="AN178" s="54">
        <f t="shared" si="450"/>
        <v>26156</v>
      </c>
      <c r="AO178" s="54">
        <f t="shared" si="450"/>
        <v>786</v>
      </c>
      <c r="AP178" s="54">
        <f t="shared" si="450"/>
        <v>248</v>
      </c>
      <c r="AQ178" s="54">
        <f t="shared" si="450"/>
        <v>1840</v>
      </c>
      <c r="AR178" s="54">
        <f t="shared" si="450"/>
        <v>-16672</v>
      </c>
      <c r="AS178" s="54">
        <f t="shared" si="450"/>
        <v>390</v>
      </c>
      <c r="AT178" s="54">
        <f t="shared" si="450"/>
        <v>-247</v>
      </c>
      <c r="AU178" s="54">
        <f t="shared" si="450"/>
        <v>7034</v>
      </c>
      <c r="AV178" s="54">
        <f t="shared" si="450"/>
        <v>-3593</v>
      </c>
      <c r="AW178" s="54">
        <f t="shared" si="450"/>
        <v>-733</v>
      </c>
      <c r="AX178" s="54">
        <f t="shared" si="450"/>
        <v>-4800</v>
      </c>
      <c r="AY178" s="54">
        <f t="shared" si="450"/>
        <v>-3794</v>
      </c>
      <c r="AZ178" s="54">
        <f t="shared" si="450"/>
        <v>1191</v>
      </c>
      <c r="BA178" s="54">
        <f t="shared" si="450"/>
        <v>-2134</v>
      </c>
      <c r="BB178" s="54">
        <f t="shared" si="450"/>
        <v>-1369</v>
      </c>
      <c r="BC178" s="54">
        <f t="shared" ref="BC178:BZ178" si="451">+BC81</f>
        <v>-3317</v>
      </c>
      <c r="BD178" s="54">
        <f t="shared" si="451"/>
        <v>6</v>
      </c>
      <c r="BE178" s="54">
        <f t="shared" si="451"/>
        <v>-17</v>
      </c>
      <c r="BF178" s="54">
        <f t="shared" si="451"/>
        <v>-29275</v>
      </c>
      <c r="BG178" s="54">
        <f t="shared" si="451"/>
        <v>0</v>
      </c>
      <c r="BH178" s="54">
        <f t="shared" si="451"/>
        <v>0</v>
      </c>
      <c r="BI178" s="54">
        <f t="shared" si="451"/>
        <v>3320</v>
      </c>
      <c r="BJ178" s="54">
        <f t="shared" si="451"/>
        <v>-22643</v>
      </c>
      <c r="BK178" s="54">
        <f t="shared" si="451"/>
        <v>0</v>
      </c>
      <c r="BL178" s="54">
        <f t="shared" si="451"/>
        <v>0</v>
      </c>
      <c r="BM178" s="54">
        <f t="shared" si="451"/>
        <v>0</v>
      </c>
      <c r="BN178" s="54">
        <f t="shared" si="451"/>
        <v>-8106</v>
      </c>
      <c r="BO178" s="54">
        <f t="shared" si="451"/>
        <v>0</v>
      </c>
      <c r="BP178" s="54">
        <f t="shared" si="451"/>
        <v>0</v>
      </c>
      <c r="BQ178" s="54">
        <f t="shared" si="451"/>
        <v>0</v>
      </c>
      <c r="BR178" s="54">
        <f t="shared" si="451"/>
        <v>-6728</v>
      </c>
      <c r="BS178" s="54">
        <f t="shared" si="451"/>
        <v>0</v>
      </c>
      <c r="BT178" s="54">
        <f t="shared" si="451"/>
        <v>0</v>
      </c>
      <c r="BU178" s="54">
        <f t="shared" si="451"/>
        <v>1023</v>
      </c>
      <c r="BV178" s="54">
        <f t="shared" si="451"/>
        <v>-8812</v>
      </c>
      <c r="BW178" s="54">
        <f t="shared" si="451"/>
        <v>0</v>
      </c>
      <c r="BX178" s="54">
        <f t="shared" si="451"/>
        <v>0</v>
      </c>
      <c r="BY178" s="54">
        <f t="shared" si="451"/>
        <v>0</v>
      </c>
      <c r="BZ178" s="54">
        <f t="shared" si="451"/>
        <v>0</v>
      </c>
      <c r="CA178" s="54"/>
      <c r="CB178"/>
      <c r="CC178"/>
      <c r="CD178" s="54"/>
      <c r="CE178" s="54"/>
      <c r="CF178" s="54"/>
      <c r="CH178" s="54">
        <f t="shared" si="448"/>
        <v>-6106</v>
      </c>
    </row>
    <row r="179" spans="2:86" ht="13.5" thickBot="1">
      <c r="B179" s="51" t="str">
        <f t="shared" si="423"/>
        <v xml:space="preserve">Free cash flow </v>
      </c>
      <c r="C179" s="20"/>
      <c r="D179" s="52">
        <f t="shared" ref="D179:U179" si="452">+D82</f>
        <v>-488781</v>
      </c>
      <c r="E179" s="52">
        <f t="shared" si="452"/>
        <v>-940</v>
      </c>
      <c r="F179" s="52">
        <f t="shared" si="452"/>
        <v>48965</v>
      </c>
      <c r="G179" s="52">
        <f t="shared" si="452"/>
        <v>35802</v>
      </c>
      <c r="H179" s="52">
        <f t="shared" si="452"/>
        <v>28453</v>
      </c>
      <c r="I179" s="52">
        <f t="shared" si="452"/>
        <v>52338</v>
      </c>
      <c r="J179" s="52">
        <f t="shared" si="452"/>
        <v>-30335</v>
      </c>
      <c r="K179" s="52">
        <f t="shared" si="452"/>
        <v>-37098</v>
      </c>
      <c r="L179" s="52">
        <f t="shared" si="452"/>
        <v>-29330</v>
      </c>
      <c r="M179" s="52">
        <f t="shared" si="452"/>
        <v>-190498</v>
      </c>
      <c r="N179" s="52">
        <f t="shared" si="452"/>
        <v>-155222</v>
      </c>
      <c r="O179" s="52">
        <f t="shared" si="452"/>
        <v>31216</v>
      </c>
      <c r="P179" s="52">
        <f t="shared" si="452"/>
        <v>-40724</v>
      </c>
      <c r="Q179" s="52">
        <f t="shared" si="452"/>
        <v>185112</v>
      </c>
      <c r="R179" s="52">
        <f t="shared" si="452"/>
        <v>216569</v>
      </c>
      <c r="S179" s="52">
        <f t="shared" si="452"/>
        <v>299258</v>
      </c>
      <c r="T179" s="52">
        <f t="shared" si="452"/>
        <v>608995</v>
      </c>
      <c r="U179" s="52">
        <f t="shared" si="452"/>
        <v>608995</v>
      </c>
      <c r="V179" s="49"/>
      <c r="W179" s="52">
        <f t="shared" ref="W179:BB179" si="453">+W82</f>
        <v>15124</v>
      </c>
      <c r="X179" s="52">
        <f t="shared" si="453"/>
        <v>5625</v>
      </c>
      <c r="Y179" s="52">
        <f t="shared" si="453"/>
        <v>17963</v>
      </c>
      <c r="Z179" s="52">
        <f t="shared" si="453"/>
        <v>10253</v>
      </c>
      <c r="AA179" s="52">
        <f t="shared" si="453"/>
        <v>36762</v>
      </c>
      <c r="AB179" s="52">
        <f t="shared" si="453"/>
        <v>14961</v>
      </c>
      <c r="AC179" s="52">
        <f t="shared" si="453"/>
        <v>25469</v>
      </c>
      <c r="AD179" s="52">
        <f t="shared" si="453"/>
        <v>-41390</v>
      </c>
      <c r="AE179" s="52">
        <f t="shared" si="453"/>
        <v>33790</v>
      </c>
      <c r="AF179" s="52">
        <f t="shared" si="453"/>
        <v>23970.995196233416</v>
      </c>
      <c r="AG179" s="52">
        <f t="shared" si="453"/>
        <v>14473.401299766643</v>
      </c>
      <c r="AH179" s="52">
        <f t="shared" si="453"/>
        <v>-43781.396496000059</v>
      </c>
      <c r="AI179" s="52">
        <f t="shared" si="453"/>
        <v>-23251.134747999982</v>
      </c>
      <c r="AJ179" s="52">
        <f t="shared" si="453"/>
        <v>37461.019721999968</v>
      </c>
      <c r="AK179" s="52">
        <f t="shared" si="453"/>
        <v>30452.507491000113</v>
      </c>
      <c r="AL179" s="52">
        <f t="shared" si="453"/>
        <v>7675.607534999901</v>
      </c>
      <c r="AM179" s="52">
        <f t="shared" si="453"/>
        <v>26580.018045999983</v>
      </c>
      <c r="AN179" s="52">
        <f t="shared" si="453"/>
        <v>36873.604125199825</v>
      </c>
      <c r="AO179" s="52">
        <f t="shared" si="453"/>
        <v>-73001.241112692456</v>
      </c>
      <c r="AP179" s="52">
        <f t="shared" si="453"/>
        <v>-20787.381058507337</v>
      </c>
      <c r="AQ179" s="52">
        <f t="shared" si="453"/>
        <v>54469.605177341946</v>
      </c>
      <c r="AR179" s="52">
        <f t="shared" si="453"/>
        <v>-5462.2208505970484</v>
      </c>
      <c r="AS179" s="52">
        <f t="shared" si="453"/>
        <v>-19792</v>
      </c>
      <c r="AT179" s="52">
        <f t="shared" si="453"/>
        <v>-66313.384326744897</v>
      </c>
      <c r="AU179" s="52">
        <f t="shared" si="453"/>
        <v>-61833</v>
      </c>
      <c r="AV179" s="52">
        <f t="shared" si="453"/>
        <v>-68071</v>
      </c>
      <c r="AW179" s="52">
        <f t="shared" si="453"/>
        <v>-17984</v>
      </c>
      <c r="AX179" s="52">
        <f t="shared" si="453"/>
        <v>-42610</v>
      </c>
      <c r="AY179" s="52">
        <f t="shared" si="453"/>
        <v>-24507.598737681328</v>
      </c>
      <c r="AZ179" s="52">
        <f t="shared" si="453"/>
        <v>9323.5308663808974</v>
      </c>
      <c r="BA179" s="52">
        <f t="shared" si="453"/>
        <v>29550.971654773908</v>
      </c>
      <c r="BB179" s="52">
        <f t="shared" si="453"/>
        <v>-169588.90378347348</v>
      </c>
      <c r="BC179" s="52">
        <f t="shared" ref="BC179:BZ179" si="454">+BC82</f>
        <v>36087</v>
      </c>
      <c r="BD179" s="52">
        <f t="shared" si="454"/>
        <v>44761</v>
      </c>
      <c r="BE179" s="52">
        <f t="shared" si="454"/>
        <v>28642</v>
      </c>
      <c r="BF179" s="52">
        <f t="shared" si="454"/>
        <v>-78274</v>
      </c>
      <c r="BG179" s="52">
        <f t="shared" si="454"/>
        <v>26977</v>
      </c>
      <c r="BH179" s="52">
        <f t="shared" si="454"/>
        <v>46562</v>
      </c>
      <c r="BI179" s="52">
        <f t="shared" si="454"/>
        <v>-80039.005646352976</v>
      </c>
      <c r="BJ179" s="52">
        <f t="shared" si="454"/>
        <v>-34223.994353647024</v>
      </c>
      <c r="BK179" s="52">
        <f t="shared" si="454"/>
        <v>85635.345207673949</v>
      </c>
      <c r="BL179" s="52">
        <f t="shared" si="454"/>
        <v>-26890</v>
      </c>
      <c r="BM179" s="52">
        <f t="shared" si="454"/>
        <v>75273.9146937193</v>
      </c>
      <c r="BN179" s="52">
        <f t="shared" si="454"/>
        <v>51092.740098606751</v>
      </c>
      <c r="BO179" s="52">
        <f t="shared" si="454"/>
        <v>77821</v>
      </c>
      <c r="BP179" s="52">
        <f t="shared" si="454"/>
        <v>-4911</v>
      </c>
      <c r="BQ179" s="52">
        <f t="shared" si="454"/>
        <v>88330.638997884031</v>
      </c>
      <c r="BR179" s="52">
        <f t="shared" si="454"/>
        <v>55328.361002115998</v>
      </c>
      <c r="BS179" s="52">
        <f t="shared" si="454"/>
        <v>34388.72222745989</v>
      </c>
      <c r="BT179" s="52">
        <f t="shared" si="454"/>
        <v>66713.390640841215</v>
      </c>
      <c r="BU179" s="52">
        <f t="shared" si="454"/>
        <v>147772</v>
      </c>
      <c r="BV179" s="52">
        <f t="shared" si="454"/>
        <v>50383.887131698953</v>
      </c>
      <c r="BW179" s="52">
        <f t="shared" si="454"/>
        <v>158523</v>
      </c>
      <c r="BX179" s="52">
        <f t="shared" si="454"/>
        <v>163717</v>
      </c>
      <c r="BY179" s="52">
        <f t="shared" si="454"/>
        <v>183138</v>
      </c>
      <c r="BZ179" s="52">
        <f t="shared" si="454"/>
        <v>103617</v>
      </c>
      <c r="CA179" s="49"/>
      <c r="CB179"/>
      <c r="CC179"/>
      <c r="CD179" s="49"/>
      <c r="CE179" s="49"/>
      <c r="CF179" s="49"/>
      <c r="CH179" s="52">
        <f t="shared" si="448"/>
        <v>-178579</v>
      </c>
    </row>
    <row r="180" spans="2:86" ht="13.5" thickTop="1">
      <c r="B180" s="17" t="str">
        <f t="shared" si="423"/>
        <v>Other investing activities</v>
      </c>
      <c r="D180" s="54">
        <f t="shared" ref="D180:U180" si="455">+D83</f>
        <v>47155</v>
      </c>
      <c r="E180" s="54">
        <f t="shared" si="455"/>
        <v>-10384</v>
      </c>
      <c r="F180" s="54">
        <f t="shared" si="455"/>
        <v>-45528</v>
      </c>
      <c r="G180" s="54">
        <f t="shared" si="455"/>
        <v>-58435</v>
      </c>
      <c r="H180" s="54">
        <f t="shared" si="455"/>
        <v>-9571</v>
      </c>
      <c r="I180" s="54">
        <f t="shared" si="455"/>
        <v>72024</v>
      </c>
      <c r="J180" s="54">
        <f t="shared" si="455"/>
        <v>1853</v>
      </c>
      <c r="K180" s="54">
        <f t="shared" si="455"/>
        <v>-7735</v>
      </c>
      <c r="L180" s="54">
        <f t="shared" si="455"/>
        <v>2275</v>
      </c>
      <c r="M180" s="54">
        <f t="shared" si="455"/>
        <v>22353</v>
      </c>
      <c r="N180" s="54">
        <f t="shared" si="455"/>
        <v>-77538</v>
      </c>
      <c r="O180" s="54">
        <f t="shared" si="455"/>
        <v>73860</v>
      </c>
      <c r="P180" s="54">
        <f t="shared" si="455"/>
        <v>35317</v>
      </c>
      <c r="Q180" s="54">
        <f t="shared" si="455"/>
        <v>-8504</v>
      </c>
      <c r="R180" s="54">
        <f t="shared" si="455"/>
        <v>24451</v>
      </c>
      <c r="S180" s="54">
        <f t="shared" si="455"/>
        <v>11995</v>
      </c>
      <c r="T180" s="54">
        <f t="shared" si="455"/>
        <v>-121337</v>
      </c>
      <c r="U180" s="54">
        <f t="shared" si="455"/>
        <v>-121337</v>
      </c>
      <c r="V180" s="54"/>
      <c r="W180" s="54">
        <f t="shared" ref="W180:BB180" si="456">+W83</f>
        <v>-11150</v>
      </c>
      <c r="X180" s="54">
        <f t="shared" si="456"/>
        <v>11870</v>
      </c>
      <c r="Y180" s="54">
        <f t="shared" si="456"/>
        <v>-49849</v>
      </c>
      <c r="Z180" s="54">
        <f t="shared" si="456"/>
        <v>3601</v>
      </c>
      <c r="AA180" s="54">
        <f t="shared" si="456"/>
        <v>-45883</v>
      </c>
      <c r="AB180" s="54">
        <f t="shared" si="456"/>
        <v>-12379</v>
      </c>
      <c r="AC180" s="54">
        <f t="shared" si="456"/>
        <v>-29383</v>
      </c>
      <c r="AD180" s="54">
        <f t="shared" si="456"/>
        <v>29210</v>
      </c>
      <c r="AE180" s="54">
        <f t="shared" si="456"/>
        <v>-14893</v>
      </c>
      <c r="AF180" s="54">
        <f t="shared" si="456"/>
        <v>11210</v>
      </c>
      <c r="AG180" s="54">
        <f t="shared" si="456"/>
        <v>11394</v>
      </c>
      <c r="AH180" s="54">
        <f t="shared" si="456"/>
        <v>-17282</v>
      </c>
      <c r="AI180" s="54">
        <f t="shared" si="456"/>
        <v>7807</v>
      </c>
      <c r="AJ180" s="54">
        <f t="shared" si="456"/>
        <v>20123</v>
      </c>
      <c r="AK180" s="54">
        <f t="shared" si="456"/>
        <v>35343</v>
      </c>
      <c r="AL180" s="54">
        <f t="shared" si="456"/>
        <v>8751</v>
      </c>
      <c r="AM180" s="54">
        <f t="shared" si="456"/>
        <v>-30769</v>
      </c>
      <c r="AN180" s="54">
        <f t="shared" si="456"/>
        <v>20755</v>
      </c>
      <c r="AO180" s="54">
        <f t="shared" si="456"/>
        <v>-4751</v>
      </c>
      <c r="AP180" s="54">
        <f t="shared" si="456"/>
        <v>16618</v>
      </c>
      <c r="AQ180" s="54">
        <f t="shared" si="456"/>
        <v>-991</v>
      </c>
      <c r="AR180" s="54">
        <f t="shared" si="456"/>
        <v>9471</v>
      </c>
      <c r="AS180" s="54">
        <f t="shared" si="456"/>
        <v>-14199</v>
      </c>
      <c r="AT180" s="54">
        <f t="shared" si="456"/>
        <v>-2016</v>
      </c>
      <c r="AU180" s="54">
        <f t="shared" si="456"/>
        <v>9595</v>
      </c>
      <c r="AV180" s="54">
        <f t="shared" si="456"/>
        <v>17404</v>
      </c>
      <c r="AW180" s="54">
        <f t="shared" si="456"/>
        <v>2318</v>
      </c>
      <c r="AX180" s="54">
        <f t="shared" si="456"/>
        <v>-6964</v>
      </c>
      <c r="AY180" s="54">
        <f t="shared" si="456"/>
        <v>-6453</v>
      </c>
      <c r="AZ180" s="54">
        <f t="shared" si="456"/>
        <v>-1532</v>
      </c>
      <c r="BA180" s="54">
        <f t="shared" si="456"/>
        <v>-129313</v>
      </c>
      <c r="BB180" s="54">
        <f t="shared" si="456"/>
        <v>59760</v>
      </c>
      <c r="BC180" s="54">
        <f t="shared" ref="BC180:BZ180" si="457">+BC83</f>
        <v>9169</v>
      </c>
      <c r="BD180" s="54">
        <f t="shared" si="457"/>
        <v>49593</v>
      </c>
      <c r="BE180" s="54">
        <f t="shared" si="457"/>
        <v>43190</v>
      </c>
      <c r="BF180" s="54">
        <f t="shared" si="457"/>
        <v>-28092</v>
      </c>
      <c r="BG180" s="54">
        <f t="shared" si="457"/>
        <v>55289</v>
      </c>
      <c r="BH180" s="54">
        <f t="shared" si="457"/>
        <v>-72601</v>
      </c>
      <c r="BI180" s="54">
        <f t="shared" si="457"/>
        <v>59727</v>
      </c>
      <c r="BJ180" s="54">
        <f t="shared" si="457"/>
        <v>-7098</v>
      </c>
      <c r="BK180" s="54">
        <f t="shared" si="457"/>
        <v>17363.438238613147</v>
      </c>
      <c r="BL180" s="54">
        <f t="shared" si="457"/>
        <v>14370</v>
      </c>
      <c r="BM180" s="54">
        <f t="shared" si="457"/>
        <v>-42532</v>
      </c>
      <c r="BN180" s="54">
        <f t="shared" si="457"/>
        <v>2294.5617613868526</v>
      </c>
      <c r="BO180" s="54">
        <f t="shared" si="457"/>
        <v>-54829</v>
      </c>
      <c r="BP180" s="54">
        <f t="shared" si="457"/>
        <v>55677</v>
      </c>
      <c r="BQ180" s="54">
        <f t="shared" si="457"/>
        <v>-49703</v>
      </c>
      <c r="BR180" s="54">
        <f t="shared" si="457"/>
        <v>73306</v>
      </c>
      <c r="BS180" s="54">
        <f t="shared" si="457"/>
        <v>21500</v>
      </c>
      <c r="BT180" s="54">
        <f t="shared" si="457"/>
        <v>7907</v>
      </c>
      <c r="BU180" s="54">
        <f t="shared" si="457"/>
        <v>-10898</v>
      </c>
      <c r="BV180" s="54">
        <f t="shared" si="457"/>
        <v>-6514</v>
      </c>
      <c r="BW180" s="54">
        <f t="shared" si="457"/>
        <v>-24704</v>
      </c>
      <c r="BX180" s="54">
        <f t="shared" si="457"/>
        <v>-3853</v>
      </c>
      <c r="BY180" s="54">
        <f t="shared" si="457"/>
        <v>-17216</v>
      </c>
      <c r="BZ180" s="54">
        <f t="shared" si="457"/>
        <v>-75564</v>
      </c>
      <c r="CA180" s="54"/>
      <c r="CB180"/>
      <c r="CC180"/>
      <c r="CD180" s="54"/>
      <c r="CE180" s="54"/>
      <c r="CF180" s="54"/>
      <c r="CH180" s="54">
        <f t="shared" si="448"/>
        <v>-77538</v>
      </c>
    </row>
    <row r="181" spans="2:86">
      <c r="B181" s="17" t="str">
        <f t="shared" si="423"/>
        <v>Dividends / Equity movements</v>
      </c>
      <c r="D181" s="54">
        <f t="shared" ref="D181:U181" si="458">+D84</f>
        <v>-4734</v>
      </c>
      <c r="E181" s="54">
        <f t="shared" si="458"/>
        <v>-4925</v>
      </c>
      <c r="F181" s="54">
        <f t="shared" si="458"/>
        <v>26071</v>
      </c>
      <c r="G181" s="54">
        <f t="shared" si="458"/>
        <v>61319</v>
      </c>
      <c r="H181" s="54">
        <f t="shared" si="458"/>
        <v>-20847</v>
      </c>
      <c r="I181" s="54">
        <f t="shared" si="458"/>
        <v>-14265</v>
      </c>
      <c r="J181" s="54">
        <f t="shared" si="458"/>
        <v>-18542</v>
      </c>
      <c r="K181" s="54">
        <f t="shared" si="458"/>
        <v>-33042</v>
      </c>
      <c r="L181" s="54">
        <f t="shared" si="458"/>
        <v>-33042</v>
      </c>
      <c r="M181" s="54">
        <f t="shared" si="458"/>
        <v>52077</v>
      </c>
      <c r="N181" s="54">
        <f t="shared" si="458"/>
        <v>572029</v>
      </c>
      <c r="O181" s="54">
        <f t="shared" si="458"/>
        <v>22036</v>
      </c>
      <c r="P181" s="54">
        <f t="shared" si="458"/>
        <v>37197</v>
      </c>
      <c r="Q181" s="54">
        <f t="shared" si="458"/>
        <v>29840</v>
      </c>
      <c r="R181" s="54">
        <f t="shared" si="458"/>
        <v>-42135</v>
      </c>
      <c r="S181" s="54">
        <f t="shared" si="458"/>
        <v>-73024</v>
      </c>
      <c r="T181" s="54">
        <f t="shared" si="458"/>
        <v>23244</v>
      </c>
      <c r="U181" s="54">
        <f t="shared" si="458"/>
        <v>23244</v>
      </c>
      <c r="V181" s="54"/>
      <c r="W181" s="54">
        <f t="shared" ref="W181:BB181" si="459">+W84</f>
        <v>-90</v>
      </c>
      <c r="X181" s="54">
        <f t="shared" si="459"/>
        <v>-6069</v>
      </c>
      <c r="Y181" s="54">
        <f t="shared" si="459"/>
        <v>32316</v>
      </c>
      <c r="Z181" s="54">
        <f t="shared" si="459"/>
        <v>-86</v>
      </c>
      <c r="AA181" s="54">
        <f t="shared" si="459"/>
        <v>67837</v>
      </c>
      <c r="AB181" s="54">
        <f t="shared" si="459"/>
        <v>-6198</v>
      </c>
      <c r="AC181" s="54">
        <f t="shared" si="459"/>
        <v>-385</v>
      </c>
      <c r="AD181" s="54">
        <f t="shared" si="459"/>
        <v>65</v>
      </c>
      <c r="AE181" s="54">
        <f t="shared" si="459"/>
        <v>83</v>
      </c>
      <c r="AF181" s="54">
        <f t="shared" si="459"/>
        <v>-21299</v>
      </c>
      <c r="AG181" s="54">
        <f t="shared" si="459"/>
        <v>5</v>
      </c>
      <c r="AH181" s="54">
        <f t="shared" si="459"/>
        <v>364</v>
      </c>
      <c r="AI181" s="54">
        <f t="shared" si="459"/>
        <v>367</v>
      </c>
      <c r="AJ181" s="54">
        <f t="shared" si="459"/>
        <v>-15642</v>
      </c>
      <c r="AK181" s="54">
        <f t="shared" si="459"/>
        <v>15</v>
      </c>
      <c r="AL181" s="54">
        <f t="shared" si="459"/>
        <v>995</v>
      </c>
      <c r="AM181" s="54">
        <f t="shared" si="459"/>
        <v>-21</v>
      </c>
      <c r="AN181" s="54">
        <f t="shared" si="459"/>
        <v>-16511</v>
      </c>
      <c r="AO181" s="54">
        <f t="shared" si="459"/>
        <v>-2716</v>
      </c>
      <c r="AP181" s="54">
        <f t="shared" si="459"/>
        <v>706</v>
      </c>
      <c r="AQ181" s="54">
        <f t="shared" si="459"/>
        <v>-10348</v>
      </c>
      <c r="AR181" s="54">
        <f t="shared" si="459"/>
        <v>-8459</v>
      </c>
      <c r="AS181" s="54">
        <f t="shared" si="459"/>
        <v>-240</v>
      </c>
      <c r="AT181" s="54">
        <f t="shared" si="459"/>
        <v>-13995</v>
      </c>
      <c r="AU181" s="54">
        <f t="shared" si="459"/>
        <v>-149</v>
      </c>
      <c r="AV181" s="54">
        <f t="shared" si="459"/>
        <v>-31615</v>
      </c>
      <c r="AW181" s="54">
        <f t="shared" si="459"/>
        <v>69866</v>
      </c>
      <c r="AX181" s="54">
        <f t="shared" si="459"/>
        <v>13975</v>
      </c>
      <c r="AY181" s="54">
        <f t="shared" si="459"/>
        <v>241503</v>
      </c>
      <c r="AZ181" s="54">
        <f t="shared" si="459"/>
        <v>51024</v>
      </c>
      <c r="BA181" s="54">
        <f t="shared" si="459"/>
        <v>46286</v>
      </c>
      <c r="BB181" s="54">
        <f t="shared" si="459"/>
        <v>233216</v>
      </c>
      <c r="BC181" s="54">
        <f t="shared" ref="BC181:BZ181" si="460">+BC84</f>
        <v>-5699</v>
      </c>
      <c r="BD181" s="54">
        <f t="shared" si="460"/>
        <v>-17106</v>
      </c>
      <c r="BE181" s="54">
        <f t="shared" si="460"/>
        <v>-5449</v>
      </c>
      <c r="BF181" s="54">
        <f t="shared" si="460"/>
        <v>50290</v>
      </c>
      <c r="BG181" s="54">
        <f t="shared" si="460"/>
        <v>-2998</v>
      </c>
      <c r="BH181" s="54">
        <f t="shared" si="460"/>
        <v>-3988</v>
      </c>
      <c r="BI181" s="54">
        <f t="shared" si="460"/>
        <v>33083</v>
      </c>
      <c r="BJ181" s="54">
        <f t="shared" si="460"/>
        <v>11100</v>
      </c>
      <c r="BK181" s="54">
        <f t="shared" si="460"/>
        <v>-4015.7426205937199</v>
      </c>
      <c r="BL181" s="54">
        <f t="shared" si="460"/>
        <v>-23445</v>
      </c>
      <c r="BM181" s="54">
        <f t="shared" si="460"/>
        <v>-8687</v>
      </c>
      <c r="BN181" s="54">
        <f t="shared" si="460"/>
        <v>65987.742620593723</v>
      </c>
      <c r="BO181" s="54">
        <f t="shared" si="460"/>
        <v>-4032</v>
      </c>
      <c r="BP181" s="54">
        <f t="shared" si="460"/>
        <v>-29932</v>
      </c>
      <c r="BQ181" s="54">
        <f t="shared" si="460"/>
        <v>-5310</v>
      </c>
      <c r="BR181" s="54">
        <f t="shared" si="460"/>
        <v>-2861</v>
      </c>
      <c r="BS181" s="54">
        <f t="shared" si="460"/>
        <v>-4707</v>
      </c>
      <c r="BT181" s="54">
        <f t="shared" si="460"/>
        <v>-54404</v>
      </c>
      <c r="BU181" s="54">
        <f t="shared" si="460"/>
        <v>-9218</v>
      </c>
      <c r="BV181" s="54">
        <f t="shared" si="460"/>
        <v>-4695</v>
      </c>
      <c r="BW181" s="54">
        <f t="shared" si="460"/>
        <v>-2266</v>
      </c>
      <c r="BX181" s="54">
        <f t="shared" si="460"/>
        <v>-101531</v>
      </c>
      <c r="BY181" s="54">
        <f t="shared" si="460"/>
        <v>-6514</v>
      </c>
      <c r="BZ181" s="54">
        <f t="shared" si="460"/>
        <v>133555</v>
      </c>
      <c r="CA181" s="54"/>
      <c r="CB181"/>
      <c r="CC181"/>
      <c r="CD181" s="54"/>
      <c r="CE181" s="54"/>
      <c r="CF181" s="54"/>
      <c r="CH181" s="54">
        <f t="shared" si="448"/>
        <v>572029</v>
      </c>
    </row>
    <row r="182" spans="2:86">
      <c r="B182" s="17" t="str">
        <f t="shared" si="423"/>
        <v>Principal Repayments</v>
      </c>
      <c r="D182" s="54">
        <f t="shared" ref="D182:U182" si="461">+D85</f>
        <v>429586</v>
      </c>
      <c r="E182" s="54">
        <f t="shared" si="461"/>
        <v>-2830</v>
      </c>
      <c r="F182" s="54">
        <f t="shared" si="461"/>
        <v>-24026</v>
      </c>
      <c r="G182" s="54">
        <f t="shared" si="461"/>
        <v>14252</v>
      </c>
      <c r="H182" s="54">
        <f t="shared" si="461"/>
        <v>-72451</v>
      </c>
      <c r="I182" s="54">
        <f t="shared" si="461"/>
        <v>-120426</v>
      </c>
      <c r="J182" s="54">
        <f t="shared" si="461"/>
        <v>5454</v>
      </c>
      <c r="K182" s="54">
        <f t="shared" si="461"/>
        <v>36141</v>
      </c>
      <c r="L182" s="54">
        <f t="shared" si="461"/>
        <v>39099</v>
      </c>
      <c r="M182" s="54">
        <f t="shared" si="461"/>
        <v>102494</v>
      </c>
      <c r="N182" s="54">
        <f t="shared" si="461"/>
        <v>-227293</v>
      </c>
      <c r="O182" s="54">
        <f t="shared" si="461"/>
        <v>-182369</v>
      </c>
      <c r="P182" s="54">
        <f t="shared" si="461"/>
        <v>-95205</v>
      </c>
      <c r="Q182" s="54">
        <f t="shared" si="461"/>
        <v>-189108</v>
      </c>
      <c r="R182" s="54">
        <f t="shared" si="461"/>
        <v>-96716</v>
      </c>
      <c r="S182" s="54">
        <f t="shared" si="461"/>
        <v>-63900</v>
      </c>
      <c r="T182" s="54">
        <f t="shared" si="461"/>
        <v>-391926</v>
      </c>
      <c r="U182" s="54">
        <f t="shared" si="461"/>
        <v>-391926</v>
      </c>
      <c r="V182" s="54"/>
      <c r="W182" s="54">
        <f t="shared" ref="W182:BB182" si="462">+W85</f>
        <v>-4188</v>
      </c>
      <c r="X182" s="54">
        <f t="shared" si="462"/>
        <v>-26987</v>
      </c>
      <c r="Y182" s="54">
        <f t="shared" si="462"/>
        <v>11680</v>
      </c>
      <c r="Z182" s="54">
        <f t="shared" si="462"/>
        <v>-4531</v>
      </c>
      <c r="AA182" s="54">
        <f t="shared" si="462"/>
        <v>-7105</v>
      </c>
      <c r="AB182" s="54">
        <f t="shared" si="462"/>
        <v>-37532</v>
      </c>
      <c r="AC182" s="54">
        <f t="shared" si="462"/>
        <v>6273</v>
      </c>
      <c r="AD182" s="54">
        <f t="shared" si="462"/>
        <v>52616</v>
      </c>
      <c r="AE182" s="54">
        <f t="shared" si="462"/>
        <v>-50254</v>
      </c>
      <c r="AF182" s="54">
        <f t="shared" si="462"/>
        <v>-36742</v>
      </c>
      <c r="AG182" s="54">
        <f t="shared" si="462"/>
        <v>-19790</v>
      </c>
      <c r="AH182" s="54">
        <f t="shared" si="462"/>
        <v>34335</v>
      </c>
      <c r="AI182" s="54">
        <f t="shared" si="462"/>
        <v>19013</v>
      </c>
      <c r="AJ182" s="54">
        <f t="shared" si="462"/>
        <v>-86592</v>
      </c>
      <c r="AK182" s="54">
        <f t="shared" si="462"/>
        <v>-69559</v>
      </c>
      <c r="AL182" s="54">
        <f t="shared" si="462"/>
        <v>16712</v>
      </c>
      <c r="AM182" s="54">
        <f t="shared" si="462"/>
        <v>-18687</v>
      </c>
      <c r="AN182" s="54">
        <f t="shared" si="462"/>
        <v>-43544</v>
      </c>
      <c r="AO182" s="54">
        <f t="shared" si="462"/>
        <v>95773</v>
      </c>
      <c r="AP182" s="54">
        <f t="shared" si="462"/>
        <v>-28088</v>
      </c>
      <c r="AQ182" s="54">
        <f t="shared" si="462"/>
        <v>-57270</v>
      </c>
      <c r="AR182" s="54">
        <f t="shared" si="462"/>
        <v>-2720</v>
      </c>
      <c r="AS182" s="54">
        <f t="shared" si="462"/>
        <v>1784</v>
      </c>
      <c r="AT182" s="54">
        <f t="shared" si="462"/>
        <v>94347</v>
      </c>
      <c r="AU182" s="54">
        <f t="shared" si="462"/>
        <v>44566</v>
      </c>
      <c r="AV182" s="54">
        <f t="shared" si="462"/>
        <v>50761</v>
      </c>
      <c r="AW182" s="54">
        <f t="shared" si="462"/>
        <v>-52715</v>
      </c>
      <c r="AX182" s="54">
        <f t="shared" si="462"/>
        <v>59882</v>
      </c>
      <c r="AY182" s="54">
        <f t="shared" si="462"/>
        <v>-201098</v>
      </c>
      <c r="AZ182" s="54">
        <f t="shared" si="462"/>
        <v>-9262</v>
      </c>
      <c r="BA182" s="54">
        <f t="shared" si="462"/>
        <v>76449</v>
      </c>
      <c r="BB182" s="54">
        <f t="shared" si="462"/>
        <v>-93382</v>
      </c>
      <c r="BC182" s="54">
        <f t="shared" ref="BC182:BZ182" si="463">+BC85</f>
        <v>-40621</v>
      </c>
      <c r="BD182" s="54">
        <f t="shared" si="463"/>
        <v>-94049</v>
      </c>
      <c r="BE182" s="54">
        <f t="shared" si="463"/>
        <v>-73214</v>
      </c>
      <c r="BF182" s="54">
        <f t="shared" si="463"/>
        <v>25515</v>
      </c>
      <c r="BG182" s="54">
        <f t="shared" si="463"/>
        <v>-74947</v>
      </c>
      <c r="BH182" s="54">
        <f t="shared" si="463"/>
        <v>-23871</v>
      </c>
      <c r="BI182" s="54">
        <f t="shared" si="463"/>
        <v>-7743</v>
      </c>
      <c r="BJ182" s="54">
        <f t="shared" si="463"/>
        <v>11356</v>
      </c>
      <c r="BK182" s="54">
        <f t="shared" si="463"/>
        <v>-88341</v>
      </c>
      <c r="BL182" s="54">
        <f t="shared" si="463"/>
        <v>-20179</v>
      </c>
      <c r="BM182" s="54">
        <f t="shared" si="463"/>
        <v>-23952</v>
      </c>
      <c r="BN182" s="54">
        <f t="shared" si="463"/>
        <v>-56636</v>
      </c>
      <c r="BO182" s="54">
        <f t="shared" si="463"/>
        <v>-39225</v>
      </c>
      <c r="BP182" s="54">
        <f t="shared" si="463"/>
        <v>-20907</v>
      </c>
      <c r="BQ182" s="54">
        <f t="shared" si="463"/>
        <v>-18498</v>
      </c>
      <c r="BR182" s="54">
        <f t="shared" si="463"/>
        <v>-18086</v>
      </c>
      <c r="BS182" s="54">
        <f t="shared" si="463"/>
        <v>-31205</v>
      </c>
      <c r="BT182" s="54">
        <f t="shared" si="463"/>
        <v>24692</v>
      </c>
      <c r="BU182" s="54">
        <f t="shared" si="463"/>
        <v>-64708</v>
      </c>
      <c r="BV182" s="54">
        <f t="shared" si="463"/>
        <v>7321</v>
      </c>
      <c r="BW182" s="54">
        <f t="shared" si="463"/>
        <v>-134104</v>
      </c>
      <c r="BX182" s="54">
        <f t="shared" si="463"/>
        <v>-18748</v>
      </c>
      <c r="BY182" s="54">
        <f t="shared" si="463"/>
        <v>-141207</v>
      </c>
      <c r="BZ182" s="54">
        <f t="shared" si="463"/>
        <v>-97867</v>
      </c>
      <c r="CA182" s="54"/>
      <c r="CB182"/>
      <c r="CC182"/>
      <c r="CD182" s="54"/>
      <c r="CE182" s="54"/>
      <c r="CF182" s="54"/>
      <c r="CH182" s="54">
        <f t="shared" si="448"/>
        <v>-227293</v>
      </c>
    </row>
    <row r="183" spans="2:86">
      <c r="B183" s="17" t="str">
        <f t="shared" si="423"/>
        <v>Other financing activities</v>
      </c>
      <c r="D183" s="54">
        <f t="shared" ref="D183:U183" si="464">+D86</f>
        <v>-6104</v>
      </c>
      <c r="E183" s="54">
        <f t="shared" si="464"/>
        <v>0</v>
      </c>
      <c r="F183" s="54">
        <f t="shared" si="464"/>
        <v>-13361</v>
      </c>
      <c r="G183" s="54">
        <f t="shared" si="464"/>
        <v>-10207</v>
      </c>
      <c r="H183" s="54">
        <f t="shared" si="464"/>
        <v>30615</v>
      </c>
      <c r="I183" s="54">
        <f t="shared" si="464"/>
        <v>48120</v>
      </c>
      <c r="J183" s="54">
        <f t="shared" si="464"/>
        <v>68140</v>
      </c>
      <c r="K183" s="54">
        <f t="shared" si="464"/>
        <v>60147</v>
      </c>
      <c r="L183" s="54">
        <f t="shared" si="464"/>
        <v>57189</v>
      </c>
      <c r="M183" s="54">
        <f t="shared" si="464"/>
        <v>16238</v>
      </c>
      <c r="N183" s="54">
        <f t="shared" si="464"/>
        <v>-43299</v>
      </c>
      <c r="O183" s="54">
        <f t="shared" si="464"/>
        <v>6762</v>
      </c>
      <c r="P183" s="54">
        <f t="shared" si="464"/>
        <v>37564</v>
      </c>
      <c r="Q183" s="54">
        <f t="shared" si="464"/>
        <v>-4542</v>
      </c>
      <c r="R183" s="54">
        <f t="shared" si="464"/>
        <v>2401</v>
      </c>
      <c r="S183" s="54">
        <f t="shared" si="464"/>
        <v>-52932</v>
      </c>
      <c r="T183" s="54">
        <f t="shared" si="464"/>
        <v>-5368</v>
      </c>
      <c r="U183" s="54">
        <f t="shared" si="464"/>
        <v>-5368</v>
      </c>
      <c r="V183" s="54"/>
      <c r="W183" s="54">
        <f t="shared" ref="W183:BB183" si="465">+W86</f>
        <v>0</v>
      </c>
      <c r="X183" s="54">
        <f t="shared" si="465"/>
        <v>0</v>
      </c>
      <c r="Y183" s="54">
        <f t="shared" si="465"/>
        <v>-646</v>
      </c>
      <c r="Z183" s="54">
        <f t="shared" si="465"/>
        <v>-12715</v>
      </c>
      <c r="AA183" s="54">
        <f t="shared" si="465"/>
        <v>-3828</v>
      </c>
      <c r="AB183" s="54">
        <f t="shared" si="465"/>
        <v>0</v>
      </c>
      <c r="AC183" s="54">
        <f t="shared" si="465"/>
        <v>-2153</v>
      </c>
      <c r="AD183" s="54">
        <f t="shared" si="465"/>
        <v>-4226</v>
      </c>
      <c r="AE183" s="54">
        <f t="shared" si="465"/>
        <v>-9173</v>
      </c>
      <c r="AF183" s="54">
        <f t="shared" si="465"/>
        <v>21230</v>
      </c>
      <c r="AG183" s="54">
        <f t="shared" si="465"/>
        <v>0</v>
      </c>
      <c r="AH183" s="54">
        <f t="shared" si="465"/>
        <v>18558</v>
      </c>
      <c r="AI183" s="54">
        <f t="shared" si="465"/>
        <v>4768</v>
      </c>
      <c r="AJ183" s="54">
        <f t="shared" si="465"/>
        <v>31048</v>
      </c>
      <c r="AK183" s="54">
        <f t="shared" si="465"/>
        <v>12099</v>
      </c>
      <c r="AL183" s="54">
        <f t="shared" si="465"/>
        <v>205</v>
      </c>
      <c r="AM183" s="54">
        <f t="shared" si="465"/>
        <v>92</v>
      </c>
      <c r="AN183" s="54">
        <f t="shared" si="465"/>
        <v>5025</v>
      </c>
      <c r="AO183" s="54">
        <f t="shared" si="465"/>
        <v>660</v>
      </c>
      <c r="AP183" s="54">
        <f t="shared" si="465"/>
        <v>62363</v>
      </c>
      <c r="AQ183" s="54">
        <f t="shared" si="465"/>
        <v>1077</v>
      </c>
      <c r="AR183" s="54">
        <f t="shared" si="465"/>
        <v>25631</v>
      </c>
      <c r="AS183" s="54">
        <f t="shared" si="465"/>
        <v>32821</v>
      </c>
      <c r="AT183" s="54">
        <f t="shared" si="465"/>
        <v>618</v>
      </c>
      <c r="AU183" s="54">
        <f t="shared" si="465"/>
        <v>0</v>
      </c>
      <c r="AV183" s="54">
        <f t="shared" si="465"/>
        <v>16238</v>
      </c>
      <c r="AW183" s="54">
        <f t="shared" si="465"/>
        <v>0</v>
      </c>
      <c r="AX183" s="54">
        <f t="shared" si="465"/>
        <v>0</v>
      </c>
      <c r="AY183" s="54">
        <f t="shared" si="465"/>
        <v>-16035</v>
      </c>
      <c r="AZ183" s="54">
        <f t="shared" si="465"/>
        <v>0</v>
      </c>
      <c r="BA183" s="54">
        <f t="shared" si="465"/>
        <v>-25733</v>
      </c>
      <c r="BB183" s="54">
        <f t="shared" si="465"/>
        <v>-1531</v>
      </c>
      <c r="BC183" s="54">
        <f t="shared" ref="BC183:BZ183" si="466">+BC86</f>
        <v>-15</v>
      </c>
      <c r="BD183" s="54">
        <f t="shared" si="466"/>
        <v>0</v>
      </c>
      <c r="BE183" s="54">
        <f t="shared" si="466"/>
        <v>-194</v>
      </c>
      <c r="BF183" s="54">
        <f t="shared" si="466"/>
        <v>6971</v>
      </c>
      <c r="BG183" s="54">
        <f t="shared" si="466"/>
        <v>211</v>
      </c>
      <c r="BH183" s="54">
        <f t="shared" si="466"/>
        <v>31063</v>
      </c>
      <c r="BI183" s="54">
        <f t="shared" si="466"/>
        <v>12274</v>
      </c>
      <c r="BJ183" s="54">
        <f t="shared" si="466"/>
        <v>-5984</v>
      </c>
      <c r="BK183" s="54">
        <f t="shared" si="466"/>
        <v>-1010</v>
      </c>
      <c r="BL183" s="54">
        <f t="shared" si="466"/>
        <v>50346</v>
      </c>
      <c r="BM183" s="54">
        <f t="shared" si="466"/>
        <v>-1363</v>
      </c>
      <c r="BN183" s="54">
        <f t="shared" si="466"/>
        <v>-52515</v>
      </c>
      <c r="BO183" s="54">
        <f t="shared" si="466"/>
        <v>361</v>
      </c>
      <c r="BP183" s="54">
        <f t="shared" si="466"/>
        <v>-2141</v>
      </c>
      <c r="BQ183" s="54">
        <f t="shared" si="466"/>
        <v>408</v>
      </c>
      <c r="BR183" s="54">
        <f t="shared" si="466"/>
        <v>3773</v>
      </c>
      <c r="BS183" s="54">
        <f t="shared" si="466"/>
        <v>-8991</v>
      </c>
      <c r="BT183" s="54">
        <f t="shared" si="466"/>
        <v>-9581</v>
      </c>
      <c r="BU183" s="54">
        <f t="shared" si="466"/>
        <v>-2644</v>
      </c>
      <c r="BV183" s="54">
        <f t="shared" si="466"/>
        <v>-31716</v>
      </c>
      <c r="BW183" s="54">
        <f t="shared" si="466"/>
        <v>-3932</v>
      </c>
      <c r="BX183" s="54">
        <f t="shared" si="466"/>
        <v>-14131</v>
      </c>
      <c r="BY183" s="54">
        <f t="shared" si="466"/>
        <v>-1863</v>
      </c>
      <c r="BZ183" s="54">
        <f t="shared" si="466"/>
        <v>14558</v>
      </c>
      <c r="CA183" s="54"/>
      <c r="CB183"/>
      <c r="CC183"/>
      <c r="CD183" s="54"/>
      <c r="CE183" s="54"/>
      <c r="CF183" s="54"/>
      <c r="CH183" s="54">
        <f t="shared" si="448"/>
        <v>-43299</v>
      </c>
    </row>
    <row r="184" spans="2:86" s="20" customFormat="1">
      <c r="B184" s="20" t="str">
        <f t="shared" si="423"/>
        <v>Cash flow after financing activities</v>
      </c>
      <c r="D184" s="54">
        <f t="shared" ref="D184:U184" si="467">+D87</f>
        <v>-22878</v>
      </c>
      <c r="E184" s="54">
        <f t="shared" si="467"/>
        <v>-19079</v>
      </c>
      <c r="F184" s="54">
        <f t="shared" si="467"/>
        <v>-7879</v>
      </c>
      <c r="G184" s="54">
        <f t="shared" si="467"/>
        <v>42731</v>
      </c>
      <c r="H184" s="54">
        <f t="shared" si="467"/>
        <v>-43801</v>
      </c>
      <c r="I184" s="54">
        <f t="shared" si="467"/>
        <v>37791</v>
      </c>
      <c r="J184" s="54">
        <f t="shared" si="467"/>
        <v>26570</v>
      </c>
      <c r="K184" s="54">
        <f t="shared" si="467"/>
        <v>18413</v>
      </c>
      <c r="L184" s="54">
        <f t="shared" si="467"/>
        <v>36191</v>
      </c>
      <c r="M184" s="54">
        <f t="shared" si="467"/>
        <v>2664</v>
      </c>
      <c r="N184" s="54">
        <f t="shared" si="467"/>
        <v>68677</v>
      </c>
      <c r="O184" s="54">
        <f t="shared" si="467"/>
        <v>-48495</v>
      </c>
      <c r="P184" s="54">
        <f t="shared" si="467"/>
        <v>-25851</v>
      </c>
      <c r="Q184" s="54">
        <f t="shared" si="467"/>
        <v>12798</v>
      </c>
      <c r="R184" s="54">
        <f t="shared" si="467"/>
        <v>104570</v>
      </c>
      <c r="S184" s="54">
        <f t="shared" si="467"/>
        <v>121397</v>
      </c>
      <c r="T184" s="54">
        <f t="shared" si="467"/>
        <v>113608</v>
      </c>
      <c r="U184" s="54">
        <f t="shared" si="467"/>
        <v>113608</v>
      </c>
      <c r="V184" s="54"/>
      <c r="W184" s="54">
        <f t="shared" ref="W184:BB184" si="468">+W87</f>
        <v>-304</v>
      </c>
      <c r="X184" s="54">
        <f t="shared" si="468"/>
        <v>-15561</v>
      </c>
      <c r="Y184" s="54">
        <f t="shared" si="468"/>
        <v>11464</v>
      </c>
      <c r="Z184" s="54">
        <f t="shared" si="468"/>
        <v>-3478</v>
      </c>
      <c r="AA184" s="54">
        <f t="shared" si="468"/>
        <v>47783</v>
      </c>
      <c r="AB184" s="54">
        <f t="shared" si="468"/>
        <v>-41148</v>
      </c>
      <c r="AC184" s="54">
        <f t="shared" si="468"/>
        <v>-179</v>
      </c>
      <c r="AD184" s="54">
        <f t="shared" si="468"/>
        <v>36275</v>
      </c>
      <c r="AE184" s="54">
        <f t="shared" si="468"/>
        <v>-40447</v>
      </c>
      <c r="AF184" s="54">
        <f t="shared" si="468"/>
        <v>-1630.0048037665838</v>
      </c>
      <c r="AG184" s="54">
        <f t="shared" si="468"/>
        <v>6082.4012997666432</v>
      </c>
      <c r="AH184" s="54">
        <f t="shared" si="468"/>
        <v>-7806.3964960000594</v>
      </c>
      <c r="AI184" s="54">
        <f t="shared" si="468"/>
        <v>8703.8652520000178</v>
      </c>
      <c r="AJ184" s="54">
        <f t="shared" si="468"/>
        <v>-13601.980278000032</v>
      </c>
      <c r="AK184" s="54">
        <f t="shared" si="468"/>
        <v>8350.5074910001131</v>
      </c>
      <c r="AL184" s="54">
        <f t="shared" si="468"/>
        <v>34338.607534999901</v>
      </c>
      <c r="AM184" s="54">
        <f t="shared" si="468"/>
        <v>-22804.981954000017</v>
      </c>
      <c r="AN184" s="54">
        <f t="shared" si="468"/>
        <v>2598.6041251998249</v>
      </c>
      <c r="AO184" s="54">
        <f t="shared" si="468"/>
        <v>15964.758887307544</v>
      </c>
      <c r="AP184" s="54">
        <f t="shared" si="468"/>
        <v>30811.618941492663</v>
      </c>
      <c r="AQ184" s="54">
        <f t="shared" si="468"/>
        <v>-13062.394822658054</v>
      </c>
      <c r="AR184" s="54">
        <f t="shared" si="468"/>
        <v>18460.779149402952</v>
      </c>
      <c r="AS184" s="54">
        <f t="shared" si="468"/>
        <v>374</v>
      </c>
      <c r="AT184" s="54">
        <f t="shared" si="468"/>
        <v>12640.615673255103</v>
      </c>
      <c r="AU184" s="54">
        <f t="shared" si="468"/>
        <v>-7821</v>
      </c>
      <c r="AV184" s="54">
        <f t="shared" si="468"/>
        <v>-15283</v>
      </c>
      <c r="AW184" s="54">
        <f t="shared" si="468"/>
        <v>1485</v>
      </c>
      <c r="AX184" s="54">
        <f t="shared" si="468"/>
        <v>24283</v>
      </c>
      <c r="AY184" s="54">
        <f t="shared" si="468"/>
        <v>-6590.5987376813428</v>
      </c>
      <c r="AZ184" s="54">
        <f t="shared" si="468"/>
        <v>49553.530866380897</v>
      </c>
      <c r="BA184" s="54">
        <f t="shared" si="468"/>
        <v>-2760.0283452260919</v>
      </c>
      <c r="BB184" s="54">
        <f t="shared" si="468"/>
        <v>28474.096216526523</v>
      </c>
      <c r="BC184" s="54">
        <f t="shared" ref="BC184:BZ184" si="469">+BC87</f>
        <v>-1079</v>
      </c>
      <c r="BD184" s="54">
        <f t="shared" si="469"/>
        <v>-16801</v>
      </c>
      <c r="BE184" s="54">
        <f t="shared" si="469"/>
        <v>-7025</v>
      </c>
      <c r="BF184" s="54">
        <f t="shared" si="469"/>
        <v>-23590</v>
      </c>
      <c r="BG184" s="54">
        <f t="shared" si="469"/>
        <v>4532</v>
      </c>
      <c r="BH184" s="54">
        <f t="shared" si="469"/>
        <v>-22835</v>
      </c>
      <c r="BI184" s="54">
        <f t="shared" si="469"/>
        <v>17301.994353647024</v>
      </c>
      <c r="BJ184" s="54">
        <f t="shared" si="469"/>
        <v>-24849.994353647024</v>
      </c>
      <c r="BK184" s="54">
        <f t="shared" si="469"/>
        <v>9632.0408256933733</v>
      </c>
      <c r="BL184" s="54">
        <f t="shared" si="469"/>
        <v>-5798</v>
      </c>
      <c r="BM184" s="54">
        <f t="shared" si="469"/>
        <v>-1260.0853062807</v>
      </c>
      <c r="BN184" s="54">
        <f t="shared" si="469"/>
        <v>10224.044480587327</v>
      </c>
      <c r="BO184" s="54">
        <f t="shared" si="469"/>
        <v>-19904</v>
      </c>
      <c r="BP184" s="54">
        <f t="shared" si="469"/>
        <v>-2214</v>
      </c>
      <c r="BQ184" s="54">
        <f t="shared" si="469"/>
        <v>15227.638997884031</v>
      </c>
      <c r="BR184" s="54">
        <f t="shared" si="469"/>
        <v>111460.361002116</v>
      </c>
      <c r="BS184" s="54">
        <f t="shared" si="469"/>
        <v>10985.72222745989</v>
      </c>
      <c r="BT184" s="54">
        <f t="shared" si="469"/>
        <v>35327.390640841215</v>
      </c>
      <c r="BU184" s="54">
        <f t="shared" si="469"/>
        <v>60304</v>
      </c>
      <c r="BV184" s="54">
        <f t="shared" si="469"/>
        <v>14779.887131698953</v>
      </c>
      <c r="BW184" s="54">
        <f t="shared" si="469"/>
        <v>-6483</v>
      </c>
      <c r="BX184" s="54">
        <f t="shared" si="469"/>
        <v>25454</v>
      </c>
      <c r="BY184" s="54">
        <f t="shared" si="469"/>
        <v>16338</v>
      </c>
      <c r="BZ184" s="54">
        <f t="shared" si="469"/>
        <v>78299</v>
      </c>
      <c r="CA184" s="54"/>
      <c r="CB184"/>
      <c r="CC184"/>
      <c r="CD184" s="54"/>
      <c r="CE184" s="54"/>
      <c r="CF184" s="54"/>
      <c r="CH184" s="54">
        <f t="shared" si="448"/>
        <v>45320</v>
      </c>
    </row>
    <row r="185" spans="2:86">
      <c r="B185" s="17" t="str">
        <f>+B89</f>
        <v xml:space="preserve">FX </v>
      </c>
      <c r="D185" s="54">
        <f t="shared" ref="D185:U185" si="470">+D89</f>
        <v>-124</v>
      </c>
      <c r="E185" s="54">
        <f t="shared" si="470"/>
        <v>493</v>
      </c>
      <c r="F185" s="54">
        <f t="shared" si="470"/>
        <v>-1624</v>
      </c>
      <c r="G185" s="54">
        <f t="shared" si="470"/>
        <v>-2074</v>
      </c>
      <c r="H185" s="54">
        <f t="shared" si="470"/>
        <v>43</v>
      </c>
      <c r="I185" s="54">
        <f t="shared" si="470"/>
        <v>1340</v>
      </c>
      <c r="J185" s="54">
        <f t="shared" si="470"/>
        <v>-755</v>
      </c>
      <c r="K185" s="54">
        <f t="shared" si="470"/>
        <v>281</v>
      </c>
      <c r="L185" s="54">
        <f t="shared" si="470"/>
        <v>281</v>
      </c>
      <c r="M185" s="54">
        <f t="shared" si="470"/>
        <v>1338</v>
      </c>
      <c r="N185" s="54">
        <f t="shared" si="470"/>
        <v>8934</v>
      </c>
      <c r="O185" s="54">
        <f t="shared" si="470"/>
        <v>-3972</v>
      </c>
      <c r="P185" s="54">
        <f t="shared" si="470"/>
        <v>3919</v>
      </c>
      <c r="Q185" s="54">
        <f t="shared" si="470"/>
        <v>-1522</v>
      </c>
      <c r="R185" s="54">
        <f t="shared" si="470"/>
        <v>-8851</v>
      </c>
      <c r="S185" s="54">
        <f t="shared" si="470"/>
        <v>718</v>
      </c>
      <c r="T185" s="54">
        <f t="shared" si="470"/>
        <v>23291</v>
      </c>
      <c r="U185" s="54">
        <f t="shared" si="470"/>
        <v>23291</v>
      </c>
      <c r="V185" s="54"/>
      <c r="W185" s="54">
        <f t="shared" ref="W185:BB185" si="471">+W89</f>
        <v>-2431</v>
      </c>
      <c r="X185" s="54">
        <f t="shared" si="471"/>
        <v>1669</v>
      </c>
      <c r="Y185" s="54">
        <f t="shared" si="471"/>
        <v>-725</v>
      </c>
      <c r="Z185" s="54">
        <f t="shared" si="471"/>
        <v>-137</v>
      </c>
      <c r="AA185" s="54">
        <f t="shared" si="471"/>
        <v>-84</v>
      </c>
      <c r="AB185" s="54">
        <f t="shared" si="471"/>
        <v>-826</v>
      </c>
      <c r="AC185" s="54">
        <f t="shared" si="471"/>
        <v>-301</v>
      </c>
      <c r="AD185" s="54">
        <f t="shared" si="471"/>
        <v>-863</v>
      </c>
      <c r="AE185" s="54">
        <f t="shared" si="471"/>
        <v>-475</v>
      </c>
      <c r="AF185" s="54">
        <f t="shared" si="471"/>
        <v>46</v>
      </c>
      <c r="AG185" s="54">
        <f t="shared" si="471"/>
        <v>24</v>
      </c>
      <c r="AH185" s="54">
        <f t="shared" si="471"/>
        <v>448</v>
      </c>
      <c r="AI185" s="54">
        <f t="shared" si="471"/>
        <v>1737</v>
      </c>
      <c r="AJ185" s="54">
        <f t="shared" si="471"/>
        <v>-314</v>
      </c>
      <c r="AK185" s="54">
        <f t="shared" si="471"/>
        <v>64</v>
      </c>
      <c r="AL185" s="54">
        <f t="shared" si="471"/>
        <v>-147</v>
      </c>
      <c r="AM185" s="54">
        <f t="shared" si="471"/>
        <v>-821</v>
      </c>
      <c r="AN185" s="54">
        <f t="shared" si="471"/>
        <v>-157</v>
      </c>
      <c r="AO185" s="54">
        <f t="shared" si="471"/>
        <v>88</v>
      </c>
      <c r="AP185" s="54">
        <f t="shared" si="471"/>
        <v>135</v>
      </c>
      <c r="AQ185" s="54">
        <f t="shared" si="471"/>
        <v>-14</v>
      </c>
      <c r="AR185" s="54">
        <f t="shared" si="471"/>
        <v>-9</v>
      </c>
      <c r="AS185" s="54">
        <f t="shared" si="471"/>
        <v>-276</v>
      </c>
      <c r="AT185" s="54">
        <f t="shared" si="471"/>
        <v>580</v>
      </c>
      <c r="AU185" s="54">
        <f t="shared" si="471"/>
        <v>987</v>
      </c>
      <c r="AV185" s="54">
        <f t="shared" si="471"/>
        <v>2104</v>
      </c>
      <c r="AW185" s="54">
        <f t="shared" si="471"/>
        <v>-1221</v>
      </c>
      <c r="AX185" s="54">
        <f t="shared" si="471"/>
        <v>-532</v>
      </c>
      <c r="AY185" s="54">
        <f t="shared" si="471"/>
        <v>-101</v>
      </c>
      <c r="AZ185" s="54">
        <f t="shared" si="471"/>
        <v>2560</v>
      </c>
      <c r="BA185" s="54">
        <f t="shared" si="471"/>
        <v>-1.64</v>
      </c>
      <c r="BB185" s="54">
        <f t="shared" si="471"/>
        <v>6476.6399999999994</v>
      </c>
      <c r="BC185" s="54">
        <f t="shared" ref="BC185:BZ185" si="472">+BC89</f>
        <v>-364</v>
      </c>
      <c r="BD185" s="54">
        <f t="shared" si="472"/>
        <v>-2295</v>
      </c>
      <c r="BE185" s="54">
        <f t="shared" si="472"/>
        <v>-1863</v>
      </c>
      <c r="BF185" s="54">
        <f t="shared" si="472"/>
        <v>550</v>
      </c>
      <c r="BG185" s="54">
        <f t="shared" si="472"/>
        <v>711</v>
      </c>
      <c r="BH185" s="54">
        <f t="shared" si="472"/>
        <v>-211</v>
      </c>
      <c r="BI185" s="54">
        <f t="shared" si="472"/>
        <v>507</v>
      </c>
      <c r="BJ185" s="54">
        <f t="shared" si="472"/>
        <v>2912</v>
      </c>
      <c r="BK185" s="54">
        <f t="shared" si="472"/>
        <v>2355</v>
      </c>
      <c r="BL185" s="54">
        <f t="shared" si="472"/>
        <v>1034</v>
      </c>
      <c r="BM185" s="54">
        <f t="shared" si="472"/>
        <v>-2172</v>
      </c>
      <c r="BN185" s="54">
        <f t="shared" si="472"/>
        <v>-2739</v>
      </c>
      <c r="BO185" s="54">
        <f t="shared" si="472"/>
        <v>-1504</v>
      </c>
      <c r="BP185" s="54">
        <f t="shared" si="472"/>
        <v>-2942</v>
      </c>
      <c r="BQ185" s="54">
        <f t="shared" si="472"/>
        <v>-6201</v>
      </c>
      <c r="BR185" s="54">
        <f t="shared" si="472"/>
        <v>1796</v>
      </c>
      <c r="BS185" s="54">
        <f t="shared" si="472"/>
        <v>1886.1463239441885</v>
      </c>
      <c r="BT185" s="54">
        <f t="shared" si="472"/>
        <v>-633</v>
      </c>
      <c r="BU185" s="54">
        <f t="shared" si="472"/>
        <v>1875</v>
      </c>
      <c r="BV185" s="54">
        <f t="shared" si="472"/>
        <v>-2410.1463239441882</v>
      </c>
      <c r="BW185" s="54">
        <f t="shared" si="472"/>
        <v>4626</v>
      </c>
      <c r="BX185" s="54">
        <f t="shared" si="472"/>
        <v>5673</v>
      </c>
      <c r="BY185" s="54">
        <f t="shared" si="472"/>
        <v>2558</v>
      </c>
      <c r="BZ185" s="54">
        <f t="shared" si="472"/>
        <v>10434</v>
      </c>
      <c r="CA185" s="54"/>
      <c r="CB185"/>
      <c r="CC185"/>
      <c r="CD185" s="54"/>
      <c r="CE185" s="54"/>
      <c r="CF185" s="54"/>
      <c r="CH185" s="54">
        <f>+CH89</f>
        <v>8934</v>
      </c>
    </row>
    <row r="186" spans="2:86">
      <c r="B186" s="17" t="str">
        <f>+B88</f>
        <v>Balancing figure</v>
      </c>
      <c r="D186" s="54">
        <f t="shared" ref="D186:U186" si="473">+D88</f>
        <v>4049</v>
      </c>
      <c r="E186" s="54">
        <f t="shared" si="473"/>
        <v>20615</v>
      </c>
      <c r="F186" s="54">
        <f t="shared" si="473"/>
        <v>3162</v>
      </c>
      <c r="G186" s="54">
        <f t="shared" si="473"/>
        <v>-2394</v>
      </c>
      <c r="H186" s="54">
        <f t="shared" si="473"/>
        <v>2768</v>
      </c>
      <c r="I186" s="54">
        <f t="shared" si="473"/>
        <v>-20083</v>
      </c>
      <c r="J186" s="54">
        <f t="shared" si="473"/>
        <v>-53330.000000000015</v>
      </c>
      <c r="K186" s="54">
        <f t="shared" si="473"/>
        <v>19654</v>
      </c>
      <c r="L186" s="54">
        <f t="shared" si="473"/>
        <v>1876</v>
      </c>
      <c r="M186" s="54">
        <f t="shared" si="473"/>
        <v>4845</v>
      </c>
      <c r="N186" s="54">
        <f t="shared" si="473"/>
        <v>-865</v>
      </c>
      <c r="O186" s="54">
        <f t="shared" si="473"/>
        <v>12558</v>
      </c>
      <c r="P186" s="54">
        <f t="shared" si="473"/>
        <v>5289</v>
      </c>
      <c r="Q186" s="54">
        <f t="shared" si="473"/>
        <v>4951</v>
      </c>
      <c r="R186" s="54">
        <f t="shared" si="473"/>
        <v>-95412</v>
      </c>
      <c r="S186" s="54">
        <f t="shared" si="473"/>
        <v>-106105</v>
      </c>
      <c r="T186" s="54">
        <f t="shared" si="473"/>
        <v>417</v>
      </c>
      <c r="U186" s="54">
        <f t="shared" si="473"/>
        <v>417</v>
      </c>
      <c r="V186" s="54"/>
      <c r="W186" s="54">
        <f t="shared" ref="W186:BB186" si="474">+W88</f>
        <v>2796</v>
      </c>
      <c r="X186" s="54">
        <f t="shared" si="474"/>
        <v>6127</v>
      </c>
      <c r="Y186" s="54">
        <f t="shared" si="474"/>
        <v>-1943</v>
      </c>
      <c r="Z186" s="54">
        <f t="shared" si="474"/>
        <v>-3818</v>
      </c>
      <c r="AA186" s="54">
        <f t="shared" si="474"/>
        <v>-28340</v>
      </c>
      <c r="AB186" s="54">
        <f t="shared" si="474"/>
        <v>31368</v>
      </c>
      <c r="AC186" s="54">
        <f t="shared" si="474"/>
        <v>4258</v>
      </c>
      <c r="AD186" s="54">
        <f t="shared" si="474"/>
        <v>-9680</v>
      </c>
      <c r="AE186" s="54">
        <f t="shared" si="474"/>
        <v>7952</v>
      </c>
      <c r="AF186" s="54">
        <f t="shared" si="474"/>
        <v>-3998.9951962334162</v>
      </c>
      <c r="AG186" s="54">
        <f t="shared" si="474"/>
        <v>2156.5987002333568</v>
      </c>
      <c r="AH186" s="54">
        <f t="shared" si="474"/>
        <v>-3341.6035039999406</v>
      </c>
      <c r="AI186" s="54">
        <f t="shared" si="474"/>
        <v>-3044.8652520000178</v>
      </c>
      <c r="AJ186" s="54">
        <f t="shared" si="474"/>
        <v>-4380.0197219999682</v>
      </c>
      <c r="AK186" s="54">
        <f t="shared" si="474"/>
        <v>-9847.5074910001131</v>
      </c>
      <c r="AL186" s="54">
        <f t="shared" si="474"/>
        <v>-2810.607534999901</v>
      </c>
      <c r="AM186" s="54">
        <f t="shared" si="474"/>
        <v>6755.9819540000171</v>
      </c>
      <c r="AN186" s="54">
        <f t="shared" si="474"/>
        <v>-7768.6041251998249</v>
      </c>
      <c r="AO186" s="54">
        <f t="shared" si="474"/>
        <v>-22332.758887307544</v>
      </c>
      <c r="AP186" s="54">
        <f t="shared" si="474"/>
        <v>-29984.618941492663</v>
      </c>
      <c r="AQ186" s="54">
        <f t="shared" si="474"/>
        <v>24647.394822658054</v>
      </c>
      <c r="AR186" s="54">
        <f t="shared" si="474"/>
        <v>-27115.779149402952</v>
      </c>
      <c r="AS186" s="54">
        <f t="shared" si="474"/>
        <v>-6177</v>
      </c>
      <c r="AT186" s="54">
        <f t="shared" si="474"/>
        <v>28299.384326744897</v>
      </c>
      <c r="AU186" s="54">
        <f t="shared" si="474"/>
        <v>2871</v>
      </c>
      <c r="AV186" s="54">
        <f t="shared" si="474"/>
        <v>2688</v>
      </c>
      <c r="AW186" s="54">
        <f t="shared" si="474"/>
        <v>-2036</v>
      </c>
      <c r="AX186" s="54">
        <f t="shared" si="474"/>
        <v>1322</v>
      </c>
      <c r="AY186" s="54">
        <f t="shared" si="474"/>
        <v>2346.5987376813428</v>
      </c>
      <c r="AZ186" s="54">
        <f t="shared" si="474"/>
        <v>-827.53086638089735</v>
      </c>
      <c r="BA186" s="54">
        <f t="shared" si="474"/>
        <v>-86.971654773908085</v>
      </c>
      <c r="BB186" s="54">
        <f t="shared" si="474"/>
        <v>-2297.0962165265373</v>
      </c>
      <c r="BC186" s="54">
        <f t="shared" ref="BC186:BZ186" si="475">+BC88</f>
        <v>398</v>
      </c>
      <c r="BD186" s="54">
        <f t="shared" si="475"/>
        <v>-24</v>
      </c>
      <c r="BE186" s="54">
        <f t="shared" si="475"/>
        <v>3011</v>
      </c>
      <c r="BF186" s="54">
        <f t="shared" si="475"/>
        <v>9173</v>
      </c>
      <c r="BG186" s="54">
        <f t="shared" si="475"/>
        <v>1199</v>
      </c>
      <c r="BH186" s="54">
        <f t="shared" si="475"/>
        <v>-19</v>
      </c>
      <c r="BI186" s="54">
        <f t="shared" si="475"/>
        <v>-539.99435364702367</v>
      </c>
      <c r="BJ186" s="54">
        <f t="shared" si="475"/>
        <v>4648.9943536470237</v>
      </c>
      <c r="BK186" s="54">
        <f t="shared" si="475"/>
        <v>2174.9591743066267</v>
      </c>
      <c r="BL186" s="54">
        <f t="shared" si="475"/>
        <v>1548</v>
      </c>
      <c r="BM186" s="54">
        <f t="shared" si="475"/>
        <v>1289.0853062807</v>
      </c>
      <c r="BN186" s="54">
        <f t="shared" si="475"/>
        <v>-61.044480587326689</v>
      </c>
      <c r="BO186" s="54">
        <f t="shared" si="475"/>
        <v>3524</v>
      </c>
      <c r="BP186" s="54">
        <f t="shared" si="475"/>
        <v>573</v>
      </c>
      <c r="BQ186" s="54">
        <f t="shared" si="475"/>
        <v>446.36100211596931</v>
      </c>
      <c r="BR186" s="54">
        <f t="shared" si="475"/>
        <v>-99955.361002115969</v>
      </c>
      <c r="BS186" s="54">
        <f t="shared" si="475"/>
        <v>-27443.122227459891</v>
      </c>
      <c r="BT186" s="54">
        <f t="shared" si="475"/>
        <v>-33320.390640841215</v>
      </c>
      <c r="BU186" s="54">
        <f t="shared" si="475"/>
        <v>-40279</v>
      </c>
      <c r="BV186" s="54">
        <f t="shared" si="475"/>
        <v>-5062.4871316988938</v>
      </c>
      <c r="BW186" s="54">
        <f t="shared" si="475"/>
        <v>1698</v>
      </c>
      <c r="BX186" s="54">
        <f t="shared" si="475"/>
        <v>-1595</v>
      </c>
      <c r="BY186" s="54">
        <f t="shared" si="475"/>
        <v>1595</v>
      </c>
      <c r="BZ186" s="54">
        <f t="shared" si="475"/>
        <v>-1281</v>
      </c>
      <c r="CA186" s="54"/>
      <c r="CB186"/>
      <c r="CC186"/>
      <c r="CD186" s="54"/>
      <c r="CE186" s="54"/>
      <c r="CF186" s="54"/>
      <c r="CH186" s="54">
        <f>+CH88</f>
        <v>22492</v>
      </c>
    </row>
    <row r="187" spans="2:86" ht="13.5" thickBot="1">
      <c r="B187" s="51" t="str">
        <f>+B90</f>
        <v xml:space="preserve">Net change in cash </v>
      </c>
      <c r="C187" s="20"/>
      <c r="D187" s="52">
        <f t="shared" ref="D187:U187" si="476">+D90</f>
        <v>-18953</v>
      </c>
      <c r="E187" s="52">
        <f t="shared" si="476"/>
        <v>2029</v>
      </c>
      <c r="F187" s="52">
        <f t="shared" si="476"/>
        <v>-6341</v>
      </c>
      <c r="G187" s="52">
        <f t="shared" si="476"/>
        <v>38263</v>
      </c>
      <c r="H187" s="52">
        <f t="shared" si="476"/>
        <v>-40990</v>
      </c>
      <c r="I187" s="52">
        <f t="shared" si="476"/>
        <v>19048</v>
      </c>
      <c r="J187" s="52">
        <f t="shared" si="476"/>
        <v>-27515.000000000015</v>
      </c>
      <c r="K187" s="52">
        <f t="shared" si="476"/>
        <v>38348</v>
      </c>
      <c r="L187" s="52">
        <f t="shared" si="476"/>
        <v>38348</v>
      </c>
      <c r="M187" s="52">
        <f t="shared" si="476"/>
        <v>8847</v>
      </c>
      <c r="N187" s="52">
        <f t="shared" si="476"/>
        <v>76746</v>
      </c>
      <c r="O187" s="52">
        <f t="shared" si="476"/>
        <v>-39909</v>
      </c>
      <c r="P187" s="52">
        <f t="shared" si="476"/>
        <v>-16643</v>
      </c>
      <c r="Q187" s="52">
        <f t="shared" si="476"/>
        <v>16227</v>
      </c>
      <c r="R187" s="52">
        <f t="shared" si="476"/>
        <v>307</v>
      </c>
      <c r="S187" s="52">
        <f t="shared" si="476"/>
        <v>16010</v>
      </c>
      <c r="T187" s="52">
        <f t="shared" si="476"/>
        <v>137316</v>
      </c>
      <c r="U187" s="52">
        <f t="shared" si="476"/>
        <v>137316</v>
      </c>
      <c r="V187" s="49"/>
      <c r="W187" s="52">
        <f t="shared" ref="W187:BB187" si="477">+W90</f>
        <v>61</v>
      </c>
      <c r="X187" s="52">
        <f t="shared" si="477"/>
        <v>-7765</v>
      </c>
      <c r="Y187" s="52">
        <f t="shared" si="477"/>
        <v>8796</v>
      </c>
      <c r="Z187" s="52">
        <f t="shared" si="477"/>
        <v>-7433</v>
      </c>
      <c r="AA187" s="52">
        <f t="shared" si="477"/>
        <v>19359</v>
      </c>
      <c r="AB187" s="52">
        <f t="shared" si="477"/>
        <v>-10606</v>
      </c>
      <c r="AC187" s="52">
        <f t="shared" si="477"/>
        <v>3778</v>
      </c>
      <c r="AD187" s="52">
        <f t="shared" si="477"/>
        <v>25732</v>
      </c>
      <c r="AE187" s="52">
        <f t="shared" si="477"/>
        <v>-32970</v>
      </c>
      <c r="AF187" s="52">
        <f t="shared" si="477"/>
        <v>-5583</v>
      </c>
      <c r="AG187" s="52">
        <f t="shared" si="477"/>
        <v>8263</v>
      </c>
      <c r="AH187" s="52">
        <f t="shared" si="477"/>
        <v>-10700</v>
      </c>
      <c r="AI187" s="52">
        <f t="shared" si="477"/>
        <v>7396</v>
      </c>
      <c r="AJ187" s="52">
        <f t="shared" si="477"/>
        <v>-18296</v>
      </c>
      <c r="AK187" s="52">
        <f t="shared" si="477"/>
        <v>-1433</v>
      </c>
      <c r="AL187" s="52">
        <f t="shared" si="477"/>
        <v>31381</v>
      </c>
      <c r="AM187" s="52">
        <f t="shared" si="477"/>
        <v>-16870</v>
      </c>
      <c r="AN187" s="52">
        <f t="shared" si="477"/>
        <v>-5327</v>
      </c>
      <c r="AO187" s="52">
        <f t="shared" si="477"/>
        <v>-6280</v>
      </c>
      <c r="AP187" s="52">
        <f t="shared" si="477"/>
        <v>962</v>
      </c>
      <c r="AQ187" s="52">
        <f t="shared" si="477"/>
        <v>11571</v>
      </c>
      <c r="AR187" s="52">
        <f t="shared" si="477"/>
        <v>-8664</v>
      </c>
      <c r="AS187" s="52">
        <f t="shared" si="477"/>
        <v>-6079</v>
      </c>
      <c r="AT187" s="52">
        <f t="shared" si="477"/>
        <v>41520</v>
      </c>
      <c r="AU187" s="52">
        <f t="shared" si="477"/>
        <v>-3963</v>
      </c>
      <c r="AV187" s="52">
        <f t="shared" si="477"/>
        <v>-10491</v>
      </c>
      <c r="AW187" s="52">
        <f t="shared" si="477"/>
        <v>-1772</v>
      </c>
      <c r="AX187" s="52">
        <f t="shared" si="477"/>
        <v>25073</v>
      </c>
      <c r="AY187" s="52">
        <f t="shared" si="477"/>
        <v>-4345</v>
      </c>
      <c r="AZ187" s="52">
        <f t="shared" si="477"/>
        <v>51286</v>
      </c>
      <c r="BA187" s="52">
        <f t="shared" si="477"/>
        <v>-2848.64</v>
      </c>
      <c r="BB187" s="52">
        <f t="shared" si="477"/>
        <v>32653.639999999985</v>
      </c>
      <c r="BC187" s="52">
        <f t="shared" ref="BC187:BZ187" si="478">+BC90</f>
        <v>-1045</v>
      </c>
      <c r="BD187" s="52">
        <f t="shared" si="478"/>
        <v>-19120</v>
      </c>
      <c r="BE187" s="52">
        <f t="shared" si="478"/>
        <v>-5877</v>
      </c>
      <c r="BF187" s="52">
        <f t="shared" si="478"/>
        <v>-13867</v>
      </c>
      <c r="BG187" s="52">
        <f t="shared" si="478"/>
        <v>6442</v>
      </c>
      <c r="BH187" s="52">
        <f t="shared" si="478"/>
        <v>-23065</v>
      </c>
      <c r="BI187" s="52">
        <f t="shared" si="478"/>
        <v>17269</v>
      </c>
      <c r="BJ187" s="52">
        <f t="shared" si="478"/>
        <v>-17289</v>
      </c>
      <c r="BK187" s="52">
        <f t="shared" si="478"/>
        <v>14162</v>
      </c>
      <c r="BL187" s="52">
        <f t="shared" si="478"/>
        <v>-3216</v>
      </c>
      <c r="BM187" s="52">
        <f t="shared" si="478"/>
        <v>-2143</v>
      </c>
      <c r="BN187" s="52">
        <f t="shared" si="478"/>
        <v>7424</v>
      </c>
      <c r="BO187" s="52">
        <f t="shared" si="478"/>
        <v>-17884</v>
      </c>
      <c r="BP187" s="52">
        <f t="shared" si="478"/>
        <v>-4583</v>
      </c>
      <c r="BQ187" s="52">
        <f t="shared" si="478"/>
        <v>9473</v>
      </c>
      <c r="BR187" s="52">
        <f t="shared" si="478"/>
        <v>13301.000000000029</v>
      </c>
      <c r="BS187" s="52">
        <f t="shared" si="478"/>
        <v>-14571.253676055812</v>
      </c>
      <c r="BT187" s="52">
        <f t="shared" si="478"/>
        <v>1374</v>
      </c>
      <c r="BU187" s="52">
        <f t="shared" si="478"/>
        <v>21900</v>
      </c>
      <c r="BV187" s="52">
        <f t="shared" si="478"/>
        <v>7307.2536760558714</v>
      </c>
      <c r="BW187" s="52">
        <f t="shared" si="478"/>
        <v>-159</v>
      </c>
      <c r="BX187" s="52">
        <f t="shared" si="478"/>
        <v>29532</v>
      </c>
      <c r="BY187" s="52">
        <f t="shared" si="478"/>
        <v>20491</v>
      </c>
      <c r="BZ187" s="52">
        <f t="shared" si="478"/>
        <v>87452</v>
      </c>
      <c r="CA187" s="49"/>
      <c r="CB187"/>
      <c r="CC187"/>
      <c r="CD187" s="49"/>
      <c r="CE187" s="49"/>
      <c r="CF187" s="49"/>
      <c r="CH187" s="52">
        <f>+CH90</f>
        <v>76746</v>
      </c>
    </row>
    <row r="188" spans="2:86" ht="14" thickTop="1" thickBot="1">
      <c r="B188" s="51" t="str">
        <f>+B91</f>
        <v>Cash and cash equivalents</v>
      </c>
      <c r="C188" s="20"/>
      <c r="D188" s="52">
        <f t="shared" ref="D188:U188" si="479">+D91</f>
        <v>6008</v>
      </c>
      <c r="E188" s="52">
        <f t="shared" si="479"/>
        <v>7652</v>
      </c>
      <c r="F188" s="52">
        <f t="shared" si="479"/>
        <v>1311</v>
      </c>
      <c r="G188" s="52">
        <f t="shared" si="479"/>
        <v>39574</v>
      </c>
      <c r="H188" s="52">
        <f t="shared" si="479"/>
        <v>-1416</v>
      </c>
      <c r="I188" s="52">
        <f t="shared" si="479"/>
        <v>17632</v>
      </c>
      <c r="J188" s="52">
        <f t="shared" si="479"/>
        <v>-9883.0000000000146</v>
      </c>
      <c r="K188" s="52">
        <f t="shared" si="479"/>
        <v>28464.999999999985</v>
      </c>
      <c r="L188" s="52">
        <f t="shared" si="479"/>
        <v>28468</v>
      </c>
      <c r="M188" s="52">
        <f t="shared" si="479"/>
        <v>37315</v>
      </c>
      <c r="N188" s="52">
        <f t="shared" si="479"/>
        <v>130539</v>
      </c>
      <c r="O188" s="52">
        <f t="shared" si="479"/>
        <v>90630</v>
      </c>
      <c r="P188" s="52">
        <f t="shared" si="479"/>
        <v>73987</v>
      </c>
      <c r="Q188" s="52">
        <f t="shared" si="479"/>
        <v>90214</v>
      </c>
      <c r="R188" s="52">
        <f t="shared" si="479"/>
        <v>90521</v>
      </c>
      <c r="S188" s="52">
        <f t="shared" si="479"/>
        <v>106531</v>
      </c>
      <c r="T188" s="52">
        <f t="shared" si="479"/>
        <v>243847</v>
      </c>
      <c r="U188" s="52">
        <f t="shared" si="479"/>
        <v>243847.00000000006</v>
      </c>
      <c r="V188" s="49"/>
      <c r="W188" s="52">
        <f t="shared" ref="W188:BB188" si="480">+W91</f>
        <v>7713</v>
      </c>
      <c r="X188" s="52">
        <f t="shared" si="480"/>
        <v>-52</v>
      </c>
      <c r="Y188" s="52">
        <f t="shared" si="480"/>
        <v>8744</v>
      </c>
      <c r="Z188" s="52">
        <f t="shared" si="480"/>
        <v>1311</v>
      </c>
      <c r="AA188" s="52">
        <f t="shared" si="480"/>
        <v>20670</v>
      </c>
      <c r="AB188" s="52">
        <f t="shared" si="480"/>
        <v>10064</v>
      </c>
      <c r="AC188" s="52">
        <f t="shared" si="480"/>
        <v>13842</v>
      </c>
      <c r="AD188" s="52">
        <f t="shared" si="480"/>
        <v>39574</v>
      </c>
      <c r="AE188" s="52">
        <f t="shared" si="480"/>
        <v>6604</v>
      </c>
      <c r="AF188" s="52">
        <f t="shared" si="480"/>
        <v>1021</v>
      </c>
      <c r="AG188" s="52">
        <f t="shared" si="480"/>
        <v>9284</v>
      </c>
      <c r="AH188" s="52">
        <f t="shared" si="480"/>
        <v>-1416</v>
      </c>
      <c r="AI188" s="52">
        <f t="shared" si="480"/>
        <v>5980</v>
      </c>
      <c r="AJ188" s="52">
        <f t="shared" si="480"/>
        <v>-12316</v>
      </c>
      <c r="AK188" s="52">
        <f t="shared" si="480"/>
        <v>-13749</v>
      </c>
      <c r="AL188" s="52">
        <f t="shared" si="480"/>
        <v>17632</v>
      </c>
      <c r="AM188" s="52">
        <f t="shared" si="480"/>
        <v>762</v>
      </c>
      <c r="AN188" s="52">
        <f t="shared" si="480"/>
        <v>-4565</v>
      </c>
      <c r="AO188" s="52">
        <f t="shared" si="480"/>
        <v>-10845</v>
      </c>
      <c r="AP188" s="52">
        <f t="shared" si="480"/>
        <v>-9883</v>
      </c>
      <c r="AQ188" s="52">
        <f t="shared" si="480"/>
        <v>1688</v>
      </c>
      <c r="AR188" s="52">
        <f t="shared" si="480"/>
        <v>-6976</v>
      </c>
      <c r="AS188" s="52">
        <f t="shared" si="480"/>
        <v>-13055</v>
      </c>
      <c r="AT188" s="52">
        <f t="shared" si="480"/>
        <v>28468</v>
      </c>
      <c r="AU188" s="52">
        <f t="shared" si="480"/>
        <v>24505</v>
      </c>
      <c r="AV188" s="52">
        <f t="shared" si="480"/>
        <v>14014</v>
      </c>
      <c r="AW188" s="52">
        <f t="shared" si="480"/>
        <v>12242</v>
      </c>
      <c r="AX188" s="52">
        <f t="shared" si="480"/>
        <v>37315</v>
      </c>
      <c r="AY188" s="52">
        <f t="shared" si="480"/>
        <v>32970</v>
      </c>
      <c r="AZ188" s="52">
        <f t="shared" si="480"/>
        <v>84256</v>
      </c>
      <c r="BA188" s="52">
        <f t="shared" si="480"/>
        <v>81407.360000000001</v>
      </c>
      <c r="BB188" s="52">
        <f t="shared" si="480"/>
        <v>130539</v>
      </c>
      <c r="BC188" s="52">
        <f t="shared" ref="BC188:BZ188" si="481">+BC91</f>
        <v>129494</v>
      </c>
      <c r="BD188" s="52">
        <f t="shared" si="481"/>
        <v>110374</v>
      </c>
      <c r="BE188" s="52">
        <f t="shared" si="481"/>
        <v>104497</v>
      </c>
      <c r="BF188" s="52">
        <f t="shared" si="481"/>
        <v>90630</v>
      </c>
      <c r="BG188" s="52">
        <f t="shared" si="481"/>
        <v>97072</v>
      </c>
      <c r="BH188" s="52">
        <f t="shared" si="481"/>
        <v>74007</v>
      </c>
      <c r="BI188" s="52">
        <f t="shared" si="481"/>
        <v>91276</v>
      </c>
      <c r="BJ188" s="52">
        <f t="shared" si="481"/>
        <v>73987</v>
      </c>
      <c r="BK188" s="52">
        <f t="shared" si="481"/>
        <v>88149</v>
      </c>
      <c r="BL188" s="52">
        <f t="shared" si="481"/>
        <v>84933</v>
      </c>
      <c r="BM188" s="52">
        <f t="shared" si="481"/>
        <v>82790</v>
      </c>
      <c r="BN188" s="52">
        <f t="shared" si="481"/>
        <v>90214</v>
      </c>
      <c r="BO188" s="52">
        <f t="shared" si="481"/>
        <v>72330</v>
      </c>
      <c r="BP188" s="52">
        <f t="shared" si="481"/>
        <v>67747</v>
      </c>
      <c r="BQ188" s="52">
        <f t="shared" si="481"/>
        <v>77220</v>
      </c>
      <c r="BR188" s="52">
        <f t="shared" si="481"/>
        <v>90521</v>
      </c>
      <c r="BS188" s="52">
        <f t="shared" si="481"/>
        <v>75949.746323944186</v>
      </c>
      <c r="BT188" s="52">
        <f t="shared" si="481"/>
        <v>77323.746323944186</v>
      </c>
      <c r="BU188" s="52">
        <f t="shared" si="481"/>
        <v>99223.746323944186</v>
      </c>
      <c r="BV188" s="52">
        <f t="shared" si="481"/>
        <v>106531.00000000006</v>
      </c>
      <c r="BW188" s="52">
        <f t="shared" si="481"/>
        <v>106372.00000000006</v>
      </c>
      <c r="BX188" s="52">
        <f t="shared" si="481"/>
        <v>135904.00000000006</v>
      </c>
      <c r="BY188" s="52">
        <f t="shared" si="481"/>
        <v>156395.00000000006</v>
      </c>
      <c r="BZ188" s="52">
        <f t="shared" si="481"/>
        <v>243847.00000000006</v>
      </c>
      <c r="CA188" s="49"/>
      <c r="CB188"/>
      <c r="CC188"/>
      <c r="CD188" s="49"/>
      <c r="CE188" s="49"/>
      <c r="CF188" s="49"/>
      <c r="CH188" s="52">
        <f>+CH91</f>
        <v>130539</v>
      </c>
    </row>
    <row r="189" spans="2:86" ht="13.5" thickTop="1"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/>
      <c r="CC189"/>
      <c r="CD189" s="54"/>
      <c r="CE189" s="54"/>
      <c r="CF189" s="54"/>
      <c r="CH189" s="54"/>
    </row>
    <row r="190" spans="2:86">
      <c r="B190" s="17" t="s">
        <v>248</v>
      </c>
      <c r="D190" s="54">
        <f>D124</f>
        <v>616707</v>
      </c>
      <c r="E190" s="54">
        <f t="shared" ref="E190:AV190" si="482">E124</f>
        <v>690232</v>
      </c>
      <c r="F190" s="54">
        <f t="shared" si="482"/>
        <v>667363</v>
      </c>
      <c r="G190" s="54">
        <f t="shared" si="482"/>
        <v>759984</v>
      </c>
      <c r="H190" s="54">
        <f t="shared" si="482"/>
        <v>806839</v>
      </c>
      <c r="I190" s="54">
        <f t="shared" si="482"/>
        <v>1004526</v>
      </c>
      <c r="J190" s="54">
        <f t="shared" si="482"/>
        <v>1074281</v>
      </c>
      <c r="K190" s="54">
        <f t="shared" si="482"/>
        <v>1141676</v>
      </c>
      <c r="L190" s="54">
        <f t="shared" ref="L190:Q190" si="483">L124</f>
        <v>1121653.739312523</v>
      </c>
      <c r="M190" s="54">
        <f t="shared" si="483"/>
        <v>1257122.0815995252</v>
      </c>
      <c r="N190" s="54">
        <f t="shared" si="483"/>
        <v>1479200.313589588</v>
      </c>
      <c r="O190" s="54">
        <f t="shared" si="483"/>
        <v>1625790</v>
      </c>
      <c r="P190" s="54">
        <f t="shared" si="483"/>
        <v>1695281</v>
      </c>
      <c r="Q190" s="54">
        <f t="shared" si="483"/>
        <v>2259697</v>
      </c>
      <c r="R190" s="54">
        <f>R124</f>
        <v>2149609</v>
      </c>
      <c r="S190" s="54">
        <f>S124</f>
        <v>2137431</v>
      </c>
      <c r="T190" s="54">
        <f>T124</f>
        <v>1955106</v>
      </c>
      <c r="U190" s="54">
        <f>U124</f>
        <v>1955106</v>
      </c>
      <c r="V190" s="54"/>
      <c r="W190" s="54">
        <f t="shared" si="482"/>
        <v>705776</v>
      </c>
      <c r="X190" s="54">
        <f t="shared" si="482"/>
        <v>643282</v>
      </c>
      <c r="Y190" s="54">
        <f t="shared" si="482"/>
        <v>678051</v>
      </c>
      <c r="Z190" s="54">
        <f t="shared" si="482"/>
        <v>667363</v>
      </c>
      <c r="AA190" s="54">
        <f t="shared" si="482"/>
        <v>744639</v>
      </c>
      <c r="AB190" s="54">
        <f t="shared" si="482"/>
        <v>744437</v>
      </c>
      <c r="AC190" s="54">
        <f t="shared" si="482"/>
        <v>733140</v>
      </c>
      <c r="AD190" s="54">
        <f t="shared" si="482"/>
        <v>759984</v>
      </c>
      <c r="AE190" s="54">
        <f t="shared" si="482"/>
        <v>716751</v>
      </c>
      <c r="AF190" s="54">
        <f t="shared" si="482"/>
        <v>749234</v>
      </c>
      <c r="AG190" s="54">
        <f t="shared" si="482"/>
        <v>799272</v>
      </c>
      <c r="AH190" s="54">
        <f t="shared" si="482"/>
        <v>806839</v>
      </c>
      <c r="AI190" s="54">
        <f t="shared" si="482"/>
        <v>949525.07755799999</v>
      </c>
      <c r="AJ190" s="54">
        <f t="shared" si="482"/>
        <v>912951.80537900003</v>
      </c>
      <c r="AK190" s="54">
        <f t="shared" si="482"/>
        <v>945323.94797600002</v>
      </c>
      <c r="AL190" s="54">
        <f t="shared" si="482"/>
        <v>1004526</v>
      </c>
      <c r="AM190" s="54">
        <f t="shared" si="482"/>
        <v>1017509</v>
      </c>
      <c r="AN190" s="54">
        <f t="shared" si="482"/>
        <v>988136.41577116004</v>
      </c>
      <c r="AO190" s="54">
        <f t="shared" si="482"/>
        <v>1140647</v>
      </c>
      <c r="AP190" s="54">
        <f t="shared" si="482"/>
        <v>1074281</v>
      </c>
      <c r="AQ190" s="54">
        <f t="shared" si="482"/>
        <v>1028119</v>
      </c>
      <c r="AR190" s="54">
        <f t="shared" si="482"/>
        <v>1053240.5980251029</v>
      </c>
      <c r="AS190" s="54">
        <f t="shared" si="482"/>
        <v>1062405.605602575</v>
      </c>
      <c r="AT190" s="54">
        <f t="shared" si="482"/>
        <v>1141676</v>
      </c>
      <c r="AU190" s="54">
        <f t="shared" si="482"/>
        <v>1202939</v>
      </c>
      <c r="AV190" s="54">
        <f t="shared" si="482"/>
        <v>1284463.9297189871</v>
      </c>
      <c r="AW190" s="54">
        <f t="shared" ref="AW190:BB190" si="484">AW124</f>
        <v>1215776.8649815719</v>
      </c>
      <c r="AX190" s="54">
        <f t="shared" si="484"/>
        <v>1257122.0815995252</v>
      </c>
      <c r="AY190" s="54">
        <f t="shared" si="484"/>
        <v>1297779.2912892101</v>
      </c>
      <c r="AZ190" s="54">
        <f t="shared" si="484"/>
        <v>1365791.0676634838</v>
      </c>
      <c r="BA190" s="54">
        <f t="shared" si="484"/>
        <v>1461604.193206934</v>
      </c>
      <c r="BB190" s="54">
        <f t="shared" si="484"/>
        <v>1479200.313589588</v>
      </c>
      <c r="BC190" s="54">
        <f t="shared" ref="BC190:BH190" si="485">BC124</f>
        <v>1452838.545356195</v>
      </c>
      <c r="BD190" s="54">
        <f t="shared" si="485"/>
        <v>1593730.6884700002</v>
      </c>
      <c r="BE190" s="54">
        <f t="shared" si="485"/>
        <v>1579086</v>
      </c>
      <c r="BF190" s="54">
        <f t="shared" si="485"/>
        <v>1625790</v>
      </c>
      <c r="BG190" s="54">
        <f t="shared" si="485"/>
        <v>1686408</v>
      </c>
      <c r="BH190" s="54">
        <f t="shared" si="485"/>
        <v>1802022</v>
      </c>
      <c r="BI190" s="54">
        <f t="shared" ref="BI190:BN190" si="486">BI124</f>
        <v>1682871.3913205219</v>
      </c>
      <c r="BJ190" s="54">
        <f t="shared" si="486"/>
        <v>1695281</v>
      </c>
      <c r="BK190" s="54">
        <f t="shared" si="486"/>
        <v>1779197.1716298289</v>
      </c>
      <c r="BL190" s="54">
        <f t="shared" si="486"/>
        <v>2179015.0425397041</v>
      </c>
      <c r="BM190" s="54">
        <f t="shared" si="486"/>
        <v>2220546.2218100782</v>
      </c>
      <c r="BN190" s="54">
        <f t="shared" si="486"/>
        <v>2259697</v>
      </c>
      <c r="BO190" s="54">
        <f t="shared" ref="BO190:BT190" si="487">BO124</f>
        <v>2249319</v>
      </c>
      <c r="BP190" s="54">
        <f t="shared" si="487"/>
        <v>2173577.7867535953</v>
      </c>
      <c r="BQ190" s="54">
        <f t="shared" si="487"/>
        <v>2185044</v>
      </c>
      <c r="BR190" s="54">
        <f t="shared" si="487"/>
        <v>2149609</v>
      </c>
      <c r="BS190" s="54">
        <f t="shared" si="487"/>
        <v>2089704.8348989999</v>
      </c>
      <c r="BT190" s="54">
        <f t="shared" si="487"/>
        <v>2256550.9061660003</v>
      </c>
      <c r="BU190" s="54">
        <f t="shared" ref="BU190:BZ190" si="488">BU124</f>
        <v>2047344</v>
      </c>
      <c r="BV190" s="54">
        <f t="shared" si="488"/>
        <v>2137431</v>
      </c>
      <c r="BW190" s="54">
        <f t="shared" si="488"/>
        <v>2034646</v>
      </c>
      <c r="BX190" s="54">
        <f t="shared" si="488"/>
        <v>2081152</v>
      </c>
      <c r="BY190" s="54">
        <f t="shared" si="488"/>
        <v>1980042</v>
      </c>
      <c r="BZ190" s="54">
        <f t="shared" si="488"/>
        <v>1955106</v>
      </c>
      <c r="CA190" s="54"/>
      <c r="CB190"/>
      <c r="CC190"/>
      <c r="CD190" s="54"/>
      <c r="CE190" s="54"/>
      <c r="CF190" s="54"/>
      <c r="CH190" s="54">
        <f>CH124</f>
        <v>1504330.18822327</v>
      </c>
    </row>
    <row r="191" spans="2:86">
      <c r="B191" s="17" t="s">
        <v>243</v>
      </c>
      <c r="D191" s="54">
        <f>D130</f>
        <v>599512</v>
      </c>
      <c r="E191" s="54">
        <f t="shared" ref="E191:AV191" si="489">E130</f>
        <v>650394</v>
      </c>
      <c r="F191" s="54">
        <f t="shared" si="489"/>
        <v>583567</v>
      </c>
      <c r="G191" s="54">
        <f t="shared" si="489"/>
        <v>605416</v>
      </c>
      <c r="H191" s="54">
        <f t="shared" si="489"/>
        <v>668417</v>
      </c>
      <c r="I191" s="54">
        <f t="shared" si="489"/>
        <v>892979</v>
      </c>
      <c r="J191" s="54">
        <f t="shared" si="489"/>
        <v>970548</v>
      </c>
      <c r="K191" s="54">
        <f t="shared" si="489"/>
        <v>1021083</v>
      </c>
      <c r="L191" s="54">
        <f t="shared" ref="L191:Q191" si="490">L130</f>
        <v>1001060.30775617</v>
      </c>
      <c r="M191" s="54">
        <f t="shared" si="490"/>
        <v>1129899.2320868562</v>
      </c>
      <c r="N191" s="54">
        <f t="shared" si="490"/>
        <v>1188590.313589588</v>
      </c>
      <c r="O191" s="54">
        <f t="shared" si="490"/>
        <v>1485077</v>
      </c>
      <c r="P191" s="54">
        <f t="shared" si="490"/>
        <v>1603073</v>
      </c>
      <c r="Q191" s="54">
        <f t="shared" si="490"/>
        <v>2131263</v>
      </c>
      <c r="R191" s="54">
        <f>R130</f>
        <v>2046462</v>
      </c>
      <c r="S191" s="54">
        <f>S130</f>
        <v>2038384</v>
      </c>
      <c r="T191" s="54">
        <f>T130</f>
        <v>1647888</v>
      </c>
      <c r="U191" s="54">
        <f>U130</f>
        <v>1647888</v>
      </c>
      <c r="V191" s="54"/>
      <c r="W191" s="54">
        <f t="shared" si="489"/>
        <v>654424</v>
      </c>
      <c r="X191" s="54">
        <f t="shared" si="489"/>
        <v>610526</v>
      </c>
      <c r="Y191" s="54">
        <f t="shared" si="489"/>
        <v>583937</v>
      </c>
      <c r="Z191" s="54">
        <f t="shared" si="489"/>
        <v>583567</v>
      </c>
      <c r="AA191" s="54">
        <f t="shared" si="489"/>
        <v>587205</v>
      </c>
      <c r="AB191" s="54">
        <f t="shared" si="489"/>
        <v>613500</v>
      </c>
      <c r="AC191" s="54">
        <f t="shared" si="489"/>
        <v>576430</v>
      </c>
      <c r="AD191" s="54">
        <f t="shared" si="489"/>
        <v>605416</v>
      </c>
      <c r="AE191" s="54">
        <f t="shared" si="489"/>
        <v>577443</v>
      </c>
      <c r="AF191" s="54">
        <f t="shared" si="489"/>
        <v>622158</v>
      </c>
      <c r="AG191" s="54">
        <f t="shared" si="489"/>
        <v>668388</v>
      </c>
      <c r="AH191" s="54">
        <f t="shared" si="489"/>
        <v>668417</v>
      </c>
      <c r="AI191" s="54">
        <f t="shared" si="489"/>
        <v>719871.07755799999</v>
      </c>
      <c r="AJ191" s="54">
        <f t="shared" si="489"/>
        <v>757490.80537900003</v>
      </c>
      <c r="AK191" s="54">
        <f t="shared" si="489"/>
        <v>841434.94797600002</v>
      </c>
      <c r="AL191" s="54">
        <f t="shared" si="489"/>
        <v>892979</v>
      </c>
      <c r="AM191" s="54">
        <f t="shared" si="489"/>
        <v>889440</v>
      </c>
      <c r="AN191" s="54">
        <f t="shared" si="489"/>
        <v>873633</v>
      </c>
      <c r="AO191" s="54">
        <f t="shared" si="489"/>
        <v>1033806</v>
      </c>
      <c r="AP191" s="54">
        <f t="shared" si="489"/>
        <v>970548</v>
      </c>
      <c r="AQ191" s="54">
        <f t="shared" si="489"/>
        <v>933791</v>
      </c>
      <c r="AR191" s="54">
        <f t="shared" si="489"/>
        <v>968307.2569083249</v>
      </c>
      <c r="AS191" s="54">
        <f t="shared" si="489"/>
        <v>965528.605602575</v>
      </c>
      <c r="AT191" s="54">
        <f t="shared" si="489"/>
        <v>1021083</v>
      </c>
      <c r="AU191" s="54">
        <f t="shared" si="489"/>
        <v>1079146</v>
      </c>
      <c r="AV191" s="54">
        <f t="shared" si="489"/>
        <v>1184346.9297189871</v>
      </c>
      <c r="AW191" s="54">
        <f t="shared" ref="AW191:BB191" si="491">AW130</f>
        <v>1112967.8649815719</v>
      </c>
      <c r="AX191" s="54">
        <f t="shared" si="491"/>
        <v>1129899.2320868562</v>
      </c>
      <c r="AY191" s="54">
        <f t="shared" si="491"/>
        <v>1166458.0199606952</v>
      </c>
      <c r="AZ191" s="54">
        <f t="shared" si="491"/>
        <v>1181064.9947968249</v>
      </c>
      <c r="BA191" s="54">
        <f t="shared" si="491"/>
        <v>1149193.497061996</v>
      </c>
      <c r="BB191" s="54">
        <f t="shared" si="491"/>
        <v>1188590.313589588</v>
      </c>
      <c r="BC191" s="54">
        <f t="shared" ref="BC191:BH191" si="492">BC130</f>
        <v>1165404.545356195</v>
      </c>
      <c r="BD191" s="54">
        <f t="shared" si="492"/>
        <v>1378416.8177700001</v>
      </c>
      <c r="BE191" s="54">
        <f t="shared" si="492"/>
        <v>1474382</v>
      </c>
      <c r="BF191" s="54">
        <f t="shared" si="492"/>
        <v>1485077</v>
      </c>
      <c r="BG191" s="54">
        <f t="shared" si="492"/>
        <v>1596221</v>
      </c>
      <c r="BH191" s="54">
        <f t="shared" si="492"/>
        <v>1662393</v>
      </c>
      <c r="BI191" s="54">
        <f t="shared" ref="BI191:BN191" si="493">BI130</f>
        <v>1591420.289868566</v>
      </c>
      <c r="BJ191" s="54">
        <f t="shared" si="493"/>
        <v>1603073</v>
      </c>
      <c r="BK191" s="54">
        <f t="shared" si="493"/>
        <v>1673195.00255427</v>
      </c>
      <c r="BL191" s="54">
        <f t="shared" si="493"/>
        <v>2096418.4711213971</v>
      </c>
      <c r="BM191" s="54">
        <f t="shared" si="493"/>
        <v>2097311.0351597285</v>
      </c>
      <c r="BN191" s="54">
        <f t="shared" si="493"/>
        <v>2131263</v>
      </c>
      <c r="BO191" s="54">
        <f t="shared" ref="BO191:BT191" si="494">BO130</f>
        <v>2077290</v>
      </c>
      <c r="BP191" s="54">
        <f t="shared" si="494"/>
        <v>2070157.6206868002</v>
      </c>
      <c r="BQ191" s="54">
        <f t="shared" si="494"/>
        <v>2020702</v>
      </c>
      <c r="BR191" s="54">
        <f t="shared" si="494"/>
        <v>2046462</v>
      </c>
      <c r="BS191" s="54">
        <f t="shared" si="494"/>
        <v>2025802</v>
      </c>
      <c r="BT191" s="54">
        <f t="shared" si="494"/>
        <v>2202385.0000000005</v>
      </c>
      <c r="BU191" s="54">
        <f t="shared" ref="BU191:BZ191" si="495">BU130</f>
        <v>1966087</v>
      </c>
      <c r="BV191" s="54">
        <f t="shared" si="495"/>
        <v>2038384</v>
      </c>
      <c r="BW191" s="54">
        <f t="shared" si="495"/>
        <v>1915794</v>
      </c>
      <c r="BX191" s="54">
        <f t="shared" si="495"/>
        <v>1947131</v>
      </c>
      <c r="BY191" s="54">
        <f t="shared" si="495"/>
        <v>1826206</v>
      </c>
      <c r="BZ191" s="54">
        <f t="shared" si="495"/>
        <v>1647888</v>
      </c>
      <c r="CA191" s="54"/>
      <c r="CB191"/>
      <c r="CC191"/>
      <c r="CD191" s="54"/>
      <c r="CE191" s="54"/>
      <c r="CF191" s="54"/>
      <c r="CH191" s="54">
        <f>CH130</f>
        <v>1213720.18822327</v>
      </c>
    </row>
    <row r="192" spans="2:86"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/>
      <c r="CC192"/>
      <c r="CD192" s="54"/>
      <c r="CE192" s="54"/>
      <c r="CF192" s="54"/>
      <c r="CH192" s="54"/>
    </row>
    <row r="193" spans="2:86">
      <c r="B193" s="17" t="s">
        <v>249</v>
      </c>
      <c r="D193" s="54">
        <f t="shared" ref="D193:U193" si="496">D100</f>
        <v>200718</v>
      </c>
      <c r="E193" s="54">
        <f t="shared" si="496"/>
        <v>222533</v>
      </c>
      <c r="F193" s="54">
        <f t="shared" si="496"/>
        <v>233340</v>
      </c>
      <c r="G193" s="54">
        <f t="shared" si="496"/>
        <v>278430</v>
      </c>
      <c r="H193" s="54">
        <f t="shared" si="496"/>
        <v>314517</v>
      </c>
      <c r="I193" s="54">
        <f t="shared" si="496"/>
        <v>341682</v>
      </c>
      <c r="J193" s="54">
        <f t="shared" si="496"/>
        <v>356208</v>
      </c>
      <c r="K193" s="54">
        <f t="shared" si="496"/>
        <v>304479</v>
      </c>
      <c r="L193" s="54">
        <f t="shared" si="496"/>
        <v>304479</v>
      </c>
      <c r="M193" s="54">
        <f t="shared" si="496"/>
        <v>262937</v>
      </c>
      <c r="N193" s="54">
        <f t="shared" si="496"/>
        <v>371053</v>
      </c>
      <c r="O193" s="54">
        <f t="shared" si="496"/>
        <v>461387</v>
      </c>
      <c r="P193" s="54">
        <f t="shared" si="496"/>
        <v>581103</v>
      </c>
      <c r="Q193" s="54">
        <f t="shared" si="496"/>
        <v>717330</v>
      </c>
      <c r="R193" s="54">
        <f t="shared" si="496"/>
        <v>889064</v>
      </c>
      <c r="S193" s="54">
        <f t="shared" si="496"/>
        <v>1049994</v>
      </c>
      <c r="T193" s="54">
        <f t="shared" si="496"/>
        <v>1212676</v>
      </c>
      <c r="U193" s="54">
        <f t="shared" si="496"/>
        <v>1212676</v>
      </c>
      <c r="V193" s="54"/>
      <c r="W193" s="54"/>
      <c r="X193" s="54"/>
      <c r="Y193" s="54"/>
      <c r="Z193" s="54">
        <f t="shared" ref="Z193:BE193" si="497">Z100</f>
        <v>233340</v>
      </c>
      <c r="AA193" s="54">
        <f t="shared" si="497"/>
        <v>243933</v>
      </c>
      <c r="AB193" s="54">
        <f t="shared" si="497"/>
        <v>253293</v>
      </c>
      <c r="AC193" s="54">
        <f t="shared" si="497"/>
        <v>266550</v>
      </c>
      <c r="AD193" s="54">
        <f t="shared" si="497"/>
        <v>278430</v>
      </c>
      <c r="AE193" s="54">
        <f t="shared" si="497"/>
        <v>286167</v>
      </c>
      <c r="AF193" s="54">
        <f t="shared" si="497"/>
        <v>295106.99519623339</v>
      </c>
      <c r="AG193" s="54">
        <f t="shared" si="497"/>
        <v>301595.39649600006</v>
      </c>
      <c r="AH193" s="54">
        <f t="shared" si="497"/>
        <v>314517</v>
      </c>
      <c r="AI193" s="54">
        <f t="shared" si="497"/>
        <v>323947.86525200005</v>
      </c>
      <c r="AJ193" s="54">
        <f t="shared" si="497"/>
        <v>328931.88977776654</v>
      </c>
      <c r="AK193" s="54">
        <f t="shared" si="497"/>
        <v>336184.99596900004</v>
      </c>
      <c r="AL193" s="54">
        <f t="shared" si="497"/>
        <v>341682</v>
      </c>
      <c r="AM193" s="54">
        <f t="shared" si="497"/>
        <v>354978.17679399997</v>
      </c>
      <c r="AN193" s="54">
        <f t="shared" si="497"/>
        <v>366986.80519719981</v>
      </c>
      <c r="AO193" s="54">
        <f t="shared" si="497"/>
        <v>367944.18159350724</v>
      </c>
      <c r="AP193" s="54">
        <f t="shared" si="497"/>
        <v>356208</v>
      </c>
      <c r="AQ193" s="54">
        <f t="shared" si="497"/>
        <v>338525.563131342</v>
      </c>
      <c r="AR193" s="54">
        <f t="shared" si="497"/>
        <v>323900.69415554509</v>
      </c>
      <c r="AS193" s="54">
        <f t="shared" si="497"/>
        <v>314066.8102682376</v>
      </c>
      <c r="AT193" s="54">
        <f t="shared" si="497"/>
        <v>304479</v>
      </c>
      <c r="AU193" s="54">
        <f t="shared" si="497"/>
        <v>294618.39482265804</v>
      </c>
      <c r="AV193" s="54">
        <f t="shared" si="497"/>
        <v>278014.61567325512</v>
      </c>
      <c r="AW193" s="54">
        <f t="shared" si="497"/>
        <v>265212.61567325512</v>
      </c>
      <c r="AX193" s="54">
        <f t="shared" si="497"/>
        <v>262937</v>
      </c>
      <c r="AY193" s="54">
        <f t="shared" si="497"/>
        <v>279493.40126231866</v>
      </c>
      <c r="AZ193" s="54">
        <f t="shared" si="497"/>
        <v>305422.93212869955</v>
      </c>
      <c r="BA193" s="54">
        <f t="shared" si="497"/>
        <v>335854.90378347348</v>
      </c>
      <c r="BB193" s="54">
        <f t="shared" si="497"/>
        <v>371053</v>
      </c>
      <c r="BC193" s="54">
        <f t="shared" si="497"/>
        <v>392518.59873768134</v>
      </c>
      <c r="BD193" s="54">
        <f t="shared" si="497"/>
        <v>421639.06787130039</v>
      </c>
      <c r="BE193" s="54">
        <f t="shared" si="497"/>
        <v>449915.09621652652</v>
      </c>
      <c r="BF193" s="54">
        <f t="shared" ref="BF193:BZ193" si="498">BF100</f>
        <v>461387</v>
      </c>
      <c r="BG193" s="54">
        <f t="shared" si="498"/>
        <v>486889</v>
      </c>
      <c r="BH193" s="54">
        <f t="shared" si="498"/>
        <v>508583</v>
      </c>
      <c r="BI193" s="54">
        <f t="shared" si="498"/>
        <v>535853</v>
      </c>
      <c r="BJ193" s="54">
        <f t="shared" si="498"/>
        <v>581103</v>
      </c>
      <c r="BK193" s="54">
        <f t="shared" si="498"/>
        <v>615253</v>
      </c>
      <c r="BL193" s="54">
        <f t="shared" si="498"/>
        <v>652288</v>
      </c>
      <c r="BM193" s="54">
        <f t="shared" si="498"/>
        <v>689248</v>
      </c>
      <c r="BN193" s="54">
        <f t="shared" si="498"/>
        <v>717330</v>
      </c>
      <c r="BO193" s="54">
        <f t="shared" si="498"/>
        <v>748747</v>
      </c>
      <c r="BP193" s="54">
        <f t="shared" si="498"/>
        <v>768185</v>
      </c>
      <c r="BQ193" s="54">
        <f t="shared" si="498"/>
        <v>782620.638997884</v>
      </c>
      <c r="BR193" s="54">
        <f t="shared" si="498"/>
        <v>889064</v>
      </c>
      <c r="BS193" s="54">
        <f t="shared" si="498"/>
        <v>921862</v>
      </c>
      <c r="BT193" s="54">
        <f t="shared" si="498"/>
        <v>980337</v>
      </c>
      <c r="BU193" s="54">
        <f t="shared" si="498"/>
        <v>1070461.361002116</v>
      </c>
      <c r="BV193" s="54">
        <f t="shared" si="498"/>
        <v>1049994</v>
      </c>
      <c r="BW193" s="54">
        <f t="shared" si="498"/>
        <v>1101403</v>
      </c>
      <c r="BX193" s="54">
        <f t="shared" si="498"/>
        <v>1145468</v>
      </c>
      <c r="BY193" s="54">
        <f t="shared" si="498"/>
        <v>1166337</v>
      </c>
      <c r="BZ193" s="54">
        <f t="shared" si="498"/>
        <v>1212676</v>
      </c>
      <c r="CA193" s="54"/>
      <c r="CB193"/>
      <c r="CC193"/>
      <c r="CD193" s="54"/>
      <c r="CE193" s="54"/>
      <c r="CF193" s="54"/>
      <c r="CH193" s="54">
        <f>CH100</f>
        <v>347696</v>
      </c>
    </row>
    <row r="194" spans="2:86"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/>
      <c r="CC194"/>
      <c r="CD194" s="54"/>
      <c r="CE194" s="54"/>
      <c r="CF194" s="54"/>
      <c r="CH194" s="54"/>
    </row>
    <row r="195" spans="2:86" s="20" customFormat="1">
      <c r="B195" s="20" t="str">
        <f>B139</f>
        <v>Secured Gross Leverage</v>
      </c>
      <c r="D195" s="56">
        <f t="shared" ref="D195:AS195" si="499">D139</f>
        <v>0</v>
      </c>
      <c r="E195" s="56">
        <f t="shared" si="499"/>
        <v>0</v>
      </c>
      <c r="F195" s="56">
        <f t="shared" si="499"/>
        <v>0</v>
      </c>
      <c r="G195" s="56">
        <f t="shared" si="499"/>
        <v>0</v>
      </c>
      <c r="H195" s="56">
        <f t="shared" si="499"/>
        <v>0</v>
      </c>
      <c r="I195" s="56">
        <f t="shared" si="499"/>
        <v>0.29807833014323259</v>
      </c>
      <c r="J195" s="56">
        <f t="shared" si="499"/>
        <v>0.19254199793379148</v>
      </c>
      <c r="K195" s="56">
        <f t="shared" ref="K195:M196" si="500">K139</f>
        <v>0.23238384256385497</v>
      </c>
      <c r="L195" s="56">
        <f t="shared" si="500"/>
        <v>0.232202546057311</v>
      </c>
      <c r="M195" s="56">
        <f t="shared" si="500"/>
        <v>0.19262413631495759</v>
      </c>
      <c r="N195" s="56">
        <f t="shared" ref="N195:Q196" si="501">N139</f>
        <v>0.83323170912596844</v>
      </c>
      <c r="O195" s="56">
        <f t="shared" si="501"/>
        <v>0.72184088411680436</v>
      </c>
      <c r="P195" s="56">
        <f t="shared" si="501"/>
        <v>0.63797467918768269</v>
      </c>
      <c r="Q195" s="56">
        <f t="shared" si="501"/>
        <v>0.84737847294829438</v>
      </c>
      <c r="R195" s="56">
        <f t="shared" ref="R195:U196" si="502">R139</f>
        <v>0.71969284550943469</v>
      </c>
      <c r="S195" s="56">
        <f t="shared" si="502"/>
        <v>0.62513976270340588</v>
      </c>
      <c r="T195" s="56">
        <f>T139</f>
        <v>0.61063136402468587</v>
      </c>
      <c r="U195" s="56">
        <f t="shared" si="502"/>
        <v>0.61063136402468587</v>
      </c>
      <c r="V195" s="56"/>
      <c r="W195" s="56"/>
      <c r="X195" s="56"/>
      <c r="Y195" s="56"/>
      <c r="Z195" s="56">
        <f t="shared" si="499"/>
        <v>0</v>
      </c>
      <c r="AA195" s="56">
        <f t="shared" si="499"/>
        <v>0</v>
      </c>
      <c r="AB195" s="56">
        <f t="shared" si="499"/>
        <v>0</v>
      </c>
      <c r="AC195" s="56">
        <f t="shared" si="499"/>
        <v>0</v>
      </c>
      <c r="AD195" s="56">
        <f t="shared" si="499"/>
        <v>0</v>
      </c>
      <c r="AE195" s="56">
        <f t="shared" si="499"/>
        <v>0</v>
      </c>
      <c r="AF195" s="56">
        <f t="shared" si="499"/>
        <v>0</v>
      </c>
      <c r="AG195" s="56">
        <f t="shared" si="499"/>
        <v>0</v>
      </c>
      <c r="AH195" s="56">
        <f t="shared" si="499"/>
        <v>0</v>
      </c>
      <c r="AI195" s="56">
        <f t="shared" si="499"/>
        <v>0.13091945373681746</v>
      </c>
      <c r="AJ195" s="56">
        <f t="shared" si="499"/>
        <v>0.16293587531208908</v>
      </c>
      <c r="AK195" s="56">
        <f t="shared" si="499"/>
        <v>0.16931138705919122</v>
      </c>
      <c r="AL195" s="56">
        <f t="shared" si="499"/>
        <v>0.29807833014323259</v>
      </c>
      <c r="AM195" s="56">
        <f t="shared" si="499"/>
        <v>0.27748748075057705</v>
      </c>
      <c r="AN195" s="56">
        <f t="shared" si="499"/>
        <v>0.28013813724108366</v>
      </c>
      <c r="AO195" s="56">
        <f t="shared" si="499"/>
        <v>0.28219225957134203</v>
      </c>
      <c r="AP195" s="56">
        <f t="shared" si="499"/>
        <v>0.19254199793379148</v>
      </c>
      <c r="AQ195" s="56">
        <f t="shared" si="499"/>
        <v>0.19917255103668574</v>
      </c>
      <c r="AR195" s="56">
        <f t="shared" si="499"/>
        <v>0.20235911219396471</v>
      </c>
      <c r="AS195" s="56">
        <f t="shared" si="499"/>
        <v>0.19240366580271601</v>
      </c>
      <c r="AT195" s="56">
        <f t="shared" ref="AT195:AX196" si="503">AT139</f>
        <v>0.23238384256385497</v>
      </c>
      <c r="AU195" s="56">
        <f t="shared" si="503"/>
        <v>0.24452987751618635</v>
      </c>
      <c r="AV195" s="56">
        <f t="shared" si="503"/>
        <v>0.26700009831939164</v>
      </c>
      <c r="AW195" s="56">
        <f t="shared" si="503"/>
        <v>0.26853498202104542</v>
      </c>
      <c r="AX195" s="56">
        <f t="shared" si="503"/>
        <v>0.19262413631495759</v>
      </c>
      <c r="AY195" s="56">
        <f t="shared" ref="AY195:BA196" si="504">AY139</f>
        <v>0.83914561578181612</v>
      </c>
      <c r="AZ195" s="56">
        <f t="shared" si="504"/>
        <v>0.84739693880205957</v>
      </c>
      <c r="BA195" s="56">
        <f t="shared" si="504"/>
        <v>0.81449488168683026</v>
      </c>
      <c r="BB195" s="56">
        <f t="shared" ref="BB195:BD196" si="505">BB139</f>
        <v>0.83323170912596844</v>
      </c>
      <c r="BC195" s="56">
        <f t="shared" si="505"/>
        <v>0.72662311394699552</v>
      </c>
      <c r="BD195" s="56">
        <f t="shared" si="505"/>
        <v>0.64878083775731543</v>
      </c>
      <c r="BE195" s="56">
        <f t="shared" ref="BE195:BH196" si="506">BE139</f>
        <v>0.67259006216280581</v>
      </c>
      <c r="BF195" s="56">
        <f t="shared" si="506"/>
        <v>0.72184088411680436</v>
      </c>
      <c r="BG195" s="56">
        <f t="shared" si="506"/>
        <v>0.63346134016710387</v>
      </c>
      <c r="BH195" s="56">
        <f t="shared" si="506"/>
        <v>0.62791328106608069</v>
      </c>
      <c r="BI195" s="56">
        <f t="shared" ref="BI195:BL196" si="507">BI139</f>
        <v>0.66331865244491683</v>
      </c>
      <c r="BJ195" s="56">
        <f t="shared" si="507"/>
        <v>0.63797467918768269</v>
      </c>
      <c r="BK195" s="56">
        <f t="shared" si="507"/>
        <v>0.72450745902153946</v>
      </c>
      <c r="BL195" s="56">
        <f t="shared" si="507"/>
        <v>0.74308945094208767</v>
      </c>
      <c r="BM195" s="56">
        <f t="shared" ref="BM195:BQ196" si="508">BM139</f>
        <v>0.80103683312788432</v>
      </c>
      <c r="BN195" s="56">
        <f t="shared" si="508"/>
        <v>0.84737847294829438</v>
      </c>
      <c r="BO195" s="56">
        <f t="shared" si="508"/>
        <v>0.7497721068970582</v>
      </c>
      <c r="BP195" s="56">
        <f t="shared" si="508"/>
        <v>0.76107249006712463</v>
      </c>
      <c r="BQ195" s="56">
        <f t="shared" si="508"/>
        <v>0.74864061234787527</v>
      </c>
      <c r="BR195" s="56">
        <f t="shared" ref="BR195:BU196" si="509">BR139</f>
        <v>0.71969284550943469</v>
      </c>
      <c r="BS195" s="56">
        <f t="shared" si="509"/>
        <v>0.73507639972143335</v>
      </c>
      <c r="BT195" s="56">
        <f t="shared" si="509"/>
        <v>0.81104558942486105</v>
      </c>
      <c r="BU195" s="56">
        <f t="shared" si="509"/>
        <v>0.59079946557617957</v>
      </c>
      <c r="BV195" s="56">
        <f t="shared" ref="BV195:BY196" si="510">BV139</f>
        <v>0.62513976270340588</v>
      </c>
      <c r="BW195" s="56">
        <f t="shared" si="510"/>
        <v>0.60286380189630862</v>
      </c>
      <c r="BX195" s="56">
        <f t="shared" si="510"/>
        <v>0.59688529055372996</v>
      </c>
      <c r="BY195" s="56">
        <f t="shared" si="510"/>
        <v>0.60393265411283359</v>
      </c>
      <c r="BZ195" s="56">
        <f>BZ139</f>
        <v>0.61063136402468587</v>
      </c>
      <c r="CA195" s="56"/>
      <c r="CB195"/>
      <c r="CC195"/>
      <c r="CD195" s="56"/>
      <c r="CE195" s="56"/>
      <c r="CF195" s="56"/>
      <c r="CH195" s="56">
        <f>CH139</f>
        <v>0.96148071878882702</v>
      </c>
    </row>
    <row r="196" spans="2:86">
      <c r="B196" s="17" t="str">
        <f>B140</f>
        <v>Secured Net Leverage</v>
      </c>
      <c r="D196" s="57">
        <f t="shared" ref="D196:AS196" si="511">D140</f>
        <v>-8.5667453840711838E-2</v>
      </c>
      <c r="E196" s="57">
        <f t="shared" si="511"/>
        <v>-0.1790206396354698</v>
      </c>
      <c r="F196" s="57">
        <f t="shared" si="511"/>
        <v>-0.35911545384417587</v>
      </c>
      <c r="G196" s="57">
        <f t="shared" si="511"/>
        <v>-0.55514132816147688</v>
      </c>
      <c r="H196" s="57">
        <f t="shared" si="511"/>
        <v>-0.44010975559349735</v>
      </c>
      <c r="I196" s="57">
        <f t="shared" si="511"/>
        <v>-2.838604316294098E-2</v>
      </c>
      <c r="J196" s="57">
        <f t="shared" si="511"/>
        <v>-9.8672685621883846E-2</v>
      </c>
      <c r="K196" s="57">
        <f t="shared" si="500"/>
        <v>-0.16367959695085704</v>
      </c>
      <c r="L196" s="57">
        <f t="shared" si="500"/>
        <v>-0.16386231081739297</v>
      </c>
      <c r="M196" s="57">
        <f t="shared" si="500"/>
        <v>-0.29122883801984129</v>
      </c>
      <c r="N196" s="57">
        <f t="shared" si="501"/>
        <v>5.0028231455662618E-2</v>
      </c>
      <c r="O196" s="57">
        <f t="shared" si="501"/>
        <v>0.41686263375431037</v>
      </c>
      <c r="P196" s="57">
        <f t="shared" si="501"/>
        <v>0.4792971297687329</v>
      </c>
      <c r="Q196" s="57">
        <f t="shared" si="501"/>
        <v>0.66833396065966855</v>
      </c>
      <c r="R196" s="57">
        <f t="shared" si="502"/>
        <v>0.60367532596078577</v>
      </c>
      <c r="S196" s="57">
        <f t="shared" si="502"/>
        <v>0.530808747478557</v>
      </c>
      <c r="T196" s="57">
        <f>T140</f>
        <v>0.35729246723774527</v>
      </c>
      <c r="U196" s="57">
        <f t="shared" si="502"/>
        <v>0.35729246723774527</v>
      </c>
      <c r="V196" s="57"/>
      <c r="W196" s="57"/>
      <c r="X196" s="57"/>
      <c r="Y196" s="57"/>
      <c r="Z196" s="57">
        <f t="shared" si="511"/>
        <v>-0.35911545384417587</v>
      </c>
      <c r="AA196" s="57">
        <f t="shared" si="511"/>
        <v>-0.64539853156399507</v>
      </c>
      <c r="AB196" s="57">
        <f t="shared" si="511"/>
        <v>-0.5169388810586949</v>
      </c>
      <c r="AC196" s="57">
        <f t="shared" si="511"/>
        <v>-0.58791971487525796</v>
      </c>
      <c r="AD196" s="57">
        <f t="shared" si="511"/>
        <v>-0.55514132816147688</v>
      </c>
      <c r="AE196" s="57">
        <f t="shared" si="511"/>
        <v>-0.48680665485538166</v>
      </c>
      <c r="AF196" s="57">
        <f t="shared" si="511"/>
        <v>-0.43060992137953202</v>
      </c>
      <c r="AG196" s="57">
        <f t="shared" si="511"/>
        <v>-0.43397214122177713</v>
      </c>
      <c r="AH196" s="57">
        <f t="shared" si="511"/>
        <v>-0.44010975559349735</v>
      </c>
      <c r="AI196" s="57">
        <f t="shared" si="511"/>
        <v>-0.5780032607911868</v>
      </c>
      <c r="AJ196" s="57">
        <f t="shared" si="511"/>
        <v>-0.30968780403086787</v>
      </c>
      <c r="AK196" s="57">
        <f t="shared" si="511"/>
        <v>-0.13971192226654594</v>
      </c>
      <c r="AL196" s="57">
        <f t="shared" si="511"/>
        <v>-2.838604316294098E-2</v>
      </c>
      <c r="AM196" s="57">
        <f t="shared" si="511"/>
        <v>-8.3292444248363601E-2</v>
      </c>
      <c r="AN196" s="57">
        <f t="shared" si="511"/>
        <v>-3.187148858083589E-2</v>
      </c>
      <c r="AO196" s="57">
        <f t="shared" si="511"/>
        <v>-8.1805886614762409E-3</v>
      </c>
      <c r="AP196" s="57">
        <f t="shared" si="511"/>
        <v>-9.8672685621883846E-2</v>
      </c>
      <c r="AQ196" s="57">
        <f t="shared" si="511"/>
        <v>-7.9471103307971178E-2</v>
      </c>
      <c r="AR196" s="57">
        <f t="shared" si="511"/>
        <v>-5.9861199924264086E-2</v>
      </c>
      <c r="AS196" s="57">
        <f t="shared" si="511"/>
        <v>-0.11605618042318563</v>
      </c>
      <c r="AT196" s="57">
        <f t="shared" si="503"/>
        <v>-0.16367959695085704</v>
      </c>
      <c r="AU196" s="57">
        <f t="shared" si="503"/>
        <v>-0.17565094681596607</v>
      </c>
      <c r="AV196" s="57">
        <f t="shared" si="503"/>
        <v>-9.311406243273751E-2</v>
      </c>
      <c r="AW196" s="57">
        <f t="shared" si="503"/>
        <v>-0.11911248994786658</v>
      </c>
      <c r="AX196" s="57">
        <f t="shared" si="503"/>
        <v>-0.29122883801984129</v>
      </c>
      <c r="AY196" s="57">
        <f t="shared" si="504"/>
        <v>0.45257186081104761</v>
      </c>
      <c r="AZ196" s="57">
        <f t="shared" si="504"/>
        <v>0.33060855144407897</v>
      </c>
      <c r="BA196" s="57">
        <f t="shared" si="504"/>
        <v>-2.0819154669997154E-2</v>
      </c>
      <c r="BB196" s="57">
        <f t="shared" si="505"/>
        <v>5.0028231455662618E-2</v>
      </c>
      <c r="BC196" s="57">
        <f t="shared" si="505"/>
        <v>5.1210488937596374E-2</v>
      </c>
      <c r="BD196" s="57">
        <f t="shared" si="505"/>
        <v>0.19446698956812369</v>
      </c>
      <c r="BE196" s="57">
        <f t="shared" si="506"/>
        <v>0.457639784195702</v>
      </c>
      <c r="BF196" s="57">
        <f t="shared" si="506"/>
        <v>0.41686263375431037</v>
      </c>
      <c r="BG196" s="57">
        <f t="shared" si="506"/>
        <v>0.46251535323820642</v>
      </c>
      <c r="BH196" s="57">
        <f t="shared" si="506"/>
        <v>0.3788906168629661</v>
      </c>
      <c r="BI196" s="57">
        <f t="shared" si="507"/>
        <v>0.49265412047074481</v>
      </c>
      <c r="BJ196" s="57">
        <f t="shared" si="507"/>
        <v>0.4792971297687329</v>
      </c>
      <c r="BK196" s="57">
        <f t="shared" si="507"/>
        <v>0.56490794161115576</v>
      </c>
      <c r="BL196" s="57">
        <f t="shared" si="507"/>
        <v>0.62656719029056995</v>
      </c>
      <c r="BM196" s="57">
        <f t="shared" si="508"/>
        <v>0.62224025098277835</v>
      </c>
      <c r="BN196" s="57">
        <f t="shared" si="508"/>
        <v>0.66833396065966855</v>
      </c>
      <c r="BO196" s="57">
        <f t="shared" si="508"/>
        <v>0.53197087019715283</v>
      </c>
      <c r="BP196" s="57">
        <f t="shared" si="508"/>
        <v>0.62959503511315185</v>
      </c>
      <c r="BQ196" s="57">
        <f t="shared" si="508"/>
        <v>0.54366675945206644</v>
      </c>
      <c r="BR196" s="57">
        <f t="shared" si="509"/>
        <v>0.60367532596078577</v>
      </c>
      <c r="BS196" s="57">
        <f t="shared" si="509"/>
        <v>0.6657570928197496</v>
      </c>
      <c r="BT196" s="57">
        <f t="shared" si="509"/>
        <v>0.75579325663929842</v>
      </c>
      <c r="BU196" s="57">
        <f t="shared" si="509"/>
        <v>0.51489107414771085</v>
      </c>
      <c r="BV196" s="57">
        <f t="shared" si="510"/>
        <v>0.530808747478557</v>
      </c>
      <c r="BW196" s="57">
        <f t="shared" si="510"/>
        <v>0.49495416300845374</v>
      </c>
      <c r="BX196" s="57">
        <f t="shared" si="510"/>
        <v>0.4798842045347404</v>
      </c>
      <c r="BY196" s="57">
        <f t="shared" si="510"/>
        <v>0.4720359553027984</v>
      </c>
      <c r="BZ196" s="57">
        <f>BZ140</f>
        <v>0.35729246723774527</v>
      </c>
      <c r="CA196" s="57"/>
      <c r="CB196"/>
      <c r="CC196"/>
      <c r="CD196" s="57"/>
      <c r="CE196" s="57"/>
      <c r="CF196" s="57"/>
      <c r="CH196" s="57">
        <f>CH140</f>
        <v>0.12566437347567991</v>
      </c>
    </row>
    <row r="197" spans="2:86"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/>
      <c r="CC197"/>
      <c r="CD197" s="57"/>
      <c r="CE197" s="57"/>
      <c r="CF197" s="57"/>
      <c r="CH197" s="57"/>
    </row>
    <row r="198" spans="2:86" s="20" customFormat="1">
      <c r="B198" s="20" t="str">
        <f>B142</f>
        <v>Total Net Leverage</v>
      </c>
      <c r="D198" s="56">
        <f t="shared" ref="D198:AS198" si="512">D142</f>
        <v>2.9868372542572166</v>
      </c>
      <c r="E198" s="56">
        <f t="shared" si="512"/>
        <v>2.92268562415462</v>
      </c>
      <c r="F198" s="56">
        <f t="shared" si="512"/>
        <v>2.5009299734293307</v>
      </c>
      <c r="G198" s="56">
        <f t="shared" si="512"/>
        <v>2.1743921272851345</v>
      </c>
      <c r="H198" s="56">
        <f t="shared" si="512"/>
        <v>2.1252173968338752</v>
      </c>
      <c r="I198" s="56">
        <f t="shared" si="512"/>
        <v>2.6134797852974403</v>
      </c>
      <c r="J198" s="56">
        <f t="shared" si="512"/>
        <v>2.7246664869963615</v>
      </c>
      <c r="K198" s="56">
        <f t="shared" ref="K198:M199" si="513">K142</f>
        <v>3.3535416235602455</v>
      </c>
      <c r="L198" s="56">
        <f t="shared" si="513"/>
        <v>3.287781120393098</v>
      </c>
      <c r="M198" s="56">
        <f t="shared" si="513"/>
        <v>4.2972241718999458</v>
      </c>
      <c r="N198" s="56">
        <f t="shared" ref="N198:Q199" si="514">N142</f>
        <v>3.203289863145125</v>
      </c>
      <c r="O198" s="56">
        <f t="shared" si="514"/>
        <v>3.2187231109675825</v>
      </c>
      <c r="P198" s="56">
        <f t="shared" si="514"/>
        <v>2.7586727309960541</v>
      </c>
      <c r="Q198" s="56">
        <f t="shared" si="514"/>
        <v>2.971105349002551</v>
      </c>
      <c r="R198" s="56">
        <f t="shared" ref="R198:U199" si="515">R142</f>
        <v>2.3018162921904386</v>
      </c>
      <c r="S198" s="56">
        <f t="shared" si="515"/>
        <v>1.9413291885477442</v>
      </c>
      <c r="T198" s="56">
        <f>T142</f>
        <v>1.3588856380434675</v>
      </c>
      <c r="U198" s="56">
        <f t="shared" si="515"/>
        <v>1.3588856380434675</v>
      </c>
      <c r="V198" s="56"/>
      <c r="W198" s="56"/>
      <c r="X198" s="56"/>
      <c r="Y198" s="56"/>
      <c r="Z198" s="56">
        <f t="shared" si="512"/>
        <v>2.5009299734293307</v>
      </c>
      <c r="AA198" s="56">
        <f t="shared" si="512"/>
        <v>2.4072388729692169</v>
      </c>
      <c r="AB198" s="56">
        <f t="shared" si="512"/>
        <v>2.4220961495185418</v>
      </c>
      <c r="AC198" s="56">
        <f t="shared" si="512"/>
        <v>2.1625586193959858</v>
      </c>
      <c r="AD198" s="56">
        <f t="shared" si="512"/>
        <v>2.1743921272851345</v>
      </c>
      <c r="AE198" s="56">
        <f t="shared" si="512"/>
        <v>2.0178532115862415</v>
      </c>
      <c r="AF198" s="56">
        <f t="shared" si="512"/>
        <v>2.1082455181595807</v>
      </c>
      <c r="AG198" s="56">
        <f t="shared" si="512"/>
        <v>2.2161744103705661</v>
      </c>
      <c r="AH198" s="56">
        <f t="shared" si="512"/>
        <v>2.1252173968338752</v>
      </c>
      <c r="AI198" s="56">
        <f t="shared" si="512"/>
        <v>2.2221818841065986</v>
      </c>
      <c r="AJ198" s="56">
        <f t="shared" si="512"/>
        <v>2.3028804105639531</v>
      </c>
      <c r="AK198" s="56">
        <f t="shared" si="512"/>
        <v>2.5028926277649512</v>
      </c>
      <c r="AL198" s="56">
        <f t="shared" si="512"/>
        <v>2.6134797852974403</v>
      </c>
      <c r="AM198" s="56">
        <f t="shared" si="512"/>
        <v>2.5056188186919375</v>
      </c>
      <c r="AN198" s="56">
        <f t="shared" si="512"/>
        <v>2.3805569781468154</v>
      </c>
      <c r="AO198" s="56">
        <f t="shared" si="512"/>
        <v>2.8096816085601679</v>
      </c>
      <c r="AP198" s="56">
        <f t="shared" si="512"/>
        <v>2.7246664869963615</v>
      </c>
      <c r="AQ198" s="56">
        <f t="shared" si="512"/>
        <v>2.7584061639614066</v>
      </c>
      <c r="AR198" s="56">
        <f t="shared" si="512"/>
        <v>2.9895189308958994</v>
      </c>
      <c r="AS198" s="56">
        <f t="shared" si="512"/>
        <v>3.0742777461201269</v>
      </c>
      <c r="AT198" s="56">
        <f t="shared" ref="AT198:AX199" si="516">AT142</f>
        <v>3.3535416235602455</v>
      </c>
      <c r="AU198" s="56">
        <f t="shared" si="516"/>
        <v>3.6628602251722224</v>
      </c>
      <c r="AV198" s="56">
        <f t="shared" si="516"/>
        <v>4.260016786710688</v>
      </c>
      <c r="AW198" s="56">
        <f t="shared" si="516"/>
        <v>4.1965117766221223</v>
      </c>
      <c r="AX198" s="56">
        <f t="shared" si="516"/>
        <v>4.2972241718999458</v>
      </c>
      <c r="AY198" s="56">
        <f t="shared" ref="AY198:BA199" si="517">AY142</f>
        <v>3.4337320392211343</v>
      </c>
      <c r="AZ198" s="56">
        <f t="shared" si="517"/>
        <v>3.3041392833949872</v>
      </c>
      <c r="BA198" s="56">
        <f t="shared" si="517"/>
        <v>3.0726779538320481</v>
      </c>
      <c r="BB198" s="56">
        <f t="shared" ref="BB198:BD199" si="518">BB142</f>
        <v>3.203289863145125</v>
      </c>
      <c r="BC198" s="56">
        <f t="shared" si="518"/>
        <v>2.7384684594616959</v>
      </c>
      <c r="BD198" s="56">
        <f t="shared" si="518"/>
        <v>2.9084696069689326</v>
      </c>
      <c r="BE198" s="56">
        <f t="shared" ref="BE198:BH199" si="519">BE142</f>
        <v>3.0268071967612933</v>
      </c>
      <c r="BF198" s="56">
        <f t="shared" si="519"/>
        <v>3.2187231109675825</v>
      </c>
      <c r="BG198" s="56">
        <f t="shared" si="519"/>
        <v>3.0255754621135154</v>
      </c>
      <c r="BH198" s="56">
        <f t="shared" si="519"/>
        <v>2.9648105609336768</v>
      </c>
      <c r="BI198" s="56">
        <f t="shared" ref="BI198:BL199" si="520">BI142</f>
        <v>2.9698822062553836</v>
      </c>
      <c r="BJ198" s="56">
        <f t="shared" si="520"/>
        <v>2.7586727309960541</v>
      </c>
      <c r="BK198" s="56">
        <f t="shared" si="520"/>
        <v>2.5192042509128152</v>
      </c>
      <c r="BL198" s="56">
        <f t="shared" si="520"/>
        <v>2.9575007210592359</v>
      </c>
      <c r="BM198" s="56">
        <f t="shared" ref="BM198:BQ199" si="521">BM142</f>
        <v>3.0428975276819497</v>
      </c>
      <c r="BN198" s="56">
        <f t="shared" si="521"/>
        <v>2.971105349002551</v>
      </c>
      <c r="BO198" s="56">
        <f t="shared" si="521"/>
        <v>2.6300003545003823</v>
      </c>
      <c r="BP198" s="56">
        <f t="shared" si="521"/>
        <v>2.6317793296297993</v>
      </c>
      <c r="BQ198" s="56">
        <f t="shared" si="521"/>
        <v>2.5202995855853447</v>
      </c>
      <c r="BR198" s="56">
        <f t="shared" ref="BR198:BU199" si="522">BR142</f>
        <v>2.3018162921904386</v>
      </c>
      <c r="BS198" s="56">
        <f t="shared" si="522"/>
        <v>2.197511124224667</v>
      </c>
      <c r="BT198" s="56">
        <f t="shared" si="522"/>
        <v>2.2465590914144835</v>
      </c>
      <c r="BU198" s="56">
        <f t="shared" si="522"/>
        <v>1.8366725522530221</v>
      </c>
      <c r="BV198" s="56">
        <f t="shared" ref="BV198:BY199" si="523">BV142</f>
        <v>1.9413291885477442</v>
      </c>
      <c r="BW198" s="56">
        <f t="shared" si="523"/>
        <v>1.7394123676801316</v>
      </c>
      <c r="BX198" s="56">
        <f t="shared" si="523"/>
        <v>1.6998563032751679</v>
      </c>
      <c r="BY198" s="56">
        <f t="shared" si="523"/>
        <v>1.5657618681393113</v>
      </c>
      <c r="BZ198" s="56">
        <f>BZ142</f>
        <v>1.3588856380434675</v>
      </c>
      <c r="CA198" s="56"/>
      <c r="CB198"/>
      <c r="CC198"/>
      <c r="CD198" s="56"/>
      <c r="CE198" s="56"/>
      <c r="CF198" s="56"/>
      <c r="CH198" s="56">
        <f>CH142</f>
        <v>3.4907510820465868</v>
      </c>
    </row>
    <row r="199" spans="2:86">
      <c r="B199" s="17" t="str">
        <f>B143</f>
        <v xml:space="preserve">Total Gross Leverage </v>
      </c>
      <c r="D199" s="57">
        <f t="shared" ref="D199:AS199" si="524">D143</f>
        <v>3.0725047080979286</v>
      </c>
      <c r="E199" s="57">
        <f t="shared" si="524"/>
        <v>3.1017062637900894</v>
      </c>
      <c r="F199" s="57">
        <f t="shared" si="524"/>
        <v>2.8600454272735063</v>
      </c>
      <c r="G199" s="57">
        <f t="shared" si="524"/>
        <v>2.7295334554466115</v>
      </c>
      <c r="H199" s="57">
        <f t="shared" si="524"/>
        <v>2.5653271524273729</v>
      </c>
      <c r="I199" s="57">
        <f t="shared" si="524"/>
        <v>2.9399441586036139</v>
      </c>
      <c r="J199" s="57">
        <f t="shared" si="524"/>
        <v>3.0158811705520372</v>
      </c>
      <c r="K199" s="57">
        <f t="shared" si="513"/>
        <v>3.7496050630749576</v>
      </c>
      <c r="L199" s="57">
        <f t="shared" si="513"/>
        <v>3.6838459772678021</v>
      </c>
      <c r="M199" s="57">
        <f t="shared" si="513"/>
        <v>4.781077146234745</v>
      </c>
      <c r="N199" s="57">
        <f t="shared" si="514"/>
        <v>3.9864933408154308</v>
      </c>
      <c r="O199" s="57">
        <f t="shared" si="514"/>
        <v>3.5237013613300765</v>
      </c>
      <c r="P199" s="57">
        <f t="shared" si="514"/>
        <v>2.917350280415004</v>
      </c>
      <c r="Q199" s="57">
        <f t="shared" si="514"/>
        <v>3.1501498612911769</v>
      </c>
      <c r="R199" s="57">
        <f t="shared" si="515"/>
        <v>2.4178338117390874</v>
      </c>
      <c r="S199" s="57">
        <f t="shared" si="515"/>
        <v>2.035660203772593</v>
      </c>
      <c r="T199" s="57">
        <f>T143</f>
        <v>1.6122245348304081</v>
      </c>
      <c r="U199" s="57">
        <f t="shared" si="515"/>
        <v>1.6122245348304081</v>
      </c>
      <c r="V199" s="57"/>
      <c r="W199" s="57"/>
      <c r="X199" s="57"/>
      <c r="Y199" s="57"/>
      <c r="Z199" s="57">
        <f t="shared" si="524"/>
        <v>2.8600454272735063</v>
      </c>
      <c r="AA199" s="57">
        <f t="shared" si="524"/>
        <v>3.0526374045332121</v>
      </c>
      <c r="AB199" s="57">
        <f t="shared" si="524"/>
        <v>2.9390350305772368</v>
      </c>
      <c r="AC199" s="57">
        <f t="shared" si="524"/>
        <v>2.7504783342712438</v>
      </c>
      <c r="AD199" s="57">
        <f t="shared" si="524"/>
        <v>2.7295334554466115</v>
      </c>
      <c r="AE199" s="57">
        <f t="shared" si="524"/>
        <v>2.5046598664416231</v>
      </c>
      <c r="AF199" s="57">
        <f t="shared" si="524"/>
        <v>2.538855439539113</v>
      </c>
      <c r="AG199" s="57">
        <f t="shared" si="524"/>
        <v>2.6501465515923432</v>
      </c>
      <c r="AH199" s="57">
        <f t="shared" si="524"/>
        <v>2.5653271524273729</v>
      </c>
      <c r="AI199" s="57">
        <f t="shared" si="524"/>
        <v>2.9311045986346027</v>
      </c>
      <c r="AJ199" s="57">
        <f t="shared" si="524"/>
        <v>2.7755040899069101</v>
      </c>
      <c r="AK199" s="57">
        <f t="shared" si="524"/>
        <v>2.8119159370906885</v>
      </c>
      <c r="AL199" s="57">
        <f t="shared" si="524"/>
        <v>2.9399441586036139</v>
      </c>
      <c r="AM199" s="57">
        <f t="shared" si="524"/>
        <v>2.8663987436908784</v>
      </c>
      <c r="AN199" s="57">
        <f t="shared" si="524"/>
        <v>2.6925666039687353</v>
      </c>
      <c r="AO199" s="57">
        <f t="shared" si="524"/>
        <v>3.1000544567929862</v>
      </c>
      <c r="AP199" s="57">
        <f t="shared" si="524"/>
        <v>3.0158811705520372</v>
      </c>
      <c r="AQ199" s="57">
        <f t="shared" si="524"/>
        <v>3.0370498183060635</v>
      </c>
      <c r="AR199" s="57">
        <f t="shared" si="524"/>
        <v>3.2517392430141281</v>
      </c>
      <c r="AS199" s="57">
        <f t="shared" si="524"/>
        <v>3.3827375923460283</v>
      </c>
      <c r="AT199" s="57">
        <f t="shared" si="516"/>
        <v>3.7496050630749576</v>
      </c>
      <c r="AU199" s="57">
        <f t="shared" si="516"/>
        <v>4.0830410495043754</v>
      </c>
      <c r="AV199" s="57">
        <f t="shared" si="516"/>
        <v>4.6201309474628172</v>
      </c>
      <c r="AW199" s="57">
        <f t="shared" si="516"/>
        <v>4.5841592485910345</v>
      </c>
      <c r="AX199" s="57">
        <f t="shared" si="516"/>
        <v>4.781077146234745</v>
      </c>
      <c r="AY199" s="57">
        <f t="shared" si="517"/>
        <v>3.8203057941919023</v>
      </c>
      <c r="AZ199" s="57">
        <f t="shared" si="517"/>
        <v>3.8209276707529676</v>
      </c>
      <c r="BA199" s="57">
        <f t="shared" si="517"/>
        <v>3.9079919901888753</v>
      </c>
      <c r="BB199" s="57">
        <f t="shared" si="518"/>
        <v>3.9864933408154308</v>
      </c>
      <c r="BC199" s="57">
        <f t="shared" si="518"/>
        <v>3.413881084471095</v>
      </c>
      <c r="BD199" s="57">
        <f t="shared" si="518"/>
        <v>3.3627834551581244</v>
      </c>
      <c r="BE199" s="57">
        <f t="shared" si="519"/>
        <v>3.2417574747283968</v>
      </c>
      <c r="BF199" s="57">
        <f t="shared" si="519"/>
        <v>3.5237013613300765</v>
      </c>
      <c r="BG199" s="57">
        <f t="shared" si="519"/>
        <v>3.1965214490424128</v>
      </c>
      <c r="BH199" s="57">
        <f t="shared" si="519"/>
        <v>3.2138332251367911</v>
      </c>
      <c r="BI199" s="57">
        <f t="shared" si="520"/>
        <v>3.1405467382295553</v>
      </c>
      <c r="BJ199" s="57">
        <f t="shared" si="520"/>
        <v>2.917350280415004</v>
      </c>
      <c r="BK199" s="57">
        <f t="shared" si="520"/>
        <v>2.6788037683231987</v>
      </c>
      <c r="BL199" s="57">
        <f t="shared" si="520"/>
        <v>3.0740229817107534</v>
      </c>
      <c r="BM199" s="57">
        <f t="shared" si="521"/>
        <v>3.2216941098270553</v>
      </c>
      <c r="BN199" s="57">
        <f t="shared" si="521"/>
        <v>3.1501498612911769</v>
      </c>
      <c r="BO199" s="57">
        <f t="shared" si="521"/>
        <v>2.8478015912002879</v>
      </c>
      <c r="BP199" s="57">
        <f t="shared" si="521"/>
        <v>2.7632567845837723</v>
      </c>
      <c r="BQ199" s="57">
        <f t="shared" si="521"/>
        <v>2.7252734384811537</v>
      </c>
      <c r="BR199" s="57">
        <f t="shared" si="522"/>
        <v>2.4178338117390874</v>
      </c>
      <c r="BS199" s="57">
        <f t="shared" si="522"/>
        <v>2.2668304311263507</v>
      </c>
      <c r="BT199" s="57">
        <f t="shared" si="522"/>
        <v>2.3018114242000456</v>
      </c>
      <c r="BU199" s="57">
        <f t="shared" si="522"/>
        <v>1.9125809436814909</v>
      </c>
      <c r="BV199" s="57">
        <f t="shared" si="523"/>
        <v>2.035660203772593</v>
      </c>
      <c r="BW199" s="57">
        <f t="shared" si="523"/>
        <v>1.8473220065679865</v>
      </c>
      <c r="BX199" s="57">
        <f t="shared" si="523"/>
        <v>1.8168573892941575</v>
      </c>
      <c r="BY199" s="57">
        <f t="shared" si="523"/>
        <v>1.6976585669493465</v>
      </c>
      <c r="BZ199" s="57">
        <f>BZ143</f>
        <v>1.6122245348304081</v>
      </c>
      <c r="CA199" s="57"/>
      <c r="CB199"/>
      <c r="CC199"/>
      <c r="CD199" s="57"/>
      <c r="CE199" s="57"/>
      <c r="CF199" s="57"/>
      <c r="CH199" s="57">
        <f>CH143</f>
        <v>4.3265674273597341</v>
      </c>
    </row>
    <row r="200" spans="2:86"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/>
      <c r="CC200"/>
      <c r="CD200" s="57"/>
      <c r="CE200" s="57"/>
      <c r="CF200" s="57"/>
      <c r="CH200" s="57"/>
    </row>
    <row r="201" spans="2:86" s="20" customFormat="1">
      <c r="B201" s="20" t="str">
        <f t="shared" ref="B201:AS201" si="525">+B145</f>
        <v>EBITDA - Capex / Interest</v>
      </c>
      <c r="C201" s="20">
        <f t="shared" si="525"/>
        <v>0</v>
      </c>
      <c r="D201" s="56">
        <f t="shared" si="525"/>
        <v>-3.5367446168094467</v>
      </c>
      <c r="E201" s="56">
        <f t="shared" si="525"/>
        <v>2.2332467853610285</v>
      </c>
      <c r="F201" s="56">
        <f t="shared" si="525"/>
        <v>3.0075715658580622</v>
      </c>
      <c r="G201" s="56">
        <f t="shared" si="525"/>
        <v>2.7583997873471557</v>
      </c>
      <c r="H201" s="56">
        <f t="shared" si="525"/>
        <v>3.0905952135037036</v>
      </c>
      <c r="I201" s="56">
        <f t="shared" si="525"/>
        <v>2.1500456065673457</v>
      </c>
      <c r="J201" s="56">
        <f t="shared" si="525"/>
        <v>-0.47530990677184715</v>
      </c>
      <c r="K201" s="56">
        <f t="shared" ref="K201:M202" si="526">+K145</f>
        <v>0.84505347290025201</v>
      </c>
      <c r="L201" s="56">
        <f t="shared" si="526"/>
        <v>0.84505347290025201</v>
      </c>
      <c r="M201" s="56">
        <f t="shared" si="526"/>
        <v>-0.55576269183810112</v>
      </c>
      <c r="N201" s="56">
        <f t="shared" ref="N201:Q202" si="527">+N145</f>
        <v>1.3617048357622759</v>
      </c>
      <c r="O201" s="56">
        <f t="shared" si="527"/>
        <v>1.7814682862512974</v>
      </c>
      <c r="P201" s="56">
        <f t="shared" si="527"/>
        <v>1.1126622488372799</v>
      </c>
      <c r="Q201" s="56">
        <f t="shared" si="527"/>
        <v>4.9204849535825872</v>
      </c>
      <c r="R201" s="56">
        <f t="shared" ref="R201:U202" si="528">+R145</f>
        <v>2.6252825050084483</v>
      </c>
      <c r="S201" s="56">
        <f t="shared" si="528"/>
        <v>2.5250746540837494</v>
      </c>
      <c r="T201" s="56">
        <f>+T145</f>
        <v>5.0288024933501703</v>
      </c>
      <c r="U201" s="56">
        <f t="shared" si="528"/>
        <v>5.0288024933501703</v>
      </c>
      <c r="V201" s="56"/>
      <c r="W201" s="56"/>
      <c r="X201" s="56"/>
      <c r="Y201" s="56"/>
      <c r="Z201" s="56">
        <f t="shared" si="525"/>
        <v>3.0075715658580622</v>
      </c>
      <c r="AA201" s="56">
        <f t="shared" si="525"/>
        <v>2.8916753141934741</v>
      </c>
      <c r="AB201" s="56">
        <f t="shared" si="525"/>
        <v>2.9093514773244755</v>
      </c>
      <c r="AC201" s="56">
        <f t="shared" si="525"/>
        <v>3.7497795171425423</v>
      </c>
      <c r="AD201" s="56">
        <f t="shared" si="525"/>
        <v>2.7583997873471557</v>
      </c>
      <c r="AE201" s="56">
        <f t="shared" si="525"/>
        <v>3.1909238249594813</v>
      </c>
      <c r="AF201" s="56">
        <f t="shared" si="525"/>
        <v>3.5295669129482983</v>
      </c>
      <c r="AG201" s="56">
        <f t="shared" si="525"/>
        <v>3.2465835628623037</v>
      </c>
      <c r="AH201" s="56">
        <f t="shared" si="525"/>
        <v>3.0905952135037036</v>
      </c>
      <c r="AI201" s="56">
        <f t="shared" si="525"/>
        <v>1.1284540386233057</v>
      </c>
      <c r="AJ201" s="56">
        <f t="shared" si="525"/>
        <v>0.90526485272624535</v>
      </c>
      <c r="AK201" s="56">
        <f t="shared" si="525"/>
        <v>0.91618178680501283</v>
      </c>
      <c r="AL201" s="56">
        <f t="shared" si="525"/>
        <v>2.1500456065673457</v>
      </c>
      <c r="AM201" s="56">
        <f t="shared" si="525"/>
        <v>2.7038853001017893</v>
      </c>
      <c r="AN201" s="56">
        <f t="shared" si="525"/>
        <v>2.6430565869260541</v>
      </c>
      <c r="AO201" s="56">
        <f t="shared" si="525"/>
        <v>-0.54301360727805303</v>
      </c>
      <c r="AP201" s="56">
        <f t="shared" si="525"/>
        <v>-0.47530990677184715</v>
      </c>
      <c r="AQ201" s="56">
        <f t="shared" si="525"/>
        <v>0.23940833246330201</v>
      </c>
      <c r="AR201" s="56">
        <f t="shared" si="525"/>
        <v>0.19225739280517212</v>
      </c>
      <c r="AS201" s="56">
        <f t="shared" si="525"/>
        <v>1.1853349338435994</v>
      </c>
      <c r="AT201" s="56">
        <f t="shared" ref="AT201:AX202" si="529">+AT145</f>
        <v>0.84505347290025201</v>
      </c>
      <c r="AU201" s="56">
        <f t="shared" si="529"/>
        <v>-0.14146235376243463</v>
      </c>
      <c r="AV201" s="56">
        <f t="shared" si="529"/>
        <v>-1.0123181383537467</v>
      </c>
      <c r="AW201" s="56">
        <f t="shared" si="529"/>
        <v>-0.93450853292654856</v>
      </c>
      <c r="AX201" s="56">
        <f t="shared" si="529"/>
        <v>-0.55576269183810112</v>
      </c>
      <c r="AY201" s="56">
        <f t="shared" ref="AY201:BA202" si="530">+AY145</f>
        <v>-4.0637598074516341E-2</v>
      </c>
      <c r="AZ201" s="56">
        <f t="shared" si="530"/>
        <v>0.79296175197718755</v>
      </c>
      <c r="BA201" s="56">
        <f t="shared" si="530"/>
        <v>1.0926623849577546</v>
      </c>
      <c r="BB201" s="56">
        <f t="shared" ref="BB201:BD202" si="531">+BB145</f>
        <v>1.3617048357622759</v>
      </c>
      <c r="BC201" s="56">
        <f t="shared" si="531"/>
        <v>1.9935337194962506</v>
      </c>
      <c r="BD201" s="56">
        <f t="shared" si="531"/>
        <v>2.6193336771141413</v>
      </c>
      <c r="BE201" s="56">
        <f t="shared" ref="BE201:BH202" si="532">+BE145</f>
        <v>3.0012431809201803</v>
      </c>
      <c r="BF201" s="56">
        <f t="shared" si="532"/>
        <v>1.7814682862512974</v>
      </c>
      <c r="BG201" s="56">
        <f t="shared" si="532"/>
        <v>1.926083918120141</v>
      </c>
      <c r="BH201" s="56">
        <f t="shared" si="532"/>
        <v>1.7616890268321987</v>
      </c>
      <c r="BI201" s="56">
        <f t="shared" ref="BI201:BL202" si="533">+BI145</f>
        <v>0.41626893422777894</v>
      </c>
      <c r="BJ201" s="56">
        <f t="shared" si="533"/>
        <v>1.1126622488372799</v>
      </c>
      <c r="BK201" s="56">
        <f t="shared" si="533"/>
        <v>1.3938467787044571</v>
      </c>
      <c r="BL201" s="56">
        <f t="shared" si="533"/>
        <v>1.1082329262440223</v>
      </c>
      <c r="BM201" s="56">
        <f t="shared" ref="BM201:BQ202" si="534">+BM145</f>
        <v>2.6685379931540116</v>
      </c>
      <c r="BN201" s="56">
        <f t="shared" si="534"/>
        <v>4.9204849535825872</v>
      </c>
      <c r="BO201" s="56">
        <f t="shared" si="534"/>
        <v>4.5622914911875094</v>
      </c>
      <c r="BP201" s="56">
        <f t="shared" si="534"/>
        <v>3.0581409145022462</v>
      </c>
      <c r="BQ201" s="56">
        <f t="shared" si="534"/>
        <v>2.9756210668987588</v>
      </c>
      <c r="BR201" s="56">
        <f t="shared" ref="BR201:BU202" si="535">+BR145</f>
        <v>2.6252825050084483</v>
      </c>
      <c r="BS201" s="56">
        <f t="shared" si="535"/>
        <v>2.1121052172005728</v>
      </c>
      <c r="BT201" s="56">
        <f t="shared" si="535"/>
        <v>2.2788152869569878</v>
      </c>
      <c r="BU201" s="56">
        <f t="shared" si="535"/>
        <v>2.5789630161578829</v>
      </c>
      <c r="BV201" s="56">
        <f t="shared" ref="BV201:BY202" si="536">+BV145</f>
        <v>2.5250746540837494</v>
      </c>
      <c r="BW201" s="56">
        <f t="shared" si="536"/>
        <v>3.2936842115783782</v>
      </c>
      <c r="BX201" s="56">
        <f t="shared" si="536"/>
        <v>4.8898676266268515</v>
      </c>
      <c r="BY201" s="56">
        <f t="shared" si="536"/>
        <v>5.1989596047160234</v>
      </c>
      <c r="BZ201" s="56">
        <f>+BZ145</f>
        <v>5.0288024933501703</v>
      </c>
      <c r="CA201" s="56"/>
      <c r="CB201" s="893"/>
      <c r="CC201" s="893"/>
      <c r="CD201" s="56"/>
      <c r="CE201" s="56"/>
      <c r="CF201" s="56"/>
      <c r="CH201" s="56">
        <f>+CH145</f>
        <v>1.1493549589519334</v>
      </c>
    </row>
    <row r="202" spans="2:86">
      <c r="B202" s="17" t="str">
        <f t="shared" ref="B202:AS202" si="537">+B146</f>
        <v>EBITDA/Interest</v>
      </c>
      <c r="C202" s="17">
        <f t="shared" si="537"/>
        <v>0</v>
      </c>
      <c r="D202" s="57">
        <f t="shared" si="537"/>
        <v>9.2946515397082656</v>
      </c>
      <c r="E202" s="57">
        <f t="shared" si="537"/>
        <v>6.8784928288822949</v>
      </c>
      <c r="F202" s="57">
        <f t="shared" si="537"/>
        <v>6.7951891435394156</v>
      </c>
      <c r="G202" s="57">
        <f t="shared" si="537"/>
        <v>7.4011164274322168</v>
      </c>
      <c r="H202" s="57">
        <f t="shared" si="537"/>
        <v>9.2813468291675267</v>
      </c>
      <c r="I202" s="57">
        <f t="shared" si="537"/>
        <v>10.388628762541806</v>
      </c>
      <c r="J202" s="57">
        <f t="shared" si="537"/>
        <v>6.0821637127343511</v>
      </c>
      <c r="K202" s="57">
        <f t="shared" si="526"/>
        <v>6.9135351150064714</v>
      </c>
      <c r="L202" s="57">
        <f t="shared" si="526"/>
        <v>6.9135351150064714</v>
      </c>
      <c r="M202" s="57">
        <f t="shared" si="526"/>
        <v>3.4519305247403866</v>
      </c>
      <c r="N202" s="57">
        <f t="shared" si="527"/>
        <v>3.3734237633303938</v>
      </c>
      <c r="O202" s="57">
        <f t="shared" si="527"/>
        <v>6.471610514208769</v>
      </c>
      <c r="P202" s="57">
        <f t="shared" si="527"/>
        <v>4.4160789737666049</v>
      </c>
      <c r="Q202" s="57">
        <f t="shared" si="527"/>
        <v>10.723543569581272</v>
      </c>
      <c r="R202" s="57">
        <f t="shared" si="528"/>
        <v>6.338549724446219</v>
      </c>
      <c r="S202" s="57">
        <f t="shared" si="528"/>
        <v>5.9836900772755248</v>
      </c>
      <c r="T202" s="57">
        <f>+T146</f>
        <v>8.1455439426099581</v>
      </c>
      <c r="U202" s="57">
        <f t="shared" si="528"/>
        <v>8.1455439426099581</v>
      </c>
      <c r="V202" s="57"/>
      <c r="W202" s="57"/>
      <c r="X202" s="57"/>
      <c r="Y202" s="57"/>
      <c r="Z202" s="57">
        <f t="shared" si="537"/>
        <v>6.7951891435394156</v>
      </c>
      <c r="AA202" s="57">
        <f t="shared" si="537"/>
        <v>7.0313905223106188</v>
      </c>
      <c r="AB202" s="57">
        <f t="shared" si="537"/>
        <v>6.7850579946960972</v>
      </c>
      <c r="AC202" s="57">
        <f t="shared" si="537"/>
        <v>7.3462132069231618</v>
      </c>
      <c r="AD202" s="57">
        <f t="shared" si="537"/>
        <v>7.4011164274322168</v>
      </c>
      <c r="AE202" s="57">
        <f t="shared" si="537"/>
        <v>7.7300648298217176</v>
      </c>
      <c r="AF202" s="57">
        <f t="shared" si="537"/>
        <v>8.6561948608539652</v>
      </c>
      <c r="AG202" s="57">
        <f t="shared" si="537"/>
        <v>9.5535302510690894</v>
      </c>
      <c r="AH202" s="57">
        <f t="shared" si="537"/>
        <v>9.2813468291675267</v>
      </c>
      <c r="AI202" s="57">
        <f t="shared" si="537"/>
        <v>9.5950436956341463</v>
      </c>
      <c r="AJ202" s="57">
        <f t="shared" si="537"/>
        <v>9.578959485650909</v>
      </c>
      <c r="AK202" s="57">
        <f t="shared" si="537"/>
        <v>9.4021981197281583</v>
      </c>
      <c r="AL202" s="57">
        <f t="shared" si="537"/>
        <v>10.388628762541806</v>
      </c>
      <c r="AM202" s="57">
        <f t="shared" si="537"/>
        <v>10.627452751152624</v>
      </c>
      <c r="AN202" s="57">
        <f t="shared" si="537"/>
        <v>11.478381246002746</v>
      </c>
      <c r="AO202" s="57">
        <f t="shared" si="537"/>
        <v>11.342648712768804</v>
      </c>
      <c r="AP202" s="57">
        <f t="shared" si="537"/>
        <v>6.0821637127343511</v>
      </c>
      <c r="AQ202" s="57">
        <f t="shared" si="537"/>
        <v>5.6649413154948629</v>
      </c>
      <c r="AR202" s="57">
        <f t="shared" si="537"/>
        <v>5.4340283554599385</v>
      </c>
      <c r="AS202" s="57">
        <f t="shared" si="537"/>
        <v>5.1856156240111879</v>
      </c>
      <c r="AT202" s="57">
        <f t="shared" si="529"/>
        <v>6.9135351150064714</v>
      </c>
      <c r="AU202" s="57">
        <f t="shared" si="529"/>
        <v>4.5968045126171448</v>
      </c>
      <c r="AV202" s="57">
        <f t="shared" si="529"/>
        <v>4.3715739303298182</v>
      </c>
      <c r="AW202" s="57">
        <f t="shared" si="529"/>
        <v>4.0172773436525659</v>
      </c>
      <c r="AX202" s="57">
        <f t="shared" si="529"/>
        <v>3.4519305247403866</v>
      </c>
      <c r="AY202" s="57">
        <f t="shared" si="530"/>
        <v>3.1597241677951349</v>
      </c>
      <c r="AZ202" s="57">
        <f t="shared" si="530"/>
        <v>3.1378531065772801</v>
      </c>
      <c r="BA202" s="57">
        <f t="shared" si="530"/>
        <v>3.1659634793838172</v>
      </c>
      <c r="BB202" s="57">
        <f t="shared" si="531"/>
        <v>3.3734237633303938</v>
      </c>
      <c r="BC202" s="57">
        <f t="shared" si="531"/>
        <v>4.4575513444437282</v>
      </c>
      <c r="BD202" s="57">
        <f t="shared" si="531"/>
        <v>5.7509829760393423</v>
      </c>
      <c r="BE202" s="57">
        <f t="shared" si="532"/>
        <v>6.6510229166029999</v>
      </c>
      <c r="BF202" s="57">
        <f t="shared" si="532"/>
        <v>6.471610514208769</v>
      </c>
      <c r="BG202" s="57">
        <f t="shared" si="532"/>
        <v>7.0886206796144773</v>
      </c>
      <c r="BH202" s="57">
        <f t="shared" si="532"/>
        <v>6.3649254104925914</v>
      </c>
      <c r="BI202" s="57">
        <f t="shared" si="533"/>
        <v>5.0814168898275058</v>
      </c>
      <c r="BJ202" s="57">
        <f t="shared" si="533"/>
        <v>4.4160789737666049</v>
      </c>
      <c r="BK202" s="57">
        <f t="shared" si="533"/>
        <v>4.7196015522492187</v>
      </c>
      <c r="BL202" s="57">
        <f t="shared" si="533"/>
        <v>4.963603003586682</v>
      </c>
      <c r="BM202" s="57">
        <f t="shared" si="534"/>
        <v>6.426715064397273</v>
      </c>
      <c r="BN202" s="57">
        <f t="shared" si="534"/>
        <v>10.723543569581272</v>
      </c>
      <c r="BO202" s="57">
        <f t="shared" si="534"/>
        <v>10.314344821259175</v>
      </c>
      <c r="BP202" s="57">
        <f t="shared" si="534"/>
        <v>6.6809859610919693</v>
      </c>
      <c r="BQ202" s="57">
        <f t="shared" si="534"/>
        <v>6.4663779654728302</v>
      </c>
      <c r="BR202" s="57">
        <f t="shared" si="535"/>
        <v>6.338549724446219</v>
      </c>
      <c r="BS202" s="57">
        <f t="shared" si="535"/>
        <v>5.8109336548749644</v>
      </c>
      <c r="BT202" s="57">
        <f t="shared" si="535"/>
        <v>5.8413962357091567</v>
      </c>
      <c r="BU202" s="57">
        <f t="shared" si="535"/>
        <v>6.047196142135288</v>
      </c>
      <c r="BV202" s="57">
        <f t="shared" si="536"/>
        <v>5.9836900772755248</v>
      </c>
      <c r="BW202" s="57">
        <f t="shared" si="536"/>
        <v>6.5885468689510596</v>
      </c>
      <c r="BX202" s="57">
        <f t="shared" si="536"/>
        <v>8.8491257660960816</v>
      </c>
      <c r="BY202" s="57">
        <f t="shared" si="536"/>
        <v>9.1902542561858382</v>
      </c>
      <c r="BZ202" s="57">
        <f>+BZ146</f>
        <v>8.1455439426099581</v>
      </c>
      <c r="CA202" s="57"/>
      <c r="CB202" s="1151"/>
      <c r="CC202" s="1151"/>
      <c r="CD202" s="57"/>
      <c r="CE202" s="57"/>
      <c r="CF202" s="57"/>
      <c r="CH202" s="57">
        <f>+CH146</f>
        <v>3.1610738865200512</v>
      </c>
    </row>
    <row r="203" spans="2:86"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/>
      <c r="CC203"/>
      <c r="CD203" s="55"/>
      <c r="CE203" s="55"/>
      <c r="CF203" s="55"/>
      <c r="CH203" s="55"/>
    </row>
    <row r="204" spans="2:86">
      <c r="B204" s="17" t="str">
        <f t="shared" ref="B204:AS204" si="538">+B148</f>
        <v xml:space="preserve">FCF( before Dividends) / Net Debt  </v>
      </c>
      <c r="C204" s="17">
        <f t="shared" si="538"/>
        <v>0</v>
      </c>
      <c r="D204" s="99">
        <f t="shared" si="538"/>
        <v>-0.81529810912875811</v>
      </c>
      <c r="E204" s="99">
        <f t="shared" si="538"/>
        <v>-1.4452777854654256E-3</v>
      </c>
      <c r="F204" s="99">
        <f t="shared" si="538"/>
        <v>8.3906389497692635E-2</v>
      </c>
      <c r="G204" s="99">
        <f t="shared" si="538"/>
        <v>5.9136197259405103E-2</v>
      </c>
      <c r="H204" s="99">
        <f t="shared" si="538"/>
        <v>4.2567738402823387E-2</v>
      </c>
      <c r="I204" s="99">
        <f t="shared" si="538"/>
        <v>5.8610560830657833E-2</v>
      </c>
      <c r="J204" s="99">
        <f t="shared" si="538"/>
        <v>-3.1255538108367641E-2</v>
      </c>
      <c r="K204" s="99">
        <f t="shared" ref="K204:M205" si="539">+K148</f>
        <v>-3.6332012187060211E-2</v>
      </c>
      <c r="L204" s="99">
        <f t="shared" si="539"/>
        <v>-2.9298934112912563E-2</v>
      </c>
      <c r="M204" s="99">
        <f t="shared" si="539"/>
        <v>-0.16859733557669707</v>
      </c>
      <c r="N204" s="99">
        <f t="shared" ref="N204:Q205" si="540">+N148</f>
        <v>-0.13059335771568223</v>
      </c>
      <c r="O204" s="99">
        <f t="shared" si="540"/>
        <v>2.1019785506071403E-2</v>
      </c>
      <c r="P204" s="99">
        <f t="shared" si="540"/>
        <v>-2.5403709001399186E-2</v>
      </c>
      <c r="Q204" s="99">
        <f t="shared" si="540"/>
        <v>8.6855540587904914E-2</v>
      </c>
      <c r="R204" s="99">
        <f t="shared" ref="R204:U205" si="541">+R148</f>
        <v>0.1058260549181954</v>
      </c>
      <c r="S204" s="99">
        <f t="shared" si="541"/>
        <v>0.14681139569384374</v>
      </c>
      <c r="T204" s="99">
        <f>+T148</f>
        <v>0.36956091676133329</v>
      </c>
      <c r="U204" s="99">
        <f>+U148</f>
        <v>0.36956091676133329</v>
      </c>
      <c r="V204" s="856"/>
      <c r="W204" s="99"/>
      <c r="X204" s="99"/>
      <c r="Y204" s="99"/>
      <c r="Z204" s="99">
        <f t="shared" si="538"/>
        <v>8.3906389497692635E-2</v>
      </c>
      <c r="AA204" s="99">
        <f t="shared" si="538"/>
        <v>0.12023569281596716</v>
      </c>
      <c r="AB204" s="99">
        <f t="shared" si="538"/>
        <v>0.13029991850040751</v>
      </c>
      <c r="AC204" s="99">
        <f t="shared" si="538"/>
        <v>0.15170098711031696</v>
      </c>
      <c r="AD204" s="99">
        <f t="shared" si="538"/>
        <v>5.9136197259405103E-2</v>
      </c>
      <c r="AE204" s="99">
        <f t="shared" si="538"/>
        <v>5.6854096421638155E-2</v>
      </c>
      <c r="AF204" s="99">
        <f t="shared" si="538"/>
        <v>6.7249790561615244E-2</v>
      </c>
      <c r="AG204" s="99">
        <f t="shared" si="538"/>
        <v>4.6147442048630527E-2</v>
      </c>
      <c r="AH204" s="99">
        <f t="shared" si="538"/>
        <v>4.2567738402823387E-2</v>
      </c>
      <c r="AI204" s="99">
        <f t="shared" si="538"/>
        <v>-3.9712853647320807E-2</v>
      </c>
      <c r="AJ204" s="99">
        <f t="shared" si="538"/>
        <v>-1.9931740576942449E-2</v>
      </c>
      <c r="AK204" s="99">
        <f t="shared" si="538"/>
        <v>1.0470161372773978E-3</v>
      </c>
      <c r="AL204" s="99">
        <f t="shared" si="538"/>
        <v>5.8610560830657833E-2</v>
      </c>
      <c r="AM204" s="99">
        <f t="shared" si="538"/>
        <v>0.11486907806484975</v>
      </c>
      <c r="AN204" s="99">
        <f t="shared" si="538"/>
        <v>0.11627506881859982</v>
      </c>
      <c r="AO204" s="99">
        <f t="shared" si="538"/>
        <v>-1.8107956487897609E-3</v>
      </c>
      <c r="AP204" s="99">
        <f t="shared" si="538"/>
        <v>-3.1255538108367627E-2</v>
      </c>
      <c r="AQ204" s="99">
        <f t="shared" si="538"/>
        <v>-2.618801068609595E-3</v>
      </c>
      <c r="AR204" s="99">
        <f t="shared" si="538"/>
        <v>-4.6246929912965209E-2</v>
      </c>
      <c r="AS204" s="99">
        <f t="shared" si="538"/>
        <v>8.7289006450282664E-3</v>
      </c>
      <c r="AT204" s="99">
        <f t="shared" ref="AT204:AX205" si="542">+AT148</f>
        <v>-3.6332012187060211E-2</v>
      </c>
      <c r="AU204" s="99">
        <f t="shared" si="542"/>
        <v>-0.14215000118366</v>
      </c>
      <c r="AV204" s="99">
        <f t="shared" si="542"/>
        <v>-0.18238691628811665</v>
      </c>
      <c r="AW204" s="99">
        <f t="shared" si="542"/>
        <v>-0.19245963074620448</v>
      </c>
      <c r="AX204" s="99">
        <f t="shared" si="542"/>
        <v>-0.16859733557669707</v>
      </c>
      <c r="AY204" s="99">
        <f t="shared" ref="AY204:BA205" si="543">+AY148</f>
        <v>-0.13131428316883845</v>
      </c>
      <c r="AZ204" s="99">
        <f t="shared" si="543"/>
        <v>-6.4160794033470026E-2</v>
      </c>
      <c r="BA204" s="99">
        <f t="shared" si="543"/>
        <v>-2.4576449735168385E-2</v>
      </c>
      <c r="BB204" s="99">
        <f t="shared" ref="BB204:BD205" si="544">+BB148</f>
        <v>-0.13059335771568223</v>
      </c>
      <c r="BC204" s="99">
        <f t="shared" si="544"/>
        <v>-8.1197041524663602E-2</v>
      </c>
      <c r="BD204" s="99">
        <f t="shared" si="544"/>
        <v>-4.2940517966442771E-2</v>
      </c>
      <c r="BE204" s="99">
        <f t="shared" ref="BE204:BH205" si="545">+BE148</f>
        <v>-4.076209814245798E-2</v>
      </c>
      <c r="BF204" s="99">
        <f t="shared" si="545"/>
        <v>2.1019785506071403E-2</v>
      </c>
      <c r="BG204" s="99">
        <f t="shared" si="545"/>
        <v>1.3848959511245623E-2</v>
      </c>
      <c r="BH204" s="99">
        <f t="shared" si="545"/>
        <v>1.4381075954963718E-2</v>
      </c>
      <c r="BI204" s="99">
        <f t="shared" ref="BI204:BL205" si="546">+BI148</f>
        <v>-5.3269401041351805E-2</v>
      </c>
      <c r="BJ204" s="99">
        <f t="shared" si="546"/>
        <v>-2.5403709001399186E-2</v>
      </c>
      <c r="BK204" s="99">
        <f t="shared" si="546"/>
        <v>1.0718622264766326E-2</v>
      </c>
      <c r="BL204" s="99">
        <f t="shared" si="546"/>
        <v>-2.6482143501926431E-2</v>
      </c>
      <c r="BM204" s="99">
        <f t="shared" ref="BM204:BQ205" si="547">+BM148</f>
        <v>4.7582482461952021E-2</v>
      </c>
      <c r="BN204" s="99">
        <f t="shared" si="547"/>
        <v>8.6855540587904914E-2</v>
      </c>
      <c r="BO204" s="99">
        <f t="shared" si="547"/>
        <v>8.5350458911527052E-2</v>
      </c>
      <c r="BP204" s="99">
        <f t="shared" si="547"/>
        <v>9.6261585495221166E-2</v>
      </c>
      <c r="BQ204" s="99">
        <f t="shared" si="547"/>
        <v>0.10507901664693299</v>
      </c>
      <c r="BR204" s="99">
        <f t="shared" ref="BR204:BU205" si="548">+BR148</f>
        <v>0.10582605491819541</v>
      </c>
      <c r="BS204" s="99">
        <f t="shared" si="548"/>
        <v>8.5465767250432131E-2</v>
      </c>
      <c r="BT204" s="99">
        <f t="shared" si="548"/>
        <v>0.11113457132531374</v>
      </c>
      <c r="BU204" s="99">
        <f t="shared" si="548"/>
        <v>0.1547248284894906</v>
      </c>
      <c r="BV204" s="99">
        <f t="shared" ref="BV204:BY205" si="549">+BV148</f>
        <v>0.14681139569384377</v>
      </c>
      <c r="BW204" s="99">
        <f t="shared" si="549"/>
        <v>0.22100094152739813</v>
      </c>
      <c r="BX204" s="99">
        <f t="shared" si="549"/>
        <v>0.26726290482340376</v>
      </c>
      <c r="BY204" s="99">
        <f t="shared" si="549"/>
        <v>0.30432595618002511</v>
      </c>
      <c r="BZ204" s="99">
        <f>+BZ148</f>
        <v>0.36956091676133329</v>
      </c>
      <c r="CA204" s="99"/>
      <c r="CB204"/>
      <c r="CC204"/>
      <c r="CD204" s="856"/>
      <c r="CE204" s="856"/>
      <c r="CF204" s="856"/>
      <c r="CH204" s="99">
        <f>+CH148</f>
        <v>-0.1471335829565599</v>
      </c>
    </row>
    <row r="205" spans="2:86" s="20" customFormat="1">
      <c r="B205" s="20" t="str">
        <f t="shared" ref="B205:AS205" si="550">+B149</f>
        <v xml:space="preserve">Gearing (Net debt / Equity) </v>
      </c>
      <c r="C205" s="20">
        <f t="shared" si="550"/>
        <v>0</v>
      </c>
      <c r="D205" s="56">
        <f t="shared" si="550"/>
        <v>1.1613250657167042</v>
      </c>
      <c r="E205" s="56">
        <f t="shared" si="550"/>
        <v>1.2184043701106015</v>
      </c>
      <c r="F205" s="56">
        <f t="shared" si="550"/>
        <v>1.0725310076599635</v>
      </c>
      <c r="G205" s="56">
        <f t="shared" si="550"/>
        <v>0.94646235042882021</v>
      </c>
      <c r="H205" s="56">
        <f t="shared" si="550"/>
        <v>1.0004913374494762</v>
      </c>
      <c r="I205" s="56">
        <f t="shared" si="550"/>
        <v>1.2356595089902225</v>
      </c>
      <c r="J205" s="56">
        <f t="shared" si="550"/>
        <v>1.3057056717694968</v>
      </c>
      <c r="K205" s="56">
        <f t="shared" si="539"/>
        <v>1.3032612066885945</v>
      </c>
      <c r="L205" s="56">
        <f t="shared" si="539"/>
        <v>1.2777052058004705</v>
      </c>
      <c r="M205" s="56">
        <f t="shared" si="539"/>
        <v>1.3301069266926309</v>
      </c>
      <c r="N205" s="56">
        <f t="shared" si="540"/>
        <v>1.1638070426170577</v>
      </c>
      <c r="O205" s="56">
        <f t="shared" si="540"/>
        <v>1.8283136312488766</v>
      </c>
      <c r="P205" s="56">
        <f t="shared" si="540"/>
        <v>1.7437026159786806</v>
      </c>
      <c r="Q205" s="56">
        <f t="shared" si="540"/>
        <v>2.002233092800648</v>
      </c>
      <c r="R205" s="56">
        <f t="shared" si="541"/>
        <v>1.9386002222350633</v>
      </c>
      <c r="S205" s="56">
        <f t="shared" si="541"/>
        <v>1.32821694727946</v>
      </c>
      <c r="T205" s="56">
        <f>+T149</f>
        <v>0.84091621190487609</v>
      </c>
      <c r="U205" s="56">
        <f t="shared" si="541"/>
        <v>0.84091621190487609</v>
      </c>
      <c r="V205" s="56"/>
      <c r="W205" s="56"/>
      <c r="X205" s="56"/>
      <c r="Y205" s="56"/>
      <c r="Z205" s="56">
        <f t="shared" si="550"/>
        <v>1.0725310076599635</v>
      </c>
      <c r="AA205" s="56">
        <f t="shared" si="550"/>
        <v>0.94858432426058059</v>
      </c>
      <c r="AB205" s="56">
        <f t="shared" si="550"/>
        <v>0.9753251481270101</v>
      </c>
      <c r="AC205" s="56">
        <f t="shared" si="550"/>
        <v>0.90964753781452934</v>
      </c>
      <c r="AD205" s="56">
        <f t="shared" si="550"/>
        <v>0.94646235042882021</v>
      </c>
      <c r="AE205" s="56">
        <f t="shared" si="550"/>
        <v>0.88827271972113941</v>
      </c>
      <c r="AF205" s="56">
        <f t="shared" si="550"/>
        <v>0.94323243410420221</v>
      </c>
      <c r="AG205" s="56">
        <f t="shared" si="550"/>
        <v>1.0237971240036026</v>
      </c>
      <c r="AH205" s="56">
        <f t="shared" si="550"/>
        <v>1.0004913374494762</v>
      </c>
      <c r="AI205" s="56">
        <f t="shared" si="550"/>
        <v>1.0204496134468315</v>
      </c>
      <c r="AJ205" s="56">
        <f t="shared" si="550"/>
        <v>1.0941497383816499</v>
      </c>
      <c r="AK205" s="56">
        <f t="shared" si="550"/>
        <v>1.1940497920731101</v>
      </c>
      <c r="AL205" s="56">
        <f t="shared" si="550"/>
        <v>1.2356595089902225</v>
      </c>
      <c r="AM205" s="56">
        <f t="shared" si="550"/>
        <v>1.2794347379535143</v>
      </c>
      <c r="AN205" s="56">
        <f t="shared" si="550"/>
        <v>1.2729682236236259</v>
      </c>
      <c r="AO205" s="56">
        <f t="shared" si="550"/>
        <v>1.5023629599488462</v>
      </c>
      <c r="AP205" s="56">
        <f t="shared" si="550"/>
        <v>1.3057056717694968</v>
      </c>
      <c r="AQ205" s="56">
        <f t="shared" si="550"/>
        <v>1.2446459184417011</v>
      </c>
      <c r="AR205" s="56">
        <f t="shared" si="550"/>
        <v>1.2556046264728764</v>
      </c>
      <c r="AS205" s="56">
        <f t="shared" si="550"/>
        <v>1.2072599947273317</v>
      </c>
      <c r="AT205" s="56">
        <f t="shared" si="542"/>
        <v>1.3032612066885945</v>
      </c>
      <c r="AU205" s="56">
        <f t="shared" si="542"/>
        <v>1.3749061966881857</v>
      </c>
      <c r="AV205" s="56">
        <f t="shared" si="542"/>
        <v>1.5502004326187402</v>
      </c>
      <c r="AW205" s="56">
        <f t="shared" si="542"/>
        <v>1.3376069064592437</v>
      </c>
      <c r="AX205" s="56">
        <f t="shared" si="542"/>
        <v>1.3301069266926309</v>
      </c>
      <c r="AY205" s="56">
        <f t="shared" si="543"/>
        <v>1.1211102321792756</v>
      </c>
      <c r="AZ205" s="56">
        <f t="shared" si="543"/>
        <v>1.3573135115903425</v>
      </c>
      <c r="BA205" s="56">
        <f t="shared" si="543"/>
        <v>1.2611799727415851</v>
      </c>
      <c r="BB205" s="56">
        <f t="shared" si="544"/>
        <v>1.1638070426170577</v>
      </c>
      <c r="BC205" s="56">
        <f t="shared" si="544"/>
        <v>1.3575746702252616</v>
      </c>
      <c r="BD205" s="56">
        <f t="shared" si="544"/>
        <v>1.6351908345136839</v>
      </c>
      <c r="BE205" s="56">
        <f t="shared" si="545"/>
        <v>1.8940919385774353</v>
      </c>
      <c r="BF205" s="56">
        <f t="shared" si="545"/>
        <v>1.8283136312488766</v>
      </c>
      <c r="BG205" s="56">
        <f t="shared" si="545"/>
        <v>1.9443749444236689</v>
      </c>
      <c r="BH205" s="56">
        <f t="shared" si="545"/>
        <v>1.9896602817899358</v>
      </c>
      <c r="BI205" s="56">
        <f t="shared" si="546"/>
        <v>1.7928748832500776</v>
      </c>
      <c r="BJ205" s="56">
        <f t="shared" si="546"/>
        <v>1.7437026159786806</v>
      </c>
      <c r="BK205" s="56">
        <f t="shared" si="546"/>
        <v>1.7685031756990428</v>
      </c>
      <c r="BL205" s="56">
        <f t="shared" si="546"/>
        <v>2.0847542709752904</v>
      </c>
      <c r="BM205" s="56">
        <f t="shared" si="547"/>
        <v>2.0521676361938241</v>
      </c>
      <c r="BN205" s="56">
        <f t="shared" si="547"/>
        <v>2.002233092800648</v>
      </c>
      <c r="BO205" s="56">
        <f t="shared" si="547"/>
        <v>2.0157433095301172</v>
      </c>
      <c r="BP205" s="56">
        <f t="shared" si="547"/>
        <v>2.001908554255134</v>
      </c>
      <c r="BQ205" s="56">
        <f t="shared" si="547"/>
        <v>1.9514847861210718</v>
      </c>
      <c r="BR205" s="56">
        <f t="shared" si="548"/>
        <v>1.9386002222350633</v>
      </c>
      <c r="BS205" s="56">
        <f t="shared" si="548"/>
        <v>1.8082109369072643</v>
      </c>
      <c r="BT205" s="56">
        <f t="shared" si="548"/>
        <v>1.9966682683154588</v>
      </c>
      <c r="BU205" s="56">
        <f t="shared" si="548"/>
        <v>1.2983273713732144</v>
      </c>
      <c r="BV205" s="56">
        <f t="shared" si="549"/>
        <v>1.32821694727946</v>
      </c>
      <c r="BW205" s="56">
        <f t="shared" si="549"/>
        <v>1.1917981041156294</v>
      </c>
      <c r="BX205" s="56">
        <f t="shared" si="549"/>
        <v>1.2142703019569203</v>
      </c>
      <c r="BY205" s="56">
        <f t="shared" si="549"/>
        <v>1.0805115106462162</v>
      </c>
      <c r="BZ205" s="56">
        <f>+BZ149</f>
        <v>0.84091621190487609</v>
      </c>
      <c r="CA205" s="56"/>
      <c r="CB205"/>
      <c r="CC205"/>
      <c r="CD205" s="56"/>
      <c r="CE205" s="56"/>
      <c r="CF205" s="56"/>
      <c r="CH205" s="56">
        <f>+CH149</f>
        <v>1.1884129347771897</v>
      </c>
    </row>
    <row r="206" spans="2:86">
      <c r="V206" s="56"/>
      <c r="CB206"/>
      <c r="CC206"/>
      <c r="CD206"/>
      <c r="CE206"/>
      <c r="CF206"/>
    </row>
    <row r="207" spans="2:86">
      <c r="B207" s="1126" t="s">
        <v>250</v>
      </c>
      <c r="C207" s="1126"/>
      <c r="D207" s="1127">
        <v>45.6</v>
      </c>
      <c r="E207" s="1127">
        <v>47.84</v>
      </c>
      <c r="F207" s="1127">
        <v>54.43</v>
      </c>
      <c r="G207" s="1127">
        <v>60.59</v>
      </c>
      <c r="H207" s="1127">
        <v>61.1</v>
      </c>
      <c r="I207" s="1127">
        <v>65.48</v>
      </c>
      <c r="J207" s="1127">
        <v>67.16</v>
      </c>
      <c r="K207" s="1127">
        <v>64.44</v>
      </c>
      <c r="L207" s="1127">
        <v>64.44</v>
      </c>
      <c r="M207" s="1127">
        <v>69.894300000000001</v>
      </c>
      <c r="N207" s="1127">
        <f>AVERAGE(AY207:BB207)</f>
        <v>70.865591666666674</v>
      </c>
      <c r="O207" s="1127">
        <f>AVERAGE(BC207:BF207)</f>
        <v>74.182850000000002</v>
      </c>
      <c r="P207" s="1127">
        <f>AVERAGE(BG207:BJ207)</f>
        <v>74.211362500000007</v>
      </c>
      <c r="Q207" s="1127">
        <v>80.308999999999997</v>
      </c>
      <c r="R207" s="1127">
        <v>82.772000000000006</v>
      </c>
      <c r="S207" s="1128">
        <f>AVERAGE(BS207:BV207)</f>
        <v>84.540999999999997</v>
      </c>
      <c r="T207" s="1128">
        <f>AVERAGE(BW207:BZ207)</f>
        <v>88.361250000000013</v>
      </c>
      <c r="U207" s="1128">
        <f>AVERAGE(BW207:BZ207)</f>
        <v>88.361250000000013</v>
      </c>
      <c r="V207" s="56"/>
      <c r="W207" s="1127">
        <v>54</v>
      </c>
      <c r="X207" s="1127">
        <v>55.19</v>
      </c>
      <c r="Y207" s="1127">
        <v>54.42</v>
      </c>
      <c r="Z207" s="1127">
        <v>54.12</v>
      </c>
      <c r="AA207" s="1127">
        <v>55.86</v>
      </c>
      <c r="AB207" s="1127">
        <v>62.75</v>
      </c>
      <c r="AC207" s="1127">
        <v>62.05</v>
      </c>
      <c r="AD207" s="1127">
        <v>61.71</v>
      </c>
      <c r="AE207" s="1127">
        <v>59.89</v>
      </c>
      <c r="AF207" s="1127">
        <v>60.48</v>
      </c>
      <c r="AG207" s="1127">
        <v>61.89</v>
      </c>
      <c r="AH207" s="1127">
        <v>62.14</v>
      </c>
      <c r="AI207" s="1127">
        <v>63.48</v>
      </c>
      <c r="AJ207" s="1127">
        <v>64.900000000000006</v>
      </c>
      <c r="AK207" s="1127">
        <v>65.849999999999994</v>
      </c>
      <c r="AL207" s="1127">
        <v>67.680000000000007</v>
      </c>
      <c r="AM207" s="1127">
        <v>66.81</v>
      </c>
      <c r="AN207" s="1127">
        <v>67.13</v>
      </c>
      <c r="AO207" s="1127">
        <v>67.63</v>
      </c>
      <c r="AP207" s="1127">
        <v>67.09</v>
      </c>
      <c r="AQ207" s="1127">
        <v>64.44</v>
      </c>
      <c r="AR207" s="1127">
        <v>64.36</v>
      </c>
      <c r="AS207" s="1127">
        <v>64.680000000000007</v>
      </c>
      <c r="AT207" s="1127">
        <v>64.3</v>
      </c>
      <c r="AU207" s="1127">
        <v>67.2</v>
      </c>
      <c r="AV207" s="1127">
        <v>70.072599999999994</v>
      </c>
      <c r="AW207" s="1127">
        <v>72.08</v>
      </c>
      <c r="AX207" s="1127">
        <v>70.58</v>
      </c>
      <c r="AY207" s="1127">
        <v>69.62</v>
      </c>
      <c r="AZ207" s="1127">
        <v>70.416666666666671</v>
      </c>
      <c r="BA207" s="1127">
        <v>70.329700000000003</v>
      </c>
      <c r="BB207" s="1127">
        <f>AVERAGE(BA208:BB208)</f>
        <v>73.096000000000004</v>
      </c>
      <c r="BC207" s="1127">
        <v>75.866299999999995</v>
      </c>
      <c r="BD207" s="1127">
        <v>74.37</v>
      </c>
      <c r="BE207" s="1127">
        <f t="shared" ref="BE207:BR207" si="551">AVERAGE(BD208:BE208)</f>
        <v>73.38685000000001</v>
      </c>
      <c r="BF207" s="1127">
        <f t="shared" si="551"/>
        <v>73.108249999999998</v>
      </c>
      <c r="BG207" s="1127">
        <f t="shared" si="551"/>
        <v>73.789050000000003</v>
      </c>
      <c r="BH207" s="1127">
        <f t="shared" si="551"/>
        <v>74.297600000000003</v>
      </c>
      <c r="BI207" s="1127">
        <f t="shared" si="551"/>
        <v>74.345300000000009</v>
      </c>
      <c r="BJ207" s="1127">
        <f t="shared" si="551"/>
        <v>74.413499999999999</v>
      </c>
      <c r="BK207" s="1127">
        <v>77.173000000000002</v>
      </c>
      <c r="BL207" s="1127">
        <f t="shared" si="551"/>
        <v>80.1905</v>
      </c>
      <c r="BM207" s="1127">
        <f t="shared" si="551"/>
        <v>82.088999999999999</v>
      </c>
      <c r="BN207" s="1127">
        <f t="shared" si="551"/>
        <v>82.398499999999999</v>
      </c>
      <c r="BO207" s="1127">
        <v>82.14</v>
      </c>
      <c r="BP207" s="1127">
        <f t="shared" si="551"/>
        <v>82.57</v>
      </c>
      <c r="BQ207" s="1127">
        <f t="shared" si="551"/>
        <v>83.13900000000001</v>
      </c>
      <c r="BR207" s="1127">
        <f t="shared" si="551"/>
        <v>83.293999999999997</v>
      </c>
      <c r="BS207" s="1127">
        <v>83.400999999999996</v>
      </c>
      <c r="BT207" s="1127">
        <v>83.75</v>
      </c>
      <c r="BU207" s="1127">
        <v>84.444999999999993</v>
      </c>
      <c r="BV207" s="1127">
        <v>86.567999999999998</v>
      </c>
      <c r="BW207" s="1127">
        <v>85.555999999999997</v>
      </c>
      <c r="BX207" s="1127">
        <v>87.304000000000002</v>
      </c>
      <c r="BY207" s="1127">
        <v>89.085999999999999</v>
      </c>
      <c r="BZ207" s="1127">
        <v>91.498999999999995</v>
      </c>
      <c r="CB207"/>
      <c r="CC207"/>
      <c r="CD207" s="857"/>
      <c r="CE207" s="857"/>
      <c r="CF207" s="857"/>
      <c r="CH207" s="786">
        <f>AVERAGE(AY207:BB207)</f>
        <v>70.865591666666674</v>
      </c>
    </row>
    <row r="208" spans="2:86">
      <c r="B208" s="1126" t="s">
        <v>251</v>
      </c>
      <c r="C208" s="1126"/>
      <c r="D208" s="1127">
        <v>44.65</v>
      </c>
      <c r="E208" s="1127">
        <v>51.16</v>
      </c>
      <c r="F208" s="1127">
        <v>54.39</v>
      </c>
      <c r="G208" s="1127">
        <v>60.1</v>
      </c>
      <c r="H208" s="1127">
        <v>62.59</v>
      </c>
      <c r="I208" s="1127">
        <v>66.254999999999995</v>
      </c>
      <c r="J208" s="1127">
        <v>64.849999999999994</v>
      </c>
      <c r="K208" s="1127">
        <v>65.180000000000007</v>
      </c>
      <c r="L208" s="1127">
        <v>65.180000000000007</v>
      </c>
      <c r="M208" s="1127">
        <v>69.148799999999994</v>
      </c>
      <c r="N208" s="1127">
        <v>75.3245</v>
      </c>
      <c r="O208" s="1127">
        <v>73.206500000000005</v>
      </c>
      <c r="P208" s="1127">
        <v>74.36</v>
      </c>
      <c r="Q208" s="1127">
        <v>82.08</v>
      </c>
      <c r="R208" s="1127">
        <v>83.35</v>
      </c>
      <c r="S208" s="1128">
        <f>BV208</f>
        <v>85.45</v>
      </c>
      <c r="T208" s="1128">
        <f>BZ208</f>
        <v>93.484999999999999</v>
      </c>
      <c r="U208" s="1128">
        <f>BZ208</f>
        <v>93.484999999999999</v>
      </c>
      <c r="V208" s="56"/>
      <c r="W208" s="1127">
        <v>56.31</v>
      </c>
      <c r="X208" s="1127">
        <v>52.7</v>
      </c>
      <c r="Y208" s="1127">
        <v>54.78</v>
      </c>
      <c r="Z208" s="1127">
        <v>54.39</v>
      </c>
      <c r="AA208" s="1127">
        <v>59.7</v>
      </c>
      <c r="AB208" s="1127">
        <v>62.78</v>
      </c>
      <c r="AC208" s="1127">
        <v>61.9</v>
      </c>
      <c r="AD208" s="1127">
        <v>60.1</v>
      </c>
      <c r="AE208" s="1127">
        <v>60.09</v>
      </c>
      <c r="AF208" s="1127">
        <v>61.61</v>
      </c>
      <c r="AG208" s="1127">
        <v>63.33</v>
      </c>
      <c r="AH208" s="1127">
        <v>62.59</v>
      </c>
      <c r="AI208" s="1127">
        <v>63.75</v>
      </c>
      <c r="AJ208" s="1127">
        <v>65.739999999999995</v>
      </c>
      <c r="AK208" s="1127">
        <v>66.2</v>
      </c>
      <c r="AL208" s="1127">
        <v>66.260000000000005</v>
      </c>
      <c r="AM208" s="1127">
        <v>67.53</v>
      </c>
      <c r="AN208" s="1127">
        <v>66.62</v>
      </c>
      <c r="AO208" s="1127">
        <v>67.930000000000007</v>
      </c>
      <c r="AP208" s="1127">
        <v>64.849999999999994</v>
      </c>
      <c r="AQ208" s="1127">
        <v>64.58</v>
      </c>
      <c r="AR208" s="1127">
        <v>65.290000000000006</v>
      </c>
      <c r="AS208" s="1127">
        <v>63.88</v>
      </c>
      <c r="AT208" s="1127">
        <v>65.180000000000007</v>
      </c>
      <c r="AU208" s="1127">
        <v>68.47</v>
      </c>
      <c r="AV208" s="1127">
        <v>72.489999999999995</v>
      </c>
      <c r="AW208" s="1127">
        <v>69.77</v>
      </c>
      <c r="AX208" s="1127">
        <v>69.16</v>
      </c>
      <c r="AY208" s="1127">
        <v>69.02</v>
      </c>
      <c r="AZ208" s="1127">
        <v>71.77</v>
      </c>
      <c r="BA208" s="1127">
        <v>70.867500000000007</v>
      </c>
      <c r="BB208" s="1127">
        <v>75.3245</v>
      </c>
      <c r="BC208" s="1127">
        <v>75.508700000000005</v>
      </c>
      <c r="BD208" s="1127">
        <v>73.7637</v>
      </c>
      <c r="BE208" s="1127">
        <v>73.010000000000005</v>
      </c>
      <c r="BF208" s="1127">
        <v>73.206500000000005</v>
      </c>
      <c r="BG208" s="1127">
        <v>74.371600000000001</v>
      </c>
      <c r="BH208" s="1127">
        <v>74.223600000000005</v>
      </c>
      <c r="BI208" s="1127">
        <v>74.466999999999999</v>
      </c>
      <c r="BJ208" s="1127">
        <v>74.36</v>
      </c>
      <c r="BK208" s="1127">
        <v>78.92</v>
      </c>
      <c r="BL208" s="1127">
        <v>81.460999999999999</v>
      </c>
      <c r="BM208" s="1127">
        <v>82.716999999999999</v>
      </c>
      <c r="BN208" s="1127">
        <v>82.08</v>
      </c>
      <c r="BO208" s="1127">
        <v>82.1</v>
      </c>
      <c r="BP208" s="1127">
        <v>83.04</v>
      </c>
      <c r="BQ208" s="1127">
        <v>83.238</v>
      </c>
      <c r="BR208" s="1127">
        <f>R208</f>
        <v>83.35</v>
      </c>
      <c r="BS208" s="1127">
        <v>83.355000000000004</v>
      </c>
      <c r="BT208" s="1127">
        <v>83.754999999999995</v>
      </c>
      <c r="BU208" s="1127">
        <v>85.554000000000002</v>
      </c>
      <c r="BV208" s="1127">
        <v>85.45</v>
      </c>
      <c r="BW208" s="1127">
        <v>85.7</v>
      </c>
      <c r="BX208" s="1127">
        <v>88.840999999999994</v>
      </c>
      <c r="BY208" s="1127">
        <v>89.870999999999995</v>
      </c>
      <c r="BZ208" s="1127">
        <v>93.484999999999999</v>
      </c>
      <c r="CA208" s="107"/>
      <c r="CB208"/>
      <c r="CC208"/>
      <c r="CD208" s="857"/>
      <c r="CE208" s="857"/>
      <c r="CF208" s="857"/>
      <c r="CH208" s="786">
        <v>75.3245</v>
      </c>
    </row>
    <row r="209" spans="2:86">
      <c r="B209" s="20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775"/>
      <c r="V209" s="56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107"/>
      <c r="AZ209" s="107"/>
      <c r="BA209" s="107"/>
      <c r="BB209" s="107"/>
      <c r="BC209" s="107"/>
      <c r="BD209" s="107"/>
      <c r="BE209" s="107"/>
      <c r="BF209" s="107"/>
      <c r="BG209" s="107"/>
      <c r="BH209" s="107"/>
      <c r="BI209" s="107"/>
      <c r="BJ209" s="107"/>
      <c r="BK209" s="107"/>
      <c r="BL209" s="107"/>
      <c r="BM209" s="107"/>
      <c r="BN209" s="107"/>
      <c r="BO209" s="107"/>
      <c r="BP209" s="107"/>
      <c r="BQ209" s="107"/>
      <c r="BR209" s="107"/>
      <c r="BS209" s="107"/>
      <c r="BT209" s="107"/>
      <c r="BU209" s="107"/>
      <c r="BV209" s="107"/>
      <c r="BW209" s="107"/>
      <c r="BX209" s="107"/>
      <c r="BY209" s="107"/>
      <c r="BZ209" s="107"/>
      <c r="CA209" s="107"/>
      <c r="CB209"/>
      <c r="CC209"/>
      <c r="CD209"/>
      <c r="CE209"/>
      <c r="CF209"/>
      <c r="CH209" s="107"/>
    </row>
    <row r="210" spans="2:86">
      <c r="B210" s="777" t="s">
        <v>252</v>
      </c>
      <c r="C210" s="777"/>
      <c r="D210" s="778">
        <f t="shared" ref="D210:U210" si="552">D3</f>
        <v>40612</v>
      </c>
      <c r="E210" s="778">
        <f t="shared" si="552"/>
        <v>40979</v>
      </c>
      <c r="F210" s="778">
        <f t="shared" si="552"/>
        <v>41346</v>
      </c>
      <c r="G210" s="778">
        <f t="shared" si="552"/>
        <v>41713</v>
      </c>
      <c r="H210" s="778">
        <f t="shared" si="552"/>
        <v>42080</v>
      </c>
      <c r="I210" s="778">
        <f t="shared" si="552"/>
        <v>42460</v>
      </c>
      <c r="J210" s="778">
        <f t="shared" si="552"/>
        <v>42825</v>
      </c>
      <c r="K210" s="778">
        <f t="shared" si="552"/>
        <v>43190</v>
      </c>
      <c r="L210" s="778">
        <f t="shared" si="552"/>
        <v>43190</v>
      </c>
      <c r="M210" s="778">
        <f t="shared" si="552"/>
        <v>43555</v>
      </c>
      <c r="N210" s="778">
        <f t="shared" si="552"/>
        <v>43921</v>
      </c>
      <c r="O210" s="778">
        <f t="shared" si="552"/>
        <v>44286</v>
      </c>
      <c r="P210" s="778">
        <f t="shared" si="552"/>
        <v>44651</v>
      </c>
      <c r="Q210" s="778">
        <f t="shared" si="552"/>
        <v>45016</v>
      </c>
      <c r="R210" s="778">
        <f t="shared" si="552"/>
        <v>45382</v>
      </c>
      <c r="S210" s="778">
        <f t="shared" si="552"/>
        <v>45747</v>
      </c>
      <c r="T210" s="778">
        <f t="shared" si="552"/>
        <v>46112</v>
      </c>
      <c r="U210" s="778">
        <f t="shared" si="552"/>
        <v>46112</v>
      </c>
      <c r="V210" s="1042"/>
      <c r="W210" s="778">
        <f t="shared" ref="W210:BB210" si="553">W3</f>
        <v>41068</v>
      </c>
      <c r="X210" s="778">
        <f t="shared" si="553"/>
        <v>41161</v>
      </c>
      <c r="Y210" s="778">
        <f t="shared" si="553"/>
        <v>41253</v>
      </c>
      <c r="Z210" s="778">
        <f t="shared" si="553"/>
        <v>41343</v>
      </c>
      <c r="AA210" s="778">
        <f t="shared" si="553"/>
        <v>41433</v>
      </c>
      <c r="AB210" s="778">
        <f t="shared" si="553"/>
        <v>41526</v>
      </c>
      <c r="AC210" s="778">
        <f t="shared" si="553"/>
        <v>41618</v>
      </c>
      <c r="AD210" s="778">
        <f t="shared" si="553"/>
        <v>41708</v>
      </c>
      <c r="AE210" s="778">
        <f t="shared" si="553"/>
        <v>41798</v>
      </c>
      <c r="AF210" s="778">
        <f t="shared" si="553"/>
        <v>41891</v>
      </c>
      <c r="AG210" s="778">
        <f t="shared" si="553"/>
        <v>41983</v>
      </c>
      <c r="AH210" s="778">
        <f t="shared" si="553"/>
        <v>42073</v>
      </c>
      <c r="AI210" s="778">
        <f t="shared" si="553"/>
        <v>42163</v>
      </c>
      <c r="AJ210" s="778">
        <f t="shared" si="553"/>
        <v>42256</v>
      </c>
      <c r="AK210" s="778">
        <f t="shared" si="553"/>
        <v>42348</v>
      </c>
      <c r="AL210" s="778">
        <f t="shared" si="553"/>
        <v>42439</v>
      </c>
      <c r="AM210" s="778">
        <f t="shared" si="553"/>
        <v>42529</v>
      </c>
      <c r="AN210" s="778">
        <f t="shared" si="553"/>
        <v>42622</v>
      </c>
      <c r="AO210" s="778">
        <f t="shared" si="553"/>
        <v>42714</v>
      </c>
      <c r="AP210" s="778">
        <f t="shared" si="553"/>
        <v>42804</v>
      </c>
      <c r="AQ210" s="778">
        <f t="shared" si="553"/>
        <v>42916</v>
      </c>
      <c r="AR210" s="778">
        <f t="shared" si="553"/>
        <v>43008</v>
      </c>
      <c r="AS210" s="778">
        <f t="shared" si="553"/>
        <v>43100</v>
      </c>
      <c r="AT210" s="778">
        <f t="shared" si="553"/>
        <v>43190</v>
      </c>
      <c r="AU210" s="778">
        <f t="shared" si="553"/>
        <v>43281</v>
      </c>
      <c r="AV210" s="778">
        <f t="shared" si="553"/>
        <v>43373</v>
      </c>
      <c r="AW210" s="778">
        <f t="shared" si="553"/>
        <v>43465</v>
      </c>
      <c r="AX210" s="778">
        <f t="shared" si="553"/>
        <v>43555</v>
      </c>
      <c r="AY210" s="778">
        <f t="shared" si="553"/>
        <v>43646</v>
      </c>
      <c r="AZ210" s="778">
        <f t="shared" si="553"/>
        <v>43738</v>
      </c>
      <c r="BA210" s="778">
        <f t="shared" si="553"/>
        <v>43830</v>
      </c>
      <c r="BB210" s="778">
        <f t="shared" si="553"/>
        <v>43921</v>
      </c>
      <c r="BC210" s="778">
        <f t="shared" ref="BC210:BZ210" si="554">BC3</f>
        <v>44012</v>
      </c>
      <c r="BD210" s="778">
        <f t="shared" si="554"/>
        <v>44104</v>
      </c>
      <c r="BE210" s="778">
        <f t="shared" si="554"/>
        <v>44196</v>
      </c>
      <c r="BF210" s="778">
        <f t="shared" si="554"/>
        <v>44286</v>
      </c>
      <c r="BG210" s="778">
        <f t="shared" si="554"/>
        <v>44377</v>
      </c>
      <c r="BH210" s="778">
        <f t="shared" si="554"/>
        <v>44469</v>
      </c>
      <c r="BI210" s="778">
        <f t="shared" si="554"/>
        <v>44561</v>
      </c>
      <c r="BJ210" s="778">
        <f t="shared" si="554"/>
        <v>44651</v>
      </c>
      <c r="BK210" s="778">
        <f t="shared" si="554"/>
        <v>44742</v>
      </c>
      <c r="BL210" s="778">
        <f t="shared" si="554"/>
        <v>44834</v>
      </c>
      <c r="BM210" s="778">
        <f t="shared" si="554"/>
        <v>44926</v>
      </c>
      <c r="BN210" s="778">
        <f t="shared" si="554"/>
        <v>45016</v>
      </c>
      <c r="BO210" s="778">
        <f t="shared" si="554"/>
        <v>45107</v>
      </c>
      <c r="BP210" s="778">
        <f t="shared" si="554"/>
        <v>45199</v>
      </c>
      <c r="BQ210" s="778">
        <f t="shared" si="554"/>
        <v>45290</v>
      </c>
      <c r="BR210" s="778">
        <f t="shared" si="554"/>
        <v>45382</v>
      </c>
      <c r="BS210" s="778">
        <f t="shared" si="554"/>
        <v>45473</v>
      </c>
      <c r="BT210" s="778">
        <f t="shared" si="554"/>
        <v>45565</v>
      </c>
      <c r="BU210" s="778">
        <f t="shared" si="554"/>
        <v>45656</v>
      </c>
      <c r="BV210" s="778">
        <f t="shared" si="554"/>
        <v>45747</v>
      </c>
      <c r="BW210" s="778">
        <f t="shared" si="554"/>
        <v>45838</v>
      </c>
      <c r="BX210" s="778">
        <f t="shared" si="554"/>
        <v>45930</v>
      </c>
      <c r="BY210" s="778">
        <f t="shared" si="554"/>
        <v>46021</v>
      </c>
      <c r="BZ210" s="778">
        <f t="shared" si="554"/>
        <v>46112</v>
      </c>
      <c r="CA210" s="1042"/>
      <c r="CB210"/>
      <c r="CC210"/>
      <c r="CD210" s="21"/>
      <c r="CE210" s="21"/>
      <c r="CF210" s="21"/>
      <c r="CH210" s="778">
        <f>CH3</f>
        <v>43921</v>
      </c>
    </row>
    <row r="211" spans="2:86">
      <c r="B211" s="25"/>
      <c r="C211" s="25"/>
      <c r="D211" s="779" t="s">
        <v>116</v>
      </c>
      <c r="E211" s="779" t="s">
        <v>116</v>
      </c>
      <c r="F211" s="779" t="s">
        <v>116</v>
      </c>
      <c r="G211" s="779" t="s">
        <v>116</v>
      </c>
      <c r="H211" s="779" t="s">
        <v>116</v>
      </c>
      <c r="I211" s="779" t="s">
        <v>116</v>
      </c>
      <c r="J211" s="779" t="s">
        <v>116</v>
      </c>
      <c r="K211" s="779" t="s">
        <v>116</v>
      </c>
      <c r="L211" s="779" t="s">
        <v>116</v>
      </c>
      <c r="M211" s="779" t="s">
        <v>116</v>
      </c>
      <c r="N211" s="779"/>
      <c r="O211" s="779" t="s">
        <v>116</v>
      </c>
      <c r="P211" s="779" t="s">
        <v>116</v>
      </c>
      <c r="Q211" s="779" t="s">
        <v>116</v>
      </c>
      <c r="R211" s="779" t="s">
        <v>116</v>
      </c>
      <c r="S211" s="779" t="s">
        <v>116</v>
      </c>
      <c r="T211" s="779" t="s">
        <v>116</v>
      </c>
      <c r="U211" s="779" t="s">
        <v>116</v>
      </c>
      <c r="V211" s="1042"/>
      <c r="W211" s="779" t="s">
        <v>116</v>
      </c>
      <c r="X211" s="779" t="s">
        <v>116</v>
      </c>
      <c r="Y211" s="779" t="s">
        <v>116</v>
      </c>
      <c r="Z211" s="779" t="s">
        <v>116</v>
      </c>
      <c r="AA211" s="779" t="s">
        <v>116</v>
      </c>
      <c r="AB211" s="779" t="s">
        <v>116</v>
      </c>
      <c r="AC211" s="779" t="s">
        <v>116</v>
      </c>
      <c r="AD211" s="779" t="s">
        <v>116</v>
      </c>
      <c r="AE211" s="779" t="s">
        <v>116</v>
      </c>
      <c r="AF211" s="779" t="s">
        <v>116</v>
      </c>
      <c r="AG211" s="779" t="s">
        <v>116</v>
      </c>
      <c r="AH211" s="779" t="s">
        <v>116</v>
      </c>
      <c r="AI211" s="779" t="s">
        <v>116</v>
      </c>
      <c r="AJ211" s="779" t="s">
        <v>116</v>
      </c>
      <c r="AK211" s="779" t="s">
        <v>116</v>
      </c>
      <c r="AL211" s="779" t="s">
        <v>116</v>
      </c>
      <c r="AM211" s="779" t="s">
        <v>116</v>
      </c>
      <c r="AN211" s="779" t="s">
        <v>116</v>
      </c>
      <c r="AO211" s="779" t="s">
        <v>116</v>
      </c>
      <c r="AP211" s="779" t="s">
        <v>116</v>
      </c>
      <c r="AQ211" s="779" t="s">
        <v>116</v>
      </c>
      <c r="AR211" s="779" t="s">
        <v>116</v>
      </c>
      <c r="AS211" s="779" t="s">
        <v>116</v>
      </c>
      <c r="AT211" s="779" t="s">
        <v>116</v>
      </c>
      <c r="AU211" s="779" t="s">
        <v>116</v>
      </c>
      <c r="AV211" s="779" t="s">
        <v>116</v>
      </c>
      <c r="AW211" s="779" t="s">
        <v>116</v>
      </c>
      <c r="AX211" s="779" t="s">
        <v>116</v>
      </c>
      <c r="AY211" s="779" t="s">
        <v>116</v>
      </c>
      <c r="AZ211" s="779" t="s">
        <v>116</v>
      </c>
      <c r="BA211" s="779"/>
      <c r="BB211" s="779"/>
      <c r="BC211" s="779" t="s">
        <v>116</v>
      </c>
      <c r="BD211" s="779" t="s">
        <v>116</v>
      </c>
      <c r="BE211" s="779" t="s">
        <v>116</v>
      </c>
      <c r="BF211" s="779" t="s">
        <v>116</v>
      </c>
      <c r="BG211" s="779" t="s">
        <v>116</v>
      </c>
      <c r="BH211" s="779" t="s">
        <v>116</v>
      </c>
      <c r="BI211" s="779" t="s">
        <v>116</v>
      </c>
      <c r="BJ211" s="779" t="s">
        <v>116</v>
      </c>
      <c r="BK211" s="779" t="s">
        <v>116</v>
      </c>
      <c r="BL211" s="779" t="s">
        <v>116</v>
      </c>
      <c r="BM211" s="779" t="s">
        <v>116</v>
      </c>
      <c r="BN211" s="779" t="s">
        <v>116</v>
      </c>
      <c r="BO211" s="779" t="s">
        <v>116</v>
      </c>
      <c r="BP211" s="779" t="s">
        <v>116</v>
      </c>
      <c r="BQ211" s="779" t="s">
        <v>116</v>
      </c>
      <c r="BR211" s="779" t="s">
        <v>116</v>
      </c>
      <c r="BS211" s="779" t="s">
        <v>116</v>
      </c>
      <c r="BT211" s="779" t="s">
        <v>116</v>
      </c>
      <c r="BU211" s="779" t="s">
        <v>116</v>
      </c>
      <c r="BV211" s="779" t="s">
        <v>116</v>
      </c>
      <c r="BW211" s="779" t="s">
        <v>116</v>
      </c>
      <c r="BX211" s="779" t="s">
        <v>116</v>
      </c>
      <c r="BY211" s="779" t="s">
        <v>116</v>
      </c>
      <c r="BZ211" s="779" t="s">
        <v>116</v>
      </c>
      <c r="CA211" s="1042"/>
      <c r="CB211"/>
      <c r="CC211"/>
      <c r="CD211" s="21"/>
      <c r="CE211" s="21"/>
      <c r="CF211" s="21"/>
      <c r="CH211" s="779"/>
    </row>
    <row r="212" spans="2:86">
      <c r="B212" s="17" t="s">
        <v>239</v>
      </c>
      <c r="D212" s="7">
        <f t="shared" ref="D212:I212" si="555">D154/D$207</f>
        <v>13070.570175438595</v>
      </c>
      <c r="E212" s="7">
        <f t="shared" si="555"/>
        <v>14293.833612040133</v>
      </c>
      <c r="F212" s="7">
        <f t="shared" si="555"/>
        <v>14136.871504170495</v>
      </c>
      <c r="G212" s="7">
        <f t="shared" si="555"/>
        <v>14171.231858656542</v>
      </c>
      <c r="H212" s="7">
        <f t="shared" si="555"/>
        <v>15079.394435351882</v>
      </c>
      <c r="I212" s="7">
        <f t="shared" si="555"/>
        <v>14755.528405620036</v>
      </c>
      <c r="J212" s="7">
        <f t="shared" ref="J212:M213" si="556">J154/J$207</f>
        <v>14233.010720667064</v>
      </c>
      <c r="K212" s="7">
        <f t="shared" si="556"/>
        <v>13025.558659217877</v>
      </c>
      <c r="L212" s="7">
        <f t="shared" si="556"/>
        <v>12862.756052141527</v>
      </c>
      <c r="M212" s="7">
        <f t="shared" si="556"/>
        <v>11599.143277778016</v>
      </c>
      <c r="N212" s="7">
        <f t="shared" ref="N212:Q213" si="557">N154/N$207</f>
        <v>12398.654683261304</v>
      </c>
      <c r="O212" s="7">
        <f t="shared" si="557"/>
        <v>13649.866512273389</v>
      </c>
      <c r="P212" s="7">
        <f t="shared" si="557"/>
        <v>15776.721522933902</v>
      </c>
      <c r="Q212" s="7">
        <f t="shared" si="557"/>
        <v>17442.802176592912</v>
      </c>
      <c r="R212" s="7">
        <f t="shared" ref="R212:U213" si="558">R154/R$207</f>
        <v>18293.360073454791</v>
      </c>
      <c r="S212" s="7">
        <f t="shared" si="558"/>
        <v>20647.839509823636</v>
      </c>
      <c r="T212" s="7">
        <f>T154/T$207</f>
        <v>24195.006295180294</v>
      </c>
      <c r="U212" s="7">
        <f t="shared" si="558"/>
        <v>24195.006295180294</v>
      </c>
      <c r="V212" s="7"/>
      <c r="W212" s="7"/>
      <c r="X212" s="7"/>
      <c r="Y212" s="7"/>
      <c r="Z212" s="7">
        <f>Z154/AVERAGE(W$207:Z$207)</f>
        <v>14136.222219666559</v>
      </c>
      <c r="AA212" s="7">
        <f t="shared" ref="AA212:BR213" si="559">AA154/AVERAGE(X$207:AA$207)</f>
        <v>14331.475152402205</v>
      </c>
      <c r="AB212" s="7">
        <f t="shared" si="559"/>
        <v>14195.115307382786</v>
      </c>
      <c r="AC212" s="7">
        <f t="shared" si="559"/>
        <v>14174.18330854417</v>
      </c>
      <c r="AD212" s="7">
        <f t="shared" si="559"/>
        <v>14170.647164517059</v>
      </c>
      <c r="AE212" s="7">
        <f t="shared" si="559"/>
        <v>14378.16067849026</v>
      </c>
      <c r="AF212" s="7">
        <f t="shared" si="559"/>
        <v>14760.725842788681</v>
      </c>
      <c r="AG212" s="7">
        <f t="shared" si="559"/>
        <v>14978.202237980082</v>
      </c>
      <c r="AH212" s="7">
        <f t="shared" si="559"/>
        <v>15079.394435351884</v>
      </c>
      <c r="AI212" s="7">
        <f t="shared" si="559"/>
        <v>14970.022984797775</v>
      </c>
      <c r="AJ212" s="7">
        <f t="shared" si="559"/>
        <v>14864.799334416228</v>
      </c>
      <c r="AK212" s="7">
        <f t="shared" si="559"/>
        <v>14771.759566251902</v>
      </c>
      <c r="AL212" s="7">
        <f t="shared" si="559"/>
        <v>14756.091787255165</v>
      </c>
      <c r="AM212" s="7">
        <f t="shared" si="559"/>
        <v>14856.175539134369</v>
      </c>
      <c r="AN212" s="7">
        <f t="shared" si="559"/>
        <v>14854.884659961863</v>
      </c>
      <c r="AO212" s="7">
        <f t="shared" si="559"/>
        <v>14646.818941504178</v>
      </c>
      <c r="AP212" s="7">
        <f t="shared" si="559"/>
        <v>14231.951165041319</v>
      </c>
      <c r="AQ212" s="7">
        <f t="shared" si="559"/>
        <v>13822.929888467463</v>
      </c>
      <c r="AR212" s="7">
        <f t="shared" si="559"/>
        <v>13537.249544626595</v>
      </c>
      <c r="AS212" s="7">
        <f t="shared" si="559"/>
        <v>13233.710711133284</v>
      </c>
      <c r="AT212" s="7">
        <f t="shared" si="559"/>
        <v>13024.548064240824</v>
      </c>
      <c r="AU212" s="7">
        <f t="shared" si="559"/>
        <v>12562.973643772288</v>
      </c>
      <c r="AV212" s="7">
        <f t="shared" si="559"/>
        <v>12052.582781413072</v>
      </c>
      <c r="AW212" s="7">
        <f t="shared" si="559"/>
        <v>11713.559928585229</v>
      </c>
      <c r="AX212" s="7">
        <f t="shared" si="559"/>
        <v>11584.417106117688</v>
      </c>
      <c r="AY212" s="7">
        <f t="shared" si="559"/>
        <v>11614.551616849172</v>
      </c>
      <c r="AZ212" s="7">
        <f t="shared" si="559"/>
        <v>11737.656962351417</v>
      </c>
      <c r="BA212" s="7">
        <f t="shared" si="559"/>
        <v>12056.1013494278</v>
      </c>
      <c r="BB212" s="7">
        <f t="shared" si="559"/>
        <v>12398.654683261304</v>
      </c>
      <c r="BC212" s="7">
        <f t="shared" si="559"/>
        <v>12573.210328536945</v>
      </c>
      <c r="BD212" s="7">
        <f t="shared" si="559"/>
        <v>13044.180043723736</v>
      </c>
      <c r="BE212" s="7">
        <f t="shared" si="559"/>
        <v>13515.04276013193</v>
      </c>
      <c r="BF212" s="7">
        <f t="shared" si="559"/>
        <v>13649.866512273389</v>
      </c>
      <c r="BG212" s="7">
        <f>BG154/AVERAGE(BD$207:BG$207)</f>
        <v>14140.686632107505</v>
      </c>
      <c r="BH212" s="7">
        <f t="shared" si="559"/>
        <v>14477.583896490532</v>
      </c>
      <c r="BI212" s="7">
        <f t="shared" si="559"/>
        <v>14910.35060543371</v>
      </c>
      <c r="BJ212" s="7">
        <f t="shared" si="559"/>
        <v>15776.721522933902</v>
      </c>
      <c r="BK212" s="7">
        <f>BK154/AVERAGE(BH$207:BK$207)</f>
        <v>16408.5729112472</v>
      </c>
      <c r="BL212" s="7">
        <f t="shared" si="559"/>
        <v>16925.562103773558</v>
      </c>
      <c r="BM212" s="7">
        <f t="shared" si="559"/>
        <v>17273.422415935464</v>
      </c>
      <c r="BN212" s="7">
        <f t="shared" si="559"/>
        <v>17409.472084908855</v>
      </c>
      <c r="BO212" s="7">
        <f>BO154/AVERAGE(BL$207:BO$207)</f>
        <v>17731.324468052557</v>
      </c>
      <c r="BP212" s="7">
        <f t="shared" si="559"/>
        <v>17924.607568404987</v>
      </c>
      <c r="BQ212" s="7">
        <f t="shared" si="559"/>
        <v>18143.446960234371</v>
      </c>
      <c r="BR212" s="7">
        <f t="shared" si="559"/>
        <v>18290.321703916437</v>
      </c>
      <c r="BS212" s="7">
        <f t="shared" ref="BS212:BZ213" si="560">BS154/AVERAGE(BP$207:BS$207)</f>
        <v>18351.09084126545</v>
      </c>
      <c r="BT212" s="7">
        <f t="shared" si="560"/>
        <v>18808.240203367066</v>
      </c>
      <c r="BU212" s="7">
        <f t="shared" si="560"/>
        <v>19602.006629042375</v>
      </c>
      <c r="BV212" s="7">
        <f t="shared" si="560"/>
        <v>20647.839509823636</v>
      </c>
      <c r="BW212" s="7">
        <f t="shared" si="560"/>
        <v>21821.925898936002</v>
      </c>
      <c r="BX212" s="7">
        <f t="shared" si="560"/>
        <v>22892.812171935573</v>
      </c>
      <c r="BY212" s="7">
        <f t="shared" si="560"/>
        <v>23630.660461272717</v>
      </c>
      <c r="BZ212" s="7">
        <f t="shared" si="560"/>
        <v>24195.006295180294</v>
      </c>
      <c r="CA212" s="7"/>
      <c r="CB212"/>
      <c r="CC212"/>
      <c r="CD212" s="7"/>
      <c r="CE212" s="7"/>
      <c r="CF212" s="7"/>
      <c r="CH212" s="7">
        <f>CH154/CH$207</f>
        <v>12165.593763122699</v>
      </c>
    </row>
    <row r="213" spans="2:86">
      <c r="B213" s="17" t="s">
        <v>240</v>
      </c>
      <c r="D213" s="7">
        <f t="shared" ref="D213:I213" si="561">D155/D$207</f>
        <v>4401.7105263157891</v>
      </c>
      <c r="E213" s="7">
        <f t="shared" si="561"/>
        <v>4651.6095317725749</v>
      </c>
      <c r="F213" s="7">
        <f t="shared" si="561"/>
        <v>4286.974095168106</v>
      </c>
      <c r="G213" s="7">
        <f t="shared" si="561"/>
        <v>4595.312757880838</v>
      </c>
      <c r="H213" s="7">
        <f t="shared" si="561"/>
        <v>5147.5777414075283</v>
      </c>
      <c r="I213" s="7">
        <f t="shared" si="561"/>
        <v>5218.1124007330482</v>
      </c>
      <c r="J213" s="7">
        <f t="shared" si="556"/>
        <v>5303.8713519952353</v>
      </c>
      <c r="K213" s="7">
        <f t="shared" si="556"/>
        <v>4725</v>
      </c>
      <c r="L213" s="7">
        <f t="shared" si="556"/>
        <v>4725</v>
      </c>
      <c r="M213" s="7">
        <f t="shared" si="556"/>
        <v>3761.9233614185991</v>
      </c>
      <c r="N213" s="7">
        <f t="shared" si="557"/>
        <v>5236.0107532205038</v>
      </c>
      <c r="O213" s="7">
        <f t="shared" si="557"/>
        <v>6219.591185833383</v>
      </c>
      <c r="P213" s="7">
        <f t="shared" si="557"/>
        <v>7830.3777268608965</v>
      </c>
      <c r="Q213" s="7">
        <f t="shared" si="557"/>
        <v>8932.1246684680427</v>
      </c>
      <c r="R213" s="7">
        <f t="shared" si="558"/>
        <v>10741.120185569998</v>
      </c>
      <c r="S213" s="7">
        <f t="shared" si="558"/>
        <v>12419.938254811275</v>
      </c>
      <c r="T213" s="7">
        <f>T155/T$207</f>
        <v>13724.070223089871</v>
      </c>
      <c r="U213" s="7">
        <f t="shared" si="558"/>
        <v>13724.070223089871</v>
      </c>
      <c r="V213" s="7"/>
      <c r="W213" s="7"/>
      <c r="X213" s="7"/>
      <c r="Y213" s="7"/>
      <c r="Z213" s="7">
        <f>Z155/AVERAGE(W$207:Z$207)</f>
        <v>4286.7772011206534</v>
      </c>
      <c r="AA213" s="7">
        <f t="shared" ref="AA213:BC213" si="562">AA155/AVERAGE(X$207:AA$207)</f>
        <v>4443.4263855366826</v>
      </c>
      <c r="AB213" s="7">
        <f t="shared" si="562"/>
        <v>4460.3653973145501</v>
      </c>
      <c r="AC213" s="7">
        <f t="shared" si="562"/>
        <v>4541.2726808075649</v>
      </c>
      <c r="AD213" s="7">
        <f t="shared" si="562"/>
        <v>4595.1231588067831</v>
      </c>
      <c r="AE213" s="7">
        <f t="shared" si="562"/>
        <v>4645.568181818182</v>
      </c>
      <c r="AF213" s="7">
        <f t="shared" si="562"/>
        <v>4835.2434390895578</v>
      </c>
      <c r="AG213" s="7">
        <f t="shared" si="562"/>
        <v>4944.7947943763593</v>
      </c>
      <c r="AH213" s="7">
        <f t="shared" si="562"/>
        <v>5147.5777414075292</v>
      </c>
      <c r="AI213" s="7">
        <f t="shared" si="562"/>
        <v>5225.1762611718223</v>
      </c>
      <c r="AJ213" s="7">
        <f t="shared" si="562"/>
        <v>5212.660192191538</v>
      </c>
      <c r="AK213" s="7">
        <f t="shared" si="562"/>
        <v>5245.3094507001606</v>
      </c>
      <c r="AL213" s="7">
        <f t="shared" si="562"/>
        <v>5218.3116337673255</v>
      </c>
      <c r="AM213" s="7">
        <f t="shared" si="562"/>
        <v>5353.3128757955055</v>
      </c>
      <c r="AN213" s="7">
        <f t="shared" si="562"/>
        <v>5488.2686685938579</v>
      </c>
      <c r="AO213" s="7">
        <f t="shared" si="562"/>
        <v>5466.2088259016864</v>
      </c>
      <c r="AP213" s="7">
        <f t="shared" si="562"/>
        <v>5303.4765130648411</v>
      </c>
      <c r="AQ213" s="7">
        <f t="shared" si="562"/>
        <v>5085.0661028403929</v>
      </c>
      <c r="AR213" s="7">
        <f t="shared" si="562"/>
        <v>4916.5254121971029</v>
      </c>
      <c r="AS213" s="7">
        <f t="shared" si="562"/>
        <v>4821.2274669875678</v>
      </c>
      <c r="AT213" s="7">
        <f t="shared" si="562"/>
        <v>4724.6334083326865</v>
      </c>
      <c r="AU213" s="7">
        <f t="shared" si="562"/>
        <v>4523.1963586805559</v>
      </c>
      <c r="AV213" s="7">
        <f t="shared" si="562"/>
        <v>4176.704613186952</v>
      </c>
      <c r="AW213" s="7">
        <f t="shared" si="562"/>
        <v>3876.632133928274</v>
      </c>
      <c r="AX213" s="7">
        <f t="shared" si="562"/>
        <v>3757.1472561609476</v>
      </c>
      <c r="AY213" s="7">
        <f t="shared" si="562"/>
        <v>3959.4946356055325</v>
      </c>
      <c r="AZ213" s="7">
        <f>AZ155/AVERAGE(AW$207:AZ$207)</f>
        <v>4321.563967909532</v>
      </c>
      <c r="BA213" s="7">
        <f t="shared" si="562"/>
        <v>4781.7653991155385</v>
      </c>
      <c r="BB213" s="7">
        <f t="shared" si="562"/>
        <v>5236.0107532205038</v>
      </c>
      <c r="BC213" s="7">
        <f t="shared" si="562"/>
        <v>5419.4940490241652</v>
      </c>
      <c r="BD213" s="7">
        <f>BD155/AVERAGE(BA$207:BD$207)</f>
        <v>5743.1886709387027</v>
      </c>
      <c r="BE213" s="7">
        <f>BE155/AVERAGE(BB$207:BE$207)</f>
        <v>6065.1979653692924</v>
      </c>
      <c r="BF213" s="7">
        <f t="shared" si="559"/>
        <v>6219.591185833383</v>
      </c>
      <c r="BG213" s="7">
        <f>BG155/AVERAGE(BD$207:BG$207)</f>
        <v>6609.6337010695415</v>
      </c>
      <c r="BH213" s="7">
        <f>BH155/AVERAGE(BE$207:BH$207)</f>
        <v>6905.8317428014461</v>
      </c>
      <c r="BI213" s="7">
        <f>BI155/AVERAGE(BF$207:BI$207)</f>
        <v>7252.5226686589504</v>
      </c>
      <c r="BJ213" s="7">
        <f t="shared" si="559"/>
        <v>7830.3777268608965</v>
      </c>
      <c r="BK213" s="7">
        <f>BK155/AVERAGE(BH$207:BK$207)</f>
        <v>8197.1052801624355</v>
      </c>
      <c r="BL213" s="7">
        <f>BL155/AVERAGE(BI$207:BL$207)</f>
        <v>8523.2340146405531</v>
      </c>
      <c r="BM213" s="7">
        <f>BM155/AVERAGE(BJ$207:BM$207)</f>
        <v>8783.9778759088276</v>
      </c>
      <c r="BN213" s="7">
        <f t="shared" si="559"/>
        <v>8915.0569673544596</v>
      </c>
      <c r="BO213" s="7">
        <f>BO155/AVERAGE(BL$207:BO$207)</f>
        <v>9164.085209504985</v>
      </c>
      <c r="BP213" s="7">
        <f>BP155/AVERAGE(BM$207:BP$207)</f>
        <v>9334.0320020656291</v>
      </c>
      <c r="BQ213" s="7">
        <f>BQ155/AVERAGE(BN$207:BQ$207)</f>
        <v>9479.2013747009023</v>
      </c>
      <c r="BR213" s="7">
        <f t="shared" si="559"/>
        <v>10739.336178025809</v>
      </c>
      <c r="BS213" s="7">
        <f t="shared" si="560"/>
        <v>11093.272042454362</v>
      </c>
      <c r="BT213" s="7">
        <f t="shared" si="560"/>
        <v>11755.204086526932</v>
      </c>
      <c r="BU213" s="7">
        <f t="shared" si="560"/>
        <v>12785.826522166873</v>
      </c>
      <c r="BV213" s="7">
        <f t="shared" si="560"/>
        <v>12419.938254811275</v>
      </c>
      <c r="BW213" s="7">
        <f t="shared" si="560"/>
        <v>12945.536393795235</v>
      </c>
      <c r="BX213" s="7">
        <f t="shared" si="560"/>
        <v>13324.314499829881</v>
      </c>
      <c r="BY213" s="7">
        <f t="shared" si="560"/>
        <v>13386.400546319515</v>
      </c>
      <c r="BZ213" s="7">
        <f t="shared" si="560"/>
        <v>13724.070223089871</v>
      </c>
      <c r="CA213" s="7"/>
      <c r="CB213"/>
      <c r="CC213"/>
      <c r="CD213" s="7"/>
      <c r="CE213" s="7"/>
      <c r="CF213" s="7"/>
      <c r="CH213" s="7">
        <f>CH155/CH$207</f>
        <v>4906.4149726636251</v>
      </c>
    </row>
    <row r="214" spans="2:86">
      <c r="B214" s="17" t="s">
        <v>241</v>
      </c>
      <c r="D214" s="58">
        <f>D213/D212</f>
        <v>0.33676499703029106</v>
      </c>
      <c r="E214" s="58">
        <f t="shared" ref="E214:K214" si="563">E213/E212</f>
        <v>0.3254277094602796</v>
      </c>
      <c r="F214" s="58">
        <f t="shared" si="563"/>
        <v>0.30324772308381054</v>
      </c>
      <c r="G214" s="58">
        <f t="shared" si="563"/>
        <v>0.32427052240160598</v>
      </c>
      <c r="H214" s="58">
        <f t="shared" si="563"/>
        <v>0.34136501724098633</v>
      </c>
      <c r="I214" s="58">
        <f t="shared" si="563"/>
        <v>0.35363778627850367</v>
      </c>
      <c r="J214" s="58">
        <f t="shared" si="563"/>
        <v>0.37264577790935977</v>
      </c>
      <c r="K214" s="58">
        <f t="shared" si="563"/>
        <v>0.36274835679744377</v>
      </c>
      <c r="L214" s="58">
        <f t="shared" ref="L214:R214" si="564">L213/L212</f>
        <v>0.36733962619257887</v>
      </c>
      <c r="M214" s="58">
        <f t="shared" si="564"/>
        <v>0.32432769139301898</v>
      </c>
      <c r="N214" s="58">
        <f t="shared" si="564"/>
        <v>0.42230474894097458</v>
      </c>
      <c r="O214" s="58">
        <f t="shared" si="564"/>
        <v>0.45565216189044683</v>
      </c>
      <c r="P214" s="58">
        <f t="shared" si="564"/>
        <v>0.49632477289265914</v>
      </c>
      <c r="Q214" s="58">
        <f t="shared" si="564"/>
        <v>0.51208083300138352</v>
      </c>
      <c r="R214" s="58">
        <f t="shared" si="564"/>
        <v>0.58715950172304709</v>
      </c>
      <c r="S214" s="58">
        <f>S213/S212</f>
        <v>0.60151272722273108</v>
      </c>
      <c r="T214" s="58">
        <f>T213/T212</f>
        <v>0.56722738798475703</v>
      </c>
      <c r="U214" s="58">
        <f>U213/U212</f>
        <v>0.56722738798475703</v>
      </c>
      <c r="V214" s="58"/>
      <c r="W214" s="58"/>
      <c r="X214" s="58"/>
      <c r="Y214" s="58"/>
      <c r="Z214" s="58">
        <f t="shared" ref="Z214:AW214" si="565">Z213/Z212</f>
        <v>0.30324772308381048</v>
      </c>
      <c r="AA214" s="58">
        <f t="shared" si="565"/>
        <v>0.31004668663099116</v>
      </c>
      <c r="AB214" s="58">
        <f t="shared" si="565"/>
        <v>0.31421832797615551</v>
      </c>
      <c r="AC214" s="58">
        <f t="shared" si="565"/>
        <v>0.32039042969552217</v>
      </c>
      <c r="AD214" s="58">
        <f t="shared" si="565"/>
        <v>0.32427052240160598</v>
      </c>
      <c r="AE214" s="58">
        <f t="shared" si="565"/>
        <v>0.32309891965305104</v>
      </c>
      <c r="AF214" s="58">
        <f t="shared" si="565"/>
        <v>0.32757490997313016</v>
      </c>
      <c r="AG214" s="58">
        <f t="shared" si="565"/>
        <v>0.33013272993723447</v>
      </c>
      <c r="AH214" s="58">
        <f t="shared" si="565"/>
        <v>0.34136501724098633</v>
      </c>
      <c r="AI214" s="58">
        <f t="shared" si="565"/>
        <v>0.34904263450216788</v>
      </c>
      <c r="AJ214" s="58">
        <f t="shared" si="565"/>
        <v>0.35067141337877</v>
      </c>
      <c r="AK214" s="58">
        <f t="shared" si="565"/>
        <v>0.35509036192843169</v>
      </c>
      <c r="AL214" s="58">
        <f t="shared" si="565"/>
        <v>0.35363778627850367</v>
      </c>
      <c r="AM214" s="58">
        <f t="shared" si="565"/>
        <v>0.36034259703607602</v>
      </c>
      <c r="AN214" s="58">
        <f t="shared" si="565"/>
        <v>0.36945885439193626</v>
      </c>
      <c r="AO214" s="58">
        <f t="shared" si="565"/>
        <v>0.37320109217792552</v>
      </c>
      <c r="AP214" s="58">
        <f t="shared" si="565"/>
        <v>0.37264577790935977</v>
      </c>
      <c r="AQ214" s="58">
        <f t="shared" si="565"/>
        <v>0.36787180025291805</v>
      </c>
      <c r="AR214" s="58">
        <f t="shared" si="565"/>
        <v>0.36318495836169634</v>
      </c>
      <c r="AS214" s="58">
        <f t="shared" si="565"/>
        <v>0.36431410450370172</v>
      </c>
      <c r="AT214" s="58">
        <f t="shared" si="565"/>
        <v>0.36274835679744383</v>
      </c>
      <c r="AU214" s="58">
        <f t="shared" si="565"/>
        <v>0.3600418568833656</v>
      </c>
      <c r="AV214" s="58">
        <f t="shared" si="565"/>
        <v>0.34654021373975297</v>
      </c>
      <c r="AW214" s="58">
        <f t="shared" si="565"/>
        <v>0.33095251636250395</v>
      </c>
      <c r="AX214" s="58">
        <f t="shared" ref="AX214:BC214" si="566">AX213/AX212</f>
        <v>0.32432769139301898</v>
      </c>
      <c r="AY214" s="58">
        <f t="shared" si="566"/>
        <v>0.34090809238485914</v>
      </c>
      <c r="AZ214" s="58">
        <f t="shared" si="566"/>
        <v>0.36817944005102266</v>
      </c>
      <c r="BA214" s="58">
        <f t="shared" si="566"/>
        <v>0.39662617794287935</v>
      </c>
      <c r="BB214" s="58">
        <f t="shared" si="566"/>
        <v>0.42230474894097458</v>
      </c>
      <c r="BC214" s="58">
        <f t="shared" si="566"/>
        <v>0.43103502664898102</v>
      </c>
      <c r="BD214" s="58">
        <f t="shared" ref="BD214:BI214" si="567">BD213/BD212</f>
        <v>0.44028744249831653</v>
      </c>
      <c r="BE214" s="58">
        <f t="shared" si="567"/>
        <v>0.44877386427966326</v>
      </c>
      <c r="BF214" s="58">
        <f t="shared" si="567"/>
        <v>0.45565216189044683</v>
      </c>
      <c r="BG214" s="58">
        <f t="shared" si="567"/>
        <v>0.46741957254479177</v>
      </c>
      <c r="BH214" s="58">
        <f t="shared" si="567"/>
        <v>0.47700167321948439</v>
      </c>
      <c r="BI214" s="58">
        <f t="shared" si="567"/>
        <v>0.48640859363937067</v>
      </c>
      <c r="BJ214" s="58">
        <f t="shared" ref="BJ214:BP214" si="568">BJ213/BJ212</f>
        <v>0.49632477289265914</v>
      </c>
      <c r="BK214" s="58">
        <f t="shared" si="568"/>
        <v>0.49956235222282847</v>
      </c>
      <c r="BL214" s="58">
        <f t="shared" si="568"/>
        <v>0.50357169601713236</v>
      </c>
      <c r="BM214" s="58">
        <f t="shared" si="568"/>
        <v>0.50852562187127648</v>
      </c>
      <c r="BN214" s="58">
        <f t="shared" si="568"/>
        <v>0.51208083300138352</v>
      </c>
      <c r="BO214" s="58">
        <f t="shared" si="568"/>
        <v>0.51683026984342828</v>
      </c>
      <c r="BP214" s="58">
        <f t="shared" si="568"/>
        <v>0.52073842991789487</v>
      </c>
      <c r="BQ214" s="58">
        <f t="shared" ref="BQ214:BV214" si="569">BQ213/BQ212</f>
        <v>0.52245868138930829</v>
      </c>
      <c r="BR214" s="58">
        <f t="shared" si="569"/>
        <v>0.58715950172304709</v>
      </c>
      <c r="BS214" s="58">
        <f t="shared" si="569"/>
        <v>0.60450205049987071</v>
      </c>
      <c r="BT214" s="58">
        <f t="shared" si="569"/>
        <v>0.62500286892457413</v>
      </c>
      <c r="BU214" s="58">
        <f t="shared" si="569"/>
        <v>0.65227130895993912</v>
      </c>
      <c r="BV214" s="58">
        <f t="shared" si="569"/>
        <v>0.60151272722273108</v>
      </c>
      <c r="BW214" s="58">
        <f>BW213/BW212</f>
        <v>0.59323528334529063</v>
      </c>
      <c r="BX214" s="58">
        <f>BX213/BX212</f>
        <v>0.5820304818716957</v>
      </c>
      <c r="BY214" s="58">
        <f>BY213/BY212</f>
        <v>0.56648440140968204</v>
      </c>
      <c r="BZ214" s="58">
        <f>BZ213/BZ212</f>
        <v>0.56722738798475703</v>
      </c>
      <c r="CA214" s="58"/>
      <c r="CB214"/>
      <c r="CC214"/>
      <c r="CD214" s="58"/>
      <c r="CE214" s="58"/>
      <c r="CF214" s="58"/>
      <c r="CH214" s="58">
        <f>CH213/CH212</f>
        <v>0.40330254882719613</v>
      </c>
    </row>
    <row r="215" spans="2:86">
      <c r="B215" s="17" t="s">
        <v>242</v>
      </c>
      <c r="D215" s="7">
        <f t="shared" ref="D215:AX215" si="570">D157/D$208</f>
        <v>13812.026875699888</v>
      </c>
      <c r="E215" s="7">
        <f t="shared" si="570"/>
        <v>13491.634089132136</v>
      </c>
      <c r="F215" s="7">
        <f t="shared" si="570"/>
        <v>12269.957712814856</v>
      </c>
      <c r="G215" s="7">
        <f t="shared" si="570"/>
        <v>12645.324459234609</v>
      </c>
      <c r="H215" s="7">
        <f t="shared" si="570"/>
        <v>12890.8611599297</v>
      </c>
      <c r="I215" s="7">
        <f t="shared" si="570"/>
        <v>15161.51233869142</v>
      </c>
      <c r="J215" s="7">
        <f t="shared" si="570"/>
        <v>16565.628373168853</v>
      </c>
      <c r="K215" s="7">
        <f t="shared" si="570"/>
        <v>17515.741024854247</v>
      </c>
      <c r="L215" s="7">
        <f t="shared" si="570"/>
        <v>17208.556908753038</v>
      </c>
      <c r="M215" s="7">
        <f t="shared" si="570"/>
        <v>18179.955134427863</v>
      </c>
      <c r="N215" s="7">
        <f t="shared" ref="N215:O217" si="571">N157/N$208</f>
        <v>19637.705044037306</v>
      </c>
      <c r="O215" s="7">
        <f t="shared" si="571"/>
        <v>22208.273855463653</v>
      </c>
      <c r="P215" s="7">
        <f t="shared" ref="P215:Q217" si="572">P157/P$208</f>
        <v>22798.292092522861</v>
      </c>
      <c r="Q215" s="7">
        <f t="shared" si="572"/>
        <v>27530.421539961015</v>
      </c>
      <c r="R215" s="7">
        <f t="shared" ref="R215:U217" si="573">R157/R$208</f>
        <v>25790.149970006001</v>
      </c>
      <c r="S215" s="7">
        <f t="shared" ref="S215:T217" si="574">S157/S$208</f>
        <v>25013.820947922763</v>
      </c>
      <c r="T215" s="7">
        <f t="shared" si="574"/>
        <v>20913.579718671444</v>
      </c>
      <c r="U215" s="7">
        <f t="shared" si="573"/>
        <v>20913.579718671444</v>
      </c>
      <c r="V215" s="7"/>
      <c r="W215" s="7">
        <f t="shared" si="570"/>
        <v>12533.759545373823</v>
      </c>
      <c r="X215" s="7">
        <f t="shared" si="570"/>
        <v>12206.489563567362</v>
      </c>
      <c r="Y215" s="7">
        <f t="shared" si="570"/>
        <v>12377.710843373494</v>
      </c>
      <c r="Z215" s="7">
        <f t="shared" si="570"/>
        <v>12269.957712814856</v>
      </c>
      <c r="AA215" s="7">
        <f t="shared" si="570"/>
        <v>12473.015075376883</v>
      </c>
      <c r="AB215" s="7">
        <f t="shared" si="570"/>
        <v>11857.868748008919</v>
      </c>
      <c r="AC215" s="7">
        <f t="shared" si="570"/>
        <v>11843.941841680129</v>
      </c>
      <c r="AD215" s="7">
        <f t="shared" si="570"/>
        <v>12645.324459234609</v>
      </c>
      <c r="AE215" s="7">
        <f t="shared" si="570"/>
        <v>11927.95806290564</v>
      </c>
      <c r="AF215" s="7">
        <f t="shared" si="570"/>
        <v>12160.915435805875</v>
      </c>
      <c r="AG215" s="7">
        <f t="shared" si="570"/>
        <v>12620.748460445287</v>
      </c>
      <c r="AH215" s="7">
        <f t="shared" si="570"/>
        <v>12890.8611599297</v>
      </c>
      <c r="AI215" s="7">
        <f t="shared" si="570"/>
        <v>14894.511020517646</v>
      </c>
      <c r="AJ215" s="7">
        <f t="shared" si="570"/>
        <v>13887.310699406755</v>
      </c>
      <c r="AK215" s="7">
        <f t="shared" si="570"/>
        <v>14279.817945256797</v>
      </c>
      <c r="AL215" s="7">
        <f t="shared" si="570"/>
        <v>15160.368246302443</v>
      </c>
      <c r="AM215" s="7">
        <f t="shared" si="570"/>
        <v>15067.510735969199</v>
      </c>
      <c r="AN215" s="7">
        <f t="shared" si="570"/>
        <v>14832.428936823177</v>
      </c>
      <c r="AO215" s="7">
        <f t="shared" si="570"/>
        <v>16791.505962019724</v>
      </c>
      <c r="AP215" s="7">
        <f t="shared" si="570"/>
        <v>16565.628373168853</v>
      </c>
      <c r="AQ215" s="7">
        <f t="shared" si="570"/>
        <v>15920.083617218954</v>
      </c>
      <c r="AR215" s="7">
        <f t="shared" si="570"/>
        <v>16131.729177900181</v>
      </c>
      <c r="AS215" s="7">
        <f t="shared" si="570"/>
        <v>16631.271221079758</v>
      </c>
      <c r="AT215" s="7">
        <f t="shared" si="570"/>
        <v>17515.741024854247</v>
      </c>
      <c r="AU215" s="7">
        <f t="shared" si="570"/>
        <v>17568.847670512634</v>
      </c>
      <c r="AV215" s="7">
        <f t="shared" si="570"/>
        <v>17719.187884107974</v>
      </c>
      <c r="AW215" s="7">
        <f t="shared" si="570"/>
        <v>17425.496129877771</v>
      </c>
      <c r="AX215" s="7">
        <f t="shared" si="570"/>
        <v>18177.011012138883</v>
      </c>
      <c r="AY215" s="7">
        <f t="shared" ref="AY215:AZ217" si="575">AY157/AY$208</f>
        <v>18802.945396830051</v>
      </c>
      <c r="AZ215" s="7">
        <f t="shared" si="575"/>
        <v>19030.111016629286</v>
      </c>
      <c r="BA215" s="7">
        <f t="shared" ref="BA215:BD217" si="576">BA157/BA$208</f>
        <v>20624.463868584808</v>
      </c>
      <c r="BB215" s="7">
        <f t="shared" si="576"/>
        <v>19637.705044037306</v>
      </c>
      <c r="BC215" s="7">
        <f t="shared" si="576"/>
        <v>19240.677502806895</v>
      </c>
      <c r="BD215" s="7">
        <f t="shared" si="576"/>
        <v>21605.894070796341</v>
      </c>
      <c r="BE215" s="7">
        <f t="shared" ref="BE215:BH217" si="577">BE157/BE$208</f>
        <v>21628.352280509516</v>
      </c>
      <c r="BF215" s="7">
        <f t="shared" si="577"/>
        <v>22208.273855463653</v>
      </c>
      <c r="BG215" s="7">
        <f t="shared" si="577"/>
        <v>22675.429868390624</v>
      </c>
      <c r="BH215" s="7">
        <f t="shared" si="577"/>
        <v>24278.28884613519</v>
      </c>
      <c r="BI215" s="7">
        <f t="shared" ref="BI215:BL217" si="578">BI157/BI$208</f>
        <v>22598.887981529027</v>
      </c>
      <c r="BJ215" s="7">
        <f t="shared" si="578"/>
        <v>22798.292092522861</v>
      </c>
      <c r="BK215" s="7">
        <f t="shared" si="578"/>
        <v>22544.31286910579</v>
      </c>
      <c r="BL215" s="7">
        <f t="shared" si="578"/>
        <v>26749.18111169399</v>
      </c>
      <c r="BM215" s="7">
        <f t="shared" ref="BM215:BQ217" si="579">BM157/BM$208</f>
        <v>26845.101028930912</v>
      </c>
      <c r="BN215" s="7">
        <f t="shared" si="579"/>
        <v>27530.421539961015</v>
      </c>
      <c r="BO215" s="7">
        <f t="shared" si="579"/>
        <v>27397.308160779539</v>
      </c>
      <c r="BP215" s="7">
        <f t="shared" si="579"/>
        <v>26175.069686339055</v>
      </c>
      <c r="BQ215" s="7">
        <f t="shared" si="579"/>
        <v>26250.558639083112</v>
      </c>
      <c r="BR215" s="7">
        <f t="shared" ref="BR215:BS217" si="580">BR157/BR$208</f>
        <v>25790.149970006001</v>
      </c>
      <c r="BS215" s="7">
        <f t="shared" si="580"/>
        <v>25069.939834431047</v>
      </c>
      <c r="BT215" s="7">
        <f t="shared" ref="BT215:BW217" si="581">BT157/BT$208</f>
        <v>26942.282922404636</v>
      </c>
      <c r="BU215" s="7">
        <f t="shared" si="581"/>
        <v>23930.429903920329</v>
      </c>
      <c r="BV215" s="7">
        <f t="shared" si="581"/>
        <v>25013.820947922763</v>
      </c>
      <c r="BW215" s="7">
        <f t="shared" si="581"/>
        <v>23741.493582263709</v>
      </c>
      <c r="BX215" s="7">
        <f t="shared" ref="BX215:BY217" si="582">BX157/BX$208</f>
        <v>23425.580531511354</v>
      </c>
      <c r="BY215" s="7">
        <f t="shared" si="582"/>
        <v>22032.045932503257</v>
      </c>
      <c r="BZ215" s="7">
        <f>BZ157/BZ$208</f>
        <v>20913.579718671444</v>
      </c>
      <c r="CA215" s="7"/>
      <c r="CB215"/>
      <c r="CC215"/>
      <c r="CD215" s="7"/>
      <c r="CE215" s="7"/>
      <c r="CF215" s="7"/>
      <c r="CH215" s="7">
        <f>CH157/CH$208</f>
        <v>19971.326570017325</v>
      </c>
    </row>
    <row r="216" spans="2:86">
      <c r="B216" s="17" t="s">
        <v>79</v>
      </c>
      <c r="D216" s="7">
        <f t="shared" ref="D216:AW216" si="583">D158/D$208</f>
        <v>385.10638297872339</v>
      </c>
      <c r="E216" s="7">
        <f t="shared" si="583"/>
        <v>778.69429241595003</v>
      </c>
      <c r="F216" s="7">
        <f t="shared" si="583"/>
        <v>1540.6508549365692</v>
      </c>
      <c r="G216" s="7">
        <f t="shared" si="583"/>
        <v>2571.8469217970051</v>
      </c>
      <c r="H216" s="7">
        <f t="shared" si="583"/>
        <v>2211.5673430260422</v>
      </c>
      <c r="I216" s="7">
        <f t="shared" si="583"/>
        <v>1683.6012376424421</v>
      </c>
      <c r="J216" s="7">
        <f t="shared" si="583"/>
        <v>1599.5836545875097</v>
      </c>
      <c r="K216" s="7">
        <f t="shared" si="583"/>
        <v>1850.1534212948754</v>
      </c>
      <c r="L216" s="7">
        <f>L158/L$208</f>
        <v>1850.1600422883241</v>
      </c>
      <c r="M216" s="7">
        <f>M158/M$208</f>
        <v>1839.8417544869762</v>
      </c>
      <c r="N216" s="7">
        <f t="shared" si="571"/>
        <v>3858.1072559393024</v>
      </c>
      <c r="O216" s="7">
        <f t="shared" si="571"/>
        <v>1922.1380615109313</v>
      </c>
      <c r="P216" s="7">
        <f t="shared" si="572"/>
        <v>1240.0215169445939</v>
      </c>
      <c r="Q216" s="7">
        <f t="shared" si="572"/>
        <v>1564.7417153996103</v>
      </c>
      <c r="R216" s="7">
        <f t="shared" si="573"/>
        <v>1237.5164967006599</v>
      </c>
      <c r="S216" s="7">
        <f t="shared" si="574"/>
        <v>1159.1222937390287</v>
      </c>
      <c r="T216" s="7">
        <f t="shared" si="574"/>
        <v>3286.281221586351</v>
      </c>
      <c r="U216" s="7">
        <f t="shared" si="573"/>
        <v>3286.281221586351</v>
      </c>
      <c r="V216" s="7"/>
      <c r="W216" s="7">
        <f t="shared" si="583"/>
        <v>911.95169596874439</v>
      </c>
      <c r="X216" s="7">
        <f t="shared" si="583"/>
        <v>621.55597722960147</v>
      </c>
      <c r="Y216" s="7">
        <f t="shared" si="583"/>
        <v>1718.0357794815625</v>
      </c>
      <c r="Z216" s="7">
        <f t="shared" si="583"/>
        <v>1540.6508549365692</v>
      </c>
      <c r="AA216" s="7">
        <f t="shared" si="583"/>
        <v>2637.0854271356784</v>
      </c>
      <c r="AB216" s="7">
        <f t="shared" si="583"/>
        <v>2085.6482956355526</v>
      </c>
      <c r="AC216" s="7">
        <f t="shared" si="583"/>
        <v>2531.6639741518579</v>
      </c>
      <c r="AD216" s="7">
        <f t="shared" si="583"/>
        <v>2571.8469217970051</v>
      </c>
      <c r="AE216" s="7">
        <f t="shared" si="583"/>
        <v>2318.3225162256613</v>
      </c>
      <c r="AF216" s="7">
        <f t="shared" si="583"/>
        <v>2062.5872423307906</v>
      </c>
      <c r="AG216" s="7">
        <f t="shared" si="583"/>
        <v>2066.6982472761724</v>
      </c>
      <c r="AH216" s="7">
        <f t="shared" si="583"/>
        <v>2211.5673430260422</v>
      </c>
      <c r="AI216" s="7">
        <f t="shared" si="583"/>
        <v>3602.4156862745099</v>
      </c>
      <c r="AJ216" s="7">
        <f t="shared" si="583"/>
        <v>2364.7855187100699</v>
      </c>
      <c r="AK216" s="7">
        <f t="shared" si="583"/>
        <v>1569.3202416918427</v>
      </c>
      <c r="AL216" s="7">
        <f t="shared" si="583"/>
        <v>1683.4741925747055</v>
      </c>
      <c r="AM216" s="7">
        <f t="shared" si="583"/>
        <v>1896.4756404560935</v>
      </c>
      <c r="AN216" s="7">
        <f t="shared" si="583"/>
        <v>1718.7543646226356</v>
      </c>
      <c r="AO216" s="7">
        <f t="shared" si="583"/>
        <v>1572.8102458413071</v>
      </c>
      <c r="AP216" s="7">
        <f t="shared" si="583"/>
        <v>1599.5836545875097</v>
      </c>
      <c r="AQ216" s="7">
        <f t="shared" si="583"/>
        <v>1460.6379684112728</v>
      </c>
      <c r="AR216" s="7">
        <f t="shared" si="583"/>
        <v>1300.8629363880839</v>
      </c>
      <c r="AS216" s="7">
        <f t="shared" si="583"/>
        <v>1516.5466499686913</v>
      </c>
      <c r="AT216" s="7">
        <f t="shared" si="583"/>
        <v>1850.1534212948754</v>
      </c>
      <c r="AU216" s="7">
        <f t="shared" si="583"/>
        <v>1807.9889002482839</v>
      </c>
      <c r="AV216" s="7">
        <f t="shared" si="583"/>
        <v>1381.1146365015866</v>
      </c>
      <c r="AW216" s="7">
        <f t="shared" si="583"/>
        <v>1473.5416368066506</v>
      </c>
      <c r="AX216" s="7">
        <f>AX158/AX$208</f>
        <v>1839.5438044052778</v>
      </c>
      <c r="AY216" s="7">
        <f t="shared" si="575"/>
        <v>1902.655336547595</v>
      </c>
      <c r="AZ216" s="7">
        <f t="shared" si="575"/>
        <v>2573.8619599645954</v>
      </c>
      <c r="BA216" s="7">
        <f t="shared" si="576"/>
        <v>4408.3775516977175</v>
      </c>
      <c r="BB216" s="7">
        <f t="shared" si="576"/>
        <v>3858.1072559393024</v>
      </c>
      <c r="BC216" s="7">
        <f t="shared" si="576"/>
        <v>3806.6342024164101</v>
      </c>
      <c r="BD216" s="7">
        <f t="shared" si="576"/>
        <v>2918.9678757979873</v>
      </c>
      <c r="BE216" s="7">
        <f t="shared" si="577"/>
        <v>1434.104917134639</v>
      </c>
      <c r="BF216" s="7">
        <f t="shared" si="577"/>
        <v>1922.1380615109313</v>
      </c>
      <c r="BG216" s="7">
        <f t="shared" si="577"/>
        <v>1212.6537549279565</v>
      </c>
      <c r="BH216" s="7">
        <f t="shared" si="577"/>
        <v>1881.1941215462466</v>
      </c>
      <c r="BI216" s="7">
        <f t="shared" si="578"/>
        <v>1228.0755428841771</v>
      </c>
      <c r="BJ216" s="7">
        <f t="shared" si="578"/>
        <v>1240.0215169445939</v>
      </c>
      <c r="BK216" s="7">
        <f t="shared" si="578"/>
        <v>1343.1597703441334</v>
      </c>
      <c r="BL216" s="7">
        <f t="shared" si="578"/>
        <v>1013.9400623403469</v>
      </c>
      <c r="BM216" s="7">
        <f t="shared" si="579"/>
        <v>1489.8411046139245</v>
      </c>
      <c r="BN216" s="7">
        <f t="shared" si="579"/>
        <v>1564.7417153996103</v>
      </c>
      <c r="BO216" s="7">
        <f t="shared" si="579"/>
        <v>2095.359317904994</v>
      </c>
      <c r="BP216" s="7">
        <f t="shared" si="579"/>
        <v>1245.4258919411729</v>
      </c>
      <c r="BQ216" s="7">
        <f t="shared" si="579"/>
        <v>1974.3626708955044</v>
      </c>
      <c r="BR216" s="7">
        <f t="shared" si="580"/>
        <v>1237.5164967006599</v>
      </c>
      <c r="BS216" s="7">
        <f t="shared" si="580"/>
        <v>766.63469376762043</v>
      </c>
      <c r="BT216" s="7">
        <f t="shared" si="581"/>
        <v>646.71847849083645</v>
      </c>
      <c r="BU216" s="7">
        <f t="shared" si="581"/>
        <v>949.77441148280616</v>
      </c>
      <c r="BV216" s="7">
        <f t="shared" si="581"/>
        <v>1159.1222937390287</v>
      </c>
      <c r="BW216" s="7">
        <f t="shared" si="581"/>
        <v>1386.83780630105</v>
      </c>
      <c r="BX216" s="7">
        <f t="shared" si="582"/>
        <v>1508.5489807633865</v>
      </c>
      <c r="BY216" s="7">
        <f t="shared" si="582"/>
        <v>1711.7423863092656</v>
      </c>
      <c r="BZ216" s="7">
        <f>BZ158/BZ$208</f>
        <v>3286.281221586351</v>
      </c>
      <c r="CA216" s="7"/>
      <c r="CB216"/>
      <c r="CC216"/>
      <c r="CD216" s="7"/>
      <c r="CE216" s="7"/>
      <c r="CF216" s="7"/>
      <c r="CH216" s="7">
        <f>CH158/CH$208</f>
        <v>3858.1072559393024</v>
      </c>
    </row>
    <row r="217" spans="2:86">
      <c r="B217" s="17" t="s">
        <v>243</v>
      </c>
      <c r="D217" s="7">
        <f t="shared" ref="D217:AW217" si="584">D159/D$208</f>
        <v>13426.920492721165</v>
      </c>
      <c r="E217" s="7">
        <f t="shared" si="584"/>
        <v>12712.939796716186</v>
      </c>
      <c r="F217" s="7">
        <f t="shared" si="584"/>
        <v>10729.306857878286</v>
      </c>
      <c r="G217" s="7">
        <f t="shared" si="584"/>
        <v>10073.477537437604</v>
      </c>
      <c r="H217" s="7">
        <f t="shared" si="584"/>
        <v>10679.293816903659</v>
      </c>
      <c r="I217" s="7">
        <f t="shared" si="584"/>
        <v>13477.911101048978</v>
      </c>
      <c r="J217" s="7">
        <f t="shared" si="584"/>
        <v>14966.044718581343</v>
      </c>
      <c r="K217" s="7">
        <f t="shared" si="584"/>
        <v>15665.587603559372</v>
      </c>
      <c r="L217" s="7">
        <f>L159/L$208</f>
        <v>15358.396866464713</v>
      </c>
      <c r="M217" s="7">
        <f>M159/M$208</f>
        <v>16340.113379940885</v>
      </c>
      <c r="N217" s="7">
        <f t="shared" si="571"/>
        <v>15779.597788098003</v>
      </c>
      <c r="O217" s="7">
        <f t="shared" si="571"/>
        <v>20286.135793952722</v>
      </c>
      <c r="P217" s="7">
        <f t="shared" si="572"/>
        <v>21558.270575578266</v>
      </c>
      <c r="Q217" s="7">
        <f t="shared" si="572"/>
        <v>25965.679824561405</v>
      </c>
      <c r="R217" s="7">
        <f t="shared" si="573"/>
        <v>24552.633473305341</v>
      </c>
      <c r="S217" s="7">
        <f t="shared" si="574"/>
        <v>23854.698654183732</v>
      </c>
      <c r="T217" s="7">
        <f t="shared" si="574"/>
        <v>17627.298497085096</v>
      </c>
      <c r="U217" s="7">
        <f t="shared" si="573"/>
        <v>17627.298497085096</v>
      </c>
      <c r="V217" s="7"/>
      <c r="W217" s="7">
        <f t="shared" si="584"/>
        <v>11621.807849405079</v>
      </c>
      <c r="X217" s="7">
        <f t="shared" si="584"/>
        <v>11584.93358633776</v>
      </c>
      <c r="Y217" s="7">
        <f t="shared" si="584"/>
        <v>10659.675063891931</v>
      </c>
      <c r="Z217" s="7">
        <f t="shared" si="584"/>
        <v>10729.306857878286</v>
      </c>
      <c r="AA217" s="7">
        <f t="shared" si="584"/>
        <v>9835.9296482412065</v>
      </c>
      <c r="AB217" s="7">
        <f t="shared" si="584"/>
        <v>9772.2204523733672</v>
      </c>
      <c r="AC217" s="7">
        <f t="shared" si="584"/>
        <v>9312.2778675282716</v>
      </c>
      <c r="AD217" s="7">
        <f t="shared" si="584"/>
        <v>10073.477537437604</v>
      </c>
      <c r="AE217" s="7">
        <f t="shared" si="584"/>
        <v>9609.6355466799796</v>
      </c>
      <c r="AF217" s="7">
        <f t="shared" si="584"/>
        <v>10098.328193475085</v>
      </c>
      <c r="AG217" s="7">
        <f t="shared" si="584"/>
        <v>10554.050213169114</v>
      </c>
      <c r="AH217" s="7">
        <f t="shared" si="584"/>
        <v>10679.293816903659</v>
      </c>
      <c r="AI217" s="7">
        <f t="shared" si="584"/>
        <v>11292.095334243137</v>
      </c>
      <c r="AJ217" s="7">
        <f t="shared" si="584"/>
        <v>11522.525180696684</v>
      </c>
      <c r="AK217" s="7">
        <f t="shared" si="584"/>
        <v>12710.497703564955</v>
      </c>
      <c r="AL217" s="7">
        <f t="shared" si="584"/>
        <v>13476.894053727738</v>
      </c>
      <c r="AM217" s="7">
        <f t="shared" si="584"/>
        <v>13171.035095513105</v>
      </c>
      <c r="AN217" s="7">
        <f t="shared" si="584"/>
        <v>13113.67457220054</v>
      </c>
      <c r="AO217" s="7">
        <f t="shared" si="584"/>
        <v>15218.695716178418</v>
      </c>
      <c r="AP217" s="7">
        <f t="shared" si="584"/>
        <v>14966.044718581343</v>
      </c>
      <c r="AQ217" s="7">
        <f t="shared" si="584"/>
        <v>14459.445648807681</v>
      </c>
      <c r="AR217" s="7">
        <f t="shared" si="584"/>
        <v>14830.866241512096</v>
      </c>
      <c r="AS217" s="7">
        <f t="shared" si="584"/>
        <v>15114.724571111066</v>
      </c>
      <c r="AT217" s="7">
        <f t="shared" si="584"/>
        <v>15665.587603559372</v>
      </c>
      <c r="AU217" s="7">
        <f t="shared" si="584"/>
        <v>15760.858770264349</v>
      </c>
      <c r="AV217" s="7">
        <f t="shared" si="584"/>
        <v>16338.073247606389</v>
      </c>
      <c r="AW217" s="7">
        <f t="shared" si="584"/>
        <v>15951.954493071118</v>
      </c>
      <c r="AX217" s="7">
        <f>AX159/AX$208</f>
        <v>16337.467207733605</v>
      </c>
      <c r="AY217" s="7">
        <f t="shared" si="575"/>
        <v>16900.290060282459</v>
      </c>
      <c r="AZ217" s="7">
        <f t="shared" si="575"/>
        <v>16456.249056664692</v>
      </c>
      <c r="BA217" s="7">
        <f t="shared" si="576"/>
        <v>16216.086316887091</v>
      </c>
      <c r="BB217" s="7">
        <f t="shared" si="576"/>
        <v>15779.597788098003</v>
      </c>
      <c r="BC217" s="7">
        <f t="shared" si="576"/>
        <v>15434.043300390484</v>
      </c>
      <c r="BD217" s="7">
        <f t="shared" si="576"/>
        <v>18686.926194998356</v>
      </c>
      <c r="BE217" s="7">
        <f t="shared" si="577"/>
        <v>20194.247363374878</v>
      </c>
      <c r="BF217" s="7">
        <f t="shared" si="577"/>
        <v>20286.135793952722</v>
      </c>
      <c r="BG217" s="7">
        <f t="shared" si="577"/>
        <v>21462.776113462667</v>
      </c>
      <c r="BH217" s="7">
        <f t="shared" si="577"/>
        <v>22397.094724588944</v>
      </c>
      <c r="BI217" s="7">
        <f t="shared" si="578"/>
        <v>21370.812438644851</v>
      </c>
      <c r="BJ217" s="7">
        <f t="shared" si="578"/>
        <v>21558.270575578266</v>
      </c>
      <c r="BK217" s="7">
        <f t="shared" si="578"/>
        <v>21201.153098761657</v>
      </c>
      <c r="BL217" s="7">
        <f t="shared" si="578"/>
        <v>25735.241049353644</v>
      </c>
      <c r="BM217" s="7">
        <f t="shared" si="579"/>
        <v>25355.25992431699</v>
      </c>
      <c r="BN217" s="7">
        <f t="shared" si="579"/>
        <v>25965.679824561405</v>
      </c>
      <c r="BO217" s="7">
        <f t="shared" si="579"/>
        <v>25301.948842874546</v>
      </c>
      <c r="BP217" s="7">
        <f t="shared" si="579"/>
        <v>24929.643794397882</v>
      </c>
      <c r="BQ217" s="7">
        <f t="shared" si="579"/>
        <v>24276.195968187607</v>
      </c>
      <c r="BR217" s="7">
        <f t="shared" si="580"/>
        <v>24552.633473305341</v>
      </c>
      <c r="BS217" s="7">
        <f t="shared" si="580"/>
        <v>24303.305140663426</v>
      </c>
      <c r="BT217" s="7">
        <f t="shared" si="581"/>
        <v>26295.564443913801</v>
      </c>
      <c r="BU217" s="7">
        <f t="shared" si="581"/>
        <v>22980.655492437523</v>
      </c>
      <c r="BV217" s="7">
        <f t="shared" si="581"/>
        <v>23854.698654183732</v>
      </c>
      <c r="BW217" s="7">
        <f t="shared" si="581"/>
        <v>22354.655775962659</v>
      </c>
      <c r="BX217" s="7">
        <f t="shared" si="582"/>
        <v>21917.031550747968</v>
      </c>
      <c r="BY217" s="7">
        <f t="shared" si="582"/>
        <v>20320.303546193991</v>
      </c>
      <c r="BZ217" s="7">
        <f>BZ159/BZ$208</f>
        <v>17627.298497085096</v>
      </c>
      <c r="CA217" s="7"/>
      <c r="CB217"/>
      <c r="CC217"/>
      <c r="CD217" s="7"/>
      <c r="CE217" s="7"/>
      <c r="CF217" s="7"/>
      <c r="CH217" s="7">
        <f>CH159/CH$208</f>
        <v>16113.219314078022</v>
      </c>
    </row>
    <row r="218" spans="2:86">
      <c r="B218" s="17" t="s">
        <v>244</v>
      </c>
      <c r="D218" s="72">
        <f t="shared" ref="D218:M218" si="585">D215/D213</f>
        <v>3.1378771486957571</v>
      </c>
      <c r="E218" s="72">
        <f t="shared" si="585"/>
        <v>2.9004227454987865</v>
      </c>
      <c r="F218" s="72">
        <f t="shared" si="585"/>
        <v>2.8621487884996681</v>
      </c>
      <c r="G218" s="72">
        <f t="shared" si="585"/>
        <v>2.7517875551665592</v>
      </c>
      <c r="H218" s="72">
        <f t="shared" si="585"/>
        <v>2.5042576931348854</v>
      </c>
      <c r="I218" s="72">
        <f t="shared" si="585"/>
        <v>2.905554954424038</v>
      </c>
      <c r="J218" s="72">
        <f t="shared" si="585"/>
        <v>3.1233088575832664</v>
      </c>
      <c r="K218" s="72">
        <f t="shared" si="585"/>
        <v>3.7070351375352906</v>
      </c>
      <c r="L218" s="72">
        <f t="shared" si="585"/>
        <v>3.6420226261911193</v>
      </c>
      <c r="M218" s="72">
        <f t="shared" si="585"/>
        <v>4.8326224082279836</v>
      </c>
      <c r="N218" s="72">
        <f t="shared" ref="N218:U218" si="586">N215/N213</f>
        <v>3.7505089216936343</v>
      </c>
      <c r="O218" s="72">
        <f t="shared" si="586"/>
        <v>3.5706967213614211</v>
      </c>
      <c r="P218" s="72">
        <f t="shared" si="586"/>
        <v>2.9115188165593668</v>
      </c>
      <c r="Q218" s="72">
        <f t="shared" si="586"/>
        <v>3.0821806190354915</v>
      </c>
      <c r="R218" s="72">
        <f t="shared" si="586"/>
        <v>2.4010670697692595</v>
      </c>
      <c r="S218" s="72">
        <f>S215/S213</f>
        <v>2.0140052578951293</v>
      </c>
      <c r="T218" s="72">
        <f>T215/T213</f>
        <v>1.5238613165564894</v>
      </c>
      <c r="U218" s="72">
        <f t="shared" si="586"/>
        <v>1.5238613165564894</v>
      </c>
      <c r="V218" s="72"/>
      <c r="W218" s="72"/>
      <c r="X218" s="72"/>
      <c r="Y218" s="72"/>
      <c r="Z218" s="72">
        <f>Z215/Z213</f>
        <v>2.8622802485763037</v>
      </c>
      <c r="AA218" s="72">
        <f t="shared" ref="AA218:AX218" si="587">AA215/AA213</f>
        <v>2.8070713888670347</v>
      </c>
      <c r="AB218" s="72">
        <f t="shared" si="587"/>
        <v>2.6584971614989614</v>
      </c>
      <c r="AC218" s="72">
        <f t="shared" si="587"/>
        <v>2.6080666531510603</v>
      </c>
      <c r="AD218" s="72">
        <f t="shared" si="587"/>
        <v>2.7519010964916606</v>
      </c>
      <c r="AE218" s="72">
        <f t="shared" si="587"/>
        <v>2.5675993971177227</v>
      </c>
      <c r="AF218" s="72">
        <f t="shared" si="587"/>
        <v>2.5150575330899345</v>
      </c>
      <c r="AG218" s="72">
        <f t="shared" si="587"/>
        <v>2.5523300733932732</v>
      </c>
      <c r="AH218" s="72">
        <f t="shared" si="587"/>
        <v>2.504257693134885</v>
      </c>
      <c r="AI218" s="72">
        <f t="shared" si="587"/>
        <v>2.8505279584917456</v>
      </c>
      <c r="AJ218" s="72">
        <f t="shared" si="587"/>
        <v>2.6641503929624402</v>
      </c>
      <c r="AK218" s="72">
        <f t="shared" si="587"/>
        <v>2.72239761628376</v>
      </c>
      <c r="AL218" s="72">
        <f t="shared" si="587"/>
        <v>2.9052247758069436</v>
      </c>
      <c r="AM218" s="72">
        <f t="shared" si="587"/>
        <v>2.8146142557995284</v>
      </c>
      <c r="AN218" s="72">
        <f t="shared" si="587"/>
        <v>2.7025697596949776</v>
      </c>
      <c r="AO218" s="72">
        <f t="shared" si="587"/>
        <v>3.0718742179137033</v>
      </c>
      <c r="AP218" s="72">
        <f t="shared" si="587"/>
        <v>3.1235413850443723</v>
      </c>
      <c r="AQ218" s="72">
        <f t="shared" si="587"/>
        <v>3.1307525399377574</v>
      </c>
      <c r="AR218" s="72">
        <f t="shared" si="587"/>
        <v>3.2811239290821064</v>
      </c>
      <c r="AS218" s="72">
        <f t="shared" si="587"/>
        <v>3.4495927302661418</v>
      </c>
      <c r="AT218" s="72">
        <f t="shared" si="587"/>
        <v>3.7073227721673154</v>
      </c>
      <c r="AU218" s="72">
        <f t="shared" si="587"/>
        <v>3.8841664781578431</v>
      </c>
      <c r="AV218" s="72">
        <f t="shared" si="587"/>
        <v>4.2423847327301649</v>
      </c>
      <c r="AW218" s="72">
        <f t="shared" si="587"/>
        <v>4.4950089479395983</v>
      </c>
      <c r="AX218" s="72">
        <f t="shared" si="587"/>
        <v>4.837982057352777</v>
      </c>
      <c r="AY218" s="72">
        <f t="shared" ref="AY218:BD218" si="588">AY215/AY213</f>
        <v>4.748824566586257</v>
      </c>
      <c r="AZ218" s="72">
        <f t="shared" si="588"/>
        <v>4.403524084785146</v>
      </c>
      <c r="BA218" s="72">
        <f t="shared" si="588"/>
        <v>4.3131484184480531</v>
      </c>
      <c r="BB218" s="72">
        <f t="shared" si="588"/>
        <v>3.7505089216936343</v>
      </c>
      <c r="BC218" s="72">
        <f t="shared" si="588"/>
        <v>3.5502719126098818</v>
      </c>
      <c r="BD218" s="72">
        <f t="shared" si="588"/>
        <v>3.7620031847682514</v>
      </c>
      <c r="BE218" s="72">
        <f t="shared" ref="BE218:BJ218" si="589">BE215/BE213</f>
        <v>3.5659763133869329</v>
      </c>
      <c r="BF218" s="72">
        <f t="shared" si="589"/>
        <v>3.5706967213614211</v>
      </c>
      <c r="BG218" s="72">
        <f t="shared" si="589"/>
        <v>3.4306636182760606</v>
      </c>
      <c r="BH218" s="72">
        <f t="shared" si="589"/>
        <v>3.5156212532172653</v>
      </c>
      <c r="BI218" s="72">
        <f t="shared" si="589"/>
        <v>3.1160037705483989</v>
      </c>
      <c r="BJ218" s="72">
        <f t="shared" si="589"/>
        <v>2.9115188165593668</v>
      </c>
      <c r="BK218" s="72">
        <f t="shared" ref="BK218:BP218" si="590">BK215/BK213</f>
        <v>2.7502773355448533</v>
      </c>
      <c r="BL218" s="72">
        <f t="shared" si="590"/>
        <v>3.1383839826228299</v>
      </c>
      <c r="BM218" s="72">
        <f t="shared" si="590"/>
        <v>3.0561439712361986</v>
      </c>
      <c r="BN218" s="72">
        <f t="shared" si="590"/>
        <v>3.0880813931725957</v>
      </c>
      <c r="BO218" s="72">
        <f t="shared" si="590"/>
        <v>2.9896391766810573</v>
      </c>
      <c r="BP218" s="72">
        <f t="shared" si="590"/>
        <v>2.8042618324585229</v>
      </c>
      <c r="BQ218" s="72">
        <f t="shared" ref="BQ218:BV218" si="591">BQ215/BQ213</f>
        <v>2.7692795628483413</v>
      </c>
      <c r="BR218" s="72">
        <f t="shared" si="591"/>
        <v>2.4014659325756345</v>
      </c>
      <c r="BS218" s="72">
        <f t="shared" si="591"/>
        <v>2.2599229279231103</v>
      </c>
      <c r="BT218" s="72">
        <f t="shared" si="591"/>
        <v>2.2919451439625935</v>
      </c>
      <c r="BU218" s="72">
        <f t="shared" si="591"/>
        <v>1.8716373057644715</v>
      </c>
      <c r="BV218" s="72">
        <f t="shared" si="591"/>
        <v>2.0140052578951293</v>
      </c>
      <c r="BW218" s="72">
        <f>BW215/BW213</f>
        <v>1.8339520943792604</v>
      </c>
      <c r="BX218" s="72">
        <f>BX215/BX213</f>
        <v>1.7581077459414847</v>
      </c>
      <c r="BY218" s="72">
        <f>BY215/BY213</f>
        <v>1.6458528830261838</v>
      </c>
      <c r="BZ218" s="72">
        <f>BZ215/BZ213</f>
        <v>1.5238613165564894</v>
      </c>
      <c r="CA218" s="72"/>
      <c r="CB218"/>
      <c r="CC218"/>
      <c r="CD218" s="72"/>
      <c r="CE218" s="72"/>
      <c r="CF218" s="72"/>
      <c r="CH218" s="72">
        <f>CH215/CH213</f>
        <v>4.0704519860812276</v>
      </c>
    </row>
    <row r="219" spans="2:86" s="20" customFormat="1">
      <c r="B219" s="20" t="s">
        <v>245</v>
      </c>
      <c r="D219" s="1172">
        <f t="shared" ref="D219:M219" si="592">D217/D213</f>
        <v>3.0503869830712</v>
      </c>
      <c r="E219" s="1172">
        <f t="shared" si="592"/>
        <v>2.7330195515941562</v>
      </c>
      <c r="F219" s="1172">
        <f t="shared" si="592"/>
        <v>2.5027692306261895</v>
      </c>
      <c r="G219" s="1172">
        <f t="shared" si="592"/>
        <v>2.192120116342867</v>
      </c>
      <c r="H219" s="1172">
        <f t="shared" si="592"/>
        <v>2.0746250670482471</v>
      </c>
      <c r="I219" s="1172">
        <f t="shared" si="592"/>
        <v>2.5829093101090694</v>
      </c>
      <c r="J219" s="1172">
        <f t="shared" si="592"/>
        <v>2.8217209139040196</v>
      </c>
      <c r="K219" s="1172">
        <f t="shared" si="592"/>
        <v>3.3154682758855816</v>
      </c>
      <c r="L219" s="1172">
        <f t="shared" si="592"/>
        <v>3.2504543632729552</v>
      </c>
      <c r="M219" s="1172">
        <f t="shared" si="592"/>
        <v>4.3435529674849951</v>
      </c>
      <c r="N219" s="1172">
        <f t="shared" ref="N219:U219" si="593">N217/N213</f>
        <v>3.0136679490951148</v>
      </c>
      <c r="O219" s="1172">
        <f t="shared" si="593"/>
        <v>3.2616509972808636</v>
      </c>
      <c r="P219" s="1172">
        <f t="shared" si="593"/>
        <v>2.7531584461916778</v>
      </c>
      <c r="Q219" s="1172">
        <f t="shared" si="593"/>
        <v>2.9069992625858414</v>
      </c>
      <c r="R219" s="1172">
        <f t="shared" si="593"/>
        <v>2.2858540868288784</v>
      </c>
      <c r="S219" s="1172">
        <f>S217/S213</f>
        <v>1.9206777171329996</v>
      </c>
      <c r="T219" s="1172">
        <f>T217/T213</f>
        <v>1.2844074833884405</v>
      </c>
      <c r="U219" s="1172">
        <f t="shared" si="593"/>
        <v>1.2844074833884405</v>
      </c>
      <c r="V219" s="1172"/>
      <c r="W219" s="1172"/>
      <c r="X219" s="1172"/>
      <c r="Y219" s="1172"/>
      <c r="Z219" s="1172">
        <f>Z217/Z213</f>
        <v>2.5028841842009939</v>
      </c>
      <c r="AA219" s="1172">
        <f t="shared" ref="AA219:AX219" si="594">AA217/AA213</f>
        <v>2.2135912232634434</v>
      </c>
      <c r="AB219" s="1172">
        <f t="shared" si="594"/>
        <v>2.1909013235231631</v>
      </c>
      <c r="AC219" s="1172">
        <f t="shared" si="594"/>
        <v>2.0505876924951112</v>
      </c>
      <c r="AD219" s="1172">
        <f t="shared" si="594"/>
        <v>2.1922105652666306</v>
      </c>
      <c r="AE219" s="1172">
        <f t="shared" si="594"/>
        <v>2.0685597908755611</v>
      </c>
      <c r="AF219" s="1172">
        <f t="shared" si="594"/>
        <v>2.0884839244777567</v>
      </c>
      <c r="AG219" s="1172">
        <f t="shared" si="594"/>
        <v>2.1343757733227022</v>
      </c>
      <c r="AH219" s="1172">
        <f t="shared" si="594"/>
        <v>2.0746250670482471</v>
      </c>
      <c r="AI219" s="1172">
        <f t="shared" si="594"/>
        <v>2.1610936683905702</v>
      </c>
      <c r="AJ219" s="1172">
        <f t="shared" si="594"/>
        <v>2.2104884561547289</v>
      </c>
      <c r="AK219" s="1172">
        <f t="shared" si="594"/>
        <v>2.4232121713750021</v>
      </c>
      <c r="AL219" s="1172">
        <f t="shared" si="594"/>
        <v>2.582615795982691</v>
      </c>
      <c r="AM219" s="1172">
        <f t="shared" si="594"/>
        <v>2.4603521970600086</v>
      </c>
      <c r="AN219" s="1172">
        <f t="shared" si="594"/>
        <v>2.3894009867341968</v>
      </c>
      <c r="AO219" s="1172">
        <f t="shared" si="594"/>
        <v>2.7841409285471261</v>
      </c>
      <c r="AP219" s="1172">
        <f t="shared" si="594"/>
        <v>2.8219309884211352</v>
      </c>
      <c r="AQ219" s="1172">
        <f t="shared" si="594"/>
        <v>2.8435118357126155</v>
      </c>
      <c r="AR219" s="1172">
        <f t="shared" si="594"/>
        <v>3.0165340353411212</v>
      </c>
      <c r="AS219" s="1172">
        <f t="shared" si="594"/>
        <v>3.1350366010743631</v>
      </c>
      <c r="AT219" s="1172">
        <f t="shared" si="594"/>
        <v>3.3157255282347347</v>
      </c>
      <c r="AU219" s="1172">
        <f t="shared" si="594"/>
        <v>3.4844515958316449</v>
      </c>
      <c r="AV219" s="1172">
        <f t="shared" si="594"/>
        <v>3.911713841582861</v>
      </c>
      <c r="AW219" s="1172">
        <f t="shared" si="594"/>
        <v>4.1149002386529423</v>
      </c>
      <c r="AX219" s="1172">
        <f t="shared" si="594"/>
        <v>4.3483702111870981</v>
      </c>
      <c r="AY219" s="1172">
        <f t="shared" ref="AY219:BD219" si="595">AY217/AY213</f>
        <v>4.2682947233486699</v>
      </c>
      <c r="AZ219" s="1172">
        <f t="shared" si="595"/>
        <v>3.8079383248433238</v>
      </c>
      <c r="BA219" s="1172">
        <f t="shared" si="595"/>
        <v>3.3912341914319986</v>
      </c>
      <c r="BB219" s="1172">
        <f t="shared" si="595"/>
        <v>3.0136679490951148</v>
      </c>
      <c r="BC219" s="1172">
        <f t="shared" si="595"/>
        <v>2.8478753110116504</v>
      </c>
      <c r="BD219" s="1172">
        <f t="shared" si="595"/>
        <v>3.2537545370147223</v>
      </c>
      <c r="BE219" s="1172">
        <f t="shared" ref="BE219:BJ219" si="596">BE217/BE213</f>
        <v>3.3295281503882963</v>
      </c>
      <c r="BF219" s="1172">
        <f t="shared" si="596"/>
        <v>3.2616509972808636</v>
      </c>
      <c r="BG219" s="1172">
        <f t="shared" si="596"/>
        <v>3.2471959996799304</v>
      </c>
      <c r="BH219" s="1172">
        <f t="shared" si="596"/>
        <v>3.2432146566465945</v>
      </c>
      <c r="BI219" s="1172">
        <f t="shared" si="596"/>
        <v>2.9466729598787293</v>
      </c>
      <c r="BJ219" s="1172">
        <f t="shared" si="596"/>
        <v>2.7531584461916778</v>
      </c>
      <c r="BK219" s="1172">
        <f t="shared" ref="BK219:BP219" si="597">BK217/BK213</f>
        <v>2.5864195193478752</v>
      </c>
      <c r="BL219" s="1172">
        <f t="shared" si="597"/>
        <v>3.0194220885109613</v>
      </c>
      <c r="BM219" s="1172">
        <f t="shared" si="597"/>
        <v>2.8865350394218323</v>
      </c>
      <c r="BN219" s="1172">
        <f t="shared" si="597"/>
        <v>2.9125646554636333</v>
      </c>
      <c r="BO219" s="1172">
        <f t="shared" si="597"/>
        <v>2.7609901331593223</v>
      </c>
      <c r="BP219" s="1172">
        <f t="shared" si="597"/>
        <v>2.6708333321420938</v>
      </c>
      <c r="BQ219" s="1172">
        <f t="shared" ref="BQ219:BV219" si="598">BQ217/BQ213</f>
        <v>2.5609959118474359</v>
      </c>
      <c r="BR219" s="1172">
        <f t="shared" si="598"/>
        <v>2.2862338105723405</v>
      </c>
      <c r="BS219" s="1172">
        <f t="shared" si="598"/>
        <v>2.190814851348978</v>
      </c>
      <c r="BT219" s="1172">
        <f t="shared" si="598"/>
        <v>2.2369296398734675</v>
      </c>
      <c r="BU219" s="1172">
        <f t="shared" si="598"/>
        <v>1.7973539256610283</v>
      </c>
      <c r="BV219" s="1172">
        <f t="shared" si="598"/>
        <v>1.9206777171329996</v>
      </c>
      <c r="BW219" s="1172">
        <f>BW217/BW213</f>
        <v>1.7268234467810228</v>
      </c>
      <c r="BX219" s="1172">
        <f>BX217/BX213</f>
        <v>1.6448899904777687</v>
      </c>
      <c r="BY219" s="1172">
        <f>BY217/BY213</f>
        <v>1.5179811388342848</v>
      </c>
      <c r="BZ219" s="1172">
        <f>BZ217/BZ213</f>
        <v>1.2844074833884405</v>
      </c>
      <c r="CA219" s="1172"/>
      <c r="CB219" s="893"/>
      <c r="CC219" s="893"/>
      <c r="CD219" s="1172"/>
      <c r="CE219" s="1172"/>
      <c r="CF219" s="1172"/>
      <c r="CH219" s="1172">
        <f>CH217/CH213</f>
        <v>3.284112616615952</v>
      </c>
    </row>
    <row r="220" spans="2:86">
      <c r="CB220"/>
      <c r="CC220"/>
      <c r="CD220"/>
      <c r="CE220"/>
      <c r="CF220"/>
    </row>
    <row r="221" spans="2:86">
      <c r="B221" s="20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775"/>
      <c r="V221" s="1120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107"/>
      <c r="AZ221" s="107"/>
      <c r="BA221" s="107"/>
      <c r="BB221" s="107"/>
      <c r="BC221" s="107"/>
      <c r="BD221" s="107"/>
      <c r="BE221" s="107"/>
      <c r="BF221" s="107"/>
      <c r="BG221" s="107"/>
      <c r="BH221" s="107"/>
      <c r="BI221" s="107"/>
      <c r="BJ221" s="107"/>
      <c r="BK221" s="107"/>
      <c r="BL221" s="107"/>
      <c r="BM221" s="107"/>
      <c r="BN221" s="107"/>
      <c r="BO221" s="107"/>
      <c r="BP221" s="107"/>
      <c r="BQ221" s="107"/>
      <c r="BR221" s="107"/>
      <c r="BS221" s="107"/>
      <c r="BT221" s="107"/>
      <c r="BU221" s="107"/>
      <c r="BV221" s="107"/>
      <c r="BW221" s="107"/>
      <c r="BX221" s="107"/>
      <c r="BY221" s="107"/>
      <c r="BZ221" s="107"/>
      <c r="CA221" s="107"/>
      <c r="CB221"/>
      <c r="CC221"/>
      <c r="CD221"/>
      <c r="CE221"/>
      <c r="CF221"/>
      <c r="CH221" s="107"/>
    </row>
    <row r="222" spans="2:86" s="20" customFormat="1" ht="21">
      <c r="B222" s="781" t="s">
        <v>246</v>
      </c>
      <c r="C222" s="782"/>
      <c r="D222" s="781"/>
      <c r="E222" s="781"/>
      <c r="F222" s="781"/>
      <c r="G222" s="781"/>
      <c r="H222" s="781"/>
      <c r="I222" s="781"/>
      <c r="J222" s="781"/>
      <c r="K222" s="781"/>
      <c r="L222" s="781"/>
      <c r="M222" s="781"/>
      <c r="N222" s="781"/>
      <c r="O222" s="781"/>
      <c r="P222" s="781"/>
      <c r="Q222" s="781"/>
      <c r="R222" s="781"/>
      <c r="S222" s="781"/>
      <c r="T222" s="781"/>
      <c r="U222" s="781"/>
      <c r="V222" s="1045"/>
      <c r="W222" s="781"/>
      <c r="X222" s="781"/>
      <c r="Y222" s="781"/>
      <c r="Z222" s="781"/>
      <c r="AA222" s="781"/>
      <c r="AB222" s="781"/>
      <c r="AC222" s="781"/>
      <c r="AD222" s="781"/>
      <c r="AE222" s="781"/>
      <c r="AF222" s="781"/>
      <c r="AG222" s="781"/>
      <c r="AH222" s="781"/>
      <c r="AI222" s="781"/>
      <c r="AJ222" s="781"/>
      <c r="AK222" s="781"/>
      <c r="AL222" s="781"/>
      <c r="AM222" s="781"/>
      <c r="AN222" s="781"/>
      <c r="AO222" s="781"/>
      <c r="AP222" s="781"/>
      <c r="AQ222" s="781"/>
      <c r="AR222" s="781"/>
      <c r="AS222" s="781"/>
      <c r="AT222" s="781"/>
      <c r="AU222" s="781"/>
      <c r="AV222" s="781"/>
      <c r="AW222" s="781"/>
      <c r="AX222" s="781"/>
      <c r="AY222" s="781"/>
      <c r="AZ222" s="781"/>
      <c r="BA222" s="781"/>
      <c r="BB222" s="781"/>
      <c r="BC222" s="781"/>
      <c r="BD222" s="781"/>
      <c r="BE222" s="781"/>
      <c r="BF222" s="781"/>
      <c r="BG222" s="781"/>
      <c r="BH222" s="781"/>
      <c r="BI222" s="781"/>
      <c r="BJ222" s="781"/>
      <c r="BK222" s="781"/>
      <c r="BL222" s="781"/>
      <c r="BM222" s="781"/>
      <c r="BN222" s="781"/>
      <c r="BO222" s="781"/>
      <c r="BP222" s="781"/>
      <c r="BQ222" s="781"/>
      <c r="BR222" s="781"/>
      <c r="BS222" s="781"/>
      <c r="BT222" s="781"/>
      <c r="BU222" s="781"/>
      <c r="BV222" s="781"/>
      <c r="BW222" s="781"/>
      <c r="BX222" s="781"/>
      <c r="BY222" s="781"/>
      <c r="BZ222" s="781"/>
      <c r="CA222" s="1045"/>
      <c r="CB222"/>
      <c r="CC222"/>
      <c r="CD222"/>
      <c r="CE222"/>
      <c r="CF222"/>
      <c r="CH222" s="781"/>
    </row>
    <row r="223" spans="2:86" s="20" customFormat="1">
      <c r="B223" s="25" t="s">
        <v>253</v>
      </c>
      <c r="C223" s="780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B223"/>
      <c r="CC223"/>
      <c r="CD223"/>
      <c r="CE223"/>
      <c r="CF223"/>
      <c r="CH223" s="25"/>
    </row>
    <row r="224" spans="2:86" s="20" customFormat="1"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/>
      <c r="CC224"/>
      <c r="CD224"/>
      <c r="CE224"/>
      <c r="CF224"/>
      <c r="CH224" s="48"/>
    </row>
    <row r="225" spans="2:86" s="20" customFormat="1">
      <c r="B225" s="20" t="str">
        <f>B166</f>
        <v xml:space="preserve">Sales </v>
      </c>
      <c r="D225" s="49">
        <f t="shared" ref="D225:K225" si="599">D166/D$207</f>
        <v>13070.570175438595</v>
      </c>
      <c r="E225" s="49">
        <f t="shared" si="599"/>
        <v>14293.833612040133</v>
      </c>
      <c r="F225" s="49">
        <f t="shared" si="599"/>
        <v>14136.871504170495</v>
      </c>
      <c r="G225" s="49">
        <f t="shared" si="599"/>
        <v>14171.231858656542</v>
      </c>
      <c r="H225" s="49">
        <f t="shared" si="599"/>
        <v>15079.394435351882</v>
      </c>
      <c r="I225" s="49">
        <f t="shared" si="599"/>
        <v>14755.528405620036</v>
      </c>
      <c r="J225" s="49">
        <f t="shared" si="599"/>
        <v>14233.010720667064</v>
      </c>
      <c r="K225" s="49">
        <f t="shared" si="599"/>
        <v>13025.558659217877</v>
      </c>
      <c r="L225" s="49">
        <f t="shared" ref="L225:Q225" si="600">L166/L$207</f>
        <v>12862.756052141527</v>
      </c>
      <c r="M225" s="49">
        <f t="shared" si="600"/>
        <v>11599.143277778016</v>
      </c>
      <c r="N225" s="49">
        <f t="shared" si="600"/>
        <v>12398.654683261304</v>
      </c>
      <c r="O225" s="49">
        <f t="shared" si="600"/>
        <v>13649.866512273389</v>
      </c>
      <c r="P225" s="49">
        <f t="shared" si="600"/>
        <v>15776.721522933902</v>
      </c>
      <c r="Q225" s="49">
        <f t="shared" si="600"/>
        <v>17442.802176592912</v>
      </c>
      <c r="R225" s="49">
        <f>R166/R$207</f>
        <v>18293.360073454791</v>
      </c>
      <c r="S225" s="49">
        <f>S166/S$207</f>
        <v>20647.839509823636</v>
      </c>
      <c r="T225" s="49">
        <f>T166/T$207</f>
        <v>24195.006295180294</v>
      </c>
      <c r="U225" s="49">
        <f>U166/U$207</f>
        <v>24195.006295180294</v>
      </c>
      <c r="V225" s="49"/>
      <c r="W225" s="49">
        <f t="shared" ref="W225:AW225" si="601">W166/W$207</f>
        <v>3438.944431740741</v>
      </c>
      <c r="X225" s="49">
        <f t="shared" si="601"/>
        <v>3516.6650562783111</v>
      </c>
      <c r="Y225" s="49">
        <f t="shared" si="601"/>
        <v>3560.4267038404996</v>
      </c>
      <c r="Z225" s="49">
        <f t="shared" si="601"/>
        <v>3620.1727823170736</v>
      </c>
      <c r="AA225" s="49">
        <f t="shared" si="601"/>
        <v>3634.0000093268886</v>
      </c>
      <c r="AB225" s="49">
        <f t="shared" si="601"/>
        <v>3401.2382118725095</v>
      </c>
      <c r="AC225" s="49">
        <f t="shared" si="601"/>
        <v>3539.1941982272365</v>
      </c>
      <c r="AD225" s="49">
        <f t="shared" si="601"/>
        <v>3607.2759682385349</v>
      </c>
      <c r="AE225" s="49">
        <f t="shared" si="601"/>
        <v>3841.292369343797</v>
      </c>
      <c r="AF225" s="49">
        <f t="shared" si="601"/>
        <v>3780.0429894179897</v>
      </c>
      <c r="AG225" s="49">
        <f t="shared" si="601"/>
        <v>3753.1265147842946</v>
      </c>
      <c r="AH225" s="49">
        <f t="shared" si="601"/>
        <v>3707.7244930801417</v>
      </c>
      <c r="AI225" s="49">
        <f t="shared" si="601"/>
        <v>3730.434782608696</v>
      </c>
      <c r="AJ225" s="49">
        <f t="shared" si="601"/>
        <v>3675.1771956856701</v>
      </c>
      <c r="AK225" s="49">
        <f t="shared" si="601"/>
        <v>3660.3492786636298</v>
      </c>
      <c r="AL225" s="49">
        <f t="shared" si="601"/>
        <v>3691.3563829787231</v>
      </c>
      <c r="AM225" s="49">
        <f t="shared" si="601"/>
        <v>3827.7054333183655</v>
      </c>
      <c r="AN225" s="49">
        <f t="shared" si="601"/>
        <v>3675.182481751825</v>
      </c>
      <c r="AO225" s="49">
        <f t="shared" si="601"/>
        <v>3454.6650894573418</v>
      </c>
      <c r="AP225" s="49">
        <f t="shared" si="601"/>
        <v>3276.2855865255624</v>
      </c>
      <c r="AQ225" s="49">
        <f t="shared" si="601"/>
        <v>3415.068280571074</v>
      </c>
      <c r="AR225" s="49">
        <f t="shared" si="601"/>
        <v>3392.2001243008081</v>
      </c>
      <c r="AS225" s="49">
        <f t="shared" si="601"/>
        <v>3152.1645021645018</v>
      </c>
      <c r="AT225" s="49">
        <f t="shared" si="601"/>
        <v>3065.256609642302</v>
      </c>
      <c r="AU225" s="49">
        <f t="shared" si="601"/>
        <v>2961.1501233200597</v>
      </c>
      <c r="AV225" s="49">
        <f t="shared" si="601"/>
        <v>2886.8714344766363</v>
      </c>
      <c r="AW225" s="49">
        <f t="shared" si="601"/>
        <v>2816.1162161719626</v>
      </c>
      <c r="AX225" s="49">
        <f t="shared" ref="AX225:BC225" si="602">AX166/AX$207</f>
        <v>2925.0278771848875</v>
      </c>
      <c r="AY225" s="49">
        <f t="shared" si="602"/>
        <v>2989.4426888825046</v>
      </c>
      <c r="AZ225" s="49">
        <f t="shared" si="602"/>
        <v>3010.5088757396447</v>
      </c>
      <c r="BA225" s="49">
        <f t="shared" si="602"/>
        <v>3131.1949290271391</v>
      </c>
      <c r="BB225" s="49">
        <f t="shared" si="602"/>
        <v>3260.1920761737988</v>
      </c>
      <c r="BC225" s="49">
        <f t="shared" si="602"/>
        <v>3165.1602885602701</v>
      </c>
      <c r="BD225" s="49">
        <f t="shared" ref="BD225:BI225" si="603">BD166/BD$207</f>
        <v>3482.4929407018958</v>
      </c>
      <c r="BE225" s="49">
        <f t="shared" si="603"/>
        <v>3612.5545652933729</v>
      </c>
      <c r="BF225" s="49">
        <f t="shared" si="603"/>
        <v>3397.0174364726281</v>
      </c>
      <c r="BG225" s="49">
        <f t="shared" si="603"/>
        <v>3648.1835719527489</v>
      </c>
      <c r="BH225" s="49">
        <f t="shared" si="603"/>
        <v>3816.3816866224479</v>
      </c>
      <c r="BI225" s="49">
        <f t="shared" si="603"/>
        <v>4042.7303407209329</v>
      </c>
      <c r="BJ225" s="49">
        <f t="shared" ref="BJ225:BO225" si="604">BJ166/BJ$207</f>
        <v>4266.8333030968843</v>
      </c>
      <c r="BK225" s="49">
        <f t="shared" si="604"/>
        <v>4275.6922757959392</v>
      </c>
      <c r="BL225" s="49">
        <f t="shared" si="604"/>
        <v>4330.7748424065194</v>
      </c>
      <c r="BM225" s="49">
        <f t="shared" si="604"/>
        <v>4393.0368258841017</v>
      </c>
      <c r="BN225" s="49">
        <f t="shared" si="604"/>
        <v>4404.6796968391418</v>
      </c>
      <c r="BO225" s="49">
        <f t="shared" si="604"/>
        <v>4600.4747991234481</v>
      </c>
      <c r="BP225" s="49">
        <f t="shared" ref="BP225:BU225" si="605">BP166/BP$207</f>
        <v>4526.3655080537728</v>
      </c>
      <c r="BQ225" s="49">
        <f t="shared" si="605"/>
        <v>4611.4699479185456</v>
      </c>
      <c r="BR225" s="49">
        <f t="shared" si="605"/>
        <v>4552.0685763680458</v>
      </c>
      <c r="BS225" s="49">
        <f t="shared" si="605"/>
        <v>4660.6035898850132</v>
      </c>
      <c r="BT225" s="49">
        <f t="shared" si="605"/>
        <v>4982.4477611940301</v>
      </c>
      <c r="BU225" s="49">
        <f t="shared" si="605"/>
        <v>5399.8460536443845</v>
      </c>
      <c r="BV225" s="49">
        <f>BV166/BV$207</f>
        <v>5586.590888087977</v>
      </c>
      <c r="BW225" s="49">
        <f>BW166/BW$207</f>
        <v>5840.7826452849595</v>
      </c>
      <c r="BX225" s="49">
        <f>BX166/BX$207</f>
        <v>6056.2059012187301</v>
      </c>
      <c r="BY225" s="49">
        <f>BY166/BY$207</f>
        <v>6138.327009855645</v>
      </c>
      <c r="BZ225" s="49">
        <f>BZ166/BZ$207</f>
        <v>6148.8868730805807</v>
      </c>
      <c r="CA225" s="49"/>
      <c r="CB225"/>
      <c r="CC225"/>
      <c r="CD225" s="49"/>
      <c r="CE225" s="49"/>
      <c r="CF225" s="49"/>
      <c r="CH225" s="49">
        <f>CH166/CH$207</f>
        <v>12165.593763122699</v>
      </c>
    </row>
    <row r="226" spans="2:86" s="29" customFormat="1">
      <c r="B226" s="32" t="str">
        <f>B167</f>
        <v xml:space="preserve">% growth </v>
      </c>
      <c r="C226" s="29">
        <f>+C61</f>
        <v>0</v>
      </c>
      <c r="D226" s="50"/>
      <c r="E226" s="50"/>
      <c r="F226" s="50">
        <f t="shared" ref="F226:K226" si="606">F225/E225-1</f>
        <v>-1.0981106407830565E-2</v>
      </c>
      <c r="G226" s="50">
        <f t="shared" si="606"/>
        <v>2.4305486879405702E-3</v>
      </c>
      <c r="H226" s="50">
        <f t="shared" si="606"/>
        <v>6.4084942350342455E-2</v>
      </c>
      <c r="I226" s="50">
        <f t="shared" si="606"/>
        <v>-2.1477389633935084E-2</v>
      </c>
      <c r="J226" s="50">
        <f t="shared" si="606"/>
        <v>-3.541165525146206E-2</v>
      </c>
      <c r="K226" s="50">
        <f t="shared" si="606"/>
        <v>-8.483462038681E-2</v>
      </c>
      <c r="L226" s="50">
        <f>L225/J225-1</f>
        <v>-9.6273001926138968E-2</v>
      </c>
      <c r="M226" s="50">
        <f t="shared" ref="M226:T226" si="607">M225/L225-1</f>
        <v>-9.8238104589811637E-2</v>
      </c>
      <c r="N226" s="50">
        <f t="shared" si="607"/>
        <v>6.8928487762972557E-2</v>
      </c>
      <c r="O226" s="50">
        <f t="shared" si="607"/>
        <v>0.10091512837286065</v>
      </c>
      <c r="P226" s="50">
        <f t="shared" si="607"/>
        <v>0.15581507766014657</v>
      </c>
      <c r="Q226" s="50">
        <f t="shared" si="607"/>
        <v>0.10560373086620722</v>
      </c>
      <c r="R226" s="50">
        <f t="shared" si="607"/>
        <v>4.876268665153316E-2</v>
      </c>
      <c r="S226" s="50">
        <f t="shared" si="607"/>
        <v>0.12870677813778975</v>
      </c>
      <c r="T226" s="50">
        <f t="shared" si="607"/>
        <v>0.17179360502434271</v>
      </c>
      <c r="U226" s="31"/>
      <c r="V226" s="1114"/>
      <c r="W226" s="50"/>
      <c r="X226" s="50"/>
      <c r="Y226" s="50"/>
      <c r="Z226" s="50"/>
      <c r="AA226" s="50">
        <f t="shared" ref="AA226:BF226" si="608">+AA225/W225-1</f>
        <v>5.6719607268388872E-2</v>
      </c>
      <c r="AB226" s="50">
        <f t="shared" si="608"/>
        <v>-3.2822814387662436E-2</v>
      </c>
      <c r="AC226" s="50">
        <f t="shared" si="608"/>
        <v>-5.9634721844885608E-3</v>
      </c>
      <c r="AD226" s="50">
        <f t="shared" si="608"/>
        <v>-3.5624857856326742E-3</v>
      </c>
      <c r="AE226" s="50">
        <f t="shared" si="608"/>
        <v>5.7042476468046166E-2</v>
      </c>
      <c r="AF226" s="50">
        <f t="shared" si="608"/>
        <v>0.11137261019331368</v>
      </c>
      <c r="AG226" s="50">
        <f t="shared" si="608"/>
        <v>6.0446617104033429E-2</v>
      </c>
      <c r="AH226" s="50">
        <f t="shared" si="608"/>
        <v>2.7846088218932863E-2</v>
      </c>
      <c r="AI226" s="50">
        <f t="shared" si="608"/>
        <v>-2.8859450433875389E-2</v>
      </c>
      <c r="AJ226" s="50">
        <f t="shared" si="608"/>
        <v>-2.7741957968701714E-2</v>
      </c>
      <c r="AK226" s="50">
        <f t="shared" si="608"/>
        <v>-2.4719986324787446E-2</v>
      </c>
      <c r="AL226" s="50">
        <f t="shared" si="608"/>
        <v>-4.4145971827105335E-3</v>
      </c>
      <c r="AM226" s="50">
        <f t="shared" si="608"/>
        <v>2.6074883057370712E-2</v>
      </c>
      <c r="AN226" s="50">
        <f t="shared" si="608"/>
        <v>1.4383159976372184E-6</v>
      </c>
      <c r="AO226" s="50">
        <f t="shared" si="608"/>
        <v>-5.619250337808801E-2</v>
      </c>
      <c r="AP226" s="50">
        <f t="shared" si="608"/>
        <v>-0.11244397814502571</v>
      </c>
      <c r="AQ226" s="50">
        <f t="shared" si="608"/>
        <v>-0.10780274499586107</v>
      </c>
      <c r="AR226" s="50">
        <f t="shared" si="608"/>
        <v>-7.6998178690743435E-2</v>
      </c>
      <c r="AS226" s="50">
        <f t="shared" si="608"/>
        <v>-8.7562927073882246E-2</v>
      </c>
      <c r="AT226" s="50">
        <f t="shared" si="608"/>
        <v>-6.4411044553369545E-2</v>
      </c>
      <c r="AU226" s="50">
        <f t="shared" si="608"/>
        <v>-0.1329162757399126</v>
      </c>
      <c r="AV226" s="50">
        <f t="shared" si="608"/>
        <v>-0.14896782952283183</v>
      </c>
      <c r="AW226" s="50">
        <f t="shared" si="608"/>
        <v>-0.10660874004570009</v>
      </c>
      <c r="AX226" s="50">
        <f t="shared" si="608"/>
        <v>-4.5747795475361008E-2</v>
      </c>
      <c r="AY226" s="50">
        <f t="shared" si="608"/>
        <v>9.5545866923907319E-3</v>
      </c>
      <c r="AZ226" s="50">
        <f t="shared" si="608"/>
        <v>4.2827484378576974E-2</v>
      </c>
      <c r="BA226" s="50">
        <f t="shared" si="608"/>
        <v>0.11188413001061193</v>
      </c>
      <c r="BB226" s="50">
        <f t="shared" si="608"/>
        <v>0.11458495886592401</v>
      </c>
      <c r="BC226" s="50">
        <f>+BC225/(CB10/AY207)-1</f>
        <v>5.8342063049339421E-2</v>
      </c>
      <c r="BD226" s="50">
        <f t="shared" si="608"/>
        <v>0.15677883189973674</v>
      </c>
      <c r="BE226" s="50">
        <f t="shared" si="608"/>
        <v>0.15373033208628506</v>
      </c>
      <c r="BF226" s="50">
        <f t="shared" si="608"/>
        <v>4.196849667195357E-2</v>
      </c>
      <c r="BG226" s="50">
        <f>+BG225/(CE10/BC207)-1</f>
        <v>0.18483623216410661</v>
      </c>
      <c r="BH226" s="50">
        <f t="shared" ref="BH226:BZ226" si="609">+BH225/BD225-1</f>
        <v>9.5876359724438309E-2</v>
      </c>
      <c r="BI226" s="50">
        <f t="shared" si="609"/>
        <v>0.11907800080318665</v>
      </c>
      <c r="BJ226" s="50">
        <f t="shared" si="609"/>
        <v>0.25605281188295859</v>
      </c>
      <c r="BK226" s="50">
        <f t="shared" si="609"/>
        <v>0.17200579177744224</v>
      </c>
      <c r="BL226" s="50">
        <f t="shared" si="609"/>
        <v>0.13478556340084435</v>
      </c>
      <c r="BM226" s="50">
        <f t="shared" si="609"/>
        <v>8.6650964976481504E-2</v>
      </c>
      <c r="BN226" s="50">
        <f t="shared" si="609"/>
        <v>3.2306486790146804E-2</v>
      </c>
      <c r="BO226" s="50">
        <f t="shared" si="609"/>
        <v>7.5960219393255812E-2</v>
      </c>
      <c r="BP226" s="50">
        <f t="shared" si="609"/>
        <v>4.5162972623755238E-2</v>
      </c>
      <c r="BQ226" s="50">
        <f t="shared" si="609"/>
        <v>4.9722579320851557E-2</v>
      </c>
      <c r="BR226" s="50">
        <f t="shared" si="609"/>
        <v>3.3461883649490431E-2</v>
      </c>
      <c r="BS226" s="50">
        <f t="shared" si="609"/>
        <v>1.3070127190572212E-2</v>
      </c>
      <c r="BT226" s="50">
        <f t="shared" si="609"/>
        <v>0.1007612514563283</v>
      </c>
      <c r="BU226" s="50">
        <f t="shared" si="609"/>
        <v>0.17095982726325354</v>
      </c>
      <c r="BV226" s="50">
        <f t="shared" si="609"/>
        <v>0.22726421941238506</v>
      </c>
      <c r="BW226" s="50">
        <f t="shared" si="609"/>
        <v>0.25322450893727777</v>
      </c>
      <c r="BX226" s="50">
        <f t="shared" si="609"/>
        <v>0.21550815813618818</v>
      </c>
      <c r="BY226" s="50">
        <f t="shared" si="609"/>
        <v>0.13675963145520709</v>
      </c>
      <c r="BZ226" s="50">
        <f t="shared" si="609"/>
        <v>0.10065100456730436</v>
      </c>
      <c r="CA226" s="1046"/>
      <c r="CB226"/>
      <c r="CC226"/>
      <c r="CD226" s="855"/>
      <c r="CE226" s="855"/>
      <c r="CF226" s="855"/>
      <c r="CH226" s="50">
        <f>CH225/M225-1</f>
        <v>4.8835545158745219E-2</v>
      </c>
    </row>
    <row r="227" spans="2:86" s="20" customFormat="1" ht="13.5" thickBot="1">
      <c r="B227" s="51" t="str">
        <f>B168</f>
        <v xml:space="preserve">Adj. EBITDA </v>
      </c>
      <c r="D227" s="52">
        <f t="shared" ref="D227:K227" si="610">D168/D$207</f>
        <v>4401.7105263157891</v>
      </c>
      <c r="E227" s="52">
        <f t="shared" si="610"/>
        <v>4651.6095317725749</v>
      </c>
      <c r="F227" s="52">
        <f t="shared" si="610"/>
        <v>4286.974095168106</v>
      </c>
      <c r="G227" s="52">
        <f t="shared" si="610"/>
        <v>4595.312757880838</v>
      </c>
      <c r="H227" s="52">
        <f t="shared" si="610"/>
        <v>5147.5777414075283</v>
      </c>
      <c r="I227" s="52">
        <f t="shared" si="610"/>
        <v>5218.1124007330482</v>
      </c>
      <c r="J227" s="52">
        <f t="shared" si="610"/>
        <v>5303.8713519952353</v>
      </c>
      <c r="K227" s="52">
        <f t="shared" si="610"/>
        <v>4725</v>
      </c>
      <c r="L227" s="52">
        <f t="shared" ref="L227:Q227" si="611">L168/L$207</f>
        <v>4725</v>
      </c>
      <c r="M227" s="52">
        <f t="shared" si="611"/>
        <v>3761.9233614185991</v>
      </c>
      <c r="N227" s="52">
        <f t="shared" si="611"/>
        <v>5236.0107532205038</v>
      </c>
      <c r="O227" s="52">
        <f t="shared" si="611"/>
        <v>6219.591185833383</v>
      </c>
      <c r="P227" s="52">
        <f t="shared" si="611"/>
        <v>7830.3777268608965</v>
      </c>
      <c r="Q227" s="52">
        <f t="shared" si="611"/>
        <v>8932.1246684680427</v>
      </c>
      <c r="R227" s="52">
        <f>R168/R$207</f>
        <v>10741.120185569998</v>
      </c>
      <c r="S227" s="52">
        <f>S168/S$207</f>
        <v>12419.938254811275</v>
      </c>
      <c r="T227" s="52">
        <f>T168/T$207</f>
        <v>13724.070223089871</v>
      </c>
      <c r="U227" s="52">
        <f>U168/U$207</f>
        <v>13724.070223089871</v>
      </c>
      <c r="V227" s="49"/>
      <c r="W227" s="52">
        <f t="shared" ref="W227:AW227" si="612">W168/W$207</f>
        <v>1015.8518518518518</v>
      </c>
      <c r="X227" s="52">
        <f t="shared" si="612"/>
        <v>1075.7202391737635</v>
      </c>
      <c r="Y227" s="52">
        <f t="shared" si="612"/>
        <v>1061.1723631018008</v>
      </c>
      <c r="Z227" s="52">
        <f t="shared" si="612"/>
        <v>1133.8876570583889</v>
      </c>
      <c r="AA227" s="52">
        <f t="shared" si="612"/>
        <v>1171.6612960973864</v>
      </c>
      <c r="AB227" s="52">
        <f t="shared" si="612"/>
        <v>1095.2828685258964</v>
      </c>
      <c r="AC227" s="52">
        <f t="shared" si="612"/>
        <v>1144.3352135374698</v>
      </c>
      <c r="AD227" s="52">
        <f t="shared" si="612"/>
        <v>1186.9389077945227</v>
      </c>
      <c r="AE227" s="52">
        <f t="shared" si="612"/>
        <v>1222.0070128569043</v>
      </c>
      <c r="AF227" s="52">
        <f t="shared" si="612"/>
        <v>1284.2095766572986</v>
      </c>
      <c r="AG227" s="52">
        <f t="shared" si="612"/>
        <v>1252.1312215182847</v>
      </c>
      <c r="AH227" s="52">
        <f t="shared" si="612"/>
        <v>1386.6688687479875</v>
      </c>
      <c r="AI227" s="52">
        <f t="shared" si="612"/>
        <v>1301.4629056710778</v>
      </c>
      <c r="AJ227" s="52">
        <f t="shared" si="612"/>
        <v>1273.5442175963015</v>
      </c>
      <c r="AK227" s="52">
        <f t="shared" si="612"/>
        <v>1286.9780940167066</v>
      </c>
      <c r="AL227" s="52">
        <f t="shared" si="612"/>
        <v>1354.3824990395965</v>
      </c>
      <c r="AM227" s="52">
        <f t="shared" si="612"/>
        <v>1435.6090711869479</v>
      </c>
      <c r="AN227" s="52">
        <f t="shared" si="612"/>
        <v>1410.1243575927278</v>
      </c>
      <c r="AO227" s="52">
        <f t="shared" si="612"/>
        <v>1267.261332061327</v>
      </c>
      <c r="AP227" s="52">
        <f t="shared" si="612"/>
        <v>1191.3612452152729</v>
      </c>
      <c r="AQ227" s="52">
        <f t="shared" si="612"/>
        <v>1214.006908400713</v>
      </c>
      <c r="AR227" s="52">
        <f t="shared" si="612"/>
        <v>1243.5795393008539</v>
      </c>
      <c r="AS227" s="52">
        <f t="shared" si="612"/>
        <v>1173.021026592455</v>
      </c>
      <c r="AT227" s="52">
        <f t="shared" si="612"/>
        <v>1093.944256193703</v>
      </c>
      <c r="AU227" s="52">
        <f t="shared" si="612"/>
        <v>1017.4107142857142</v>
      </c>
      <c r="AV227" s="52">
        <f t="shared" si="612"/>
        <v>905.24684398752163</v>
      </c>
      <c r="AW227" s="52">
        <f t="shared" si="612"/>
        <v>874.9861265260821</v>
      </c>
      <c r="AX227" s="52">
        <f t="shared" ref="AX227:BC227" si="613">AX168/AX$207</f>
        <v>964.3666761122131</v>
      </c>
      <c r="AY227" s="52">
        <f t="shared" si="613"/>
        <v>1219.8563812456</v>
      </c>
      <c r="AZ227" s="52">
        <f t="shared" si="613"/>
        <v>1269.0536927770067</v>
      </c>
      <c r="BA227" s="52">
        <f t="shared" si="613"/>
        <v>1329.4663798476874</v>
      </c>
      <c r="BB227" s="52">
        <f t="shared" si="613"/>
        <v>1412.7051578270562</v>
      </c>
      <c r="BC227" s="52">
        <f t="shared" si="613"/>
        <v>1402.3617864585462</v>
      </c>
      <c r="BD227" s="52">
        <f t="shared" ref="BD227:BI227" si="614">BD168/BD$207</f>
        <v>1593.1558424095736</v>
      </c>
      <c r="BE227" s="52">
        <f t="shared" si="614"/>
        <v>1659.3844810071557</v>
      </c>
      <c r="BF227" s="52">
        <f t="shared" si="614"/>
        <v>1569.3851241138996</v>
      </c>
      <c r="BG227" s="52">
        <f t="shared" si="614"/>
        <v>1787.4467824155481</v>
      </c>
      <c r="BH227" s="52">
        <f t="shared" si="614"/>
        <v>1886.6962055301919</v>
      </c>
      <c r="BI227" s="52">
        <f t="shared" si="614"/>
        <v>2004.7938470891904</v>
      </c>
      <c r="BJ227" s="52">
        <f t="shared" ref="BJ227:BO227" si="615">BJ168/BJ$207</f>
        <v>2149.9459103522881</v>
      </c>
      <c r="BK227" s="52">
        <f t="shared" si="615"/>
        <v>2151.5815116685885</v>
      </c>
      <c r="BL227" s="52">
        <f t="shared" si="615"/>
        <v>2209.8877049027005</v>
      </c>
      <c r="BM227" s="52">
        <f t="shared" si="615"/>
        <v>2265.9186979985138</v>
      </c>
      <c r="BN227" s="52">
        <f t="shared" si="615"/>
        <v>2282.4080535446642</v>
      </c>
      <c r="BO227" s="52">
        <f t="shared" si="615"/>
        <v>2403.9566593620648</v>
      </c>
      <c r="BP227" s="52">
        <f t="shared" ref="BP227:BU227" si="616">BP168/BP$207</f>
        <v>2381.615598885794</v>
      </c>
      <c r="BQ227" s="52">
        <f t="shared" si="616"/>
        <v>2410.9339659832813</v>
      </c>
      <c r="BR227" s="52">
        <f t="shared" si="616"/>
        <v>3535.7932264282663</v>
      </c>
      <c r="BS227" s="52">
        <f t="shared" si="616"/>
        <v>2760.8661766645487</v>
      </c>
      <c r="BT227" s="52">
        <f t="shared" si="616"/>
        <v>3046.2686567164178</v>
      </c>
      <c r="BU227" s="52">
        <f t="shared" si="616"/>
        <v>3440.9023624844576</v>
      </c>
      <c r="BV227" s="52">
        <f>BV168/BV$207</f>
        <v>3165.6385731448113</v>
      </c>
      <c r="BW227" s="52">
        <f>BW168/BW$207</f>
        <v>3292.2062742531207</v>
      </c>
      <c r="BX227" s="52">
        <f>BX168/BX$207</f>
        <v>3426.9907449830475</v>
      </c>
      <c r="BY227" s="52">
        <f>BY168/BY$207</f>
        <v>3495.9028354623624</v>
      </c>
      <c r="BZ227" s="52">
        <f>BZ168/BZ$207</f>
        <v>3501.4808905015357</v>
      </c>
      <c r="CA227" s="49"/>
      <c r="CB227"/>
      <c r="CC227"/>
      <c r="CD227" s="49"/>
      <c r="CE227" s="49"/>
      <c r="CF227" s="49"/>
      <c r="CH227" s="52">
        <f>CH168/CH$207</f>
        <v>4906.4149726636251</v>
      </c>
    </row>
    <row r="228" spans="2:86" s="29" customFormat="1" ht="13.5" thickTop="1">
      <c r="B228" s="32" t="str">
        <f>B169</f>
        <v xml:space="preserve">% growth </v>
      </c>
      <c r="D228" s="50"/>
      <c r="E228" s="50"/>
      <c r="F228" s="50">
        <f>F227/E227-1</f>
        <v>-7.8389089650334087E-2</v>
      </c>
      <c r="G228" s="50">
        <f>G227/F227-1</f>
        <v>7.1924545347793023E-2</v>
      </c>
      <c r="H228" s="50"/>
      <c r="I228" s="50">
        <f t="shared" ref="I228:T228" si="617">I227/H227-1</f>
        <v>1.3702495206266319E-2</v>
      </c>
      <c r="J228" s="50">
        <f t="shared" si="617"/>
        <v>1.6434860860823797E-2</v>
      </c>
      <c r="K228" s="50">
        <f t="shared" si="617"/>
        <v>-0.10914128823608682</v>
      </c>
      <c r="L228" s="50">
        <f t="shared" si="617"/>
        <v>0</v>
      </c>
      <c r="M228" s="50">
        <f t="shared" si="617"/>
        <v>-0.2038257436151113</v>
      </c>
      <c r="N228" s="50">
        <f t="shared" si="617"/>
        <v>0.39184407819675382</v>
      </c>
      <c r="O228" s="50">
        <f t="shared" si="617"/>
        <v>0.18784920027291951</v>
      </c>
      <c r="P228" s="50">
        <f t="shared" si="617"/>
        <v>0.25898591931515824</v>
      </c>
      <c r="Q228" s="50">
        <f t="shared" si="617"/>
        <v>0.14070163407670289</v>
      </c>
      <c r="R228" s="50">
        <f t="shared" si="617"/>
        <v>0.20252689972947024</v>
      </c>
      <c r="S228" s="50">
        <f t="shared" si="617"/>
        <v>0.15629822962940687</v>
      </c>
      <c r="T228" s="50">
        <f t="shared" si="617"/>
        <v>0.10500309595125379</v>
      </c>
      <c r="U228" s="31"/>
      <c r="V228" s="1114"/>
      <c r="W228" s="50"/>
      <c r="X228" s="50"/>
      <c r="Y228" s="50"/>
      <c r="Z228" s="50"/>
      <c r="AA228" s="50">
        <f t="shared" ref="AA228:AR228" si="618">+AA227/W227-1</f>
        <v>0.15337811705663684</v>
      </c>
      <c r="AB228" s="50">
        <f t="shared" si="618"/>
        <v>1.8185610570233823E-2</v>
      </c>
      <c r="AC228" s="50">
        <f t="shared" si="618"/>
        <v>7.8368843109129394E-2</v>
      </c>
      <c r="AD228" s="50">
        <f t="shared" si="618"/>
        <v>4.6787043148316165E-2</v>
      </c>
      <c r="AE228" s="50">
        <f t="shared" si="618"/>
        <v>4.2969514250587038E-2</v>
      </c>
      <c r="AF228" s="50">
        <f t="shared" si="618"/>
        <v>0.17249124729365306</v>
      </c>
      <c r="AG228" s="50">
        <f t="shared" si="618"/>
        <v>9.4199677424577688E-2</v>
      </c>
      <c r="AH228" s="50">
        <f t="shared" si="618"/>
        <v>0.1682731601785532</v>
      </c>
      <c r="AI228" s="50">
        <f t="shared" si="618"/>
        <v>6.5020815738540794E-2</v>
      </c>
      <c r="AJ228" s="50">
        <f t="shared" si="618"/>
        <v>-8.3049988528806074E-3</v>
      </c>
      <c r="AK228" s="50">
        <f t="shared" si="618"/>
        <v>2.7830048400332874E-2</v>
      </c>
      <c r="AL228" s="50">
        <f t="shared" si="618"/>
        <v>-2.3283402718589974E-2</v>
      </c>
      <c r="AM228" s="50">
        <f t="shared" si="618"/>
        <v>0.103073368385171</v>
      </c>
      <c r="AN228" s="50">
        <f t="shared" si="618"/>
        <v>0.10724412871522349</v>
      </c>
      <c r="AO228" s="50">
        <f t="shared" si="618"/>
        <v>-1.5320200123875249E-2</v>
      </c>
      <c r="AP228" s="50">
        <f t="shared" si="618"/>
        <v>-0.12036574153898416</v>
      </c>
      <c r="AQ228" s="50">
        <f t="shared" si="618"/>
        <v>-0.15436107728339743</v>
      </c>
      <c r="AR228" s="50">
        <f t="shared" si="618"/>
        <v>-0.11810647578358857</v>
      </c>
      <c r="AS228" s="50">
        <f t="shared" ref="AS228:BZ228" si="619">+AS227/AO227-1</f>
        <v>-7.4365328669486641E-2</v>
      </c>
      <c r="AT228" s="50">
        <f t="shared" si="619"/>
        <v>-8.1769479587165073E-2</v>
      </c>
      <c r="AU228" s="50">
        <f t="shared" si="619"/>
        <v>-0.16193993028753617</v>
      </c>
      <c r="AV228" s="50">
        <f t="shared" si="619"/>
        <v>-0.27206357504365541</v>
      </c>
      <c r="AW228" s="50">
        <f t="shared" si="619"/>
        <v>-0.25407464428164916</v>
      </c>
      <c r="AX228" s="50">
        <f t="shared" si="619"/>
        <v>-0.11844989298846487</v>
      </c>
      <c r="AY228" s="50">
        <f t="shared" si="619"/>
        <v>0.19898126107509628</v>
      </c>
      <c r="AZ228" s="50">
        <f t="shared" si="619"/>
        <v>0.40188690102133062</v>
      </c>
      <c r="BA228" s="50">
        <f t="shared" si="619"/>
        <v>0.51941423931600816</v>
      </c>
      <c r="BB228" s="50">
        <f t="shared" si="619"/>
        <v>0.46490457708710231</v>
      </c>
      <c r="BC228" s="50">
        <f>+BC227/AY227-1</f>
        <v>0.14961220682929022</v>
      </c>
      <c r="BD228" s="50">
        <f t="shared" si="619"/>
        <v>0.25538883931959599</v>
      </c>
      <c r="BE228" s="50">
        <f t="shared" si="619"/>
        <v>0.24815828828801667</v>
      </c>
      <c r="BF228" s="50">
        <f t="shared" si="619"/>
        <v>0.1109077611975593</v>
      </c>
      <c r="BG228" s="50">
        <f>+BG227/BC227-1</f>
        <v>0.27459746812516617</v>
      </c>
      <c r="BH228" s="50">
        <f t="shared" si="619"/>
        <v>0.18425087822962283</v>
      </c>
      <c r="BI228" s="50">
        <f t="shared" si="619"/>
        <v>0.2081551141616016</v>
      </c>
      <c r="BJ228" s="50">
        <f t="shared" si="619"/>
        <v>0.36992881945799172</v>
      </c>
      <c r="BK228" s="50">
        <f t="shared" si="619"/>
        <v>0.20371780174677445</v>
      </c>
      <c r="BL228" s="50">
        <f t="shared" si="619"/>
        <v>0.17130023287542828</v>
      </c>
      <c r="BM228" s="50">
        <f t="shared" si="619"/>
        <v>0.13025022562217914</v>
      </c>
      <c r="BN228" s="50">
        <f t="shared" si="619"/>
        <v>6.1611849188648149E-2</v>
      </c>
      <c r="BO228" s="50">
        <f t="shared" si="619"/>
        <v>0.11729750712430831</v>
      </c>
      <c r="BP228" s="50">
        <f t="shared" si="619"/>
        <v>7.7708877967921142E-2</v>
      </c>
      <c r="BQ228" s="50">
        <f t="shared" si="619"/>
        <v>6.3998442712379422E-2</v>
      </c>
      <c r="BR228" s="50">
        <f t="shared" si="619"/>
        <v>0.54915034624814285</v>
      </c>
      <c r="BS228" s="50">
        <f t="shared" si="619"/>
        <v>0.14846753410154934</v>
      </c>
      <c r="BT228" s="50">
        <f t="shared" si="619"/>
        <v>0.27907654708911567</v>
      </c>
      <c r="BU228" s="50">
        <f t="shared" si="619"/>
        <v>0.42720721970546038</v>
      </c>
      <c r="BV228" s="50">
        <f t="shared" si="619"/>
        <v>-0.10468786763794224</v>
      </c>
      <c r="BW228" s="50">
        <f t="shared" si="619"/>
        <v>0.19245412982330534</v>
      </c>
      <c r="BX228" s="50">
        <f t="shared" si="619"/>
        <v>0.12497981339472908</v>
      </c>
      <c r="BY228" s="50">
        <f t="shared" si="619"/>
        <v>1.5984316665757614E-2</v>
      </c>
      <c r="BZ228" s="50">
        <f t="shared" si="619"/>
        <v>0.10608991190775496</v>
      </c>
      <c r="CA228" s="1046"/>
      <c r="CB228"/>
      <c r="CC228"/>
      <c r="CD228" s="855"/>
      <c r="CE228" s="855"/>
      <c r="CF228" s="855"/>
      <c r="CH228" s="50">
        <f>CH227/M227-1</f>
        <v>0.30423044312456304</v>
      </c>
    </row>
    <row r="229" spans="2:86" s="29" customFormat="1">
      <c r="B229" s="32" t="str">
        <f>B170</f>
        <v>% margin</v>
      </c>
      <c r="D229" s="50">
        <f t="shared" ref="D229:J229" si="620">+D227/D225</f>
        <v>0.33676499703029106</v>
      </c>
      <c r="E229" s="50">
        <f t="shared" si="620"/>
        <v>0.3254277094602796</v>
      </c>
      <c r="F229" s="50">
        <f t="shared" si="620"/>
        <v>0.30324772308381054</v>
      </c>
      <c r="G229" s="50">
        <f t="shared" si="620"/>
        <v>0.32427052240160598</v>
      </c>
      <c r="H229" s="50">
        <f t="shared" si="620"/>
        <v>0.34136501724098633</v>
      </c>
      <c r="I229" s="50">
        <f t="shared" si="620"/>
        <v>0.35363778627850367</v>
      </c>
      <c r="J229" s="50">
        <f t="shared" si="620"/>
        <v>0.37264577790935977</v>
      </c>
      <c r="K229" s="50">
        <f t="shared" ref="K229:Q229" si="621">+K227/K225</f>
        <v>0.36274835679744377</v>
      </c>
      <c r="L229" s="50">
        <f t="shared" si="621"/>
        <v>0.36733962619257887</v>
      </c>
      <c r="M229" s="50">
        <f t="shared" si="621"/>
        <v>0.32432769139301898</v>
      </c>
      <c r="N229" s="50">
        <f t="shared" si="621"/>
        <v>0.42230474894097458</v>
      </c>
      <c r="O229" s="50">
        <f t="shared" si="621"/>
        <v>0.45565216189044683</v>
      </c>
      <c r="P229" s="50">
        <f t="shared" si="621"/>
        <v>0.49632477289265914</v>
      </c>
      <c r="Q229" s="50">
        <f t="shared" si="621"/>
        <v>0.51208083300138352</v>
      </c>
      <c r="R229" s="50">
        <f>+R227/R225</f>
        <v>0.58715950172304709</v>
      </c>
      <c r="S229" s="50">
        <f>+S227/S225</f>
        <v>0.60151272722273108</v>
      </c>
      <c r="T229" s="50">
        <f>+T227/T225</f>
        <v>0.56722738798475703</v>
      </c>
      <c r="U229" s="50">
        <f>+U227/U225</f>
        <v>0.56722738798475703</v>
      </c>
      <c r="V229" s="1119"/>
      <c r="W229" s="50">
        <f t="shared" ref="W229:AL229" si="622">+W227/W225</f>
        <v>0.29539641364243946</v>
      </c>
      <c r="X229" s="50">
        <f t="shared" si="622"/>
        <v>0.30589215121675506</v>
      </c>
      <c r="Y229" s="50">
        <f t="shared" si="622"/>
        <v>0.29804640043766489</v>
      </c>
      <c r="Z229" s="50">
        <f t="shared" si="622"/>
        <v>0.3132136848818165</v>
      </c>
      <c r="AA229" s="50">
        <f t="shared" si="622"/>
        <v>0.32241642627689715</v>
      </c>
      <c r="AB229" s="50">
        <f t="shared" si="622"/>
        <v>0.32202474519504531</v>
      </c>
      <c r="AC229" s="50">
        <f t="shared" si="622"/>
        <v>0.32333213422158674</v>
      </c>
      <c r="AD229" s="50">
        <f t="shared" si="622"/>
        <v>0.32904022820691359</v>
      </c>
      <c r="AE229" s="50">
        <f t="shared" si="622"/>
        <v>0.31812392688704877</v>
      </c>
      <c r="AF229" s="50">
        <f t="shared" si="622"/>
        <v>0.33973411949344717</v>
      </c>
      <c r="AG229" s="50">
        <f t="shared" si="622"/>
        <v>0.33362350471957086</v>
      </c>
      <c r="AH229" s="50">
        <f t="shared" si="622"/>
        <v>0.37399458113351652</v>
      </c>
      <c r="AI229" s="50">
        <f t="shared" si="622"/>
        <v>0.34887700268572014</v>
      </c>
      <c r="AJ229" s="50">
        <f t="shared" si="622"/>
        <v>0.34652593597155767</v>
      </c>
      <c r="AK229" s="50">
        <f t="shared" si="622"/>
        <v>0.35159980538430313</v>
      </c>
      <c r="AL229" s="50">
        <f t="shared" si="622"/>
        <v>0.3669064589062202</v>
      </c>
      <c r="AM229" s="50">
        <f t="shared" ref="AM229:AR229" si="623">+AM227/AM225</f>
        <v>0.37505735386287825</v>
      </c>
      <c r="AN229" s="50">
        <f t="shared" si="623"/>
        <v>0.38368825618709773</v>
      </c>
      <c r="AO229" s="50">
        <f t="shared" si="623"/>
        <v>0.36682610303634045</v>
      </c>
      <c r="AP229" s="50">
        <f t="shared" si="623"/>
        <v>0.36363168403725404</v>
      </c>
      <c r="AQ229" s="50">
        <f t="shared" si="623"/>
        <v>0.35548539843475824</v>
      </c>
      <c r="AR229" s="50">
        <f t="shared" si="623"/>
        <v>0.36659969746247723</v>
      </c>
      <c r="AS229" s="50">
        <f t="shared" ref="AS229:AX229" si="624">+AS227/AS225</f>
        <v>0.37213191944359969</v>
      </c>
      <c r="AT229" s="50">
        <f t="shared" si="624"/>
        <v>0.35688504928184794</v>
      </c>
      <c r="AU229" s="50">
        <f t="shared" si="624"/>
        <v>0.3435863336590943</v>
      </c>
      <c r="AV229" s="50">
        <f t="shared" si="624"/>
        <v>0.3135736608068363</v>
      </c>
      <c r="AW229" s="50">
        <f t="shared" si="624"/>
        <v>0.31070668230996479</v>
      </c>
      <c r="AX229" s="50">
        <f t="shared" si="624"/>
        <v>0.32969486671707937</v>
      </c>
      <c r="AY229" s="50">
        <f t="shared" ref="AY229:BD229" si="625">+AY227/AY225</f>
        <v>0.40805478083996966</v>
      </c>
      <c r="AZ229" s="50">
        <f t="shared" si="625"/>
        <v>0.42154125603274162</v>
      </c>
      <c r="BA229" s="50">
        <f t="shared" si="625"/>
        <v>0.42458754883738653</v>
      </c>
      <c r="BB229" s="50">
        <f t="shared" si="625"/>
        <v>0.43331960964858984</v>
      </c>
      <c r="BC229" s="50">
        <f t="shared" si="625"/>
        <v>0.44306185425333883</v>
      </c>
      <c r="BD229" s="50">
        <f t="shared" si="625"/>
        <v>0.45747568467101424</v>
      </c>
      <c r="BE229" s="50">
        <f t="shared" ref="BE229:BJ229" si="626">+BE227/BE225</f>
        <v>0.4593382469428246</v>
      </c>
      <c r="BF229" s="50">
        <f t="shared" si="626"/>
        <v>0.46198912824642641</v>
      </c>
      <c r="BG229" s="50">
        <f t="shared" si="626"/>
        <v>0.48995527422398549</v>
      </c>
      <c r="BH229" s="50">
        <f t="shared" si="626"/>
        <v>0.49436779663407959</v>
      </c>
      <c r="BI229" s="50">
        <f t="shared" si="626"/>
        <v>0.49590095755228608</v>
      </c>
      <c r="BJ229" s="50">
        <f t="shared" si="626"/>
        <v>0.50387389373563041</v>
      </c>
      <c r="BK229" s="50">
        <f t="shared" ref="BK229:BP229" si="627">+BK227/BK225</f>
        <v>0.50321243272074856</v>
      </c>
      <c r="BL229" s="50">
        <f t="shared" si="627"/>
        <v>0.51027536302827348</v>
      </c>
      <c r="BM229" s="50">
        <f t="shared" si="627"/>
        <v>0.51579779269036652</v>
      </c>
      <c r="BN229" s="50">
        <f t="shared" si="627"/>
        <v>0.51817798583232999</v>
      </c>
      <c r="BO229" s="50">
        <f t="shared" si="627"/>
        <v>0.52254533810729775</v>
      </c>
      <c r="BP229" s="50">
        <f t="shared" si="627"/>
        <v>0.52616510855081844</v>
      </c>
      <c r="BQ229" s="50">
        <f t="shared" ref="BQ229:BV229" si="628">+BQ227/BQ225</f>
        <v>0.52281246396747993</v>
      </c>
      <c r="BR229" s="50">
        <f t="shared" si="628"/>
        <v>0.77674427946543945</v>
      </c>
      <c r="BS229" s="50">
        <f t="shared" si="628"/>
        <v>0.59238382398719835</v>
      </c>
      <c r="BT229" s="50">
        <f t="shared" si="628"/>
        <v>0.61140001917177911</v>
      </c>
      <c r="BU229" s="50">
        <f t="shared" si="628"/>
        <v>0.63722230750674358</v>
      </c>
      <c r="BV229" s="50">
        <f t="shared" si="628"/>
        <v>0.56664943550721647</v>
      </c>
      <c r="BW229" s="50">
        <f>+BW227/BW225</f>
        <v>0.5636584126120141</v>
      </c>
      <c r="BX229" s="50">
        <f>+BX227/BX225</f>
        <v>0.56586430528945719</v>
      </c>
      <c r="BY229" s="50">
        <f>+BY227/BY225</f>
        <v>0.56952046214699392</v>
      </c>
      <c r="BZ229" s="50">
        <f>+BZ227/BZ225</f>
        <v>0.56944955449266554</v>
      </c>
      <c r="CA229" s="1046"/>
      <c r="CB229"/>
      <c r="CC229"/>
      <c r="CD229" s="855"/>
      <c r="CE229" s="855"/>
      <c r="CF229" s="855"/>
      <c r="CH229" s="50">
        <f>+CH227/CH225</f>
        <v>0.40330254882719613</v>
      </c>
    </row>
    <row r="230" spans="2:86"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/>
      <c r="CC230"/>
      <c r="CD230" s="53"/>
      <c r="CE230" s="53"/>
      <c r="CF230" s="53"/>
      <c r="CH230" s="53"/>
    </row>
    <row r="231" spans="2:86" s="20" customFormat="1">
      <c r="B231" s="20" t="str">
        <f t="shared" ref="B231:B247" si="629">B172</f>
        <v xml:space="preserve">Adj EBITDA </v>
      </c>
      <c r="D231" s="49">
        <f t="shared" ref="D231:AW231" si="630">D172/D$207</f>
        <v>4401.7105263157891</v>
      </c>
      <c r="E231" s="49">
        <f t="shared" si="630"/>
        <v>4651.6095317725749</v>
      </c>
      <c r="F231" s="49">
        <f t="shared" si="630"/>
        <v>4286.974095168106</v>
      </c>
      <c r="G231" s="49">
        <f t="shared" si="630"/>
        <v>4595.312757880838</v>
      </c>
      <c r="H231" s="49">
        <f t="shared" si="630"/>
        <v>5147.5777414075283</v>
      </c>
      <c r="I231" s="49">
        <f t="shared" si="630"/>
        <v>5218.1124007330482</v>
      </c>
      <c r="J231" s="49">
        <f t="shared" si="630"/>
        <v>5303.8713519952353</v>
      </c>
      <c r="K231" s="49">
        <f t="shared" si="630"/>
        <v>4725</v>
      </c>
      <c r="L231" s="49">
        <f t="shared" ref="L231:M246" si="631">L172/L$207</f>
        <v>4725</v>
      </c>
      <c r="M231" s="49">
        <f t="shared" si="631"/>
        <v>3761.9233614185991</v>
      </c>
      <c r="N231" s="49">
        <f t="shared" ref="N231:O246" si="632">N172/N$207</f>
        <v>5236.0107532205038</v>
      </c>
      <c r="O231" s="49">
        <f t="shared" si="632"/>
        <v>6219.591185833383</v>
      </c>
      <c r="P231" s="49">
        <f t="shared" ref="P231:Q246" si="633">P172/P$207</f>
        <v>7830.3777268608965</v>
      </c>
      <c r="Q231" s="49">
        <f t="shared" si="633"/>
        <v>8932.1246684680427</v>
      </c>
      <c r="R231" s="49">
        <f t="shared" ref="R231:S246" si="634">R172/R$207</f>
        <v>10741.120185569998</v>
      </c>
      <c r="S231" s="49">
        <f t="shared" si="634"/>
        <v>12419.938254811275</v>
      </c>
      <c r="T231" s="49">
        <f t="shared" ref="T231:T246" si="635">T172/T$207</f>
        <v>13724.070223089871</v>
      </c>
      <c r="U231" s="49">
        <f t="shared" ref="U231:U246" si="636">U172/U$207</f>
        <v>13724.070223089871</v>
      </c>
      <c r="V231" s="49"/>
      <c r="W231" s="49">
        <f t="shared" si="630"/>
        <v>1015.8518518518518</v>
      </c>
      <c r="X231" s="49">
        <f t="shared" si="630"/>
        <v>1075.7202391737635</v>
      </c>
      <c r="Y231" s="49">
        <f t="shared" si="630"/>
        <v>1061.1723631018008</v>
      </c>
      <c r="Z231" s="49">
        <f t="shared" si="630"/>
        <v>1133.8876570583889</v>
      </c>
      <c r="AA231" s="49">
        <f t="shared" si="630"/>
        <v>1171.6612960973864</v>
      </c>
      <c r="AB231" s="49">
        <f t="shared" si="630"/>
        <v>1095.2828685258964</v>
      </c>
      <c r="AC231" s="49">
        <f t="shared" si="630"/>
        <v>1144.3352135374698</v>
      </c>
      <c r="AD231" s="49">
        <f t="shared" si="630"/>
        <v>1186.9389077945227</v>
      </c>
      <c r="AE231" s="49">
        <f t="shared" si="630"/>
        <v>1222.0070128569043</v>
      </c>
      <c r="AF231" s="49">
        <f t="shared" si="630"/>
        <v>1284.2095766572986</v>
      </c>
      <c r="AG231" s="49">
        <f t="shared" si="630"/>
        <v>1252.1312215182847</v>
      </c>
      <c r="AH231" s="49">
        <f t="shared" si="630"/>
        <v>1386.6688687479875</v>
      </c>
      <c r="AI231" s="49">
        <f t="shared" si="630"/>
        <v>1301.4629056710778</v>
      </c>
      <c r="AJ231" s="49">
        <f t="shared" si="630"/>
        <v>1273.5442175963015</v>
      </c>
      <c r="AK231" s="49">
        <f t="shared" si="630"/>
        <v>1286.9780940167066</v>
      </c>
      <c r="AL231" s="49">
        <f t="shared" si="630"/>
        <v>1354.3824990395965</v>
      </c>
      <c r="AM231" s="49">
        <f t="shared" si="630"/>
        <v>1435.6090711869479</v>
      </c>
      <c r="AN231" s="49">
        <f t="shared" si="630"/>
        <v>1410.1243575927278</v>
      </c>
      <c r="AO231" s="49">
        <f t="shared" si="630"/>
        <v>1267.261332061327</v>
      </c>
      <c r="AP231" s="49">
        <f t="shared" si="630"/>
        <v>1191.3612452152729</v>
      </c>
      <c r="AQ231" s="49">
        <f t="shared" si="630"/>
        <v>1214.006908400713</v>
      </c>
      <c r="AR231" s="49">
        <f t="shared" si="630"/>
        <v>1243.5795393008539</v>
      </c>
      <c r="AS231" s="49">
        <f t="shared" si="630"/>
        <v>1173.021026592455</v>
      </c>
      <c r="AT231" s="49">
        <f t="shared" si="630"/>
        <v>1093.944256193703</v>
      </c>
      <c r="AU231" s="49">
        <f t="shared" si="630"/>
        <v>1017.4107142857142</v>
      </c>
      <c r="AV231" s="49">
        <f t="shared" si="630"/>
        <v>905.24684398752163</v>
      </c>
      <c r="AW231" s="49">
        <f t="shared" si="630"/>
        <v>874.9861265260821</v>
      </c>
      <c r="AX231" s="49">
        <f t="shared" ref="AX231:AZ246" si="637">AX172/AX$207</f>
        <v>964.3666761122131</v>
      </c>
      <c r="AY231" s="49">
        <f t="shared" si="637"/>
        <v>1219.8563812456</v>
      </c>
      <c r="AZ231" s="49">
        <f t="shared" si="637"/>
        <v>1269.0536927770067</v>
      </c>
      <c r="BA231" s="49">
        <f t="shared" ref="BA231:BD246" si="638">BA172/BA$207</f>
        <v>1329.4663798476874</v>
      </c>
      <c r="BB231" s="49">
        <f t="shared" si="638"/>
        <v>1412.7051578270562</v>
      </c>
      <c r="BC231" s="49">
        <f t="shared" si="638"/>
        <v>1402.3617864585462</v>
      </c>
      <c r="BD231" s="49">
        <f t="shared" si="638"/>
        <v>1593.1558424095736</v>
      </c>
      <c r="BE231" s="49">
        <f t="shared" ref="BE231:BH246" si="639">BE172/BE$207</f>
        <v>1659.3844810071557</v>
      </c>
      <c r="BF231" s="49">
        <f t="shared" si="639"/>
        <v>1569.3851241138996</v>
      </c>
      <c r="BG231" s="49">
        <f t="shared" si="639"/>
        <v>1787.4467824155481</v>
      </c>
      <c r="BH231" s="49">
        <f t="shared" si="639"/>
        <v>1886.6962055301919</v>
      </c>
      <c r="BI231" s="49">
        <f t="shared" ref="BI231:BL246" si="640">BI172/BI$207</f>
        <v>2004.7938470891904</v>
      </c>
      <c r="BJ231" s="49">
        <f t="shared" si="640"/>
        <v>2149.9459103522881</v>
      </c>
      <c r="BK231" s="49">
        <f t="shared" si="640"/>
        <v>2151.5815116685885</v>
      </c>
      <c r="BL231" s="49">
        <f t="shared" si="640"/>
        <v>2209.8877049027005</v>
      </c>
      <c r="BM231" s="49">
        <f t="shared" ref="BM231:BQ246" si="641">BM172/BM$207</f>
        <v>2265.9186979985138</v>
      </c>
      <c r="BN231" s="49">
        <f t="shared" si="641"/>
        <v>2282.4080535446642</v>
      </c>
      <c r="BO231" s="49">
        <f t="shared" si="641"/>
        <v>2403.9566593620648</v>
      </c>
      <c r="BP231" s="49">
        <f t="shared" si="641"/>
        <v>2381.615598885794</v>
      </c>
      <c r="BQ231" s="49">
        <f t="shared" si="641"/>
        <v>2410.9339659832813</v>
      </c>
      <c r="BR231" s="49">
        <f t="shared" ref="BR231:BS246" si="642">BR172/BR$207</f>
        <v>3535.7932264282663</v>
      </c>
      <c r="BS231" s="49">
        <f t="shared" si="642"/>
        <v>2760.8661766645487</v>
      </c>
      <c r="BT231" s="49">
        <f t="shared" ref="BT231:BW246" si="643">BT172/BT$207</f>
        <v>3046.2686567164178</v>
      </c>
      <c r="BU231" s="49">
        <f t="shared" si="643"/>
        <v>3440.9023624844576</v>
      </c>
      <c r="BV231" s="49">
        <f t="shared" si="643"/>
        <v>3165.6385731448113</v>
      </c>
      <c r="BW231" s="49">
        <f t="shared" si="643"/>
        <v>3292.2062742531207</v>
      </c>
      <c r="BX231" s="49">
        <f t="shared" ref="BX231:BY246" si="644">BX172/BX$207</f>
        <v>3426.9907449830475</v>
      </c>
      <c r="BY231" s="49">
        <f t="shared" si="644"/>
        <v>3495.9028354623624</v>
      </c>
      <c r="BZ231" s="49">
        <f t="shared" ref="BZ231:BZ246" si="645">BZ172/BZ$207</f>
        <v>3501.4808905015357</v>
      </c>
      <c r="CA231" s="49"/>
      <c r="CB231"/>
      <c r="CC231"/>
      <c r="CD231" s="49"/>
      <c r="CE231" s="49"/>
      <c r="CF231" s="49"/>
      <c r="CH231" s="49">
        <f t="shared" ref="CH231:CH246" si="646">CH172/CH$207</f>
        <v>4906.4149726636251</v>
      </c>
    </row>
    <row r="232" spans="2:86">
      <c r="B232" s="17" t="str">
        <f t="shared" si="629"/>
        <v>Working Capital</v>
      </c>
      <c r="D232" s="54">
        <f t="shared" ref="D232:AW232" si="647">D173/D$207</f>
        <v>165.98684210526315</v>
      </c>
      <c r="E232" s="54">
        <f t="shared" si="647"/>
        <v>237.08193979933108</v>
      </c>
      <c r="F232" s="54">
        <f t="shared" si="647"/>
        <v>376.63053463163698</v>
      </c>
      <c r="G232" s="54">
        <f t="shared" si="647"/>
        <v>309.3414754910051</v>
      </c>
      <c r="H232" s="54">
        <f t="shared" si="647"/>
        <v>50.032733224222582</v>
      </c>
      <c r="I232" s="54">
        <f t="shared" si="647"/>
        <v>71.212583995113008</v>
      </c>
      <c r="J232" s="54">
        <f t="shared" si="647"/>
        <v>312.93924955330556</v>
      </c>
      <c r="K232" s="54">
        <f t="shared" si="647"/>
        <v>-28.895096213531968</v>
      </c>
      <c r="L232" s="54">
        <f t="shared" si="631"/>
        <v>91.651148355058979</v>
      </c>
      <c r="M232" s="54">
        <f t="shared" si="631"/>
        <v>-832.62869790526554</v>
      </c>
      <c r="N232" s="54">
        <f t="shared" si="632"/>
        <v>-2341.9546227829651</v>
      </c>
      <c r="O232" s="54">
        <f t="shared" si="632"/>
        <v>410.24306831026308</v>
      </c>
      <c r="P232" s="54">
        <f t="shared" si="633"/>
        <v>-195.01056863091549</v>
      </c>
      <c r="Q232" s="54">
        <f t="shared" si="633"/>
        <v>-387.5032686249362</v>
      </c>
      <c r="R232" s="54">
        <f t="shared" si="634"/>
        <v>291.59619194896823</v>
      </c>
      <c r="S232" s="54">
        <f t="shared" si="634"/>
        <v>991.38879360310386</v>
      </c>
      <c r="T232" s="54">
        <f t="shared" si="635"/>
        <v>815.31214191741276</v>
      </c>
      <c r="U232" s="54">
        <f t="shared" si="636"/>
        <v>815.31214191741276</v>
      </c>
      <c r="V232" s="54"/>
      <c r="W232" s="54">
        <f t="shared" si="647"/>
        <v>259.81481481481484</v>
      </c>
      <c r="X232" s="54">
        <f t="shared" si="647"/>
        <v>-66.91429606812828</v>
      </c>
      <c r="Y232" s="54">
        <f t="shared" si="647"/>
        <v>234.23373759647188</v>
      </c>
      <c r="Z232" s="54">
        <f t="shared" si="647"/>
        <v>-47.745750184774579</v>
      </c>
      <c r="AA232" s="54">
        <f t="shared" si="647"/>
        <v>707.66201217329035</v>
      </c>
      <c r="AB232" s="54">
        <f t="shared" si="647"/>
        <v>13.067729083665339</v>
      </c>
      <c r="AC232" s="54">
        <f t="shared" si="647"/>
        <v>-103.4488315874295</v>
      </c>
      <c r="AD232" s="54">
        <f t="shared" si="647"/>
        <v>-246.11894344514664</v>
      </c>
      <c r="AE232" s="54">
        <f t="shared" si="647"/>
        <v>197.54550008348639</v>
      </c>
      <c r="AF232" s="54">
        <f t="shared" si="647"/>
        <v>99.570105820105823</v>
      </c>
      <c r="AG232" s="54">
        <f t="shared" si="647"/>
        <v>41.105186621425112</v>
      </c>
      <c r="AH232" s="54">
        <f t="shared" si="647"/>
        <v>-279.04731252011584</v>
      </c>
      <c r="AI232" s="54">
        <f t="shared" si="647"/>
        <v>277.39445494643985</v>
      </c>
      <c r="AJ232" s="54">
        <f t="shared" si="647"/>
        <v>-71.41756548536209</v>
      </c>
      <c r="AK232" s="54">
        <f t="shared" si="647"/>
        <v>48.71678056188307</v>
      </c>
      <c r="AL232" s="54">
        <f t="shared" si="647"/>
        <v>-170.19799054373522</v>
      </c>
      <c r="AM232" s="54">
        <f t="shared" si="647"/>
        <v>196.25804520281395</v>
      </c>
      <c r="AN232" s="54">
        <f t="shared" si="647"/>
        <v>68.732310442425145</v>
      </c>
      <c r="AO232" s="54">
        <f t="shared" si="647"/>
        <v>115.88052639361231</v>
      </c>
      <c r="AP232" s="54">
        <f t="shared" si="647"/>
        <v>-67.759725741541203</v>
      </c>
      <c r="AQ232" s="54">
        <f t="shared" si="647"/>
        <v>495.39106145251401</v>
      </c>
      <c r="AR232" s="54">
        <f t="shared" si="647"/>
        <v>43.101305158483534</v>
      </c>
      <c r="AS232" s="54">
        <f t="shared" si="647"/>
        <v>-23.964131106988248</v>
      </c>
      <c r="AT232" s="54">
        <f t="shared" si="647"/>
        <v>-544.46345256609641</v>
      </c>
      <c r="AU232" s="54">
        <f t="shared" si="647"/>
        <v>-258.25892857142856</v>
      </c>
      <c r="AV232" s="54">
        <f t="shared" si="647"/>
        <v>-271.23297836814965</v>
      </c>
      <c r="AW232" s="54">
        <f t="shared" si="647"/>
        <v>-98.432297447280803</v>
      </c>
      <c r="AX232" s="54">
        <f t="shared" si="637"/>
        <v>-208.84103145366959</v>
      </c>
      <c r="AY232" s="54">
        <f t="shared" si="637"/>
        <v>60.643493249066353</v>
      </c>
      <c r="AZ232" s="54">
        <f t="shared" si="637"/>
        <v>-245.38224852071005</v>
      </c>
      <c r="BA232" s="54">
        <f t="shared" si="638"/>
        <v>336.17376442669314</v>
      </c>
      <c r="BB232" s="54">
        <f t="shared" si="638"/>
        <v>-2415.3168436029332</v>
      </c>
      <c r="BC232" s="54">
        <f t="shared" si="638"/>
        <v>257.40018954397408</v>
      </c>
      <c r="BD232" s="54">
        <f t="shared" si="638"/>
        <v>-197.44520640043027</v>
      </c>
      <c r="BE232" s="54">
        <f t="shared" si="639"/>
        <v>54.832711855053041</v>
      </c>
      <c r="BF232" s="54">
        <f t="shared" si="639"/>
        <v>294.97354949680783</v>
      </c>
      <c r="BG232" s="54">
        <f t="shared" si="639"/>
        <v>22.401697812886869</v>
      </c>
      <c r="BH232" s="54">
        <f t="shared" si="639"/>
        <v>-128.83323283659229</v>
      </c>
      <c r="BI232" s="54">
        <f t="shared" si="640"/>
        <v>208.79598306819662</v>
      </c>
      <c r="BJ232" s="54">
        <f t="shared" si="640"/>
        <v>-296.6665994745577</v>
      </c>
      <c r="BK232" s="54">
        <f t="shared" si="640"/>
        <v>404.42901014603552</v>
      </c>
      <c r="BL232" s="54">
        <f t="shared" si="640"/>
        <v>-559.70470317556317</v>
      </c>
      <c r="BM232" s="54">
        <f t="shared" si="641"/>
        <v>132.56343724494147</v>
      </c>
      <c r="BN232" s="54">
        <f t="shared" si="641"/>
        <v>-343.81693841514107</v>
      </c>
      <c r="BO232" s="54">
        <f t="shared" si="641"/>
        <v>266.36230825420017</v>
      </c>
      <c r="BP232" s="54">
        <f t="shared" si="641"/>
        <v>-7.3271163860966455</v>
      </c>
      <c r="BQ232" s="54">
        <f t="shared" si="641"/>
        <v>203.47851188972683</v>
      </c>
      <c r="BR232" s="54">
        <f t="shared" si="642"/>
        <v>-168.73964511249309</v>
      </c>
      <c r="BS232" s="54">
        <f t="shared" si="642"/>
        <v>292.47371134638684</v>
      </c>
      <c r="BT232" s="54">
        <f t="shared" si="643"/>
        <v>416.60179104477606</v>
      </c>
      <c r="BU232" s="54">
        <f t="shared" si="643"/>
        <v>252.31807685475755</v>
      </c>
      <c r="BV232" s="54">
        <f t="shared" si="643"/>
        <v>37.230847426300713</v>
      </c>
      <c r="BW232" s="54">
        <f t="shared" si="643"/>
        <v>471.23521436252281</v>
      </c>
      <c r="BX232" s="54">
        <f t="shared" si="644"/>
        <v>220.68862824154678</v>
      </c>
      <c r="BY232" s="54">
        <f t="shared" si="644"/>
        <v>379.56581281009363</v>
      </c>
      <c r="BZ232" s="54">
        <f t="shared" si="645"/>
        <v>-233.40145793943105</v>
      </c>
      <c r="CA232" s="54"/>
      <c r="CB232"/>
      <c r="CC232"/>
      <c r="CD232" s="54"/>
      <c r="CE232" s="54"/>
      <c r="CF232" s="54"/>
      <c r="CH232" s="54">
        <f t="shared" si="646"/>
        <v>-2341.9546227829651</v>
      </c>
    </row>
    <row r="233" spans="2:86">
      <c r="B233" s="17" t="str">
        <f t="shared" si="629"/>
        <v>Taxes</v>
      </c>
      <c r="D233" s="54">
        <f t="shared" ref="D233:AW233" si="648">D174/D$207</f>
        <v>-534.82456140350871</v>
      </c>
      <c r="E233" s="54">
        <f t="shared" si="648"/>
        <v>-615.65635451505011</v>
      </c>
      <c r="F233" s="54">
        <f t="shared" si="648"/>
        <v>-574.94029028109503</v>
      </c>
      <c r="G233" s="54">
        <f t="shared" si="648"/>
        <v>-578.29674863838909</v>
      </c>
      <c r="H233" s="54">
        <f t="shared" si="648"/>
        <v>-754.68085106382978</v>
      </c>
      <c r="I233" s="54">
        <f t="shared" si="648"/>
        <v>-715.27183872938292</v>
      </c>
      <c r="J233" s="54">
        <f t="shared" si="648"/>
        <v>-470.32459797498512</v>
      </c>
      <c r="K233" s="54">
        <f t="shared" si="648"/>
        <v>-212.95779019242707</v>
      </c>
      <c r="L233" s="54">
        <f t="shared" si="631"/>
        <v>-212.95779019242707</v>
      </c>
      <c r="M233" s="54">
        <f t="shared" si="631"/>
        <v>-167.48146844592478</v>
      </c>
      <c r="N233" s="54">
        <f t="shared" si="632"/>
        <v>-323.66906788684821</v>
      </c>
      <c r="O233" s="54">
        <f t="shared" si="632"/>
        <v>-300.98600956959729</v>
      </c>
      <c r="P233" s="54">
        <f t="shared" si="633"/>
        <v>-293.13570411808564</v>
      </c>
      <c r="Q233" s="54">
        <f t="shared" si="633"/>
        <v>-472.11395983015603</v>
      </c>
      <c r="R233" s="54">
        <f t="shared" si="634"/>
        <v>-348.01623737495771</v>
      </c>
      <c r="S233" s="54">
        <f t="shared" si="634"/>
        <v>-524.95238996463252</v>
      </c>
      <c r="T233" s="54">
        <f t="shared" si="635"/>
        <v>-711.16015221604482</v>
      </c>
      <c r="U233" s="54">
        <f t="shared" si="636"/>
        <v>-711.16015221604482</v>
      </c>
      <c r="V233" s="54"/>
      <c r="W233" s="54">
        <f t="shared" si="648"/>
        <v>-121.85185185185185</v>
      </c>
      <c r="X233" s="54">
        <f t="shared" si="648"/>
        <v>-164.63127378148215</v>
      </c>
      <c r="Y233" s="54">
        <f t="shared" si="648"/>
        <v>-142.81514149209849</v>
      </c>
      <c r="Z233" s="54">
        <f t="shared" si="648"/>
        <v>-145.15890613451589</v>
      </c>
      <c r="AA233" s="54">
        <f t="shared" si="648"/>
        <v>-97.994987468671681</v>
      </c>
      <c r="AB233" s="54">
        <f t="shared" si="648"/>
        <v>-146.10358565737053</v>
      </c>
      <c r="AC233" s="54">
        <f t="shared" si="648"/>
        <v>-154.63336019339243</v>
      </c>
      <c r="AD233" s="54">
        <f t="shared" si="648"/>
        <v>-175.04456327985739</v>
      </c>
      <c r="AE233" s="54">
        <f t="shared" si="648"/>
        <v>-110.88662548004675</v>
      </c>
      <c r="AF233" s="54">
        <f t="shared" si="648"/>
        <v>-185.79695767195767</v>
      </c>
      <c r="AG233" s="54">
        <f t="shared" si="648"/>
        <v>-224.2688641137502</v>
      </c>
      <c r="AH233" s="54">
        <f t="shared" si="648"/>
        <v>-230.97843579015128</v>
      </c>
      <c r="AI233" s="54">
        <f t="shared" si="648"/>
        <v>-162.24007561436673</v>
      </c>
      <c r="AJ233" s="54">
        <f t="shared" si="648"/>
        <v>-241.34052388289675</v>
      </c>
      <c r="AK233" s="54">
        <f t="shared" si="648"/>
        <v>-180.74411541381932</v>
      </c>
      <c r="AL233" s="54">
        <f t="shared" si="648"/>
        <v>-132.56501182033097</v>
      </c>
      <c r="AM233" s="54">
        <f t="shared" si="648"/>
        <v>-107.18491243825775</v>
      </c>
      <c r="AN233" s="54">
        <f t="shared" si="648"/>
        <v>-165.5153284671533</v>
      </c>
      <c r="AO233" s="54">
        <f t="shared" si="648"/>
        <v>-80.764823303267789</v>
      </c>
      <c r="AP233" s="54">
        <f t="shared" si="648"/>
        <v>-117.04884483529587</v>
      </c>
      <c r="AQ233" s="54">
        <f t="shared" si="648"/>
        <v>-22.12911235257604</v>
      </c>
      <c r="AR233" s="54">
        <f t="shared" si="648"/>
        <v>-94.530764449968927</v>
      </c>
      <c r="AS233" s="54">
        <f t="shared" si="648"/>
        <v>-28.46320346320346</v>
      </c>
      <c r="AT233" s="54">
        <f t="shared" si="648"/>
        <v>-67.993779160186634</v>
      </c>
      <c r="AU233" s="54">
        <f t="shared" si="648"/>
        <v>-108.7797619047619</v>
      </c>
      <c r="AV233" s="54">
        <f t="shared" si="648"/>
        <v>-73.8519763787843</v>
      </c>
      <c r="AW233" s="54">
        <f t="shared" si="648"/>
        <v>88.401775804661483</v>
      </c>
      <c r="AX233" s="54">
        <f t="shared" si="637"/>
        <v>-79.243411731368667</v>
      </c>
      <c r="AY233" s="54">
        <f t="shared" si="637"/>
        <v>-103.24619362252226</v>
      </c>
      <c r="AZ233" s="54">
        <f t="shared" si="637"/>
        <v>-87.891124260355028</v>
      </c>
      <c r="BA233" s="54">
        <f t="shared" si="638"/>
        <v>-76.951842535941424</v>
      </c>
      <c r="BB233" s="54">
        <f t="shared" si="638"/>
        <v>-56.747291233446425</v>
      </c>
      <c r="BC233" s="54">
        <f t="shared" si="638"/>
        <v>-132.85213592860072</v>
      </c>
      <c r="BD233" s="54">
        <f t="shared" si="638"/>
        <v>-45.677020303885975</v>
      </c>
      <c r="BE233" s="54">
        <f t="shared" si="639"/>
        <v>-74.563767214426008</v>
      </c>
      <c r="BF233" s="54">
        <f t="shared" si="639"/>
        <v>-46.232812302305142</v>
      </c>
      <c r="BG233" s="54">
        <f t="shared" si="639"/>
        <v>-169.75418439456803</v>
      </c>
      <c r="BH233" s="54">
        <f t="shared" si="639"/>
        <v>-53.231867516581957</v>
      </c>
      <c r="BI233" s="54">
        <f t="shared" si="640"/>
        <v>-88.378743734765877</v>
      </c>
      <c r="BJ233" s="54">
        <f t="shared" si="640"/>
        <v>17.436946475898736</v>
      </c>
      <c r="BK233" s="54">
        <f t="shared" si="640"/>
        <v>-258.41939538439607</v>
      </c>
      <c r="BL233" s="54">
        <f t="shared" si="640"/>
        <v>-62.064708413091324</v>
      </c>
      <c r="BM233" s="54">
        <f t="shared" si="641"/>
        <v>-97.692934556169774</v>
      </c>
      <c r="BN233" s="54">
        <f t="shared" si="641"/>
        <v>-60.383195024406753</v>
      </c>
      <c r="BO233" s="54">
        <f t="shared" si="641"/>
        <v>-179.8027757487217</v>
      </c>
      <c r="BP233" s="54">
        <f t="shared" si="641"/>
        <v>-64.502846070001212</v>
      </c>
      <c r="BQ233" s="54">
        <f t="shared" si="641"/>
        <v>-41.605022913434127</v>
      </c>
      <c r="BR233" s="54">
        <f t="shared" si="642"/>
        <v>-63.053761375369177</v>
      </c>
      <c r="BS233" s="54">
        <f t="shared" si="642"/>
        <v>-110.0132249016449</v>
      </c>
      <c r="BT233" s="54">
        <f t="shared" si="643"/>
        <v>-88.213415415941839</v>
      </c>
      <c r="BU233" s="54">
        <f t="shared" si="643"/>
        <v>-169.54230564272603</v>
      </c>
      <c r="BV233" s="54">
        <f t="shared" si="643"/>
        <v>-155.94577082631901</v>
      </c>
      <c r="BW233" s="54">
        <f t="shared" si="643"/>
        <v>-196.18729253354527</v>
      </c>
      <c r="BX233" s="54">
        <f t="shared" si="644"/>
        <v>-170.07239072665627</v>
      </c>
      <c r="BY233" s="54">
        <f t="shared" si="644"/>
        <v>-222.31327032305862</v>
      </c>
      <c r="BZ233" s="54">
        <f t="shared" si="645"/>
        <v>-124.60245467163577</v>
      </c>
      <c r="CA233" s="54"/>
      <c r="CB233"/>
      <c r="CC233"/>
      <c r="CD233" s="54"/>
      <c r="CE233" s="54"/>
      <c r="CF233" s="54"/>
      <c r="CH233" s="54">
        <f t="shared" si="646"/>
        <v>-323.66906788684821</v>
      </c>
    </row>
    <row r="234" spans="2:86">
      <c r="B234" s="17" t="str">
        <f t="shared" si="629"/>
        <v>Cash interest paid</v>
      </c>
      <c r="D234" s="54">
        <f t="shared" ref="D234:AW234" si="649">D175/D$207</f>
        <v>-473.57456140350877</v>
      </c>
      <c r="E234" s="54">
        <f t="shared" si="649"/>
        <v>-676.25418060200661</v>
      </c>
      <c r="F234" s="54">
        <f t="shared" si="649"/>
        <v>-630.88370383979418</v>
      </c>
      <c r="G234" s="54">
        <f t="shared" si="649"/>
        <v>-620.89453705231881</v>
      </c>
      <c r="H234" s="54">
        <f t="shared" si="649"/>
        <v>-554.61538461538464</v>
      </c>
      <c r="I234" s="54">
        <f t="shared" si="649"/>
        <v>-502.29077580940742</v>
      </c>
      <c r="J234" s="54">
        <f t="shared" si="649"/>
        <v>-872.03692674210845</v>
      </c>
      <c r="K234" s="54">
        <f t="shared" si="649"/>
        <v>-683.44196151458721</v>
      </c>
      <c r="L234" s="54">
        <f t="shared" si="631"/>
        <v>-683.44196151458721</v>
      </c>
      <c r="M234" s="54">
        <f t="shared" si="631"/>
        <v>-1089.8027450020961</v>
      </c>
      <c r="N234" s="54">
        <f t="shared" si="632"/>
        <v>-1552.135492177621</v>
      </c>
      <c r="O234" s="54">
        <f t="shared" si="632"/>
        <v>-961.05771077816496</v>
      </c>
      <c r="P234" s="54">
        <f t="shared" si="633"/>
        <v>-1773.1516518107317</v>
      </c>
      <c r="Q234" s="54">
        <f t="shared" si="633"/>
        <v>-832.94524897583085</v>
      </c>
      <c r="R234" s="54">
        <f t="shared" si="634"/>
        <v>-1694.570627748514</v>
      </c>
      <c r="S234" s="54">
        <f t="shared" si="634"/>
        <v>-2075.6319418980142</v>
      </c>
      <c r="T234" s="54">
        <f t="shared" si="635"/>
        <v>-1684.8562011062538</v>
      </c>
      <c r="U234" s="54">
        <f t="shared" si="636"/>
        <v>-1684.8562011062538</v>
      </c>
      <c r="V234" s="54"/>
      <c r="W234" s="54">
        <f t="shared" si="649"/>
        <v>-177.85185185185185</v>
      </c>
      <c r="X234" s="54">
        <f t="shared" si="649"/>
        <v>-136.85450262728756</v>
      </c>
      <c r="Y234" s="54">
        <f t="shared" si="649"/>
        <v>-204.07938257993385</v>
      </c>
      <c r="Z234" s="54">
        <f t="shared" si="649"/>
        <v>-112.26903178122691</v>
      </c>
      <c r="AA234" s="54">
        <f t="shared" si="649"/>
        <v>-178.24919441460796</v>
      </c>
      <c r="AB234" s="54">
        <f t="shared" si="649"/>
        <v>-162.42231075697211</v>
      </c>
      <c r="AC234" s="54">
        <f t="shared" si="649"/>
        <v>-162.11120064464143</v>
      </c>
      <c r="AD234" s="54">
        <f t="shared" si="649"/>
        <v>-120.11019283746556</v>
      </c>
      <c r="AE234" s="54">
        <f t="shared" si="649"/>
        <v>-156.2364334613458</v>
      </c>
      <c r="AF234" s="54">
        <f t="shared" si="649"/>
        <v>-120.10582010582011</v>
      </c>
      <c r="AG234" s="54">
        <f t="shared" si="649"/>
        <v>-121.7644207464857</v>
      </c>
      <c r="AH234" s="54">
        <f t="shared" si="649"/>
        <v>-156.58191181203733</v>
      </c>
      <c r="AI234" s="54">
        <f t="shared" si="649"/>
        <v>-145.43163201008193</v>
      </c>
      <c r="AJ234" s="54">
        <f t="shared" si="649"/>
        <v>-120.8166409861325</v>
      </c>
      <c r="AK234" s="54">
        <f t="shared" si="649"/>
        <v>-135.96051632498103</v>
      </c>
      <c r="AL234" s="54">
        <f t="shared" si="649"/>
        <v>-101.41843971631205</v>
      </c>
      <c r="AM234" s="54">
        <f t="shared" si="649"/>
        <v>-145.84643017512349</v>
      </c>
      <c r="AN234" s="54">
        <f t="shared" si="649"/>
        <v>-95.501266199910631</v>
      </c>
      <c r="AO234" s="54">
        <f t="shared" si="649"/>
        <v>-139.2872985361526</v>
      </c>
      <c r="AP234" s="54">
        <f t="shared" si="649"/>
        <v>-491.74243553435679</v>
      </c>
      <c r="AQ234" s="54">
        <f t="shared" si="649"/>
        <v>-169.7082557417753</v>
      </c>
      <c r="AR234" s="54">
        <f t="shared" si="649"/>
        <v>-97.249844623990057</v>
      </c>
      <c r="AS234" s="54">
        <f t="shared" si="649"/>
        <v>-160.46691403834259</v>
      </c>
      <c r="AT234" s="54">
        <f t="shared" si="649"/>
        <v>-256.09642301710733</v>
      </c>
      <c r="AU234" s="54">
        <f t="shared" si="649"/>
        <v>-461.11607142857139</v>
      </c>
      <c r="AV234" s="54">
        <f t="shared" si="649"/>
        <v>-82.243273405011379</v>
      </c>
      <c r="AW234" s="54">
        <f t="shared" si="649"/>
        <v>-177.59433962264151</v>
      </c>
      <c r="AX234" s="54">
        <f t="shared" si="637"/>
        <v>-377.16066874468692</v>
      </c>
      <c r="AY234" s="54">
        <f t="shared" si="637"/>
        <v>-621.53116920425157</v>
      </c>
      <c r="AZ234" s="54">
        <f t="shared" si="637"/>
        <v>-207.94792899408282</v>
      </c>
      <c r="BA234" s="54">
        <f t="shared" si="638"/>
        <v>-306.39971448762043</v>
      </c>
      <c r="BB234" s="54">
        <f t="shared" si="638"/>
        <v>-417.6699135383605</v>
      </c>
      <c r="BC234" s="54">
        <f t="shared" si="638"/>
        <v>-281.21840659159602</v>
      </c>
      <c r="BD234" s="54">
        <f t="shared" si="638"/>
        <v>1.317735646093855</v>
      </c>
      <c r="BE234" s="54">
        <f t="shared" si="639"/>
        <v>-216.37391440019564</v>
      </c>
      <c r="BF234" s="54">
        <f t="shared" si="639"/>
        <v>-467.49853812668204</v>
      </c>
      <c r="BG234" s="54">
        <f t="shared" si="639"/>
        <v>-253.79104352204018</v>
      </c>
      <c r="BH234" s="54">
        <f t="shared" si="639"/>
        <v>-149.66836075458696</v>
      </c>
      <c r="BI234" s="54">
        <f t="shared" si="640"/>
        <v>-557.24385307166256</v>
      </c>
      <c r="BJ234" s="54">
        <f t="shared" si="640"/>
        <v>-810.50533263764396</v>
      </c>
      <c r="BK234" s="54">
        <f t="shared" si="640"/>
        <v>-226.76605229436328</v>
      </c>
      <c r="BL234" s="54">
        <f t="shared" si="640"/>
        <v>-151.80102381204756</v>
      </c>
      <c r="BM234" s="54">
        <f t="shared" si="641"/>
        <v>-210.27872189330219</v>
      </c>
      <c r="BN234" s="54">
        <f t="shared" si="641"/>
        <v>-242.2157374805102</v>
      </c>
      <c r="BO234" s="54">
        <f t="shared" si="641"/>
        <v>-282.44460676893107</v>
      </c>
      <c r="BP234" s="54">
        <f t="shared" si="641"/>
        <v>-660.78478866416378</v>
      </c>
      <c r="BQ234" s="54">
        <f t="shared" si="641"/>
        <v>-280.37383177570092</v>
      </c>
      <c r="BR234" s="54">
        <f t="shared" si="642"/>
        <v>-470.52608831368406</v>
      </c>
      <c r="BS234" s="54">
        <f t="shared" si="642"/>
        <v>-498.55115409309298</v>
      </c>
      <c r="BT234" s="54">
        <f t="shared" si="643"/>
        <v>-761.12400976804417</v>
      </c>
      <c r="BU234" s="54">
        <f t="shared" si="643"/>
        <v>-384.88957309491389</v>
      </c>
      <c r="BV234" s="54">
        <f t="shared" si="643"/>
        <v>-434.92051773644135</v>
      </c>
      <c r="BW234" s="54">
        <f t="shared" si="643"/>
        <v>-388.90317452896352</v>
      </c>
      <c r="BX234" s="54">
        <f t="shared" si="644"/>
        <v>-298.02758178319436</v>
      </c>
      <c r="BY234" s="54">
        <f t="shared" si="644"/>
        <v>-336.39404620254584</v>
      </c>
      <c r="BZ234" s="54">
        <f t="shared" si="645"/>
        <v>-651.54810435086722</v>
      </c>
      <c r="CA234" s="54"/>
      <c r="CB234"/>
      <c r="CC234"/>
      <c r="CD234" s="54"/>
      <c r="CE234" s="54"/>
      <c r="CF234" s="54"/>
      <c r="CH234" s="54">
        <f t="shared" si="646"/>
        <v>-1552.135492177621</v>
      </c>
    </row>
    <row r="235" spans="2:86" s="20" customFormat="1" ht="13.5" thickBot="1">
      <c r="B235" s="51" t="str">
        <f t="shared" si="629"/>
        <v xml:space="preserve">Net cash from operations </v>
      </c>
      <c r="D235" s="52">
        <f t="shared" ref="D235:AW235" si="650">D176/D$207</f>
        <v>3559.2982456140348</v>
      </c>
      <c r="E235" s="52">
        <f t="shared" si="650"/>
        <v>3596.7809364548493</v>
      </c>
      <c r="F235" s="52">
        <f t="shared" si="650"/>
        <v>3457.7806356788537</v>
      </c>
      <c r="G235" s="52">
        <f t="shared" si="650"/>
        <v>3705.4629476811351</v>
      </c>
      <c r="H235" s="52">
        <f t="shared" si="650"/>
        <v>3888.3142389525369</v>
      </c>
      <c r="I235" s="52">
        <f t="shared" si="650"/>
        <v>4071.7623701893704</v>
      </c>
      <c r="J235" s="52">
        <f t="shared" si="650"/>
        <v>4274.4490768314472</v>
      </c>
      <c r="K235" s="52">
        <f t="shared" si="650"/>
        <v>3799.7051520794539</v>
      </c>
      <c r="L235" s="52">
        <f t="shared" si="631"/>
        <v>3920.2513966480446</v>
      </c>
      <c r="M235" s="52">
        <f t="shared" si="631"/>
        <v>1672.0104500653129</v>
      </c>
      <c r="N235" s="52">
        <f t="shared" si="632"/>
        <v>1018.2515703730688</v>
      </c>
      <c r="O235" s="52">
        <f t="shared" si="632"/>
        <v>5367.7905337958837</v>
      </c>
      <c r="P235" s="52">
        <f t="shared" si="633"/>
        <v>5569.079802301163</v>
      </c>
      <c r="Q235" s="52">
        <f t="shared" si="633"/>
        <v>7239.5621910371192</v>
      </c>
      <c r="R235" s="52">
        <f t="shared" si="634"/>
        <v>8990.1295123954951</v>
      </c>
      <c r="S235" s="52">
        <f t="shared" si="634"/>
        <v>10810.742716551733</v>
      </c>
      <c r="T235" s="52">
        <f t="shared" si="635"/>
        <v>12143.366011684984</v>
      </c>
      <c r="U235" s="52">
        <f t="shared" si="636"/>
        <v>12143.366011684984</v>
      </c>
      <c r="V235" s="49"/>
      <c r="W235" s="52">
        <f t="shared" si="650"/>
        <v>975.96296296296293</v>
      </c>
      <c r="X235" s="52">
        <f t="shared" si="650"/>
        <v>707.32016669686539</v>
      </c>
      <c r="Y235" s="52">
        <f t="shared" si="650"/>
        <v>948.5115766262403</v>
      </c>
      <c r="Z235" s="52">
        <f t="shared" si="650"/>
        <v>828.71396895787143</v>
      </c>
      <c r="AA235" s="52">
        <f t="shared" si="650"/>
        <v>1603.0791263873971</v>
      </c>
      <c r="AB235" s="52">
        <f t="shared" si="650"/>
        <v>799.82470119521918</v>
      </c>
      <c r="AC235" s="52">
        <f t="shared" si="650"/>
        <v>724.14182111200648</v>
      </c>
      <c r="AD235" s="52">
        <f t="shared" si="650"/>
        <v>645.66520823205315</v>
      </c>
      <c r="AE235" s="52">
        <f t="shared" si="650"/>
        <v>1152.429453998998</v>
      </c>
      <c r="AF235" s="52">
        <f t="shared" si="650"/>
        <v>1077.8769046996267</v>
      </c>
      <c r="AG235" s="52">
        <f t="shared" si="650"/>
        <v>947.20312327947397</v>
      </c>
      <c r="AH235" s="52">
        <f t="shared" si="650"/>
        <v>720.06120862568298</v>
      </c>
      <c r="AI235" s="52">
        <f t="shared" si="650"/>
        <v>1271.185652993069</v>
      </c>
      <c r="AJ235" s="52">
        <f t="shared" si="650"/>
        <v>839.96948724191009</v>
      </c>
      <c r="AK235" s="52">
        <f t="shared" si="650"/>
        <v>1018.9902428397892</v>
      </c>
      <c r="AL235" s="52">
        <f t="shared" si="650"/>
        <v>950.20105695921825</v>
      </c>
      <c r="AM235" s="52">
        <f t="shared" si="650"/>
        <v>1378.8357737763804</v>
      </c>
      <c r="AN235" s="52">
        <f t="shared" si="650"/>
        <v>1217.8400733680892</v>
      </c>
      <c r="AO235" s="52">
        <f t="shared" si="650"/>
        <v>1163.0897366155191</v>
      </c>
      <c r="AP235" s="52">
        <f t="shared" si="650"/>
        <v>514.81023910407907</v>
      </c>
      <c r="AQ235" s="52">
        <f t="shared" si="650"/>
        <v>1517.5606017588757</v>
      </c>
      <c r="AR235" s="52">
        <f t="shared" si="650"/>
        <v>1094.9002353853784</v>
      </c>
      <c r="AS235" s="52">
        <f t="shared" si="650"/>
        <v>960.12677798392076</v>
      </c>
      <c r="AT235" s="52">
        <f t="shared" si="650"/>
        <v>225.39060145031266</v>
      </c>
      <c r="AU235" s="52">
        <f t="shared" si="650"/>
        <v>189.25595238095238</v>
      </c>
      <c r="AV235" s="52">
        <f t="shared" si="650"/>
        <v>477.9186158355763</v>
      </c>
      <c r="AW235" s="52">
        <f t="shared" si="650"/>
        <v>687.36126526082137</v>
      </c>
      <c r="AX235" s="52">
        <f t="shared" si="637"/>
        <v>299.12156418248799</v>
      </c>
      <c r="AY235" s="52">
        <f t="shared" si="637"/>
        <v>555.72251166789238</v>
      </c>
      <c r="AZ235" s="52">
        <f t="shared" si="637"/>
        <v>727.83239100185881</v>
      </c>
      <c r="BA235" s="52">
        <f t="shared" si="638"/>
        <v>1282.2885872508186</v>
      </c>
      <c r="BB235" s="52">
        <f t="shared" si="638"/>
        <v>-1477.0288905476837</v>
      </c>
      <c r="BC235" s="52">
        <f t="shared" si="638"/>
        <v>1245.6914334823236</v>
      </c>
      <c r="BD235" s="52">
        <f t="shared" si="638"/>
        <v>1351.3513513513512</v>
      </c>
      <c r="BE235" s="52">
        <f t="shared" si="639"/>
        <v>1423.2795112475872</v>
      </c>
      <c r="BF235" s="52">
        <f t="shared" si="639"/>
        <v>1350.6273231817204</v>
      </c>
      <c r="BG235" s="52">
        <f t="shared" si="639"/>
        <v>1386.3032523118268</v>
      </c>
      <c r="BH235" s="52">
        <f t="shared" si="639"/>
        <v>1554.9627444224309</v>
      </c>
      <c r="BI235" s="52">
        <f t="shared" si="640"/>
        <v>1567.9672333509584</v>
      </c>
      <c r="BJ235" s="52">
        <f t="shared" si="640"/>
        <v>1060.2109247159854</v>
      </c>
      <c r="BK235" s="52">
        <f t="shared" si="640"/>
        <v>2070.8250741358647</v>
      </c>
      <c r="BL235" s="52">
        <f t="shared" si="640"/>
        <v>1436.3172695019985</v>
      </c>
      <c r="BM235" s="52">
        <f t="shared" si="641"/>
        <v>2090.5104787939836</v>
      </c>
      <c r="BN235" s="52">
        <f t="shared" si="641"/>
        <v>1635.9921826246061</v>
      </c>
      <c r="BO235" s="52">
        <f t="shared" si="641"/>
        <v>2208.0715850986121</v>
      </c>
      <c r="BP235" s="52">
        <f t="shared" si="641"/>
        <v>1649.0008477655324</v>
      </c>
      <c r="BQ235" s="52">
        <f t="shared" si="641"/>
        <v>2292.4336231838729</v>
      </c>
      <c r="BR235" s="52">
        <f t="shared" si="642"/>
        <v>2833.4737316267201</v>
      </c>
      <c r="BS235" s="52">
        <f t="shared" si="642"/>
        <v>2444.7755090161977</v>
      </c>
      <c r="BT235" s="52">
        <f t="shared" si="643"/>
        <v>2613.5330225772086</v>
      </c>
      <c r="BU235" s="52">
        <f t="shared" si="643"/>
        <v>3138.7885606015752</v>
      </c>
      <c r="BV235" s="52">
        <f t="shared" si="643"/>
        <v>2612.0031320083513</v>
      </c>
      <c r="BW235" s="52">
        <f t="shared" si="643"/>
        <v>3178.3510215531351</v>
      </c>
      <c r="BX235" s="52">
        <f t="shared" si="644"/>
        <v>3179.5794007147438</v>
      </c>
      <c r="BY235" s="52">
        <f t="shared" si="644"/>
        <v>3316.7613317468513</v>
      </c>
      <c r="BZ235" s="52">
        <f t="shared" si="645"/>
        <v>2491.9288735396017</v>
      </c>
      <c r="CA235" s="49"/>
      <c r="CB235"/>
      <c r="CC235"/>
      <c r="CD235" s="49"/>
      <c r="CE235" s="49"/>
      <c r="CF235" s="49"/>
      <c r="CH235" s="52">
        <f t="shared" si="646"/>
        <v>688.65578981619069</v>
      </c>
    </row>
    <row r="236" spans="2:86" ht="13.5" thickTop="1">
      <c r="B236" s="17" t="str">
        <f t="shared" si="629"/>
        <v>Net Capex</v>
      </c>
      <c r="D236" s="54">
        <f t="shared" ref="D236:AW236" si="651">D177/D$207</f>
        <v>-6076.6228070175439</v>
      </c>
      <c r="E236" s="54">
        <f t="shared" si="651"/>
        <v>-3141.367056856187</v>
      </c>
      <c r="F236" s="54">
        <f t="shared" si="651"/>
        <v>-2389.5462061363219</v>
      </c>
      <c r="G236" s="54">
        <f t="shared" si="651"/>
        <v>-2882.637398910711</v>
      </c>
      <c r="H236" s="54">
        <f t="shared" si="651"/>
        <v>-3433.4860883797055</v>
      </c>
      <c r="I236" s="54">
        <f t="shared" si="651"/>
        <v>-4138.1643249847275</v>
      </c>
      <c r="J236" s="54">
        <f t="shared" si="651"/>
        <v>-5718.3591423466351</v>
      </c>
      <c r="K236" s="54">
        <f t="shared" si="651"/>
        <v>-4147.4549968963374</v>
      </c>
      <c r="L236" s="54">
        <f t="shared" si="631"/>
        <v>-4147.4549968963374</v>
      </c>
      <c r="M236" s="54">
        <f t="shared" si="631"/>
        <v>-4367.5950685535154</v>
      </c>
      <c r="N236" s="54">
        <f t="shared" si="632"/>
        <v>-3122.4603477639766</v>
      </c>
      <c r="O236" s="54">
        <f t="shared" si="632"/>
        <v>-4507.4973528248102</v>
      </c>
      <c r="P236" s="54">
        <f t="shared" si="633"/>
        <v>-5857.4588224276295</v>
      </c>
      <c r="Q236" s="54">
        <f t="shared" si="633"/>
        <v>-4833.6301037243647</v>
      </c>
      <c r="R236" s="54">
        <f t="shared" si="634"/>
        <v>-6292.3935630406413</v>
      </c>
      <c r="S236" s="54">
        <f t="shared" si="634"/>
        <v>-7178.8126471179667</v>
      </c>
      <c r="T236" s="54">
        <f t="shared" si="635"/>
        <v>-5251.2611580302446</v>
      </c>
      <c r="U236" s="54">
        <f t="shared" si="636"/>
        <v>-5251.2611580302446</v>
      </c>
      <c r="V236" s="54"/>
      <c r="W236" s="54">
        <f t="shared" si="651"/>
        <v>-524.01851851851848</v>
      </c>
      <c r="X236" s="54">
        <f t="shared" si="651"/>
        <v>-605.39952890016309</v>
      </c>
      <c r="Y236" s="54">
        <f t="shared" si="651"/>
        <v>-618.43072399852997</v>
      </c>
      <c r="Z236" s="54">
        <f t="shared" si="651"/>
        <v>-641.14929785661491</v>
      </c>
      <c r="AA236" s="54">
        <f t="shared" si="651"/>
        <v>-749.17651271034731</v>
      </c>
      <c r="AB236" s="54">
        <f t="shared" si="651"/>
        <v>-549.49800796812747</v>
      </c>
      <c r="AC236" s="54">
        <f t="shared" si="651"/>
        <v>-313.68251410153101</v>
      </c>
      <c r="AD236" s="54">
        <f t="shared" si="651"/>
        <v>-1277.9938421649651</v>
      </c>
      <c r="AE236" s="54">
        <f t="shared" si="651"/>
        <v>-588.22841876774089</v>
      </c>
      <c r="AF236" s="54">
        <f t="shared" si="651"/>
        <v>-681.53108465608466</v>
      </c>
      <c r="AG236" s="54">
        <f t="shared" si="651"/>
        <v>-707.56180319922441</v>
      </c>
      <c r="AH236" s="54">
        <f t="shared" si="651"/>
        <v>-1441.0524621821694</v>
      </c>
      <c r="AI236" s="54">
        <f t="shared" si="651"/>
        <v>-1753.182104599874</v>
      </c>
      <c r="AJ236" s="54">
        <f t="shared" si="651"/>
        <v>-819.96918335901375</v>
      </c>
      <c r="AK236" s="54">
        <f t="shared" si="651"/>
        <v>-749.74943052391802</v>
      </c>
      <c r="AL236" s="54">
        <f t="shared" si="651"/>
        <v>-843.49881796690295</v>
      </c>
      <c r="AM236" s="54">
        <f t="shared" si="651"/>
        <v>-1571.441400987876</v>
      </c>
      <c r="AN236" s="54">
        <f t="shared" si="651"/>
        <v>-1058.1856100104276</v>
      </c>
      <c r="AO236" s="54">
        <f t="shared" si="651"/>
        <v>-2254.1327813100697</v>
      </c>
      <c r="AP236" s="54">
        <f t="shared" si="651"/>
        <v>-828.3499776419734</v>
      </c>
      <c r="AQ236" s="54">
        <f t="shared" si="651"/>
        <v>-700.83798882681572</v>
      </c>
      <c r="AR236" s="54">
        <f t="shared" si="651"/>
        <v>-920.72715972653828</v>
      </c>
      <c r="AS236" s="54">
        <f t="shared" si="651"/>
        <v>-1272.1552257266542</v>
      </c>
      <c r="AT236" s="54">
        <f t="shared" si="651"/>
        <v>-1252.8615863141524</v>
      </c>
      <c r="AU236" s="54">
        <f t="shared" si="651"/>
        <v>-1214.0625</v>
      </c>
      <c r="AV236" s="54">
        <f t="shared" si="651"/>
        <v>-1398.0785642319538</v>
      </c>
      <c r="AW236" s="54">
        <f t="shared" si="651"/>
        <v>-926.69256381798004</v>
      </c>
      <c r="AX236" s="54">
        <f t="shared" si="637"/>
        <v>-834.82572966846135</v>
      </c>
      <c r="AY236" s="54">
        <f t="shared" si="637"/>
        <v>-853.24619362252224</v>
      </c>
      <c r="AZ236" s="54">
        <f t="shared" si="637"/>
        <v>-612.34082840236681</v>
      </c>
      <c r="BA236" s="54">
        <f t="shared" si="638"/>
        <v>-831.76808659783842</v>
      </c>
      <c r="BB236" s="54">
        <f t="shared" si="638"/>
        <v>-824.32691255335442</v>
      </c>
      <c r="BC236" s="54">
        <f t="shared" si="638"/>
        <v>-726.3040374975451</v>
      </c>
      <c r="BD236" s="54">
        <f t="shared" si="638"/>
        <v>-749.56299583165253</v>
      </c>
      <c r="BE236" s="54">
        <f t="shared" si="639"/>
        <v>-1032.7599563136991</v>
      </c>
      <c r="BF236" s="54">
        <f t="shared" si="639"/>
        <v>-2020.85263974996</v>
      </c>
      <c r="BG236" s="54">
        <f t="shared" si="639"/>
        <v>-1020.7070019196615</v>
      </c>
      <c r="BH236" s="54">
        <f t="shared" si="639"/>
        <v>-928.26686191747774</v>
      </c>
      <c r="BI236" s="54">
        <f t="shared" si="640"/>
        <v>-2689.2083292420634</v>
      </c>
      <c r="BJ236" s="54">
        <f t="shared" si="640"/>
        <v>-1215.8412116081088</v>
      </c>
      <c r="BK236" s="54">
        <f t="shared" si="640"/>
        <v>-961.17085300057204</v>
      </c>
      <c r="BL236" s="54">
        <f t="shared" si="640"/>
        <v>-1771.6437732649129</v>
      </c>
      <c r="BM236" s="54">
        <f t="shared" si="641"/>
        <v>-1173.5311673914898</v>
      </c>
      <c r="BN236" s="54">
        <f t="shared" si="641"/>
        <v>-917.54779227033077</v>
      </c>
      <c r="BO236" s="54">
        <f t="shared" si="641"/>
        <v>-1260.6525444363283</v>
      </c>
      <c r="BP236" s="54">
        <f t="shared" si="641"/>
        <v>-1708.4776553227566</v>
      </c>
      <c r="BQ236" s="54">
        <f t="shared" si="641"/>
        <v>-1229.9883327920709</v>
      </c>
      <c r="BR236" s="54">
        <f t="shared" si="642"/>
        <v>-2088.4457463922972</v>
      </c>
      <c r="BS236" s="54">
        <f t="shared" si="642"/>
        <v>-2032.4456541288475</v>
      </c>
      <c r="BT236" s="54">
        <f t="shared" si="643"/>
        <v>-1816.955223880597</v>
      </c>
      <c r="BU236" s="54">
        <f t="shared" si="643"/>
        <v>-1400.9828882704721</v>
      </c>
      <c r="BV236" s="54">
        <f t="shared" si="643"/>
        <v>-1928.1951760465761</v>
      </c>
      <c r="BW236" s="54">
        <f t="shared" si="643"/>
        <v>-1325.4944130160363</v>
      </c>
      <c r="BX236" s="54">
        <f t="shared" si="644"/>
        <v>-1304.3274076789151</v>
      </c>
      <c r="BY236" s="54">
        <f t="shared" si="644"/>
        <v>-1261.0174438183328</v>
      </c>
      <c r="BZ236" s="54">
        <f t="shared" si="645"/>
        <v>-1359.4902676531985</v>
      </c>
      <c r="CA236" s="54"/>
      <c r="CB236"/>
      <c r="CC236"/>
      <c r="CD236" s="54"/>
      <c r="CE236" s="54"/>
      <c r="CF236" s="54"/>
      <c r="CH236" s="54">
        <f t="shared" si="646"/>
        <v>-3122.4603477639766</v>
      </c>
    </row>
    <row r="237" spans="2:86">
      <c r="B237" s="17" t="str">
        <f t="shared" si="629"/>
        <v>Acquisitions / (Asset Sales)</v>
      </c>
      <c r="D237" s="54">
        <f t="shared" ref="D237:AW237" si="652">D178/D$207</f>
        <v>-8201.5570175438588</v>
      </c>
      <c r="E237" s="54">
        <f t="shared" si="652"/>
        <v>-475.06270903010028</v>
      </c>
      <c r="F237" s="54">
        <f t="shared" si="652"/>
        <v>-168.63861840896564</v>
      </c>
      <c r="G237" s="54">
        <f t="shared" si="652"/>
        <v>-231.935963030203</v>
      </c>
      <c r="H237" s="54">
        <f t="shared" si="652"/>
        <v>10.851063829787234</v>
      </c>
      <c r="I237" s="54">
        <f t="shared" si="652"/>
        <v>865.69945021380568</v>
      </c>
      <c r="J237" s="54">
        <f t="shared" si="652"/>
        <v>992.22751637879696</v>
      </c>
      <c r="K237" s="54">
        <f t="shared" si="652"/>
        <v>-227.94847920546246</v>
      </c>
      <c r="L237" s="54">
        <f t="shared" si="631"/>
        <v>-227.94847920546246</v>
      </c>
      <c r="M237" s="54">
        <f t="shared" si="631"/>
        <v>-29.930909959753514</v>
      </c>
      <c r="N237" s="54">
        <f t="shared" si="632"/>
        <v>-86.16311324572068</v>
      </c>
      <c r="O237" s="54">
        <f t="shared" si="632"/>
        <v>-439.49511241479667</v>
      </c>
      <c r="P237" s="54">
        <f t="shared" si="633"/>
        <v>-260.3779171956316</v>
      </c>
      <c r="Q237" s="54">
        <f t="shared" si="633"/>
        <v>-100.9351380293616</v>
      </c>
      <c r="R237" s="54">
        <f t="shared" si="634"/>
        <v>-81.283525829990808</v>
      </c>
      <c r="S237" s="54">
        <f t="shared" si="634"/>
        <v>-92.132811298659831</v>
      </c>
      <c r="T237" s="54">
        <f t="shared" si="635"/>
        <v>0</v>
      </c>
      <c r="U237" s="54">
        <f t="shared" si="636"/>
        <v>0</v>
      </c>
      <c r="V237" s="54"/>
      <c r="W237" s="54">
        <f t="shared" si="652"/>
        <v>-171.87037037037038</v>
      </c>
      <c r="X237" s="54">
        <f t="shared" si="652"/>
        <v>0</v>
      </c>
      <c r="Y237" s="54">
        <f t="shared" si="652"/>
        <v>0</v>
      </c>
      <c r="Z237" s="54">
        <f t="shared" si="652"/>
        <v>1.8847006651884701</v>
      </c>
      <c r="AA237" s="54">
        <f t="shared" si="652"/>
        <v>-195.79305406373075</v>
      </c>
      <c r="AB237" s="54">
        <f t="shared" si="652"/>
        <v>-11.904382470119522</v>
      </c>
      <c r="AC237" s="54">
        <f t="shared" si="652"/>
        <v>0</v>
      </c>
      <c r="AD237" s="54">
        <f t="shared" si="652"/>
        <v>-38.389239993518068</v>
      </c>
      <c r="AE237" s="54">
        <f t="shared" si="652"/>
        <v>0</v>
      </c>
      <c r="AF237" s="54">
        <f t="shared" si="652"/>
        <v>0</v>
      </c>
      <c r="AG237" s="54">
        <f t="shared" si="652"/>
        <v>-5.7844562934238164</v>
      </c>
      <c r="AH237" s="54">
        <f t="shared" si="652"/>
        <v>16.430640489217893</v>
      </c>
      <c r="AI237" s="54">
        <f t="shared" si="652"/>
        <v>115.72148708254569</v>
      </c>
      <c r="AJ237" s="54">
        <f t="shared" si="652"/>
        <v>557.21109399075499</v>
      </c>
      <c r="AK237" s="54">
        <f t="shared" si="652"/>
        <v>193.21184510250572</v>
      </c>
      <c r="AL237" s="54">
        <f t="shared" si="652"/>
        <v>6.7080378250591011</v>
      </c>
      <c r="AM237" s="54">
        <f t="shared" si="652"/>
        <v>590.45053135758121</v>
      </c>
      <c r="AN237" s="54">
        <f t="shared" si="652"/>
        <v>389.63205720244304</v>
      </c>
      <c r="AO237" s="54">
        <f t="shared" si="652"/>
        <v>11.622061215436936</v>
      </c>
      <c r="AP237" s="54">
        <f t="shared" si="652"/>
        <v>3.6965270532121028</v>
      </c>
      <c r="AQ237" s="54">
        <f t="shared" si="652"/>
        <v>28.553693358162633</v>
      </c>
      <c r="AR237" s="54">
        <f t="shared" si="652"/>
        <v>-259.04288377874457</v>
      </c>
      <c r="AS237" s="54">
        <f t="shared" si="652"/>
        <v>6.0296846011131722</v>
      </c>
      <c r="AT237" s="54">
        <f t="shared" si="652"/>
        <v>-3.8413685847589427</v>
      </c>
      <c r="AU237" s="54">
        <f t="shared" si="652"/>
        <v>104.67261904761904</v>
      </c>
      <c r="AV237" s="54">
        <f t="shared" si="652"/>
        <v>-51.275391522506659</v>
      </c>
      <c r="AW237" s="54">
        <f t="shared" si="652"/>
        <v>-10.169256381798002</v>
      </c>
      <c r="AX237" s="54">
        <f t="shared" si="637"/>
        <v>-68.007934258996883</v>
      </c>
      <c r="AY237" s="54">
        <f t="shared" si="637"/>
        <v>-54.495834530307377</v>
      </c>
      <c r="AZ237" s="54">
        <f t="shared" si="637"/>
        <v>16.913609467455622</v>
      </c>
      <c r="BA237" s="54">
        <f t="shared" si="638"/>
        <v>-30.342799699131376</v>
      </c>
      <c r="BB237" s="54">
        <f t="shared" si="638"/>
        <v>-18.728795009302832</v>
      </c>
      <c r="BC237" s="54">
        <f t="shared" si="638"/>
        <v>-43.721652433293833</v>
      </c>
      <c r="BD237" s="54">
        <f t="shared" si="638"/>
        <v>8.0677692617991126E-2</v>
      </c>
      <c r="BE237" s="54">
        <f t="shared" si="639"/>
        <v>-0.2316491306003732</v>
      </c>
      <c r="BF237" s="54">
        <f t="shared" si="639"/>
        <v>-400.43360359466953</v>
      </c>
      <c r="BG237" s="54">
        <f t="shared" si="639"/>
        <v>0</v>
      </c>
      <c r="BH237" s="54">
        <f t="shared" si="639"/>
        <v>0</v>
      </c>
      <c r="BI237" s="54">
        <f t="shared" si="640"/>
        <v>44.656488036230932</v>
      </c>
      <c r="BJ237" s="54">
        <f t="shared" si="640"/>
        <v>-304.28618463047701</v>
      </c>
      <c r="BK237" s="54">
        <f t="shared" si="640"/>
        <v>0</v>
      </c>
      <c r="BL237" s="54">
        <f t="shared" si="640"/>
        <v>0</v>
      </c>
      <c r="BM237" s="54">
        <f t="shared" si="641"/>
        <v>0</v>
      </c>
      <c r="BN237" s="54">
        <f t="shared" si="641"/>
        <v>-98.375577225313563</v>
      </c>
      <c r="BO237" s="54">
        <f t="shared" si="641"/>
        <v>0</v>
      </c>
      <c r="BP237" s="54">
        <f t="shared" si="641"/>
        <v>0</v>
      </c>
      <c r="BQ237" s="54">
        <f t="shared" si="641"/>
        <v>0</v>
      </c>
      <c r="BR237" s="54">
        <f t="shared" si="642"/>
        <v>-80.77412538718275</v>
      </c>
      <c r="BS237" s="54">
        <f t="shared" si="642"/>
        <v>0</v>
      </c>
      <c r="BT237" s="54">
        <f t="shared" si="643"/>
        <v>0</v>
      </c>
      <c r="BU237" s="54">
        <f t="shared" si="643"/>
        <v>12.114393984250105</v>
      </c>
      <c r="BV237" s="54">
        <f t="shared" si="643"/>
        <v>-101.79281027631458</v>
      </c>
      <c r="BW237" s="54">
        <f t="shared" si="643"/>
        <v>0</v>
      </c>
      <c r="BX237" s="54">
        <f t="shared" si="644"/>
        <v>0</v>
      </c>
      <c r="BY237" s="54">
        <f t="shared" si="644"/>
        <v>0</v>
      </c>
      <c r="BZ237" s="54">
        <f t="shared" si="645"/>
        <v>0</v>
      </c>
      <c r="CA237" s="54"/>
      <c r="CB237"/>
      <c r="CC237"/>
      <c r="CD237" s="54"/>
      <c r="CE237" s="54"/>
      <c r="CF237" s="54"/>
      <c r="CH237" s="54">
        <f t="shared" si="646"/>
        <v>-86.16311324572068</v>
      </c>
    </row>
    <row r="238" spans="2:86" ht="13.5" thickBot="1">
      <c r="B238" s="51" t="str">
        <f t="shared" si="629"/>
        <v xml:space="preserve">Free cash flow </v>
      </c>
      <c r="C238" s="20"/>
      <c r="D238" s="52">
        <f t="shared" ref="D238:AW238" si="653">D179/D$207</f>
        <v>-10718.881578947368</v>
      </c>
      <c r="E238" s="52">
        <f t="shared" si="653"/>
        <v>-19.648829431438127</v>
      </c>
      <c r="F238" s="52">
        <f t="shared" si="653"/>
        <v>899.59581113356603</v>
      </c>
      <c r="G238" s="52">
        <f t="shared" si="653"/>
        <v>590.88958574022115</v>
      </c>
      <c r="H238" s="52">
        <f t="shared" si="653"/>
        <v>465.67921440261864</v>
      </c>
      <c r="I238" s="52">
        <f t="shared" si="653"/>
        <v>799.29749541844831</v>
      </c>
      <c r="J238" s="52">
        <f t="shared" si="653"/>
        <v>-451.68254913639072</v>
      </c>
      <c r="K238" s="52">
        <f t="shared" si="653"/>
        <v>-575.69832402234636</v>
      </c>
      <c r="L238" s="52">
        <f t="shared" si="631"/>
        <v>-455.15207945375545</v>
      </c>
      <c r="M238" s="52">
        <f t="shared" si="631"/>
        <v>-2725.5155284479565</v>
      </c>
      <c r="N238" s="52">
        <f t="shared" si="632"/>
        <v>-2190.3718906366285</v>
      </c>
      <c r="O238" s="52">
        <f t="shared" si="632"/>
        <v>420.7980685562768</v>
      </c>
      <c r="P238" s="52">
        <f t="shared" si="633"/>
        <v>-548.756937322098</v>
      </c>
      <c r="Q238" s="52">
        <f t="shared" si="633"/>
        <v>2304.996949283393</v>
      </c>
      <c r="R238" s="52">
        <f t="shared" si="634"/>
        <v>2616.4524235248632</v>
      </c>
      <c r="S238" s="52">
        <f t="shared" si="634"/>
        <v>3539.7972581351064</v>
      </c>
      <c r="T238" s="52">
        <f t="shared" si="635"/>
        <v>6892.1048536547405</v>
      </c>
      <c r="U238" s="52">
        <f t="shared" si="636"/>
        <v>6892.1048536547405</v>
      </c>
      <c r="V238" s="49"/>
      <c r="W238" s="52">
        <f t="shared" si="653"/>
        <v>280.07407407407408</v>
      </c>
      <c r="X238" s="52">
        <f t="shared" si="653"/>
        <v>101.92063779670231</v>
      </c>
      <c r="Y238" s="52">
        <f t="shared" si="653"/>
        <v>330.08085262771039</v>
      </c>
      <c r="Z238" s="52">
        <f t="shared" si="653"/>
        <v>189.44937176644495</v>
      </c>
      <c r="AA238" s="52">
        <f t="shared" si="653"/>
        <v>658.10955961331899</v>
      </c>
      <c r="AB238" s="52">
        <f t="shared" si="653"/>
        <v>238.42231075697211</v>
      </c>
      <c r="AC238" s="52">
        <f t="shared" si="653"/>
        <v>410.45930701047547</v>
      </c>
      <c r="AD238" s="52">
        <f t="shared" si="653"/>
        <v>-670.71787392643012</v>
      </c>
      <c r="AE238" s="52">
        <f t="shared" si="653"/>
        <v>564.20103523125726</v>
      </c>
      <c r="AF238" s="52">
        <f t="shared" si="653"/>
        <v>396.34582004354195</v>
      </c>
      <c r="AG238" s="52">
        <f t="shared" si="653"/>
        <v>233.8568637868257</v>
      </c>
      <c r="AH238" s="52">
        <f t="shared" si="653"/>
        <v>-704.56061306726838</v>
      </c>
      <c r="AI238" s="52">
        <f t="shared" si="653"/>
        <v>-366.27496452425936</v>
      </c>
      <c r="AJ238" s="52">
        <f t="shared" si="653"/>
        <v>577.21139787365121</v>
      </c>
      <c r="AK238" s="52">
        <f t="shared" si="653"/>
        <v>462.45265741837687</v>
      </c>
      <c r="AL238" s="52">
        <f t="shared" si="653"/>
        <v>113.41027681737441</v>
      </c>
      <c r="AM238" s="52">
        <f t="shared" si="653"/>
        <v>397.84490414608564</v>
      </c>
      <c r="AN238" s="52">
        <f t="shared" si="653"/>
        <v>549.28652056010469</v>
      </c>
      <c r="AO238" s="52">
        <f t="shared" si="653"/>
        <v>-1079.4209834791138</v>
      </c>
      <c r="AP238" s="52">
        <f t="shared" si="653"/>
        <v>-309.84321148468229</v>
      </c>
      <c r="AQ238" s="52">
        <f t="shared" si="653"/>
        <v>845.27630629022269</v>
      </c>
      <c r="AR238" s="52">
        <f t="shared" si="653"/>
        <v>-84.86980811990442</v>
      </c>
      <c r="AS238" s="52">
        <f t="shared" si="653"/>
        <v>-305.99876314162026</v>
      </c>
      <c r="AT238" s="52">
        <f t="shared" si="653"/>
        <v>-1031.3123534485987</v>
      </c>
      <c r="AU238" s="52">
        <f t="shared" si="653"/>
        <v>-920.13392857142856</v>
      </c>
      <c r="AV238" s="52">
        <f t="shared" si="653"/>
        <v>-971.43533991888421</v>
      </c>
      <c r="AW238" s="52">
        <f t="shared" si="653"/>
        <v>-249.50055493895672</v>
      </c>
      <c r="AX238" s="52">
        <f t="shared" si="637"/>
        <v>-603.71209974497026</v>
      </c>
      <c r="AY238" s="52">
        <f t="shared" si="637"/>
        <v>-352.01951648493718</v>
      </c>
      <c r="AZ238" s="52">
        <f t="shared" si="637"/>
        <v>132.40517206694764</v>
      </c>
      <c r="BA238" s="52">
        <f t="shared" si="638"/>
        <v>420.1777009538489</v>
      </c>
      <c r="BB238" s="52">
        <f t="shared" si="638"/>
        <v>-2320.0845981103407</v>
      </c>
      <c r="BC238" s="52">
        <f t="shared" si="638"/>
        <v>475.6657435514847</v>
      </c>
      <c r="BD238" s="52">
        <f t="shared" si="638"/>
        <v>601.86903321231671</v>
      </c>
      <c r="BE238" s="52">
        <f t="shared" si="639"/>
        <v>390.28790580328757</v>
      </c>
      <c r="BF238" s="52">
        <f t="shared" si="639"/>
        <v>-1070.6589201629092</v>
      </c>
      <c r="BG238" s="52">
        <f t="shared" si="639"/>
        <v>365.59625039216525</v>
      </c>
      <c r="BH238" s="52">
        <f t="shared" si="639"/>
        <v>626.69588250495303</v>
      </c>
      <c r="BI238" s="52">
        <f t="shared" si="640"/>
        <v>-1076.5846078548741</v>
      </c>
      <c r="BJ238" s="52">
        <f t="shared" si="640"/>
        <v>-459.91647152260038</v>
      </c>
      <c r="BK238" s="52">
        <f t="shared" si="640"/>
        <v>1109.6542211352928</v>
      </c>
      <c r="BL238" s="52">
        <f t="shared" si="640"/>
        <v>-335.32650376291457</v>
      </c>
      <c r="BM238" s="52">
        <f t="shared" si="641"/>
        <v>916.97931140249364</v>
      </c>
      <c r="BN238" s="52">
        <f t="shared" si="641"/>
        <v>620.06881312896166</v>
      </c>
      <c r="BO238" s="52">
        <f t="shared" si="641"/>
        <v>947.41904066228392</v>
      </c>
      <c r="BP238" s="52">
        <f t="shared" si="641"/>
        <v>-59.476807557224177</v>
      </c>
      <c r="BQ238" s="52">
        <f t="shared" si="641"/>
        <v>1062.445290391802</v>
      </c>
      <c r="BR238" s="52">
        <f t="shared" si="642"/>
        <v>664.25385984723994</v>
      </c>
      <c r="BS238" s="52">
        <f t="shared" si="642"/>
        <v>412.32985488735017</v>
      </c>
      <c r="BT238" s="52">
        <f t="shared" si="643"/>
        <v>796.57779869661147</v>
      </c>
      <c r="BU238" s="52">
        <f t="shared" si="643"/>
        <v>1749.9200663153533</v>
      </c>
      <c r="BV238" s="52">
        <f t="shared" si="643"/>
        <v>582.01514568546065</v>
      </c>
      <c r="BW238" s="52">
        <f t="shared" si="643"/>
        <v>1852.8566085370985</v>
      </c>
      <c r="BX238" s="52">
        <f t="shared" si="644"/>
        <v>1875.2519930358287</v>
      </c>
      <c r="BY238" s="52">
        <f t="shared" si="644"/>
        <v>2055.7438879285187</v>
      </c>
      <c r="BZ238" s="52">
        <f t="shared" si="645"/>
        <v>1132.4386058864031</v>
      </c>
      <c r="CA238" s="49"/>
      <c r="CB238"/>
      <c r="CC238"/>
      <c r="CD238" s="49"/>
      <c r="CE238" s="49"/>
      <c r="CF238" s="49"/>
      <c r="CH238" s="52">
        <f t="shared" si="646"/>
        <v>-2519.9676711935067</v>
      </c>
    </row>
    <row r="239" spans="2:86" ht="13.5" thickTop="1">
      <c r="B239" s="17" t="str">
        <f t="shared" si="629"/>
        <v>Other investing activities</v>
      </c>
      <c r="D239" s="54">
        <f t="shared" ref="D239:AW239" si="654">D180/D$207</f>
        <v>1034.1008771929824</v>
      </c>
      <c r="E239" s="54">
        <f t="shared" si="654"/>
        <v>-217.05685618729095</v>
      </c>
      <c r="F239" s="54">
        <f t="shared" si="654"/>
        <v>-836.4504868638619</v>
      </c>
      <c r="G239" s="54">
        <f t="shared" si="654"/>
        <v>-964.43307476481266</v>
      </c>
      <c r="H239" s="54">
        <f t="shared" si="654"/>
        <v>-156.64484451718494</v>
      </c>
      <c r="I239" s="54">
        <f t="shared" si="654"/>
        <v>1099.9389126450824</v>
      </c>
      <c r="J239" s="54">
        <f t="shared" si="654"/>
        <v>27.590827873734366</v>
      </c>
      <c r="K239" s="54">
        <f t="shared" si="654"/>
        <v>-120.03414028553694</v>
      </c>
      <c r="L239" s="54">
        <f t="shared" si="631"/>
        <v>35.304158907510867</v>
      </c>
      <c r="M239" s="54">
        <f t="shared" si="631"/>
        <v>319.81148677359954</v>
      </c>
      <c r="N239" s="54">
        <f t="shared" si="632"/>
        <v>-1094.1558262113806</v>
      </c>
      <c r="O239" s="54">
        <f t="shared" si="632"/>
        <v>995.64791592665961</v>
      </c>
      <c r="P239" s="54">
        <f t="shared" si="633"/>
        <v>475.89747459494492</v>
      </c>
      <c r="Q239" s="54">
        <f t="shared" si="633"/>
        <v>-105.89099602784246</v>
      </c>
      <c r="R239" s="54">
        <f t="shared" si="634"/>
        <v>295.40182670468272</v>
      </c>
      <c r="S239" s="54">
        <f t="shared" si="634"/>
        <v>141.8838196851232</v>
      </c>
      <c r="T239" s="54">
        <f t="shared" si="635"/>
        <v>-1373.1924344664656</v>
      </c>
      <c r="U239" s="54">
        <f t="shared" si="636"/>
        <v>-1373.1924344664656</v>
      </c>
      <c r="V239" s="54"/>
      <c r="W239" s="54">
        <f t="shared" si="654"/>
        <v>-206.4814814814815</v>
      </c>
      <c r="X239" s="54">
        <f t="shared" si="654"/>
        <v>215.07519478166336</v>
      </c>
      <c r="Y239" s="54">
        <f t="shared" si="654"/>
        <v>-916.00514516721796</v>
      </c>
      <c r="Z239" s="54">
        <f t="shared" si="654"/>
        <v>66.537324464153741</v>
      </c>
      <c r="AA239" s="54">
        <f t="shared" si="654"/>
        <v>-821.39276763336909</v>
      </c>
      <c r="AB239" s="54">
        <f t="shared" si="654"/>
        <v>-197.27490039840637</v>
      </c>
      <c r="AC239" s="54">
        <f t="shared" si="654"/>
        <v>-473.53746978243356</v>
      </c>
      <c r="AD239" s="54">
        <f t="shared" si="654"/>
        <v>473.34305623075676</v>
      </c>
      <c r="AE239" s="54">
        <f t="shared" si="654"/>
        <v>-248.67256637168143</v>
      </c>
      <c r="AF239" s="54">
        <f t="shared" si="654"/>
        <v>185.35052910052912</v>
      </c>
      <c r="AG239" s="54">
        <f t="shared" si="654"/>
        <v>184.10082404265631</v>
      </c>
      <c r="AH239" s="54">
        <f t="shared" si="654"/>
        <v>-278.11393627293211</v>
      </c>
      <c r="AI239" s="54">
        <f t="shared" si="654"/>
        <v>122.98361688720857</v>
      </c>
      <c r="AJ239" s="54">
        <f t="shared" si="654"/>
        <v>310.06163328197226</v>
      </c>
      <c r="AK239" s="54">
        <f t="shared" si="654"/>
        <v>536.71981776765381</v>
      </c>
      <c r="AL239" s="54">
        <f t="shared" si="654"/>
        <v>129.29964539007091</v>
      </c>
      <c r="AM239" s="54">
        <f t="shared" si="654"/>
        <v>-460.54482861847026</v>
      </c>
      <c r="AN239" s="54">
        <f t="shared" si="654"/>
        <v>309.17622523461944</v>
      </c>
      <c r="AO239" s="54">
        <f t="shared" si="654"/>
        <v>-70.249889102469325</v>
      </c>
      <c r="AP239" s="54">
        <f t="shared" si="654"/>
        <v>247.69712326725292</v>
      </c>
      <c r="AQ239" s="54">
        <f t="shared" si="654"/>
        <v>-15.378646803227809</v>
      </c>
      <c r="AR239" s="54">
        <f t="shared" si="654"/>
        <v>147.1566190180236</v>
      </c>
      <c r="AS239" s="54">
        <f t="shared" si="654"/>
        <v>-219.52690166975879</v>
      </c>
      <c r="AT239" s="54">
        <f t="shared" si="654"/>
        <v>-31.353032659409021</v>
      </c>
      <c r="AU239" s="54">
        <f t="shared" si="654"/>
        <v>142.7827380952381</v>
      </c>
      <c r="AV239" s="54">
        <f t="shared" si="654"/>
        <v>248.3709752456738</v>
      </c>
      <c r="AW239" s="54">
        <f t="shared" si="654"/>
        <v>32.158712541620424</v>
      </c>
      <c r="AX239" s="54">
        <f t="shared" si="637"/>
        <v>-98.668177954094645</v>
      </c>
      <c r="AY239" s="54">
        <f t="shared" si="637"/>
        <v>-92.68888250502728</v>
      </c>
      <c r="AZ239" s="54">
        <f t="shared" si="637"/>
        <v>-21.756213017751477</v>
      </c>
      <c r="BA239" s="54">
        <f t="shared" si="638"/>
        <v>-1838.6684430617506</v>
      </c>
      <c r="BB239" s="54">
        <f t="shared" si="638"/>
        <v>817.55499616942097</v>
      </c>
      <c r="BC239" s="54">
        <f t="shared" si="638"/>
        <v>120.8573503650501</v>
      </c>
      <c r="BD239" s="54">
        <f t="shared" si="638"/>
        <v>666.84146833400564</v>
      </c>
      <c r="BE239" s="54">
        <f t="shared" si="639"/>
        <v>588.52505591941872</v>
      </c>
      <c r="BF239" s="54">
        <f t="shared" si="639"/>
        <v>-384.25211928886273</v>
      </c>
      <c r="BG239" s="54">
        <f t="shared" si="639"/>
        <v>749.28461607785971</v>
      </c>
      <c r="BH239" s="54">
        <f t="shared" si="639"/>
        <v>-977.16480747695755</v>
      </c>
      <c r="BI239" s="54">
        <f t="shared" si="640"/>
        <v>803.37290992167618</v>
      </c>
      <c r="BJ239" s="54">
        <f t="shared" si="640"/>
        <v>-95.385917877804431</v>
      </c>
      <c r="BK239" s="54">
        <f t="shared" si="640"/>
        <v>224.99369259473062</v>
      </c>
      <c r="BL239" s="54">
        <f t="shared" si="640"/>
        <v>179.19828408602015</v>
      </c>
      <c r="BM239" s="54">
        <f t="shared" si="641"/>
        <v>-518.12057644751428</v>
      </c>
      <c r="BN239" s="54">
        <f t="shared" si="641"/>
        <v>27.84713024371624</v>
      </c>
      <c r="BO239" s="54">
        <f t="shared" si="641"/>
        <v>-667.50669588507424</v>
      </c>
      <c r="BP239" s="54">
        <f t="shared" si="641"/>
        <v>674.30059343587266</v>
      </c>
      <c r="BQ239" s="54">
        <f t="shared" si="641"/>
        <v>-597.83013988621462</v>
      </c>
      <c r="BR239" s="54">
        <f t="shared" si="642"/>
        <v>880.08740125339159</v>
      </c>
      <c r="BS239" s="54">
        <f t="shared" si="642"/>
        <v>257.79067397273417</v>
      </c>
      <c r="BT239" s="54">
        <f t="shared" si="643"/>
        <v>94.41194029850746</v>
      </c>
      <c r="BU239" s="54">
        <f t="shared" si="643"/>
        <v>-129.05441411569663</v>
      </c>
      <c r="BV239" s="54">
        <f t="shared" si="643"/>
        <v>-75.247204509749565</v>
      </c>
      <c r="BW239" s="54">
        <f t="shared" si="643"/>
        <v>-288.74655196596382</v>
      </c>
      <c r="BX239" s="54">
        <f t="shared" si="644"/>
        <v>-44.133143956748832</v>
      </c>
      <c r="BY239" s="54">
        <f t="shared" si="644"/>
        <v>-193.25146487663605</v>
      </c>
      <c r="BZ239" s="54">
        <f t="shared" si="645"/>
        <v>-825.84509120318262</v>
      </c>
      <c r="CA239" s="54"/>
      <c r="CB239"/>
      <c r="CC239"/>
      <c r="CD239" s="54"/>
      <c r="CE239" s="54"/>
      <c r="CF239" s="54"/>
      <c r="CH239" s="54">
        <f t="shared" si="646"/>
        <v>-1094.1558262113806</v>
      </c>
    </row>
    <row r="240" spans="2:86">
      <c r="B240" s="17" t="str">
        <f t="shared" si="629"/>
        <v>Dividends / Equity movements</v>
      </c>
      <c r="D240" s="54">
        <f t="shared" ref="D240:AW240" si="655">D181/D$207</f>
        <v>-103.81578947368421</v>
      </c>
      <c r="E240" s="54">
        <f t="shared" si="655"/>
        <v>-102.94732441471571</v>
      </c>
      <c r="F240" s="54">
        <f t="shared" si="655"/>
        <v>478.9821789454345</v>
      </c>
      <c r="G240" s="54">
        <f t="shared" si="655"/>
        <v>1012.0316883974252</v>
      </c>
      <c r="H240" s="54">
        <f t="shared" si="655"/>
        <v>-341.19476268412438</v>
      </c>
      <c r="I240" s="54">
        <f t="shared" si="655"/>
        <v>-217.85277947464874</v>
      </c>
      <c r="J240" s="54">
        <f t="shared" si="655"/>
        <v>-276.08695652173913</v>
      </c>
      <c r="K240" s="54">
        <f t="shared" si="655"/>
        <v>-512.75605214152699</v>
      </c>
      <c r="L240" s="54">
        <f t="shared" si="631"/>
        <v>-512.75605214152699</v>
      </c>
      <c r="M240" s="54">
        <f t="shared" si="631"/>
        <v>745.08221700482011</v>
      </c>
      <c r="N240" s="54">
        <f t="shared" si="632"/>
        <v>8072.0274331536766</v>
      </c>
      <c r="O240" s="54">
        <f t="shared" si="632"/>
        <v>297.04978980990887</v>
      </c>
      <c r="P240" s="54">
        <f t="shared" si="633"/>
        <v>501.23052248232199</v>
      </c>
      <c r="Q240" s="54">
        <f t="shared" si="633"/>
        <v>371.56483084087711</v>
      </c>
      <c r="R240" s="54">
        <f t="shared" si="634"/>
        <v>-509.04895375247662</v>
      </c>
      <c r="S240" s="54">
        <f t="shared" si="634"/>
        <v>-863.77024165789385</v>
      </c>
      <c r="T240" s="54">
        <f t="shared" si="635"/>
        <v>263.05648686500018</v>
      </c>
      <c r="U240" s="54">
        <f t="shared" si="636"/>
        <v>263.05648686500018</v>
      </c>
      <c r="V240" s="54"/>
      <c r="W240" s="54">
        <f t="shared" si="655"/>
        <v>-1.6666666666666667</v>
      </c>
      <c r="X240" s="54">
        <f t="shared" si="655"/>
        <v>-109.96557347345534</v>
      </c>
      <c r="Y240" s="54">
        <f t="shared" si="655"/>
        <v>593.82579933847853</v>
      </c>
      <c r="Z240" s="54">
        <f t="shared" si="655"/>
        <v>-1.5890613451589062</v>
      </c>
      <c r="AA240" s="54">
        <f t="shared" si="655"/>
        <v>1214.4110275689222</v>
      </c>
      <c r="AB240" s="54">
        <f t="shared" si="655"/>
        <v>-98.772908366533869</v>
      </c>
      <c r="AC240" s="54">
        <f t="shared" si="655"/>
        <v>-6.2046736502820306</v>
      </c>
      <c r="AD240" s="54">
        <f t="shared" si="655"/>
        <v>1.0533138875384864</v>
      </c>
      <c r="AE240" s="54">
        <f t="shared" si="655"/>
        <v>1.3858741025212891</v>
      </c>
      <c r="AF240" s="54">
        <f t="shared" si="655"/>
        <v>-352.16600529100532</v>
      </c>
      <c r="AG240" s="54">
        <f t="shared" si="655"/>
        <v>8.078849571820973E-2</v>
      </c>
      <c r="AH240" s="54">
        <f t="shared" si="655"/>
        <v>5.8577405857740583</v>
      </c>
      <c r="AI240" s="54">
        <f t="shared" si="655"/>
        <v>5.7813484562066799</v>
      </c>
      <c r="AJ240" s="54">
        <f t="shared" si="655"/>
        <v>-241.01694915254234</v>
      </c>
      <c r="AK240" s="54">
        <f t="shared" si="655"/>
        <v>0.22779043280182235</v>
      </c>
      <c r="AL240" s="54">
        <f t="shared" si="655"/>
        <v>14.701536643026003</v>
      </c>
      <c r="AM240" s="54">
        <f t="shared" si="655"/>
        <v>-0.31432420296362817</v>
      </c>
      <c r="AN240" s="54">
        <f t="shared" si="655"/>
        <v>-245.9556085207806</v>
      </c>
      <c r="AO240" s="54">
        <f t="shared" si="655"/>
        <v>-40.15969244418158</v>
      </c>
      <c r="AP240" s="54">
        <f t="shared" si="655"/>
        <v>10.523177820837681</v>
      </c>
      <c r="AQ240" s="54">
        <f t="shared" si="655"/>
        <v>-160.58348851644942</v>
      </c>
      <c r="AR240" s="54">
        <f t="shared" si="655"/>
        <v>-131.43256681168427</v>
      </c>
      <c r="AS240" s="54">
        <f t="shared" si="655"/>
        <v>-3.7105751391465671</v>
      </c>
      <c r="AT240" s="54">
        <f t="shared" si="655"/>
        <v>-217.65163297045103</v>
      </c>
      <c r="AU240" s="54">
        <f t="shared" si="655"/>
        <v>-2.2172619047619047</v>
      </c>
      <c r="AV240" s="54">
        <f t="shared" si="655"/>
        <v>-451.17492429280492</v>
      </c>
      <c r="AW240" s="54">
        <f t="shared" si="655"/>
        <v>969.28412874583796</v>
      </c>
      <c r="AX240" s="54">
        <f t="shared" si="637"/>
        <v>198.00226693114197</v>
      </c>
      <c r="AY240" s="54">
        <f t="shared" si="637"/>
        <v>3468.8738868141336</v>
      </c>
      <c r="AZ240" s="54">
        <f t="shared" si="637"/>
        <v>724.60118343195256</v>
      </c>
      <c r="BA240" s="54">
        <f t="shared" si="638"/>
        <v>658.12878485191891</v>
      </c>
      <c r="BB240" s="54">
        <f t="shared" si="638"/>
        <v>3190.5439422129803</v>
      </c>
      <c r="BC240" s="54">
        <f t="shared" si="638"/>
        <v>-75.118992227115342</v>
      </c>
      <c r="BD240" s="54">
        <f t="shared" si="638"/>
        <v>-230.01210165389267</v>
      </c>
      <c r="BE240" s="54">
        <f t="shared" si="639"/>
        <v>-74.25035956714315</v>
      </c>
      <c r="BF240" s="54">
        <f t="shared" si="639"/>
        <v>687.88406233222656</v>
      </c>
      <c r="BG240" s="54">
        <f t="shared" si="639"/>
        <v>-40.629334569289071</v>
      </c>
      <c r="BH240" s="54">
        <f t="shared" si="639"/>
        <v>-53.676027220260139</v>
      </c>
      <c r="BI240" s="54">
        <f t="shared" si="640"/>
        <v>444.99114268151448</v>
      </c>
      <c r="BJ240" s="54">
        <f t="shared" si="640"/>
        <v>149.16648188836703</v>
      </c>
      <c r="BK240" s="54">
        <f t="shared" si="640"/>
        <v>-52.035590434397001</v>
      </c>
      <c r="BL240" s="54">
        <f t="shared" si="640"/>
        <v>-292.3663027415966</v>
      </c>
      <c r="BM240" s="54">
        <f t="shared" si="641"/>
        <v>-105.82416645348341</v>
      </c>
      <c r="BN240" s="54">
        <f t="shared" si="641"/>
        <v>800.83669751990294</v>
      </c>
      <c r="BO240" s="54">
        <f t="shared" si="641"/>
        <v>-49.086924762600439</v>
      </c>
      <c r="BP240" s="54">
        <f t="shared" si="641"/>
        <v>-362.5045416010658</v>
      </c>
      <c r="BQ240" s="54">
        <f t="shared" si="641"/>
        <v>-63.868942373615262</v>
      </c>
      <c r="BR240" s="54">
        <f t="shared" si="642"/>
        <v>-34.348212356232146</v>
      </c>
      <c r="BS240" s="54">
        <f t="shared" si="642"/>
        <v>-56.438172204170215</v>
      </c>
      <c r="BT240" s="54">
        <f t="shared" si="643"/>
        <v>-649.6</v>
      </c>
      <c r="BU240" s="54">
        <f t="shared" si="643"/>
        <v>-109.15980815915685</v>
      </c>
      <c r="BV240" s="54">
        <f t="shared" si="643"/>
        <v>-54.234821181036871</v>
      </c>
      <c r="BW240" s="54">
        <f t="shared" si="643"/>
        <v>-26.485576698302868</v>
      </c>
      <c r="BX240" s="54">
        <f t="shared" si="644"/>
        <v>-1162.9593145789424</v>
      </c>
      <c r="BY240" s="54">
        <f t="shared" si="644"/>
        <v>-73.120355611431648</v>
      </c>
      <c r="BZ240" s="54">
        <f t="shared" si="645"/>
        <v>1459.6334386168155</v>
      </c>
      <c r="CA240" s="54"/>
      <c r="CB240"/>
      <c r="CC240"/>
      <c r="CD240" s="54"/>
      <c r="CE240" s="54"/>
      <c r="CF240" s="54"/>
      <c r="CH240" s="54">
        <f t="shared" si="646"/>
        <v>8072.0274331536766</v>
      </c>
    </row>
    <row r="241" spans="2:86">
      <c r="B241" s="17" t="str">
        <f t="shared" si="629"/>
        <v>Principal Repayments</v>
      </c>
      <c r="D241" s="54">
        <f t="shared" ref="D241:AW241" si="656">D182/D$207</f>
        <v>9420.7456140350878</v>
      </c>
      <c r="E241" s="54">
        <f t="shared" si="656"/>
        <v>-59.155518394648823</v>
      </c>
      <c r="F241" s="54">
        <f t="shared" si="656"/>
        <v>-441.41098658827855</v>
      </c>
      <c r="G241" s="54">
        <f t="shared" si="656"/>
        <v>235.22033338834791</v>
      </c>
      <c r="H241" s="54">
        <f t="shared" si="656"/>
        <v>-1185.7774140752863</v>
      </c>
      <c r="I241" s="54">
        <f t="shared" si="656"/>
        <v>-1839.1264508246791</v>
      </c>
      <c r="J241" s="54">
        <f t="shared" si="656"/>
        <v>81.20905300774271</v>
      </c>
      <c r="K241" s="54">
        <f t="shared" si="656"/>
        <v>560.8472998137803</v>
      </c>
      <c r="L241" s="54">
        <f t="shared" si="631"/>
        <v>606.75046554934829</v>
      </c>
      <c r="M241" s="54">
        <f t="shared" si="631"/>
        <v>1466.4142855712125</v>
      </c>
      <c r="N241" s="54">
        <f t="shared" si="632"/>
        <v>-3207.38167359312</v>
      </c>
      <c r="O241" s="54">
        <f t="shared" si="632"/>
        <v>-2458.3714429952474</v>
      </c>
      <c r="P241" s="54">
        <f t="shared" si="633"/>
        <v>-1282.889800062625</v>
      </c>
      <c r="Q241" s="54">
        <f t="shared" si="633"/>
        <v>-2354.7547597405023</v>
      </c>
      <c r="R241" s="54">
        <f t="shared" si="634"/>
        <v>-1168.4627651862947</v>
      </c>
      <c r="S241" s="54">
        <f t="shared" si="634"/>
        <v>-755.84627577151912</v>
      </c>
      <c r="T241" s="54">
        <f t="shared" si="635"/>
        <v>-4435.4963289903653</v>
      </c>
      <c r="U241" s="54">
        <f t="shared" si="636"/>
        <v>-4435.4963289903653</v>
      </c>
      <c r="V241" s="54"/>
      <c r="W241" s="54">
        <f t="shared" si="656"/>
        <v>-77.555555555555557</v>
      </c>
      <c r="X241" s="54">
        <f t="shared" si="656"/>
        <v>-488.98351150570755</v>
      </c>
      <c r="Y241" s="54">
        <f t="shared" si="656"/>
        <v>214.62697537669973</v>
      </c>
      <c r="Z241" s="54">
        <f t="shared" si="656"/>
        <v>-83.721359940872134</v>
      </c>
      <c r="AA241" s="54">
        <f t="shared" si="656"/>
        <v>-127.19298245614036</v>
      </c>
      <c r="AB241" s="54">
        <f t="shared" si="656"/>
        <v>-598.11952191235059</v>
      </c>
      <c r="AC241" s="54">
        <f t="shared" si="656"/>
        <v>101.09589041095892</v>
      </c>
      <c r="AD241" s="54">
        <f t="shared" si="656"/>
        <v>852.6332847188462</v>
      </c>
      <c r="AE241" s="54">
        <f t="shared" si="656"/>
        <v>-839.10502588078145</v>
      </c>
      <c r="AF241" s="54">
        <f t="shared" si="656"/>
        <v>-607.50661375661377</v>
      </c>
      <c r="AG241" s="54">
        <f t="shared" si="656"/>
        <v>-319.76086605267409</v>
      </c>
      <c r="AH241" s="54">
        <f t="shared" si="656"/>
        <v>552.54264563887989</v>
      </c>
      <c r="AI241" s="54">
        <f t="shared" si="656"/>
        <v>299.51165721487087</v>
      </c>
      <c r="AJ241" s="54">
        <f t="shared" si="656"/>
        <v>-1334.2372881355932</v>
      </c>
      <c r="AK241" s="54">
        <f t="shared" si="656"/>
        <v>-1056.3249810174641</v>
      </c>
      <c r="AL241" s="54">
        <f t="shared" si="656"/>
        <v>246.92671394799052</v>
      </c>
      <c r="AM241" s="54">
        <f t="shared" si="656"/>
        <v>-279.70363718006286</v>
      </c>
      <c r="AN241" s="54">
        <f t="shared" si="656"/>
        <v>-648.65186950692691</v>
      </c>
      <c r="AO241" s="54">
        <f t="shared" si="656"/>
        <v>1416.1318941298241</v>
      </c>
      <c r="AP241" s="54">
        <f t="shared" si="656"/>
        <v>-418.66149947831269</v>
      </c>
      <c r="AQ241" s="54">
        <f t="shared" si="656"/>
        <v>-888.73370577281196</v>
      </c>
      <c r="AR241" s="54">
        <f t="shared" si="656"/>
        <v>-42.262274704785582</v>
      </c>
      <c r="AS241" s="54">
        <f t="shared" si="656"/>
        <v>27.581941867656152</v>
      </c>
      <c r="AT241" s="54">
        <f t="shared" si="656"/>
        <v>1467.293934681182</v>
      </c>
      <c r="AU241" s="54">
        <f t="shared" si="656"/>
        <v>663.18452380952374</v>
      </c>
      <c r="AV241" s="54">
        <f t="shared" si="656"/>
        <v>724.40583052434192</v>
      </c>
      <c r="AW241" s="54">
        <f t="shared" si="656"/>
        <v>-731.34017758046616</v>
      </c>
      <c r="AX241" s="54">
        <f t="shared" si="637"/>
        <v>848.42731652026077</v>
      </c>
      <c r="AY241" s="54">
        <f t="shared" si="637"/>
        <v>-2888.5090491238147</v>
      </c>
      <c r="AZ241" s="54">
        <f t="shared" si="637"/>
        <v>-131.53136094674556</v>
      </c>
      <c r="BA241" s="54">
        <f t="shared" si="638"/>
        <v>1087.0087601681792</v>
      </c>
      <c r="BB241" s="54">
        <f t="shared" si="638"/>
        <v>-1277.5254459888365</v>
      </c>
      <c r="BC241" s="54">
        <f t="shared" si="638"/>
        <v>-535.42877404064791</v>
      </c>
      <c r="BD241" s="54">
        <f t="shared" si="638"/>
        <v>-1264.6093855049078</v>
      </c>
      <c r="BE241" s="54">
        <f t="shared" si="639"/>
        <v>-997.64467339857197</v>
      </c>
      <c r="BF241" s="54">
        <f t="shared" si="639"/>
        <v>349.00301949506382</v>
      </c>
      <c r="BG241" s="54">
        <f t="shared" si="639"/>
        <v>-1015.692707793365</v>
      </c>
      <c r="BH241" s="54">
        <f t="shared" si="639"/>
        <v>-321.28897837884398</v>
      </c>
      <c r="BI241" s="54">
        <f t="shared" si="640"/>
        <v>-104.149152670041</v>
      </c>
      <c r="BJ241" s="54">
        <f t="shared" si="640"/>
        <v>152.6067178670537</v>
      </c>
      <c r="BK241" s="54">
        <f t="shared" si="640"/>
        <v>-1144.7138247832791</v>
      </c>
      <c r="BL241" s="54">
        <f t="shared" si="640"/>
        <v>-251.63828633067507</v>
      </c>
      <c r="BM241" s="54">
        <f t="shared" si="641"/>
        <v>-291.78087198041152</v>
      </c>
      <c r="BN241" s="54">
        <f t="shared" si="641"/>
        <v>-687.34260939216131</v>
      </c>
      <c r="BO241" s="54">
        <f t="shared" si="641"/>
        <v>-477.53834915997078</v>
      </c>
      <c r="BP241" s="54">
        <f t="shared" si="641"/>
        <v>-253.20334261838443</v>
      </c>
      <c r="BQ241" s="54">
        <f t="shared" si="641"/>
        <v>-222.49485800887666</v>
      </c>
      <c r="BR241" s="54">
        <f t="shared" si="642"/>
        <v>-217.13448747808965</v>
      </c>
      <c r="BS241" s="54">
        <f t="shared" si="642"/>
        <v>-374.15618517763579</v>
      </c>
      <c r="BT241" s="54">
        <f t="shared" si="643"/>
        <v>294.82985074626868</v>
      </c>
      <c r="BU241" s="54">
        <f t="shared" si="643"/>
        <v>-766.27390609272311</v>
      </c>
      <c r="BV241" s="54">
        <f t="shared" si="643"/>
        <v>84.56935588208114</v>
      </c>
      <c r="BW241" s="54">
        <f t="shared" si="643"/>
        <v>-1567.4412080976203</v>
      </c>
      <c r="BX241" s="54">
        <f t="shared" si="644"/>
        <v>-214.74388344176668</v>
      </c>
      <c r="BY241" s="54">
        <f t="shared" si="644"/>
        <v>-1585.0638708663539</v>
      </c>
      <c r="BZ241" s="54">
        <f t="shared" si="645"/>
        <v>-1069.5963890315741</v>
      </c>
      <c r="CA241" s="54"/>
      <c r="CB241"/>
      <c r="CC241"/>
      <c r="CD241" s="54"/>
      <c r="CE241" s="54"/>
      <c r="CF241" s="54"/>
      <c r="CH241" s="54">
        <f t="shared" si="646"/>
        <v>-3207.38167359312</v>
      </c>
    </row>
    <row r="242" spans="2:86">
      <c r="B242" s="17" t="str">
        <f t="shared" si="629"/>
        <v>Other financing activities</v>
      </c>
      <c r="D242" s="54">
        <f t="shared" ref="D242:AW242" si="657">D183/D$207</f>
        <v>-133.85964912280701</v>
      </c>
      <c r="E242" s="54">
        <f t="shared" si="657"/>
        <v>0</v>
      </c>
      <c r="F242" s="54">
        <f t="shared" si="657"/>
        <v>-245.47124747381957</v>
      </c>
      <c r="G242" s="54">
        <f t="shared" si="657"/>
        <v>-168.46014193761346</v>
      </c>
      <c r="H242" s="54">
        <f t="shared" si="657"/>
        <v>501.06382978723406</v>
      </c>
      <c r="I242" s="54">
        <f t="shared" si="657"/>
        <v>734.88087965791078</v>
      </c>
      <c r="J242" s="54">
        <f t="shared" si="657"/>
        <v>1014.5920190589637</v>
      </c>
      <c r="K242" s="54">
        <f t="shared" si="657"/>
        <v>933.37988826815649</v>
      </c>
      <c r="L242" s="54">
        <f t="shared" si="631"/>
        <v>887.4767225325885</v>
      </c>
      <c r="M242" s="54">
        <f t="shared" si="631"/>
        <v>232.32223514649979</v>
      </c>
      <c r="N242" s="54">
        <f t="shared" si="632"/>
        <v>-611.00174261815584</v>
      </c>
      <c r="O242" s="54">
        <f t="shared" si="632"/>
        <v>91.153143887030495</v>
      </c>
      <c r="P242" s="54">
        <f t="shared" si="633"/>
        <v>506.17585683054932</v>
      </c>
      <c r="Q242" s="54">
        <f t="shared" si="633"/>
        <v>-56.556550324372111</v>
      </c>
      <c r="R242" s="54">
        <f t="shared" si="634"/>
        <v>29.007393804668244</v>
      </c>
      <c r="S242" s="54">
        <f t="shared" si="634"/>
        <v>-626.1104079677317</v>
      </c>
      <c r="T242" s="54">
        <f t="shared" si="635"/>
        <v>-60.750611834938951</v>
      </c>
      <c r="U242" s="54">
        <f t="shared" si="636"/>
        <v>-60.750611834938951</v>
      </c>
      <c r="V242" s="54"/>
      <c r="W242" s="54">
        <f t="shared" si="657"/>
        <v>0</v>
      </c>
      <c r="X242" s="54">
        <f t="shared" si="657"/>
        <v>0</v>
      </c>
      <c r="Y242" s="54">
        <f t="shared" si="657"/>
        <v>-11.870635795663359</v>
      </c>
      <c r="Z242" s="54">
        <f t="shared" si="657"/>
        <v>-234.94087213599408</v>
      </c>
      <c r="AA242" s="54">
        <f t="shared" si="657"/>
        <v>-68.528464017185826</v>
      </c>
      <c r="AB242" s="54">
        <f t="shared" si="657"/>
        <v>0</v>
      </c>
      <c r="AC242" s="54">
        <f t="shared" si="657"/>
        <v>-34.697824335213539</v>
      </c>
      <c r="AD242" s="54">
        <f t="shared" si="657"/>
        <v>-68.481607519040679</v>
      </c>
      <c r="AE242" s="54">
        <f t="shared" si="657"/>
        <v>-153.16413424611787</v>
      </c>
      <c r="AF242" s="54">
        <f t="shared" si="657"/>
        <v>351.02513227513231</v>
      </c>
      <c r="AG242" s="54">
        <f t="shared" si="657"/>
        <v>0</v>
      </c>
      <c r="AH242" s="54">
        <f t="shared" si="657"/>
        <v>298.6482137109752</v>
      </c>
      <c r="AI242" s="54">
        <f t="shared" si="657"/>
        <v>75.110270951480786</v>
      </c>
      <c r="AJ242" s="54">
        <f t="shared" si="657"/>
        <v>478.39753466872105</v>
      </c>
      <c r="AK242" s="54">
        <f t="shared" si="657"/>
        <v>183.7357630979499</v>
      </c>
      <c r="AL242" s="54">
        <f t="shared" si="657"/>
        <v>3.0289598108747042</v>
      </c>
      <c r="AM242" s="54">
        <f t="shared" si="657"/>
        <v>1.3770393653644664</v>
      </c>
      <c r="AN242" s="54">
        <f t="shared" si="657"/>
        <v>74.854759422016983</v>
      </c>
      <c r="AO242" s="54">
        <f t="shared" si="657"/>
        <v>9.7589826999852143</v>
      </c>
      <c r="AP242" s="54">
        <f t="shared" si="657"/>
        <v>929.54240572365472</v>
      </c>
      <c r="AQ242" s="54">
        <f t="shared" si="657"/>
        <v>16.71322160148976</v>
      </c>
      <c r="AR242" s="54">
        <f t="shared" si="657"/>
        <v>398.24425108763205</v>
      </c>
      <c r="AS242" s="54">
        <f t="shared" si="657"/>
        <v>507.43661100803951</v>
      </c>
      <c r="AT242" s="54">
        <f t="shared" si="657"/>
        <v>9.6111975116640753</v>
      </c>
      <c r="AU242" s="54">
        <f t="shared" si="657"/>
        <v>0</v>
      </c>
      <c r="AV242" s="54">
        <f t="shared" si="657"/>
        <v>231.73109032631874</v>
      </c>
      <c r="AW242" s="54">
        <f t="shared" si="657"/>
        <v>0</v>
      </c>
      <c r="AX242" s="54">
        <f t="shared" si="637"/>
        <v>0</v>
      </c>
      <c r="AY242" s="54">
        <f t="shared" si="637"/>
        <v>-230.32174662453318</v>
      </c>
      <c r="AZ242" s="54">
        <f t="shared" si="637"/>
        <v>0</v>
      </c>
      <c r="BA242" s="54">
        <f t="shared" si="638"/>
        <v>-365.89093938975992</v>
      </c>
      <c r="BB242" s="54">
        <f t="shared" si="638"/>
        <v>-20.945058553135603</v>
      </c>
      <c r="BC242" s="54">
        <f t="shared" si="638"/>
        <v>-0.19771624555303213</v>
      </c>
      <c r="BD242" s="54">
        <f t="shared" si="638"/>
        <v>0</v>
      </c>
      <c r="BE242" s="54">
        <f t="shared" si="639"/>
        <v>-2.6435253727336705</v>
      </c>
      <c r="BF242" s="54">
        <f t="shared" si="639"/>
        <v>95.351755786795607</v>
      </c>
      <c r="BG242" s="54">
        <f t="shared" si="639"/>
        <v>2.8595028666177433</v>
      </c>
      <c r="BH242" s="54">
        <f t="shared" si="639"/>
        <v>418.08887501076748</v>
      </c>
      <c r="BI242" s="54">
        <f t="shared" si="640"/>
        <v>165.09449823996943</v>
      </c>
      <c r="BJ242" s="54">
        <f t="shared" si="640"/>
        <v>-80.415516001800754</v>
      </c>
      <c r="BK242" s="54">
        <f t="shared" si="640"/>
        <v>-13.087478781439104</v>
      </c>
      <c r="BL242" s="54">
        <f t="shared" si="640"/>
        <v>627.82997986045723</v>
      </c>
      <c r="BM242" s="54">
        <f t="shared" si="641"/>
        <v>-16.603929880982836</v>
      </c>
      <c r="BN242" s="54">
        <f t="shared" si="641"/>
        <v>-637.32956303816206</v>
      </c>
      <c r="BO242" s="54">
        <f t="shared" si="641"/>
        <v>4.3949354760165571</v>
      </c>
      <c r="BP242" s="54">
        <f t="shared" si="641"/>
        <v>-25.929514351459371</v>
      </c>
      <c r="BQ242" s="54">
        <f t="shared" si="641"/>
        <v>4.9074441597806082</v>
      </c>
      <c r="BR242" s="54">
        <f t="shared" si="642"/>
        <v>45.297380363531587</v>
      </c>
      <c r="BS242" s="54">
        <f t="shared" si="642"/>
        <v>-107.80446277622571</v>
      </c>
      <c r="BT242" s="54">
        <f t="shared" si="643"/>
        <v>-114.4</v>
      </c>
      <c r="BU242" s="54">
        <f t="shared" si="643"/>
        <v>-31.310320326839957</v>
      </c>
      <c r="BV242" s="54">
        <f t="shared" si="643"/>
        <v>-366.3709453839756</v>
      </c>
      <c r="BW242" s="54">
        <f t="shared" si="643"/>
        <v>-45.958202814530836</v>
      </c>
      <c r="BX242" s="54">
        <f t="shared" si="644"/>
        <v>-161.85970860441674</v>
      </c>
      <c r="BY242" s="54">
        <f t="shared" si="644"/>
        <v>-20.912376804436164</v>
      </c>
      <c r="BZ242" s="54">
        <f t="shared" si="645"/>
        <v>159.10556399523492</v>
      </c>
      <c r="CA242" s="54"/>
      <c r="CB242"/>
      <c r="CC242"/>
      <c r="CD242" s="54"/>
      <c r="CE242" s="54"/>
      <c r="CF242" s="54"/>
      <c r="CH242" s="54">
        <f t="shared" si="646"/>
        <v>-611.00174261815584</v>
      </c>
    </row>
    <row r="243" spans="2:86" s="20" customFormat="1">
      <c r="B243" s="20" t="str">
        <f t="shared" si="629"/>
        <v>Cash flow after financing activities</v>
      </c>
      <c r="D243" s="54">
        <f t="shared" ref="D243:AW243" si="658">D184/D$207</f>
        <v>-501.71052631578948</v>
      </c>
      <c r="E243" s="54">
        <f t="shared" si="658"/>
        <v>-398.80852842809361</v>
      </c>
      <c r="F243" s="54">
        <f t="shared" si="658"/>
        <v>-144.7547308469594</v>
      </c>
      <c r="G243" s="54">
        <f t="shared" si="658"/>
        <v>705.24839082356823</v>
      </c>
      <c r="H243" s="54">
        <f t="shared" si="658"/>
        <v>-716.87397708674303</v>
      </c>
      <c r="I243" s="54">
        <f t="shared" si="658"/>
        <v>577.13805742211355</v>
      </c>
      <c r="J243" s="54">
        <f t="shared" si="658"/>
        <v>395.62239428231089</v>
      </c>
      <c r="K243" s="54">
        <f t="shared" si="658"/>
        <v>285.7386716325264</v>
      </c>
      <c r="L243" s="54">
        <f t="shared" si="631"/>
        <v>561.62321539416519</v>
      </c>
      <c r="M243" s="54">
        <f t="shared" si="631"/>
        <v>38.114696048175603</v>
      </c>
      <c r="N243" s="54">
        <f t="shared" si="632"/>
        <v>969.11630009439216</v>
      </c>
      <c r="O243" s="54">
        <f t="shared" si="632"/>
        <v>-653.72252481537168</v>
      </c>
      <c r="P243" s="54">
        <f t="shared" si="633"/>
        <v>-348.34288347690688</v>
      </c>
      <c r="Q243" s="54">
        <f t="shared" si="633"/>
        <v>159.35947403155313</v>
      </c>
      <c r="R243" s="54">
        <f t="shared" si="634"/>
        <v>1263.3499250954428</v>
      </c>
      <c r="S243" s="54">
        <f t="shared" si="634"/>
        <v>1435.9541524230847</v>
      </c>
      <c r="T243" s="54">
        <f t="shared" si="635"/>
        <v>1285.7219652279703</v>
      </c>
      <c r="U243" s="54">
        <f t="shared" si="636"/>
        <v>1285.7219652279703</v>
      </c>
      <c r="V243" s="54"/>
      <c r="W243" s="54">
        <f t="shared" si="658"/>
        <v>-5.6296296296296298</v>
      </c>
      <c r="X243" s="54">
        <f t="shared" si="658"/>
        <v>-281.95325240079728</v>
      </c>
      <c r="Y243" s="54">
        <f t="shared" si="658"/>
        <v>210.65784638000736</v>
      </c>
      <c r="Z243" s="54">
        <f t="shared" si="658"/>
        <v>-64.264597191426461</v>
      </c>
      <c r="AA243" s="54">
        <f t="shared" si="658"/>
        <v>855.40637307554607</v>
      </c>
      <c r="AB243" s="54">
        <f t="shared" si="658"/>
        <v>-655.74501992031867</v>
      </c>
      <c r="AC243" s="54">
        <f t="shared" si="658"/>
        <v>-2.8847703464947623</v>
      </c>
      <c r="AD243" s="54">
        <f t="shared" si="658"/>
        <v>587.83017339167066</v>
      </c>
      <c r="AE243" s="54">
        <f t="shared" si="658"/>
        <v>-675.35481716480217</v>
      </c>
      <c r="AF243" s="54">
        <f t="shared" si="658"/>
        <v>-26.95113762841574</v>
      </c>
      <c r="AG243" s="54">
        <f t="shared" si="658"/>
        <v>98.277610272526147</v>
      </c>
      <c r="AH243" s="54">
        <f t="shared" si="658"/>
        <v>-125.62594940457129</v>
      </c>
      <c r="AI243" s="54">
        <f t="shared" si="658"/>
        <v>137.11192898550755</v>
      </c>
      <c r="AJ243" s="54">
        <f t="shared" si="658"/>
        <v>-209.58367146379092</v>
      </c>
      <c r="AK243" s="54">
        <f t="shared" si="658"/>
        <v>126.81104769931835</v>
      </c>
      <c r="AL243" s="54">
        <f t="shared" si="658"/>
        <v>507.36713260933652</v>
      </c>
      <c r="AM243" s="54">
        <f t="shared" si="658"/>
        <v>-341.34084649004666</v>
      </c>
      <c r="AN243" s="54">
        <f t="shared" si="658"/>
        <v>38.710027189033596</v>
      </c>
      <c r="AO243" s="54">
        <f t="shared" si="658"/>
        <v>236.06031180404472</v>
      </c>
      <c r="AP243" s="54">
        <f t="shared" si="658"/>
        <v>459.25799584875034</v>
      </c>
      <c r="AQ243" s="54">
        <f t="shared" si="658"/>
        <v>-202.70631320077678</v>
      </c>
      <c r="AR243" s="54">
        <f t="shared" si="658"/>
        <v>286.83622046928139</v>
      </c>
      <c r="AS243" s="54">
        <f t="shared" si="658"/>
        <v>5.7823129251700678</v>
      </c>
      <c r="AT243" s="54">
        <f t="shared" si="658"/>
        <v>196.58811311438728</v>
      </c>
      <c r="AU243" s="54">
        <f t="shared" si="658"/>
        <v>-116.38392857142857</v>
      </c>
      <c r="AV243" s="54">
        <f t="shared" si="658"/>
        <v>-218.10236811535466</v>
      </c>
      <c r="AW243" s="54">
        <f t="shared" si="658"/>
        <v>20.602108768035517</v>
      </c>
      <c r="AX243" s="54">
        <f t="shared" si="637"/>
        <v>344.04930575233777</v>
      </c>
      <c r="AY243" s="54">
        <f t="shared" si="637"/>
        <v>-94.665307924179004</v>
      </c>
      <c r="AZ243" s="54">
        <f t="shared" si="637"/>
        <v>703.71878153440321</v>
      </c>
      <c r="BA243" s="54">
        <f t="shared" si="638"/>
        <v>-39.244136477563416</v>
      </c>
      <c r="BB243" s="54">
        <f t="shared" si="638"/>
        <v>389.54383573008812</v>
      </c>
      <c r="BC243" s="54">
        <f t="shared" si="638"/>
        <v>-14.222388596781444</v>
      </c>
      <c r="BD243" s="54">
        <f t="shared" si="638"/>
        <v>-225.91098561247813</v>
      </c>
      <c r="BE243" s="54">
        <f t="shared" si="639"/>
        <v>-95.725596615742447</v>
      </c>
      <c r="BF243" s="54">
        <f t="shared" si="639"/>
        <v>-322.67220183768592</v>
      </c>
      <c r="BG243" s="54">
        <f t="shared" si="639"/>
        <v>61.418326973988684</v>
      </c>
      <c r="BH243" s="54">
        <f t="shared" si="639"/>
        <v>-307.34505556034111</v>
      </c>
      <c r="BI243" s="54">
        <f t="shared" si="640"/>
        <v>232.72479031824503</v>
      </c>
      <c r="BJ243" s="54">
        <f t="shared" si="640"/>
        <v>-333.94470564678483</v>
      </c>
      <c r="BK243" s="54">
        <f t="shared" si="640"/>
        <v>124.81101973090813</v>
      </c>
      <c r="BL243" s="54">
        <f t="shared" si="640"/>
        <v>-72.30282888870876</v>
      </c>
      <c r="BM243" s="54">
        <f t="shared" si="641"/>
        <v>-15.350233359898404</v>
      </c>
      <c r="BN243" s="54">
        <f t="shared" si="641"/>
        <v>124.08046846225753</v>
      </c>
      <c r="BO243" s="54">
        <f t="shared" si="641"/>
        <v>-242.31799366934501</v>
      </c>
      <c r="BP243" s="54">
        <f t="shared" si="641"/>
        <v>-26.813612692261113</v>
      </c>
      <c r="BQ243" s="54">
        <f t="shared" si="641"/>
        <v>183.15879428287602</v>
      </c>
      <c r="BR243" s="54">
        <f t="shared" si="642"/>
        <v>1338.1559416298412</v>
      </c>
      <c r="BS243" s="54">
        <f t="shared" si="642"/>
        <v>131.72170870205261</v>
      </c>
      <c r="BT243" s="54">
        <f t="shared" si="643"/>
        <v>421.81958974138763</v>
      </c>
      <c r="BU243" s="54">
        <f t="shared" si="643"/>
        <v>714.12161762093672</v>
      </c>
      <c r="BV243" s="54">
        <f t="shared" si="643"/>
        <v>170.73153049277971</v>
      </c>
      <c r="BW243" s="54">
        <f t="shared" si="643"/>
        <v>-75.774931039319284</v>
      </c>
      <c r="BX243" s="54">
        <f t="shared" si="644"/>
        <v>291.555942453954</v>
      </c>
      <c r="BY243" s="54">
        <f t="shared" si="644"/>
        <v>183.39581976966079</v>
      </c>
      <c r="BZ243" s="54">
        <f t="shared" si="645"/>
        <v>855.73612826369697</v>
      </c>
      <c r="CA243" s="54"/>
      <c r="CB243"/>
      <c r="CC243"/>
      <c r="CD243" s="54"/>
      <c r="CE243" s="54"/>
      <c r="CF243" s="54"/>
      <c r="CH243" s="54">
        <f t="shared" si="646"/>
        <v>639.52051953751413</v>
      </c>
    </row>
    <row r="244" spans="2:86">
      <c r="B244" s="17" t="str">
        <f t="shared" si="629"/>
        <v xml:space="preserve">FX </v>
      </c>
      <c r="D244" s="54">
        <f t="shared" ref="D244:AW244" si="659">D185/D$207</f>
        <v>-2.7192982456140351</v>
      </c>
      <c r="E244" s="54">
        <f t="shared" si="659"/>
        <v>10.305183946488294</v>
      </c>
      <c r="F244" s="54">
        <f t="shared" si="659"/>
        <v>-29.836487231306265</v>
      </c>
      <c r="G244" s="54">
        <f t="shared" si="659"/>
        <v>-34.230070968806729</v>
      </c>
      <c r="H244" s="54">
        <f t="shared" si="659"/>
        <v>0.70376432078559736</v>
      </c>
      <c r="I244" s="54">
        <f t="shared" si="659"/>
        <v>20.464263897373243</v>
      </c>
      <c r="J244" s="54">
        <f t="shared" si="659"/>
        <v>-11.241810601548542</v>
      </c>
      <c r="K244" s="54">
        <f t="shared" si="659"/>
        <v>4.3606455617628805</v>
      </c>
      <c r="L244" s="54">
        <f t="shared" si="631"/>
        <v>4.3606455617628805</v>
      </c>
      <c r="M244" s="54">
        <f t="shared" si="631"/>
        <v>19.143191934106213</v>
      </c>
      <c r="N244" s="54">
        <f t="shared" si="632"/>
        <v>126.06964522392212</v>
      </c>
      <c r="O244" s="54">
        <f t="shared" si="632"/>
        <v>-53.543372895487295</v>
      </c>
      <c r="P244" s="54">
        <f t="shared" si="633"/>
        <v>52.808624824803609</v>
      </c>
      <c r="Q244" s="54">
        <f t="shared" si="633"/>
        <v>-18.951798677607741</v>
      </c>
      <c r="R244" s="54">
        <f t="shared" si="634"/>
        <v>-106.9322959454888</v>
      </c>
      <c r="S244" s="54">
        <f t="shared" si="634"/>
        <v>8.4929205947410136</v>
      </c>
      <c r="T244" s="54">
        <f t="shared" si="635"/>
        <v>263.58839423389776</v>
      </c>
      <c r="U244" s="54">
        <f t="shared" si="636"/>
        <v>263.58839423389776</v>
      </c>
      <c r="V244" s="54"/>
      <c r="W244" s="54">
        <f t="shared" si="659"/>
        <v>-45.018518518518519</v>
      </c>
      <c r="X244" s="54">
        <f t="shared" si="659"/>
        <v>30.24098568581265</v>
      </c>
      <c r="Y244" s="54">
        <f t="shared" si="659"/>
        <v>-13.322307975009187</v>
      </c>
      <c r="Z244" s="54">
        <f t="shared" si="659"/>
        <v>-2.5314116777531415</v>
      </c>
      <c r="AA244" s="54">
        <f t="shared" si="659"/>
        <v>-1.5037593984962405</v>
      </c>
      <c r="AB244" s="54">
        <f t="shared" si="659"/>
        <v>-13.163346613545817</v>
      </c>
      <c r="AC244" s="54">
        <f t="shared" si="659"/>
        <v>-4.8509266720386783</v>
      </c>
      <c r="AD244" s="54">
        <f t="shared" si="659"/>
        <v>-13.984767460703289</v>
      </c>
      <c r="AE244" s="54">
        <f t="shared" si="659"/>
        <v>-7.9312072132242442</v>
      </c>
      <c r="AF244" s="54">
        <f t="shared" si="659"/>
        <v>0.76058201058201058</v>
      </c>
      <c r="AG244" s="54">
        <f t="shared" si="659"/>
        <v>0.38778477944740669</v>
      </c>
      <c r="AH244" s="54">
        <f t="shared" si="659"/>
        <v>7.2095268747988417</v>
      </c>
      <c r="AI244" s="54">
        <f t="shared" si="659"/>
        <v>27.362948960302457</v>
      </c>
      <c r="AJ244" s="54">
        <f t="shared" si="659"/>
        <v>-4.8382126348228036</v>
      </c>
      <c r="AK244" s="54">
        <f t="shared" si="659"/>
        <v>0.97190584662110868</v>
      </c>
      <c r="AL244" s="54">
        <f t="shared" si="659"/>
        <v>-2.1719858156028367</v>
      </c>
      <c r="AM244" s="54">
        <f t="shared" si="659"/>
        <v>-12.288579553958987</v>
      </c>
      <c r="AN244" s="54">
        <f t="shared" si="659"/>
        <v>-2.3387457172650086</v>
      </c>
      <c r="AO244" s="54">
        <f t="shared" si="659"/>
        <v>1.3011976933313618</v>
      </c>
      <c r="AP244" s="54">
        <f t="shared" si="659"/>
        <v>2.0122223878372334</v>
      </c>
      <c r="AQ244" s="54">
        <f t="shared" si="659"/>
        <v>-0.21725636250775918</v>
      </c>
      <c r="AR244" s="54">
        <f t="shared" si="659"/>
        <v>-0.13983840894965818</v>
      </c>
      <c r="AS244" s="54">
        <f t="shared" si="659"/>
        <v>-4.2671614100185522</v>
      </c>
      <c r="AT244" s="54">
        <f t="shared" si="659"/>
        <v>9.0202177293934689</v>
      </c>
      <c r="AU244" s="54">
        <f t="shared" si="659"/>
        <v>14.6875</v>
      </c>
      <c r="AV244" s="54">
        <f t="shared" si="659"/>
        <v>30.026001604050659</v>
      </c>
      <c r="AW244" s="54">
        <f t="shared" si="659"/>
        <v>-16.939511653718093</v>
      </c>
      <c r="AX244" s="54">
        <f t="shared" si="637"/>
        <v>-7.5375460470388216</v>
      </c>
      <c r="AY244" s="54">
        <f t="shared" si="637"/>
        <v>-1.4507325481183566</v>
      </c>
      <c r="AZ244" s="54">
        <f t="shared" si="637"/>
        <v>36.355029585798817</v>
      </c>
      <c r="BA244" s="54">
        <f t="shared" si="638"/>
        <v>-2.3318740162406492E-2</v>
      </c>
      <c r="BB244" s="54">
        <f t="shared" si="638"/>
        <v>88.604574805734913</v>
      </c>
      <c r="BC244" s="54">
        <f t="shared" si="638"/>
        <v>-4.7979142254202465</v>
      </c>
      <c r="BD244" s="54">
        <f t="shared" si="638"/>
        <v>-30.859217426381605</v>
      </c>
      <c r="BE244" s="54">
        <f t="shared" si="639"/>
        <v>-25.386019429911485</v>
      </c>
      <c r="BF244" s="54">
        <f t="shared" si="639"/>
        <v>7.5230907592508371</v>
      </c>
      <c r="BG244" s="54">
        <f t="shared" si="639"/>
        <v>9.6355760102616852</v>
      </c>
      <c r="BH244" s="54">
        <f t="shared" si="639"/>
        <v>-2.8399302265483675</v>
      </c>
      <c r="BI244" s="54">
        <f t="shared" si="640"/>
        <v>6.8195299501111695</v>
      </c>
      <c r="BJ244" s="54">
        <f t="shared" si="640"/>
        <v>39.13268425756079</v>
      </c>
      <c r="BK244" s="54">
        <f t="shared" si="640"/>
        <v>30.515853990385239</v>
      </c>
      <c r="BL244" s="54">
        <f t="shared" si="640"/>
        <v>12.894295458938403</v>
      </c>
      <c r="BM244" s="54">
        <f t="shared" si="641"/>
        <v>-26.459087088404051</v>
      </c>
      <c r="BN244" s="54">
        <f t="shared" si="641"/>
        <v>-33.240896375540821</v>
      </c>
      <c r="BO244" s="54">
        <f t="shared" si="641"/>
        <v>-18.310202093985879</v>
      </c>
      <c r="BP244" s="54">
        <f t="shared" si="641"/>
        <v>-35.630374227927824</v>
      </c>
      <c r="BQ244" s="54">
        <f t="shared" si="641"/>
        <v>-74.585934399018498</v>
      </c>
      <c r="BR244" s="54">
        <f t="shared" si="642"/>
        <v>21.562177347708118</v>
      </c>
      <c r="BS244" s="54">
        <f t="shared" si="642"/>
        <v>22.615392188872896</v>
      </c>
      <c r="BT244" s="54">
        <f t="shared" si="643"/>
        <v>-7.5582089552238809</v>
      </c>
      <c r="BU244" s="54">
        <f t="shared" si="643"/>
        <v>22.203801290780984</v>
      </c>
      <c r="BV244" s="54">
        <f t="shared" si="643"/>
        <v>-27.841076655856533</v>
      </c>
      <c r="BW244" s="54">
        <f t="shared" si="643"/>
        <v>54.069848987797471</v>
      </c>
      <c r="BX244" s="54">
        <f t="shared" si="644"/>
        <v>64.979840557133699</v>
      </c>
      <c r="BY244" s="54">
        <f t="shared" si="644"/>
        <v>28.713827088431405</v>
      </c>
      <c r="BZ244" s="54">
        <f t="shared" si="645"/>
        <v>114.03403315883234</v>
      </c>
      <c r="CA244" s="54"/>
      <c r="CB244"/>
      <c r="CC244"/>
      <c r="CD244" s="54"/>
      <c r="CE244" s="54"/>
      <c r="CF244" s="54"/>
      <c r="CH244" s="54">
        <f t="shared" si="646"/>
        <v>126.06964522392212</v>
      </c>
    </row>
    <row r="245" spans="2:86">
      <c r="B245" s="17" t="str">
        <f t="shared" si="629"/>
        <v>Balancing figure</v>
      </c>
      <c r="D245" s="54">
        <f t="shared" ref="D245:AW245" si="660">D186/D$207</f>
        <v>88.793859649122808</v>
      </c>
      <c r="E245" s="54">
        <f t="shared" si="660"/>
        <v>430.91555183946485</v>
      </c>
      <c r="F245" s="54">
        <f t="shared" si="660"/>
        <v>58.092963439279806</v>
      </c>
      <c r="G245" s="54">
        <f t="shared" si="660"/>
        <v>-39.511470539693015</v>
      </c>
      <c r="H245" s="54">
        <f t="shared" si="660"/>
        <v>45.302782324058917</v>
      </c>
      <c r="I245" s="54">
        <f t="shared" si="660"/>
        <v>-306.7043372021991</v>
      </c>
      <c r="J245" s="54">
        <f t="shared" si="660"/>
        <v>-794.07385348421701</v>
      </c>
      <c r="K245" s="54">
        <f t="shared" si="660"/>
        <v>304.99689633767849</v>
      </c>
      <c r="L245" s="54">
        <f t="shared" si="631"/>
        <v>29.112352576039729</v>
      </c>
      <c r="M245" s="54">
        <f t="shared" si="631"/>
        <v>69.318957339868916</v>
      </c>
      <c r="N245" s="54">
        <f t="shared" si="632"/>
        <v>-12.206205856133046</v>
      </c>
      <c r="O245" s="54">
        <f t="shared" si="632"/>
        <v>169.28441007591377</v>
      </c>
      <c r="P245" s="54">
        <f t="shared" si="633"/>
        <v>71.269409721456057</v>
      </c>
      <c r="Q245" s="54">
        <f t="shared" si="633"/>
        <v>61.649379272559742</v>
      </c>
      <c r="R245" s="54">
        <f t="shared" si="634"/>
        <v>-1152.7086454356545</v>
      </c>
      <c r="S245" s="54">
        <f t="shared" si="634"/>
        <v>-1255.0715037674029</v>
      </c>
      <c r="T245" s="54">
        <f t="shared" si="635"/>
        <v>4.7192632517081856</v>
      </c>
      <c r="U245" s="54">
        <f t="shared" si="636"/>
        <v>4.7192632517081856</v>
      </c>
      <c r="V245" s="54"/>
      <c r="W245" s="54">
        <f t="shared" si="660"/>
        <v>51.777777777777779</v>
      </c>
      <c r="X245" s="54">
        <f t="shared" si="660"/>
        <v>111.01648849429245</v>
      </c>
      <c r="Y245" s="54">
        <f t="shared" si="660"/>
        <v>-35.703785373024623</v>
      </c>
      <c r="Z245" s="54">
        <f t="shared" si="660"/>
        <v>-70.546932742054693</v>
      </c>
      <c r="AA245" s="54">
        <f t="shared" si="660"/>
        <v>-507.33977801646978</v>
      </c>
      <c r="AB245" s="54">
        <f t="shared" si="660"/>
        <v>499.88844621513942</v>
      </c>
      <c r="AC245" s="54">
        <f t="shared" si="660"/>
        <v>68.622078968573732</v>
      </c>
      <c r="AD245" s="54">
        <f t="shared" si="660"/>
        <v>-156.86274509803923</v>
      </c>
      <c r="AE245" s="54">
        <f t="shared" si="660"/>
        <v>132.77675738854566</v>
      </c>
      <c r="AF245" s="54">
        <f t="shared" si="660"/>
        <v>-66.120952318674213</v>
      </c>
      <c r="AG245" s="54">
        <f t="shared" si="660"/>
        <v>34.845672971939841</v>
      </c>
      <c r="AH245" s="54">
        <f t="shared" si="660"/>
        <v>-53.77540238171774</v>
      </c>
      <c r="AI245" s="54">
        <f t="shared" si="660"/>
        <v>-47.965741209830149</v>
      </c>
      <c r="AJ245" s="54">
        <f t="shared" si="660"/>
        <v>-67.488747642526462</v>
      </c>
      <c r="AK245" s="54">
        <f t="shared" si="660"/>
        <v>-149.54453289294023</v>
      </c>
      <c r="AL245" s="54">
        <f t="shared" si="660"/>
        <v>-41.527889110518629</v>
      </c>
      <c r="AM245" s="54">
        <f t="shared" si="660"/>
        <v>101.12231632989099</v>
      </c>
      <c r="AN245" s="54">
        <f t="shared" si="660"/>
        <v>-115.72477469387495</v>
      </c>
      <c r="AO245" s="54">
        <f t="shared" si="660"/>
        <v>-330.2197085214778</v>
      </c>
      <c r="AP245" s="54">
        <f t="shared" si="660"/>
        <v>-446.93127055436969</v>
      </c>
      <c r="AQ245" s="54">
        <f t="shared" si="660"/>
        <v>382.48595317594749</v>
      </c>
      <c r="AR245" s="54">
        <f t="shared" si="660"/>
        <v>-421.31415707586933</v>
      </c>
      <c r="AS245" s="54">
        <f t="shared" si="660"/>
        <v>-95.500927643784777</v>
      </c>
      <c r="AT245" s="54">
        <f t="shared" si="660"/>
        <v>440.11484178452406</v>
      </c>
      <c r="AU245" s="54">
        <f t="shared" si="660"/>
        <v>42.723214285714285</v>
      </c>
      <c r="AV245" s="54">
        <f t="shared" si="660"/>
        <v>38.360214977038105</v>
      </c>
      <c r="AW245" s="54">
        <f t="shared" si="660"/>
        <v>-28.246392896781355</v>
      </c>
      <c r="AX245" s="54">
        <f t="shared" si="637"/>
        <v>18.730518560498727</v>
      </c>
      <c r="AY245" s="54">
        <f t="shared" si="637"/>
        <v>33.705813526017558</v>
      </c>
      <c r="AZ245" s="54">
        <f t="shared" si="637"/>
        <v>-11.751917629077832</v>
      </c>
      <c r="BA245" s="54">
        <f t="shared" si="638"/>
        <v>-1.236627694614197</v>
      </c>
      <c r="BB245" s="54">
        <f t="shared" si="638"/>
        <v>-31.425744452863867</v>
      </c>
      <c r="BC245" s="54">
        <f t="shared" si="638"/>
        <v>5.2460710486737856</v>
      </c>
      <c r="BD245" s="54">
        <f t="shared" si="638"/>
        <v>-0.3227107704719645</v>
      </c>
      <c r="BE245" s="54">
        <f t="shared" si="639"/>
        <v>41.029148955160217</v>
      </c>
      <c r="BF245" s="54">
        <f t="shared" si="639"/>
        <v>125.47147551746896</v>
      </c>
      <c r="BG245" s="54">
        <f t="shared" si="639"/>
        <v>16.249023398458171</v>
      </c>
      <c r="BH245" s="54">
        <f t="shared" si="639"/>
        <v>-0.25572831423895254</v>
      </c>
      <c r="BI245" s="54">
        <f t="shared" si="640"/>
        <v>-7.2633287329128216</v>
      </c>
      <c r="BJ245" s="54">
        <f t="shared" si="640"/>
        <v>62.475147031748591</v>
      </c>
      <c r="BK245" s="54">
        <f t="shared" si="640"/>
        <v>28.182903014093355</v>
      </c>
      <c r="BL245" s="54">
        <f t="shared" si="640"/>
        <v>19.304032273149563</v>
      </c>
      <c r="BM245" s="54">
        <f t="shared" si="641"/>
        <v>15.703508463749102</v>
      </c>
      <c r="BN245" s="54">
        <f t="shared" si="641"/>
        <v>-0.74084456133699872</v>
      </c>
      <c r="BO245" s="54">
        <f t="shared" si="641"/>
        <v>42.902361821280742</v>
      </c>
      <c r="BP245" s="54">
        <f t="shared" si="641"/>
        <v>6.9395664284849223</v>
      </c>
      <c r="BQ245" s="54">
        <f t="shared" si="641"/>
        <v>5.3688521886956693</v>
      </c>
      <c r="BR245" s="54">
        <f t="shared" si="642"/>
        <v>-1200.0307465377575</v>
      </c>
      <c r="BS245" s="54">
        <f t="shared" si="642"/>
        <v>-329.05027790386077</v>
      </c>
      <c r="BT245" s="54">
        <f t="shared" si="643"/>
        <v>-397.85541063691005</v>
      </c>
      <c r="BU245" s="54">
        <f t="shared" si="643"/>
        <v>-476.98501983539586</v>
      </c>
      <c r="BV245" s="54">
        <f t="shared" si="643"/>
        <v>-58.479890163789086</v>
      </c>
      <c r="BW245" s="54">
        <f t="shared" si="643"/>
        <v>19.846650147271962</v>
      </c>
      <c r="BX245" s="54">
        <f t="shared" si="644"/>
        <v>-18.269495097590031</v>
      </c>
      <c r="BY245" s="54">
        <f t="shared" si="644"/>
        <v>17.90404777406102</v>
      </c>
      <c r="BZ245" s="54">
        <f t="shared" si="645"/>
        <v>-14.00015300713669</v>
      </c>
      <c r="CA245" s="54"/>
      <c r="CB245"/>
      <c r="CC245"/>
      <c r="CD245" s="54"/>
      <c r="CE245" s="54"/>
      <c r="CF245" s="54"/>
      <c r="CH245" s="54">
        <f t="shared" si="646"/>
        <v>317.38957470074507</v>
      </c>
    </row>
    <row r="246" spans="2:86" ht="13.5" thickBot="1">
      <c r="B246" s="51" t="str">
        <f t="shared" si="629"/>
        <v xml:space="preserve">Net change in cash </v>
      </c>
      <c r="C246" s="20"/>
      <c r="D246" s="52">
        <f t="shared" ref="D246:AW246" si="661">D187/D$207</f>
        <v>-415.63596491228071</v>
      </c>
      <c r="E246" s="52">
        <f t="shared" si="661"/>
        <v>42.412207357859529</v>
      </c>
      <c r="F246" s="52">
        <f t="shared" si="661"/>
        <v>-116.49825463898586</v>
      </c>
      <c r="G246" s="52">
        <f t="shared" si="661"/>
        <v>631.50684931506851</v>
      </c>
      <c r="H246" s="52">
        <f t="shared" si="661"/>
        <v>-670.86743044189848</v>
      </c>
      <c r="I246" s="52">
        <f t="shared" si="661"/>
        <v>290.89798411728771</v>
      </c>
      <c r="J246" s="52">
        <f t="shared" si="661"/>
        <v>-409.69326980345465</v>
      </c>
      <c r="K246" s="52">
        <f t="shared" si="661"/>
        <v>595.09621353196769</v>
      </c>
      <c r="L246" s="52">
        <f t="shared" si="631"/>
        <v>595.09621353196769</v>
      </c>
      <c r="M246" s="52">
        <f t="shared" si="631"/>
        <v>126.57684532215073</v>
      </c>
      <c r="N246" s="52">
        <f t="shared" si="632"/>
        <v>1082.9797394621812</v>
      </c>
      <c r="O246" s="52">
        <f t="shared" si="632"/>
        <v>-537.98148763494521</v>
      </c>
      <c r="P246" s="52">
        <f t="shared" si="633"/>
        <v>-224.26484893064722</v>
      </c>
      <c r="Q246" s="52">
        <f t="shared" si="633"/>
        <v>202.05705462650513</v>
      </c>
      <c r="R246" s="52">
        <f t="shared" si="634"/>
        <v>3.7089837142995212</v>
      </c>
      <c r="S246" s="52">
        <f t="shared" si="634"/>
        <v>189.37556925042287</v>
      </c>
      <c r="T246" s="52">
        <f t="shared" si="635"/>
        <v>1554.0296227135761</v>
      </c>
      <c r="U246" s="52">
        <f t="shared" si="636"/>
        <v>1554.0296227135761</v>
      </c>
      <c r="V246" s="49"/>
      <c r="W246" s="52">
        <f t="shared" si="661"/>
        <v>1.1296296296296295</v>
      </c>
      <c r="X246" s="52">
        <f t="shared" si="661"/>
        <v>-140.69577822069215</v>
      </c>
      <c r="Y246" s="52">
        <f t="shared" si="661"/>
        <v>161.63175303197355</v>
      </c>
      <c r="Z246" s="52">
        <f t="shared" si="661"/>
        <v>-137.34294161123429</v>
      </c>
      <c r="AA246" s="52">
        <f t="shared" si="661"/>
        <v>346.56283566058005</v>
      </c>
      <c r="AB246" s="52">
        <f t="shared" si="661"/>
        <v>-169.0199203187251</v>
      </c>
      <c r="AC246" s="52">
        <f t="shared" si="661"/>
        <v>60.886381950040295</v>
      </c>
      <c r="AD246" s="52">
        <f t="shared" si="661"/>
        <v>416.98266083292822</v>
      </c>
      <c r="AE246" s="52">
        <f t="shared" si="661"/>
        <v>-550.50926698948069</v>
      </c>
      <c r="AF246" s="52">
        <f t="shared" si="661"/>
        <v>-92.311507936507937</v>
      </c>
      <c r="AG246" s="52">
        <f t="shared" si="661"/>
        <v>133.5110680239134</v>
      </c>
      <c r="AH246" s="52">
        <f t="shared" si="661"/>
        <v>-172.19182491149019</v>
      </c>
      <c r="AI246" s="52">
        <f t="shared" si="661"/>
        <v>116.50913673597984</v>
      </c>
      <c r="AJ246" s="52">
        <f t="shared" si="661"/>
        <v>-281.91063174114021</v>
      </c>
      <c r="AK246" s="52">
        <f t="shared" si="661"/>
        <v>-21.761579347000762</v>
      </c>
      <c r="AL246" s="52">
        <f t="shared" si="661"/>
        <v>463.6672576832151</v>
      </c>
      <c r="AM246" s="52">
        <f t="shared" si="661"/>
        <v>-252.50710971411465</v>
      </c>
      <c r="AN246" s="52">
        <f t="shared" si="661"/>
        <v>-79.353493222106366</v>
      </c>
      <c r="AO246" s="52">
        <f t="shared" si="661"/>
        <v>-92.858199024101737</v>
      </c>
      <c r="AP246" s="52">
        <f t="shared" si="661"/>
        <v>14.338947682217915</v>
      </c>
      <c r="AQ246" s="52">
        <f t="shared" si="661"/>
        <v>179.56238361266296</v>
      </c>
      <c r="AR246" s="52">
        <f t="shared" si="661"/>
        <v>-134.6177750155376</v>
      </c>
      <c r="AS246" s="52">
        <f t="shared" si="661"/>
        <v>-93.985776128633262</v>
      </c>
      <c r="AT246" s="52">
        <f t="shared" si="661"/>
        <v>645.72317262830484</v>
      </c>
      <c r="AU246" s="52">
        <f t="shared" si="661"/>
        <v>-58.973214285714285</v>
      </c>
      <c r="AV246" s="52">
        <f t="shared" si="661"/>
        <v>-149.71615153426589</v>
      </c>
      <c r="AW246" s="52">
        <f t="shared" si="661"/>
        <v>-24.58379578246393</v>
      </c>
      <c r="AX246" s="52">
        <f t="shared" si="637"/>
        <v>355.24227826579767</v>
      </c>
      <c r="AY246" s="52">
        <f t="shared" si="637"/>
        <v>-62.410226946279799</v>
      </c>
      <c r="AZ246" s="52">
        <f t="shared" si="637"/>
        <v>728.32189349112423</v>
      </c>
      <c r="BA246" s="52">
        <f t="shared" si="638"/>
        <v>-40.504082912340017</v>
      </c>
      <c r="BB246" s="52">
        <f t="shared" si="638"/>
        <v>446.72266608295917</v>
      </c>
      <c r="BC246" s="52">
        <f t="shared" si="638"/>
        <v>-13.774231773527905</v>
      </c>
      <c r="BD246" s="52">
        <f t="shared" si="638"/>
        <v>-257.09291380933172</v>
      </c>
      <c r="BE246" s="52">
        <f t="shared" si="639"/>
        <v>-80.082467090493722</v>
      </c>
      <c r="BF246" s="52">
        <f t="shared" si="639"/>
        <v>-189.67763556096611</v>
      </c>
      <c r="BG246" s="52">
        <f t="shared" si="639"/>
        <v>87.302926382708549</v>
      </c>
      <c r="BH246" s="52">
        <f t="shared" si="639"/>
        <v>-310.44071410112844</v>
      </c>
      <c r="BI246" s="52">
        <f t="shared" si="640"/>
        <v>232.28099153544338</v>
      </c>
      <c r="BJ246" s="52">
        <f t="shared" si="640"/>
        <v>-232.33687435747547</v>
      </c>
      <c r="BK246" s="52">
        <f t="shared" si="640"/>
        <v>183.50977673538674</v>
      </c>
      <c r="BL246" s="52">
        <f t="shared" si="640"/>
        <v>-40.104501156620799</v>
      </c>
      <c r="BM246" s="52">
        <f t="shared" si="641"/>
        <v>-26.105811984553352</v>
      </c>
      <c r="BN246" s="52">
        <f t="shared" si="641"/>
        <v>90.098727525379715</v>
      </c>
      <c r="BO246" s="52">
        <f t="shared" si="641"/>
        <v>-217.72583394205014</v>
      </c>
      <c r="BP246" s="52">
        <f t="shared" si="641"/>
        <v>-55.50442049170401</v>
      </c>
      <c r="BQ246" s="52">
        <f t="shared" si="641"/>
        <v>113.94171207255319</v>
      </c>
      <c r="BR246" s="52">
        <f t="shared" si="642"/>
        <v>159.68737243979194</v>
      </c>
      <c r="BS246" s="52">
        <f t="shared" si="642"/>
        <v>-174.71317701293526</v>
      </c>
      <c r="BT246" s="52">
        <f t="shared" si="643"/>
        <v>16.405970149253733</v>
      </c>
      <c r="BU246" s="52">
        <f t="shared" si="643"/>
        <v>259.34039907632189</v>
      </c>
      <c r="BV246" s="52">
        <f t="shared" si="643"/>
        <v>84.410563673134092</v>
      </c>
      <c r="BW246" s="52">
        <f t="shared" si="643"/>
        <v>-1.8584319042498481</v>
      </c>
      <c r="BX246" s="52">
        <f t="shared" si="644"/>
        <v>338.26628791349765</v>
      </c>
      <c r="BY246" s="52">
        <f t="shared" si="644"/>
        <v>230.0136946321532</v>
      </c>
      <c r="BZ246" s="52">
        <f t="shared" si="645"/>
        <v>955.77000841539257</v>
      </c>
      <c r="CA246" s="49"/>
      <c r="CB246"/>
      <c r="CC246"/>
      <c r="CD246" s="49"/>
      <c r="CE246" s="49"/>
      <c r="CF246" s="49"/>
      <c r="CH246" s="52">
        <f t="shared" si="646"/>
        <v>1082.9797394621812</v>
      </c>
    </row>
    <row r="247" spans="2:86" ht="14" thickTop="1" thickBot="1">
      <c r="B247" s="51" t="str">
        <f t="shared" si="629"/>
        <v>Cash and cash equivalents</v>
      </c>
      <c r="C247" s="20"/>
      <c r="D247" s="52">
        <f t="shared" ref="D247:AW247" si="662">D188/D$208</f>
        <v>134.55767077267637</v>
      </c>
      <c r="E247" s="52">
        <f t="shared" si="662"/>
        <v>149.56997654417515</v>
      </c>
      <c r="F247" s="52">
        <f t="shared" si="662"/>
        <v>24.103695532266961</v>
      </c>
      <c r="G247" s="52">
        <f t="shared" si="662"/>
        <v>658.46921797004995</v>
      </c>
      <c r="H247" s="52">
        <f t="shared" si="662"/>
        <v>-22.623422271928423</v>
      </c>
      <c r="I247" s="52">
        <f t="shared" si="662"/>
        <v>266.12331144819262</v>
      </c>
      <c r="J247" s="52">
        <f t="shared" si="662"/>
        <v>-152.39784117193548</v>
      </c>
      <c r="K247" s="52">
        <f t="shared" si="662"/>
        <v>436.71371586376165</v>
      </c>
      <c r="L247" s="52">
        <f t="shared" ref="L247:Q247" si="663">L188/L$208</f>
        <v>436.75974225222456</v>
      </c>
      <c r="M247" s="52">
        <f t="shared" si="663"/>
        <v>539.63337035494476</v>
      </c>
      <c r="N247" s="52">
        <f t="shared" si="663"/>
        <v>1733.0217923783098</v>
      </c>
      <c r="O247" s="52">
        <f t="shared" si="663"/>
        <v>1238.0048219761904</v>
      </c>
      <c r="P247" s="52">
        <f t="shared" si="663"/>
        <v>994.9838622915546</v>
      </c>
      <c r="Q247" s="52">
        <f t="shared" si="663"/>
        <v>1099.0984405458089</v>
      </c>
      <c r="R247" s="52">
        <f>R188/R$208</f>
        <v>1086.0347930413918</v>
      </c>
      <c r="S247" s="52">
        <f>S188/S$208</f>
        <v>1246.7056758338208</v>
      </c>
      <c r="T247" s="52">
        <f>T188/T$208</f>
        <v>2608.407765951757</v>
      </c>
      <c r="U247" s="52">
        <f>U188/U$208</f>
        <v>2608.4077659517575</v>
      </c>
      <c r="V247" s="49"/>
      <c r="W247" s="52">
        <f t="shared" si="662"/>
        <v>136.97389451251996</v>
      </c>
      <c r="X247" s="52">
        <f t="shared" si="662"/>
        <v>-0.98671726755218214</v>
      </c>
      <c r="Y247" s="52">
        <f t="shared" si="662"/>
        <v>159.62029937933553</v>
      </c>
      <c r="Z247" s="52">
        <f t="shared" si="662"/>
        <v>24.103695532266961</v>
      </c>
      <c r="AA247" s="52">
        <f t="shared" si="662"/>
        <v>346.23115577889445</v>
      </c>
      <c r="AB247" s="52">
        <f t="shared" si="662"/>
        <v>160.30582988212805</v>
      </c>
      <c r="AC247" s="52">
        <f t="shared" si="662"/>
        <v>223.61873990306947</v>
      </c>
      <c r="AD247" s="52">
        <f t="shared" si="662"/>
        <v>658.46921797004995</v>
      </c>
      <c r="AE247" s="52">
        <f t="shared" si="662"/>
        <v>109.90181394574803</v>
      </c>
      <c r="AF247" s="52">
        <f t="shared" si="662"/>
        <v>16.571985067359194</v>
      </c>
      <c r="AG247" s="52">
        <f t="shared" si="662"/>
        <v>146.59718932575399</v>
      </c>
      <c r="AH247" s="52">
        <f t="shared" si="662"/>
        <v>-22.623422271928423</v>
      </c>
      <c r="AI247" s="52">
        <f t="shared" si="662"/>
        <v>93.803921568627445</v>
      </c>
      <c r="AJ247" s="52">
        <f t="shared" si="662"/>
        <v>-187.34408275022818</v>
      </c>
      <c r="AK247" s="52">
        <f t="shared" si="662"/>
        <v>-207.68882175226585</v>
      </c>
      <c r="AL247" s="52">
        <f t="shared" si="662"/>
        <v>266.10322970117716</v>
      </c>
      <c r="AM247" s="52">
        <f t="shared" si="662"/>
        <v>11.28387383385162</v>
      </c>
      <c r="AN247" s="52">
        <f t="shared" si="662"/>
        <v>-68.522966076253368</v>
      </c>
      <c r="AO247" s="52">
        <f t="shared" si="662"/>
        <v>-159.64963933460913</v>
      </c>
      <c r="AP247" s="52">
        <f t="shared" si="662"/>
        <v>-152.39784117193526</v>
      </c>
      <c r="AQ247" s="52">
        <f t="shared" si="662"/>
        <v>26.138123257974605</v>
      </c>
      <c r="AR247" s="52">
        <f t="shared" si="662"/>
        <v>-106.84637769949455</v>
      </c>
      <c r="AS247" s="52">
        <f t="shared" si="662"/>
        <v>-204.36756418284281</v>
      </c>
      <c r="AT247" s="52">
        <f t="shared" si="662"/>
        <v>436.75974225222456</v>
      </c>
      <c r="AU247" s="52">
        <f t="shared" si="662"/>
        <v>357.89396816123849</v>
      </c>
      <c r="AV247" s="52">
        <f t="shared" si="662"/>
        <v>193.32321699544767</v>
      </c>
      <c r="AW247" s="52">
        <f t="shared" si="662"/>
        <v>175.4622330514548</v>
      </c>
      <c r="AX247" s="52">
        <f t="shared" ref="AX247:BC247" si="664">AX188/AX$208</f>
        <v>539.54598033545403</v>
      </c>
      <c r="AY247" s="52">
        <f t="shared" si="664"/>
        <v>477.6876267748479</v>
      </c>
      <c r="AZ247" s="52">
        <f t="shared" si="664"/>
        <v>1173.9724118712554</v>
      </c>
      <c r="BA247" s="52">
        <f t="shared" si="664"/>
        <v>1148.7262849684269</v>
      </c>
      <c r="BB247" s="52">
        <f t="shared" si="664"/>
        <v>1733.0217923783098</v>
      </c>
      <c r="BC247" s="52">
        <f t="shared" si="664"/>
        <v>1714.954700584171</v>
      </c>
      <c r="BD247" s="52">
        <f t="shared" ref="BD247:BI247" si="665">BD188/BD$208</f>
        <v>1496.3186499592618</v>
      </c>
      <c r="BE247" s="52">
        <f t="shared" si="665"/>
        <v>1431.2696890836871</v>
      </c>
      <c r="BF247" s="52">
        <f t="shared" si="665"/>
        <v>1238.0048219761904</v>
      </c>
      <c r="BG247" s="52">
        <f t="shared" si="665"/>
        <v>1305.2294155295838</v>
      </c>
      <c r="BH247" s="52">
        <f t="shared" si="665"/>
        <v>997.0817906972984</v>
      </c>
      <c r="BI247" s="52">
        <f t="shared" si="665"/>
        <v>1225.7241462661314</v>
      </c>
      <c r="BJ247" s="52">
        <f t="shared" ref="BJ247:BO247" si="666">BJ188/BJ$208</f>
        <v>994.9838622915546</v>
      </c>
      <c r="BK247" s="52">
        <f t="shared" si="666"/>
        <v>1116.9412062848453</v>
      </c>
      <c r="BL247" s="52">
        <f t="shared" si="666"/>
        <v>1042.6216226169579</v>
      </c>
      <c r="BM247" s="52">
        <f t="shared" si="666"/>
        <v>1000.8825271709565</v>
      </c>
      <c r="BN247" s="52">
        <f t="shared" si="666"/>
        <v>1099.0984405458089</v>
      </c>
      <c r="BO247" s="52">
        <f t="shared" si="666"/>
        <v>880.99878197320345</v>
      </c>
      <c r="BP247" s="52">
        <f t="shared" ref="BP247:BU247" si="667">BP188/BP$208</f>
        <v>815.83574181117524</v>
      </c>
      <c r="BQ247" s="52">
        <f t="shared" si="667"/>
        <v>927.70129027607584</v>
      </c>
      <c r="BR247" s="52">
        <f t="shared" si="667"/>
        <v>1086.0347930413918</v>
      </c>
      <c r="BS247" s="52">
        <f t="shared" si="667"/>
        <v>911.1600542732192</v>
      </c>
      <c r="BT247" s="52">
        <f t="shared" si="667"/>
        <v>923.21349559959629</v>
      </c>
      <c r="BU247" s="52">
        <f t="shared" si="667"/>
        <v>1159.7791608100636</v>
      </c>
      <c r="BV247" s="52">
        <f>BV188/BV$208</f>
        <v>1246.7056758338215</v>
      </c>
      <c r="BW247" s="52">
        <f>BW188/BW$208</f>
        <v>1241.2135355892656</v>
      </c>
      <c r="BX247" s="52">
        <f>BX188/BX$208</f>
        <v>1529.7441496606305</v>
      </c>
      <c r="BY247" s="52">
        <f>BY188/BY$208</f>
        <v>1740.2165325855956</v>
      </c>
      <c r="BZ247" s="52">
        <f>BZ188/BZ$208</f>
        <v>2608.4077659517575</v>
      </c>
      <c r="CA247" s="49"/>
      <c r="CB247"/>
      <c r="CC247"/>
      <c r="CD247" s="49"/>
      <c r="CE247" s="49"/>
      <c r="CF247" s="49"/>
      <c r="CH247" s="52">
        <f>CH188/CH$208</f>
        <v>1733.0217923783098</v>
      </c>
    </row>
    <row r="248" spans="2:86" ht="13.5" thickTop="1"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/>
      <c r="CC248"/>
      <c r="CD248"/>
      <c r="CE248"/>
      <c r="CF248"/>
      <c r="CH248" s="54"/>
    </row>
    <row r="249" spans="2:86">
      <c r="B249" s="17" t="s">
        <v>254</v>
      </c>
      <c r="D249" s="54">
        <f t="shared" ref="D249:AW249" si="668">D190/D$208</f>
        <v>13812.026875699888</v>
      </c>
      <c r="E249" s="54">
        <f t="shared" si="668"/>
        <v>13491.634089132136</v>
      </c>
      <c r="F249" s="54">
        <f t="shared" si="668"/>
        <v>12269.957712814856</v>
      </c>
      <c r="G249" s="54">
        <f t="shared" si="668"/>
        <v>12645.324459234609</v>
      </c>
      <c r="H249" s="54">
        <f t="shared" si="668"/>
        <v>12890.8611599297</v>
      </c>
      <c r="I249" s="54">
        <f t="shared" si="668"/>
        <v>15161.51233869142</v>
      </c>
      <c r="J249" s="54">
        <f t="shared" si="668"/>
        <v>16565.628373168853</v>
      </c>
      <c r="K249" s="54">
        <f t="shared" si="668"/>
        <v>17515.741024854247</v>
      </c>
      <c r="L249" s="54">
        <f t="shared" ref="L249:N250" si="669">L190/L$208</f>
        <v>17208.556908753038</v>
      </c>
      <c r="M249" s="54">
        <f t="shared" si="669"/>
        <v>18179.955134427863</v>
      </c>
      <c r="N249" s="54">
        <f t="shared" si="669"/>
        <v>19637.705044037306</v>
      </c>
      <c r="O249" s="54">
        <f t="shared" ref="O249:Q250" si="670">O190/O$208</f>
        <v>22208.273855463653</v>
      </c>
      <c r="P249" s="54">
        <f t="shared" si="670"/>
        <v>22798.292092522861</v>
      </c>
      <c r="Q249" s="54">
        <f t="shared" si="670"/>
        <v>27530.421539961015</v>
      </c>
      <c r="R249" s="54">
        <f t="shared" ref="R249:U250" si="671">R190/R$208</f>
        <v>25790.149970006001</v>
      </c>
      <c r="S249" s="54">
        <f t="shared" si="671"/>
        <v>25013.820947922763</v>
      </c>
      <c r="T249" s="54">
        <f>T190/T$208</f>
        <v>20913.579718671444</v>
      </c>
      <c r="U249" s="54">
        <f t="shared" si="671"/>
        <v>20913.579718671444</v>
      </c>
      <c r="V249" s="54"/>
      <c r="W249" s="54">
        <f t="shared" si="668"/>
        <v>12533.759545373823</v>
      </c>
      <c r="X249" s="54">
        <f t="shared" si="668"/>
        <v>12206.489563567362</v>
      </c>
      <c r="Y249" s="54">
        <f t="shared" si="668"/>
        <v>12377.710843373494</v>
      </c>
      <c r="Z249" s="54">
        <f t="shared" si="668"/>
        <v>12269.957712814856</v>
      </c>
      <c r="AA249" s="54">
        <f t="shared" si="668"/>
        <v>12473.015075376883</v>
      </c>
      <c r="AB249" s="54">
        <f t="shared" si="668"/>
        <v>11857.868748008919</v>
      </c>
      <c r="AC249" s="54">
        <f t="shared" si="668"/>
        <v>11843.941841680129</v>
      </c>
      <c r="AD249" s="54">
        <f t="shared" si="668"/>
        <v>12645.324459234609</v>
      </c>
      <c r="AE249" s="54">
        <f t="shared" si="668"/>
        <v>11927.95806290564</v>
      </c>
      <c r="AF249" s="54">
        <f t="shared" si="668"/>
        <v>12160.915435805875</v>
      </c>
      <c r="AG249" s="54">
        <f t="shared" si="668"/>
        <v>12620.748460445287</v>
      </c>
      <c r="AH249" s="54">
        <f t="shared" si="668"/>
        <v>12890.8611599297</v>
      </c>
      <c r="AI249" s="54">
        <f t="shared" si="668"/>
        <v>14894.511020517646</v>
      </c>
      <c r="AJ249" s="54">
        <f t="shared" si="668"/>
        <v>13887.310699406755</v>
      </c>
      <c r="AK249" s="54">
        <f t="shared" si="668"/>
        <v>14279.817945256797</v>
      </c>
      <c r="AL249" s="54">
        <f t="shared" si="668"/>
        <v>15160.368246302443</v>
      </c>
      <c r="AM249" s="54">
        <f t="shared" si="668"/>
        <v>15067.510735969199</v>
      </c>
      <c r="AN249" s="54">
        <f t="shared" si="668"/>
        <v>14832.428936823177</v>
      </c>
      <c r="AO249" s="54">
        <f t="shared" si="668"/>
        <v>16791.505962019724</v>
      </c>
      <c r="AP249" s="54">
        <f t="shared" si="668"/>
        <v>16565.628373168853</v>
      </c>
      <c r="AQ249" s="54">
        <f t="shared" si="668"/>
        <v>15920.083617218954</v>
      </c>
      <c r="AR249" s="54">
        <f t="shared" si="668"/>
        <v>16131.729177900181</v>
      </c>
      <c r="AS249" s="54">
        <f t="shared" si="668"/>
        <v>16631.271221079758</v>
      </c>
      <c r="AT249" s="54">
        <f t="shared" si="668"/>
        <v>17515.741024854247</v>
      </c>
      <c r="AU249" s="54">
        <f t="shared" si="668"/>
        <v>17568.847670512634</v>
      </c>
      <c r="AV249" s="54">
        <f t="shared" si="668"/>
        <v>17719.187884107974</v>
      </c>
      <c r="AW249" s="54">
        <f t="shared" si="668"/>
        <v>17425.496129877771</v>
      </c>
      <c r="AX249" s="54">
        <f t="shared" ref="AX249:AZ250" si="672">AX190/AX$208</f>
        <v>18177.011012138883</v>
      </c>
      <c r="AY249" s="54">
        <f t="shared" si="672"/>
        <v>18802.945396830051</v>
      </c>
      <c r="AZ249" s="54">
        <f t="shared" si="672"/>
        <v>19030.111016629286</v>
      </c>
      <c r="BA249" s="54">
        <f t="shared" ref="BA249:BD250" si="673">BA190/BA$208</f>
        <v>20624.463868584808</v>
      </c>
      <c r="BB249" s="54">
        <f t="shared" si="673"/>
        <v>19637.705044037306</v>
      </c>
      <c r="BC249" s="54">
        <f t="shared" si="673"/>
        <v>19240.677502806895</v>
      </c>
      <c r="BD249" s="54">
        <f t="shared" si="673"/>
        <v>21605.894070796341</v>
      </c>
      <c r="BE249" s="54">
        <f t="shared" ref="BE249:BH250" si="674">BE190/BE$208</f>
        <v>21628.352280509516</v>
      </c>
      <c r="BF249" s="54">
        <f t="shared" si="674"/>
        <v>22208.273855463653</v>
      </c>
      <c r="BG249" s="54">
        <f t="shared" si="674"/>
        <v>22675.429868390624</v>
      </c>
      <c r="BH249" s="54">
        <f t="shared" si="674"/>
        <v>24278.28884613519</v>
      </c>
      <c r="BI249" s="54">
        <f t="shared" ref="BI249:BL250" si="675">BI190/BI$208</f>
        <v>22598.887981529027</v>
      </c>
      <c r="BJ249" s="54">
        <f t="shared" si="675"/>
        <v>22798.292092522861</v>
      </c>
      <c r="BK249" s="54">
        <f t="shared" si="675"/>
        <v>22544.31286910579</v>
      </c>
      <c r="BL249" s="54">
        <f t="shared" si="675"/>
        <v>26749.18111169399</v>
      </c>
      <c r="BM249" s="54">
        <f t="shared" ref="BM249:BQ250" si="676">BM190/BM$208</f>
        <v>26845.101028930912</v>
      </c>
      <c r="BN249" s="54">
        <f t="shared" si="676"/>
        <v>27530.421539961015</v>
      </c>
      <c r="BO249" s="54">
        <f t="shared" si="676"/>
        <v>27397.308160779539</v>
      </c>
      <c r="BP249" s="54">
        <f t="shared" si="676"/>
        <v>26175.069686339055</v>
      </c>
      <c r="BQ249" s="54">
        <f t="shared" si="676"/>
        <v>26250.558639083112</v>
      </c>
      <c r="BR249" s="54">
        <f t="shared" ref="BR249:BU250" si="677">BR190/BR$208</f>
        <v>25790.149970006001</v>
      </c>
      <c r="BS249" s="54">
        <f t="shared" si="677"/>
        <v>25069.939834431047</v>
      </c>
      <c r="BT249" s="54">
        <f t="shared" si="677"/>
        <v>26942.282922404636</v>
      </c>
      <c r="BU249" s="54">
        <f t="shared" si="677"/>
        <v>23930.429903920329</v>
      </c>
      <c r="BV249" s="54">
        <f t="shared" ref="BV249:BY250" si="678">BV190/BV$208</f>
        <v>25013.820947922763</v>
      </c>
      <c r="BW249" s="54">
        <f t="shared" si="678"/>
        <v>23741.493582263709</v>
      </c>
      <c r="BX249" s="54">
        <f t="shared" si="678"/>
        <v>23425.580531511354</v>
      </c>
      <c r="BY249" s="54">
        <f t="shared" si="678"/>
        <v>22032.045932503257</v>
      </c>
      <c r="BZ249" s="54">
        <f>BZ190/BZ$208</f>
        <v>20913.579718671444</v>
      </c>
      <c r="CA249" s="54"/>
      <c r="CB249"/>
      <c r="CC249"/>
      <c r="CD249" s="54"/>
      <c r="CE249" s="54"/>
      <c r="CF249" s="54"/>
      <c r="CH249" s="54">
        <f>CH190/CH$208</f>
        <v>19971.326570017325</v>
      </c>
    </row>
    <row r="250" spans="2:86">
      <c r="B250" s="17" t="s">
        <v>255</v>
      </c>
      <c r="D250" s="54">
        <f t="shared" ref="D250:K250" si="679">D191/D$208</f>
        <v>13426.920492721165</v>
      </c>
      <c r="E250" s="54">
        <f t="shared" si="679"/>
        <v>12712.939796716186</v>
      </c>
      <c r="F250" s="54">
        <f t="shared" si="679"/>
        <v>10729.306857878286</v>
      </c>
      <c r="G250" s="54">
        <f t="shared" si="679"/>
        <v>10073.477537437604</v>
      </c>
      <c r="H250" s="54">
        <f t="shared" si="679"/>
        <v>10679.293816903659</v>
      </c>
      <c r="I250" s="54">
        <f t="shared" si="679"/>
        <v>13477.911101048978</v>
      </c>
      <c r="J250" s="54">
        <f t="shared" si="679"/>
        <v>14966.044718581343</v>
      </c>
      <c r="K250" s="54">
        <f t="shared" si="679"/>
        <v>15665.587603559372</v>
      </c>
      <c r="L250" s="54">
        <f t="shared" si="669"/>
        <v>15358.396866464713</v>
      </c>
      <c r="M250" s="54">
        <f t="shared" si="669"/>
        <v>16340.113379940885</v>
      </c>
      <c r="N250" s="54">
        <f t="shared" si="669"/>
        <v>15779.597788098003</v>
      </c>
      <c r="O250" s="54">
        <f t="shared" si="670"/>
        <v>20286.135793952722</v>
      </c>
      <c r="P250" s="54">
        <f t="shared" si="670"/>
        <v>21558.270575578266</v>
      </c>
      <c r="Q250" s="54">
        <f t="shared" si="670"/>
        <v>25965.679824561405</v>
      </c>
      <c r="R250" s="54">
        <f t="shared" si="671"/>
        <v>24552.633473305341</v>
      </c>
      <c r="S250" s="54">
        <f t="shared" si="671"/>
        <v>23854.698654183732</v>
      </c>
      <c r="T250" s="54">
        <f>T191/T$208</f>
        <v>17627.298497085096</v>
      </c>
      <c r="U250" s="54">
        <f t="shared" si="671"/>
        <v>17627.298497085096</v>
      </c>
      <c r="V250" s="54"/>
      <c r="W250" s="54">
        <f t="shared" ref="W250:AW250" si="680">W191/W$208</f>
        <v>11621.807849405079</v>
      </c>
      <c r="X250" s="54">
        <f t="shared" si="680"/>
        <v>11584.93358633776</v>
      </c>
      <c r="Y250" s="54">
        <f t="shared" si="680"/>
        <v>10659.675063891931</v>
      </c>
      <c r="Z250" s="54">
        <f t="shared" si="680"/>
        <v>10729.306857878286</v>
      </c>
      <c r="AA250" s="54">
        <f t="shared" si="680"/>
        <v>9835.9296482412065</v>
      </c>
      <c r="AB250" s="54">
        <f t="shared" si="680"/>
        <v>9772.2204523733672</v>
      </c>
      <c r="AC250" s="54">
        <f t="shared" si="680"/>
        <v>9312.2778675282716</v>
      </c>
      <c r="AD250" s="54">
        <f t="shared" si="680"/>
        <v>10073.477537437604</v>
      </c>
      <c r="AE250" s="54">
        <f t="shared" si="680"/>
        <v>9609.6355466799796</v>
      </c>
      <c r="AF250" s="54">
        <f t="shared" si="680"/>
        <v>10098.328193475085</v>
      </c>
      <c r="AG250" s="54">
        <f t="shared" si="680"/>
        <v>10554.050213169114</v>
      </c>
      <c r="AH250" s="54">
        <f t="shared" si="680"/>
        <v>10679.293816903659</v>
      </c>
      <c r="AI250" s="54">
        <f t="shared" si="680"/>
        <v>11292.095334243137</v>
      </c>
      <c r="AJ250" s="54">
        <f t="shared" si="680"/>
        <v>11522.525180696684</v>
      </c>
      <c r="AK250" s="54">
        <f t="shared" si="680"/>
        <v>12710.497703564955</v>
      </c>
      <c r="AL250" s="54">
        <f t="shared" si="680"/>
        <v>13476.894053727738</v>
      </c>
      <c r="AM250" s="54">
        <f t="shared" si="680"/>
        <v>13171.035095513105</v>
      </c>
      <c r="AN250" s="54">
        <f t="shared" si="680"/>
        <v>13113.67457220054</v>
      </c>
      <c r="AO250" s="54">
        <f t="shared" si="680"/>
        <v>15218.695716178418</v>
      </c>
      <c r="AP250" s="54">
        <f t="shared" si="680"/>
        <v>14966.044718581343</v>
      </c>
      <c r="AQ250" s="54">
        <f t="shared" si="680"/>
        <v>14459.445648807681</v>
      </c>
      <c r="AR250" s="54">
        <f t="shared" si="680"/>
        <v>14830.866241512096</v>
      </c>
      <c r="AS250" s="54">
        <f t="shared" si="680"/>
        <v>15114.724571111066</v>
      </c>
      <c r="AT250" s="54">
        <f t="shared" si="680"/>
        <v>15665.587603559372</v>
      </c>
      <c r="AU250" s="54">
        <f t="shared" si="680"/>
        <v>15760.858770264349</v>
      </c>
      <c r="AV250" s="54">
        <f t="shared" si="680"/>
        <v>16338.073247606389</v>
      </c>
      <c r="AW250" s="54">
        <f t="shared" si="680"/>
        <v>15951.954493071118</v>
      </c>
      <c r="AX250" s="54">
        <f t="shared" si="672"/>
        <v>16337.467207733605</v>
      </c>
      <c r="AY250" s="54">
        <f t="shared" si="672"/>
        <v>16900.290060282459</v>
      </c>
      <c r="AZ250" s="54">
        <f t="shared" si="672"/>
        <v>16456.249056664692</v>
      </c>
      <c r="BA250" s="54">
        <f t="shared" si="673"/>
        <v>16216.086316887091</v>
      </c>
      <c r="BB250" s="54">
        <f t="shared" si="673"/>
        <v>15779.597788098003</v>
      </c>
      <c r="BC250" s="54">
        <f t="shared" si="673"/>
        <v>15434.043300390484</v>
      </c>
      <c r="BD250" s="54">
        <f t="shared" si="673"/>
        <v>18686.926194998356</v>
      </c>
      <c r="BE250" s="54">
        <f t="shared" si="674"/>
        <v>20194.247363374878</v>
      </c>
      <c r="BF250" s="54">
        <f t="shared" si="674"/>
        <v>20286.135793952722</v>
      </c>
      <c r="BG250" s="54">
        <f t="shared" si="674"/>
        <v>21462.776113462667</v>
      </c>
      <c r="BH250" s="54">
        <f t="shared" si="674"/>
        <v>22397.094724588944</v>
      </c>
      <c r="BI250" s="54">
        <f t="shared" si="675"/>
        <v>21370.812438644851</v>
      </c>
      <c r="BJ250" s="54">
        <f t="shared" si="675"/>
        <v>21558.270575578266</v>
      </c>
      <c r="BK250" s="54">
        <f t="shared" si="675"/>
        <v>21201.153098761657</v>
      </c>
      <c r="BL250" s="54">
        <f t="shared" si="675"/>
        <v>25735.241049353644</v>
      </c>
      <c r="BM250" s="54">
        <f t="shared" si="676"/>
        <v>25355.25992431699</v>
      </c>
      <c r="BN250" s="54">
        <f t="shared" si="676"/>
        <v>25965.679824561405</v>
      </c>
      <c r="BO250" s="54">
        <f t="shared" si="676"/>
        <v>25301.948842874546</v>
      </c>
      <c r="BP250" s="54">
        <f t="shared" si="676"/>
        <v>24929.643794397882</v>
      </c>
      <c r="BQ250" s="54">
        <f t="shared" si="676"/>
        <v>24276.195968187607</v>
      </c>
      <c r="BR250" s="54">
        <f t="shared" si="677"/>
        <v>24552.633473305341</v>
      </c>
      <c r="BS250" s="54">
        <f t="shared" si="677"/>
        <v>24303.305140663426</v>
      </c>
      <c r="BT250" s="54">
        <f t="shared" si="677"/>
        <v>26295.564443913801</v>
      </c>
      <c r="BU250" s="54">
        <f t="shared" si="677"/>
        <v>22980.655492437523</v>
      </c>
      <c r="BV250" s="54">
        <f t="shared" si="678"/>
        <v>23854.698654183732</v>
      </c>
      <c r="BW250" s="54">
        <f t="shared" si="678"/>
        <v>22354.655775962659</v>
      </c>
      <c r="BX250" s="54">
        <f t="shared" si="678"/>
        <v>21917.031550747968</v>
      </c>
      <c r="BY250" s="54">
        <f t="shared" si="678"/>
        <v>20320.303546193991</v>
      </c>
      <c r="BZ250" s="54">
        <f>BZ191/BZ$208</f>
        <v>17627.298497085096</v>
      </c>
      <c r="CA250" s="54"/>
      <c r="CB250"/>
      <c r="CC250"/>
      <c r="CD250" s="54"/>
      <c r="CE250" s="54"/>
      <c r="CF250" s="54"/>
      <c r="CH250" s="54">
        <f>CH191/CH$208</f>
        <v>16113.219314078022</v>
      </c>
    </row>
    <row r="252" spans="2:86">
      <c r="B252" s="17" t="s">
        <v>256</v>
      </c>
      <c r="D252" s="54">
        <f>D119/D$208</f>
        <v>0</v>
      </c>
      <c r="E252" s="54">
        <f t="shared" ref="E252:BQ252" si="681">E119/E$208</f>
        <v>0</v>
      </c>
      <c r="F252" s="54">
        <f t="shared" si="681"/>
        <v>0</v>
      </c>
      <c r="G252" s="54">
        <f t="shared" si="681"/>
        <v>0</v>
      </c>
      <c r="H252" s="54">
        <f t="shared" si="681"/>
        <v>0</v>
      </c>
      <c r="I252" s="54">
        <f t="shared" si="681"/>
        <v>1537.2122858652178</v>
      </c>
      <c r="J252" s="54">
        <f t="shared" si="681"/>
        <v>1057.5944487278337</v>
      </c>
      <c r="K252" s="54">
        <f t="shared" si="681"/>
        <v>1085.5477140227063</v>
      </c>
      <c r="L252" s="54">
        <f t="shared" si="681"/>
        <v>1084.7008134548018</v>
      </c>
      <c r="M252" s="54">
        <f t="shared" si="681"/>
        <v>732.4496235689702</v>
      </c>
      <c r="N252" s="54">
        <f t="shared" si="681"/>
        <v>4104.5493214866074</v>
      </c>
      <c r="O252" s="54">
        <f t="shared" si="681"/>
        <v>4549.4320859486515</v>
      </c>
      <c r="P252" s="54">
        <f t="shared" si="681"/>
        <v>4985.5970952124799</v>
      </c>
      <c r="Q252" s="54">
        <f t="shared" si="681"/>
        <v>7405.5799220272902</v>
      </c>
      <c r="R252" s="54">
        <f t="shared" si="681"/>
        <v>7676.7006598680273</v>
      </c>
      <c r="S252" s="54">
        <f t="shared" si="681"/>
        <v>7681.6032767700408</v>
      </c>
      <c r="T252" s="54">
        <f>T119/T$208</f>
        <v>7921.0354602342622</v>
      </c>
      <c r="U252" s="54">
        <f t="shared" si="681"/>
        <v>7921.0354602342622</v>
      </c>
      <c r="V252" s="54"/>
      <c r="W252" s="54">
        <f t="shared" si="681"/>
        <v>0</v>
      </c>
      <c r="X252" s="54">
        <f t="shared" si="681"/>
        <v>0</v>
      </c>
      <c r="Y252" s="54">
        <f t="shared" si="681"/>
        <v>0</v>
      </c>
      <c r="Z252" s="54">
        <f t="shared" si="681"/>
        <v>0</v>
      </c>
      <c r="AA252" s="54">
        <f t="shared" si="681"/>
        <v>0</v>
      </c>
      <c r="AB252" s="54">
        <f t="shared" si="681"/>
        <v>0</v>
      </c>
      <c r="AC252" s="54">
        <f t="shared" si="681"/>
        <v>0</v>
      </c>
      <c r="AD252" s="54">
        <f t="shared" si="681"/>
        <v>0</v>
      </c>
      <c r="AE252" s="54">
        <f t="shared" si="681"/>
        <v>0</v>
      </c>
      <c r="AF252" s="54">
        <f t="shared" si="681"/>
        <v>0</v>
      </c>
      <c r="AG252" s="54">
        <f t="shared" si="681"/>
        <v>0</v>
      </c>
      <c r="AH252" s="54">
        <f t="shared" si="681"/>
        <v>0</v>
      </c>
      <c r="AI252" s="54">
        <f t="shared" si="681"/>
        <v>665.27180483137249</v>
      </c>
      <c r="AJ252" s="54">
        <f t="shared" si="681"/>
        <v>815.25411285366602</v>
      </c>
      <c r="AK252" s="54">
        <f t="shared" si="681"/>
        <v>859.81794525679754</v>
      </c>
      <c r="AL252" s="54">
        <f t="shared" si="681"/>
        <v>1537.0962873528522</v>
      </c>
      <c r="AM252" s="54">
        <f t="shared" si="681"/>
        <v>1458.6406041759217</v>
      </c>
      <c r="AN252" s="54">
        <f t="shared" si="681"/>
        <v>1543.1852296607624</v>
      </c>
      <c r="AO252" s="54">
        <f t="shared" si="681"/>
        <v>1528.499926394818</v>
      </c>
      <c r="AP252" s="54">
        <f t="shared" si="681"/>
        <v>1057.5944487278337</v>
      </c>
      <c r="AQ252" s="54">
        <f t="shared" si="681"/>
        <v>1044.0538866522143</v>
      </c>
      <c r="AR252" s="54">
        <f t="shared" si="681"/>
        <v>1003.8942703067084</v>
      </c>
      <c r="AS252" s="54">
        <f t="shared" si="681"/>
        <v>945.95500317118046</v>
      </c>
      <c r="AT252" s="54">
        <f t="shared" si="681"/>
        <v>1085.5477140227063</v>
      </c>
      <c r="AU252" s="54">
        <f t="shared" si="681"/>
        <v>1052.1834380020448</v>
      </c>
      <c r="AV252" s="54">
        <f t="shared" si="681"/>
        <v>1024.0023412744792</v>
      </c>
      <c r="AW252" s="54">
        <f t="shared" si="681"/>
        <v>1020.7663033047442</v>
      </c>
      <c r="AX252" s="54">
        <f t="shared" si="681"/>
        <v>732.33100824531527</v>
      </c>
      <c r="AY252" s="54">
        <f t="shared" si="681"/>
        <v>4130.1429894756311</v>
      </c>
      <c r="AZ252" s="54">
        <f t="shared" si="681"/>
        <v>4220.4561850230311</v>
      </c>
      <c r="BA252" s="54">
        <f t="shared" si="681"/>
        <v>4298.504270395244</v>
      </c>
      <c r="BB252" s="54">
        <f t="shared" si="681"/>
        <v>4104.5493214866074</v>
      </c>
      <c r="BC252" s="54">
        <f t="shared" si="681"/>
        <v>4095.2571737587191</v>
      </c>
      <c r="BD252" s="54">
        <f t="shared" si="681"/>
        <v>4168.4188835429895</v>
      </c>
      <c r="BE252" s="54">
        <f t="shared" si="681"/>
        <v>4487.3852896863436</v>
      </c>
      <c r="BF252" s="54">
        <f t="shared" si="681"/>
        <v>4549.4320859486515</v>
      </c>
      <c r="BG252" s="54">
        <f t="shared" si="681"/>
        <v>4493.6373561951068</v>
      </c>
      <c r="BH252" s="54">
        <f t="shared" si="681"/>
        <v>4743.4508700736687</v>
      </c>
      <c r="BI252" s="54">
        <f t="shared" si="681"/>
        <v>4773.1383011074176</v>
      </c>
      <c r="BJ252" s="54">
        <f t="shared" si="681"/>
        <v>4985.5970952124799</v>
      </c>
      <c r="BK252" s="54">
        <f t="shared" si="681"/>
        <v>6097.3196414481745</v>
      </c>
      <c r="BL252" s="54">
        <f t="shared" si="681"/>
        <v>6466.130677519267</v>
      </c>
      <c r="BM252" s="54">
        <f t="shared" si="681"/>
        <v>6674.7226707898981</v>
      </c>
      <c r="BN252" s="54">
        <f t="shared" si="681"/>
        <v>7405.5799220272902</v>
      </c>
      <c r="BO252" s="54">
        <f t="shared" si="681"/>
        <v>7213.191230207065</v>
      </c>
      <c r="BP252" s="54">
        <f t="shared" si="681"/>
        <v>7209.2921566329496</v>
      </c>
      <c r="BQ252" s="54">
        <f t="shared" si="681"/>
        <v>7211.1055046973743</v>
      </c>
      <c r="BR252" s="54">
        <f t="shared" ref="BR252:BW252" si="682">BR119/BR$208</f>
        <v>7676.7006598680273</v>
      </c>
      <c r="BS252" s="54">
        <f t="shared" si="682"/>
        <v>8129.554315877871</v>
      </c>
      <c r="BT252" s="54">
        <f t="shared" si="682"/>
        <v>9493.1407080174322</v>
      </c>
      <c r="BU252" s="54">
        <f t="shared" si="682"/>
        <v>7392.1499871426231</v>
      </c>
      <c r="BV252" s="54">
        <f t="shared" si="682"/>
        <v>7681.6032767700408</v>
      </c>
      <c r="BW252" s="54">
        <f t="shared" si="682"/>
        <v>7747.9113185530923</v>
      </c>
      <c r="BX252" s="54">
        <f>BX119/BX$208</f>
        <v>7695.9174255129956</v>
      </c>
      <c r="BY252" s="54">
        <f>BY119/BY$208</f>
        <v>7837.7785937621702</v>
      </c>
      <c r="BZ252" s="54">
        <f>BZ119/BZ$208</f>
        <v>7921.0354602342622</v>
      </c>
      <c r="CA252" s="54"/>
      <c r="CB252"/>
      <c r="CC252"/>
      <c r="CD252" s="54"/>
      <c r="CE252" s="54"/>
      <c r="CF252" s="54"/>
      <c r="CH252" s="54"/>
    </row>
    <row r="253" spans="2:86">
      <c r="B253" s="17" t="s">
        <v>257</v>
      </c>
      <c r="D253" s="54">
        <f>D252-D255</f>
        <v>-385.10638297872339</v>
      </c>
      <c r="E253" s="54">
        <f t="shared" ref="E253:W253" si="683">E252-E255</f>
        <v>-778.69429241595003</v>
      </c>
      <c r="F253" s="54">
        <f t="shared" si="683"/>
        <v>-1540.6508549365692</v>
      </c>
      <c r="G253" s="54">
        <f t="shared" si="683"/>
        <v>-2571.8469217970051</v>
      </c>
      <c r="H253" s="54">
        <f t="shared" si="683"/>
        <v>-2211.5673430260422</v>
      </c>
      <c r="I253" s="54">
        <f t="shared" si="683"/>
        <v>-146.38895177722429</v>
      </c>
      <c r="J253" s="54">
        <f t="shared" si="683"/>
        <v>-541.98920585967608</v>
      </c>
      <c r="K253" s="54">
        <f t="shared" si="683"/>
        <v>-764.60570727216918</v>
      </c>
      <c r="L253" s="54">
        <f t="shared" si="683"/>
        <v>-765.45922883352227</v>
      </c>
      <c r="M253" s="54">
        <f t="shared" si="683"/>
        <v>-1107.3921309180059</v>
      </c>
      <c r="N253" s="54">
        <f t="shared" si="683"/>
        <v>246.44206554730499</v>
      </c>
      <c r="O253" s="54">
        <f t="shared" si="683"/>
        <v>2627.2940244377205</v>
      </c>
      <c r="P253" s="54">
        <f t="shared" si="683"/>
        <v>3745.5755782678862</v>
      </c>
      <c r="Q253" s="54">
        <f t="shared" si="683"/>
        <v>5840.8382066276799</v>
      </c>
      <c r="R253" s="54">
        <f t="shared" si="683"/>
        <v>6439.1841631673669</v>
      </c>
      <c r="S253" s="54">
        <f t="shared" si="683"/>
        <v>6522.4809830310123</v>
      </c>
      <c r="T253" s="54">
        <f>T252-T255</f>
        <v>4634.7542386479108</v>
      </c>
      <c r="U253" s="54">
        <f>U252-U255</f>
        <v>4634.7542386479108</v>
      </c>
      <c r="V253" s="54"/>
      <c r="W253" s="54">
        <f t="shared" si="683"/>
        <v>-911.95169596874439</v>
      </c>
      <c r="X253" s="54">
        <f t="shared" ref="X253:BC253" si="684">X252-X255</f>
        <v>-621.55597722960147</v>
      </c>
      <c r="Y253" s="54">
        <f t="shared" si="684"/>
        <v>-1718.0357794815625</v>
      </c>
      <c r="Z253" s="54">
        <f t="shared" si="684"/>
        <v>-1540.6508549365692</v>
      </c>
      <c r="AA253" s="54">
        <f t="shared" si="684"/>
        <v>-2637.0854271356784</v>
      </c>
      <c r="AB253" s="54">
        <f t="shared" si="684"/>
        <v>-2085.6482956355526</v>
      </c>
      <c r="AC253" s="54">
        <f t="shared" si="684"/>
        <v>-2531.6639741518579</v>
      </c>
      <c r="AD253" s="54">
        <f t="shared" si="684"/>
        <v>-2571.8469217970051</v>
      </c>
      <c r="AE253" s="54">
        <f t="shared" si="684"/>
        <v>-2318.3225162256613</v>
      </c>
      <c r="AF253" s="54">
        <f t="shared" si="684"/>
        <v>-2062.5872423307906</v>
      </c>
      <c r="AG253" s="54">
        <f t="shared" si="684"/>
        <v>-2066.6982472761724</v>
      </c>
      <c r="AH253" s="54">
        <f t="shared" si="684"/>
        <v>-2211.5673430260422</v>
      </c>
      <c r="AI253" s="54">
        <f t="shared" si="684"/>
        <v>-2937.1438814431376</v>
      </c>
      <c r="AJ253" s="54">
        <f t="shared" si="684"/>
        <v>-1549.531405856404</v>
      </c>
      <c r="AK253" s="54">
        <f t="shared" si="684"/>
        <v>-709.5022964350452</v>
      </c>
      <c r="AL253" s="54">
        <f t="shared" si="684"/>
        <v>-146.37790522185333</v>
      </c>
      <c r="AM253" s="54">
        <f t="shared" si="684"/>
        <v>-437.83503628017183</v>
      </c>
      <c r="AN253" s="54">
        <f t="shared" si="684"/>
        <v>-175.56913496187326</v>
      </c>
      <c r="AO253" s="54">
        <f t="shared" si="684"/>
        <v>-44.310319446489075</v>
      </c>
      <c r="AP253" s="54">
        <f t="shared" si="684"/>
        <v>-541.98920585967608</v>
      </c>
      <c r="AQ253" s="54">
        <f t="shared" si="684"/>
        <v>-416.58408175905856</v>
      </c>
      <c r="AR253" s="54">
        <f t="shared" si="684"/>
        <v>-296.96866608137543</v>
      </c>
      <c r="AS253" s="54">
        <f t="shared" si="684"/>
        <v>-570.59164679751086</v>
      </c>
      <c r="AT253" s="54">
        <f t="shared" si="684"/>
        <v>-764.60570727216918</v>
      </c>
      <c r="AU253" s="54">
        <f t="shared" si="684"/>
        <v>-755.80546224623913</v>
      </c>
      <c r="AV253" s="54">
        <f t="shared" si="684"/>
        <v>-357.11229522710732</v>
      </c>
      <c r="AW253" s="54">
        <f t="shared" si="684"/>
        <v>-452.7753335019064</v>
      </c>
      <c r="AX253" s="54">
        <f t="shared" si="684"/>
        <v>-1107.2127961599626</v>
      </c>
      <c r="AY253" s="54">
        <f t="shared" si="684"/>
        <v>2227.4876529280364</v>
      </c>
      <c r="AZ253" s="54">
        <f t="shared" si="684"/>
        <v>1646.5942250584358</v>
      </c>
      <c r="BA253" s="54">
        <f t="shared" si="684"/>
        <v>-109.87328130247352</v>
      </c>
      <c r="BB253" s="54">
        <f t="shared" si="684"/>
        <v>246.44206554730499</v>
      </c>
      <c r="BC253" s="54">
        <f t="shared" si="684"/>
        <v>288.62297134230903</v>
      </c>
      <c r="BD253" s="54">
        <f t="shared" ref="BD253:BW253" si="685">BD252-BD255</f>
        <v>1249.4510077450022</v>
      </c>
      <c r="BE253" s="54">
        <f t="shared" si="685"/>
        <v>3053.2803725517047</v>
      </c>
      <c r="BF253" s="54">
        <f t="shared" si="685"/>
        <v>2627.2940244377205</v>
      </c>
      <c r="BG253" s="54">
        <f t="shared" si="685"/>
        <v>3280.9836012671503</v>
      </c>
      <c r="BH253" s="54">
        <f t="shared" si="685"/>
        <v>2862.2567485274221</v>
      </c>
      <c r="BI253" s="54">
        <f t="shared" si="685"/>
        <v>3545.0627582232405</v>
      </c>
      <c r="BJ253" s="54">
        <f t="shared" si="685"/>
        <v>3745.5755782678862</v>
      </c>
      <c r="BK253" s="54">
        <f t="shared" si="685"/>
        <v>4754.1598711040406</v>
      </c>
      <c r="BL253" s="54">
        <f t="shared" si="685"/>
        <v>5452.1906151789199</v>
      </c>
      <c r="BM253" s="54">
        <f t="shared" si="685"/>
        <v>5184.8815661759736</v>
      </c>
      <c r="BN253" s="54">
        <f t="shared" si="685"/>
        <v>5840.8382066276799</v>
      </c>
      <c r="BO253" s="54">
        <f t="shared" si="685"/>
        <v>5117.831912302071</v>
      </c>
      <c r="BP253" s="54">
        <f t="shared" si="685"/>
        <v>5963.8662646917765</v>
      </c>
      <c r="BQ253" s="54">
        <f t="shared" si="685"/>
        <v>5236.7428338018699</v>
      </c>
      <c r="BR253" s="54">
        <f t="shared" si="685"/>
        <v>6439.1841631673669</v>
      </c>
      <c r="BS253" s="54">
        <f t="shared" si="685"/>
        <v>7362.9196221102502</v>
      </c>
      <c r="BT253" s="54">
        <f t="shared" si="685"/>
        <v>8846.4222295265954</v>
      </c>
      <c r="BU253" s="54">
        <f t="shared" si="685"/>
        <v>6442.3755756598166</v>
      </c>
      <c r="BV253" s="54">
        <f t="shared" si="685"/>
        <v>6522.4809830310123</v>
      </c>
      <c r="BW253" s="54">
        <f t="shared" si="685"/>
        <v>6361.0735122520418</v>
      </c>
      <c r="BX253" s="54">
        <f>BX252-BX255</f>
        <v>6187.3684447496089</v>
      </c>
      <c r="BY253" s="54">
        <f>BY252-BY255</f>
        <v>6126.0362074529048</v>
      </c>
      <c r="BZ253" s="54">
        <f>BZ252-BZ255</f>
        <v>4634.7542386479108</v>
      </c>
      <c r="CA253" s="54"/>
      <c r="CB253"/>
      <c r="CC253"/>
      <c r="CD253" s="54"/>
      <c r="CE253" s="54"/>
      <c r="CF253" s="54"/>
      <c r="CH253" s="54"/>
    </row>
    <row r="254" spans="2:86"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/>
      <c r="CC254"/>
      <c r="CD254" s="54"/>
      <c r="CE254" s="54"/>
      <c r="CF254" s="54"/>
      <c r="CH254" s="54"/>
    </row>
    <row r="255" spans="2:86">
      <c r="B255" s="17" t="s">
        <v>258</v>
      </c>
      <c r="D255" s="54">
        <f>D128/D$208</f>
        <v>385.10638297872339</v>
      </c>
      <c r="E255" s="54">
        <f t="shared" ref="E255:BQ255" si="686">E128/E$208</f>
        <v>778.69429241595003</v>
      </c>
      <c r="F255" s="54">
        <f t="shared" si="686"/>
        <v>1540.6508549365692</v>
      </c>
      <c r="G255" s="54">
        <f t="shared" si="686"/>
        <v>2571.8469217970051</v>
      </c>
      <c r="H255" s="54">
        <f t="shared" si="686"/>
        <v>2211.5673430260422</v>
      </c>
      <c r="I255" s="54">
        <f t="shared" si="686"/>
        <v>1683.6012376424421</v>
      </c>
      <c r="J255" s="54">
        <f t="shared" si="686"/>
        <v>1599.5836545875097</v>
      </c>
      <c r="K255" s="54">
        <f t="shared" si="686"/>
        <v>1850.1534212948754</v>
      </c>
      <c r="L255" s="54">
        <f t="shared" si="686"/>
        <v>1850.1600422883241</v>
      </c>
      <c r="M255" s="54">
        <f t="shared" si="686"/>
        <v>1839.8417544869762</v>
      </c>
      <c r="N255" s="54">
        <f t="shared" si="686"/>
        <v>3858.1072559393024</v>
      </c>
      <c r="O255" s="54">
        <f t="shared" si="686"/>
        <v>1922.1380615109313</v>
      </c>
      <c r="P255" s="54">
        <f t="shared" si="686"/>
        <v>1240.0215169445939</v>
      </c>
      <c r="Q255" s="54">
        <f t="shared" si="686"/>
        <v>1564.7417153996103</v>
      </c>
      <c r="R255" s="54">
        <f t="shared" si="686"/>
        <v>1237.5164967006599</v>
      </c>
      <c r="S255" s="54">
        <f t="shared" si="686"/>
        <v>1159.1222937390287</v>
      </c>
      <c r="T255" s="54">
        <f>T128/T$208</f>
        <v>3286.281221586351</v>
      </c>
      <c r="U255" s="54">
        <f t="shared" si="686"/>
        <v>3286.281221586351</v>
      </c>
      <c r="V255" s="54"/>
      <c r="W255" s="54">
        <f t="shared" si="686"/>
        <v>911.95169596874439</v>
      </c>
      <c r="X255" s="54">
        <f t="shared" si="686"/>
        <v>621.55597722960147</v>
      </c>
      <c r="Y255" s="54">
        <f t="shared" si="686"/>
        <v>1718.0357794815625</v>
      </c>
      <c r="Z255" s="54">
        <f t="shared" si="686"/>
        <v>1540.6508549365692</v>
      </c>
      <c r="AA255" s="54">
        <f t="shared" si="686"/>
        <v>2637.0854271356784</v>
      </c>
      <c r="AB255" s="54">
        <f t="shared" si="686"/>
        <v>2085.6482956355526</v>
      </c>
      <c r="AC255" s="54">
        <f t="shared" si="686"/>
        <v>2531.6639741518579</v>
      </c>
      <c r="AD255" s="54">
        <f t="shared" si="686"/>
        <v>2571.8469217970051</v>
      </c>
      <c r="AE255" s="54">
        <f t="shared" si="686"/>
        <v>2318.3225162256613</v>
      </c>
      <c r="AF255" s="54">
        <f t="shared" si="686"/>
        <v>2062.5872423307906</v>
      </c>
      <c r="AG255" s="54">
        <f t="shared" si="686"/>
        <v>2066.6982472761724</v>
      </c>
      <c r="AH255" s="54">
        <f t="shared" si="686"/>
        <v>2211.5673430260422</v>
      </c>
      <c r="AI255" s="54">
        <f t="shared" si="686"/>
        <v>3602.4156862745099</v>
      </c>
      <c r="AJ255" s="54">
        <f t="shared" si="686"/>
        <v>2364.7855187100699</v>
      </c>
      <c r="AK255" s="54">
        <f t="shared" si="686"/>
        <v>1569.3202416918427</v>
      </c>
      <c r="AL255" s="54">
        <f t="shared" si="686"/>
        <v>1683.4741925747055</v>
      </c>
      <c r="AM255" s="54">
        <f t="shared" si="686"/>
        <v>1896.4756404560935</v>
      </c>
      <c r="AN255" s="54">
        <f t="shared" si="686"/>
        <v>1718.7543646226356</v>
      </c>
      <c r="AO255" s="54">
        <f t="shared" si="686"/>
        <v>1572.8102458413071</v>
      </c>
      <c r="AP255" s="54">
        <f t="shared" si="686"/>
        <v>1599.5836545875097</v>
      </c>
      <c r="AQ255" s="54">
        <f t="shared" si="686"/>
        <v>1460.6379684112728</v>
      </c>
      <c r="AR255" s="54">
        <f t="shared" si="686"/>
        <v>1300.8629363880839</v>
      </c>
      <c r="AS255" s="54">
        <f t="shared" si="686"/>
        <v>1516.5466499686913</v>
      </c>
      <c r="AT255" s="54">
        <f t="shared" si="686"/>
        <v>1850.1534212948754</v>
      </c>
      <c r="AU255" s="54">
        <f t="shared" si="686"/>
        <v>1807.9889002482839</v>
      </c>
      <c r="AV255" s="54">
        <f t="shared" si="686"/>
        <v>1381.1146365015866</v>
      </c>
      <c r="AW255" s="54">
        <f t="shared" si="686"/>
        <v>1473.5416368066506</v>
      </c>
      <c r="AX255" s="54">
        <f t="shared" si="686"/>
        <v>1839.5438044052778</v>
      </c>
      <c r="AY255" s="54">
        <f t="shared" si="686"/>
        <v>1902.655336547595</v>
      </c>
      <c r="AZ255" s="54">
        <f t="shared" si="686"/>
        <v>2573.8619599645954</v>
      </c>
      <c r="BA255" s="54">
        <f t="shared" si="686"/>
        <v>4408.3775516977175</v>
      </c>
      <c r="BB255" s="54">
        <f t="shared" si="686"/>
        <v>3858.1072559393024</v>
      </c>
      <c r="BC255" s="54">
        <f t="shared" si="686"/>
        <v>3806.6342024164101</v>
      </c>
      <c r="BD255" s="54">
        <f t="shared" si="686"/>
        <v>2918.9678757979873</v>
      </c>
      <c r="BE255" s="54">
        <f t="shared" si="686"/>
        <v>1434.104917134639</v>
      </c>
      <c r="BF255" s="54">
        <f t="shared" si="686"/>
        <v>1922.1380615109313</v>
      </c>
      <c r="BG255" s="54">
        <f t="shared" si="686"/>
        <v>1212.6537549279565</v>
      </c>
      <c r="BH255" s="54">
        <f t="shared" si="686"/>
        <v>1881.1941215462466</v>
      </c>
      <c r="BI255" s="54">
        <f t="shared" si="686"/>
        <v>1228.0755428841771</v>
      </c>
      <c r="BJ255" s="54">
        <f t="shared" si="686"/>
        <v>1240.0215169445939</v>
      </c>
      <c r="BK255" s="54">
        <f t="shared" si="686"/>
        <v>1343.1597703441334</v>
      </c>
      <c r="BL255" s="54">
        <f t="shared" si="686"/>
        <v>1013.9400623403469</v>
      </c>
      <c r="BM255" s="54">
        <f t="shared" si="686"/>
        <v>1489.8411046139245</v>
      </c>
      <c r="BN255" s="54">
        <f t="shared" si="686"/>
        <v>1564.7417153996103</v>
      </c>
      <c r="BO255" s="54">
        <f t="shared" si="686"/>
        <v>2095.359317904994</v>
      </c>
      <c r="BP255" s="54">
        <f t="shared" si="686"/>
        <v>1245.4258919411729</v>
      </c>
      <c r="BQ255" s="54">
        <f t="shared" si="686"/>
        <v>1974.3626708955044</v>
      </c>
      <c r="BR255" s="54">
        <f t="shared" ref="BR255:BW255" si="687">BR128/BR$208</f>
        <v>1237.5164967006599</v>
      </c>
      <c r="BS255" s="54">
        <f t="shared" si="687"/>
        <v>766.63469376762043</v>
      </c>
      <c r="BT255" s="54">
        <f t="shared" si="687"/>
        <v>646.71847849083645</v>
      </c>
      <c r="BU255" s="54">
        <f t="shared" si="687"/>
        <v>949.77441148280616</v>
      </c>
      <c r="BV255" s="54">
        <f t="shared" si="687"/>
        <v>1159.1222937390287</v>
      </c>
      <c r="BW255" s="54">
        <f t="shared" si="687"/>
        <v>1386.83780630105</v>
      </c>
      <c r="BX255" s="54">
        <f>BX128/BX$208</f>
        <v>1508.5489807633865</v>
      </c>
      <c r="BY255" s="54">
        <f>BY128/BY$208</f>
        <v>1711.7423863092656</v>
      </c>
      <c r="BZ255" s="54">
        <f>BZ128/BZ$208</f>
        <v>3286.281221586351</v>
      </c>
      <c r="CA255" s="54"/>
      <c r="CB255"/>
      <c r="CC255"/>
      <c r="CD255" s="54"/>
      <c r="CE255" s="54"/>
      <c r="CF255" s="54"/>
      <c r="CH255" s="54"/>
    </row>
    <row r="256" spans="2:86"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/>
      <c r="CC256"/>
      <c r="CD256" s="54"/>
      <c r="CE256" s="54"/>
      <c r="CF256" s="54"/>
      <c r="CH256" s="54"/>
    </row>
    <row r="257" spans="2:86">
      <c r="B257" s="17" t="s">
        <v>226</v>
      </c>
      <c r="D257" s="54">
        <f>D133/D$208</f>
        <v>11561.724524076148</v>
      </c>
      <c r="E257" s="54">
        <f t="shared" ref="E257:BQ257" si="688">E133/E$208</f>
        <v>10434.089132134481</v>
      </c>
      <c r="F257" s="54">
        <f t="shared" si="688"/>
        <v>10003.726494851997</v>
      </c>
      <c r="G257" s="54">
        <f t="shared" si="688"/>
        <v>10643.294509151414</v>
      </c>
      <c r="H257" s="54">
        <f t="shared" si="688"/>
        <v>10674.049256766255</v>
      </c>
      <c r="I257" s="54">
        <f t="shared" si="688"/>
        <v>10907.463587653763</v>
      </c>
      <c r="J257" s="54">
        <f t="shared" si="688"/>
        <v>11462.035466461066</v>
      </c>
      <c r="K257" s="54">
        <f t="shared" si="688"/>
        <v>12020.297637312058</v>
      </c>
      <c r="L257" s="54">
        <f t="shared" si="688"/>
        <v>12020.297637312058</v>
      </c>
      <c r="M257" s="54">
        <f t="shared" si="688"/>
        <v>12284.811883937249</v>
      </c>
      <c r="N257" s="54">
        <f t="shared" si="688"/>
        <v>13558.603110541722</v>
      </c>
      <c r="O257" s="54">
        <f t="shared" si="688"/>
        <v>11095.544794519612</v>
      </c>
      <c r="P257" s="54">
        <f t="shared" si="688"/>
        <v>12363.501882732651</v>
      </c>
      <c r="Q257" s="54">
        <f t="shared" si="688"/>
        <v>12968.360136452242</v>
      </c>
      <c r="R257" s="54">
        <f t="shared" si="688"/>
        <v>12665.134973005399</v>
      </c>
      <c r="S257" s="54">
        <f t="shared" si="688"/>
        <v>17959.941486249267</v>
      </c>
      <c r="T257" s="54">
        <f>T133/T$208</f>
        <v>20962.015296571644</v>
      </c>
      <c r="U257" s="54">
        <f t="shared" si="688"/>
        <v>20962.015296571644</v>
      </c>
      <c r="V257" s="54"/>
      <c r="W257" s="54">
        <f t="shared" si="688"/>
        <v>9285.1960753507356</v>
      </c>
      <c r="X257" s="54">
        <f t="shared" si="688"/>
        <v>9863.7884341366225</v>
      </c>
      <c r="Y257" s="54">
        <f t="shared" si="688"/>
        <v>10190.847945381527</v>
      </c>
      <c r="Z257" s="54">
        <f t="shared" si="688"/>
        <v>10003.726494851997</v>
      </c>
      <c r="AA257" s="54">
        <f t="shared" si="688"/>
        <v>10369.061976549414</v>
      </c>
      <c r="AB257" s="54">
        <f t="shared" si="688"/>
        <v>10019.448869066582</v>
      </c>
      <c r="AC257" s="54">
        <f t="shared" si="688"/>
        <v>10237.237479806139</v>
      </c>
      <c r="AD257" s="54">
        <f t="shared" si="688"/>
        <v>10643.294509151414</v>
      </c>
      <c r="AE257" s="54">
        <f t="shared" si="688"/>
        <v>10818.339157929771</v>
      </c>
      <c r="AF257" s="54">
        <f t="shared" si="688"/>
        <v>10706.086674241194</v>
      </c>
      <c r="AG257" s="54">
        <f t="shared" si="688"/>
        <v>10308.732038528344</v>
      </c>
      <c r="AH257" s="54">
        <f t="shared" si="688"/>
        <v>10674.049256766255</v>
      </c>
      <c r="AI257" s="54">
        <f t="shared" si="688"/>
        <v>11065.803921568628</v>
      </c>
      <c r="AJ257" s="54">
        <f t="shared" si="688"/>
        <v>10531.031335564345</v>
      </c>
      <c r="AK257" s="54">
        <f t="shared" si="688"/>
        <v>10644.864048338368</v>
      </c>
      <c r="AL257" s="54">
        <f t="shared" si="688"/>
        <v>10906.640507093269</v>
      </c>
      <c r="AM257" s="54">
        <f t="shared" si="688"/>
        <v>10294.417296016585</v>
      </c>
      <c r="AN257" s="54">
        <f t="shared" si="688"/>
        <v>10301.651155809066</v>
      </c>
      <c r="AO257" s="54">
        <f t="shared" si="688"/>
        <v>10129.839540703664</v>
      </c>
      <c r="AP257" s="54">
        <f t="shared" si="688"/>
        <v>11462.035466461066</v>
      </c>
      <c r="AQ257" s="54">
        <f t="shared" si="688"/>
        <v>11617.316567358315</v>
      </c>
      <c r="AR257" s="54">
        <f t="shared" si="688"/>
        <v>11811.732713325164</v>
      </c>
      <c r="AS257" s="54">
        <f t="shared" si="688"/>
        <v>12519.858719020036</v>
      </c>
      <c r="AT257" s="54">
        <f t="shared" si="688"/>
        <v>12020.297637312058</v>
      </c>
      <c r="AU257" s="54">
        <f t="shared" si="688"/>
        <v>11463.22476997225</v>
      </c>
      <c r="AV257" s="54">
        <f t="shared" si="688"/>
        <v>10539.329562698304</v>
      </c>
      <c r="AW257" s="54">
        <f t="shared" si="688"/>
        <v>11925.741722803497</v>
      </c>
      <c r="AX257" s="54">
        <f t="shared" si="688"/>
        <v>12282.822440717178</v>
      </c>
      <c r="AY257" s="54">
        <f t="shared" si="688"/>
        <v>15074.601564763838</v>
      </c>
      <c r="AZ257" s="54">
        <f t="shared" si="688"/>
        <v>12124.132645952348</v>
      </c>
      <c r="BA257" s="54">
        <f t="shared" si="688"/>
        <v>12857.868557519312</v>
      </c>
      <c r="BB257" s="54">
        <f t="shared" si="688"/>
        <v>13558.603110541722</v>
      </c>
      <c r="BC257" s="54">
        <f t="shared" si="688"/>
        <v>11368.835644104585</v>
      </c>
      <c r="BD257" s="54">
        <f t="shared" si="688"/>
        <v>11427.978802581758</v>
      </c>
      <c r="BE257" s="54">
        <f t="shared" si="688"/>
        <v>10661.703876181344</v>
      </c>
      <c r="BF257" s="54">
        <f t="shared" si="688"/>
        <v>11095.544794519612</v>
      </c>
      <c r="BG257" s="54">
        <f t="shared" si="688"/>
        <v>11038.393687913129</v>
      </c>
      <c r="BH257" s="54">
        <f t="shared" si="688"/>
        <v>11256.743138301024</v>
      </c>
      <c r="BI257" s="54">
        <f t="shared" si="688"/>
        <v>11919.857117918003</v>
      </c>
      <c r="BJ257" s="54">
        <f t="shared" si="688"/>
        <v>12363.501882732651</v>
      </c>
      <c r="BK257" s="54">
        <f t="shared" si="688"/>
        <v>11988.190572731881</v>
      </c>
      <c r="BL257" s="54">
        <f t="shared" si="688"/>
        <v>12344.496139256822</v>
      </c>
      <c r="BM257" s="54">
        <f t="shared" si="688"/>
        <v>12355.355126515711</v>
      </c>
      <c r="BN257" s="54">
        <f t="shared" si="688"/>
        <v>12968.360136452242</v>
      </c>
      <c r="BO257" s="54">
        <f t="shared" si="688"/>
        <v>12552.16808769793</v>
      </c>
      <c r="BP257" s="54">
        <f t="shared" si="688"/>
        <v>12452.938342967243</v>
      </c>
      <c r="BQ257" s="54">
        <f t="shared" si="688"/>
        <v>12439.859198923568</v>
      </c>
      <c r="BR257" s="54">
        <f t="shared" ref="BR257:BW257" si="689">BR133/BR$208</f>
        <v>12665.134973005399</v>
      </c>
      <c r="BS257" s="54">
        <f t="shared" si="689"/>
        <v>13440.525463379521</v>
      </c>
      <c r="BT257" s="54">
        <f t="shared" si="689"/>
        <v>13169.72121067399</v>
      </c>
      <c r="BU257" s="54">
        <f t="shared" si="689"/>
        <v>17700.201042616358</v>
      </c>
      <c r="BV257" s="54">
        <f t="shared" si="689"/>
        <v>17959.941486249267</v>
      </c>
      <c r="BW257" s="54">
        <f t="shared" si="689"/>
        <v>18757.082847141188</v>
      </c>
      <c r="BX257" s="54">
        <f>BX133/BX$208</f>
        <v>18049.549194628606</v>
      </c>
      <c r="BY257" s="54">
        <f>BY133/BY$208</f>
        <v>18806.188870714694</v>
      </c>
      <c r="BZ257" s="54">
        <f>BZ133/BZ$208</f>
        <v>20962.015296571644</v>
      </c>
      <c r="CA257" s="54"/>
      <c r="CB257"/>
      <c r="CC257"/>
      <c r="CD257" s="54"/>
      <c r="CE257" s="54"/>
      <c r="CF257" s="54"/>
      <c r="CH257" s="54"/>
    </row>
    <row r="258" spans="2:86"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/>
      <c r="CC258"/>
      <c r="CD258" s="54"/>
      <c r="CE258" s="54"/>
      <c r="CF258" s="54"/>
      <c r="CH258" s="54"/>
    </row>
    <row r="259" spans="2:86" s="20" customFormat="1">
      <c r="B259" s="20" t="str">
        <f>B193</f>
        <v>LTM Adjusted EBITDA</v>
      </c>
      <c r="D259" s="49">
        <f t="shared" ref="D259:U259" si="690">D193/D$207</f>
        <v>4401.7105263157891</v>
      </c>
      <c r="E259" s="49">
        <f t="shared" si="690"/>
        <v>4651.6095317725749</v>
      </c>
      <c r="F259" s="49">
        <f t="shared" si="690"/>
        <v>4286.974095168106</v>
      </c>
      <c r="G259" s="49">
        <f t="shared" si="690"/>
        <v>4595.312757880838</v>
      </c>
      <c r="H259" s="49">
        <f t="shared" si="690"/>
        <v>5147.5777414075283</v>
      </c>
      <c r="I259" s="49">
        <f t="shared" si="690"/>
        <v>5218.1124007330482</v>
      </c>
      <c r="J259" s="49">
        <f t="shared" si="690"/>
        <v>5303.8713519952353</v>
      </c>
      <c r="K259" s="49">
        <f t="shared" si="690"/>
        <v>4725</v>
      </c>
      <c r="L259" s="49">
        <f t="shared" si="690"/>
        <v>4725</v>
      </c>
      <c r="M259" s="49">
        <f t="shared" si="690"/>
        <v>3761.9233614185991</v>
      </c>
      <c r="N259" s="49">
        <f t="shared" si="690"/>
        <v>5236.0107532205038</v>
      </c>
      <c r="O259" s="49">
        <f t="shared" si="690"/>
        <v>6219.591185833383</v>
      </c>
      <c r="P259" s="49">
        <f t="shared" si="690"/>
        <v>7830.3777268608965</v>
      </c>
      <c r="Q259" s="49">
        <f t="shared" si="690"/>
        <v>8932.1246684680427</v>
      </c>
      <c r="R259" s="49">
        <f t="shared" si="690"/>
        <v>10741.120185569998</v>
      </c>
      <c r="S259" s="49">
        <f t="shared" si="690"/>
        <v>12419.938254811275</v>
      </c>
      <c r="T259" s="49">
        <f>T193/T$207</f>
        <v>13724.070223089871</v>
      </c>
      <c r="U259" s="49">
        <f t="shared" si="690"/>
        <v>13724.070223089871</v>
      </c>
      <c r="V259" s="49"/>
      <c r="W259" s="1173"/>
      <c r="X259" s="1173"/>
      <c r="Y259" s="1173"/>
      <c r="Z259" s="49">
        <f t="shared" ref="Z259:BZ259" si="691">SUM(W227:Z227)</f>
        <v>4286.6321111858051</v>
      </c>
      <c r="AA259" s="49">
        <f t="shared" si="691"/>
        <v>4442.4415554313391</v>
      </c>
      <c r="AB259" s="49">
        <f t="shared" si="691"/>
        <v>4462.0041847834727</v>
      </c>
      <c r="AC259" s="49">
        <f t="shared" si="691"/>
        <v>4545.1670352191413</v>
      </c>
      <c r="AD259" s="49">
        <f t="shared" si="691"/>
        <v>4598.218285955275</v>
      </c>
      <c r="AE259" s="49">
        <f t="shared" si="691"/>
        <v>4648.5640027147929</v>
      </c>
      <c r="AF259" s="49">
        <f t="shared" si="691"/>
        <v>4837.4907108461948</v>
      </c>
      <c r="AG259" s="49">
        <f t="shared" si="691"/>
        <v>4945.2867188270102</v>
      </c>
      <c r="AH259" s="49">
        <f t="shared" si="691"/>
        <v>5145.016679780475</v>
      </c>
      <c r="AI259" s="49">
        <f t="shared" si="691"/>
        <v>5224.4725725946482</v>
      </c>
      <c r="AJ259" s="49">
        <f t="shared" si="691"/>
        <v>5213.8072135336515</v>
      </c>
      <c r="AK259" s="49">
        <f t="shared" si="691"/>
        <v>5248.6540860320738</v>
      </c>
      <c r="AL259" s="49">
        <f t="shared" si="691"/>
        <v>5216.3677163236825</v>
      </c>
      <c r="AM259" s="49">
        <f t="shared" si="691"/>
        <v>5350.5138818395526</v>
      </c>
      <c r="AN259" s="49">
        <f t="shared" si="691"/>
        <v>5487.0940218359792</v>
      </c>
      <c r="AO259" s="49">
        <f t="shared" si="691"/>
        <v>5467.377259880599</v>
      </c>
      <c r="AP259" s="49">
        <f t="shared" si="691"/>
        <v>5304.3560060562759</v>
      </c>
      <c r="AQ259" s="49">
        <f t="shared" si="691"/>
        <v>5082.7538432700403</v>
      </c>
      <c r="AR259" s="49">
        <f t="shared" si="691"/>
        <v>4916.2090249781668</v>
      </c>
      <c r="AS259" s="49">
        <f t="shared" si="691"/>
        <v>4821.9687195092947</v>
      </c>
      <c r="AT259" s="49">
        <f t="shared" si="691"/>
        <v>4724.5517304877249</v>
      </c>
      <c r="AU259" s="49">
        <f t="shared" si="691"/>
        <v>4527.9555363727268</v>
      </c>
      <c r="AV259" s="49">
        <f t="shared" si="691"/>
        <v>4189.622841059394</v>
      </c>
      <c r="AW259" s="49">
        <f t="shared" si="691"/>
        <v>3891.5879409930208</v>
      </c>
      <c r="AX259" s="49">
        <f t="shared" si="691"/>
        <v>3762.0103609115308</v>
      </c>
      <c r="AY259" s="49">
        <f t="shared" si="691"/>
        <v>3964.4560278714166</v>
      </c>
      <c r="AZ259" s="49">
        <f t="shared" si="691"/>
        <v>4328.2628766609014</v>
      </c>
      <c r="BA259" s="49">
        <f t="shared" si="691"/>
        <v>4782.7431299825075</v>
      </c>
      <c r="BB259" s="49">
        <f t="shared" si="691"/>
        <v>5231.081611697351</v>
      </c>
      <c r="BC259" s="49">
        <f t="shared" si="691"/>
        <v>5413.5870169102964</v>
      </c>
      <c r="BD259" s="49">
        <f t="shared" si="691"/>
        <v>5737.6891665428639</v>
      </c>
      <c r="BE259" s="49">
        <f t="shared" si="691"/>
        <v>6067.6072677023321</v>
      </c>
      <c r="BF259" s="49">
        <f t="shared" si="691"/>
        <v>6224.2872339891746</v>
      </c>
      <c r="BG259" s="49">
        <f t="shared" si="691"/>
        <v>6609.372229946177</v>
      </c>
      <c r="BH259" s="49">
        <f t="shared" si="691"/>
        <v>6902.9125930667951</v>
      </c>
      <c r="BI259" s="49">
        <f t="shared" si="691"/>
        <v>7248.3219591488296</v>
      </c>
      <c r="BJ259" s="49">
        <f t="shared" si="691"/>
        <v>7828.8827453872182</v>
      </c>
      <c r="BK259" s="49">
        <f t="shared" si="691"/>
        <v>8193.017474640259</v>
      </c>
      <c r="BL259" s="49">
        <f t="shared" si="691"/>
        <v>8516.2089740127667</v>
      </c>
      <c r="BM259" s="49">
        <f t="shared" si="691"/>
        <v>8777.3338249220906</v>
      </c>
      <c r="BN259" s="49">
        <f t="shared" si="691"/>
        <v>8909.7959681144675</v>
      </c>
      <c r="BO259" s="49">
        <f t="shared" si="691"/>
        <v>9162.1711158079452</v>
      </c>
      <c r="BP259" s="49">
        <f t="shared" si="691"/>
        <v>9333.8990097910373</v>
      </c>
      <c r="BQ259" s="49">
        <f t="shared" si="691"/>
        <v>9478.9142777758025</v>
      </c>
      <c r="BR259" s="49">
        <f t="shared" si="691"/>
        <v>10732.299450659408</v>
      </c>
      <c r="BS259" s="49">
        <f t="shared" si="691"/>
        <v>11089.208967961891</v>
      </c>
      <c r="BT259" s="49">
        <f t="shared" si="691"/>
        <v>11753.862025792514</v>
      </c>
      <c r="BU259" s="49">
        <f t="shared" si="691"/>
        <v>12783.830422293691</v>
      </c>
      <c r="BV259" s="49">
        <f>SUM(BS227:BV227)</f>
        <v>12413.675769010237</v>
      </c>
      <c r="BW259" s="49">
        <f t="shared" si="691"/>
        <v>12945.015866598809</v>
      </c>
      <c r="BX259" s="49">
        <f t="shared" si="691"/>
        <v>13325.737954865437</v>
      </c>
      <c r="BY259" s="49">
        <f t="shared" si="691"/>
        <v>13380.738427843342</v>
      </c>
      <c r="BZ259" s="49">
        <f t="shared" si="691"/>
        <v>13716.580745200066</v>
      </c>
      <c r="CA259" s="49"/>
      <c r="CB259" s="893"/>
      <c r="CC259" s="893"/>
      <c r="CD259" s="1174"/>
      <c r="CE259" s="1174"/>
      <c r="CF259" s="1174"/>
      <c r="CH259" s="49">
        <f>CH193/CH$207</f>
        <v>4906.4149726636251</v>
      </c>
    </row>
    <row r="260" spans="2:86"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104"/>
      <c r="X260" s="104"/>
      <c r="Y260" s="104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54"/>
      <c r="CB260"/>
      <c r="CC260"/>
      <c r="CD260" s="843"/>
      <c r="CE260" s="843"/>
      <c r="CF260" s="843"/>
      <c r="CH260" s="54"/>
    </row>
    <row r="261" spans="2:86">
      <c r="B261" s="17" t="s">
        <v>231</v>
      </c>
      <c r="C261" s="56" t="e">
        <f t="shared" ref="C261:U261" si="692">C252/C259</f>
        <v>#DIV/0!</v>
      </c>
      <c r="D261" s="57">
        <f t="shared" si="692"/>
        <v>0</v>
      </c>
      <c r="E261" s="57">
        <f t="shared" si="692"/>
        <v>0</v>
      </c>
      <c r="F261" s="57">
        <f t="shared" si="692"/>
        <v>0</v>
      </c>
      <c r="G261" s="57">
        <f t="shared" si="692"/>
        <v>0</v>
      </c>
      <c r="H261" s="57">
        <f t="shared" si="692"/>
        <v>0</v>
      </c>
      <c r="I261" s="57">
        <f t="shared" si="692"/>
        <v>0.29459163923898379</v>
      </c>
      <c r="J261" s="57">
        <f t="shared" si="692"/>
        <v>0.19940047156875002</v>
      </c>
      <c r="K261" s="57">
        <f t="shared" si="692"/>
        <v>0.22974554794131349</v>
      </c>
      <c r="L261" s="57">
        <f t="shared" si="692"/>
        <v>0.22956630972588399</v>
      </c>
      <c r="M261" s="57">
        <f t="shared" si="692"/>
        <v>0.19470083603531141</v>
      </c>
      <c r="N261" s="57">
        <f t="shared" si="692"/>
        <v>0.78390773337545749</v>
      </c>
      <c r="O261" s="57">
        <f t="shared" si="692"/>
        <v>0.73146802579421599</v>
      </c>
      <c r="P261" s="57">
        <f t="shared" si="692"/>
        <v>0.63669943764145143</v>
      </c>
      <c r="Q261" s="57">
        <f t="shared" si="692"/>
        <v>0.82909500224177102</v>
      </c>
      <c r="R261" s="57">
        <f t="shared" si="692"/>
        <v>0.71470205409126497</v>
      </c>
      <c r="S261" s="57">
        <f t="shared" si="692"/>
        <v>0.61848965100887809</v>
      </c>
      <c r="T261" s="57">
        <f>T252/T259</f>
        <v>0.57716372267664628</v>
      </c>
      <c r="U261" s="57">
        <f t="shared" si="692"/>
        <v>0.57716372267664628</v>
      </c>
      <c r="V261" s="54"/>
      <c r="W261" s="104"/>
      <c r="X261" s="104"/>
      <c r="Y261" s="104"/>
      <c r="Z261" s="57">
        <f t="shared" ref="Z261:BU261" si="693">Z252/Z259</f>
        <v>0</v>
      </c>
      <c r="AA261" s="57">
        <f t="shared" si="693"/>
        <v>0</v>
      </c>
      <c r="AB261" s="57">
        <f t="shared" si="693"/>
        <v>0</v>
      </c>
      <c r="AC261" s="57">
        <f t="shared" si="693"/>
        <v>0</v>
      </c>
      <c r="AD261" s="57">
        <f t="shared" si="693"/>
        <v>0</v>
      </c>
      <c r="AE261" s="57">
        <f t="shared" si="693"/>
        <v>0</v>
      </c>
      <c r="AF261" s="57">
        <f t="shared" si="693"/>
        <v>0</v>
      </c>
      <c r="AG261" s="57">
        <f t="shared" si="693"/>
        <v>0</v>
      </c>
      <c r="AH261" s="57">
        <f t="shared" si="693"/>
        <v>0</v>
      </c>
      <c r="AI261" s="57">
        <f t="shared" si="693"/>
        <v>0.12733760118123774</v>
      </c>
      <c r="AJ261" s="57">
        <f t="shared" si="693"/>
        <v>0.1563644529735361</v>
      </c>
      <c r="AK261" s="57">
        <f t="shared" si="693"/>
        <v>0.16381684354946902</v>
      </c>
      <c r="AL261" s="57">
        <f t="shared" si="693"/>
        <v>0.29466793196783009</v>
      </c>
      <c r="AM261" s="57">
        <f t="shared" si="693"/>
        <v>0.2726169179986182</v>
      </c>
      <c r="AN261" s="57">
        <f t="shared" si="693"/>
        <v>0.2812390718146312</v>
      </c>
      <c r="AO261" s="57">
        <f t="shared" si="693"/>
        <v>0.27956730507896188</v>
      </c>
      <c r="AP261" s="57">
        <f t="shared" si="693"/>
        <v>0.19938225253363834</v>
      </c>
      <c r="AQ261" s="57">
        <f t="shared" si="693"/>
        <v>0.20541106629325015</v>
      </c>
      <c r="AR261" s="57">
        <f t="shared" si="693"/>
        <v>0.20420089243686437</v>
      </c>
      <c r="AS261" s="57">
        <f t="shared" si="693"/>
        <v>0.19617609698377411</v>
      </c>
      <c r="AT261" s="57">
        <f t="shared" si="693"/>
        <v>0.22976734639555804</v>
      </c>
      <c r="AU261" s="57">
        <f t="shared" si="693"/>
        <v>0.2323749492568852</v>
      </c>
      <c r="AV261" s="57">
        <f t="shared" si="693"/>
        <v>0.24441396758653067</v>
      </c>
      <c r="AW261" s="57">
        <f t="shared" si="693"/>
        <v>0.26230071600136423</v>
      </c>
      <c r="AX261" s="57">
        <f t="shared" si="693"/>
        <v>0.19466480365244723</v>
      </c>
      <c r="AY261" s="57">
        <f t="shared" si="693"/>
        <v>1.0417931137183465</v>
      </c>
      <c r="AZ261" s="57">
        <f t="shared" si="693"/>
        <v>0.97509238816819754</v>
      </c>
      <c r="BA261" s="57">
        <f t="shared" si="693"/>
        <v>0.8987529025860449</v>
      </c>
      <c r="BB261" s="57">
        <f t="shared" si="693"/>
        <v>0.7846463936460718</v>
      </c>
      <c r="BC261" s="57">
        <f t="shared" si="693"/>
        <v>0.75647757410501748</v>
      </c>
      <c r="BD261" s="57">
        <f t="shared" si="693"/>
        <v>0.72649785698561842</v>
      </c>
      <c r="BE261" s="57">
        <f t="shared" si="693"/>
        <v>0.73956422881430439</v>
      </c>
      <c r="BF261" s="57">
        <f t="shared" si="693"/>
        <v>0.73091615391806064</v>
      </c>
      <c r="BG261" s="57">
        <f t="shared" si="693"/>
        <v>0.67988867926594299</v>
      </c>
      <c r="BH261" s="57">
        <f t="shared" si="693"/>
        <v>0.68716658455706592</v>
      </c>
      <c r="BI261" s="57">
        <f t="shared" si="693"/>
        <v>0.658516319778368</v>
      </c>
      <c r="BJ261" s="57">
        <f t="shared" si="693"/>
        <v>0.63682101997887197</v>
      </c>
      <c r="BK261" s="57">
        <f t="shared" si="693"/>
        <v>0.74420928068579484</v>
      </c>
      <c r="BL261" s="57">
        <f t="shared" si="693"/>
        <v>0.75927336884882479</v>
      </c>
      <c r="BM261" s="57">
        <f t="shared" si="693"/>
        <v>0.76044990471228258</v>
      </c>
      <c r="BN261" s="57">
        <f t="shared" si="693"/>
        <v>0.83117278426236441</v>
      </c>
      <c r="BO261" s="57">
        <f t="shared" si="693"/>
        <v>0.78727968939171966</v>
      </c>
      <c r="BP261" s="57">
        <f t="shared" si="693"/>
        <v>0.77237734724476603</v>
      </c>
      <c r="BQ261" s="57">
        <f t="shared" si="693"/>
        <v>0.76075226480362657</v>
      </c>
      <c r="BR261" s="57">
        <f t="shared" si="693"/>
        <v>0.71528945825271018</v>
      </c>
      <c r="BS261" s="57">
        <f t="shared" si="693"/>
        <v>0.73310497974789435</v>
      </c>
      <c r="BT261" s="57">
        <f t="shared" si="693"/>
        <v>0.80766140415684773</v>
      </c>
      <c r="BU261" s="57">
        <f t="shared" si="693"/>
        <v>0.57824218117376391</v>
      </c>
      <c r="BV261" s="57">
        <f>BV252/BV259</f>
        <v>0.61880166839434925</v>
      </c>
      <c r="BW261" s="57">
        <f>BW252/BW259</f>
        <v>0.59852466759384426</v>
      </c>
      <c r="BX261" s="57">
        <f>BX252/BX259</f>
        <v>0.57752279472845969</v>
      </c>
      <c r="BY261" s="57">
        <f>BY252/BY259</f>
        <v>0.58575082653532107</v>
      </c>
      <c r="BZ261" s="57">
        <f>BZ252/BZ259</f>
        <v>0.57747886352844335</v>
      </c>
      <c r="CA261" s="54"/>
      <c r="CB261"/>
      <c r="CC261"/>
      <c r="CD261" s="54"/>
      <c r="CE261" s="54"/>
      <c r="CF261" s="54"/>
      <c r="CH261" s="54"/>
    </row>
    <row r="262" spans="2:86" s="20" customFormat="1">
      <c r="B262" s="20" t="str">
        <f>B196</f>
        <v>Secured Net Leverage</v>
      </c>
      <c r="D262" s="56">
        <f t="shared" ref="D262:S262" si="694">D253/D259</f>
        <v>-8.7490165624556776E-2</v>
      </c>
      <c r="E262" s="56">
        <f t="shared" si="694"/>
        <v>-0.1674031939046301</v>
      </c>
      <c r="F262" s="56">
        <f t="shared" si="694"/>
        <v>-0.35937955787347842</v>
      </c>
      <c r="G262" s="56">
        <f t="shared" si="694"/>
        <v>-0.55966743882369197</v>
      </c>
      <c r="H262" s="56">
        <f t="shared" si="694"/>
        <v>-0.42963262608663821</v>
      </c>
      <c r="I262" s="56">
        <f t="shared" si="694"/>
        <v>-2.8054005075984826E-2</v>
      </c>
      <c r="J262" s="56">
        <f t="shared" si="694"/>
        <v>-0.10218747211049681</v>
      </c>
      <c r="K262" s="56">
        <f t="shared" si="694"/>
        <v>-0.16182131370839559</v>
      </c>
      <c r="L262" s="56">
        <f t="shared" si="694"/>
        <v>-0.16200195319227984</v>
      </c>
      <c r="M262" s="56">
        <f t="shared" si="694"/>
        <v>-0.29436860470767667</v>
      </c>
      <c r="N262" s="56">
        <f t="shared" si="694"/>
        <v>4.706676077693811E-2</v>
      </c>
      <c r="O262" s="56">
        <f t="shared" si="694"/>
        <v>0.42242230171365852</v>
      </c>
      <c r="P262" s="56">
        <f t="shared" si="694"/>
        <v>0.47833906727376252</v>
      </c>
      <c r="Q262" s="56">
        <f t="shared" si="694"/>
        <v>0.65391364579212119</v>
      </c>
      <c r="R262" s="56">
        <f t="shared" si="694"/>
        <v>0.59948907115088379</v>
      </c>
      <c r="S262" s="56">
        <f t="shared" si="694"/>
        <v>0.52516211024674886</v>
      </c>
      <c r="T262" s="56">
        <f>T253/T259</f>
        <v>0.33770988950859732</v>
      </c>
      <c r="U262" s="56">
        <f>U253/U259</f>
        <v>0.33770988950859732</v>
      </c>
      <c r="V262" s="56"/>
      <c r="W262" s="104"/>
      <c r="X262" s="104"/>
      <c r="Y262" s="104"/>
      <c r="Z262" s="56">
        <f t="shared" ref="Z262:BU262" si="695">Z253/Z259</f>
        <v>-0.35940822887886714</v>
      </c>
      <c r="AA262" s="56">
        <f t="shared" si="695"/>
        <v>-0.59361173224925645</v>
      </c>
      <c r="AB262" s="56">
        <f t="shared" si="695"/>
        <v>-0.46742410120280126</v>
      </c>
      <c r="AC262" s="56">
        <f t="shared" si="695"/>
        <v>-0.55700130590025632</v>
      </c>
      <c r="AD262" s="56">
        <f t="shared" si="695"/>
        <v>-0.55931379544385995</v>
      </c>
      <c r="AE262" s="56">
        <f t="shared" si="695"/>
        <v>-0.49871799438961045</v>
      </c>
      <c r="AF262" s="56">
        <f t="shared" si="695"/>
        <v>-0.42637544248017667</v>
      </c>
      <c r="AG262" s="56">
        <f t="shared" si="695"/>
        <v>-0.41791272473810775</v>
      </c>
      <c r="AH262" s="56">
        <f t="shared" si="695"/>
        <v>-0.42984648654635738</v>
      </c>
      <c r="AI262" s="56">
        <f t="shared" si="695"/>
        <v>-0.56218954940066868</v>
      </c>
      <c r="AJ262" s="56">
        <f t="shared" si="695"/>
        <v>-0.29719767962156984</v>
      </c>
      <c r="AK262" s="56">
        <f t="shared" si="695"/>
        <v>-0.13517794939529371</v>
      </c>
      <c r="AL262" s="56">
        <f t="shared" si="695"/>
        <v>-2.8061270443759181E-2</v>
      </c>
      <c r="AM262" s="56">
        <f t="shared" si="695"/>
        <v>-8.1830464502904973E-2</v>
      </c>
      <c r="AN262" s="56">
        <f t="shared" si="695"/>
        <v>-3.199674258600145E-2</v>
      </c>
      <c r="AO262" s="56">
        <f t="shared" si="695"/>
        <v>-8.1044927650477799E-3</v>
      </c>
      <c r="AP262" s="56">
        <f t="shared" si="695"/>
        <v>-0.10217813533647763</v>
      </c>
      <c r="AQ262" s="56">
        <f t="shared" si="695"/>
        <v>-8.1960310218573376E-2</v>
      </c>
      <c r="AR262" s="56">
        <f t="shared" si="695"/>
        <v>-6.0406029233611422E-2</v>
      </c>
      <c r="AS262" s="56">
        <f t="shared" si="695"/>
        <v>-0.11833167736840418</v>
      </c>
      <c r="AT262" s="56">
        <f t="shared" si="695"/>
        <v>-0.16183666745315484</v>
      </c>
      <c r="AU262" s="56">
        <f t="shared" si="695"/>
        <v>-0.1669198065605792</v>
      </c>
      <c r="AV262" s="56">
        <f t="shared" si="695"/>
        <v>-8.523733729139385E-2</v>
      </c>
      <c r="AW262" s="56">
        <f t="shared" si="695"/>
        <v>-0.1163471930654537</v>
      </c>
      <c r="AX262" s="56">
        <f t="shared" si="695"/>
        <v>-0.29431412727201695</v>
      </c>
      <c r="AY262" s="56">
        <f t="shared" si="695"/>
        <v>0.56186463849468193</v>
      </c>
      <c r="AZ262" s="56">
        <f t="shared" si="695"/>
        <v>0.38042842405374505</v>
      </c>
      <c r="BA262" s="56">
        <f t="shared" si="695"/>
        <v>-2.2972858528339021E-2</v>
      </c>
      <c r="BB262" s="56">
        <f t="shared" si="695"/>
        <v>4.7111110825766855E-2</v>
      </c>
      <c r="BC262" s="56">
        <f t="shared" si="695"/>
        <v>5.3314552890854836E-2</v>
      </c>
      <c r="BD262" s="56">
        <f t="shared" si="695"/>
        <v>0.21776205916324243</v>
      </c>
      <c r="BE262" s="56">
        <f t="shared" si="695"/>
        <v>0.5032099537496787</v>
      </c>
      <c r="BF262" s="56">
        <f t="shared" si="695"/>
        <v>0.42210359606972631</v>
      </c>
      <c r="BG262" s="56">
        <f t="shared" si="695"/>
        <v>0.49641380256984996</v>
      </c>
      <c r="BH262" s="56">
        <f t="shared" si="695"/>
        <v>0.41464479086729844</v>
      </c>
      <c r="BI262" s="56">
        <f t="shared" si="695"/>
        <v>0.48908737473349451</v>
      </c>
      <c r="BJ262" s="56">
        <f t="shared" si="695"/>
        <v>0.47843040955936927</v>
      </c>
      <c r="BK262" s="56">
        <f t="shared" si="695"/>
        <v>0.58026970964233016</v>
      </c>
      <c r="BL262" s="56">
        <f t="shared" si="695"/>
        <v>0.64021334279328901</v>
      </c>
      <c r="BM262" s="56">
        <f t="shared" si="695"/>
        <v>0.59071258648659131</v>
      </c>
      <c r="BN262" s="56">
        <f t="shared" si="695"/>
        <v>0.65555240855461983</v>
      </c>
      <c r="BO262" s="56">
        <f t="shared" si="695"/>
        <v>0.55858287818615648</v>
      </c>
      <c r="BP262" s="56">
        <f t="shared" si="695"/>
        <v>0.63894694579787326</v>
      </c>
      <c r="BQ262" s="56">
        <f t="shared" si="695"/>
        <v>0.55246230531696028</v>
      </c>
      <c r="BR262" s="56">
        <f t="shared" si="695"/>
        <v>0.59998178328612828</v>
      </c>
      <c r="BS262" s="56">
        <f t="shared" si="695"/>
        <v>0.66397158204725371</v>
      </c>
      <c r="BT262" s="56">
        <f t="shared" si="695"/>
        <v>0.75263961837514581</v>
      </c>
      <c r="BU262" s="56">
        <f t="shared" si="695"/>
        <v>0.5039472022739736</v>
      </c>
      <c r="BV262" s="56">
        <f>BV253/BV259</f>
        <v>0.52542704549396013</v>
      </c>
      <c r="BW262" s="56">
        <f>BW253/BW259</f>
        <v>0.49139171228558398</v>
      </c>
      <c r="BX262" s="56">
        <f>BX253/BX259</f>
        <v>0.46431713318289464</v>
      </c>
      <c r="BY262" s="56">
        <f>BY253/BY259</f>
        <v>0.45782497285093982</v>
      </c>
      <c r="BZ262" s="56">
        <f>BZ253/BZ259</f>
        <v>0.33789428464304277</v>
      </c>
      <c r="CA262" s="56"/>
      <c r="CB262"/>
      <c r="CC262"/>
      <c r="CD262" s="56"/>
      <c r="CE262" s="56"/>
      <c r="CF262" s="56"/>
      <c r="CH262" s="56">
        <f>((CH119-CH128)/CH208)/CH259</f>
        <v>0.11822554650578539</v>
      </c>
    </row>
    <row r="263" spans="2:86" s="20" customFormat="1"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104"/>
      <c r="X263" s="104"/>
      <c r="Y263" s="104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/>
      <c r="CC263"/>
      <c r="CD263" s="56"/>
      <c r="CE263" s="56"/>
      <c r="CF263" s="56"/>
      <c r="CH263" s="56"/>
    </row>
    <row r="264" spans="2:86" s="20" customFormat="1">
      <c r="B264" s="20" t="str">
        <f>B198</f>
        <v>Total Net Leverage</v>
      </c>
      <c r="D264" s="56">
        <f t="shared" ref="D264:U264" si="696">D250/D259</f>
        <v>3.0503869830712</v>
      </c>
      <c r="E264" s="56">
        <f t="shared" si="696"/>
        <v>2.7330195515941562</v>
      </c>
      <c r="F264" s="56">
        <f t="shared" si="696"/>
        <v>2.5027692306261895</v>
      </c>
      <c r="G264" s="56">
        <f t="shared" si="696"/>
        <v>2.192120116342867</v>
      </c>
      <c r="H264" s="56">
        <f t="shared" si="696"/>
        <v>2.0746250670482471</v>
      </c>
      <c r="I264" s="56">
        <f t="shared" si="696"/>
        <v>2.5829093101090694</v>
      </c>
      <c r="J264" s="56">
        <f t="shared" si="696"/>
        <v>2.8217209139040196</v>
      </c>
      <c r="K264" s="56">
        <f t="shared" si="696"/>
        <v>3.3154682758855816</v>
      </c>
      <c r="L264" s="56">
        <f t="shared" si="696"/>
        <v>3.2504543632729552</v>
      </c>
      <c r="M264" s="56">
        <f t="shared" si="696"/>
        <v>4.3435529674849951</v>
      </c>
      <c r="N264" s="56">
        <f t="shared" si="696"/>
        <v>3.0136679490951148</v>
      </c>
      <c r="O264" s="56">
        <f t="shared" si="696"/>
        <v>3.2616509972808636</v>
      </c>
      <c r="P264" s="56">
        <f t="shared" si="696"/>
        <v>2.7531584461916778</v>
      </c>
      <c r="Q264" s="56">
        <f t="shared" si="696"/>
        <v>2.9069992625858414</v>
      </c>
      <c r="R264" s="56">
        <f t="shared" si="696"/>
        <v>2.2858540868288784</v>
      </c>
      <c r="S264" s="56">
        <f t="shared" si="696"/>
        <v>1.9206777171329996</v>
      </c>
      <c r="T264" s="56">
        <f>T250/T259</f>
        <v>1.2844074833884405</v>
      </c>
      <c r="U264" s="56">
        <f t="shared" si="696"/>
        <v>1.2844074833884405</v>
      </c>
      <c r="V264" s="56"/>
      <c r="W264" s="104"/>
      <c r="X264" s="104"/>
      <c r="Y264" s="104"/>
      <c r="Z264" s="56">
        <f t="shared" ref="Z264:BE264" si="697">Z250/Z259</f>
        <v>2.502968899495845</v>
      </c>
      <c r="AA264" s="56">
        <f t="shared" si="697"/>
        <v>2.2140819469455431</v>
      </c>
      <c r="AB264" s="56">
        <f t="shared" si="697"/>
        <v>2.1900966578424628</v>
      </c>
      <c r="AC264" s="56">
        <f t="shared" si="697"/>
        <v>2.0488307240130479</v>
      </c>
      <c r="AD264" s="56">
        <f t="shared" si="697"/>
        <v>2.1907349566691678</v>
      </c>
      <c r="AE264" s="56">
        <f t="shared" si="697"/>
        <v>2.0672266835667719</v>
      </c>
      <c r="AF264" s="56">
        <f t="shared" si="697"/>
        <v>2.0875137126017638</v>
      </c>
      <c r="AG264" s="56">
        <f t="shared" si="697"/>
        <v>2.1341634597220009</v>
      </c>
      <c r="AH264" s="56">
        <f t="shared" si="697"/>
        <v>2.0756577639237737</v>
      </c>
      <c r="AI264" s="56">
        <f t="shared" si="697"/>
        <v>2.1613847479029071</v>
      </c>
      <c r="AJ264" s="56">
        <f t="shared" si="697"/>
        <v>2.2100021555816802</v>
      </c>
      <c r="AK264" s="56">
        <f t="shared" si="697"/>
        <v>2.4216680114985354</v>
      </c>
      <c r="AL264" s="56">
        <f t="shared" si="697"/>
        <v>2.5835782265798146</v>
      </c>
      <c r="AM264" s="56">
        <f t="shared" si="697"/>
        <v>2.4616392717375382</v>
      </c>
      <c r="AN264" s="56">
        <f t="shared" si="697"/>
        <v>2.3899124964898468</v>
      </c>
      <c r="AO264" s="56">
        <f t="shared" si="697"/>
        <v>2.7835459293896934</v>
      </c>
      <c r="AP264" s="56">
        <f t="shared" si="697"/>
        <v>2.8214630958958606</v>
      </c>
      <c r="AQ264" s="56">
        <f t="shared" si="697"/>
        <v>2.8448054134970766</v>
      </c>
      <c r="AR264" s="56">
        <f t="shared" si="697"/>
        <v>3.0167281672035826</v>
      </c>
      <c r="AS264" s="56">
        <f t="shared" si="697"/>
        <v>3.1345546705763798</v>
      </c>
      <c r="AT264" s="56">
        <f t="shared" si="697"/>
        <v>3.3157828503535471</v>
      </c>
      <c r="AU264" s="56">
        <f t="shared" si="697"/>
        <v>3.4807892090941603</v>
      </c>
      <c r="AV264" s="56">
        <f t="shared" si="697"/>
        <v>3.8996525146581265</v>
      </c>
      <c r="AW264" s="56">
        <f t="shared" si="697"/>
        <v>4.0990862174890594</v>
      </c>
      <c r="AX264" s="56">
        <f t="shared" si="697"/>
        <v>4.3427491262344784</v>
      </c>
      <c r="AY264" s="56">
        <f t="shared" si="697"/>
        <v>4.2629530864935612</v>
      </c>
      <c r="AZ264" s="56">
        <f t="shared" si="697"/>
        <v>3.8020447291685975</v>
      </c>
      <c r="BA264" s="56">
        <f t="shared" si="697"/>
        <v>3.3905409251921084</v>
      </c>
      <c r="BB264" s="56">
        <f t="shared" si="697"/>
        <v>3.0165076669446056</v>
      </c>
      <c r="BC264" s="56">
        <f t="shared" si="697"/>
        <v>2.8509827683898901</v>
      </c>
      <c r="BD264" s="56">
        <f t="shared" si="697"/>
        <v>3.256873220662424</v>
      </c>
      <c r="BE264" s="56">
        <f t="shared" si="697"/>
        <v>3.3282060740595676</v>
      </c>
      <c r="BF264" s="56">
        <f t="shared" ref="BF264:BV264" si="698">BF250/BF259</f>
        <v>3.2591901741255671</v>
      </c>
      <c r="BG264" s="56">
        <f t="shared" si="698"/>
        <v>3.2473244608947449</v>
      </c>
      <c r="BH264" s="56">
        <f t="shared" si="698"/>
        <v>3.2445861688998243</v>
      </c>
      <c r="BI264" s="56">
        <f t="shared" si="698"/>
        <v>2.9483806816377158</v>
      </c>
      <c r="BJ264" s="56">
        <f t="shared" si="698"/>
        <v>2.7536841816005495</v>
      </c>
      <c r="BK264" s="56">
        <f t="shared" si="698"/>
        <v>2.5877099816258555</v>
      </c>
      <c r="BL264" s="56">
        <f t="shared" si="698"/>
        <v>3.0219128168278631</v>
      </c>
      <c r="BM264" s="56">
        <f t="shared" si="698"/>
        <v>2.8887200179539767</v>
      </c>
      <c r="BN264" s="56">
        <f t="shared" si="698"/>
        <v>2.9142844479811787</v>
      </c>
      <c r="BO264" s="56">
        <f t="shared" si="698"/>
        <v>2.7615669389998456</v>
      </c>
      <c r="BP264" s="56">
        <f t="shared" si="698"/>
        <v>2.6708713869999321</v>
      </c>
      <c r="BQ264" s="56">
        <f t="shared" si="698"/>
        <v>2.56107347917529</v>
      </c>
      <c r="BR264" s="56">
        <f t="shared" si="698"/>
        <v>2.2877328000568222</v>
      </c>
      <c r="BS264" s="56">
        <f t="shared" si="698"/>
        <v>2.1916175636042849</v>
      </c>
      <c r="BT264" s="56">
        <f t="shared" si="698"/>
        <v>2.2371850534072268</v>
      </c>
      <c r="BU264" s="56">
        <f t="shared" si="698"/>
        <v>1.7976345690851478</v>
      </c>
      <c r="BV264" s="56">
        <f t="shared" si="698"/>
        <v>1.9216466659887401</v>
      </c>
      <c r="BW264" s="56">
        <f>BW250/BW259</f>
        <v>1.7268928834334563</v>
      </c>
      <c r="BX264" s="56">
        <f>BX250/BX259</f>
        <v>1.644714283365126</v>
      </c>
      <c r="BY264" s="56">
        <f>BY250/BY259</f>
        <v>1.5186234792476354</v>
      </c>
      <c r="BZ264" s="56">
        <f>BZ250/BZ259</f>
        <v>1.2851087909247012</v>
      </c>
      <c r="CA264" s="56"/>
      <c r="CB264"/>
      <c r="CC264"/>
      <c r="CD264" s="56"/>
      <c r="CE264" s="56"/>
      <c r="CF264" s="56"/>
      <c r="CH264" s="56">
        <f>CH250/CH259</f>
        <v>3.284112616615952</v>
      </c>
    </row>
    <row r="265" spans="2:86">
      <c r="B265" s="17" t="str">
        <f>B199</f>
        <v xml:space="preserve">Total Gross Leverage </v>
      </c>
      <c r="D265" s="57">
        <f t="shared" ref="D265:U265" si="699">D249/D259</f>
        <v>3.1378771486957571</v>
      </c>
      <c r="E265" s="57">
        <f t="shared" si="699"/>
        <v>2.9004227454987865</v>
      </c>
      <c r="F265" s="57">
        <f t="shared" si="699"/>
        <v>2.8621487884996681</v>
      </c>
      <c r="G265" s="57">
        <f t="shared" si="699"/>
        <v>2.7517875551665592</v>
      </c>
      <c r="H265" s="57">
        <f t="shared" si="699"/>
        <v>2.5042576931348854</v>
      </c>
      <c r="I265" s="57">
        <f t="shared" si="699"/>
        <v>2.905554954424038</v>
      </c>
      <c r="J265" s="57">
        <f t="shared" si="699"/>
        <v>3.1233088575832664</v>
      </c>
      <c r="K265" s="57">
        <f t="shared" si="699"/>
        <v>3.7070351375352906</v>
      </c>
      <c r="L265" s="57">
        <f t="shared" si="699"/>
        <v>3.6420226261911193</v>
      </c>
      <c r="M265" s="57">
        <f t="shared" si="699"/>
        <v>4.8326224082279836</v>
      </c>
      <c r="N265" s="57">
        <f t="shared" si="699"/>
        <v>3.7505089216936343</v>
      </c>
      <c r="O265" s="57">
        <f t="shared" si="699"/>
        <v>3.5706967213614211</v>
      </c>
      <c r="P265" s="57">
        <f t="shared" si="699"/>
        <v>2.9115188165593668</v>
      </c>
      <c r="Q265" s="57">
        <f t="shared" si="699"/>
        <v>3.0821806190354915</v>
      </c>
      <c r="R265" s="57">
        <f t="shared" si="699"/>
        <v>2.4010670697692595</v>
      </c>
      <c r="S265" s="57">
        <f t="shared" si="699"/>
        <v>2.0140052578951293</v>
      </c>
      <c r="T265" s="57">
        <f>T249/T259</f>
        <v>1.5238613165564894</v>
      </c>
      <c r="U265" s="57">
        <f t="shared" si="699"/>
        <v>1.5238613165564894</v>
      </c>
      <c r="V265" s="57"/>
      <c r="W265" s="104"/>
      <c r="X265" s="104"/>
      <c r="Y265" s="104"/>
      <c r="Z265" s="57">
        <f t="shared" ref="Z265:BE265" si="700">Z249/Z259</f>
        <v>2.8623771283747126</v>
      </c>
      <c r="AA265" s="57">
        <f t="shared" si="700"/>
        <v>2.8076936791947991</v>
      </c>
      <c r="AB265" s="57">
        <f t="shared" si="700"/>
        <v>2.6575207590452643</v>
      </c>
      <c r="AC265" s="57">
        <f t="shared" si="700"/>
        <v>2.6058320299133042</v>
      </c>
      <c r="AD265" s="57">
        <f t="shared" si="700"/>
        <v>2.7500487521130279</v>
      </c>
      <c r="AE265" s="57">
        <f t="shared" si="700"/>
        <v>2.5659446779563821</v>
      </c>
      <c r="AF265" s="57">
        <f t="shared" si="700"/>
        <v>2.51388915508194</v>
      </c>
      <c r="AG265" s="57">
        <f t="shared" si="700"/>
        <v>2.552076184460109</v>
      </c>
      <c r="AH265" s="57">
        <f t="shared" si="700"/>
        <v>2.505504250470131</v>
      </c>
      <c r="AI265" s="57">
        <f t="shared" si="700"/>
        <v>2.8509118984848136</v>
      </c>
      <c r="AJ265" s="57">
        <f t="shared" si="700"/>
        <v>2.6635642881767865</v>
      </c>
      <c r="AK265" s="57">
        <f t="shared" si="700"/>
        <v>2.7206628044432981</v>
      </c>
      <c r="AL265" s="57">
        <f t="shared" si="700"/>
        <v>2.9063074289914042</v>
      </c>
      <c r="AM265" s="57">
        <f t="shared" si="700"/>
        <v>2.8160866542390615</v>
      </c>
      <c r="AN265" s="57">
        <f t="shared" si="700"/>
        <v>2.7031483108904797</v>
      </c>
      <c r="AO265" s="57">
        <f t="shared" si="700"/>
        <v>3.0712177272337029</v>
      </c>
      <c r="AP265" s="57">
        <f t="shared" si="700"/>
        <v>3.1230234837659765</v>
      </c>
      <c r="AQ265" s="57">
        <f t="shared" si="700"/>
        <v>3.1321767900088999</v>
      </c>
      <c r="AR265" s="57">
        <f t="shared" si="700"/>
        <v>3.2813350888740582</v>
      </c>
      <c r="AS265" s="57">
        <f t="shared" si="700"/>
        <v>3.4490624449285585</v>
      </c>
      <c r="AT265" s="57">
        <f t="shared" si="700"/>
        <v>3.70738686420226</v>
      </c>
      <c r="AU265" s="57">
        <f t="shared" si="700"/>
        <v>3.8800839649116252</v>
      </c>
      <c r="AV265" s="57">
        <f t="shared" si="700"/>
        <v>4.2293038195360504</v>
      </c>
      <c r="AW265" s="57">
        <f t="shared" si="700"/>
        <v>4.4777341265558777</v>
      </c>
      <c r="AX265" s="57">
        <f t="shared" si="700"/>
        <v>4.8317280571589425</v>
      </c>
      <c r="AY265" s="57">
        <f t="shared" si="700"/>
        <v>4.7428815617172253</v>
      </c>
      <c r="AZ265" s="57">
        <f t="shared" si="700"/>
        <v>4.3967086932830499</v>
      </c>
      <c r="BA265" s="57">
        <f t="shared" si="700"/>
        <v>4.3122666863064918</v>
      </c>
      <c r="BB265" s="57">
        <f t="shared" si="700"/>
        <v>3.7540429497649104</v>
      </c>
      <c r="BC265" s="57">
        <f t="shared" si="700"/>
        <v>3.5541457896040529</v>
      </c>
      <c r="BD265" s="57">
        <f t="shared" si="700"/>
        <v>3.7656090184847995</v>
      </c>
      <c r="BE265" s="57">
        <f t="shared" si="700"/>
        <v>3.5645603491241933</v>
      </c>
      <c r="BF265" s="57">
        <f t="shared" ref="BF265:BV265" si="701">BF249/BF259</f>
        <v>3.5680027319739014</v>
      </c>
      <c r="BG265" s="57">
        <f t="shared" si="701"/>
        <v>3.4307993375908379</v>
      </c>
      <c r="BH265" s="57">
        <f t="shared" si="701"/>
        <v>3.5171079625895918</v>
      </c>
      <c r="BI265" s="57">
        <f t="shared" si="701"/>
        <v>3.1178096266825892</v>
      </c>
      <c r="BJ265" s="57">
        <f t="shared" si="701"/>
        <v>2.9120747920200527</v>
      </c>
      <c r="BK265" s="57">
        <f t="shared" si="701"/>
        <v>2.7516495526693201</v>
      </c>
      <c r="BL265" s="57">
        <f t="shared" si="701"/>
        <v>3.1409728428833983</v>
      </c>
      <c r="BM265" s="57">
        <f t="shared" si="701"/>
        <v>3.0584573361796679</v>
      </c>
      <c r="BN265" s="57">
        <f t="shared" si="701"/>
        <v>3.0899048236889235</v>
      </c>
      <c r="BO265" s="57">
        <f t="shared" si="701"/>
        <v>2.9902637502054086</v>
      </c>
      <c r="BP265" s="57">
        <f t="shared" si="701"/>
        <v>2.8043017884468249</v>
      </c>
      <c r="BQ265" s="57">
        <f t="shared" si="701"/>
        <v>2.7693634386619563</v>
      </c>
      <c r="BR265" s="57">
        <f t="shared" si="701"/>
        <v>2.403040475023404</v>
      </c>
      <c r="BS265" s="57">
        <f t="shared" si="701"/>
        <v>2.2607509613049257</v>
      </c>
      <c r="BT265" s="57">
        <f t="shared" si="701"/>
        <v>2.2922068391889288</v>
      </c>
      <c r="BU265" s="57">
        <f t="shared" si="701"/>
        <v>1.871929547984938</v>
      </c>
      <c r="BV265" s="57">
        <f t="shared" si="701"/>
        <v>2.0150212888891295</v>
      </c>
      <c r="BW265" s="57">
        <f>BW249/BW259</f>
        <v>1.8340258387417165</v>
      </c>
      <c r="BX265" s="57">
        <f>BX249/BX259</f>
        <v>1.757919944910691</v>
      </c>
      <c r="BY265" s="57">
        <f>BY249/BY259</f>
        <v>1.6465493329320167</v>
      </c>
      <c r="BZ265" s="57">
        <f>BZ249/BZ259</f>
        <v>1.5246933698101017</v>
      </c>
      <c r="CA265" s="57"/>
      <c r="CB265"/>
      <c r="CC265"/>
      <c r="CD265" s="57"/>
      <c r="CE265" s="57"/>
      <c r="CF265" s="57"/>
      <c r="CH265" s="57">
        <f>CH249/CH259</f>
        <v>4.0704519860812276</v>
      </c>
    </row>
    <row r="266" spans="2:86" s="20" customFormat="1"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104"/>
      <c r="X266" s="104"/>
      <c r="Y266" s="104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/>
      <c r="CC266"/>
      <c r="CD266" s="56"/>
      <c r="CE266" s="56"/>
      <c r="CF266" s="56"/>
      <c r="CH266" s="56"/>
    </row>
    <row r="267" spans="2:86" s="20" customFormat="1">
      <c r="B267" s="20" t="str">
        <f>B201</f>
        <v>EBITDA - Capex / Interest</v>
      </c>
      <c r="D267" s="56">
        <f t="shared" ref="D267:S267" si="702">(D259+SUM(D236))/-SUM(D234)</f>
        <v>-3.5367446168094476</v>
      </c>
      <c r="E267" s="56">
        <f t="shared" si="702"/>
        <v>2.2332467853610289</v>
      </c>
      <c r="F267" s="56">
        <f t="shared" si="702"/>
        <v>3.0075715658580631</v>
      </c>
      <c r="G267" s="56">
        <f t="shared" si="702"/>
        <v>2.7583997873471557</v>
      </c>
      <c r="H267" s="56">
        <f t="shared" si="702"/>
        <v>3.0905952135037023</v>
      </c>
      <c r="I267" s="56">
        <f t="shared" si="702"/>
        <v>2.150045606567347</v>
      </c>
      <c r="J267" s="56">
        <f t="shared" si="702"/>
        <v>-0.47530990677184726</v>
      </c>
      <c r="K267" s="56">
        <f t="shared" si="702"/>
        <v>0.84505347290025246</v>
      </c>
      <c r="L267" s="56">
        <f t="shared" si="702"/>
        <v>0.84505347290025246</v>
      </c>
      <c r="M267" s="56">
        <f t="shared" si="702"/>
        <v>-0.55576269183810079</v>
      </c>
      <c r="N267" s="56">
        <f t="shared" si="702"/>
        <v>1.3617048357622763</v>
      </c>
      <c r="O267" s="56">
        <f t="shared" si="702"/>
        <v>1.7814682862512976</v>
      </c>
      <c r="P267" s="56">
        <f t="shared" si="702"/>
        <v>1.1126622488372804</v>
      </c>
      <c r="Q267" s="56">
        <f t="shared" si="702"/>
        <v>4.9204849535825881</v>
      </c>
      <c r="R267" s="56">
        <f t="shared" si="702"/>
        <v>2.6252825050084478</v>
      </c>
      <c r="S267" s="56">
        <f t="shared" si="702"/>
        <v>2.525074654083749</v>
      </c>
      <c r="T267" s="56">
        <f>(T259+SUM(T236))/-SUM(T234)</f>
        <v>5.028802493350172</v>
      </c>
      <c r="U267" s="56">
        <f>(U259+SUM(U236))/-SUM(U234)</f>
        <v>5.028802493350172</v>
      </c>
      <c r="V267" s="56"/>
      <c r="W267" s="104"/>
      <c r="X267" s="104"/>
      <c r="Y267" s="104"/>
      <c r="Z267" s="56">
        <f t="shared" ref="Z267:BZ267" si="703">(Z259+SUM(W236:Z236))/-SUM(W234:Z234)</f>
        <v>3.0070829595334372</v>
      </c>
      <c r="AA267" s="56">
        <f t="shared" si="703"/>
        <v>2.895366820301418</v>
      </c>
      <c r="AB267" s="56">
        <f t="shared" si="703"/>
        <v>2.8975523962861911</v>
      </c>
      <c r="AC267" s="56">
        <f t="shared" si="703"/>
        <v>3.7259641140667963</v>
      </c>
      <c r="AD267" s="56">
        <f t="shared" si="703"/>
        <v>2.7418315615761029</v>
      </c>
      <c r="AE267" s="56">
        <f t="shared" si="703"/>
        <v>3.1939168884115228</v>
      </c>
      <c r="AF267" s="56">
        <f t="shared" si="703"/>
        <v>3.5377433916345762</v>
      </c>
      <c r="AG267" s="56">
        <f t="shared" si="703"/>
        <v>3.2611280665748432</v>
      </c>
      <c r="AH267" s="56">
        <f t="shared" si="703"/>
        <v>3.1128149274447279</v>
      </c>
      <c r="AI267" s="56">
        <f t="shared" si="703"/>
        <v>1.1788274186940368</v>
      </c>
      <c r="AJ267" s="56">
        <f t="shared" si="703"/>
        <v>0.90350079706016118</v>
      </c>
      <c r="AK267" s="56">
        <f t="shared" si="703"/>
        <v>0.86741047119094905</v>
      </c>
      <c r="AL267" s="56">
        <f t="shared" si="703"/>
        <v>2.0848121772140678</v>
      </c>
      <c r="AM267" s="56">
        <f t="shared" si="703"/>
        <v>2.7098038958822253</v>
      </c>
      <c r="AN267" s="56">
        <f t="shared" si="703"/>
        <v>2.6407946078745161</v>
      </c>
      <c r="AO267" s="56">
        <f t="shared" si="703"/>
        <v>-0.53911315992489073</v>
      </c>
      <c r="AP267" s="56">
        <f t="shared" si="703"/>
        <v>-0.46740521896104181</v>
      </c>
      <c r="AQ267" s="56">
        <f t="shared" si="703"/>
        <v>0.26917754814064015</v>
      </c>
      <c r="AR267" s="56">
        <f t="shared" si="703"/>
        <v>0.23626279704107223</v>
      </c>
      <c r="AS267" s="56">
        <f t="shared" si="703"/>
        <v>1.1966245841940419</v>
      </c>
      <c r="AT267" s="56">
        <f t="shared" si="703"/>
        <v>0.84557665385613123</v>
      </c>
      <c r="AU267" s="56">
        <f t="shared" si="703"/>
        <v>-0.13524154185986939</v>
      </c>
      <c r="AV267" s="56">
        <f t="shared" si="703"/>
        <v>-0.9870951620277495</v>
      </c>
      <c r="AW267" s="56">
        <f t="shared" si="703"/>
        <v>-0.92124985861652342</v>
      </c>
      <c r="AX267" s="56">
        <f t="shared" si="703"/>
        <v>-0.55699936443227294</v>
      </c>
      <c r="AY267" s="56">
        <f t="shared" si="703"/>
        <v>-3.8447271481770788E-2</v>
      </c>
      <c r="AZ267" s="56">
        <f t="shared" si="703"/>
        <v>0.79549951552745979</v>
      </c>
      <c r="BA267" s="56">
        <f t="shared" si="703"/>
        <v>1.090891752626735</v>
      </c>
      <c r="BB267" s="56">
        <f t="shared" si="703"/>
        <v>1.3577942905259706</v>
      </c>
      <c r="BC267" s="56">
        <f t="shared" si="703"/>
        <v>1.9937153401376018</v>
      </c>
      <c r="BD267" s="56">
        <f t="shared" si="703"/>
        <v>2.595422530658436</v>
      </c>
      <c r="BE267" s="56">
        <f t="shared" si="703"/>
        <v>2.9921437995908269</v>
      </c>
      <c r="BF267" s="56">
        <f t="shared" si="703"/>
        <v>1.7585130393448747</v>
      </c>
      <c r="BG267" s="56">
        <f t="shared" si="703"/>
        <v>1.9068699957193922</v>
      </c>
      <c r="BH267" s="56">
        <f t="shared" si="703"/>
        <v>1.7476965484599161</v>
      </c>
      <c r="BI267" s="56">
        <f t="shared" si="703"/>
        <v>0.41260774785939097</v>
      </c>
      <c r="BJ267" s="56">
        <f t="shared" si="703"/>
        <v>1.1149784118400137</v>
      </c>
      <c r="BK267" s="56">
        <f t="shared" si="703"/>
        <v>1.3751592553557044</v>
      </c>
      <c r="BL267" s="56">
        <f t="shared" si="703"/>
        <v>1.0756040288739666</v>
      </c>
      <c r="BM267" s="56">
        <f t="shared" si="703"/>
        <v>2.6120297755376178</v>
      </c>
      <c r="BN267" s="56">
        <f t="shared" si="703"/>
        <v>4.916485973359543</v>
      </c>
      <c r="BO267" s="56">
        <f t="shared" si="703"/>
        <v>4.5546557375688232</v>
      </c>
      <c r="BP267" s="56">
        <f t="shared" si="703"/>
        <v>3.0619881115103391</v>
      </c>
      <c r="BQ267" s="56">
        <f t="shared" si="703"/>
        <v>2.9759800207517002</v>
      </c>
      <c r="BR267" s="56">
        <f t="shared" si="703"/>
        <v>2.6236103295014237</v>
      </c>
      <c r="BS267" s="56">
        <f t="shared" si="703"/>
        <v>2.1096094245244759</v>
      </c>
      <c r="BT267" s="56">
        <f t="shared" si="703"/>
        <v>2.280952900096497</v>
      </c>
      <c r="BU267" s="56">
        <f t="shared" si="703"/>
        <v>2.5743579635295721</v>
      </c>
      <c r="BV267" s="56">
        <f>(BV259+SUM(BS236:BV236))/-SUM(BS234:BV234)</f>
        <v>2.5174964885518709</v>
      </c>
      <c r="BW267" s="56">
        <f t="shared" si="703"/>
        <v>3.2862552897742754</v>
      </c>
      <c r="BX267" s="56">
        <f t="shared" si="703"/>
        <v>4.8891872041694082</v>
      </c>
      <c r="BY267" s="56">
        <f t="shared" si="703"/>
        <v>5.1854814017035027</v>
      </c>
      <c r="BZ267" s="56">
        <f t="shared" si="703"/>
        <v>5.0548618813577262</v>
      </c>
      <c r="CA267" s="56"/>
      <c r="CB267"/>
      <c r="CC267"/>
      <c r="CD267" s="56"/>
      <c r="CE267" s="56"/>
      <c r="CF267" s="56"/>
      <c r="CH267" s="56">
        <f>CH201</f>
        <v>1.1493549589519334</v>
      </c>
    </row>
    <row r="268" spans="2:86">
      <c r="B268" s="17" t="str">
        <f>B202</f>
        <v>EBITDA/Interest</v>
      </c>
      <c r="D268" s="57">
        <f t="shared" ref="D268:S268" si="704">D259/-SUM(D234)</f>
        <v>9.2946515397082656</v>
      </c>
      <c r="E268" s="57">
        <f t="shared" si="704"/>
        <v>6.8784928288822949</v>
      </c>
      <c r="F268" s="57">
        <f t="shared" si="704"/>
        <v>6.7951891435394165</v>
      </c>
      <c r="G268" s="57">
        <f t="shared" si="704"/>
        <v>7.4011164274322168</v>
      </c>
      <c r="H268" s="57">
        <f t="shared" si="704"/>
        <v>9.2813468291675267</v>
      </c>
      <c r="I268" s="57">
        <f t="shared" si="704"/>
        <v>10.388628762541806</v>
      </c>
      <c r="J268" s="57">
        <f t="shared" si="704"/>
        <v>6.0821637127343511</v>
      </c>
      <c r="K268" s="57">
        <f t="shared" si="704"/>
        <v>6.9135351150064714</v>
      </c>
      <c r="L268" s="57">
        <f t="shared" si="704"/>
        <v>6.9135351150064714</v>
      </c>
      <c r="M268" s="57">
        <f t="shared" si="704"/>
        <v>3.4519305247403862</v>
      </c>
      <c r="N268" s="57">
        <f t="shared" si="704"/>
        <v>3.3734237633303943</v>
      </c>
      <c r="O268" s="57">
        <f t="shared" si="704"/>
        <v>6.4716105142087699</v>
      </c>
      <c r="P268" s="57">
        <f t="shared" si="704"/>
        <v>4.4160789737666049</v>
      </c>
      <c r="Q268" s="57">
        <f t="shared" si="704"/>
        <v>10.723543569581272</v>
      </c>
      <c r="R268" s="57">
        <f t="shared" si="704"/>
        <v>6.3385497244462181</v>
      </c>
      <c r="S268" s="57">
        <f t="shared" si="704"/>
        <v>5.9836900772755239</v>
      </c>
      <c r="T268" s="57">
        <f>T259/-SUM(T234)</f>
        <v>8.1455439426099581</v>
      </c>
      <c r="U268" s="57">
        <f>U259/-SUM(U234)</f>
        <v>8.1455439426099581</v>
      </c>
      <c r="V268" s="57"/>
      <c r="W268" s="104"/>
      <c r="X268" s="104"/>
      <c r="Y268" s="104"/>
      <c r="Z268" s="57">
        <f t="shared" ref="Z268:BZ268" si="705">Z259/-SUM(W234:Z234)</f>
        <v>6.792805193538781</v>
      </c>
      <c r="AA268" s="57">
        <f t="shared" si="705"/>
        <v>7.0352786461675567</v>
      </c>
      <c r="AB268" s="57">
        <f t="shared" si="705"/>
        <v>6.7912768732442075</v>
      </c>
      <c r="AC268" s="57">
        <f t="shared" si="705"/>
        <v>7.389893820922679</v>
      </c>
      <c r="AD268" s="57">
        <f t="shared" si="705"/>
        <v>7.3820367769383894</v>
      </c>
      <c r="AE268" s="57">
        <f t="shared" si="705"/>
        <v>7.7362583834188641</v>
      </c>
      <c r="AF268" s="57">
        <f t="shared" si="705"/>
        <v>8.6605899549697369</v>
      </c>
      <c r="AG268" s="57">
        <f t="shared" si="705"/>
        <v>9.5428903077076335</v>
      </c>
      <c r="AH268" s="57">
        <f t="shared" si="705"/>
        <v>9.2755048661027359</v>
      </c>
      <c r="AI268" s="57">
        <f t="shared" si="705"/>
        <v>9.6058619870825446</v>
      </c>
      <c r="AJ268" s="57">
        <f t="shared" si="705"/>
        <v>9.573740100166324</v>
      </c>
      <c r="AK268" s="57">
        <f t="shared" si="705"/>
        <v>9.3928801524215686</v>
      </c>
      <c r="AL268" s="57">
        <f t="shared" si="705"/>
        <v>10.357596681761612</v>
      </c>
      <c r="AM268" s="57">
        <f t="shared" si="705"/>
        <v>10.615213797815814</v>
      </c>
      <c r="AN268" s="57">
        <f t="shared" si="705"/>
        <v>11.4618519652925</v>
      </c>
      <c r="AO268" s="57">
        <f t="shared" si="705"/>
        <v>11.341848988391613</v>
      </c>
      <c r="AP268" s="57">
        <f t="shared" si="705"/>
        <v>6.0803452965847793</v>
      </c>
      <c r="AQ268" s="57">
        <f t="shared" si="705"/>
        <v>5.6712019800222615</v>
      </c>
      <c r="AR268" s="57">
        <f t="shared" si="705"/>
        <v>5.4746944629426864</v>
      </c>
      <c r="AS268" s="57">
        <f t="shared" si="705"/>
        <v>5.2460177085601867</v>
      </c>
      <c r="AT268" s="57">
        <f t="shared" si="705"/>
        <v>6.9120754256259751</v>
      </c>
      <c r="AU268" s="57">
        <f t="shared" si="705"/>
        <v>4.6443939618571273</v>
      </c>
      <c r="AV268" s="57">
        <f t="shared" si="705"/>
        <v>4.3645419783337465</v>
      </c>
      <c r="AW268" s="57">
        <f t="shared" si="705"/>
        <v>3.9829973009846285</v>
      </c>
      <c r="AX268" s="57">
        <f t="shared" si="705"/>
        <v>3.4258821496555312</v>
      </c>
      <c r="AY268" s="57">
        <f t="shared" si="705"/>
        <v>3.1500701273181058</v>
      </c>
      <c r="AZ268" s="57">
        <f t="shared" si="705"/>
        <v>3.1268286600736093</v>
      </c>
      <c r="BA268" s="57">
        <f t="shared" si="705"/>
        <v>3.1610167405943863</v>
      </c>
      <c r="BB268" s="57">
        <f t="shared" si="705"/>
        <v>3.3671821960877719</v>
      </c>
      <c r="BC268" s="57">
        <f t="shared" si="705"/>
        <v>4.462105624362378</v>
      </c>
      <c r="BD268" s="57">
        <f t="shared" si="705"/>
        <v>5.7149989122395723</v>
      </c>
      <c r="BE268" s="57">
        <f t="shared" si="705"/>
        <v>6.6389231240091524</v>
      </c>
      <c r="BF268" s="57">
        <f t="shared" si="705"/>
        <v>6.4582494390004141</v>
      </c>
      <c r="BG268" s="57">
        <f t="shared" si="705"/>
        <v>7.0586876231519096</v>
      </c>
      <c r="BH268" s="57">
        <f t="shared" si="705"/>
        <v>6.348487400488481</v>
      </c>
      <c r="BI268" s="57">
        <f t="shared" si="705"/>
        <v>5.0751385288227304</v>
      </c>
      <c r="BJ268" s="57">
        <f t="shared" si="705"/>
        <v>4.4200794811238984</v>
      </c>
      <c r="BK268" s="57">
        <f t="shared" si="705"/>
        <v>4.6973366109354231</v>
      </c>
      <c r="BL268" s="57">
        <f t="shared" si="705"/>
        <v>4.876670486454791</v>
      </c>
      <c r="BM268" s="57">
        <f t="shared" si="705"/>
        <v>6.2724312952992092</v>
      </c>
      <c r="BN268" s="57">
        <f t="shared" si="705"/>
        <v>10.720982247079938</v>
      </c>
      <c r="BO268" s="57">
        <f t="shared" si="705"/>
        <v>10.332420085207904</v>
      </c>
      <c r="BP268" s="57">
        <f t="shared" si="705"/>
        <v>6.6874969412071454</v>
      </c>
      <c r="BQ268" s="57">
        <f t="shared" si="705"/>
        <v>6.466633674496733</v>
      </c>
      <c r="BR268" s="57">
        <f t="shared" si="705"/>
        <v>6.3349942370541541</v>
      </c>
      <c r="BS268" s="57">
        <f t="shared" si="705"/>
        <v>5.8051517007102484</v>
      </c>
      <c r="BT268" s="57">
        <f t="shared" si="705"/>
        <v>5.8460199370906771</v>
      </c>
      <c r="BU268" s="57">
        <f t="shared" si="705"/>
        <v>6.0441047115144029</v>
      </c>
      <c r="BV268" s="57">
        <f>BV259/-SUM(BS234:BV234)</f>
        <v>5.9695906672086165</v>
      </c>
      <c r="BW268" s="57">
        <f t="shared" si="705"/>
        <v>6.5716168690915122</v>
      </c>
      <c r="BX268" s="57">
        <f t="shared" si="705"/>
        <v>8.8440809049070648</v>
      </c>
      <c r="BY268" s="57">
        <f t="shared" si="705"/>
        <v>9.1759172767575592</v>
      </c>
      <c r="BZ268" s="57">
        <f t="shared" si="705"/>
        <v>8.1896248300235897</v>
      </c>
      <c r="CA268" s="57"/>
      <c r="CB268"/>
      <c r="CC268"/>
      <c r="CD268" s="57"/>
      <c r="CE268" s="57"/>
      <c r="CF268" s="57"/>
      <c r="CH268" s="57">
        <f>CH202</f>
        <v>3.1610738865200512</v>
      </c>
    </row>
    <row r="269" spans="2:86" s="20" customFormat="1"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104"/>
      <c r="X269" s="104"/>
      <c r="Y269" s="104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/>
      <c r="CC269"/>
      <c r="CD269" s="56"/>
      <c r="CE269" s="56"/>
      <c r="CF269" s="56"/>
      <c r="CH269" s="56"/>
    </row>
    <row r="270" spans="2:86">
      <c r="B270" s="17" t="str">
        <f>B204</f>
        <v xml:space="preserve">FCF( before Dividends) / Net Debt  </v>
      </c>
      <c r="D270" s="99">
        <f t="shared" ref="D270:S270" si="706">D238/D250</f>
        <v>-0.79831273185524221</v>
      </c>
      <c r="E270" s="99">
        <f t="shared" si="706"/>
        <v>-1.545577163553745E-3</v>
      </c>
      <c r="F270" s="99">
        <f t="shared" si="706"/>
        <v>8.3844727627769663E-2</v>
      </c>
      <c r="G270" s="99">
        <f t="shared" si="706"/>
        <v>5.865795437019717E-2</v>
      </c>
      <c r="H270" s="99">
        <f t="shared" si="706"/>
        <v>4.3605806000535444E-2</v>
      </c>
      <c r="I270" s="99">
        <f t="shared" si="706"/>
        <v>5.9304256381112315E-2</v>
      </c>
      <c r="J270" s="99">
        <f t="shared" si="706"/>
        <v>-3.0180489075754043E-2</v>
      </c>
      <c r="K270" s="99">
        <f t="shared" si="706"/>
        <v>-3.6749232687035768E-2</v>
      </c>
      <c r="L270" s="99">
        <f t="shared" si="706"/>
        <v>-2.9635389905022364E-2</v>
      </c>
      <c r="M270" s="99">
        <f t="shared" si="706"/>
        <v>-0.16679905855450169</v>
      </c>
      <c r="N270" s="99">
        <f t="shared" si="706"/>
        <v>-0.138810375273871</v>
      </c>
      <c r="O270" s="99">
        <f t="shared" si="706"/>
        <v>2.0743135747011823E-2</v>
      </c>
      <c r="P270" s="99">
        <f t="shared" si="706"/>
        <v>-2.5454589940240531E-2</v>
      </c>
      <c r="Q270" s="99">
        <f t="shared" si="706"/>
        <v>8.8770907014845607E-2</v>
      </c>
      <c r="R270" s="99">
        <f t="shared" si="706"/>
        <v>0.10656504225380062</v>
      </c>
      <c r="S270" s="99">
        <f t="shared" si="706"/>
        <v>0.14838993816064336</v>
      </c>
      <c r="T270" s="99">
        <f>T238/T250</f>
        <v>0.39099042061348427</v>
      </c>
      <c r="U270" s="99">
        <f>U238/U250</f>
        <v>0.39099042061348427</v>
      </c>
      <c r="V270" s="856"/>
      <c r="W270" s="104"/>
      <c r="X270" s="104"/>
      <c r="Y270" s="104"/>
      <c r="Z270" s="99">
        <f t="shared" ref="Z270:BZ270" si="707">SUM(W238:Z238)/Z250</f>
        <v>8.4024527232433699E-2</v>
      </c>
      <c r="AA270" s="99">
        <f t="shared" si="707"/>
        <v>0.13009044061564418</v>
      </c>
      <c r="AB270" s="99">
        <f t="shared" si="707"/>
        <v>0.14490689210971791</v>
      </c>
      <c r="AC270" s="99">
        <f t="shared" si="707"/>
        <v>0.16069543568553404</v>
      </c>
      <c r="AD270" s="99">
        <f t="shared" si="707"/>
        <v>6.3163222540543407E-2</v>
      </c>
      <c r="AE270" s="99">
        <f t="shared" si="707"/>
        <v>5.6439682487194387E-2</v>
      </c>
      <c r="AF270" s="99">
        <f t="shared" si="707"/>
        <v>6.9346952776928705E-2</v>
      </c>
      <c r="AG270" s="99">
        <f t="shared" si="707"/>
        <v>4.9619419517423838E-2</v>
      </c>
      <c r="AH270" s="99">
        <f t="shared" si="707"/>
        <v>4.5868492279799555E-2</v>
      </c>
      <c r="AI270" s="99">
        <f t="shared" si="707"/>
        <v>-3.9021357925038629E-2</v>
      </c>
      <c r="AJ270" s="99">
        <f t="shared" si="707"/>
        <v>-2.2544304469495163E-2</v>
      </c>
      <c r="AK270" s="99">
        <f t="shared" si="707"/>
        <v>-2.4524234240455287E-3</v>
      </c>
      <c r="AL270" s="99">
        <f t="shared" si="707"/>
        <v>5.8381357340084809E-2</v>
      </c>
      <c r="AM270" s="99">
        <f t="shared" si="707"/>
        <v>0.11775226662206906</v>
      </c>
      <c r="AN270" s="99">
        <f t="shared" si="707"/>
        <v>0.11613787962761497</v>
      </c>
      <c r="AO270" s="99">
        <f t="shared" si="707"/>
        <v>-1.2405321919590755E-3</v>
      </c>
      <c r="AP270" s="99">
        <f t="shared" si="707"/>
        <v>-2.9542392701036667E-2</v>
      </c>
      <c r="AQ270" s="99">
        <f t="shared" si="707"/>
        <v>3.6644778888657699E-4</v>
      </c>
      <c r="AR270" s="99">
        <f t="shared" si="707"/>
        <v>-4.2401953234079068E-2</v>
      </c>
      <c r="AS270" s="99">
        <f t="shared" si="707"/>
        <v>9.5644828236118445E-3</v>
      </c>
      <c r="AT270" s="99">
        <f t="shared" si="707"/>
        <v>-3.682623550544778E-2</v>
      </c>
      <c r="AU270" s="99">
        <f t="shared" si="707"/>
        <v>-0.14861594075703183</v>
      </c>
      <c r="AV270" s="99">
        <f t="shared" si="707"/>
        <v>-0.19762920242468487</v>
      </c>
      <c r="AW270" s="99">
        <f t="shared" si="707"/>
        <v>-0.19887106487520526</v>
      </c>
      <c r="AX270" s="99">
        <f t="shared" si="707"/>
        <v>-0.16800535164195785</v>
      </c>
      <c r="AY270" s="99">
        <f t="shared" si="707"/>
        <v>-0.12879468360150556</v>
      </c>
      <c r="AZ270" s="99">
        <f t="shared" si="707"/>
        <v>-6.519268123664107E-2</v>
      </c>
      <c r="BA270" s="99">
        <f t="shared" si="707"/>
        <v>-2.4861038312880727E-2</v>
      </c>
      <c r="BB270" s="99">
        <f t="shared" si="707"/>
        <v>-0.13432035911416967</v>
      </c>
      <c r="BC270" s="99">
        <f t="shared" si="707"/>
        <v>-8.3700424859205619E-2</v>
      </c>
      <c r="BD270" s="99">
        <f t="shared" si="707"/>
        <v>-4.4007886145170427E-2</v>
      </c>
      <c r="BE270" s="99">
        <f t="shared" si="707"/>
        <v>-4.2203202734306861E-2</v>
      </c>
      <c r="BF270" s="99">
        <f t="shared" si="707"/>
        <v>1.957808852500011E-2</v>
      </c>
      <c r="BG270" s="99">
        <f t="shared" si="707"/>
        <v>1.3376380936330904E-2</v>
      </c>
      <c r="BH270" s="99">
        <f t="shared" si="707"/>
        <v>1.3926856245111556E-2</v>
      </c>
      <c r="BI270" s="99">
        <f t="shared" si="707"/>
        <v>-5.4043401411926005E-2</v>
      </c>
      <c r="BJ270" s="99">
        <f t="shared" si="707"/>
        <v>-2.5243627246095024E-2</v>
      </c>
      <c r="BK270" s="99">
        <f t="shared" si="707"/>
        <v>9.4263280554511136E-3</v>
      </c>
      <c r="BL270" s="99">
        <f t="shared" si="707"/>
        <v>-2.9615940279845904E-2</v>
      </c>
      <c r="BM270" s="99">
        <f t="shared" si="707"/>
        <v>4.8565487434475287E-2</v>
      </c>
      <c r="BN270" s="99">
        <f t="shared" si="707"/>
        <v>8.9016573319889034E-2</v>
      </c>
      <c r="BO270" s="99">
        <f t="shared" si="707"/>
        <v>8.4939728349662638E-2</v>
      </c>
      <c r="BP270" s="99">
        <f t="shared" si="707"/>
        <v>9.7273365702138584E-2</v>
      </c>
      <c r="BQ270" s="99">
        <f t="shared" si="707"/>
        <v>0.10588381886495896</v>
      </c>
      <c r="BR270" s="99">
        <f t="shared" si="707"/>
        <v>0.10649128070872114</v>
      </c>
      <c r="BS270" s="99">
        <f t="shared" si="707"/>
        <v>8.5566641472551622E-2</v>
      </c>
      <c r="BT270" s="99">
        <f t="shared" si="707"/>
        <v>0.11163885871643495</v>
      </c>
      <c r="BU270" s="99">
        <f t="shared" si="707"/>
        <v>0.15765788669252009</v>
      </c>
      <c r="BV270" s="99">
        <f>SUM(BS238:BV238)/BV250</f>
        <v>0.14843377050851023</v>
      </c>
      <c r="BW270" s="99">
        <f t="shared" si="707"/>
        <v>0.22283365349740039</v>
      </c>
      <c r="BX270" s="99">
        <f t="shared" si="707"/>
        <v>0.27649929688434144</v>
      </c>
      <c r="BY270" s="99">
        <f t="shared" si="707"/>
        <v>0.31327620774539261</v>
      </c>
      <c r="BZ270" s="99">
        <f t="shared" si="707"/>
        <v>0.39236251071209505</v>
      </c>
      <c r="CA270" s="99"/>
      <c r="CB270"/>
      <c r="CC270"/>
      <c r="CD270" s="856"/>
      <c r="CE270" s="856"/>
      <c r="CF270" s="856"/>
      <c r="CH270" s="99">
        <f>CH204</f>
        <v>-0.1471335829565599</v>
      </c>
    </row>
    <row r="271" spans="2:86" s="20" customFormat="1" ht="13.5" thickBot="1">
      <c r="B271" s="783" t="str">
        <f>B205</f>
        <v xml:space="preserve">Gearing (Net debt / Equity) </v>
      </c>
      <c r="C271" s="783"/>
      <c r="D271" s="784">
        <f t="shared" ref="D271:S271" si="708">D250/D257</f>
        <v>1.1613250657167045</v>
      </c>
      <c r="E271" s="784">
        <f t="shared" si="708"/>
        <v>1.2184043701106015</v>
      </c>
      <c r="F271" s="784">
        <f t="shared" si="708"/>
        <v>1.0725310076599635</v>
      </c>
      <c r="G271" s="784">
        <f t="shared" si="708"/>
        <v>0.94646235042882021</v>
      </c>
      <c r="H271" s="784">
        <f t="shared" si="708"/>
        <v>1.0004913374494764</v>
      </c>
      <c r="I271" s="784">
        <f t="shared" si="708"/>
        <v>1.2356595089902223</v>
      </c>
      <c r="J271" s="784">
        <f t="shared" si="708"/>
        <v>1.3057056717694968</v>
      </c>
      <c r="K271" s="784">
        <f t="shared" si="708"/>
        <v>1.3032612066885942</v>
      </c>
      <c r="L271" s="784">
        <f t="shared" si="708"/>
        <v>1.2777052058004705</v>
      </c>
      <c r="M271" s="784">
        <f t="shared" si="708"/>
        <v>1.3301069266926311</v>
      </c>
      <c r="N271" s="784">
        <f t="shared" si="708"/>
        <v>1.1638070426170577</v>
      </c>
      <c r="O271" s="784">
        <f t="shared" si="708"/>
        <v>1.8283136312488766</v>
      </c>
      <c r="P271" s="784">
        <f t="shared" si="708"/>
        <v>1.7437026159786806</v>
      </c>
      <c r="Q271" s="784">
        <f t="shared" si="708"/>
        <v>2.002233092800648</v>
      </c>
      <c r="R271" s="784">
        <f t="shared" si="708"/>
        <v>1.9386002222350636</v>
      </c>
      <c r="S271" s="784">
        <f t="shared" si="708"/>
        <v>1.3282169472794603</v>
      </c>
      <c r="T271" s="784">
        <f>T250/T257</f>
        <v>0.84091621190487609</v>
      </c>
      <c r="U271" s="784">
        <f>U250/U257</f>
        <v>0.84091621190487609</v>
      </c>
      <c r="V271" s="56"/>
      <c r="W271" s="785"/>
      <c r="X271" s="785"/>
      <c r="Y271" s="785"/>
      <c r="Z271" s="784">
        <f>Z250/Z257</f>
        <v>1.0725310076599635</v>
      </c>
      <c r="AA271" s="784">
        <f t="shared" ref="AA271:BV271" si="709">AA250/AA257</f>
        <v>0.94858432426058059</v>
      </c>
      <c r="AB271" s="784">
        <f t="shared" si="709"/>
        <v>0.97532514812700999</v>
      </c>
      <c r="AC271" s="784">
        <f t="shared" si="709"/>
        <v>0.90964753781452934</v>
      </c>
      <c r="AD271" s="784">
        <f t="shared" si="709"/>
        <v>0.94646235042882021</v>
      </c>
      <c r="AE271" s="784">
        <f t="shared" si="709"/>
        <v>0.88827271972113941</v>
      </c>
      <c r="AF271" s="784">
        <f t="shared" si="709"/>
        <v>0.94323243410420221</v>
      </c>
      <c r="AG271" s="784">
        <f t="shared" si="709"/>
        <v>1.0237971240036026</v>
      </c>
      <c r="AH271" s="784">
        <f t="shared" si="709"/>
        <v>1.0004913374494764</v>
      </c>
      <c r="AI271" s="784">
        <f t="shared" si="709"/>
        <v>1.0204496134468313</v>
      </c>
      <c r="AJ271" s="784">
        <f t="shared" si="709"/>
        <v>1.0941497383816499</v>
      </c>
      <c r="AK271" s="784">
        <f t="shared" si="709"/>
        <v>1.1940497920731103</v>
      </c>
      <c r="AL271" s="784">
        <f t="shared" si="709"/>
        <v>1.2356595089902223</v>
      </c>
      <c r="AM271" s="784">
        <f t="shared" si="709"/>
        <v>1.2794347379535143</v>
      </c>
      <c r="AN271" s="784">
        <f t="shared" si="709"/>
        <v>1.2729682236236259</v>
      </c>
      <c r="AO271" s="784">
        <f t="shared" si="709"/>
        <v>1.5023629599488462</v>
      </c>
      <c r="AP271" s="784">
        <f t="shared" si="709"/>
        <v>1.3057056717694968</v>
      </c>
      <c r="AQ271" s="784">
        <f t="shared" si="709"/>
        <v>1.2446459184417011</v>
      </c>
      <c r="AR271" s="784">
        <f t="shared" si="709"/>
        <v>1.2556046264728764</v>
      </c>
      <c r="AS271" s="784">
        <f t="shared" si="709"/>
        <v>1.2072599947273317</v>
      </c>
      <c r="AT271" s="784">
        <f t="shared" si="709"/>
        <v>1.3032612066885942</v>
      </c>
      <c r="AU271" s="784">
        <f t="shared" si="709"/>
        <v>1.3749061966881857</v>
      </c>
      <c r="AV271" s="784">
        <f t="shared" si="709"/>
        <v>1.5502004326187404</v>
      </c>
      <c r="AW271" s="784">
        <f t="shared" si="709"/>
        <v>1.3376069064592437</v>
      </c>
      <c r="AX271" s="784">
        <f t="shared" si="709"/>
        <v>1.3301069266926309</v>
      </c>
      <c r="AY271" s="784">
        <f t="shared" si="709"/>
        <v>1.1211102321792756</v>
      </c>
      <c r="AZ271" s="784">
        <f t="shared" si="709"/>
        <v>1.3573135115903425</v>
      </c>
      <c r="BA271" s="784">
        <f t="shared" si="709"/>
        <v>1.2611799727415851</v>
      </c>
      <c r="BB271" s="784">
        <f t="shared" si="709"/>
        <v>1.1638070426170577</v>
      </c>
      <c r="BC271" s="784">
        <f t="shared" si="709"/>
        <v>1.3575746702252618</v>
      </c>
      <c r="BD271" s="784">
        <f t="shared" si="709"/>
        <v>1.6351908345136841</v>
      </c>
      <c r="BE271" s="784">
        <f t="shared" si="709"/>
        <v>1.8940919385774353</v>
      </c>
      <c r="BF271" s="784">
        <f t="shared" si="709"/>
        <v>1.8283136312488766</v>
      </c>
      <c r="BG271" s="784">
        <f t="shared" si="709"/>
        <v>1.9443749444236689</v>
      </c>
      <c r="BH271" s="784">
        <f t="shared" si="709"/>
        <v>1.9896602817899358</v>
      </c>
      <c r="BI271" s="784">
        <f t="shared" si="709"/>
        <v>1.7928748832500778</v>
      </c>
      <c r="BJ271" s="784">
        <f t="shared" si="709"/>
        <v>1.7437026159786806</v>
      </c>
      <c r="BK271" s="784">
        <f t="shared" si="709"/>
        <v>1.7685031756990428</v>
      </c>
      <c r="BL271" s="784">
        <f t="shared" si="709"/>
        <v>2.0847542709752904</v>
      </c>
      <c r="BM271" s="784">
        <f t="shared" si="709"/>
        <v>2.0521676361938237</v>
      </c>
      <c r="BN271" s="784">
        <f t="shared" si="709"/>
        <v>2.002233092800648</v>
      </c>
      <c r="BO271" s="784">
        <f t="shared" si="709"/>
        <v>2.0157433095301172</v>
      </c>
      <c r="BP271" s="784">
        <f t="shared" si="709"/>
        <v>2.0019085542551345</v>
      </c>
      <c r="BQ271" s="784">
        <f t="shared" si="709"/>
        <v>1.9514847861210718</v>
      </c>
      <c r="BR271" s="784">
        <f t="shared" si="709"/>
        <v>1.9386002222350636</v>
      </c>
      <c r="BS271" s="784">
        <f t="shared" si="709"/>
        <v>1.8082109369072643</v>
      </c>
      <c r="BT271" s="784">
        <f t="shared" si="709"/>
        <v>1.9966682683154586</v>
      </c>
      <c r="BU271" s="784">
        <f t="shared" si="709"/>
        <v>1.2983273713732144</v>
      </c>
      <c r="BV271" s="784">
        <f t="shared" si="709"/>
        <v>1.3282169472794603</v>
      </c>
      <c r="BW271" s="784">
        <f>BW250/BW257</f>
        <v>1.1917981041156294</v>
      </c>
      <c r="BX271" s="784">
        <f>BX250/BX257</f>
        <v>1.2142703019569205</v>
      </c>
      <c r="BY271" s="784">
        <f>BY250/BY257</f>
        <v>1.0805115106462162</v>
      </c>
      <c r="BZ271" s="784">
        <f>BZ250/BZ257</f>
        <v>0.84091621190487609</v>
      </c>
      <c r="CA271" s="56"/>
      <c r="CB271"/>
      <c r="CC271"/>
      <c r="CD271" s="56"/>
      <c r="CE271" s="56"/>
      <c r="CF271" s="56"/>
      <c r="CH271" s="784">
        <f>CH205</f>
        <v>1.1884129347771897</v>
      </c>
    </row>
    <row r="272" spans="2:86" s="20" customFormat="1" ht="13.5" thickTop="1"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H272" s="56"/>
    </row>
  </sheetData>
  <pageMargins left="0.7" right="0.7" top="0.75" bottom="0.75" header="0.3" footer="0.3"/>
  <pageSetup orientation="portrait" r:id="rId1"/>
  <headerFooter>
    <oddFooter>&amp;C_x000D_&amp;1#&amp;"Aptos"&amp;10&amp;K000000 Barings-Corporate</oddFooter>
  </headerFooter>
  <ignoredErrors>
    <ignoredError sqref="W168:BE176 N168:N176 BJ28 BJ87 BJ82 BJ7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9BEB-D690-457B-9326-0BAEC94F9768}">
  <dimension ref="B2:BE241"/>
  <sheetViews>
    <sheetView zoomScaleNormal="100" workbookViewId="0">
      <pane xSplit="2" ySplit="4" topLeftCell="C5" activePane="bottomRight" state="frozen"/>
      <selection pane="topRight" activeCell="CA1" sqref="CA1"/>
      <selection pane="bottomLeft" activeCell="CA1" sqref="CA1"/>
      <selection pane="bottomRight" activeCell="CA1" sqref="CA1"/>
    </sheetView>
  </sheetViews>
  <sheetFormatPr defaultColWidth="9.1796875" defaultRowHeight="13" outlineLevelRow="1" outlineLevelCol="1"/>
  <cols>
    <col min="1" max="1" width="2.7265625" style="108" customWidth="1"/>
    <col min="2" max="2" width="50.7265625" style="3" customWidth="1"/>
    <col min="3" max="13" width="12.7265625" style="899" customWidth="1"/>
    <col min="14" max="47" width="12.7265625" style="109" hidden="1" customWidth="1" outlineLevel="1"/>
    <col min="48" max="56" width="12.7265625" style="108" hidden="1" customWidth="1" outlineLevel="1"/>
    <col min="57" max="57" width="12.7265625" style="108" customWidth="1" collapsed="1"/>
    <col min="58" max="61" width="12.7265625" style="108" customWidth="1"/>
    <col min="62" max="16384" width="9.1796875" style="108"/>
  </cols>
  <sheetData>
    <row r="2" spans="2:57" s="15" customFormat="1" ht="18.5">
      <c r="B2" s="772" t="s">
        <v>259</v>
      </c>
      <c r="C2" s="17"/>
      <c r="D2" s="1167" t="s">
        <v>260</v>
      </c>
      <c r="E2" s="1167" t="s">
        <v>261</v>
      </c>
      <c r="F2" s="1167" t="s">
        <v>262</v>
      </c>
      <c r="G2" s="1167" t="s">
        <v>263</v>
      </c>
      <c r="H2" s="1167" t="s">
        <v>264</v>
      </c>
      <c r="I2" s="1167" t="s">
        <v>265</v>
      </c>
      <c r="J2" s="1167" t="s">
        <v>266</v>
      </c>
      <c r="K2" s="1167" t="s">
        <v>267</v>
      </c>
      <c r="L2" s="1167" t="s">
        <v>268</v>
      </c>
      <c r="M2" s="1167" t="s">
        <v>269</v>
      </c>
      <c r="N2" s="18" t="s">
        <v>270</v>
      </c>
      <c r="O2" s="18" t="s">
        <v>271</v>
      </c>
      <c r="P2" s="18" t="s">
        <v>272</v>
      </c>
      <c r="Q2" s="18" t="s">
        <v>273</v>
      </c>
      <c r="R2" s="18" t="s">
        <v>274</v>
      </c>
      <c r="S2" s="18" t="s">
        <v>275</v>
      </c>
      <c r="T2" s="18" t="s">
        <v>276</v>
      </c>
      <c r="U2" s="18" t="s">
        <v>277</v>
      </c>
      <c r="V2" s="18" t="s">
        <v>278</v>
      </c>
      <c r="W2" s="18" t="s">
        <v>279</v>
      </c>
      <c r="X2" s="18" t="s">
        <v>280</v>
      </c>
      <c r="Y2" s="18" t="s">
        <v>281</v>
      </c>
      <c r="Z2" s="18" t="s">
        <v>282</v>
      </c>
      <c r="AA2" s="18" t="s">
        <v>283</v>
      </c>
      <c r="AB2" s="18" t="s">
        <v>284</v>
      </c>
      <c r="AC2" s="18" t="s">
        <v>285</v>
      </c>
      <c r="AD2" s="18" t="s">
        <v>286</v>
      </c>
      <c r="AE2" s="18" t="s">
        <v>287</v>
      </c>
      <c r="AF2" s="18" t="s">
        <v>288</v>
      </c>
      <c r="AG2" s="18" t="s">
        <v>289</v>
      </c>
      <c r="AH2" s="18" t="s">
        <v>290</v>
      </c>
      <c r="AI2" s="18" t="s">
        <v>291</v>
      </c>
      <c r="AJ2" s="18" t="s">
        <v>292</v>
      </c>
      <c r="AK2" s="18" t="s">
        <v>293</v>
      </c>
      <c r="AL2" s="18" t="s">
        <v>294</v>
      </c>
      <c r="AM2" s="18" t="s">
        <v>295</v>
      </c>
      <c r="AN2" s="18" t="s">
        <v>296</v>
      </c>
      <c r="AO2" s="18" t="s">
        <v>297</v>
      </c>
      <c r="AP2" s="18" t="s">
        <v>298</v>
      </c>
      <c r="AQ2" s="18" t="s">
        <v>299</v>
      </c>
      <c r="AR2" s="18" t="s">
        <v>300</v>
      </c>
      <c r="AS2" s="18" t="s">
        <v>301</v>
      </c>
      <c r="AT2" s="18" t="s">
        <v>302</v>
      </c>
      <c r="AU2" s="18" t="s">
        <v>303</v>
      </c>
      <c r="AV2" s="18" t="s">
        <v>304</v>
      </c>
      <c r="AW2" s="18" t="s">
        <v>305</v>
      </c>
      <c r="AX2" s="18" t="s">
        <v>304</v>
      </c>
      <c r="AY2" s="18" t="s">
        <v>306</v>
      </c>
      <c r="AZ2" s="18" t="s">
        <v>307</v>
      </c>
      <c r="BA2" s="18" t="s">
        <v>308</v>
      </c>
      <c r="BB2" s="18" t="s">
        <v>309</v>
      </c>
      <c r="BC2" s="18" t="s">
        <v>310</v>
      </c>
      <c r="BD2" s="889" t="s">
        <v>311</v>
      </c>
      <c r="BE2" s="1048"/>
    </row>
    <row r="3" spans="2:57" s="793" customFormat="1">
      <c r="B3" s="975"/>
      <c r="C3" s="1129"/>
      <c r="D3" s="1137">
        <v>46112</v>
      </c>
      <c r="E3" s="1137">
        <v>46022</v>
      </c>
      <c r="F3" s="1137">
        <v>45930</v>
      </c>
      <c r="G3" s="1137">
        <v>45838</v>
      </c>
      <c r="H3" s="1137">
        <v>45746</v>
      </c>
      <c r="I3" s="1137">
        <v>45656</v>
      </c>
      <c r="J3" s="1137">
        <v>45565</v>
      </c>
      <c r="K3" s="1137">
        <v>45473</v>
      </c>
      <c r="L3" s="1137">
        <v>45382</v>
      </c>
      <c r="M3" s="1137">
        <v>45290</v>
      </c>
      <c r="N3" s="1138">
        <v>45199</v>
      </c>
      <c r="O3" s="1138">
        <v>45107</v>
      </c>
      <c r="P3" s="1138">
        <v>45016</v>
      </c>
      <c r="Q3" s="1138">
        <v>44926</v>
      </c>
      <c r="R3" s="1138">
        <v>44834</v>
      </c>
      <c r="S3" s="1138">
        <v>44742</v>
      </c>
      <c r="T3" s="1138">
        <v>44651</v>
      </c>
      <c r="U3" s="1138">
        <v>44561</v>
      </c>
      <c r="V3" s="1138">
        <v>44469</v>
      </c>
      <c r="W3" s="1138">
        <v>44377</v>
      </c>
      <c r="X3" s="1138">
        <v>44286</v>
      </c>
      <c r="Y3" s="1138">
        <v>44196</v>
      </c>
      <c r="Z3" s="1138">
        <v>44104</v>
      </c>
      <c r="AA3" s="1138">
        <v>44012</v>
      </c>
      <c r="AB3" s="1138">
        <v>43921</v>
      </c>
      <c r="AC3" s="1138">
        <v>43830</v>
      </c>
      <c r="AD3" s="1138">
        <v>43738</v>
      </c>
      <c r="AE3" s="1138">
        <v>43646</v>
      </c>
      <c r="AF3" s="1138">
        <v>43555</v>
      </c>
      <c r="AG3" s="1139">
        <v>43465</v>
      </c>
      <c r="AH3" s="1139">
        <v>43373</v>
      </c>
      <c r="AI3" s="1139">
        <v>43281</v>
      </c>
      <c r="AJ3" s="1138">
        <v>43190</v>
      </c>
      <c r="AK3" s="1138">
        <v>43100</v>
      </c>
      <c r="AL3" s="1139">
        <v>43008</v>
      </c>
      <c r="AM3" s="1139">
        <v>42916</v>
      </c>
      <c r="AN3" s="1138">
        <v>42825</v>
      </c>
      <c r="AO3" s="1138">
        <v>42735</v>
      </c>
      <c r="AP3" s="1138">
        <v>42643</v>
      </c>
      <c r="AQ3" s="1138">
        <v>42551</v>
      </c>
      <c r="AR3" s="1138">
        <v>42460</v>
      </c>
      <c r="AS3" s="1138">
        <v>42369</v>
      </c>
      <c r="AT3" s="1138">
        <v>42277</v>
      </c>
      <c r="AU3" s="1138">
        <v>42185</v>
      </c>
      <c r="AV3" s="1138">
        <v>42094</v>
      </c>
      <c r="AW3" s="1140">
        <v>42004</v>
      </c>
      <c r="AX3" s="1141">
        <v>41912</v>
      </c>
      <c r="AY3" s="1141">
        <v>41820</v>
      </c>
      <c r="AZ3" s="1141">
        <v>41729</v>
      </c>
      <c r="BA3" s="1141">
        <v>41639</v>
      </c>
      <c r="BB3" s="1141">
        <v>41547</v>
      </c>
      <c r="BC3" s="1141">
        <v>41455</v>
      </c>
      <c r="BD3" s="1139">
        <v>41364</v>
      </c>
    </row>
    <row r="4" spans="2:57" s="793" customFormat="1">
      <c r="B4" s="1135"/>
      <c r="C4" s="1129"/>
      <c r="D4" s="1136"/>
      <c r="E4" s="1136"/>
      <c r="F4" s="1136"/>
      <c r="G4" s="1136"/>
      <c r="H4" s="1136"/>
      <c r="I4" s="1136"/>
      <c r="J4" s="1136"/>
      <c r="K4" s="1136"/>
      <c r="L4" s="1136"/>
      <c r="M4" s="1136"/>
      <c r="N4" s="1131"/>
      <c r="O4" s="1131"/>
      <c r="P4" s="1131"/>
      <c r="Q4" s="1131"/>
      <c r="R4" s="1131"/>
      <c r="S4" s="1131"/>
      <c r="T4" s="1131"/>
      <c r="U4" s="1131"/>
      <c r="V4" s="1131"/>
      <c r="W4" s="1131"/>
      <c r="X4" s="1131"/>
      <c r="Y4" s="1131"/>
      <c r="Z4" s="1131"/>
      <c r="AA4" s="1131"/>
      <c r="AB4" s="1131"/>
      <c r="AC4" s="1131"/>
      <c r="AD4" s="1131"/>
      <c r="AE4" s="1131"/>
      <c r="AF4" s="1131"/>
      <c r="AG4" s="1132"/>
      <c r="AH4" s="1132"/>
      <c r="AI4" s="1132"/>
      <c r="AJ4" s="1131"/>
      <c r="AK4" s="1131"/>
      <c r="AL4" s="1132"/>
      <c r="AM4" s="1132"/>
      <c r="AN4" s="1131"/>
      <c r="AO4" s="1131"/>
      <c r="AP4" s="1131"/>
      <c r="AQ4" s="1131"/>
      <c r="AR4" s="1131"/>
      <c r="AS4" s="1131"/>
      <c r="AT4" s="1131"/>
      <c r="AU4" s="1131"/>
      <c r="AV4" s="1131"/>
      <c r="AW4" s="1133"/>
      <c r="AX4" s="1134"/>
      <c r="AY4" s="1134"/>
      <c r="AZ4" s="1134"/>
      <c r="BA4" s="1134"/>
      <c r="BB4" s="1134"/>
      <c r="BC4" s="1134"/>
      <c r="BD4" s="1132"/>
    </row>
    <row r="5" spans="2:57" s="793" customFormat="1">
      <c r="B5" s="975"/>
      <c r="C5" s="1129"/>
      <c r="D5" s="1130"/>
      <c r="E5" s="1130"/>
      <c r="F5" s="1130"/>
      <c r="G5" s="1130"/>
      <c r="H5" s="1130"/>
      <c r="I5" s="1130"/>
      <c r="J5" s="1130"/>
      <c r="K5" s="1130"/>
      <c r="L5" s="1130"/>
      <c r="M5" s="1130"/>
      <c r="N5" s="1131"/>
      <c r="O5" s="1131"/>
      <c r="P5" s="1131"/>
      <c r="Q5" s="1131"/>
      <c r="R5" s="1131"/>
      <c r="S5" s="1131"/>
      <c r="T5" s="1131"/>
      <c r="U5" s="1131"/>
      <c r="V5" s="1131"/>
      <c r="W5" s="1131"/>
      <c r="X5" s="1131"/>
      <c r="Y5" s="1131"/>
      <c r="Z5" s="1131"/>
      <c r="AA5" s="1131"/>
      <c r="AB5" s="1131"/>
      <c r="AC5" s="1131"/>
      <c r="AD5" s="1131"/>
      <c r="AE5" s="1131"/>
      <c r="AF5" s="1131"/>
      <c r="AG5" s="1132"/>
      <c r="AH5" s="1132"/>
      <c r="AI5" s="1132"/>
      <c r="AJ5" s="1131"/>
      <c r="AK5" s="1131"/>
      <c r="AL5" s="1132"/>
      <c r="AM5" s="1132"/>
      <c r="AN5" s="1131"/>
      <c r="AO5" s="1131"/>
      <c r="AP5" s="1131"/>
      <c r="AQ5" s="1131"/>
      <c r="AR5" s="1131"/>
      <c r="AS5" s="1131"/>
      <c r="AT5" s="1131"/>
      <c r="AU5" s="1131"/>
      <c r="AV5" s="1131"/>
      <c r="AW5" s="1133"/>
      <c r="AX5" s="1134"/>
      <c r="AY5" s="1134"/>
      <c r="AZ5" s="1134"/>
      <c r="BA5" s="1134"/>
      <c r="BB5" s="1134"/>
      <c r="BC5" s="1134"/>
      <c r="BD5" s="1132"/>
    </row>
    <row r="6" spans="2:57">
      <c r="B6" s="1202" t="s">
        <v>312</v>
      </c>
      <c r="D6" s="894">
        <v>553832</v>
      </c>
      <c r="E6" s="894">
        <v>539816</v>
      </c>
      <c r="F6" s="894">
        <v>521454</v>
      </c>
      <c r="G6" s="894">
        <v>494626</v>
      </c>
      <c r="H6" s="894">
        <v>478762</v>
      </c>
      <c r="I6" s="894">
        <v>468780.32457629067</v>
      </c>
      <c r="J6" s="894">
        <v>448963.34254447394</v>
      </c>
      <c r="K6" s="894">
        <v>418604.61993616348</v>
      </c>
      <c r="L6" s="894">
        <v>409376.96008970332</v>
      </c>
      <c r="M6" s="894">
        <v>414217.73803611309</v>
      </c>
      <c r="N6" s="770">
        <v>370437.57600859192</v>
      </c>
      <c r="O6" s="770">
        <v>374400.45076204202</v>
      </c>
      <c r="P6" s="770">
        <v>360090</v>
      </c>
      <c r="Q6" s="770">
        <v>358044</v>
      </c>
      <c r="R6" s="770">
        <v>345268</v>
      </c>
      <c r="S6" s="770">
        <v>328046</v>
      </c>
      <c r="T6" s="770">
        <v>315003.00430554175</v>
      </c>
      <c r="U6" s="770">
        <v>298666</v>
      </c>
      <c r="V6" s="770">
        <v>283264</v>
      </c>
      <c r="W6" s="770">
        <v>268536</v>
      </c>
      <c r="X6" s="770">
        <v>257473</v>
      </c>
      <c r="Y6" s="770">
        <v>265177.93463803391</v>
      </c>
      <c r="Z6" s="770">
        <v>250603.7500084741</v>
      </c>
      <c r="AA6" s="770">
        <v>232903.31535349198</v>
      </c>
      <c r="AB6" s="770">
        <v>230187.29418818033</v>
      </c>
      <c r="AC6" s="770">
        <v>213436.27974689289</v>
      </c>
      <c r="AD6" s="770">
        <v>211312.51042679194</v>
      </c>
      <c r="AE6" s="770">
        <v>207379</v>
      </c>
      <c r="AF6" s="770">
        <v>206022</v>
      </c>
      <c r="AG6" s="770">
        <v>202310</v>
      </c>
      <c r="AH6" s="770">
        <v>201477</v>
      </c>
      <c r="AI6" s="770">
        <v>197992</v>
      </c>
      <c r="AJ6" s="769">
        <v>196343.40654017436</v>
      </c>
      <c r="AK6" s="768">
        <v>203185.72113152765</v>
      </c>
      <c r="AL6" s="771">
        <v>217769.22502394384</v>
      </c>
      <c r="AM6" s="770">
        <v>219581</v>
      </c>
      <c r="AN6" s="769">
        <v>219346</v>
      </c>
      <c r="AO6" s="768">
        <v>233357</v>
      </c>
      <c r="AP6" s="769">
        <v>246515</v>
      </c>
      <c r="AQ6" s="768">
        <v>255464.823493</v>
      </c>
      <c r="AR6" s="769">
        <v>249595.61713500004</v>
      </c>
      <c r="AS6" s="768">
        <v>240658.600312</v>
      </c>
      <c r="AT6" s="769">
        <v>238356.91121800002</v>
      </c>
      <c r="AU6" s="768">
        <v>236709.01311299999</v>
      </c>
      <c r="AV6" s="767">
        <v>230155.28039099998</v>
      </c>
      <c r="AW6" s="766">
        <v>232170.78198500001</v>
      </c>
      <c r="AX6" s="764">
        <v>228452.08397400001</v>
      </c>
      <c r="AY6" s="765">
        <v>229616.40414599999</v>
      </c>
      <c r="AZ6" s="764">
        <v>222193.48258799984</v>
      </c>
      <c r="BA6" s="763">
        <v>219385.42852800008</v>
      </c>
      <c r="BB6" s="762">
        <v>213243.69779499999</v>
      </c>
      <c r="BC6" s="763">
        <v>202639.240521</v>
      </c>
      <c r="BD6" s="1049">
        <v>195820.75097900006</v>
      </c>
    </row>
    <row r="7" spans="2:57">
      <c r="B7" s="1202" t="s">
        <v>313</v>
      </c>
      <c r="D7" s="895">
        <v>320382</v>
      </c>
      <c r="E7" s="895">
        <v>311436</v>
      </c>
      <c r="F7" s="895">
        <v>299190</v>
      </c>
      <c r="G7" s="895">
        <v>281668</v>
      </c>
      <c r="H7" s="895">
        <v>274043</v>
      </c>
      <c r="I7" s="895">
        <v>290566.86242091167</v>
      </c>
      <c r="J7" s="895">
        <v>255125.21148811758</v>
      </c>
      <c r="K7" s="895">
        <v>230259.05251124495</v>
      </c>
      <c r="L7" s="895">
        <v>224251.16988538267</v>
      </c>
      <c r="M7" s="895">
        <v>224368.50037928528</v>
      </c>
      <c r="N7" s="760">
        <v>196649.56576009793</v>
      </c>
      <c r="O7" s="760">
        <v>197460.50608275994</v>
      </c>
      <c r="P7" s="760">
        <v>188067</v>
      </c>
      <c r="Q7" s="760">
        <v>186007.48791346012</v>
      </c>
      <c r="R7" s="760">
        <v>177212</v>
      </c>
      <c r="S7" s="760">
        <v>166044.05917511089</v>
      </c>
      <c r="T7" s="760">
        <v>159984.31954615872</v>
      </c>
      <c r="U7" s="760">
        <v>149047.21360054467</v>
      </c>
      <c r="V7" s="760">
        <v>140177</v>
      </c>
      <c r="W7" s="760">
        <v>131894.364663941</v>
      </c>
      <c r="X7" s="760">
        <v>125831</v>
      </c>
      <c r="Y7" s="760">
        <v>121777.18285955691</v>
      </c>
      <c r="Z7" s="760">
        <v>112593.25666681012</v>
      </c>
      <c r="AA7" s="760">
        <v>101185.56047363298</v>
      </c>
      <c r="AB7" s="760">
        <v>97611.620765843196</v>
      </c>
      <c r="AC7" s="760">
        <v>88118.971654773908</v>
      </c>
      <c r="AD7" s="760">
        <v>89362.530866380912</v>
      </c>
      <c r="AE7" s="760">
        <v>84926</v>
      </c>
      <c r="AF7" s="760">
        <v>68064</v>
      </c>
      <c r="AG7" s="760">
        <v>63069</v>
      </c>
      <c r="AH7" s="760">
        <v>63433</v>
      </c>
      <c r="AI7" s="760">
        <v>68370</v>
      </c>
      <c r="AJ7" s="759">
        <v>70341.143921626353</v>
      </c>
      <c r="AK7" s="758">
        <v>75870.785288853484</v>
      </c>
      <c r="AL7" s="761">
        <v>80036.779149402952</v>
      </c>
      <c r="AM7" s="760">
        <v>78230.605177341946</v>
      </c>
      <c r="AN7" s="759">
        <v>79928.17510540357</v>
      </c>
      <c r="AO7" s="758">
        <v>85704.883887307544</v>
      </c>
      <c r="AP7" s="759">
        <v>94661.648125199819</v>
      </c>
      <c r="AQ7" s="758">
        <v>95913.042045999988</v>
      </c>
      <c r="AR7" s="759">
        <v>91882.272554000025</v>
      </c>
      <c r="AS7" s="758">
        <v>84747.375263999973</v>
      </c>
      <c r="AT7" s="759">
        <v>82656.019731000008</v>
      </c>
      <c r="AU7" s="758">
        <v>82397.035683999988</v>
      </c>
      <c r="AV7" s="757">
        <v>80505.302819713907</v>
      </c>
      <c r="AW7" s="756">
        <v>78275.605608999933</v>
      </c>
      <c r="AX7" s="754">
        <v>77494.401299766643</v>
      </c>
      <c r="AY7" s="755">
        <v>77668.995196233416</v>
      </c>
      <c r="AZ7" s="754">
        <v>73185.689641851219</v>
      </c>
      <c r="BA7" s="753">
        <v>70933.946025999947</v>
      </c>
      <c r="BB7" s="752">
        <v>68321.05225100003</v>
      </c>
      <c r="BC7" s="753">
        <v>65449.095199999996</v>
      </c>
      <c r="BD7" s="1050">
        <v>60605.204105000019</v>
      </c>
    </row>
    <row r="8" spans="2:57">
      <c r="B8" s="1202" t="s">
        <v>314</v>
      </c>
      <c r="D8" s="896">
        <v>0.57848177162737424</v>
      </c>
      <c r="E8" s="896">
        <v>0.57692991686055994</v>
      </c>
      <c r="F8" s="896">
        <v>0.57376106041951924</v>
      </c>
      <c r="G8" s="896">
        <v>0.56945651866258551</v>
      </c>
      <c r="H8" s="896">
        <v>0.57239922967988266</v>
      </c>
      <c r="I8" s="896">
        <v>0.61983587447604993</v>
      </c>
      <c r="J8" s="896">
        <v>0.5682539916114534</v>
      </c>
      <c r="K8" s="896">
        <v>0.5500633331432393</v>
      </c>
      <c r="L8" s="896">
        <v>0.54778649447258687</v>
      </c>
      <c r="M8" s="896">
        <v>0.54166801606097315</v>
      </c>
      <c r="N8" s="750">
        <v>0.53085750068599102</v>
      </c>
      <c r="O8" s="750">
        <v>0.52740456289744175</v>
      </c>
      <c r="P8" s="750">
        <f>P7/P6</f>
        <v>0.52227776389236025</v>
      </c>
      <c r="Q8" s="750">
        <f>Q7/Q6</f>
        <v>0.51951013817704006</v>
      </c>
      <c r="R8" s="750">
        <f>R7/R6</f>
        <v>0.51325926526640175</v>
      </c>
      <c r="S8" s="750">
        <f>S7/S6</f>
        <v>0.50616090174887329</v>
      </c>
      <c r="T8" s="750">
        <f>T7/T6</f>
        <v>0.50788188480570684</v>
      </c>
      <c r="U8" s="750">
        <f t="shared" ref="U8:AA8" si="0">U7/U6</f>
        <v>0.49904312375879634</v>
      </c>
      <c r="V8" s="750">
        <f t="shared" si="0"/>
        <v>0.49486344893809309</v>
      </c>
      <c r="W8" s="750">
        <f t="shared" si="0"/>
        <v>0.49116083007098116</v>
      </c>
      <c r="X8" s="750">
        <f t="shared" si="0"/>
        <v>0.48871532160653741</v>
      </c>
      <c r="Y8" s="750">
        <f t="shared" si="0"/>
        <v>0.4592281896522874</v>
      </c>
      <c r="Z8" s="750">
        <f t="shared" si="0"/>
        <v>0.44928799614132992</v>
      </c>
      <c r="AA8" s="750">
        <f t="shared" si="0"/>
        <v>0.43445307045139014</v>
      </c>
      <c r="AB8" s="750">
        <v>0.42405303520377957</v>
      </c>
      <c r="AC8" s="750">
        <v>0.42602827924731063</v>
      </c>
      <c r="AD8" s="750">
        <v>0.42289276051802938</v>
      </c>
      <c r="AE8" s="750">
        <f>AE7/AE6</f>
        <v>0.40952073257176475</v>
      </c>
      <c r="AF8" s="750">
        <f>AF7/AF6</f>
        <v>0.33037248449194745</v>
      </c>
      <c r="AG8" s="750">
        <f>AG7/AG6</f>
        <v>0.31174435272601453</v>
      </c>
      <c r="AH8" s="750">
        <f>AH7/AH6</f>
        <v>0.31483990728470246</v>
      </c>
      <c r="AI8" s="750">
        <v>0.34048804780876496</v>
      </c>
      <c r="AJ8" s="749">
        <v>0.3582556967974051</v>
      </c>
      <c r="AK8" s="748">
        <v>0.37340608811649839</v>
      </c>
      <c r="AL8" s="751">
        <v>0.36753025658516653</v>
      </c>
      <c r="AM8" s="750">
        <v>0.35627208071153871</v>
      </c>
      <c r="AN8" s="749">
        <v>0.36439268630888028</v>
      </c>
      <c r="AO8" s="748">
        <v>0.36726938452967295</v>
      </c>
      <c r="AP8" s="749">
        <v>0.38399882999150131</v>
      </c>
      <c r="AQ8" s="748">
        <v>0.37544520116143543</v>
      </c>
      <c r="AR8" s="749">
        <v>0.36812454324589844</v>
      </c>
      <c r="AS8" s="748">
        <v>0.35214771113157761</v>
      </c>
      <c r="AT8" s="749">
        <v>0.34677416865585758</v>
      </c>
      <c r="AU8" s="748">
        <v>0.34809420478072522</v>
      </c>
      <c r="AV8" s="747">
        <v>0.34978690335910273</v>
      </c>
      <c r="AW8" s="746">
        <v>0.33714666824035217</v>
      </c>
      <c r="AX8" s="744">
        <v>0.33921512096421164</v>
      </c>
      <c r="AY8" s="745">
        <v>0.3382554285923236</v>
      </c>
      <c r="AZ8" s="744">
        <v>0.32937820132895207</v>
      </c>
      <c r="BA8" s="743">
        <v>0.32333025261496195</v>
      </c>
      <c r="BB8" s="742">
        <v>0.32038954940970821</v>
      </c>
      <c r="BC8" s="743">
        <v>0.32298332263645324</v>
      </c>
      <c r="BD8" s="1051">
        <v>0.30949326770531771</v>
      </c>
    </row>
    <row r="9" spans="2:57">
      <c r="B9" s="1202" t="s">
        <v>315</v>
      </c>
      <c r="D9" s="897"/>
      <c r="E9" s="897"/>
      <c r="F9" s="897"/>
      <c r="G9" s="897"/>
      <c r="H9" s="897"/>
      <c r="I9" s="897"/>
      <c r="J9" s="897"/>
      <c r="K9" s="897"/>
      <c r="L9" s="897"/>
      <c r="M9" s="897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41"/>
      <c r="Y9" s="741"/>
      <c r="Z9" s="741"/>
      <c r="AA9" s="741"/>
      <c r="AB9" s="741"/>
      <c r="AC9" s="741"/>
      <c r="AD9" s="741"/>
      <c r="AE9" s="741"/>
      <c r="AF9" s="741"/>
      <c r="AG9" s="741"/>
      <c r="AH9" s="741"/>
      <c r="AI9" s="741"/>
      <c r="AJ9" s="740"/>
      <c r="AK9" s="740"/>
      <c r="AL9" s="741"/>
      <c r="AM9" s="741"/>
      <c r="AN9" s="740"/>
      <c r="AO9" s="740"/>
      <c r="AP9" s="740"/>
      <c r="AQ9" s="740"/>
      <c r="AR9" s="740"/>
      <c r="AS9" s="740"/>
      <c r="AT9" s="740"/>
      <c r="AU9" s="740"/>
      <c r="AV9" s="110"/>
      <c r="AW9" s="110"/>
      <c r="AX9" s="110"/>
      <c r="AY9" s="110"/>
      <c r="AZ9" s="110"/>
      <c r="BA9" s="110"/>
      <c r="BB9" s="110"/>
      <c r="BC9" s="110"/>
      <c r="BD9" s="110"/>
    </row>
    <row r="10" spans="2:57">
      <c r="B10" s="1202" t="s">
        <v>316</v>
      </c>
      <c r="D10" s="898">
        <v>160656.06077422309</v>
      </c>
      <c r="E10" s="898">
        <v>117868.75845107489</v>
      </c>
      <c r="F10" s="898">
        <v>113623.42910108423</v>
      </c>
      <c r="G10" s="898">
        <v>83069.670058344011</v>
      </c>
      <c r="H10" s="898">
        <v>144008.29560416611</v>
      </c>
      <c r="I10" s="898">
        <v>91608.300858680013</v>
      </c>
      <c r="J10" s="898">
        <v>89999.028704362907</v>
      </c>
      <c r="K10" s="898">
        <v>97288.005093419895</v>
      </c>
      <c r="L10" s="898">
        <v>130559.64576485971</v>
      </c>
      <c r="M10" s="898">
        <v>118325.9864360479</v>
      </c>
      <c r="N10" s="738">
        <v>92060.654389181494</v>
      </c>
      <c r="O10" s="738">
        <v>104857.55087374314</v>
      </c>
      <c r="P10" s="738">
        <v>114360.32620348563</v>
      </c>
      <c r="Q10" s="738">
        <v>93135.554585358492</v>
      </c>
      <c r="R10" s="738">
        <v>70469</v>
      </c>
      <c r="S10" s="738">
        <v>63981.568363245373</v>
      </c>
      <c r="T10" s="738">
        <v>59970.984244730513</v>
      </c>
      <c r="U10" s="738">
        <v>61014.83464892763</v>
      </c>
      <c r="V10" s="738">
        <v>69722</v>
      </c>
      <c r="W10" s="738">
        <v>65907.794806095539</v>
      </c>
      <c r="X10" s="738">
        <v>68464.591862000496</v>
      </c>
      <c r="Y10" s="738">
        <v>68637.729823150279</v>
      </c>
      <c r="Z10" s="738">
        <v>65833.433078929185</v>
      </c>
      <c r="AA10" s="738">
        <v>38749.533921642702</v>
      </c>
      <c r="AB10" s="738">
        <v>110448.02503466784</v>
      </c>
      <c r="AC10" s="738">
        <v>50220.159748281782</v>
      </c>
      <c r="AD10" s="738">
        <v>37901</v>
      </c>
      <c r="AE10" s="738">
        <v>50468</v>
      </c>
      <c r="AF10" s="738">
        <v>62735</v>
      </c>
      <c r="AG10" s="738">
        <v>65679</v>
      </c>
      <c r="AH10" s="738">
        <v>76845</v>
      </c>
      <c r="AI10" s="738">
        <v>82167</v>
      </c>
      <c r="AJ10" s="737">
        <v>62824.136377139395</v>
      </c>
      <c r="AK10" s="736">
        <v>64656.585002435299</v>
      </c>
      <c r="AL10" s="739">
        <v>74838.180878672501</v>
      </c>
      <c r="AM10" s="738">
        <v>65857.089786724289</v>
      </c>
      <c r="AN10" s="737">
        <v>38081.655487770797</v>
      </c>
      <c r="AO10" s="736">
        <v>58536.753049130515</v>
      </c>
      <c r="AP10" s="737">
        <v>52875.197367523171</v>
      </c>
      <c r="AQ10" s="736">
        <v>49251.557418742435</v>
      </c>
      <c r="AR10" s="737">
        <v>60573.652256064568</v>
      </c>
      <c r="AS10" s="736">
        <v>55081.97232700001</v>
      </c>
      <c r="AT10" s="737">
        <v>50342.573161999993</v>
      </c>
      <c r="AU10" s="736">
        <v>39921.133207999999</v>
      </c>
      <c r="AV10" s="735">
        <v>64460.225480999907</v>
      </c>
      <c r="AW10" s="734">
        <v>45095.066701999996</v>
      </c>
      <c r="AX10" s="732">
        <v>37270.505156999992</v>
      </c>
      <c r="AY10" s="733">
        <v>39856.613276000004</v>
      </c>
      <c r="AZ10" s="732">
        <v>33278.16243300002</v>
      </c>
      <c r="BA10" s="731">
        <v>28219.331928999989</v>
      </c>
      <c r="BB10" s="730">
        <v>21391.208290999999</v>
      </c>
      <c r="BC10" s="731">
        <v>22954.362764999998</v>
      </c>
      <c r="BD10" s="1052">
        <v>32878.130586899963</v>
      </c>
    </row>
    <row r="11" spans="2:57"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0"/>
      <c r="AW11" s="110"/>
      <c r="AX11" s="110"/>
      <c r="AY11" s="110"/>
      <c r="AZ11" s="110"/>
      <c r="BA11" s="110"/>
      <c r="BB11" s="110"/>
      <c r="BC11" s="110"/>
      <c r="BD11" s="110"/>
    </row>
    <row r="12" spans="2:57" s="15" customFormat="1">
      <c r="B12" s="1027" t="s">
        <v>317</v>
      </c>
      <c r="C12" s="17"/>
      <c r="D12" s="18" t="str">
        <f>D2</f>
        <v>Q4 FY 26</v>
      </c>
      <c r="E12" s="18" t="str">
        <f>E2</f>
        <v>Q3 FY 26</v>
      </c>
      <c r="F12" s="18" t="str">
        <f t="shared" ref="F12:AJ12" si="1">F2</f>
        <v>Q2 FY 26</v>
      </c>
      <c r="G12" s="18" t="str">
        <f t="shared" si="1"/>
        <v>Q1 FY 26</v>
      </c>
      <c r="H12" s="18" t="str">
        <f t="shared" si="1"/>
        <v>Q4 FY 25</v>
      </c>
      <c r="I12" s="18" t="str">
        <f t="shared" si="1"/>
        <v>Q3 FY 25</v>
      </c>
      <c r="J12" s="18" t="str">
        <f t="shared" si="1"/>
        <v>Q2 FY 25</v>
      </c>
      <c r="K12" s="18" t="str">
        <f t="shared" si="1"/>
        <v>Q1 FY 25</v>
      </c>
      <c r="L12" s="18" t="str">
        <f t="shared" si="1"/>
        <v>Q4 FY 24</v>
      </c>
      <c r="M12" s="888" t="str">
        <f t="shared" si="1"/>
        <v>Q3 FY 24</v>
      </c>
      <c r="N12" s="18" t="str">
        <f t="shared" si="1"/>
        <v>Q2 FY 24</v>
      </c>
      <c r="O12" s="18" t="str">
        <f t="shared" si="1"/>
        <v>Q1 FY 24</v>
      </c>
      <c r="P12" s="18" t="str">
        <f t="shared" si="1"/>
        <v>Q4 FY 23</v>
      </c>
      <c r="Q12" s="18" t="str">
        <f t="shared" si="1"/>
        <v>Q3 FY 23</v>
      </c>
      <c r="R12" s="18" t="str">
        <f t="shared" si="1"/>
        <v>Q2 FY 23</v>
      </c>
      <c r="S12" s="18" t="str">
        <f t="shared" si="1"/>
        <v>Q1 FY 23</v>
      </c>
      <c r="T12" s="18" t="str">
        <f t="shared" si="1"/>
        <v>Q4 FY 22</v>
      </c>
      <c r="U12" s="18" t="str">
        <f t="shared" si="1"/>
        <v>Q3 FY 22</v>
      </c>
      <c r="V12" s="18" t="str">
        <f t="shared" si="1"/>
        <v>Q2 FY 22</v>
      </c>
      <c r="W12" s="18" t="str">
        <f t="shared" si="1"/>
        <v>Q1 FY 22</v>
      </c>
      <c r="X12" s="18" t="str">
        <f t="shared" si="1"/>
        <v>Q4 FY 21</v>
      </c>
      <c r="Y12" s="18" t="str">
        <f t="shared" si="1"/>
        <v>Q3 FY 21</v>
      </c>
      <c r="Z12" s="18" t="str">
        <f t="shared" si="1"/>
        <v>Q2 FY 21</v>
      </c>
      <c r="AA12" s="18" t="str">
        <f t="shared" si="1"/>
        <v>Q1 FY 21</v>
      </c>
      <c r="AB12" s="18" t="str">
        <f t="shared" si="1"/>
        <v>Q4 FY 20</v>
      </c>
      <c r="AC12" s="18" t="str">
        <f t="shared" si="1"/>
        <v>Q3 FY 20</v>
      </c>
      <c r="AD12" s="18" t="str">
        <f t="shared" si="1"/>
        <v>Q2 FY 20</v>
      </c>
      <c r="AE12" s="18" t="str">
        <f t="shared" si="1"/>
        <v>Q1 FY 20</v>
      </c>
      <c r="AF12" s="18" t="str">
        <f t="shared" si="1"/>
        <v>Q4 FY19</v>
      </c>
      <c r="AG12" s="18" t="str">
        <f t="shared" si="1"/>
        <v>Q3 FY19</v>
      </c>
      <c r="AH12" s="18" t="str">
        <f t="shared" si="1"/>
        <v>Q2 FY19</v>
      </c>
      <c r="AI12" s="18" t="str">
        <f t="shared" si="1"/>
        <v>Q1 FY 19</v>
      </c>
      <c r="AJ12" s="18" t="str">
        <f t="shared" si="1"/>
        <v>Q4 FY18</v>
      </c>
      <c r="AK12" s="18" t="str">
        <f t="shared" ref="AK12:BD12" si="2">AK2</f>
        <v>Q3 FY 18</v>
      </c>
      <c r="AL12" s="18" t="str">
        <f t="shared" si="2"/>
        <v>Q2 FY 18</v>
      </c>
      <c r="AM12" s="18" t="str">
        <f t="shared" si="2"/>
        <v>Q1 FY 18</v>
      </c>
      <c r="AN12" s="18" t="str">
        <f t="shared" si="2"/>
        <v>Q4 FY17</v>
      </c>
      <c r="AO12" s="18" t="str">
        <f t="shared" si="2"/>
        <v>Q3 FY17</v>
      </c>
      <c r="AP12" s="18" t="str">
        <f t="shared" si="2"/>
        <v>Q2 FY17</v>
      </c>
      <c r="AQ12" s="18" t="str">
        <f t="shared" si="2"/>
        <v>Q1 FY 17</v>
      </c>
      <c r="AR12" s="18" t="str">
        <f t="shared" si="2"/>
        <v>Q4 FY16</v>
      </c>
      <c r="AS12" s="18" t="str">
        <f t="shared" si="2"/>
        <v>Q3 FY16</v>
      </c>
      <c r="AT12" s="18" t="str">
        <f t="shared" si="2"/>
        <v>Q2 FY16</v>
      </c>
      <c r="AU12" s="18" t="str">
        <f t="shared" si="2"/>
        <v>Q1 FY16</v>
      </c>
      <c r="AV12" s="18" t="str">
        <f t="shared" si="2"/>
        <v>Q4 FY15</v>
      </c>
      <c r="AW12" s="18" t="str">
        <f t="shared" si="2"/>
        <v>Q3 FY15</v>
      </c>
      <c r="AX12" s="18" t="str">
        <f t="shared" si="2"/>
        <v>Q4 FY15</v>
      </c>
      <c r="AY12" s="18" t="str">
        <f t="shared" si="2"/>
        <v>Q1 FY15</v>
      </c>
      <c r="AZ12" s="18" t="str">
        <f t="shared" si="2"/>
        <v>Q4 FY 14</v>
      </c>
      <c r="BA12" s="18" t="str">
        <f t="shared" si="2"/>
        <v>Q3 FY 14</v>
      </c>
      <c r="BB12" s="18" t="str">
        <f t="shared" si="2"/>
        <v>Q2 FY 14</v>
      </c>
      <c r="BC12" s="18" t="str">
        <f t="shared" si="2"/>
        <v>Q1 FY 14</v>
      </c>
      <c r="BD12" s="889" t="str">
        <f t="shared" si="2"/>
        <v>Q4 FY 13</v>
      </c>
      <c r="BE12" s="1048"/>
    </row>
    <row r="13" spans="2:57" s="793" customFormat="1">
      <c r="B13" s="975"/>
      <c r="C13" s="1129"/>
      <c r="D13" s="900">
        <f>D3</f>
        <v>46112</v>
      </c>
      <c r="E13" s="900">
        <f>E3</f>
        <v>46022</v>
      </c>
      <c r="F13" s="900">
        <f t="shared" ref="F13:AJ13" si="3">F3</f>
        <v>45930</v>
      </c>
      <c r="G13" s="900">
        <f t="shared" si="3"/>
        <v>45838</v>
      </c>
      <c r="H13" s="900">
        <f t="shared" si="3"/>
        <v>45746</v>
      </c>
      <c r="I13" s="900">
        <f t="shared" si="3"/>
        <v>45656</v>
      </c>
      <c r="J13" s="900">
        <f t="shared" si="3"/>
        <v>45565</v>
      </c>
      <c r="K13" s="900">
        <f t="shared" si="3"/>
        <v>45473</v>
      </c>
      <c r="L13" s="900">
        <f t="shared" si="3"/>
        <v>45382</v>
      </c>
      <c r="M13" s="900">
        <f t="shared" si="3"/>
        <v>45290</v>
      </c>
      <c r="N13" s="789">
        <f t="shared" si="3"/>
        <v>45199</v>
      </c>
      <c r="O13" s="789">
        <f t="shared" si="3"/>
        <v>45107</v>
      </c>
      <c r="P13" s="789">
        <f t="shared" si="3"/>
        <v>45016</v>
      </c>
      <c r="Q13" s="789">
        <f t="shared" si="3"/>
        <v>44926</v>
      </c>
      <c r="R13" s="789">
        <f t="shared" si="3"/>
        <v>44834</v>
      </c>
      <c r="S13" s="789">
        <f t="shared" si="3"/>
        <v>44742</v>
      </c>
      <c r="T13" s="789">
        <f t="shared" si="3"/>
        <v>44651</v>
      </c>
      <c r="U13" s="789">
        <f t="shared" si="3"/>
        <v>44561</v>
      </c>
      <c r="V13" s="789">
        <f t="shared" si="3"/>
        <v>44469</v>
      </c>
      <c r="W13" s="789">
        <f t="shared" si="3"/>
        <v>44377</v>
      </c>
      <c r="X13" s="789">
        <f t="shared" si="3"/>
        <v>44286</v>
      </c>
      <c r="Y13" s="789">
        <f t="shared" si="3"/>
        <v>44196</v>
      </c>
      <c r="Z13" s="789">
        <f t="shared" si="3"/>
        <v>44104</v>
      </c>
      <c r="AA13" s="789">
        <f t="shared" si="3"/>
        <v>44012</v>
      </c>
      <c r="AB13" s="789">
        <f t="shared" si="3"/>
        <v>43921</v>
      </c>
      <c r="AC13" s="789">
        <f t="shared" si="3"/>
        <v>43830</v>
      </c>
      <c r="AD13" s="789">
        <f t="shared" si="3"/>
        <v>43738</v>
      </c>
      <c r="AE13" s="789">
        <f t="shared" si="3"/>
        <v>43646</v>
      </c>
      <c r="AF13" s="789">
        <f t="shared" si="3"/>
        <v>43555</v>
      </c>
      <c r="AG13" s="789">
        <f t="shared" si="3"/>
        <v>43465</v>
      </c>
      <c r="AH13" s="789">
        <f t="shared" si="3"/>
        <v>43373</v>
      </c>
      <c r="AI13" s="789">
        <f t="shared" si="3"/>
        <v>43281</v>
      </c>
      <c r="AJ13" s="790">
        <f t="shared" si="3"/>
        <v>43190</v>
      </c>
      <c r="AK13" s="790">
        <f t="shared" ref="AK13:BD13" si="4">AK3</f>
        <v>43100</v>
      </c>
      <c r="AL13" s="789">
        <f t="shared" si="4"/>
        <v>43008</v>
      </c>
      <c r="AM13" s="789">
        <f t="shared" si="4"/>
        <v>42916</v>
      </c>
      <c r="AN13" s="790">
        <f t="shared" si="4"/>
        <v>42825</v>
      </c>
      <c r="AO13" s="790">
        <f t="shared" si="4"/>
        <v>42735</v>
      </c>
      <c r="AP13" s="790">
        <f t="shared" si="4"/>
        <v>42643</v>
      </c>
      <c r="AQ13" s="790">
        <f t="shared" si="4"/>
        <v>42551</v>
      </c>
      <c r="AR13" s="790">
        <f t="shared" si="4"/>
        <v>42460</v>
      </c>
      <c r="AS13" s="790">
        <f t="shared" si="4"/>
        <v>42369</v>
      </c>
      <c r="AT13" s="790">
        <f t="shared" si="4"/>
        <v>42277</v>
      </c>
      <c r="AU13" s="790">
        <f t="shared" si="4"/>
        <v>42185</v>
      </c>
      <c r="AV13" s="790">
        <f t="shared" si="4"/>
        <v>42094</v>
      </c>
      <c r="AW13" s="791">
        <f t="shared" si="4"/>
        <v>42004</v>
      </c>
      <c r="AX13" s="792">
        <f t="shared" si="4"/>
        <v>41912</v>
      </c>
      <c r="AY13" s="792">
        <f t="shared" si="4"/>
        <v>41820</v>
      </c>
      <c r="AZ13" s="792">
        <f t="shared" si="4"/>
        <v>41729</v>
      </c>
      <c r="BA13" s="792">
        <f t="shared" si="4"/>
        <v>41639</v>
      </c>
      <c r="BB13" s="792">
        <f t="shared" si="4"/>
        <v>41547</v>
      </c>
      <c r="BC13" s="792">
        <f t="shared" si="4"/>
        <v>41455</v>
      </c>
      <c r="BD13" s="789">
        <f t="shared" si="4"/>
        <v>41364</v>
      </c>
    </row>
    <row r="14" spans="2:57">
      <c r="B14" s="976"/>
      <c r="D14" s="3"/>
      <c r="E14" s="3"/>
      <c r="F14" s="3"/>
      <c r="G14" s="3"/>
      <c r="H14" s="3"/>
      <c r="I14" s="3"/>
      <c r="J14" s="3"/>
      <c r="K14" s="3"/>
      <c r="L14" s="3"/>
      <c r="M14" s="3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1"/>
      <c r="AG14" s="111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</row>
    <row r="15" spans="2:57">
      <c r="B15" s="1202" t="s">
        <v>312</v>
      </c>
      <c r="D15" s="901">
        <v>395656</v>
      </c>
      <c r="E15" s="901">
        <v>392255</v>
      </c>
      <c r="F15" s="901">
        <v>386901</v>
      </c>
      <c r="G15" s="901">
        <v>375846</v>
      </c>
      <c r="H15" s="901">
        <v>367345.4</v>
      </c>
      <c r="I15" s="901">
        <v>364024.32457629067</v>
      </c>
      <c r="J15" s="901">
        <v>349837.34254447394</v>
      </c>
      <c r="K15" s="901">
        <v>324001.61993616354</v>
      </c>
      <c r="L15" s="901">
        <v>285127.95746006875</v>
      </c>
      <c r="M15" s="901">
        <v>278106.91010372434</v>
      </c>
      <c r="N15" s="728">
        <v>269946.91358083882</v>
      </c>
      <c r="O15" s="728">
        <v>263746.87686403503</v>
      </c>
      <c r="P15" s="728">
        <v>252503</v>
      </c>
      <c r="Q15" s="728">
        <v>249615.04642398574</v>
      </c>
      <c r="R15" s="728">
        <v>243333</v>
      </c>
      <c r="S15" s="728">
        <v>233189.22100340901</v>
      </c>
      <c r="T15" s="728">
        <v>225003.61134389494</v>
      </c>
      <c r="U15" s="728">
        <v>209126.82130546702</v>
      </c>
      <c r="V15" s="728">
        <v>198904</v>
      </c>
      <c r="W15" s="728">
        <v>188283.79427568</v>
      </c>
      <c r="X15" s="728">
        <v>183378</v>
      </c>
      <c r="Y15" s="728">
        <v>190070.70597479009</v>
      </c>
      <c r="Z15" s="728">
        <v>180223.68557479692</v>
      </c>
      <c r="AA15" s="728">
        <v>169410.60845041298</v>
      </c>
      <c r="AB15" s="728">
        <v>167343.07256496494</v>
      </c>
      <c r="AC15" s="728">
        <v>151938.7109840769</v>
      </c>
      <c r="AD15" s="728">
        <v>153609.73180408403</v>
      </c>
      <c r="AE15" s="728">
        <v>153445.91054260603</v>
      </c>
      <c r="AF15" s="728">
        <v>152408</v>
      </c>
      <c r="AG15" s="728">
        <v>147683</v>
      </c>
      <c r="AH15" s="728">
        <v>149198</v>
      </c>
      <c r="AI15" s="728">
        <v>149300</v>
      </c>
      <c r="AJ15" s="727">
        <v>147955.45891024807</v>
      </c>
      <c r="AK15" s="726">
        <v>152941.78909087699</v>
      </c>
      <c r="AL15" s="729">
        <v>167281.76108294708</v>
      </c>
      <c r="AM15" s="728">
        <v>172436.119396995</v>
      </c>
      <c r="AN15" s="727">
        <v>170356.0587409189</v>
      </c>
      <c r="AO15" s="726">
        <v>180126.19231320513</v>
      </c>
      <c r="AP15" s="727">
        <v>192188.02966641399</v>
      </c>
      <c r="AQ15" s="726">
        <v>191546.86895</v>
      </c>
      <c r="AR15" s="727">
        <v>183281.0570590001</v>
      </c>
      <c r="AS15" s="726">
        <v>176936.85721999998</v>
      </c>
      <c r="AT15" s="727">
        <v>174522.004613</v>
      </c>
      <c r="AU15" s="726">
        <v>173696.39748700001</v>
      </c>
      <c r="AV15" s="725">
        <v>166705.3316169999</v>
      </c>
      <c r="AW15" s="724">
        <v>162563.97027100003</v>
      </c>
      <c r="AX15" s="722">
        <v>158154.87785100003</v>
      </c>
      <c r="AY15" s="723">
        <v>157870.33041600001</v>
      </c>
      <c r="AZ15" s="722">
        <v>149103.91472400003</v>
      </c>
      <c r="BA15" s="721">
        <v>144430.30795800005</v>
      </c>
      <c r="BB15" s="720">
        <v>140792.91764499998</v>
      </c>
      <c r="BC15" s="721">
        <v>141232.84067499998</v>
      </c>
      <c r="BD15" s="1053">
        <v>133576.45050099993</v>
      </c>
    </row>
    <row r="16" spans="2:57">
      <c r="B16" s="1202" t="s">
        <v>313</v>
      </c>
      <c r="D16" s="902">
        <v>239653</v>
      </c>
      <c r="E16" s="902">
        <v>236759</v>
      </c>
      <c r="F16" s="902">
        <v>232039</v>
      </c>
      <c r="G16" s="902">
        <v>223515</v>
      </c>
      <c r="H16" s="902">
        <v>220237.1</v>
      </c>
      <c r="I16" s="902">
        <v>240270.86242091167</v>
      </c>
      <c r="J16" s="902">
        <v>207866.21148811758</v>
      </c>
      <c r="K16" s="902">
        <v>186808.05251124501</v>
      </c>
      <c r="L16" s="902">
        <v>152933.55124278271</v>
      </c>
      <c r="M16" s="902">
        <v>150003.34665031539</v>
      </c>
      <c r="N16" s="718">
        <v>145611.71348259479</v>
      </c>
      <c r="O16" s="718">
        <v>141542.09288044705</v>
      </c>
      <c r="P16" s="718">
        <v>134026</v>
      </c>
      <c r="Q16" s="718">
        <v>131671.40187735169</v>
      </c>
      <c r="R16" s="718">
        <v>126056</v>
      </c>
      <c r="S16" s="718">
        <v>118816.80078443699</v>
      </c>
      <c r="T16" s="718">
        <v>114360.65815897494</v>
      </c>
      <c r="U16" s="718">
        <v>104066.70838673798</v>
      </c>
      <c r="V16" s="718">
        <v>98576</v>
      </c>
      <c r="W16" s="718">
        <v>92734.138141459989</v>
      </c>
      <c r="X16" s="718">
        <v>89702.464670903893</v>
      </c>
      <c r="Y16" s="718">
        <v>85887.586308424085</v>
      </c>
      <c r="Z16" s="718">
        <v>80025.629803253978</v>
      </c>
      <c r="AA16" s="718">
        <v>72664.22540229297</v>
      </c>
      <c r="AB16" s="718">
        <v>68826.47221481087</v>
      </c>
      <c r="AC16" s="718">
        <v>59632.540643291926</v>
      </c>
      <c r="AD16" s="718">
        <v>63213.157665024046</v>
      </c>
      <c r="AE16" s="718">
        <v>60630.452825762026</v>
      </c>
      <c r="AF16" s="718">
        <v>46466</v>
      </c>
      <c r="AG16" s="718">
        <v>41152</v>
      </c>
      <c r="AH16" s="718">
        <v>42487</v>
      </c>
      <c r="AI16" s="718">
        <v>49133</v>
      </c>
      <c r="AJ16" s="717">
        <v>52372.370457394121</v>
      </c>
      <c r="AK16" s="716">
        <v>57657.564184536997</v>
      </c>
      <c r="AL16" s="719">
        <v>63241.203935989062</v>
      </c>
      <c r="AM16" s="718">
        <v>64701.998287130031</v>
      </c>
      <c r="AN16" s="717">
        <v>66986.133166378888</v>
      </c>
      <c r="AO16" s="716">
        <v>72517.709176895136</v>
      </c>
      <c r="AP16" s="717">
        <v>82205.714521608985</v>
      </c>
      <c r="AQ16" s="716">
        <v>81957.513915999996</v>
      </c>
      <c r="AR16" s="717">
        <v>77349.091339000093</v>
      </c>
      <c r="AS16" s="716">
        <v>71883.993800999946</v>
      </c>
      <c r="AT16" s="717">
        <v>70171.618624999974</v>
      </c>
      <c r="AU16" s="716">
        <v>69993.799586000023</v>
      </c>
      <c r="AV16" s="715">
        <v>67869.886306713874</v>
      </c>
      <c r="AW16" s="714">
        <v>63594.486996999971</v>
      </c>
      <c r="AX16" s="712">
        <v>61087.848610766596</v>
      </c>
      <c r="AY16" s="713">
        <v>60524.446093233433</v>
      </c>
      <c r="AZ16" s="712">
        <v>55047.256183851299</v>
      </c>
      <c r="BA16" s="711">
        <v>51970.449382999999</v>
      </c>
      <c r="BB16" s="710">
        <v>49052.517762000003</v>
      </c>
      <c r="BC16" s="711">
        <v>49316.432665999979</v>
      </c>
      <c r="BD16" s="1054">
        <v>45237.749847999869</v>
      </c>
    </row>
    <row r="17" spans="2:57">
      <c r="B17" s="1202" t="s">
        <v>314</v>
      </c>
      <c r="D17" s="896">
        <v>0.60571051620599714</v>
      </c>
      <c r="E17" s="896">
        <v>0.60358440300314842</v>
      </c>
      <c r="F17" s="896">
        <v>0.59973740052364821</v>
      </c>
      <c r="G17" s="896">
        <v>0.59469836049871494</v>
      </c>
      <c r="H17" s="896">
        <v>0.59953683917098188</v>
      </c>
      <c r="I17" s="896">
        <v>0.66004067915125464</v>
      </c>
      <c r="J17" s="896">
        <v>0.59417959779891727</v>
      </c>
      <c r="K17" s="896">
        <v>0.57656518059400719</v>
      </c>
      <c r="L17" s="896">
        <v>0.5363681366258185</v>
      </c>
      <c r="M17" s="896">
        <v>0.53937295766714066</v>
      </c>
      <c r="N17" s="750">
        <v>0.53940869910701761</v>
      </c>
      <c r="O17" s="750">
        <v>0.5366588395790326</v>
      </c>
      <c r="P17" s="750">
        <f t="shared" ref="P17:U17" si="5">P16/P15</f>
        <v>0.53078973319128886</v>
      </c>
      <c r="Q17" s="750">
        <f t="shared" si="5"/>
        <v>0.52749785625382584</v>
      </c>
      <c r="R17" s="750">
        <f t="shared" si="5"/>
        <v>0.51803906580693948</v>
      </c>
      <c r="S17" s="750">
        <f t="shared" si="5"/>
        <v>0.50952955832679758</v>
      </c>
      <c r="T17" s="750">
        <f t="shared" si="5"/>
        <v>0.50826143400954749</v>
      </c>
      <c r="U17" s="750">
        <f t="shared" si="5"/>
        <v>0.49762487536082228</v>
      </c>
      <c r="V17" s="750">
        <f t="shared" ref="V17:AB17" si="6">V16/V15</f>
        <v>0.49559586534207456</v>
      </c>
      <c r="W17" s="750">
        <f t="shared" si="6"/>
        <v>0.49252320678051126</v>
      </c>
      <c r="X17" s="750">
        <f t="shared" si="6"/>
        <v>0.48916699206504538</v>
      </c>
      <c r="Y17" s="750">
        <f t="shared" si="6"/>
        <v>0.45187176986555588</v>
      </c>
      <c r="Z17" s="750">
        <f t="shared" si="6"/>
        <v>0.44403503095624758</v>
      </c>
      <c r="AA17" s="750">
        <f t="shared" si="6"/>
        <v>0.42892370239943989</v>
      </c>
      <c r="AB17" s="750">
        <f t="shared" si="6"/>
        <v>0.41128964085496555</v>
      </c>
      <c r="AC17" s="750">
        <f t="shared" ref="AC17:AH17" si="7">AC16/AC15</f>
        <v>0.39247760006033872</v>
      </c>
      <c r="AD17" s="750">
        <f t="shared" si="7"/>
        <v>0.41151792222153594</v>
      </c>
      <c r="AE17" s="750">
        <f t="shared" si="7"/>
        <v>0.39512589557691263</v>
      </c>
      <c r="AF17" s="750">
        <f t="shared" si="7"/>
        <v>0.30487900897590675</v>
      </c>
      <c r="AG17" s="750">
        <f t="shared" si="7"/>
        <v>0.27865089414489141</v>
      </c>
      <c r="AH17" s="750">
        <f t="shared" si="7"/>
        <v>0.28476923283153932</v>
      </c>
      <c r="AI17" s="708">
        <v>0.32900000000000001</v>
      </c>
      <c r="AJ17" s="707">
        <v>0.35397389757118702</v>
      </c>
      <c r="AK17" s="706">
        <v>0.37699025575199241</v>
      </c>
      <c r="AL17" s="709">
        <v>0.37805199757928631</v>
      </c>
      <c r="AM17" s="708">
        <v>0.37522300149986776</v>
      </c>
      <c r="AN17" s="707">
        <v>0.39321250832794163</v>
      </c>
      <c r="AO17" s="706">
        <v>0.4025939162184734</v>
      </c>
      <c r="AP17" s="707">
        <v>0.42773587233448246</v>
      </c>
      <c r="AQ17" s="706">
        <v>0.42787185384582604</v>
      </c>
      <c r="AR17" s="707">
        <v>0.42202447203313875</v>
      </c>
      <c r="AS17" s="706">
        <v>0.40626919077476736</v>
      </c>
      <c r="AT17" s="707">
        <v>0.40207891710047977</v>
      </c>
      <c r="AU17" s="706">
        <v>0.40296632859779707</v>
      </c>
      <c r="AV17" s="705">
        <v>0.4071248690632327</v>
      </c>
      <c r="AW17" s="704">
        <v>0.3911966894692942</v>
      </c>
      <c r="AX17" s="702">
        <v>0.38625333243479426</v>
      </c>
      <c r="AY17" s="703">
        <v>0.38338075263253735</v>
      </c>
      <c r="AZ17" s="702">
        <v>0.36918719596160138</v>
      </c>
      <c r="BA17" s="701">
        <v>0.35983063470385224</v>
      </c>
      <c r="BB17" s="700">
        <v>0.34840188400444033</v>
      </c>
      <c r="BC17" s="701">
        <v>0.34918530584175678</v>
      </c>
      <c r="BD17" s="1055">
        <v>0.33866560818414043</v>
      </c>
    </row>
    <row r="18" spans="2:57">
      <c r="B18" s="1202" t="s">
        <v>315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</row>
    <row r="19" spans="2:57">
      <c r="B19" s="1202" t="s">
        <v>316</v>
      </c>
      <c r="D19" s="903">
        <v>134881.78537422308</v>
      </c>
      <c r="E19" s="903">
        <v>92494.786576074883</v>
      </c>
      <c r="F19" s="903">
        <v>96428.504467750885</v>
      </c>
      <c r="G19" s="903">
        <v>72733.60805834402</v>
      </c>
      <c r="H19" s="903">
        <v>125525.65417083279</v>
      </c>
      <c r="I19" s="903">
        <v>79795.233858680018</v>
      </c>
      <c r="J19" s="903">
        <v>75848.702877696225</v>
      </c>
      <c r="K19" s="903">
        <v>85030.140603419888</v>
      </c>
      <c r="L19" s="903">
        <v>84912.427882464719</v>
      </c>
      <c r="M19" s="903">
        <v>77562.560021841229</v>
      </c>
      <c r="N19" s="698">
        <v>77783.166730380151</v>
      </c>
      <c r="O19" s="698">
        <v>93267.494140641124</v>
      </c>
      <c r="P19" s="698">
        <v>89894</v>
      </c>
      <c r="Q19" s="698">
        <v>80953.945663365826</v>
      </c>
      <c r="R19" s="698">
        <v>56840</v>
      </c>
      <c r="S19" s="698">
        <v>52879.783525929364</v>
      </c>
      <c r="T19" s="698">
        <v>42767.088861378732</v>
      </c>
      <c r="U19" s="698">
        <v>46537.760247941296</v>
      </c>
      <c r="V19" s="698">
        <v>57993</v>
      </c>
      <c r="W19" s="698">
        <v>57135.005778502542</v>
      </c>
      <c r="X19" s="698">
        <v>51413.926994751499</v>
      </c>
      <c r="Y19" s="698">
        <v>53914.770814025949</v>
      </c>
      <c r="Z19" s="698">
        <v>53829.830128857197</v>
      </c>
      <c r="AA19" s="698">
        <v>33411.334649209697</v>
      </c>
      <c r="AB19" s="698">
        <v>92270.146094136333</v>
      </c>
      <c r="AC19" s="698">
        <v>39212.27365455401</v>
      </c>
      <c r="AD19" s="698">
        <v>27469</v>
      </c>
      <c r="AE19" s="698">
        <v>43223</v>
      </c>
      <c r="AF19" s="698">
        <v>41075</v>
      </c>
      <c r="AG19" s="698">
        <v>53091</v>
      </c>
      <c r="AH19" s="698">
        <v>69036</v>
      </c>
      <c r="AI19" s="698">
        <v>78664</v>
      </c>
      <c r="AJ19" s="697">
        <v>46223.672342691141</v>
      </c>
      <c r="AK19" s="696">
        <v>59600.601534054018</v>
      </c>
      <c r="AL19" s="699">
        <v>71440.418266300068</v>
      </c>
      <c r="AM19" s="698">
        <v>62417.699506583995</v>
      </c>
      <c r="AN19" s="697">
        <v>28496.571428242001</v>
      </c>
      <c r="AO19" s="696">
        <v>53713.602246786992</v>
      </c>
      <c r="AP19" s="697">
        <v>45803.814406870981</v>
      </c>
      <c r="AQ19" s="696">
        <v>41217.328899401007</v>
      </c>
      <c r="AR19" s="697">
        <v>41440.796750000074</v>
      </c>
      <c r="AS19" s="696">
        <v>42436.367004000007</v>
      </c>
      <c r="AT19" s="697">
        <v>38360.392459999995</v>
      </c>
      <c r="AU19" s="696">
        <v>29417.866995999997</v>
      </c>
      <c r="AV19" s="695">
        <v>40920.073330999905</v>
      </c>
      <c r="AW19" s="694">
        <v>27090.226470000001</v>
      </c>
      <c r="AX19" s="692">
        <v>20588.402193999995</v>
      </c>
      <c r="AY19" s="693">
        <v>29470.213630000006</v>
      </c>
      <c r="AZ19" s="692">
        <v>20311.94714600001</v>
      </c>
      <c r="BA19" s="691">
        <v>17420.950848999986</v>
      </c>
      <c r="BB19" s="690">
        <v>10428.893563000001</v>
      </c>
      <c r="BC19" s="691">
        <v>12799.531118999999</v>
      </c>
      <c r="BD19" s="1056">
        <v>18794.263285899964</v>
      </c>
    </row>
    <row r="20" spans="2:57">
      <c r="B20" s="1202" t="s">
        <v>318</v>
      </c>
      <c r="C20" s="1029" t="s">
        <v>319</v>
      </c>
      <c r="D20" s="904">
        <v>482421.30199999997</v>
      </c>
      <c r="E20" s="904">
        <v>465918.02800000005</v>
      </c>
      <c r="F20" s="904">
        <v>449737.70899999997</v>
      </c>
      <c r="G20" s="904">
        <v>436095.837</v>
      </c>
      <c r="H20" s="904">
        <v>424461.22999999992</v>
      </c>
      <c r="I20" s="904">
        <v>413868.95899999997</v>
      </c>
      <c r="J20" s="904">
        <v>406527.63534427312</v>
      </c>
      <c r="K20" s="904">
        <v>409274.81699999998</v>
      </c>
      <c r="L20" s="904">
        <v>406348.72</v>
      </c>
      <c r="M20" s="904">
        <v>397011.70000000007</v>
      </c>
      <c r="N20" s="688">
        <v>389451.99899999995</v>
      </c>
      <c r="O20" s="688">
        <v>362471.3467772259</v>
      </c>
      <c r="P20" s="688">
        <v>375343.83</v>
      </c>
      <c r="Q20" s="688">
        <v>355872.90899999999</v>
      </c>
      <c r="R20" s="688">
        <v>364000</v>
      </c>
      <c r="S20" s="688">
        <v>362471.3467772259</v>
      </c>
      <c r="T20" s="688">
        <v>359903.56800000003</v>
      </c>
      <c r="U20" s="688">
        <v>355872.90899999999</v>
      </c>
      <c r="V20" s="688">
        <v>354511</v>
      </c>
      <c r="W20" s="688">
        <v>350866.93777722592</v>
      </c>
      <c r="X20" s="688">
        <v>350304.386777226</v>
      </c>
      <c r="Y20" s="688">
        <v>336223.99858445552</v>
      </c>
      <c r="Z20" s="688">
        <v>320604.80577722582</v>
      </c>
      <c r="AA20" s="688">
        <v>305688.58977722598</v>
      </c>
      <c r="AB20" s="688">
        <v>309754</v>
      </c>
      <c r="AC20" s="688">
        <v>308738</v>
      </c>
      <c r="AD20" s="688">
        <v>304703</v>
      </c>
      <c r="AE20" s="688">
        <v>301451</v>
      </c>
      <c r="AF20" s="688">
        <v>302206</v>
      </c>
      <c r="AG20" s="688">
        <v>303268</v>
      </c>
      <c r="AH20" s="688">
        <v>348452.88177722588</v>
      </c>
      <c r="AI20" s="688">
        <v>363165</v>
      </c>
      <c r="AJ20" s="687">
        <v>322292</v>
      </c>
      <c r="AK20" s="686">
        <v>307963.6077772259</v>
      </c>
      <c r="AL20" s="689">
        <v>299471.36677722592</v>
      </c>
      <c r="AM20" s="688">
        <v>297841.19777722581</v>
      </c>
      <c r="AN20" s="687">
        <v>290329.49577722588</v>
      </c>
      <c r="AO20" s="686">
        <v>282270.39977722586</v>
      </c>
      <c r="AP20" s="687">
        <v>276142.78577722592</v>
      </c>
      <c r="AQ20" s="686">
        <v>271614.83677722584</v>
      </c>
      <c r="AR20" s="687">
        <v>266625.53777722589</v>
      </c>
      <c r="AS20" s="686">
        <v>257992.8577772259</v>
      </c>
      <c r="AT20" s="687">
        <v>249311.44077722591</v>
      </c>
      <c r="AU20" s="686">
        <v>244518.11977722589</v>
      </c>
      <c r="AV20" s="685">
        <v>239501.80277722591</v>
      </c>
      <c r="AW20" s="684">
        <v>230413.40877722585</v>
      </c>
      <c r="AX20" s="682">
        <v>224663.76277722587</v>
      </c>
      <c r="AY20" s="683">
        <v>222149.48077722586</v>
      </c>
      <c r="AZ20" s="682">
        <v>217887.44977722588</v>
      </c>
      <c r="BA20" s="681">
        <v>210675.49077722587</v>
      </c>
      <c r="BB20" s="680">
        <v>205367.21977722587</v>
      </c>
      <c r="BC20" s="681">
        <v>202689.51377722589</v>
      </c>
      <c r="BD20" s="1057">
        <v>199603.90877722588</v>
      </c>
    </row>
    <row r="21" spans="2:57">
      <c r="B21" s="976"/>
      <c r="C21" s="1030"/>
      <c r="D21" s="905"/>
      <c r="E21" s="905"/>
      <c r="F21" s="905"/>
      <c r="G21" s="905"/>
      <c r="H21" s="905"/>
      <c r="I21" s="905"/>
      <c r="J21" s="905"/>
      <c r="K21" s="905"/>
      <c r="L21" s="905"/>
      <c r="M21" s="905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79"/>
      <c r="AB21" s="679"/>
      <c r="AC21" s="679"/>
      <c r="AD21" s="679"/>
      <c r="AE21" s="679"/>
      <c r="AF21" s="679"/>
      <c r="AG21" s="679"/>
      <c r="AH21" s="679"/>
      <c r="AI21" s="679"/>
      <c r="AJ21" s="678"/>
      <c r="AK21" s="678"/>
      <c r="AL21" s="679"/>
      <c r="AM21" s="679"/>
      <c r="AN21" s="678"/>
      <c r="AO21" s="678"/>
      <c r="AP21" s="678"/>
      <c r="AQ21" s="678"/>
      <c r="AR21" s="678"/>
      <c r="AS21" s="678"/>
      <c r="AT21" s="678"/>
      <c r="AU21" s="678"/>
      <c r="AV21" s="110"/>
      <c r="AW21" s="110"/>
      <c r="AX21" s="110"/>
      <c r="AY21" s="110"/>
      <c r="AZ21" s="110"/>
      <c r="BA21" s="110"/>
      <c r="BB21" s="110"/>
      <c r="BC21" s="110"/>
      <c r="BD21" s="110"/>
    </row>
    <row r="22" spans="2:57" s="15" customFormat="1">
      <c r="B22" s="1027" t="s">
        <v>320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048"/>
    </row>
    <row r="23" spans="2:57">
      <c r="B23" s="976" t="s">
        <v>321</v>
      </c>
      <c r="C23" s="3"/>
      <c r="D23" s="906">
        <v>288305</v>
      </c>
      <c r="E23" s="906">
        <v>286516</v>
      </c>
      <c r="F23" s="906">
        <v>281167.49</v>
      </c>
      <c r="G23" s="906">
        <v>273966</v>
      </c>
      <c r="H23" s="906">
        <v>266168.40000000002</v>
      </c>
      <c r="I23" s="906">
        <v>262687</v>
      </c>
      <c r="J23" s="906">
        <v>248371</v>
      </c>
      <c r="K23" s="906">
        <v>225274.4</v>
      </c>
      <c r="L23" s="906">
        <v>220656.78353400007</v>
      </c>
      <c r="M23" s="906">
        <v>216385.55117799997</v>
      </c>
      <c r="N23" s="676">
        <v>209520.93762199997</v>
      </c>
      <c r="O23" s="676">
        <v>203924.44172899998</v>
      </c>
      <c r="P23" s="676">
        <v>195492.58361471014</v>
      </c>
      <c r="Q23" s="876">
        <v>193526.52150787992</v>
      </c>
      <c r="R23" s="676">
        <v>189576</v>
      </c>
      <c r="S23" s="676">
        <v>181404.25125552001</v>
      </c>
      <c r="T23" s="676">
        <v>176167.89147959492</v>
      </c>
      <c r="U23" s="676">
        <v>160917.03998599999</v>
      </c>
      <c r="V23" s="676">
        <v>151914</v>
      </c>
      <c r="W23" s="676">
        <v>143055.61118499999</v>
      </c>
      <c r="X23" s="676">
        <v>140796.528525</v>
      </c>
      <c r="Y23" s="676">
        <v>147789.157779</v>
      </c>
      <c r="Z23" s="676">
        <v>138319.26007099997</v>
      </c>
      <c r="AA23" s="676">
        <v>128771.034046</v>
      </c>
      <c r="AB23" s="676">
        <v>129528.76147499999</v>
      </c>
      <c r="AC23" s="676">
        <v>111652.89238099997</v>
      </c>
      <c r="AD23" s="676">
        <v>109814.35447800001</v>
      </c>
      <c r="AE23" s="676">
        <v>108667</v>
      </c>
      <c r="AF23" s="676">
        <v>106322</v>
      </c>
      <c r="AG23" s="676">
        <v>101894</v>
      </c>
      <c r="AH23" s="676">
        <v>102521</v>
      </c>
      <c r="AI23" s="676">
        <v>104803</v>
      </c>
      <c r="AJ23" s="675">
        <v>103532.13564700008</v>
      </c>
      <c r="AK23" s="674">
        <v>107510.39734299996</v>
      </c>
      <c r="AL23" s="677">
        <v>122450.17312800002</v>
      </c>
      <c r="AM23" s="676">
        <v>129146.70572999999</v>
      </c>
      <c r="AN23" s="675">
        <v>129718.05126499999</v>
      </c>
      <c r="AO23" s="674">
        <v>138129.62470500005</v>
      </c>
      <c r="AP23" s="675">
        <v>147243.01272699996</v>
      </c>
      <c r="AQ23" s="674">
        <v>150420.12705899999</v>
      </c>
      <c r="AR23" s="675">
        <v>146525.16194700002</v>
      </c>
      <c r="AS23" s="674">
        <v>139750.41863999999</v>
      </c>
      <c r="AT23" s="675">
        <v>136555.88248299999</v>
      </c>
      <c r="AU23" s="674">
        <v>137986.81077899999</v>
      </c>
      <c r="AV23" s="673">
        <v>134134.76076799998</v>
      </c>
      <c r="AW23" s="672">
        <v>131634.53295000002</v>
      </c>
      <c r="AX23" s="670">
        <v>126341.71484499999</v>
      </c>
      <c r="AY23" s="671">
        <v>127524.974263</v>
      </c>
      <c r="AZ23" s="670">
        <v>120835.80590200005</v>
      </c>
      <c r="BA23" s="110"/>
      <c r="BB23" s="110"/>
      <c r="BC23" s="110"/>
      <c r="BD23" s="110"/>
    </row>
    <row r="24" spans="2:57">
      <c r="B24" s="976" t="s">
        <v>209</v>
      </c>
      <c r="C24" s="3"/>
      <c r="D24" s="907">
        <v>174790</v>
      </c>
      <c r="E24" s="907">
        <v>173298</v>
      </c>
      <c r="F24" s="907">
        <v>169515</v>
      </c>
      <c r="G24" s="907">
        <v>162743</v>
      </c>
      <c r="H24" s="907">
        <v>157535</v>
      </c>
      <c r="I24" s="907">
        <v>154568</v>
      </c>
      <c r="J24" s="907">
        <v>141710</v>
      </c>
      <c r="K24" s="907">
        <v>125274</v>
      </c>
      <c r="L24" s="907">
        <v>121607.10500399992</v>
      </c>
      <c r="M24" s="907">
        <v>119239.74851200011</v>
      </c>
      <c r="N24" s="668">
        <v>115039.43971699997</v>
      </c>
      <c r="O24" s="668">
        <v>111664.93428699998</v>
      </c>
      <c r="P24" s="668">
        <v>105226.97681459524</v>
      </c>
      <c r="Q24" s="877">
        <v>104121.31686903587</v>
      </c>
      <c r="R24" s="668">
        <v>99258</v>
      </c>
      <c r="S24" s="668">
        <v>93280.917331999997</v>
      </c>
      <c r="T24" s="668">
        <v>89215.332343384929</v>
      </c>
      <c r="U24" s="668">
        <v>79434.084416999962</v>
      </c>
      <c r="V24" s="668">
        <v>74679</v>
      </c>
      <c r="W24" s="668">
        <v>70335.220085719993</v>
      </c>
      <c r="X24" s="668">
        <v>66896.953566000098</v>
      </c>
      <c r="Y24" s="668">
        <v>64598.766257000018</v>
      </c>
      <c r="Z24" s="668">
        <v>58919.083494999948</v>
      </c>
      <c r="AA24" s="668">
        <v>52227.34835800001</v>
      </c>
      <c r="AB24" s="668">
        <v>50795.573455490055</v>
      </c>
      <c r="AC24" s="668">
        <v>40109.023235999979</v>
      </c>
      <c r="AD24" s="668">
        <v>39913.034373684975</v>
      </c>
      <c r="AE24" s="668">
        <v>38742</v>
      </c>
      <c r="AF24" s="668">
        <v>25657</v>
      </c>
      <c r="AG24" s="668">
        <v>19498</v>
      </c>
      <c r="AH24" s="668">
        <v>21468</v>
      </c>
      <c r="AI24" s="668">
        <v>27603</v>
      </c>
      <c r="AJ24" s="667">
        <v>29428.119611289003</v>
      </c>
      <c r="AK24" s="666">
        <v>35090.921213339956</v>
      </c>
      <c r="AL24" s="669">
        <v>42087.358577575025</v>
      </c>
      <c r="AM24" s="668">
        <v>44281.229713139983</v>
      </c>
      <c r="AN24" s="667">
        <v>47873.154957489052</v>
      </c>
      <c r="AO24" s="666">
        <v>52986.338956959953</v>
      </c>
      <c r="AP24" s="667">
        <v>62775.282877888967</v>
      </c>
      <c r="AQ24" s="666">
        <v>64098.837923000014</v>
      </c>
      <c r="AR24" s="667">
        <v>58615.961632000079</v>
      </c>
      <c r="AS24" s="666">
        <v>54362.28644799997</v>
      </c>
      <c r="AT24" s="667">
        <v>52624.325793999989</v>
      </c>
      <c r="AU24" s="666">
        <v>53425.333350999994</v>
      </c>
      <c r="AV24" s="665">
        <v>51743.624178028374</v>
      </c>
      <c r="AW24" s="664">
        <v>49128.23866286331</v>
      </c>
      <c r="AX24" s="662">
        <v>46457.803604606306</v>
      </c>
      <c r="AY24" s="663">
        <v>47411.659013876095</v>
      </c>
      <c r="AZ24" s="662">
        <v>42174.045910039502</v>
      </c>
      <c r="BA24" s="110"/>
      <c r="BB24" s="110"/>
      <c r="BC24" s="110"/>
      <c r="BD24" s="110"/>
    </row>
    <row r="25" spans="2:57">
      <c r="B25" s="976" t="s">
        <v>314</v>
      </c>
      <c r="C25" s="3"/>
      <c r="D25" s="908">
        <v>0.60626766792112519</v>
      </c>
      <c r="E25" s="908">
        <v>0.60484580267768639</v>
      </c>
      <c r="F25" s="908">
        <v>0.6028957776133842</v>
      </c>
      <c r="G25" s="908">
        <v>0.59402626603301134</v>
      </c>
      <c r="H25" s="908">
        <v>0.59186214441684282</v>
      </c>
      <c r="I25" s="908">
        <v>0.58841130318592094</v>
      </c>
      <c r="J25" s="908">
        <v>0.57055775432719602</v>
      </c>
      <c r="K25" s="908">
        <v>0.55609514441054997</v>
      </c>
      <c r="L25" s="908">
        <v>0.55111428280772523</v>
      </c>
      <c r="M25" s="908">
        <v>0.55105226695063769</v>
      </c>
      <c r="N25" s="660">
        <v>0.54905939722618291</v>
      </c>
      <c r="O25" s="660">
        <v>0.54757994353317463</v>
      </c>
      <c r="P25" s="660">
        <f t="shared" ref="P25:U25" si="8">P24/P23</f>
        <v>0.53826582507080478</v>
      </c>
      <c r="Q25" s="878">
        <f t="shared" si="8"/>
        <v>0.53802091856849865</v>
      </c>
      <c r="R25" s="660">
        <f t="shared" si="8"/>
        <v>0.52357893404228384</v>
      </c>
      <c r="S25" s="660">
        <f t="shared" si="8"/>
        <v>0.51421571813445321</v>
      </c>
      <c r="T25" s="660">
        <f t="shared" si="8"/>
        <v>0.50642220664665505</v>
      </c>
      <c r="U25" s="660">
        <f t="shared" si="8"/>
        <v>0.49363376572121165</v>
      </c>
      <c r="V25" s="660">
        <f t="shared" ref="V25:AB25" si="9">V24/V23</f>
        <v>0.49158734547178007</v>
      </c>
      <c r="W25" s="660">
        <f t="shared" si="9"/>
        <v>0.4916634831943939</v>
      </c>
      <c r="X25" s="660">
        <f t="shared" si="9"/>
        <v>0.47513212340403543</v>
      </c>
      <c r="Y25" s="660">
        <f t="shared" si="9"/>
        <v>0.43710084845059677</v>
      </c>
      <c r="Z25" s="660">
        <f t="shared" si="9"/>
        <v>0.42596442075208102</v>
      </c>
      <c r="AA25" s="660">
        <f t="shared" si="9"/>
        <v>0.40558304703325743</v>
      </c>
      <c r="AB25" s="660">
        <f t="shared" si="9"/>
        <v>0.3921567138993603</v>
      </c>
      <c r="AC25" s="660">
        <f t="shared" ref="AC25:AH25" si="10">AC24/AC23</f>
        <v>0.35922959433181106</v>
      </c>
      <c r="AD25" s="660">
        <f t="shared" si="10"/>
        <v>0.36345917219484336</v>
      </c>
      <c r="AE25" s="660">
        <f t="shared" si="10"/>
        <v>0.35652037877184428</v>
      </c>
      <c r="AF25" s="660">
        <f t="shared" si="10"/>
        <v>0.24131412125430296</v>
      </c>
      <c r="AG25" s="660">
        <f t="shared" si="10"/>
        <v>0.1913557226136966</v>
      </c>
      <c r="AH25" s="660">
        <f t="shared" si="10"/>
        <v>0.20940100077057383</v>
      </c>
      <c r="AI25" s="660">
        <v>0.26300000000000001</v>
      </c>
      <c r="AJ25" s="659">
        <v>0.28424140415325921</v>
      </c>
      <c r="AK25" s="658">
        <v>0.32639560526770517</v>
      </c>
      <c r="AL25" s="661">
        <v>0.34371007816853089</v>
      </c>
      <c r="AM25" s="660">
        <v>0.34287541027733487</v>
      </c>
      <c r="AN25" s="659">
        <v>0.3690554590562678</v>
      </c>
      <c r="AO25" s="658">
        <v>0.38359866010004395</v>
      </c>
      <c r="AP25" s="659">
        <v>0.42633794103547201</v>
      </c>
      <c r="AQ25" s="658">
        <v>0.42613205543868626</v>
      </c>
      <c r="AR25" s="659">
        <v>0.40004024464550469</v>
      </c>
      <c r="AS25" s="658">
        <v>0.38899551770244323</v>
      </c>
      <c r="AT25" s="659">
        <v>0.38536842820045675</v>
      </c>
      <c r="AU25" s="658">
        <v>0.38717710083586276</v>
      </c>
      <c r="AV25" s="657">
        <v>0.3857585004943227</v>
      </c>
      <c r="AW25" s="656">
        <v>0.37321694818125078</v>
      </c>
      <c r="AX25" s="654">
        <v>0.3677154743514619</v>
      </c>
      <c r="AY25" s="655">
        <v>0.37178332548491311</v>
      </c>
      <c r="AZ25" s="654">
        <v>0.3490194449834132</v>
      </c>
      <c r="BA25" s="110"/>
      <c r="BB25" s="110"/>
      <c r="BC25" s="110"/>
      <c r="BD25" s="110"/>
    </row>
    <row r="26" spans="2:57">
      <c r="B26" s="977" t="s">
        <v>322</v>
      </c>
      <c r="D26" s="909">
        <v>373243.05999999994</v>
      </c>
      <c r="E26" s="909">
        <v>368543.35600000003</v>
      </c>
      <c r="F26" s="909">
        <v>364192.33199999994</v>
      </c>
      <c r="G26" s="909">
        <v>362796.08999999997</v>
      </c>
      <c r="H26" s="909">
        <v>361593.12399999995</v>
      </c>
      <c r="I26" s="909">
        <v>356587.554</v>
      </c>
      <c r="J26" s="909">
        <v>351640.24400000006</v>
      </c>
      <c r="K26" s="909">
        <v>354515.14</v>
      </c>
      <c r="L26" s="909">
        <v>352252.81199999998</v>
      </c>
      <c r="M26" s="909">
        <v>345570.20600000006</v>
      </c>
      <c r="N26" s="650">
        <v>342305.36200000002</v>
      </c>
      <c r="O26" s="650">
        <v>338562.38500000001</v>
      </c>
      <c r="P26" s="650">
        <v>335412.28200000006</v>
      </c>
      <c r="Q26" s="884">
        <v>332243.62</v>
      </c>
      <c r="R26" s="650">
        <v>327797.96000000002</v>
      </c>
      <c r="S26" s="650">
        <v>327307.74</v>
      </c>
      <c r="T26" s="650">
        <v>326043.25400000002</v>
      </c>
      <c r="U26" s="650">
        <v>322917.59299999999</v>
      </c>
      <c r="V26" s="650">
        <v>323476</v>
      </c>
      <c r="W26" s="650">
        <v>321238.12300000002</v>
      </c>
      <c r="X26" s="650">
        <v>321373.51</v>
      </c>
      <c r="Y26" s="650">
        <v>307947.58600000001</v>
      </c>
      <c r="Z26" s="650">
        <v>293742.21999999997</v>
      </c>
      <c r="AA26" s="650">
        <v>279868.95299999998</v>
      </c>
      <c r="AB26" s="650">
        <v>283667.18400000001</v>
      </c>
      <c r="AC26" s="650">
        <v>283036.25299999997</v>
      </c>
      <c r="AD26" s="650">
        <v>279430</v>
      </c>
      <c r="AE26" s="650">
        <v>276817</v>
      </c>
      <c r="AF26" s="650">
        <v>282640</v>
      </c>
      <c r="AG26" s="650">
        <v>284224</v>
      </c>
      <c r="AH26" s="650">
        <v>332764</v>
      </c>
      <c r="AI26" s="650">
        <v>344564</v>
      </c>
      <c r="AJ26" s="651">
        <v>304192</v>
      </c>
      <c r="AK26" s="650">
        <v>290113.07900000003</v>
      </c>
      <c r="AL26" s="653">
        <v>282047.46899999998</v>
      </c>
      <c r="AM26" s="652">
        <v>280647.31699999998</v>
      </c>
      <c r="AN26" s="651">
        <v>273648.38299999997</v>
      </c>
      <c r="AO26" s="650">
        <v>265852.60499999998</v>
      </c>
      <c r="AP26" s="651">
        <v>259940.666</v>
      </c>
      <c r="AQ26" s="650">
        <v>255734.65</v>
      </c>
      <c r="AR26" s="651">
        <v>251237.26300000001</v>
      </c>
      <c r="AS26" s="650">
        <v>243289.40400000001</v>
      </c>
      <c r="AT26" s="651">
        <v>235211.88200000001</v>
      </c>
      <c r="AU26" s="650">
        <v>230661.666</v>
      </c>
      <c r="AV26" s="542">
        <v>226017.413</v>
      </c>
      <c r="AW26" s="541">
        <v>217215.04199999999</v>
      </c>
      <c r="AX26" s="539">
        <v>211752.43299999999</v>
      </c>
      <c r="AY26" s="540">
        <v>209411.03899999999</v>
      </c>
      <c r="AZ26" s="539">
        <v>205519.18299999999</v>
      </c>
      <c r="BA26" s="649">
        <v>198513.451</v>
      </c>
      <c r="BB26" s="648">
        <v>193456.902</v>
      </c>
      <c r="BC26" s="649">
        <v>190948.45199999999</v>
      </c>
      <c r="BD26" s="1058">
        <v>188220.383</v>
      </c>
    </row>
    <row r="27" spans="2:57">
      <c r="B27" s="977" t="s">
        <v>323</v>
      </c>
      <c r="C27" s="1031" t="s">
        <v>319</v>
      </c>
      <c r="D27" s="910">
        <v>4699.7039999999406</v>
      </c>
      <c r="E27" s="910">
        <v>4351.0240000000595</v>
      </c>
      <c r="F27" s="910">
        <v>1396.242</v>
      </c>
      <c r="G27" s="910">
        <v>1202.9659999999999</v>
      </c>
      <c r="H27" s="910">
        <v>5005.5699999999406</v>
      </c>
      <c r="I27" s="910">
        <v>4947.3099999999404</v>
      </c>
      <c r="J27" s="910">
        <v>-2874.8959999999406</v>
      </c>
      <c r="K27" s="910">
        <v>2262.328</v>
      </c>
      <c r="L27" s="910">
        <v>6682.6059999999407</v>
      </c>
      <c r="M27" s="910">
        <v>3264.8440000000596</v>
      </c>
      <c r="N27" s="545">
        <v>3742.9769999999999</v>
      </c>
      <c r="O27" s="545">
        <v>3150.1029999999405</v>
      </c>
      <c r="P27" s="545">
        <v>3168.6620000000594</v>
      </c>
      <c r="Q27" s="879">
        <v>4445.66</v>
      </c>
      <c r="R27" s="545">
        <v>490.22</v>
      </c>
      <c r="S27" s="545">
        <v>1264.4860000000001</v>
      </c>
      <c r="T27" s="545">
        <v>3125.6610000000001</v>
      </c>
      <c r="U27" s="545">
        <v>-558.875</v>
      </c>
      <c r="V27" s="545">
        <v>2238.3449999999998</v>
      </c>
      <c r="W27" s="545">
        <v>-135.387</v>
      </c>
      <c r="X27" s="545">
        <v>13425.924000000001</v>
      </c>
      <c r="Y27" s="545">
        <v>14205.366</v>
      </c>
      <c r="Z27" s="545">
        <v>13873.267</v>
      </c>
      <c r="AA27" s="545">
        <v>-3798.2310000000002</v>
      </c>
      <c r="AB27" s="545">
        <v>630.93100000005961</v>
      </c>
      <c r="AC27" s="545">
        <v>3606.1449999999404</v>
      </c>
      <c r="AD27" s="545">
        <v>2613</v>
      </c>
      <c r="AE27" s="545">
        <v>-1533</v>
      </c>
      <c r="AF27" s="545">
        <v>-1585</v>
      </c>
      <c r="AG27" s="545">
        <v>-48539</v>
      </c>
      <c r="AH27" s="545">
        <v>-11800</v>
      </c>
      <c r="AI27" s="545">
        <v>40372</v>
      </c>
      <c r="AJ27" s="544">
        <v>14079</v>
      </c>
      <c r="AK27" s="543">
        <v>8065.61</v>
      </c>
      <c r="AL27" s="546">
        <v>1400.152</v>
      </c>
      <c r="AM27" s="545">
        <v>6998.9340000000002</v>
      </c>
      <c r="AN27" s="544">
        <v>7795.7780000000002</v>
      </c>
      <c r="AO27" s="543">
        <v>5911.9390000000003</v>
      </c>
      <c r="AP27" s="544">
        <v>4206.0159999999996</v>
      </c>
      <c r="AQ27" s="543">
        <v>4497.3869999999997</v>
      </c>
      <c r="AR27" s="544">
        <v>7947.8590000000004</v>
      </c>
      <c r="AS27" s="543">
        <v>8077.5219999999999</v>
      </c>
      <c r="AT27" s="544">
        <v>4550.2160000000003</v>
      </c>
      <c r="AU27" s="543">
        <v>4644.2529999999997</v>
      </c>
      <c r="AV27" s="542">
        <v>8802.3709999999992</v>
      </c>
      <c r="AW27" s="541">
        <v>5462.6090000000004</v>
      </c>
      <c r="AX27" s="539">
        <v>2341.3939999999998</v>
      </c>
      <c r="AY27" s="540">
        <v>3891.8559999999998</v>
      </c>
      <c r="AZ27" s="539">
        <v>7005.7319999999891</v>
      </c>
      <c r="BA27" s="647">
        <v>5056.5489999999991</v>
      </c>
      <c r="BB27" s="646">
        <v>2508.4500000000116</v>
      </c>
      <c r="BC27" s="647">
        <v>2728.069</v>
      </c>
      <c r="BD27" s="1059">
        <v>6298.28</v>
      </c>
    </row>
    <row r="28" spans="2:57">
      <c r="B28" s="978" t="s">
        <v>324</v>
      </c>
      <c r="C28" s="1031" t="s">
        <v>325</v>
      </c>
      <c r="D28" s="911"/>
      <c r="E28" s="911"/>
      <c r="F28" s="911"/>
      <c r="G28" s="911"/>
      <c r="H28" s="911"/>
      <c r="I28" s="911"/>
      <c r="J28" s="911"/>
      <c r="K28" s="911"/>
      <c r="L28" s="911">
        <v>0.93446348981878402</v>
      </c>
      <c r="M28" s="911">
        <v>0.93536917647350648</v>
      </c>
      <c r="N28" s="644">
        <v>0.93729435649331139</v>
      </c>
      <c r="O28" s="644">
        <v>0.93949491465214008</v>
      </c>
      <c r="P28" s="644">
        <v>0.94141055931875506</v>
      </c>
      <c r="Q28" s="880">
        <v>0.94284786567158196</v>
      </c>
      <c r="R28" s="644">
        <v>0.94406394109347114</v>
      </c>
      <c r="S28" s="644">
        <v>0.9448436874728352</v>
      </c>
      <c r="T28" s="644">
        <v>0.94539226381294794</v>
      </c>
      <c r="U28" s="644">
        <v>0.94551318546462715</v>
      </c>
      <c r="V28" s="644">
        <v>0.94659874918629316</v>
      </c>
      <c r="W28" s="644">
        <v>0.94732225166189254</v>
      </c>
      <c r="X28" s="644">
        <v>0.94824440259559695</v>
      </c>
      <c r="Y28" s="644">
        <v>0.9480301527676207</v>
      </c>
      <c r="Z28" s="644">
        <v>0.94788702148434756</v>
      </c>
      <c r="AA28" s="644">
        <v>0.9477864734785354</v>
      </c>
      <c r="AB28" s="644">
        <v>0.94791527242714124</v>
      </c>
      <c r="AC28" s="644">
        <v>0.94436150552063736</v>
      </c>
      <c r="AD28" s="644">
        <v>0.94914000462684567</v>
      </c>
      <c r="AE28" s="644">
        <v>0.94899999999999995</v>
      </c>
      <c r="AF28" s="644">
        <v>0.93500000000000005</v>
      </c>
      <c r="AG28" s="644">
        <v>0.93600000000000005</v>
      </c>
      <c r="AH28" s="644">
        <v>0.94399999999999995</v>
      </c>
      <c r="AI28" s="644">
        <v>0.94599999999999995</v>
      </c>
      <c r="AJ28" s="643">
        <v>0.93899999999999995</v>
      </c>
      <c r="AK28" s="642">
        <v>0.93705362728579367</v>
      </c>
      <c r="AL28" s="645">
        <v>0.93710300942285707</v>
      </c>
      <c r="AM28" s="644">
        <v>0.93752911594732968</v>
      </c>
      <c r="AN28" s="643">
        <v>0.93663112564418116</v>
      </c>
      <c r="AO28" s="642">
        <v>0.9365957425920276</v>
      </c>
      <c r="AP28" s="643">
        <v>0.93702492091022038</v>
      </c>
      <c r="AQ28" s="642">
        <v>0.93877815149413657</v>
      </c>
      <c r="AR28" s="643">
        <v>0.94004459441989707</v>
      </c>
      <c r="AS28" s="642">
        <v>0.94102281577376057</v>
      </c>
      <c r="AT28" s="643">
        <v>0.94227018259222128</v>
      </c>
      <c r="AU28" s="642">
        <v>0.94425437384987931</v>
      </c>
      <c r="AV28" s="575">
        <v>0.94583085950107748</v>
      </c>
      <c r="AW28" s="574">
        <v>0.94627702164383254</v>
      </c>
      <c r="AX28" s="572">
        <v>0.94684846903270292</v>
      </c>
      <c r="AY28" s="573">
        <v>0.94945711529562682</v>
      </c>
      <c r="AZ28" s="572">
        <v>0.9510219199343547</v>
      </c>
      <c r="BA28" s="641">
        <v>0.95258166158221691</v>
      </c>
      <c r="BB28" s="640">
        <v>0.95406066204864581</v>
      </c>
      <c r="BC28" s="641">
        <v>0.95612838484807405</v>
      </c>
      <c r="BD28" s="1060">
        <v>0.957626964344239</v>
      </c>
    </row>
    <row r="29" spans="2:57">
      <c r="B29" s="978" t="s">
        <v>326</v>
      </c>
      <c r="C29" s="1031" t="s">
        <v>325</v>
      </c>
      <c r="D29" s="912">
        <v>2.4253394095409359E-2</v>
      </c>
      <c r="E29" s="912">
        <v>2.5802567814370358E-2</v>
      </c>
      <c r="F29" s="912">
        <v>2.8792908392908378E-2</v>
      </c>
      <c r="G29" s="912">
        <v>2.6784196795037855E-2</v>
      </c>
      <c r="H29" s="912">
        <v>2.3096849436003954E-2</v>
      </c>
      <c r="I29" s="912">
        <v>2.4930759788678161E-2</v>
      </c>
      <c r="J29" s="912">
        <v>3.235432031294426E-2</v>
      </c>
      <c r="K29" s="912">
        <v>2.8147964285120206E-2</v>
      </c>
      <c r="L29" s="912">
        <v>2.3667534847411176E-2</v>
      </c>
      <c r="M29" s="912">
        <v>2.8518421695955223E-2</v>
      </c>
      <c r="N29" s="632">
        <v>2.9213685930290948E-2</v>
      </c>
      <c r="O29" s="632">
        <v>2.7832226546057506E-2</v>
      </c>
      <c r="P29" s="632">
        <v>2.8029255621514464E-2</v>
      </c>
      <c r="Q29" s="881">
        <v>2.964921879320627E-2</v>
      </c>
      <c r="R29" s="632">
        <v>3.2546471928734486E-2</v>
      </c>
      <c r="S29" s="632">
        <v>2.9725828757992845E-2</v>
      </c>
      <c r="T29" s="632">
        <v>2.8139047305883378E-2</v>
      </c>
      <c r="U29" s="632">
        <v>2.9222615672159322E-2</v>
      </c>
      <c r="V29" s="632">
        <v>3.0038176753185753E-2</v>
      </c>
      <c r="W29" s="632">
        <v>2.7981353441882999E-2</v>
      </c>
      <c r="X29" s="632">
        <v>2.2472762762234502E-2</v>
      </c>
      <c r="Y29" s="632">
        <v>1.9245406432229602E-2</v>
      </c>
      <c r="Z29" s="632">
        <v>1.7216848284955729E-2</v>
      </c>
      <c r="AA29" s="632">
        <v>2.2127470497693872E-2</v>
      </c>
      <c r="AB29" s="632">
        <v>2.5705219111204602E-2</v>
      </c>
      <c r="AC29" s="632">
        <v>2.6322916330686442E-2</v>
      </c>
      <c r="AD29" s="632">
        <v>2.1033169655762077E-2</v>
      </c>
      <c r="AE29" s="632">
        <v>2.5999999999999999E-2</v>
      </c>
      <c r="AF29" s="632">
        <v>2.8000000000000001E-2</v>
      </c>
      <c r="AG29" s="632">
        <v>7.2999999999999995E-2</v>
      </c>
      <c r="AH29" s="632">
        <v>4.1000000000000002E-2</v>
      </c>
      <c r="AI29" s="632">
        <v>0.02</v>
      </c>
      <c r="AJ29" s="631">
        <v>2.8000000000000001E-2</v>
      </c>
      <c r="AK29" s="630">
        <v>3.3443775475490913E-2</v>
      </c>
      <c r="AL29" s="633">
        <v>3.9282703790000949E-2</v>
      </c>
      <c r="AM29" s="632">
        <v>3.8053702720668679E-2</v>
      </c>
      <c r="AN29" s="631">
        <v>3.6269536116305984E-2</v>
      </c>
      <c r="AO29" s="630">
        <v>4.1295691790030876E-2</v>
      </c>
      <c r="AP29" s="631">
        <v>3.6675979820503815E-2</v>
      </c>
      <c r="AQ29" s="630">
        <v>3.5652380422221026E-2</v>
      </c>
      <c r="AR29" s="631">
        <v>3.2697666271896526E-2</v>
      </c>
      <c r="AS29" s="630">
        <v>3.4489304215672277E-2</v>
      </c>
      <c r="AT29" s="631">
        <v>3.4848758539631285E-2</v>
      </c>
      <c r="AU29" s="630">
        <v>3.2947994453445616E-2</v>
      </c>
      <c r="AV29" s="639">
        <v>2.5127285932575835E-2</v>
      </c>
      <c r="AW29" s="638">
        <v>2.6562333524762453E-2</v>
      </c>
      <c r="AX29" s="636">
        <v>3.0672786652858035E-2</v>
      </c>
      <c r="AY29" s="637">
        <v>2.6988312396774437E-2</v>
      </c>
      <c r="AZ29" s="636">
        <v>2.4230428594244489E-2</v>
      </c>
      <c r="BA29" s="634">
        <v>2.6855511981701521E-2</v>
      </c>
      <c r="BB29" s="635">
        <v>3.2174192762100082E-2</v>
      </c>
      <c r="BC29" s="634">
        <v>3.204494393383249E-2</v>
      </c>
      <c r="BD29" s="632">
        <v>3.1806284929968273E-2</v>
      </c>
    </row>
    <row r="30" spans="2:57">
      <c r="B30" s="978"/>
      <c r="C30" s="1031"/>
      <c r="D30" s="912"/>
      <c r="E30" s="912"/>
      <c r="F30" s="912"/>
      <c r="G30" s="912"/>
      <c r="H30" s="912"/>
      <c r="I30" s="912"/>
      <c r="J30" s="912"/>
      <c r="K30" s="912"/>
      <c r="L30" s="912"/>
      <c r="M30" s="912"/>
      <c r="N30" s="632"/>
      <c r="O30" s="632"/>
      <c r="P30" s="632"/>
      <c r="Q30" s="881"/>
      <c r="R30" s="632"/>
      <c r="S30" s="632"/>
      <c r="T30" s="632"/>
      <c r="U30" s="632"/>
      <c r="V30" s="632"/>
      <c r="W30" s="632"/>
      <c r="X30" s="632"/>
      <c r="Y30" s="632"/>
      <c r="Z30" s="632"/>
      <c r="AA30" s="632"/>
      <c r="AB30" s="632"/>
      <c r="AC30" s="632"/>
      <c r="AD30" s="632"/>
      <c r="AE30" s="632"/>
      <c r="AF30" s="632"/>
      <c r="AG30" s="632"/>
      <c r="AH30" s="632"/>
      <c r="AI30" s="632"/>
      <c r="AJ30" s="631"/>
      <c r="AK30" s="630"/>
      <c r="AL30" s="633"/>
      <c r="AM30" s="632"/>
      <c r="AN30" s="631"/>
      <c r="AO30" s="630"/>
      <c r="AP30" s="631"/>
      <c r="AQ30" s="630"/>
      <c r="AR30" s="631"/>
      <c r="AS30" s="630"/>
      <c r="AT30" s="631"/>
      <c r="AU30" s="630"/>
      <c r="AV30" s="630"/>
      <c r="AW30" s="629"/>
      <c r="AX30" s="627"/>
      <c r="AY30" s="628"/>
      <c r="AZ30" s="627"/>
      <c r="BA30" s="110"/>
      <c r="BB30" s="627"/>
      <c r="BC30" s="110"/>
      <c r="BD30" s="632"/>
    </row>
    <row r="31" spans="2:57">
      <c r="B31" s="3" t="s">
        <v>327</v>
      </c>
      <c r="C31" s="1175" t="s">
        <v>328</v>
      </c>
      <c r="D31" s="913">
        <v>257.19403872675633</v>
      </c>
      <c r="E31" s="913">
        <v>258.62704108091441</v>
      </c>
      <c r="F31" s="913">
        <v>255.71479647994886</v>
      </c>
      <c r="G31" s="913">
        <v>250.25512779106091</v>
      </c>
      <c r="H31" s="913">
        <v>244.99939359916334</v>
      </c>
      <c r="I31" s="913">
        <v>245.2917946006726</v>
      </c>
      <c r="J31" s="913">
        <v>232.97286712569192</v>
      </c>
      <c r="K31" s="913">
        <v>210.5850423026302</v>
      </c>
      <c r="L31" s="913">
        <v>208.8588040254451</v>
      </c>
      <c r="M31" s="913">
        <v>207.89210467375753</v>
      </c>
      <c r="N31" s="625">
        <v>202.80929014342357</v>
      </c>
      <c r="O31" s="625">
        <v>199.76734964826008</v>
      </c>
      <c r="P31" s="625">
        <v>193.30020898498091</v>
      </c>
      <c r="Q31" s="882">
        <v>193.44511757473515</v>
      </c>
      <c r="R31" s="625">
        <v>189.77470933891865</v>
      </c>
      <c r="S31" s="625">
        <v>183.21636296137629</v>
      </c>
      <c r="T31" s="625">
        <v>178.25447578771332</v>
      </c>
      <c r="U31" s="625">
        <v>162.51066372091415</v>
      </c>
      <c r="V31" s="625">
        <v>153.4346448313531</v>
      </c>
      <c r="W31" s="625">
        <v>146.13644963737531</v>
      </c>
      <c r="X31" s="625">
        <v>145.211474354763</v>
      </c>
      <c r="Y31" s="625">
        <v>166.08182157874103</v>
      </c>
      <c r="Z31" s="625">
        <v>162.19167879158945</v>
      </c>
      <c r="AA31" s="625">
        <v>156.80841376485662</v>
      </c>
      <c r="AB31" s="625">
        <v>154.07077258806797</v>
      </c>
      <c r="AC31" s="625">
        <v>134.85133141482592</v>
      </c>
      <c r="AD31" s="625">
        <v>128.00756338007565</v>
      </c>
      <c r="AE31" s="625">
        <v>129</v>
      </c>
      <c r="AF31" s="625">
        <v>123</v>
      </c>
      <c r="AG31" s="625">
        <v>104</v>
      </c>
      <c r="AH31" s="625">
        <v>100</v>
      </c>
      <c r="AI31" s="625">
        <v>105</v>
      </c>
      <c r="AJ31" s="624">
        <v>116</v>
      </c>
      <c r="AK31" s="623">
        <v>122.80157793751884</v>
      </c>
      <c r="AL31" s="626">
        <v>144.74710419292197</v>
      </c>
      <c r="AM31" s="625">
        <v>154.48483312278125</v>
      </c>
      <c r="AN31" s="624">
        <v>157.58472915121405</v>
      </c>
      <c r="AO31" s="623">
        <v>172.02435272712242</v>
      </c>
      <c r="AP31" s="624">
        <v>187.87110713727409</v>
      </c>
      <c r="AQ31" s="623">
        <v>195.73454080073296</v>
      </c>
      <c r="AR31" s="624">
        <v>194.19472239456147</v>
      </c>
      <c r="AS31" s="623">
        <v>191.98926667921071</v>
      </c>
      <c r="AT31" s="624">
        <v>192.59114966262496</v>
      </c>
      <c r="AU31" s="623">
        <v>198.240255886835</v>
      </c>
      <c r="AV31" s="622">
        <v>198.37007068736361</v>
      </c>
      <c r="AW31" s="568">
        <v>202.27862881432441</v>
      </c>
      <c r="AX31" s="621">
        <v>197.54347159449424</v>
      </c>
      <c r="AY31" s="567">
        <v>202.47964261556035</v>
      </c>
      <c r="AZ31" s="621">
        <v>196.36843459513216</v>
      </c>
      <c r="BA31" s="620">
        <v>194.65963221876336</v>
      </c>
      <c r="BB31" s="619">
        <v>192.06986859832728</v>
      </c>
      <c r="BC31" s="620">
        <v>200.22361924121819</v>
      </c>
      <c r="BD31" s="1061">
        <v>192.88645612171879</v>
      </c>
    </row>
    <row r="32" spans="2:57">
      <c r="B32" s="3" t="s">
        <v>327</v>
      </c>
      <c r="C32" s="1175" t="s">
        <v>329</v>
      </c>
      <c r="D32" s="914">
        <v>2.8040177176898839</v>
      </c>
      <c r="E32" s="914">
        <v>2.9049594740721409</v>
      </c>
      <c r="F32" s="914">
        <v>2.9297015033370033</v>
      </c>
      <c r="G32" s="914">
        <v>2.9296332067975568</v>
      </c>
      <c r="H32" s="914">
        <v>2.8367087258244377</v>
      </c>
      <c r="I32" s="914">
        <v>2.9070224730033418</v>
      </c>
      <c r="J32" s="914">
        <v>2.7824510849720818</v>
      </c>
      <c r="K32" s="914">
        <v>2.5262106045117561</v>
      </c>
      <c r="L32" s="914">
        <v>2.5134836549270818</v>
      </c>
      <c r="M32" s="914">
        <v>2.4981744709729305</v>
      </c>
      <c r="N32" s="600">
        <v>2.4586681932163255</v>
      </c>
      <c r="O32" s="600">
        <v>2.4300532819485947</v>
      </c>
      <c r="P32" s="600">
        <v>2.3493573536393484</v>
      </c>
      <c r="Q32" s="883">
        <v>2.354544729767051</v>
      </c>
      <c r="R32" s="600">
        <v>2.3757474879684359</v>
      </c>
      <c r="S32" s="600">
        <v>2.3785323259982851</v>
      </c>
      <c r="T32" s="600">
        <v>2.3714038596179239</v>
      </c>
      <c r="U32" s="600">
        <v>2.1761056565560306</v>
      </c>
      <c r="V32" s="600">
        <v>2.0719128772991064</v>
      </c>
      <c r="W32" s="600">
        <v>1.990575610575279</v>
      </c>
      <c r="X32" s="600">
        <v>1.9822062499370401</v>
      </c>
      <c r="Y32" s="600">
        <v>2.2469425394682965</v>
      </c>
      <c r="Z32" s="600">
        <v>2.1827828381884053</v>
      </c>
      <c r="AA32" s="600">
        <v>2.0684851766277665</v>
      </c>
      <c r="AB32" s="600">
        <v>2.1439910836292131</v>
      </c>
      <c r="AC32" s="600">
        <v>1.9007646408385634</v>
      </c>
      <c r="AD32" s="600">
        <v>1.8260599503817831</v>
      </c>
      <c r="AE32" s="600">
        <v>1.9</v>
      </c>
      <c r="AF32" s="600">
        <v>1.7</v>
      </c>
      <c r="AG32" s="600">
        <v>1.4</v>
      </c>
      <c r="AH32" s="600">
        <v>1.4420259394342454</v>
      </c>
      <c r="AI32" s="600">
        <v>1.6</v>
      </c>
      <c r="AJ32" s="599">
        <v>1.8</v>
      </c>
      <c r="AK32" s="598">
        <v>1.8985530872352112</v>
      </c>
      <c r="AL32" s="601">
        <v>2.2491683612144242</v>
      </c>
      <c r="AM32" s="600">
        <v>2.3972817761197138</v>
      </c>
      <c r="AN32" s="599">
        <v>2.3490015897725156</v>
      </c>
      <c r="AO32" s="598">
        <v>2.5434847618598679</v>
      </c>
      <c r="AP32" s="599">
        <v>2.7986857085275583</v>
      </c>
      <c r="AQ32" s="598">
        <v>2.9298054595340521</v>
      </c>
      <c r="AR32" s="599">
        <v>2.86945010160417</v>
      </c>
      <c r="AS32" s="598">
        <v>2.9153553163293431</v>
      </c>
      <c r="AT32" s="599">
        <v>2.9674581484063034</v>
      </c>
      <c r="AU32" s="598">
        <v>3.1226994663479055</v>
      </c>
      <c r="AV32" s="583">
        <v>3.1923353727170829</v>
      </c>
      <c r="AW32" s="582">
        <v>3.2686072099173482</v>
      </c>
      <c r="AX32" s="580">
        <v>3.2660684956491366</v>
      </c>
      <c r="AY32" s="581">
        <v>3.3807150073850645</v>
      </c>
      <c r="AZ32" s="580">
        <v>3.181998314681711</v>
      </c>
      <c r="BA32" s="618">
        <v>3.1369308891763383</v>
      </c>
      <c r="BB32" s="617">
        <v>3.0610166783050037</v>
      </c>
      <c r="BC32" s="618">
        <v>3.584363478914689</v>
      </c>
      <c r="BD32" s="1062">
        <v>3.5642861925807896</v>
      </c>
    </row>
    <row r="33" spans="2:57"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616"/>
      <c r="AW33" s="606"/>
      <c r="AX33" s="605"/>
      <c r="AY33" s="605"/>
      <c r="AZ33" s="605"/>
      <c r="BA33" s="110"/>
      <c r="BB33" s="110"/>
      <c r="BC33" s="110"/>
      <c r="BD33" s="110"/>
    </row>
    <row r="34" spans="2:57" s="15" customFormat="1">
      <c r="B34" s="1027" t="s">
        <v>330</v>
      </c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048"/>
    </row>
    <row r="35" spans="2:57">
      <c r="B35" s="979" t="s">
        <v>331</v>
      </c>
      <c r="C35" s="1031" t="s">
        <v>332</v>
      </c>
      <c r="D35" s="910"/>
      <c r="E35" s="910"/>
      <c r="F35" s="910"/>
      <c r="G35" s="910"/>
      <c r="H35" s="910"/>
      <c r="I35" s="910"/>
      <c r="J35" s="910"/>
      <c r="K35" s="910"/>
      <c r="L35" s="910"/>
      <c r="M35" s="910"/>
      <c r="N35" s="545"/>
      <c r="O35" s="545"/>
      <c r="P35" s="545"/>
      <c r="Q35" s="545"/>
      <c r="R35" s="545"/>
      <c r="S35" s="545"/>
      <c r="T35" s="545"/>
      <c r="U35" s="545"/>
      <c r="V35" s="545"/>
      <c r="W35" s="545"/>
      <c r="X35" s="545"/>
      <c r="Y35" s="545"/>
      <c r="Z35" s="545"/>
      <c r="AA35" s="545"/>
      <c r="AB35" s="545">
        <v>131222.19618699999</v>
      </c>
      <c r="AC35" s="545">
        <v>113969.353068</v>
      </c>
      <c r="AD35" s="545">
        <v>108118</v>
      </c>
      <c r="AE35" s="545">
        <v>107240</v>
      </c>
      <c r="AF35" s="545">
        <v>104870</v>
      </c>
      <c r="AG35" s="545">
        <v>100532</v>
      </c>
      <c r="AH35" s="545">
        <v>100703.82033399999</v>
      </c>
      <c r="AI35" s="545">
        <v>103036</v>
      </c>
      <c r="AJ35" s="544">
        <v>102221</v>
      </c>
      <c r="AK35" s="543">
        <v>105709.12237899998</v>
      </c>
      <c r="AL35" s="546">
        <v>122114.63775800003</v>
      </c>
      <c r="AM35" s="545">
        <v>128569.80308099999</v>
      </c>
      <c r="AN35" s="544">
        <v>127612.35981400008</v>
      </c>
      <c r="AO35" s="543">
        <v>135643.69329600004</v>
      </c>
      <c r="AP35" s="544">
        <v>145065.17830699999</v>
      </c>
      <c r="AQ35" s="543">
        <v>148765.239221</v>
      </c>
      <c r="AR35" s="544">
        <v>146524.88201299997</v>
      </c>
      <c r="AS35" s="543">
        <v>139750.381371</v>
      </c>
      <c r="AT35" s="544">
        <v>136555.84062800003</v>
      </c>
      <c r="AU35" s="543">
        <v>137986.78062799998</v>
      </c>
      <c r="AV35" s="542">
        <v>134134.69781699998</v>
      </c>
      <c r="AW35" s="541">
        <v>131634.53294999996</v>
      </c>
      <c r="AX35" s="539">
        <v>126341.71484500002</v>
      </c>
      <c r="AY35" s="540">
        <v>127524.974263</v>
      </c>
      <c r="AZ35" s="539">
        <v>120834.80590200005</v>
      </c>
      <c r="BA35" s="615">
        <v>116445.63747899997</v>
      </c>
      <c r="BB35" s="614">
        <v>113540.81433600001</v>
      </c>
      <c r="BC35" s="615">
        <v>116013.32554799999</v>
      </c>
      <c r="BD35" s="1063">
        <v>110173.41184199996</v>
      </c>
    </row>
    <row r="36" spans="2:57">
      <c r="B36" s="980" t="s">
        <v>333</v>
      </c>
      <c r="C36" s="1031" t="s">
        <v>328</v>
      </c>
      <c r="D36" s="910"/>
      <c r="E36" s="910"/>
      <c r="F36" s="910"/>
      <c r="G36" s="910"/>
      <c r="H36" s="910"/>
      <c r="I36" s="910"/>
      <c r="J36" s="910"/>
      <c r="K36" s="910"/>
      <c r="L36" s="910"/>
      <c r="M36" s="910"/>
      <c r="N36" s="545"/>
      <c r="O36" s="545"/>
      <c r="P36" s="545"/>
      <c r="Q36" s="545"/>
      <c r="R36" s="545"/>
      <c r="S36" s="545"/>
      <c r="T36" s="545"/>
      <c r="U36" s="545"/>
      <c r="V36" s="545"/>
      <c r="W36" s="545"/>
      <c r="X36" s="545"/>
      <c r="Y36" s="545"/>
      <c r="Z36" s="545"/>
      <c r="AA36" s="545"/>
      <c r="AB36" s="545"/>
      <c r="AC36" s="545"/>
      <c r="AD36" s="545"/>
      <c r="AE36" s="545"/>
      <c r="AF36" s="545"/>
      <c r="AG36" s="545"/>
      <c r="AH36" s="545"/>
      <c r="AI36" s="545"/>
      <c r="AJ36" s="544"/>
      <c r="AK36" s="543"/>
      <c r="AL36" s="546"/>
      <c r="AM36" s="545">
        <v>111.41414070027672</v>
      </c>
      <c r="AN36" s="544">
        <v>114.31564152437926</v>
      </c>
      <c r="AO36" s="543">
        <v>123.19972515217091</v>
      </c>
      <c r="AP36" s="544">
        <v>131.58581162786314</v>
      </c>
      <c r="AQ36" s="543">
        <v>138.71663909649874</v>
      </c>
      <c r="AR36" s="544">
        <v>138.06521688092354</v>
      </c>
      <c r="AS36" s="543">
        <v>136.54105255583454</v>
      </c>
      <c r="AT36" s="544">
        <v>139.843960791548</v>
      </c>
      <c r="AU36" s="543">
        <v>148.06821618719462</v>
      </c>
      <c r="AV36" s="542">
        <v>151.3989524250857</v>
      </c>
      <c r="AW36" s="541">
        <v>156.66025849955625</v>
      </c>
      <c r="AX36" s="539">
        <v>157.69544092113156</v>
      </c>
      <c r="AY36" s="540">
        <v>165.7867661864434</v>
      </c>
      <c r="AZ36" s="539">
        <v>162.33414271483409</v>
      </c>
      <c r="BA36" s="613">
        <v>161.22259515776412</v>
      </c>
      <c r="BB36" s="612">
        <v>160.3517581752312</v>
      </c>
      <c r="BC36" s="613">
        <v>165.51684484882261</v>
      </c>
      <c r="BD36" s="1064">
        <v>159.37714498056383</v>
      </c>
    </row>
    <row r="37" spans="2:57">
      <c r="B37" s="980" t="s">
        <v>334</v>
      </c>
      <c r="C37" s="1031" t="s">
        <v>335</v>
      </c>
      <c r="D37" s="910">
        <v>1279577.7261317</v>
      </c>
      <c r="E37" s="910">
        <v>1265645.3081607211</v>
      </c>
      <c r="F37" s="910">
        <v>1248797.8294874914</v>
      </c>
      <c r="G37" s="910">
        <v>1241763.080965417</v>
      </c>
      <c r="H37" s="910">
        <v>1253671.0758898433</v>
      </c>
      <c r="I37" s="910">
        <v>1233305.5131589193</v>
      </c>
      <c r="J37" s="910">
        <v>1199794.5689879502</v>
      </c>
      <c r="K37" s="910">
        <v>1195079.7236666</v>
      </c>
      <c r="L37" s="910">
        <v>1209563.6851983101</v>
      </c>
      <c r="M37" s="910">
        <v>1160820.40713142</v>
      </c>
      <c r="N37" s="545">
        <v>1147713.25204242</v>
      </c>
      <c r="O37" s="545">
        <v>1148792.582854941</v>
      </c>
      <c r="P37" s="545">
        <v>1124343.08173518</v>
      </c>
      <c r="Q37" s="545">
        <v>1081949.70515667</v>
      </c>
      <c r="R37" s="545">
        <v>1063010.5771014099</v>
      </c>
      <c r="S37" s="545">
        <v>1078960.7100116899</v>
      </c>
      <c r="T37" s="545">
        <v>1051115.67247249</v>
      </c>
      <c r="U37" s="545">
        <v>1029802.1366506601</v>
      </c>
      <c r="V37" s="545">
        <v>1020414.6202869101</v>
      </c>
      <c r="W37" s="545">
        <v>1002263.30378045</v>
      </c>
      <c r="X37" s="545">
        <v>996793.09685993998</v>
      </c>
      <c r="Y37" s="545">
        <v>924910.75868017005</v>
      </c>
      <c r="Z37" s="545">
        <v>860854.23999812989</v>
      </c>
      <c r="AA37" s="545">
        <v>820246.12499784003</v>
      </c>
      <c r="AB37" s="545">
        <v>821899.94168423</v>
      </c>
      <c r="AC37" s="545">
        <v>758896.60736497003</v>
      </c>
      <c r="AD37" s="545">
        <v>716641.88312355999</v>
      </c>
      <c r="AE37" s="545">
        <v>737108.47137195</v>
      </c>
      <c r="AF37" s="545">
        <v>731186.53981978004</v>
      </c>
      <c r="AG37" s="545">
        <v>702880.67413693003</v>
      </c>
      <c r="AH37" s="545">
        <v>693060.86222954001</v>
      </c>
      <c r="AI37" s="545">
        <v>684191.41463047336</v>
      </c>
      <c r="AJ37" s="544">
        <v>592657.14136772999</v>
      </c>
      <c r="AK37" s="543">
        <v>494545.90622746001</v>
      </c>
      <c r="AL37" s="546">
        <v>437142.17839873</v>
      </c>
      <c r="AM37" s="545">
        <v>421911.62540765997</v>
      </c>
      <c r="AN37" s="544">
        <v>381236.12602492003</v>
      </c>
      <c r="AO37" s="543">
        <v>330216.61634343001</v>
      </c>
      <c r="AP37" s="544">
        <v>313403.13607383001</v>
      </c>
      <c r="AQ37" s="543">
        <v>314831.30049977999</v>
      </c>
      <c r="AR37" s="544"/>
      <c r="AS37" s="543"/>
      <c r="AT37" s="544"/>
      <c r="AU37" s="543"/>
      <c r="AV37" s="542"/>
      <c r="AW37" s="541"/>
      <c r="AX37" s="539"/>
      <c r="AY37" s="540"/>
      <c r="AZ37" s="539"/>
      <c r="BA37" s="613"/>
      <c r="BB37" s="612"/>
      <c r="BC37" s="613"/>
      <c r="BD37" s="1064"/>
    </row>
    <row r="38" spans="2:57">
      <c r="B38" s="980" t="s">
        <v>336</v>
      </c>
      <c r="C38" s="1031" t="s">
        <v>337</v>
      </c>
      <c r="D38" s="910">
        <v>1150.4276840893137</v>
      </c>
      <c r="E38" s="910">
        <v>1151.6765129579173</v>
      </c>
      <c r="F38" s="910">
        <v>1145.1530690267389</v>
      </c>
      <c r="G38" s="910">
        <v>1143.437085085231</v>
      </c>
      <c r="H38" s="910">
        <v>1162.6866149296345</v>
      </c>
      <c r="I38" s="910">
        <v>1160.1068531416943</v>
      </c>
      <c r="J38" s="910">
        <v>1134.9890117921996</v>
      </c>
      <c r="K38" s="910">
        <v>1127.8280349408053</v>
      </c>
      <c r="L38" s="910">
        <v>1157.9182279734218</v>
      </c>
      <c r="M38" s="910">
        <v>1126.6651060294257</v>
      </c>
      <c r="N38" s="545">
        <v>1123.0891380330163</v>
      </c>
      <c r="O38" s="545">
        <v>1137.8366422681299</v>
      </c>
      <c r="P38" s="545">
        <v>1122.2647596268271</v>
      </c>
      <c r="Q38" s="545">
        <v>1093.5771820419661</v>
      </c>
      <c r="R38" s="545">
        <v>1081.7010042667714</v>
      </c>
      <c r="S38" s="545">
        <v>1103.8297277550466</v>
      </c>
      <c r="T38" s="545">
        <v>1082.7037308418614</v>
      </c>
      <c r="U38" s="545">
        <v>1060.6729294535237</v>
      </c>
      <c r="V38" s="545">
        <v>1052.8949213927979</v>
      </c>
      <c r="W38" s="545">
        <v>1043.9879869451122</v>
      </c>
      <c r="X38" s="545">
        <v>1052.7979559041901</v>
      </c>
      <c r="Y38" s="545">
        <v>1026.711934963663</v>
      </c>
      <c r="Z38" s="545">
        <v>1004.7854871818618</v>
      </c>
      <c r="AA38" s="545">
        <v>993.71886208542912</v>
      </c>
      <c r="AB38" s="545">
        <v>965.01020928593778</v>
      </c>
      <c r="AC38" s="545">
        <v>897.94506290037737</v>
      </c>
      <c r="AD38" s="545">
        <v>848.47754820700823</v>
      </c>
      <c r="AE38" s="545">
        <v>888</v>
      </c>
      <c r="AF38" s="545">
        <v>858</v>
      </c>
      <c r="AG38" s="545">
        <v>725.58097298820394</v>
      </c>
      <c r="AH38" s="545">
        <v>686</v>
      </c>
      <c r="AI38" s="545">
        <v>700</v>
      </c>
      <c r="AJ38" s="544">
        <v>670</v>
      </c>
      <c r="AK38" s="543">
        <v>574.51065982302623</v>
      </c>
      <c r="AL38" s="546">
        <v>518.16117711618529</v>
      </c>
      <c r="AM38" s="545">
        <v>506.95377516134562</v>
      </c>
      <c r="AN38" s="544">
        <v>470.77721742517468</v>
      </c>
      <c r="AO38" s="543">
        <v>418.78319814146624</v>
      </c>
      <c r="AP38" s="544">
        <v>405.88234090112473</v>
      </c>
      <c r="AQ38" s="543">
        <v>414.2322518063288</v>
      </c>
      <c r="AR38" s="544">
        <v>415.22218448862037</v>
      </c>
      <c r="AS38" s="543">
        <v>404.5338328420803</v>
      </c>
      <c r="AT38" s="544">
        <v>404.44667569582725</v>
      </c>
      <c r="AU38" s="543">
        <v>423.88869700579698</v>
      </c>
      <c r="AV38" s="542">
        <v>417.98211535869444</v>
      </c>
      <c r="AW38" s="541">
        <v>415.83273040180273</v>
      </c>
      <c r="AX38" s="539">
        <v>418.43928964870616</v>
      </c>
      <c r="AY38" s="540">
        <v>435.31703937156232</v>
      </c>
      <c r="AZ38" s="539">
        <v>436.86683478563754</v>
      </c>
      <c r="BA38" s="613">
        <v>434.1894625418995</v>
      </c>
      <c r="BB38" s="612">
        <v>436.5035346803345</v>
      </c>
      <c r="BC38" s="613">
        <v>454.89342221033593</v>
      </c>
      <c r="BD38" s="1064">
        <v>455.40297421390164</v>
      </c>
    </row>
    <row r="39" spans="2:57">
      <c r="B39" s="980" t="s">
        <v>338</v>
      </c>
      <c r="C39" s="1031" t="s">
        <v>339</v>
      </c>
      <c r="D39" s="910"/>
      <c r="E39" s="910"/>
      <c r="F39" s="910"/>
      <c r="G39" s="910"/>
      <c r="H39" s="910"/>
      <c r="I39" s="910"/>
      <c r="J39" s="910"/>
      <c r="K39" s="910"/>
      <c r="L39" s="910"/>
      <c r="M39" s="910"/>
      <c r="N39" s="545"/>
      <c r="O39" s="545"/>
      <c r="P39" s="545"/>
      <c r="Q39" s="545"/>
      <c r="R39" s="545"/>
      <c r="S39" s="545"/>
      <c r="T39" s="545"/>
      <c r="U39" s="545"/>
      <c r="V39" s="545"/>
      <c r="W39" s="545"/>
      <c r="X39" s="545"/>
      <c r="Y39" s="545"/>
      <c r="Z39" s="545"/>
      <c r="AA39" s="545"/>
      <c r="AB39" s="545"/>
      <c r="AC39" s="545"/>
      <c r="AD39" s="610"/>
      <c r="AE39" s="610"/>
      <c r="AF39" s="610"/>
      <c r="AG39" s="610"/>
      <c r="AH39" s="610"/>
      <c r="AI39" s="610"/>
      <c r="AJ39" s="609"/>
      <c r="AK39" s="610"/>
      <c r="AL39" s="611"/>
      <c r="AM39" s="610">
        <v>21.977179411439927</v>
      </c>
      <c r="AN39" s="609">
        <v>24.282322358249758</v>
      </c>
      <c r="AO39" s="608">
        <v>29.41849761378289</v>
      </c>
      <c r="AP39" s="609">
        <v>32.419693681602716</v>
      </c>
      <c r="AQ39" s="608">
        <v>33.487648171189399</v>
      </c>
      <c r="AR39" s="609">
        <v>33.25092493575746</v>
      </c>
      <c r="AS39" s="608">
        <v>33.752690497246171</v>
      </c>
      <c r="AT39" s="609">
        <v>34.576612739109422</v>
      </c>
      <c r="AU39" s="608">
        <v>34.93091871359092</v>
      </c>
      <c r="AV39" s="607">
        <v>36.221394854457245</v>
      </c>
      <c r="AW39" s="606">
        <v>37.673864283886857</v>
      </c>
      <c r="AX39" s="604">
        <v>37.686576003300786</v>
      </c>
      <c r="AY39" s="605">
        <v>38.08432517825586</v>
      </c>
      <c r="AZ39" s="604">
        <v>37.159361275879583</v>
      </c>
      <c r="BA39" s="603">
        <v>37.131853503286266</v>
      </c>
      <c r="BB39" s="602">
        <v>36.735500502341154</v>
      </c>
      <c r="BC39" s="603">
        <v>36.385851447262766</v>
      </c>
      <c r="BD39" s="1065">
        <v>34.996948637780484</v>
      </c>
    </row>
    <row r="40" spans="2:57"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0"/>
      <c r="AW40" s="110"/>
      <c r="AX40" s="110"/>
      <c r="AY40" s="110"/>
      <c r="AZ40" s="110"/>
      <c r="BA40" s="110"/>
      <c r="BB40" s="110"/>
      <c r="BC40" s="110"/>
      <c r="BD40" s="110"/>
    </row>
    <row r="41" spans="2:57" hidden="1" outlineLevel="1">
      <c r="B41" s="981" t="s">
        <v>340</v>
      </c>
      <c r="C41" s="1031"/>
      <c r="D41" s="914"/>
      <c r="E41" s="914"/>
      <c r="F41" s="914"/>
      <c r="G41" s="914"/>
      <c r="H41" s="914"/>
      <c r="I41" s="914"/>
      <c r="J41" s="914"/>
      <c r="K41" s="914"/>
      <c r="L41" s="914"/>
      <c r="M41" s="914"/>
      <c r="N41" s="600"/>
      <c r="O41" s="600"/>
      <c r="P41" s="600"/>
      <c r="Q41" s="600"/>
      <c r="R41" s="600"/>
      <c r="S41" s="600"/>
      <c r="T41" s="600"/>
      <c r="U41" s="600"/>
      <c r="V41" s="600"/>
      <c r="W41" s="600"/>
      <c r="X41" s="600"/>
      <c r="Y41" s="600"/>
      <c r="Z41" s="600"/>
      <c r="AA41" s="600"/>
      <c r="AB41" s="600"/>
      <c r="AC41" s="600"/>
      <c r="AD41" s="600"/>
      <c r="AE41" s="600"/>
      <c r="AF41" s="600"/>
      <c r="AG41" s="600"/>
      <c r="AH41" s="600"/>
      <c r="AI41" s="600"/>
      <c r="AJ41" s="599"/>
      <c r="AK41" s="598"/>
      <c r="AL41" s="601"/>
      <c r="AM41" s="600"/>
      <c r="AN41" s="599"/>
      <c r="AO41" s="598"/>
      <c r="AP41" s="599"/>
      <c r="AQ41" s="598"/>
      <c r="AR41" s="599"/>
      <c r="AS41" s="598"/>
      <c r="AT41" s="599"/>
      <c r="AU41" s="598"/>
      <c r="AV41" s="583"/>
      <c r="AW41" s="582"/>
      <c r="AX41" s="580"/>
      <c r="AY41" s="581"/>
      <c r="AZ41" s="580"/>
      <c r="BA41" s="110"/>
      <c r="BB41" s="580"/>
      <c r="BC41" s="110"/>
      <c r="BD41" s="1066"/>
    </row>
    <row r="42" spans="2:57" hidden="1" outlineLevel="1">
      <c r="B42" s="982" t="s">
        <v>341</v>
      </c>
      <c r="C42" s="1031" t="s">
        <v>325</v>
      </c>
      <c r="D42" s="915"/>
      <c r="E42" s="915"/>
      <c r="F42" s="915"/>
      <c r="G42" s="915"/>
      <c r="H42" s="915"/>
      <c r="I42" s="915"/>
      <c r="J42" s="915"/>
      <c r="K42" s="915"/>
      <c r="L42" s="915"/>
      <c r="M42" s="915"/>
      <c r="N42" s="596"/>
      <c r="O42" s="596"/>
      <c r="P42" s="596"/>
      <c r="Q42" s="596"/>
      <c r="R42" s="596"/>
      <c r="S42" s="596"/>
      <c r="T42" s="596"/>
      <c r="U42" s="596"/>
      <c r="V42" s="596"/>
      <c r="W42" s="596"/>
      <c r="X42" s="596"/>
      <c r="Y42" s="596"/>
      <c r="Z42" s="596"/>
      <c r="AA42" s="596"/>
      <c r="AB42" s="596"/>
      <c r="AC42" s="596"/>
      <c r="AD42" s="596"/>
      <c r="AE42" s="596"/>
      <c r="AF42" s="596"/>
      <c r="AG42" s="596"/>
      <c r="AH42" s="596"/>
      <c r="AI42" s="596"/>
      <c r="AJ42" s="595"/>
      <c r="AK42" s="596"/>
      <c r="AL42" s="597"/>
      <c r="AM42" s="596">
        <v>0.27880207753645875</v>
      </c>
      <c r="AN42" s="595">
        <v>0.27457665384134372</v>
      </c>
      <c r="AO42" s="594">
        <v>0.28382392842018533</v>
      </c>
      <c r="AP42" s="595">
        <v>0.29959527234959182</v>
      </c>
      <c r="AQ42" s="594">
        <v>0.29130219669445656</v>
      </c>
      <c r="AR42" s="595">
        <v>0.28903723449082702</v>
      </c>
      <c r="AS42" s="594">
        <v>0.28880892709498679</v>
      </c>
      <c r="AT42" s="595">
        <v>0.27388168648184408</v>
      </c>
      <c r="AU42" s="594">
        <v>0.25308704064769233</v>
      </c>
      <c r="AV42" s="593">
        <v>0.23678530788198182</v>
      </c>
      <c r="AW42" s="592">
        <v>0.2256434956644911</v>
      </c>
      <c r="AX42" s="590">
        <v>0.20240668931989006</v>
      </c>
      <c r="AY42" s="591">
        <v>0.18178667158373482</v>
      </c>
      <c r="AZ42" s="590">
        <v>0.17378107907210211</v>
      </c>
      <c r="BA42" s="589">
        <v>0.17214879039601558</v>
      </c>
      <c r="BB42" s="588">
        <v>0.1653682762625685</v>
      </c>
      <c r="BC42" s="589">
        <v>0.17346825989802658</v>
      </c>
      <c r="BD42" s="1067">
        <v>0.17380959343319119</v>
      </c>
    </row>
    <row r="43" spans="2:57" hidden="1" outlineLevel="1">
      <c r="B43" s="3" t="s">
        <v>342</v>
      </c>
      <c r="C43" s="1031"/>
      <c r="D43" s="916"/>
      <c r="E43" s="916"/>
      <c r="F43" s="916"/>
      <c r="G43" s="916"/>
      <c r="H43" s="916"/>
      <c r="I43" s="916"/>
      <c r="J43" s="916"/>
      <c r="K43" s="916"/>
      <c r="L43" s="916"/>
      <c r="M43" s="916"/>
      <c r="N43" s="586"/>
      <c r="O43" s="586"/>
      <c r="P43" s="586"/>
      <c r="Q43" s="586"/>
      <c r="R43" s="586"/>
      <c r="S43" s="586"/>
      <c r="T43" s="586"/>
      <c r="U43" s="586"/>
      <c r="V43" s="586"/>
      <c r="W43" s="586"/>
      <c r="X43" s="586"/>
      <c r="Y43" s="586"/>
      <c r="Z43" s="586"/>
      <c r="AA43" s="586"/>
      <c r="AB43" s="586"/>
      <c r="AC43" s="586"/>
      <c r="AD43" s="586"/>
      <c r="AE43" s="586"/>
      <c r="AF43" s="586"/>
      <c r="AG43" s="586"/>
      <c r="AH43" s="586"/>
      <c r="AI43" s="586"/>
      <c r="AJ43" s="585"/>
      <c r="AK43" s="586"/>
      <c r="AL43" s="587"/>
      <c r="AM43" s="586"/>
      <c r="AN43" s="585"/>
      <c r="AO43" s="584"/>
      <c r="AP43" s="585"/>
      <c r="AQ43" s="584"/>
      <c r="AR43" s="585"/>
      <c r="AS43" s="584"/>
      <c r="AT43" s="585"/>
      <c r="AU43" s="584"/>
      <c r="AV43" s="583"/>
      <c r="AW43" s="582"/>
      <c r="AX43" s="580"/>
      <c r="AY43" s="581"/>
      <c r="AZ43" s="580"/>
      <c r="BA43" s="110"/>
      <c r="BB43" s="580"/>
      <c r="BC43" s="110"/>
      <c r="BD43" s="1066"/>
    </row>
    <row r="44" spans="2:57" hidden="1" outlineLevel="1">
      <c r="B44" s="983" t="s">
        <v>343</v>
      </c>
      <c r="C44" s="1031"/>
      <c r="D44" s="910"/>
      <c r="E44" s="910"/>
      <c r="F44" s="910"/>
      <c r="G44" s="910"/>
      <c r="H44" s="910"/>
      <c r="I44" s="910"/>
      <c r="J44" s="910"/>
      <c r="K44" s="910"/>
      <c r="L44" s="910"/>
      <c r="M44" s="910"/>
      <c r="N44" s="545"/>
      <c r="O44" s="545"/>
      <c r="P44" s="545"/>
      <c r="Q44" s="545"/>
      <c r="R44" s="545"/>
      <c r="S44" s="545"/>
      <c r="T44" s="545"/>
      <c r="U44" s="545"/>
      <c r="V44" s="545"/>
      <c r="W44" s="545"/>
      <c r="X44" s="545"/>
      <c r="Y44" s="545"/>
      <c r="Z44" s="545"/>
      <c r="AA44" s="545"/>
      <c r="AB44" s="545"/>
      <c r="AC44" s="545"/>
      <c r="AD44" s="545"/>
      <c r="AE44" s="545"/>
      <c r="AF44" s="545"/>
      <c r="AG44" s="545"/>
      <c r="AH44" s="545"/>
      <c r="AI44" s="545"/>
      <c r="AJ44" s="544"/>
      <c r="AK44" s="545"/>
      <c r="AL44" s="546"/>
      <c r="AM44" s="545"/>
      <c r="AN44" s="544"/>
      <c r="AO44" s="543"/>
      <c r="AP44" s="544"/>
      <c r="AQ44" s="543"/>
      <c r="AR44" s="544"/>
      <c r="AS44" s="543"/>
      <c r="AT44" s="544"/>
      <c r="AU44" s="543"/>
      <c r="AV44" s="542"/>
      <c r="AW44" s="541"/>
      <c r="AX44" s="539"/>
      <c r="AY44" s="540"/>
      <c r="AZ44" s="539"/>
      <c r="BA44" s="110"/>
      <c r="BB44" s="539"/>
      <c r="BC44" s="110"/>
      <c r="BD44" s="1068"/>
    </row>
    <row r="45" spans="2:57" hidden="1" outlineLevel="1">
      <c r="B45" s="982" t="s">
        <v>344</v>
      </c>
      <c r="C45" s="1031" t="s">
        <v>325</v>
      </c>
      <c r="D45" s="917"/>
      <c r="E45" s="917"/>
      <c r="F45" s="917"/>
      <c r="G45" s="917"/>
      <c r="H45" s="917"/>
      <c r="I45" s="917"/>
      <c r="J45" s="917"/>
      <c r="K45" s="917"/>
      <c r="L45" s="917"/>
      <c r="M45" s="917"/>
      <c r="N45" s="578"/>
      <c r="O45" s="578"/>
      <c r="P45" s="578"/>
      <c r="Q45" s="578"/>
      <c r="R45" s="578"/>
      <c r="S45" s="578"/>
      <c r="T45" s="578"/>
      <c r="U45" s="578"/>
      <c r="V45" s="578"/>
      <c r="W45" s="578"/>
      <c r="X45" s="578"/>
      <c r="Y45" s="578"/>
      <c r="Z45" s="578"/>
      <c r="AA45" s="578"/>
      <c r="AB45" s="578"/>
      <c r="AC45" s="578"/>
      <c r="AD45" s="578"/>
      <c r="AE45" s="578"/>
      <c r="AF45" s="578"/>
      <c r="AG45" s="578"/>
      <c r="AH45" s="578"/>
      <c r="AI45" s="578"/>
      <c r="AJ45" s="577"/>
      <c r="AK45" s="578"/>
      <c r="AL45" s="579"/>
      <c r="AM45" s="578">
        <v>5.524549044272066E-2</v>
      </c>
      <c r="AN45" s="577">
        <v>5.4595996070812586E-2</v>
      </c>
      <c r="AO45" s="576">
        <v>5.1918164567023153E-2</v>
      </c>
      <c r="AP45" s="577">
        <v>4.9072250697451671E-2</v>
      </c>
      <c r="AQ45" s="576">
        <v>5.042463323109949E-2</v>
      </c>
      <c r="AR45" s="577">
        <v>5.1527368865673773E-2</v>
      </c>
      <c r="AS45" s="576">
        <v>5.3321940167581218E-2</v>
      </c>
      <c r="AT45" s="577">
        <v>5.4158527027394383E-2</v>
      </c>
      <c r="AU45" s="576">
        <v>5.6842413463624571E-2</v>
      </c>
      <c r="AV45" s="575">
        <v>5.6875747082415842E-2</v>
      </c>
      <c r="AW45" s="574">
        <v>5.9553097684597031E-2</v>
      </c>
      <c r="AX45" s="572">
        <v>5.4039414723064005E-2</v>
      </c>
      <c r="AY45" s="573">
        <v>5.4708533137826025E-2</v>
      </c>
      <c r="AZ45" s="572">
        <v>5.5930154048131162E-2</v>
      </c>
      <c r="BA45" s="571">
        <v>6.051852242874365E-2</v>
      </c>
      <c r="BB45" s="570">
        <v>6.6945141602307995E-2</v>
      </c>
      <c r="BC45" s="571">
        <v>8.2389511288201073E-2</v>
      </c>
      <c r="BD45" s="1069">
        <v>9.0565929319173108E-2</v>
      </c>
    </row>
    <row r="46" spans="2:57" hidden="1" outlineLevel="1">
      <c r="B46" s="982" t="s">
        <v>345</v>
      </c>
      <c r="C46" s="1031" t="s">
        <v>325</v>
      </c>
      <c r="D46" s="917"/>
      <c r="E46" s="917"/>
      <c r="F46" s="917"/>
      <c r="G46" s="917"/>
      <c r="H46" s="917"/>
      <c r="I46" s="917"/>
      <c r="J46" s="917"/>
      <c r="K46" s="917"/>
      <c r="L46" s="917"/>
      <c r="M46" s="917"/>
      <c r="N46" s="578"/>
      <c r="O46" s="578"/>
      <c r="P46" s="578"/>
      <c r="Q46" s="578"/>
      <c r="R46" s="578"/>
      <c r="S46" s="578"/>
      <c r="T46" s="578"/>
      <c r="U46" s="578"/>
      <c r="V46" s="578"/>
      <c r="W46" s="578"/>
      <c r="X46" s="578"/>
      <c r="Y46" s="578"/>
      <c r="Z46" s="578"/>
      <c r="AA46" s="578"/>
      <c r="AB46" s="578"/>
      <c r="AC46" s="578"/>
      <c r="AD46" s="578"/>
      <c r="AE46" s="578"/>
      <c r="AF46" s="578"/>
      <c r="AG46" s="578"/>
      <c r="AH46" s="578"/>
      <c r="AI46" s="578"/>
      <c r="AJ46" s="577"/>
      <c r="AK46" s="578"/>
      <c r="AL46" s="579"/>
      <c r="AM46" s="578">
        <v>0.2194012429483401</v>
      </c>
      <c r="AN46" s="577">
        <v>0.21526614144182124</v>
      </c>
      <c r="AO46" s="576">
        <v>0.22759681993241568</v>
      </c>
      <c r="AP46" s="577">
        <v>0.2465103009216128</v>
      </c>
      <c r="AQ46" s="576">
        <v>0.23694923003983576</v>
      </c>
      <c r="AR46" s="577">
        <v>0.23303707969401125</v>
      </c>
      <c r="AS46" s="576">
        <v>0.23096546282755356</v>
      </c>
      <c r="AT46" s="577">
        <v>0.21534203194275917</v>
      </c>
      <c r="AU46" s="576">
        <v>0.1918359399900994</v>
      </c>
      <c r="AV46" s="575">
        <v>0.17619163038211499</v>
      </c>
      <c r="AW46" s="574">
        <v>0.16245190811976712</v>
      </c>
      <c r="AX46" s="572">
        <v>0.14473505942063788</v>
      </c>
      <c r="AY46" s="573">
        <v>0.1237072801311131</v>
      </c>
      <c r="AZ46" s="572">
        <v>0.11450009168292406</v>
      </c>
      <c r="BA46" s="571">
        <v>0.10264441716106602</v>
      </c>
      <c r="BB46" s="570">
        <v>9.1996516274506418E-2</v>
      </c>
      <c r="BC46" s="571">
        <v>7.4248902645736442E-2</v>
      </c>
      <c r="BD46" s="1069">
        <v>6.5330682850810742E-2</v>
      </c>
    </row>
    <row r="47" spans="2:57" hidden="1" outlineLevel="1">
      <c r="B47" s="982" t="s">
        <v>346</v>
      </c>
      <c r="C47" s="1031" t="s">
        <v>325</v>
      </c>
      <c r="D47" s="917"/>
      <c r="E47" s="917"/>
      <c r="F47" s="917"/>
      <c r="G47" s="917"/>
      <c r="H47" s="917"/>
      <c r="I47" s="917"/>
      <c r="J47" s="917"/>
      <c r="K47" s="917"/>
      <c r="L47" s="917"/>
      <c r="M47" s="917"/>
      <c r="N47" s="578"/>
      <c r="O47" s="578"/>
      <c r="P47" s="578"/>
      <c r="Q47" s="578"/>
      <c r="R47" s="578"/>
      <c r="S47" s="578"/>
      <c r="T47" s="578"/>
      <c r="U47" s="578"/>
      <c r="V47" s="578"/>
      <c r="W47" s="578"/>
      <c r="X47" s="578"/>
      <c r="Y47" s="578"/>
      <c r="Z47" s="578"/>
      <c r="AA47" s="578"/>
      <c r="AB47" s="578"/>
      <c r="AC47" s="578"/>
      <c r="AD47" s="578"/>
      <c r="AE47" s="578"/>
      <c r="AF47" s="578"/>
      <c r="AG47" s="578"/>
      <c r="AH47" s="578"/>
      <c r="AI47" s="578"/>
      <c r="AJ47" s="577"/>
      <c r="AK47" s="578"/>
      <c r="AL47" s="579"/>
      <c r="AM47" s="578">
        <v>4.1553441453979576E-3</v>
      </c>
      <c r="AN47" s="577">
        <v>4.7145163287099093E-3</v>
      </c>
      <c r="AO47" s="576">
        <v>4.3089439207464652E-3</v>
      </c>
      <c r="AP47" s="577">
        <v>4.0127207305273357E-3</v>
      </c>
      <c r="AQ47" s="576">
        <v>3.9283334235213282E-3</v>
      </c>
      <c r="AR47" s="577">
        <v>4.4727859311419873E-3</v>
      </c>
      <c r="AS47" s="576">
        <v>4.5215240998520371E-3</v>
      </c>
      <c r="AT47" s="577">
        <v>4.3811275116905305E-3</v>
      </c>
      <c r="AU47" s="576">
        <v>4.4086871939683575E-3</v>
      </c>
      <c r="AV47" s="575">
        <v>3.7179304174509951E-3</v>
      </c>
      <c r="AW47" s="574">
        <v>3.6384898601269301E-3</v>
      </c>
      <c r="AX47" s="572">
        <v>3.6322151761881572E-3</v>
      </c>
      <c r="AY47" s="573">
        <v>3.3708583147957034E-3</v>
      </c>
      <c r="AZ47" s="572">
        <v>3.3508333410469109E-3</v>
      </c>
      <c r="BA47" s="571">
        <v>8.9858508062059059E-3</v>
      </c>
      <c r="BB47" s="570">
        <v>6.4266182153459878E-3</v>
      </c>
      <c r="BC47" s="571">
        <v>1.6829845703857531E-2</v>
      </c>
      <c r="BD47" s="1069">
        <v>1.7912981263207329E-2</v>
      </c>
    </row>
    <row r="48" spans="2:57" hidden="1" outlineLevel="1"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569"/>
      <c r="AW48" s="568"/>
      <c r="AX48" s="567"/>
      <c r="AY48" s="567"/>
      <c r="AZ48" s="567"/>
      <c r="BA48" s="110"/>
      <c r="BB48" s="110"/>
      <c r="BC48" s="110"/>
      <c r="BD48" s="110"/>
    </row>
    <row r="49" spans="2:57" s="15" customFormat="1" collapsed="1">
      <c r="B49" s="1027" t="s">
        <v>347</v>
      </c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048"/>
    </row>
    <row r="50" spans="2:57">
      <c r="B50" s="982" t="s">
        <v>348</v>
      </c>
      <c r="C50" s="1031" t="s">
        <v>319</v>
      </c>
      <c r="D50" s="910">
        <v>299123.9931670443</v>
      </c>
      <c r="E50" s="910">
        <v>294107.69016704429</v>
      </c>
      <c r="F50" s="910">
        <v>289432.55600000004</v>
      </c>
      <c r="G50" s="910">
        <v>284750.81</v>
      </c>
      <c r="H50" s="910">
        <v>281208.88799999992</v>
      </c>
      <c r="I50" s="910">
        <v>277594.90600000008</v>
      </c>
      <c r="J50" s="910">
        <v>271162.95699999999</v>
      </c>
      <c r="K50" s="910">
        <v>267129.03799999994</v>
      </c>
      <c r="L50" s="910">
        <v>260846.76499999993</v>
      </c>
      <c r="M50" s="910">
        <v>253158.91600000003</v>
      </c>
      <c r="N50" s="545">
        <v>245887.26199999999</v>
      </c>
      <c r="O50" s="545">
        <v>238226.00399999999</v>
      </c>
      <c r="P50" s="545">
        <v>232678.122</v>
      </c>
      <c r="Q50" s="545">
        <v>225292.22099999996</v>
      </c>
      <c r="R50" s="545">
        <v>219099.71799999996</v>
      </c>
      <c r="S50" s="545">
        <v>213257.73699999999</v>
      </c>
      <c r="T50" s="545">
        <v>208448.42800000001</v>
      </c>
      <c r="U50" s="545">
        <v>202950.639</v>
      </c>
      <c r="V50" s="545">
        <v>200027.10499999998</v>
      </c>
      <c r="W50" s="545">
        <v>192934.93200000003</v>
      </c>
      <c r="X50" s="545">
        <v>188635.40700000001</v>
      </c>
      <c r="Y50" s="545">
        <v>174741.99900000004</v>
      </c>
      <c r="Z50" s="545">
        <v>162185.386</v>
      </c>
      <c r="AA50" s="545">
        <v>149089.25499999998</v>
      </c>
      <c r="AB50" s="545">
        <v>148578.364</v>
      </c>
      <c r="AC50" s="545">
        <v>138443.111</v>
      </c>
      <c r="AD50" s="545">
        <v>124241.86</v>
      </c>
      <c r="AE50" s="545">
        <v>120047</v>
      </c>
      <c r="AF50" s="545">
        <v>115147.371</v>
      </c>
      <c r="AG50" s="545">
        <v>107511</v>
      </c>
      <c r="AH50" s="545">
        <v>97666.437000000005</v>
      </c>
      <c r="AI50" s="545">
        <v>94783</v>
      </c>
      <c r="AJ50" s="544">
        <v>86077</v>
      </c>
      <c r="AK50" s="543">
        <v>70835.909</v>
      </c>
      <c r="AL50" s="546">
        <v>65768.694999999992</v>
      </c>
      <c r="AM50" s="545">
        <v>62560.231</v>
      </c>
      <c r="AN50" s="544">
        <v>57362.376999999993</v>
      </c>
      <c r="AO50" s="543">
        <v>54915.071000000004</v>
      </c>
      <c r="AP50" s="544">
        <v>62659.046999999999</v>
      </c>
      <c r="AQ50" s="543">
        <v>58902.69</v>
      </c>
      <c r="AR50" s="544">
        <v>58215.514000000003</v>
      </c>
      <c r="AS50" s="543">
        <v>54859.985999999997</v>
      </c>
      <c r="AT50" s="544">
        <v>51012.880000000005</v>
      </c>
      <c r="AU50" s="543">
        <v>49469.811999999998</v>
      </c>
      <c r="AV50" s="542">
        <v>46386.288</v>
      </c>
      <c r="AW50" s="541">
        <v>42248.682000000001</v>
      </c>
      <c r="AX50" s="539">
        <v>40107.873</v>
      </c>
      <c r="AY50" s="540">
        <v>39319.591</v>
      </c>
      <c r="AZ50" s="539">
        <v>35604.79</v>
      </c>
      <c r="BA50" s="538">
        <v>54429.081807972361</v>
      </c>
      <c r="BB50" s="537">
        <v>50630.986507972339</v>
      </c>
      <c r="BC50" s="538">
        <v>46584.105562947952</v>
      </c>
      <c r="BD50" s="1070">
        <v>43490</v>
      </c>
    </row>
    <row r="51" spans="2:57">
      <c r="B51" s="984" t="s">
        <v>349</v>
      </c>
      <c r="C51" s="1032" t="s">
        <v>319</v>
      </c>
      <c r="D51" s="918">
        <v>296755.98100000003</v>
      </c>
      <c r="E51" s="918">
        <v>290997.22200000001</v>
      </c>
      <c r="F51" s="918">
        <v>285822.67172510922</v>
      </c>
      <c r="G51" s="918">
        <v>280691.89525497821</v>
      </c>
      <c r="H51" s="918">
        <v>276783.95025497815</v>
      </c>
      <c r="I51" s="918">
        <v>270155.48800000007</v>
      </c>
      <c r="J51" s="918">
        <v>263635.77</v>
      </c>
      <c r="K51" s="918">
        <v>259428.94</v>
      </c>
      <c r="L51" s="918">
        <v>252748.508</v>
      </c>
      <c r="M51" s="918">
        <v>244909.59700000001</v>
      </c>
      <c r="N51" s="565">
        <v>237466.73900000006</v>
      </c>
      <c r="O51" s="565">
        <v>229747.82800000004</v>
      </c>
      <c r="P51" s="565">
        <v>224124.41700000002</v>
      </c>
      <c r="Q51" s="565">
        <v>216720.69300000003</v>
      </c>
      <c r="R51" s="565">
        <v>210300.31199999998</v>
      </c>
      <c r="S51" s="565">
        <v>205263.33100000001</v>
      </c>
      <c r="T51" s="565">
        <v>200786.277</v>
      </c>
      <c r="U51" s="565">
        <v>195540.68199999997</v>
      </c>
      <c r="V51" s="565">
        <v>192538.56400000001</v>
      </c>
      <c r="W51" s="565">
        <v>184426.82500000001</v>
      </c>
      <c r="X51" s="565">
        <v>179292.94399999999</v>
      </c>
      <c r="Y51" s="565">
        <v>165628.57499999998</v>
      </c>
      <c r="Z51" s="565">
        <v>152684.641</v>
      </c>
      <c r="AA51" s="565">
        <v>138293.84999999998</v>
      </c>
      <c r="AB51" s="565">
        <v>136309.40399999998</v>
      </c>
      <c r="AC51" s="565">
        <v>123793.11199999999</v>
      </c>
      <c r="AD51" s="565">
        <v>103110.727</v>
      </c>
      <c r="AE51" s="565">
        <v>95173</v>
      </c>
      <c r="AF51" s="565">
        <v>86808.37</v>
      </c>
      <c r="AG51" s="565">
        <v>77067.869000000006</v>
      </c>
      <c r="AH51" s="565">
        <v>65730.780999999988</v>
      </c>
      <c r="AI51" s="565">
        <v>58281.224999999999</v>
      </c>
      <c r="AJ51" s="564">
        <v>76578</v>
      </c>
      <c r="AK51" s="563">
        <v>62149.101999999999</v>
      </c>
      <c r="AL51" s="566">
        <v>55217.635000000002</v>
      </c>
      <c r="AM51" s="565">
        <v>48910.793999999994</v>
      </c>
      <c r="AN51" s="564">
        <v>42715.53899999999</v>
      </c>
      <c r="AO51" s="563">
        <v>37689.667000000001</v>
      </c>
      <c r="AP51" s="564">
        <v>41335.493000000002</v>
      </c>
      <c r="AQ51" s="563">
        <v>36572.358</v>
      </c>
      <c r="AR51" s="564">
        <v>35460.377999999997</v>
      </c>
      <c r="AS51" s="563">
        <v>30881.472000000002</v>
      </c>
      <c r="AT51" s="564">
        <v>25484.498</v>
      </c>
      <c r="AU51" s="563">
        <v>21732.521000000001</v>
      </c>
      <c r="AV51" s="562">
        <v>19441.218000000001</v>
      </c>
      <c r="AW51" s="561">
        <v>16940.373</v>
      </c>
      <c r="AX51" s="559">
        <v>15444.584999999999</v>
      </c>
      <c r="AY51" s="560">
        <v>12535.319</v>
      </c>
      <c r="AZ51" s="559">
        <v>10255.273999999999</v>
      </c>
      <c r="BA51" s="558">
        <v>9485.2440000000006</v>
      </c>
      <c r="BB51" s="557">
        <v>8014.9120000000003</v>
      </c>
      <c r="BC51" s="558">
        <v>6795.8339999999998</v>
      </c>
      <c r="BD51" s="1071">
        <v>6390.915</v>
      </c>
    </row>
    <row r="52" spans="2:57">
      <c r="B52" s="985" t="s">
        <v>350</v>
      </c>
      <c r="C52" s="1031" t="s">
        <v>325</v>
      </c>
      <c r="D52" s="919">
        <v>0.80141876761765996</v>
      </c>
      <c r="E52" s="919">
        <v>0.79802738369551363</v>
      </c>
      <c r="F52" s="919">
        <v>0.79472446443490774</v>
      </c>
      <c r="G52" s="919">
        <v>0.78487838719540792</v>
      </c>
      <c r="H52" s="919">
        <v>0.77769423513705971</v>
      </c>
      <c r="I52" s="919">
        <v>0.77847614950688959</v>
      </c>
      <c r="J52" s="919">
        <v>0.77113743840992199</v>
      </c>
      <c r="K52" s="919">
        <v>0.75350530304573149</v>
      </c>
      <c r="L52" s="919">
        <v>0.74051009988814498</v>
      </c>
      <c r="M52" s="919">
        <v>0.73258316719584327</v>
      </c>
      <c r="N52" s="553">
        <v>0.71832722854046327</v>
      </c>
      <c r="O52" s="553">
        <v>0.70363990376544638</v>
      </c>
      <c r="P52" s="553">
        <v>0.69370781717528152</v>
      </c>
      <c r="Q52" s="553">
        <v>0.67809344540611483</v>
      </c>
      <c r="R52" s="553">
        <v>0.66839866239558043</v>
      </c>
      <c r="S52" s="553">
        <v>0.65155115794084184</v>
      </c>
      <c r="T52" s="553">
        <v>0.63932752922408265</v>
      </c>
      <c r="U52" s="553">
        <v>0.62849049850312744</v>
      </c>
      <c r="V52" s="553">
        <v>0.6183667895124908</v>
      </c>
      <c r="W52" s="553">
        <v>0.60059786864088993</v>
      </c>
      <c r="X52" s="553">
        <v>0.58696625929125301</v>
      </c>
      <c r="Y52" s="553">
        <v>0.56744071700565313</v>
      </c>
      <c r="Z52" s="553">
        <v>0.55213508633522279</v>
      </c>
      <c r="AA52" s="553">
        <v>0.53271094704098876</v>
      </c>
      <c r="AB52" s="553">
        <v>0.52377706121974266</v>
      </c>
      <c r="AC52" s="553">
        <v>0.48913561260295524</v>
      </c>
      <c r="AD52" s="553">
        <v>0.44462588834557515</v>
      </c>
      <c r="AE52" s="553">
        <v>0.434</v>
      </c>
      <c r="AF52" s="553">
        <v>0.40740010953669931</v>
      </c>
      <c r="AG52" s="553">
        <v>0.37826219330538952</v>
      </c>
      <c r="AH52" s="553">
        <v>0.2935008358362502</v>
      </c>
      <c r="AI52" s="553">
        <v>0.27508102621050323</v>
      </c>
      <c r="AJ52" s="554">
        <v>0.28299999999999997</v>
      </c>
      <c r="AK52" s="553">
        <v>0.24416654789975878</v>
      </c>
      <c r="AL52" s="556">
        <v>0.23318307103830097</v>
      </c>
      <c r="AM52" s="555">
        <v>0.22291405337040868</v>
      </c>
      <c r="AN52" s="554">
        <v>0.20962074166540934</v>
      </c>
      <c r="AO52" s="553">
        <v>0.20656209481189775</v>
      </c>
      <c r="AP52" s="554">
        <v>0.24105134438641471</v>
      </c>
      <c r="AQ52" s="553">
        <v>0.23032737253242766</v>
      </c>
      <c r="AR52" s="554">
        <v>0.23171528500531388</v>
      </c>
      <c r="AS52" s="553">
        <v>0.22549270579823527</v>
      </c>
      <c r="AT52" s="554">
        <v>0.21688054007407673</v>
      </c>
      <c r="AU52" s="553">
        <v>0.21446915240783876</v>
      </c>
      <c r="AV52" s="552">
        <v>0.20523324899750092</v>
      </c>
      <c r="AW52" s="551">
        <v>0.19450164045269019</v>
      </c>
      <c r="AX52" s="549">
        <v>0.18940926643331649</v>
      </c>
      <c r="AY52" s="550">
        <v>0.18776274253622321</v>
      </c>
      <c r="AZ52" s="549">
        <v>0.17324314684532394</v>
      </c>
      <c r="BA52" s="548">
        <v>0.274183343918455</v>
      </c>
      <c r="BB52" s="547">
        <v>0.26171713691544762</v>
      </c>
      <c r="BC52" s="548">
        <v>0.24396168219760145</v>
      </c>
      <c r="BD52" s="1072">
        <v>0.23105892840521952</v>
      </c>
    </row>
    <row r="53" spans="2:57">
      <c r="B53" s="982" t="s">
        <v>351</v>
      </c>
      <c r="C53" s="1031" t="s">
        <v>352</v>
      </c>
      <c r="D53" s="920">
        <v>27984.634927731222</v>
      </c>
      <c r="E53" s="920">
        <v>26055.6156620652</v>
      </c>
      <c r="F53" s="920">
        <v>24445.934176985891</v>
      </c>
      <c r="G53" s="920">
        <v>22840</v>
      </c>
      <c r="H53" s="920">
        <v>21078.207117469152</v>
      </c>
      <c r="I53" s="920">
        <v>20174.386392160217</v>
      </c>
      <c r="J53" s="920">
        <v>19311.255009836626</v>
      </c>
      <c r="K53" s="920">
        <v>18788.715654047253</v>
      </c>
      <c r="L53" s="920">
        <v>17390.877452120432</v>
      </c>
      <c r="M53" s="920">
        <v>16376.505128260724</v>
      </c>
      <c r="N53" s="543">
        <v>15748977.4837572</v>
      </c>
      <c r="O53" s="543">
        <v>14915279.317441599</v>
      </c>
      <c r="P53" s="543">
        <v>14248315.206926145</v>
      </c>
      <c r="Q53" s="543">
        <v>13853329.999226153</v>
      </c>
      <c r="R53" s="543">
        <v>13485280.41523765</v>
      </c>
      <c r="S53" s="543">
        <v>12561337.86180136</v>
      </c>
      <c r="T53" s="543">
        <v>11849333.770498659</v>
      </c>
      <c r="U53" s="543">
        <v>11311779.776500579</v>
      </c>
      <c r="V53" s="543">
        <v>11270769.342128672</v>
      </c>
      <c r="W53" s="543">
        <v>10771051.277578101</v>
      </c>
      <c r="X53" s="543">
        <v>9207030.3380598594</v>
      </c>
      <c r="Y53" s="543">
        <v>8453705.6488166004</v>
      </c>
      <c r="Z53" s="543">
        <v>7639997.0647942405</v>
      </c>
      <c r="AA53" s="543">
        <v>7239836.0369207403</v>
      </c>
      <c r="AB53" s="543">
        <v>6452825.1837578602</v>
      </c>
      <c r="AC53" s="543">
        <v>5547222.8882551901</v>
      </c>
      <c r="AD53" s="543">
        <v>4828576.841327305</v>
      </c>
      <c r="AE53" s="543">
        <v>4191715</v>
      </c>
      <c r="AF53" s="543">
        <v>3705034.4107850599</v>
      </c>
      <c r="AG53" s="543">
        <v>3216897.15628199</v>
      </c>
      <c r="AH53" s="543">
        <v>2660297</v>
      </c>
      <c r="AI53" s="543">
        <v>2150644.746954652</v>
      </c>
      <c r="AJ53" s="544">
        <v>1539746</v>
      </c>
      <c r="AK53" s="543">
        <v>1105838.98674744</v>
      </c>
      <c r="AL53" s="546">
        <v>783808.90734225232</v>
      </c>
      <c r="AM53" s="545">
        <v>472384.98549621191</v>
      </c>
      <c r="AN53" s="544">
        <v>225109.16216484655</v>
      </c>
      <c r="AO53" s="543">
        <v>171817.38254744984</v>
      </c>
      <c r="AP53" s="544">
        <v>178125.42699954845</v>
      </c>
      <c r="AQ53" s="543">
        <v>158034.66776192954</v>
      </c>
      <c r="AR53" s="544">
        <v>146768.33463842634</v>
      </c>
      <c r="AS53" s="543">
        <v>133946.31140583876</v>
      </c>
      <c r="AT53" s="544">
        <v>114959.5252389268</v>
      </c>
      <c r="AU53" s="543">
        <v>102015.31474415444</v>
      </c>
      <c r="AV53" s="542">
        <v>86627.133626320807</v>
      </c>
      <c r="AW53" s="541">
        <v>77281.407624853746</v>
      </c>
      <c r="AX53" s="539">
        <v>67668.025726666427</v>
      </c>
      <c r="AY53" s="540">
        <v>55609.754360930085</v>
      </c>
      <c r="AZ53" s="539">
        <v>47655.288617151149</v>
      </c>
      <c r="BA53" s="538">
        <v>38960.353485891435</v>
      </c>
      <c r="BB53" s="537">
        <v>33630.019374316675</v>
      </c>
      <c r="BC53" s="538">
        <v>27271.306981422247</v>
      </c>
      <c r="BD53" s="1070">
        <v>23936.710077970369</v>
      </c>
    </row>
    <row r="54" spans="2:57">
      <c r="B54" s="982" t="s">
        <v>353</v>
      </c>
      <c r="C54" s="1031" t="s">
        <v>328</v>
      </c>
      <c r="D54" s="910"/>
      <c r="E54" s="910"/>
      <c r="F54" s="910"/>
      <c r="G54" s="910"/>
      <c r="H54" s="910"/>
      <c r="I54" s="910"/>
      <c r="J54" s="910"/>
      <c r="K54" s="910"/>
      <c r="L54" s="910"/>
      <c r="M54" s="910"/>
      <c r="N54" s="545"/>
      <c r="O54" s="545"/>
      <c r="P54" s="545"/>
      <c r="Q54" s="545"/>
      <c r="R54" s="545"/>
      <c r="S54" s="545"/>
      <c r="T54" s="545"/>
      <c r="U54" s="545"/>
      <c r="V54" s="545"/>
      <c r="W54" s="545"/>
      <c r="X54" s="545"/>
      <c r="Y54" s="545"/>
      <c r="Z54" s="545"/>
      <c r="AA54" s="545"/>
      <c r="AB54" s="545"/>
      <c r="AC54" s="545"/>
      <c r="AD54" s="545"/>
      <c r="AE54" s="545"/>
      <c r="AF54" s="545"/>
      <c r="AG54" s="545"/>
      <c r="AH54" s="545"/>
      <c r="AI54" s="545"/>
      <c r="AJ54" s="544"/>
      <c r="AK54" s="545"/>
      <c r="AL54" s="546"/>
      <c r="AM54" s="545">
        <v>155.93241782404777</v>
      </c>
      <c r="AN54" s="544">
        <v>162.44258829315254</v>
      </c>
      <c r="AO54" s="543">
        <v>174.72322794838746</v>
      </c>
      <c r="AP54" s="544">
        <v>200.75676784289612</v>
      </c>
      <c r="AQ54" s="543">
        <v>201.66618991247734</v>
      </c>
      <c r="AR54" s="544">
        <v>196.47383332920458</v>
      </c>
      <c r="AS54" s="543">
        <v>200.26121443676948</v>
      </c>
      <c r="AT54" s="544">
        <v>192.6437938270445</v>
      </c>
      <c r="AU54" s="543">
        <v>180.5282814870562</v>
      </c>
      <c r="AV54" s="542">
        <v>175.91173086159199</v>
      </c>
      <c r="AW54" s="541">
        <v>170.13720975215162</v>
      </c>
      <c r="AX54" s="539">
        <v>150.27876139907985</v>
      </c>
      <c r="AY54" s="540">
        <v>138.70594452908503</v>
      </c>
      <c r="AZ54" s="539">
        <v>132.9163775063266</v>
      </c>
      <c r="BA54" s="538">
        <v>74.918711351287456</v>
      </c>
      <c r="BB54" s="537">
        <v>69.792078159264193</v>
      </c>
      <c r="BC54" s="538">
        <v>62.830257590000834</v>
      </c>
      <c r="BD54" s="1070">
        <v>54.791364773091807</v>
      </c>
    </row>
    <row r="55" spans="2:57">
      <c r="B55" s="982" t="s">
        <v>354</v>
      </c>
      <c r="C55" s="1031" t="s">
        <v>355</v>
      </c>
      <c r="D55" s="920">
        <v>31.442170114439438</v>
      </c>
      <c r="E55" s="920">
        <v>29.773009800114799</v>
      </c>
      <c r="F55" s="920">
        <v>28.341754248135477</v>
      </c>
      <c r="G55" s="920">
        <v>26.923343574840668</v>
      </c>
      <c r="H55" s="920">
        <v>25.123988331033036</v>
      </c>
      <c r="I55" s="920">
        <v>24.49931486649017</v>
      </c>
      <c r="J55" s="920">
        <v>23.898735978360147</v>
      </c>
      <c r="K55" s="920">
        <v>23.743115355492193</v>
      </c>
      <c r="L55" s="920">
        <v>22.598459748273999</v>
      </c>
      <c r="M55" s="920">
        <v>21.954031745715323</v>
      </c>
      <c r="N55" s="543">
        <f>21.7011465069509*1000</f>
        <v>21701.146506950899</v>
      </c>
      <c r="O55" s="543">
        <v>21123.969098362599</v>
      </c>
      <c r="P55" s="543">
        <v>20761.945368360135</v>
      </c>
      <c r="Q55" s="543">
        <v>20779.131101268911</v>
      </c>
      <c r="R55" s="543">
        <v>20758.040003749808</v>
      </c>
      <c r="S55" s="543">
        <v>19929.99280801637</v>
      </c>
      <c r="T55" s="543">
        <v>19228.494497609328</v>
      </c>
      <c r="U55" s="543">
        <v>18726.723195261704</v>
      </c>
      <c r="V55" s="543">
        <v>19065.598659466061</v>
      </c>
      <c r="W55" s="543">
        <v>18931.596321990804</v>
      </c>
      <c r="X55" s="543">
        <v>16839.763214394799</v>
      </c>
      <c r="Y55" s="543">
        <v>16765.89306008998</v>
      </c>
      <c r="Z55" s="543">
        <v>16409.301789394438</v>
      </c>
      <c r="AA55" s="543">
        <v>16654.578968593509</v>
      </c>
      <c r="AB55" s="543">
        <v>14971.575755476535</v>
      </c>
      <c r="AC55" s="543">
        <v>13927.658878441332</v>
      </c>
      <c r="AD55" s="543">
        <v>13116</v>
      </c>
      <c r="AE55" s="543">
        <v>11930</v>
      </c>
      <c r="AF55" s="543">
        <v>11048.15098441543</v>
      </c>
      <c r="AG55" s="543">
        <v>10528.10298177318</v>
      </c>
      <c r="AH55" s="543">
        <v>9220.651593921124</v>
      </c>
      <c r="AI55" s="543">
        <v>7864.3198040056441</v>
      </c>
      <c r="AJ55" s="544">
        <v>6585</v>
      </c>
      <c r="AK55" s="543">
        <v>5349.2343340097814</v>
      </c>
      <c r="AL55" s="546">
        <v>4086.5035896838544</v>
      </c>
      <c r="AM55" s="545">
        <v>2611.2859734937647</v>
      </c>
      <c r="AN55" s="544">
        <v>1331.1426736862429</v>
      </c>
      <c r="AO55" s="543">
        <v>972.41566722268635</v>
      </c>
      <c r="AP55" s="544">
        <v>999.9950849456859</v>
      </c>
      <c r="AQ55" s="543">
        <v>904.12544989928222</v>
      </c>
      <c r="AR55" s="544">
        <v>859.05487941202273</v>
      </c>
      <c r="AS55" s="543">
        <v>842.50793703227816</v>
      </c>
      <c r="AT55" s="544">
        <v>765.4811918405386</v>
      </c>
      <c r="AU55" s="543">
        <v>705.89975545943719</v>
      </c>
      <c r="AV55" s="542">
        <v>655.85078173686395</v>
      </c>
      <c r="AW55" s="541">
        <v>621.94242210423693</v>
      </c>
      <c r="AX55" s="539">
        <v>563.44850711154402</v>
      </c>
      <c r="AY55" s="540">
        <v>494.62858302325253</v>
      </c>
      <c r="AZ55" s="539">
        <v>464.43159865941942</v>
      </c>
      <c r="BA55" s="538">
        <v>248.59461834539752</v>
      </c>
      <c r="BB55" s="537">
        <v>230.64295157696196</v>
      </c>
      <c r="BC55" s="538">
        <v>202.88646379130202</v>
      </c>
      <c r="BD55" s="1070">
        <v>187.21472630063832</v>
      </c>
    </row>
    <row r="56" spans="2:57">
      <c r="B56" s="982" t="s">
        <v>356</v>
      </c>
      <c r="C56" s="1031" t="s">
        <v>339</v>
      </c>
      <c r="D56" s="921"/>
      <c r="E56" s="921"/>
      <c r="F56" s="921"/>
      <c r="G56" s="921"/>
      <c r="H56" s="921"/>
      <c r="I56" s="921"/>
      <c r="J56" s="921"/>
      <c r="K56" s="921"/>
      <c r="L56" s="921"/>
      <c r="M56" s="921"/>
      <c r="N56" s="535"/>
      <c r="O56" s="535"/>
      <c r="P56" s="535"/>
      <c r="Q56" s="535"/>
      <c r="R56" s="535"/>
      <c r="S56" s="535"/>
      <c r="T56" s="535"/>
      <c r="U56" s="535"/>
      <c r="V56" s="535"/>
      <c r="W56" s="535"/>
      <c r="X56" s="535"/>
      <c r="Y56" s="535"/>
      <c r="Z56" s="535"/>
      <c r="AA56" s="535"/>
      <c r="AB56" s="535"/>
      <c r="AC56" s="535"/>
      <c r="AD56" s="535"/>
      <c r="AE56" s="535"/>
      <c r="AF56" s="535"/>
      <c r="AG56" s="535"/>
      <c r="AH56" s="535"/>
      <c r="AI56" s="535"/>
      <c r="AJ56" s="534"/>
      <c r="AK56" s="535"/>
      <c r="AL56" s="536"/>
      <c r="AM56" s="535">
        <v>5.9714799300751551</v>
      </c>
      <c r="AN56" s="534">
        <v>12.203243987611884</v>
      </c>
      <c r="AO56" s="533">
        <v>17.967956897220091</v>
      </c>
      <c r="AP56" s="534">
        <v>20.075775457816384</v>
      </c>
      <c r="AQ56" s="533">
        <v>22.305111523510657</v>
      </c>
      <c r="AR56" s="534">
        <v>22.870929208117698</v>
      </c>
      <c r="AS56" s="533">
        <v>23.769653155101032</v>
      </c>
      <c r="AT56" s="534">
        <v>25.166365402636192</v>
      </c>
      <c r="AU56" s="533">
        <v>25.574209381834777</v>
      </c>
      <c r="AV56" s="532">
        <v>26.821913727956815</v>
      </c>
      <c r="AW56" s="531">
        <v>27.355781452649769</v>
      </c>
      <c r="AX56" s="529">
        <v>26.671250256650282</v>
      </c>
      <c r="AY56" s="530">
        <v>28.042444227806474</v>
      </c>
      <c r="AZ56" s="529">
        <v>28.619150352816085</v>
      </c>
      <c r="BA56" s="528">
        <v>30.136899925643345</v>
      </c>
      <c r="BB56" s="527">
        <v>30.259792324924206</v>
      </c>
      <c r="BC56" s="528">
        <v>30.968186056330904</v>
      </c>
      <c r="BD56" s="1073">
        <v>29.266589149138422</v>
      </c>
    </row>
    <row r="57" spans="2:57"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0"/>
      <c r="AW57" s="110"/>
      <c r="AX57" s="110"/>
      <c r="AY57" s="110"/>
      <c r="AZ57" s="110"/>
      <c r="BA57" s="110"/>
      <c r="BB57" s="110"/>
      <c r="BC57" s="110"/>
      <c r="BD57" s="110"/>
    </row>
    <row r="58" spans="2:57" s="15" customFormat="1">
      <c r="B58" s="1027" t="s">
        <v>357</v>
      </c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048"/>
    </row>
    <row r="59" spans="2:57" s="827" customFormat="1">
      <c r="B59" s="986" t="s">
        <v>321</v>
      </c>
      <c r="C59" s="1033"/>
      <c r="D59" s="1203">
        <v>21914</v>
      </c>
      <c r="E59" s="1203">
        <v>20008</v>
      </c>
      <c r="F59" s="1203">
        <v>18646</v>
      </c>
      <c r="G59" s="1203">
        <v>17179</v>
      </c>
      <c r="H59" s="1203">
        <v>15960.701179760001</v>
      </c>
      <c r="I59" s="1203">
        <v>15092</v>
      </c>
      <c r="J59" s="1203">
        <v>14321</v>
      </c>
      <c r="K59" s="1203">
        <v>13670</v>
      </c>
      <c r="L59" s="1203">
        <v>13155.006759000004</v>
      </c>
      <c r="M59" s="1203">
        <v>12718.116070999999</v>
      </c>
      <c r="N59" s="1204">
        <v>12207.437658000001</v>
      </c>
      <c r="O59" s="1204">
        <v>11620.918957</v>
      </c>
      <c r="P59" s="1204">
        <v>10965.960542999997</v>
      </c>
      <c r="Q59" s="1204">
        <v>10343.149191</v>
      </c>
      <c r="R59" s="1204">
        <v>9898</v>
      </c>
      <c r="S59" s="1204">
        <v>9264.5887449999991</v>
      </c>
      <c r="T59" s="1204">
        <v>8762.0578490000007</v>
      </c>
      <c r="U59" s="1204">
        <v>7968.7393219999976</v>
      </c>
      <c r="V59" s="1204">
        <v>7126.5197819999994</v>
      </c>
      <c r="W59" s="1204">
        <v>6532.6126100000001</v>
      </c>
      <c r="X59" s="1204">
        <v>6009.0889880000004</v>
      </c>
      <c r="Y59" s="1204">
        <v>5673.778941999999</v>
      </c>
      <c r="Z59" s="1204">
        <v>5873.4223299999994</v>
      </c>
      <c r="AA59" s="1204">
        <v>5785.6427860000003</v>
      </c>
      <c r="AB59" s="1204">
        <v>5725.1100410000008</v>
      </c>
      <c r="AC59" s="1204">
        <v>5546.3759500000024</v>
      </c>
      <c r="AD59" s="1204">
        <v>5475.0318039999993</v>
      </c>
      <c r="AE59" s="1204">
        <v>5704.7095660000005</v>
      </c>
      <c r="AF59" s="828">
        <v>5535.5992989999986</v>
      </c>
      <c r="AG59" s="1204">
        <v>5502.8459069999999</v>
      </c>
      <c r="AH59" s="828">
        <v>5607.2733760000001</v>
      </c>
      <c r="AI59" s="1204">
        <v>5744.8565520000002</v>
      </c>
      <c r="AJ59" s="828">
        <v>6041.5554939999975</v>
      </c>
      <c r="AK59" s="1204">
        <v>6152.7651580000029</v>
      </c>
      <c r="AL59" s="828">
        <v>6367.2892729999994</v>
      </c>
      <c r="AM59" s="1204">
        <v>6703.4411549999995</v>
      </c>
      <c r="AN59" s="828">
        <v>6785.0173500000037</v>
      </c>
      <c r="AO59" s="1204">
        <v>7025.4571049999995</v>
      </c>
      <c r="AP59" s="828">
        <v>7063.1588700000011</v>
      </c>
      <c r="AQ59" s="1204">
        <v>6644.0226409999996</v>
      </c>
      <c r="AR59" s="826"/>
      <c r="AS59" s="826"/>
      <c r="AT59" s="826"/>
      <c r="AU59" s="826"/>
      <c r="AV59" s="826"/>
      <c r="AW59" s="826"/>
      <c r="AX59" s="826"/>
      <c r="AY59" s="826"/>
      <c r="AZ59" s="826"/>
      <c r="BA59" s="826"/>
      <c r="BB59" s="826"/>
      <c r="BC59" s="826"/>
      <c r="BD59" s="826"/>
      <c r="BE59" s="1047"/>
    </row>
    <row r="60" spans="2:57" s="827" customFormat="1">
      <c r="B60" s="986" t="s">
        <v>209</v>
      </c>
      <c r="C60" s="1033"/>
      <c r="D60" s="1205">
        <v>10997</v>
      </c>
      <c r="E60" s="1205">
        <v>10031</v>
      </c>
      <c r="F60" s="1205">
        <v>9335</v>
      </c>
      <c r="G60" s="1205">
        <v>8589</v>
      </c>
      <c r="H60" s="1205">
        <v>7956.7553189099999</v>
      </c>
      <c r="I60" s="1205">
        <v>7465</v>
      </c>
      <c r="J60" s="1205">
        <v>7203</v>
      </c>
      <c r="K60" s="1205">
        <v>6867</v>
      </c>
      <c r="L60" s="1205">
        <v>6565.5190680000014</v>
      </c>
      <c r="M60" s="1205">
        <v>6383.5626940000038</v>
      </c>
      <c r="N60" s="1206">
        <v>6073.4301899999991</v>
      </c>
      <c r="O60" s="1206">
        <v>5860.4299759999994</v>
      </c>
      <c r="P60" s="1206">
        <v>5526.1887403925384</v>
      </c>
      <c r="Q60" s="1206">
        <v>4357.5205129999968</v>
      </c>
      <c r="R60" s="1206">
        <v>4983</v>
      </c>
      <c r="S60" s="1206">
        <v>4927.0859599999994</v>
      </c>
      <c r="T60" s="1206">
        <v>4773.5691250000027</v>
      </c>
      <c r="U60" s="1206">
        <v>4357.5205129999968</v>
      </c>
      <c r="V60" s="1206">
        <v>3778.7742419999995</v>
      </c>
      <c r="W60" s="1206">
        <v>3229.5170680000001</v>
      </c>
      <c r="X60" s="1206">
        <v>3344.5646820000002</v>
      </c>
      <c r="Y60" s="1206">
        <v>3150.9537069999983</v>
      </c>
      <c r="Z60" s="1206">
        <v>3424.4684389999989</v>
      </c>
      <c r="AA60" s="1206">
        <v>3513.7932100000003</v>
      </c>
      <c r="AB60" s="1206">
        <v>3011.8007570000013</v>
      </c>
      <c r="AC60" s="1206">
        <v>3302.3405690000022</v>
      </c>
      <c r="AD60" s="1206">
        <v>2470.5296729999995</v>
      </c>
      <c r="AE60" s="1206">
        <v>2523.984344</v>
      </c>
      <c r="AF60" s="829">
        <v>2450.3505079999982</v>
      </c>
      <c r="AG60" s="1206">
        <v>2583.0922510000005</v>
      </c>
      <c r="AH60" s="829">
        <v>2932.341019</v>
      </c>
      <c r="AI60" s="1206">
        <v>2859.2826810000001</v>
      </c>
      <c r="AJ60" s="829">
        <v>3001.3863289999954</v>
      </c>
      <c r="AK60" s="1206">
        <v>3071.8019900000036</v>
      </c>
      <c r="AL60" s="829">
        <v>2714.9257929999994</v>
      </c>
      <c r="AM60" s="1206">
        <v>3014.3476359999995</v>
      </c>
      <c r="AN60" s="829">
        <v>3322.889703000003</v>
      </c>
      <c r="AO60" s="1206">
        <v>3413.6454699999981</v>
      </c>
      <c r="AP60" s="829">
        <v>3347.347247000002</v>
      </c>
      <c r="AQ60" s="1206">
        <v>2914.141004999999</v>
      </c>
      <c r="AR60" s="826"/>
      <c r="AS60" s="826"/>
      <c r="AT60" s="826"/>
      <c r="AU60" s="826"/>
      <c r="AV60" s="826"/>
      <c r="AW60" s="826"/>
      <c r="AX60" s="826"/>
      <c r="AY60" s="826"/>
      <c r="AZ60" s="826"/>
      <c r="BA60" s="826"/>
      <c r="BB60" s="826"/>
      <c r="BC60" s="826"/>
      <c r="BD60" s="826"/>
      <c r="BE60" s="1047"/>
    </row>
    <row r="61" spans="2:57" s="827" customFormat="1">
      <c r="B61" s="987" t="s">
        <v>358</v>
      </c>
      <c r="C61" s="1033"/>
      <c r="D61" s="1207">
        <v>0.50182531714885459</v>
      </c>
      <c r="E61" s="1207">
        <v>0.50134946021591364</v>
      </c>
      <c r="F61" s="1207">
        <v>0.50064356966641643</v>
      </c>
      <c r="G61" s="1207">
        <v>0.49997089469701378</v>
      </c>
      <c r="H61" s="1207">
        <v>0.49852166451183721</v>
      </c>
      <c r="I61" s="1207">
        <v>0.49463291810230586</v>
      </c>
      <c r="J61" s="1207">
        <v>0.50296766985545704</v>
      </c>
      <c r="K61" s="1207">
        <v>0.50234089246525238</v>
      </c>
      <c r="L61" s="1207">
        <v>0.49908899237229193</v>
      </c>
      <c r="M61" s="1207">
        <v>0.50192675222990613</v>
      </c>
      <c r="N61" s="1208">
        <v>0.49751883729832919</v>
      </c>
      <c r="O61" s="1208">
        <v>0.50430004698293673</v>
      </c>
      <c r="P61" s="1208">
        <v>0.50394023567047408</v>
      </c>
      <c r="Q61" s="1208">
        <v>0.54682683633153961</v>
      </c>
      <c r="R61" s="1208">
        <v>0.503</v>
      </c>
      <c r="S61" s="1208">
        <v>0.53181917682628876</v>
      </c>
      <c r="T61" s="1208">
        <v>0.5448000010117261</v>
      </c>
      <c r="U61" s="1208">
        <v>0.54682683633153961</v>
      </c>
      <c r="V61" s="1208">
        <v>0.5302411776845608</v>
      </c>
      <c r="W61" s="1208">
        <v>0.4943683730849609</v>
      </c>
      <c r="X61" s="1208">
        <v>0.55658431563902799</v>
      </c>
      <c r="Y61" s="1208">
        <v>0.55535362572467295</v>
      </c>
      <c r="Z61" s="1208">
        <v>0.58304481554283172</v>
      </c>
      <c r="AA61" s="1208">
        <v>0.60732978857640796</v>
      </c>
      <c r="AB61" s="1208">
        <v>0.5260686232109405</v>
      </c>
      <c r="AC61" s="1208">
        <v>0.59540510754594644</v>
      </c>
      <c r="AD61" s="1208">
        <v>0.45123567523298352</v>
      </c>
      <c r="AE61" s="1208">
        <v>0.44243871047229394</v>
      </c>
      <c r="AF61" s="830">
        <v>0.44265315743548345</v>
      </c>
      <c r="AG61" s="1208">
        <v>0.4694102460172706</v>
      </c>
      <c r="AH61" s="830">
        <v>0.52295310436456954</v>
      </c>
      <c r="AI61" s="1208">
        <v>0.49771176270790896</v>
      </c>
      <c r="AJ61" s="830">
        <v>0.49679032692503422</v>
      </c>
      <c r="AK61" s="1208">
        <v>0.49925552351140168</v>
      </c>
      <c r="AL61" s="830">
        <v>0.42638643802668641</v>
      </c>
      <c r="AM61" s="1208">
        <v>0.44967167851568912</v>
      </c>
      <c r="AN61" s="830">
        <v>0.48973930818319883</v>
      </c>
      <c r="AO61" s="1208">
        <v>0.48589656430618805</v>
      </c>
      <c r="AP61" s="830">
        <v>0.47391645984596142</v>
      </c>
      <c r="AQ61" s="1208">
        <v>0.43861093835185794</v>
      </c>
      <c r="AR61" s="826"/>
      <c r="AS61" s="826"/>
      <c r="AT61" s="826"/>
      <c r="AU61" s="826"/>
      <c r="AV61" s="826"/>
      <c r="AW61" s="826"/>
      <c r="AX61" s="826"/>
      <c r="AY61" s="826"/>
      <c r="AZ61" s="826"/>
      <c r="BA61" s="826"/>
      <c r="BB61" s="826"/>
      <c r="BC61" s="826"/>
      <c r="BD61" s="826"/>
      <c r="BE61" s="1047"/>
    </row>
    <row r="62" spans="2:57" s="827" customFormat="1">
      <c r="B62" s="988" t="s">
        <v>212</v>
      </c>
      <c r="C62" s="1033"/>
      <c r="D62" s="1209">
        <v>18893.839444472098</v>
      </c>
      <c r="E62" s="1209">
        <v>16055.243384561994</v>
      </c>
      <c r="F62" s="1209">
        <v>18606.322501250805</v>
      </c>
      <c r="G62" s="1209">
        <v>14571.303391080201</v>
      </c>
      <c r="H62" s="1209">
        <v>15169.316554770303</v>
      </c>
      <c r="I62" s="1209">
        <v>11403.185983822399</v>
      </c>
      <c r="J62" s="1209">
        <v>9460.0614370519997</v>
      </c>
      <c r="K62" s="1209">
        <v>7072.2860581035766</v>
      </c>
      <c r="L62" s="1209">
        <v>8156.9987815429695</v>
      </c>
      <c r="M62" s="1209">
        <v>7816.7454101427611</v>
      </c>
      <c r="N62" s="1210">
        <v>7569.4758386148487</v>
      </c>
      <c r="O62" s="1210">
        <v>4995.1242769895507</v>
      </c>
      <c r="P62" s="1210">
        <v>4280.0116695794022</v>
      </c>
      <c r="Q62" s="1210">
        <v>4062.0316719577932</v>
      </c>
      <c r="R62" s="1210">
        <v>5886</v>
      </c>
      <c r="S62" s="1210">
        <v>6603.9398252683995</v>
      </c>
      <c r="T62" s="1210">
        <v>4967.788945318116</v>
      </c>
      <c r="U62" s="1210">
        <v>4062.0316719577932</v>
      </c>
      <c r="V62" s="1210">
        <v>3499.6502945532302</v>
      </c>
      <c r="W62" s="1210">
        <v>3891.973907168895</v>
      </c>
      <c r="X62" s="1210">
        <v>3324.69218678178</v>
      </c>
      <c r="Y62" s="1210">
        <v>3415.8810700581116</v>
      </c>
      <c r="Z62" s="1210">
        <v>3086.6367203732707</v>
      </c>
      <c r="AA62" s="1210">
        <v>1181.6180149962404</v>
      </c>
      <c r="AB62" s="1210">
        <v>973.37357780503407</v>
      </c>
      <c r="AC62" s="1210">
        <v>2660.5111586020007</v>
      </c>
      <c r="AD62" s="1210">
        <v>1023.3296246115997</v>
      </c>
      <c r="AE62" s="1210">
        <v>1168.8533764640003</v>
      </c>
      <c r="AF62" s="815">
        <v>1431.0344554832013</v>
      </c>
      <c r="AG62" s="1210">
        <v>2371.7321818912028</v>
      </c>
      <c r="AH62" s="815">
        <v>1929.5537369355991</v>
      </c>
      <c r="AI62" s="1210">
        <v>1922.83424324</v>
      </c>
      <c r="AJ62" s="815">
        <v>1290.3050172850003</v>
      </c>
      <c r="AK62" s="1210">
        <v>3208.8108045600006</v>
      </c>
      <c r="AL62" s="815">
        <v>1598.648738299999</v>
      </c>
      <c r="AM62" s="1210">
        <v>2065.38315758</v>
      </c>
      <c r="AN62" s="815">
        <v>2021.5572464899979</v>
      </c>
      <c r="AO62" s="1210">
        <v>1858.4980905300072</v>
      </c>
      <c r="AP62" s="815">
        <v>2161.7268366299986</v>
      </c>
      <c r="AQ62" s="1210">
        <v>2570.6627579999999</v>
      </c>
      <c r="AR62" s="826"/>
      <c r="AS62" s="826"/>
      <c r="AT62" s="826"/>
      <c r="AU62" s="826"/>
      <c r="AV62" s="826"/>
      <c r="AW62" s="826"/>
      <c r="AX62" s="826"/>
      <c r="AY62" s="826"/>
      <c r="AZ62" s="826"/>
      <c r="BA62" s="826"/>
      <c r="BB62" s="826"/>
      <c r="BC62" s="826"/>
      <c r="BD62" s="826"/>
      <c r="BE62" s="1047"/>
    </row>
    <row r="63" spans="2:57">
      <c r="C63" s="1176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0"/>
      <c r="AW63" s="110"/>
      <c r="AX63" s="110"/>
      <c r="AY63" s="110"/>
      <c r="AZ63" s="110"/>
      <c r="BA63" s="110"/>
      <c r="BB63" s="110"/>
      <c r="BC63" s="110"/>
      <c r="BD63" s="110"/>
    </row>
    <row r="64" spans="2:57" s="110" customFormat="1">
      <c r="B64" s="17" t="s">
        <v>359</v>
      </c>
      <c r="C64" s="1034" t="s">
        <v>319</v>
      </c>
      <c r="D64" s="1211">
        <v>14220.896000000001</v>
      </c>
      <c r="E64" s="1211">
        <v>13086.195</v>
      </c>
      <c r="F64" s="1211">
        <v>11927.625</v>
      </c>
      <c r="G64" s="1211">
        <v>10976.433344273109</v>
      </c>
      <c r="H64" s="1211">
        <v>10038.285342999998</v>
      </c>
      <c r="I64" s="1211">
        <v>9226.4463429999978</v>
      </c>
      <c r="J64" s="1211">
        <v>8552.6343429999979</v>
      </c>
      <c r="K64" s="1211">
        <v>7969.242342999999</v>
      </c>
      <c r="L64" s="1211">
        <v>7620.952342999999</v>
      </c>
      <c r="M64" s="1211">
        <v>7289.8523429999996</v>
      </c>
      <c r="N64" s="1212">
        <v>6931.0943430000007</v>
      </c>
      <c r="O64" s="1212">
        <v>6459.5983430000006</v>
      </c>
      <c r="P64" s="1212">
        <v>6046.2063430000007</v>
      </c>
      <c r="Q64" s="1212">
        <v>5642.0883430000004</v>
      </c>
      <c r="R64" s="1212">
        <v>5210.1793430000007</v>
      </c>
      <c r="S64" s="1212">
        <v>4792.8793430000005</v>
      </c>
      <c r="T64" s="1212">
        <v>4482.8513430000003</v>
      </c>
      <c r="U64" s="1212">
        <v>4160.1123430000007</v>
      </c>
      <c r="V64" s="1212">
        <v>3819.20134427311</v>
      </c>
      <c r="W64" s="1212">
        <v>3351.71034427311</v>
      </c>
      <c r="X64" s="1212">
        <v>3066.5153442731098</v>
      </c>
      <c r="Y64" s="1212">
        <v>2792.9953442731098</v>
      </c>
      <c r="Z64" s="1212">
        <v>2577.92034427311</v>
      </c>
      <c r="AA64" s="1212">
        <v>2448.6453442731099</v>
      </c>
      <c r="AB64" s="1212">
        <v>2414.30634427311</v>
      </c>
      <c r="AC64" s="1212">
        <v>2351.5050000000001</v>
      </c>
      <c r="AD64" s="1212">
        <v>2349.8763442731101</v>
      </c>
      <c r="AE64" s="1212">
        <v>2342.2872637709902</v>
      </c>
      <c r="AF64" s="802">
        <v>2270.1529838867064</v>
      </c>
      <c r="AG64" s="1212">
        <v>2245.3997010091475</v>
      </c>
      <c r="AH64" s="802">
        <v>2212.7831868819321</v>
      </c>
      <c r="AI64" s="1212">
        <v>2188.6186346733548</v>
      </c>
      <c r="AJ64" s="802">
        <v>2172.2878906290039</v>
      </c>
      <c r="AK64" s="1212">
        <v>2164.0839708277499</v>
      </c>
      <c r="AL64" s="802">
        <v>2159.4669234496305</v>
      </c>
      <c r="AM64" s="1212">
        <v>2136.915</v>
      </c>
      <c r="AN64" s="802">
        <v>2129.3468303512705</v>
      </c>
      <c r="AO64" s="1212">
        <v>2102.3557914338917</v>
      </c>
      <c r="AP64" s="802">
        <v>2083.41</v>
      </c>
      <c r="AQ64" s="1212">
        <v>2019.58434427311</v>
      </c>
      <c r="AR64" s="111"/>
      <c r="AS64" s="111"/>
      <c r="AT64" s="111"/>
      <c r="AU64" s="111"/>
    </row>
    <row r="65" spans="2:57" s="110" customFormat="1">
      <c r="B65" s="29" t="s">
        <v>360</v>
      </c>
      <c r="C65" s="1035" t="s">
        <v>319</v>
      </c>
      <c r="D65" s="1213"/>
      <c r="E65" s="1213"/>
      <c r="F65" s="1213"/>
      <c r="G65" s="1213"/>
      <c r="H65" s="1213"/>
      <c r="I65" s="1213"/>
      <c r="J65" s="1213"/>
      <c r="K65" s="1213"/>
      <c r="L65" s="1213"/>
      <c r="M65" s="1213"/>
      <c r="N65" s="1214"/>
      <c r="O65" s="1214"/>
      <c r="P65" s="1214"/>
      <c r="Q65" s="1214"/>
      <c r="R65" s="1214"/>
      <c r="S65" s="1214"/>
      <c r="T65" s="1214"/>
      <c r="U65" s="1214"/>
      <c r="V65" s="1214"/>
      <c r="W65" s="1214"/>
      <c r="X65" s="1214"/>
      <c r="Y65" s="1214"/>
      <c r="Z65" s="1214"/>
      <c r="AA65" s="1214"/>
      <c r="AB65" s="1214"/>
      <c r="AC65" s="1214"/>
      <c r="AD65" s="1214"/>
      <c r="AE65" s="1214"/>
      <c r="AF65" s="803"/>
      <c r="AG65" s="1214"/>
      <c r="AH65" s="803"/>
      <c r="AI65" s="1214">
        <v>2060.8917175699999</v>
      </c>
      <c r="AJ65" s="803">
        <v>2041.7057175699999</v>
      </c>
      <c r="AK65" s="1214">
        <v>2023.7447175699999</v>
      </c>
      <c r="AL65" s="803">
        <v>2000.80971757</v>
      </c>
      <c r="AM65" s="1214">
        <v>1978.1717175699998</v>
      </c>
      <c r="AN65" s="803">
        <v>1965.8217175699999</v>
      </c>
      <c r="AO65" s="1214">
        <v>1922.4577175699999</v>
      </c>
      <c r="AP65" s="803">
        <v>1897.16571757</v>
      </c>
      <c r="AQ65" s="1214">
        <v>1810.9597175699998</v>
      </c>
      <c r="AR65" s="111"/>
      <c r="AS65" s="111"/>
      <c r="AT65" s="111"/>
      <c r="AU65" s="111"/>
    </row>
    <row r="66" spans="2:57" s="809" customFormat="1">
      <c r="B66" s="29" t="s">
        <v>361</v>
      </c>
      <c r="C66" s="1035" t="s">
        <v>325</v>
      </c>
      <c r="D66" s="1215"/>
      <c r="E66" s="1215"/>
      <c r="F66" s="1215"/>
      <c r="G66" s="1215"/>
      <c r="H66" s="1215"/>
      <c r="I66" s="1215"/>
      <c r="J66" s="1215"/>
      <c r="K66" s="1215"/>
      <c r="L66" s="1215"/>
      <c r="M66" s="1215"/>
      <c r="N66" s="1216"/>
      <c r="O66" s="1216"/>
      <c r="P66" s="1216"/>
      <c r="Q66" s="1216"/>
      <c r="R66" s="1216"/>
      <c r="S66" s="1216"/>
      <c r="T66" s="1216"/>
      <c r="U66" s="1216"/>
      <c r="V66" s="1216"/>
      <c r="W66" s="1216"/>
      <c r="X66" s="1216"/>
      <c r="Y66" s="1216"/>
      <c r="Z66" s="1216"/>
      <c r="AA66" s="1216"/>
      <c r="AB66" s="1216"/>
      <c r="AC66" s="1216"/>
      <c r="AD66" s="1216"/>
      <c r="AE66" s="1216"/>
      <c r="AF66" s="807"/>
      <c r="AG66" s="1216"/>
      <c r="AH66" s="807"/>
      <c r="AI66" s="1216">
        <v>0.94164039587352888</v>
      </c>
      <c r="AJ66" s="807">
        <v>0.93988726189455818</v>
      </c>
      <c r="AK66" s="1216">
        <v>0.9351507357618517</v>
      </c>
      <c r="AL66" s="807">
        <v>0.9265294577301586</v>
      </c>
      <c r="AM66" s="1216">
        <v>0.92571380591647301</v>
      </c>
      <c r="AN66" s="807">
        <v>0.92320409693225303</v>
      </c>
      <c r="AO66" s="1216">
        <v>0.91443024316012933</v>
      </c>
      <c r="AP66" s="807">
        <v>0.91060603413154395</v>
      </c>
      <c r="AQ66" s="1216">
        <v>0.89669922561308113</v>
      </c>
      <c r="AR66" s="808"/>
      <c r="AS66" s="808"/>
      <c r="AT66" s="808"/>
      <c r="AU66" s="808"/>
    </row>
    <row r="67" spans="2:57" s="110" customFormat="1">
      <c r="B67" s="17" t="s">
        <v>323</v>
      </c>
      <c r="C67" s="1034" t="s">
        <v>319</v>
      </c>
      <c r="D67" s="1211">
        <v>1134.701</v>
      </c>
      <c r="E67" s="1211">
        <v>1158.57</v>
      </c>
      <c r="F67" s="1211">
        <v>951.19165572689099</v>
      </c>
      <c r="G67" s="1211">
        <v>938.51800127311242</v>
      </c>
      <c r="H67" s="1211">
        <v>811.83900000000006</v>
      </c>
      <c r="I67" s="1211">
        <v>673.81200000000001</v>
      </c>
      <c r="J67" s="1211">
        <v>583.39199999999903</v>
      </c>
      <c r="K67" s="1211">
        <v>348.29</v>
      </c>
      <c r="L67" s="1211">
        <v>331.1</v>
      </c>
      <c r="M67" s="1211">
        <v>358.75799999999907</v>
      </c>
      <c r="N67" s="1212">
        <v>471.49599999999998</v>
      </c>
      <c r="O67" s="1212">
        <v>413.392</v>
      </c>
      <c r="P67" s="1212">
        <v>404.11799999999999</v>
      </c>
      <c r="Q67" s="1212">
        <v>431.90899999999999</v>
      </c>
      <c r="R67" s="1212">
        <v>417.3</v>
      </c>
      <c r="S67" s="1212">
        <v>310.02800000000002</v>
      </c>
      <c r="T67" s="1212">
        <v>322.73899999999952</v>
      </c>
      <c r="U67" s="1212">
        <v>341.03300000000047</v>
      </c>
      <c r="V67" s="1212">
        <v>467.49099999999999</v>
      </c>
      <c r="W67" s="1212">
        <v>285.19499999999999</v>
      </c>
      <c r="X67" s="1212">
        <v>273.52</v>
      </c>
      <c r="Y67" s="1212">
        <v>215.07499999999999</v>
      </c>
      <c r="Z67" s="1212">
        <v>129.27500000000001</v>
      </c>
      <c r="AA67" s="1212">
        <v>34.338999999999999</v>
      </c>
      <c r="AB67" s="1212">
        <v>62.801344273109919</v>
      </c>
      <c r="AC67" s="1212">
        <v>1.6286557268900796</v>
      </c>
      <c r="AD67" s="1212">
        <v>7.5890805021198471</v>
      </c>
      <c r="AE67" s="1212">
        <v>72.134279884283899</v>
      </c>
      <c r="AF67" s="802">
        <v>24.753282877558842</v>
      </c>
      <c r="AG67" s="1212">
        <v>32.616514127215368</v>
      </c>
      <c r="AH67" s="802">
        <v>24.164552208577284</v>
      </c>
      <c r="AI67" s="1212">
        <v>16.330744044350926</v>
      </c>
      <c r="AJ67" s="802">
        <v>8.203919801253825</v>
      </c>
      <c r="AK67" s="1212">
        <v>4.6170473781195467</v>
      </c>
      <c r="AL67" s="802">
        <v>22.551923449630383</v>
      </c>
      <c r="AM67" s="1212">
        <v>7.5681696487297305</v>
      </c>
      <c r="AN67" s="802">
        <v>26.991038917378521</v>
      </c>
      <c r="AO67" s="1212">
        <v>18.94579143389198</v>
      </c>
      <c r="AP67" s="802">
        <v>63.825655726889849</v>
      </c>
      <c r="AQ67" s="1212">
        <v>70.210999999999999</v>
      </c>
      <c r="AR67" s="111"/>
      <c r="AS67" s="111"/>
      <c r="AT67" s="111"/>
      <c r="AU67" s="111"/>
    </row>
    <row r="68" spans="2:57" s="110" customFormat="1">
      <c r="B68" s="17" t="s">
        <v>362</v>
      </c>
      <c r="C68" s="1034" t="s">
        <v>328</v>
      </c>
      <c r="D68" s="1211">
        <v>527.08085542778463</v>
      </c>
      <c r="E68" s="1211">
        <v>528.79294094636555</v>
      </c>
      <c r="F68" s="1211">
        <v>533.92919522194381</v>
      </c>
      <c r="G68" s="1211">
        <v>537.30403870869702</v>
      </c>
      <c r="H68" s="1211">
        <v>543.3441065173555</v>
      </c>
      <c r="I68" s="1211">
        <v>554.39185534806859</v>
      </c>
      <c r="J68" s="1211">
        <v>566.18921877202877</v>
      </c>
      <c r="K68" s="1211">
        <v>572.05131695720411</v>
      </c>
      <c r="L68" s="1211">
        <v>577.4718350863634</v>
      </c>
      <c r="M68" s="1211">
        <v>583.19809799638153</v>
      </c>
      <c r="N68" s="1212">
        <v>595.01571451488178</v>
      </c>
      <c r="O68" s="1212">
        <v>608.27382741081976</v>
      </c>
      <c r="P68" s="1212">
        <v>614.25975529432208</v>
      </c>
      <c r="Q68" s="1212">
        <v>623.64345311287423</v>
      </c>
      <c r="R68" s="1212">
        <v>645.91094591064473</v>
      </c>
      <c r="S68" s="1212">
        <v>652.05580827579797</v>
      </c>
      <c r="T68" s="1212">
        <v>650.21633953722414</v>
      </c>
      <c r="U68" s="1212">
        <v>656.98565938326908</v>
      </c>
      <c r="V68" s="1212">
        <v>661.10511442940094</v>
      </c>
      <c r="W68" s="1212">
        <v>681.35662442589137</v>
      </c>
      <c r="X68" s="1212">
        <v>684.06609120693895</v>
      </c>
      <c r="Y68" s="1212">
        <v>704.84742096942898</v>
      </c>
      <c r="Z68" s="1212">
        <v>783.01966751210875</v>
      </c>
      <c r="AA68" s="1212">
        <v>802.40419351639741</v>
      </c>
      <c r="AB68" s="1212">
        <v>803.25811398310668</v>
      </c>
      <c r="AC68" s="1212">
        <v>787.48151985409186</v>
      </c>
      <c r="AD68" s="1212">
        <v>777.0966996163678</v>
      </c>
      <c r="AE68" s="1212">
        <v>824.67505175837243</v>
      </c>
      <c r="AF68" s="802">
        <v>815.14884603121993</v>
      </c>
      <c r="AG68" s="1212">
        <v>820.98956934178534</v>
      </c>
      <c r="AH68" s="802">
        <v>846.58851771321895</v>
      </c>
      <c r="AI68" s="1212">
        <v>879.05540626478296</v>
      </c>
      <c r="AJ68" s="802">
        <v>929.38030181144165</v>
      </c>
      <c r="AK68" s="1212">
        <v>948.40321041027755</v>
      </c>
      <c r="AL68" s="802">
        <v>989.08119368726523</v>
      </c>
      <c r="AM68" s="1212">
        <v>1048.484497698297</v>
      </c>
      <c r="AN68" s="802">
        <v>1063.6757389426505</v>
      </c>
      <c r="AO68" s="1212">
        <v>1111.5023855151928</v>
      </c>
      <c r="AP68" s="802">
        <v>1142.7754417065469</v>
      </c>
      <c r="AQ68" s="1212">
        <v>1117.5087585668909</v>
      </c>
      <c r="AR68" s="111"/>
      <c r="AS68" s="111"/>
      <c r="AT68" s="111"/>
      <c r="AU68" s="111"/>
    </row>
    <row r="69" spans="2:57" s="110" customFormat="1">
      <c r="B69" s="989" t="s">
        <v>362</v>
      </c>
      <c r="C69" s="1034" t="s">
        <v>329</v>
      </c>
      <c r="D69" s="971">
        <v>5.7464164589165314</v>
      </c>
      <c r="E69" s="971">
        <v>5.9395261114402249</v>
      </c>
      <c r="F69" s="971">
        <v>6.1171789331318633</v>
      </c>
      <c r="G69" s="971">
        <v>6.2899960046439674</v>
      </c>
      <c r="H69" s="971">
        <v>6.2910725836520136</v>
      </c>
      <c r="I69" s="971">
        <v>6.5702547652298602</v>
      </c>
      <c r="J69" s="971">
        <v>6.7621342584146555</v>
      </c>
      <c r="K69" s="971">
        <v>6.8624157130088586</v>
      </c>
      <c r="L69" s="971">
        <v>6.9495084272027672</v>
      </c>
      <c r="M69" s="971">
        <v>7.0081093373934165</v>
      </c>
      <c r="N69" s="1217">
        <v>7.2134082748726778</v>
      </c>
      <c r="O69" s="1217">
        <v>7.3992962975467389</v>
      </c>
      <c r="P69" s="1217">
        <v>7.4656705273275197</v>
      </c>
      <c r="Q69" s="1217">
        <v>7.5907648856185066</v>
      </c>
      <c r="R69" s="1217">
        <v>8.0860158476545418</v>
      </c>
      <c r="S69" s="1217">
        <v>8.4650507917018167</v>
      </c>
      <c r="T69" s="1217">
        <v>8.6501364431461489</v>
      </c>
      <c r="U69" s="1217">
        <v>8.7973932105486536</v>
      </c>
      <c r="V69" s="1217">
        <v>8.927268032197885</v>
      </c>
      <c r="W69" s="1217">
        <v>9.2809965073846961</v>
      </c>
      <c r="X69" s="1217">
        <v>9.3378301362582512</v>
      </c>
      <c r="Y69" s="1217">
        <v>9.5359723234963187</v>
      </c>
      <c r="Z69" s="1217">
        <v>10.537913565871865</v>
      </c>
      <c r="AA69" s="1217">
        <v>10.584643643175518</v>
      </c>
      <c r="AB69" s="1217">
        <v>11.17783863417826</v>
      </c>
      <c r="AC69" s="1217">
        <v>11.099757136605511</v>
      </c>
      <c r="AD69" s="1217">
        <v>11.085479039468874</v>
      </c>
      <c r="AE69" s="1217">
        <v>11.840981897816896</v>
      </c>
      <c r="AF69" s="805">
        <v>11.549698502089475</v>
      </c>
      <c r="AG69" s="1217">
        <v>11.44050309136891</v>
      </c>
      <c r="AH69" s="805">
        <v>12.109835635000927</v>
      </c>
      <c r="AI69" s="1217">
        <v>13.081668310052949</v>
      </c>
      <c r="AJ69" s="805">
        <v>14.454002283255745</v>
      </c>
      <c r="AK69" s="1217">
        <v>14.662627901934258</v>
      </c>
      <c r="AL69" s="805">
        <v>15.368943924077307</v>
      </c>
      <c r="AM69" s="1217">
        <v>16.270288338781278</v>
      </c>
      <c r="AN69" s="805">
        <v>15.85544497386657</v>
      </c>
      <c r="AO69" s="1217">
        <v>16.43423931269383</v>
      </c>
      <c r="AP69" s="805">
        <v>17.023742210788495</v>
      </c>
      <c r="AQ69" s="1217">
        <v>16.727161432685353</v>
      </c>
      <c r="AR69" s="111"/>
      <c r="AS69" s="111"/>
      <c r="AT69" s="111"/>
      <c r="AU69" s="111"/>
    </row>
    <row r="70" spans="2:57" s="110" customFormat="1">
      <c r="B70" s="17" t="s">
        <v>363</v>
      </c>
      <c r="C70" s="1036"/>
      <c r="D70" s="1218"/>
      <c r="E70" s="1218"/>
      <c r="F70" s="1218"/>
      <c r="G70" s="1218"/>
      <c r="H70" s="1218"/>
      <c r="I70" s="1218"/>
      <c r="J70" s="1218"/>
      <c r="K70" s="1218"/>
      <c r="L70" s="1218"/>
      <c r="M70" s="1218"/>
      <c r="N70" s="1219"/>
      <c r="O70" s="1219"/>
      <c r="P70" s="1219"/>
      <c r="Q70" s="1219"/>
      <c r="R70" s="1219"/>
      <c r="S70" s="1219"/>
      <c r="T70" s="1219"/>
      <c r="U70" s="1219"/>
      <c r="V70" s="1219"/>
      <c r="W70" s="1219"/>
      <c r="X70" s="1219"/>
      <c r="Y70" s="1219"/>
      <c r="Z70" s="1219"/>
      <c r="AA70" s="1219"/>
      <c r="AB70" s="1219"/>
      <c r="AC70" s="1219"/>
      <c r="AD70" s="1219"/>
      <c r="AE70" s="1219"/>
      <c r="AF70" s="804"/>
      <c r="AG70" s="1219"/>
      <c r="AH70" s="804"/>
      <c r="AI70" s="1219">
        <v>0.92079871867303276</v>
      </c>
      <c r="AJ70" s="804">
        <v>0.90904917627651838</v>
      </c>
      <c r="AK70" s="1219">
        <v>0.90200694426572248</v>
      </c>
      <c r="AL70" s="804">
        <v>0.90400608065440136</v>
      </c>
      <c r="AM70" s="1219">
        <v>0.8912329101233506</v>
      </c>
      <c r="AN70" s="804">
        <v>0.89408103104799075</v>
      </c>
      <c r="AO70" s="1219">
        <v>0.87935322780981273</v>
      </c>
      <c r="AP70" s="804">
        <v>0.86653029524467962</v>
      </c>
      <c r="AQ70" s="1219">
        <v>0.88428876940349732</v>
      </c>
      <c r="AR70" s="111"/>
      <c r="AS70" s="111"/>
      <c r="AT70" s="111"/>
      <c r="AU70" s="111"/>
    </row>
    <row r="71" spans="2:57"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0"/>
      <c r="AW71" s="110"/>
      <c r="AX71" s="110"/>
      <c r="AY71" s="110"/>
      <c r="AZ71" s="110"/>
      <c r="BA71" s="110"/>
      <c r="BB71" s="110"/>
      <c r="BC71" s="110"/>
      <c r="BD71" s="110"/>
    </row>
    <row r="72" spans="2:57" s="15" customFormat="1">
      <c r="B72" s="1027" t="s">
        <v>364</v>
      </c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806"/>
      <c r="AJ72" s="806"/>
      <c r="AK72" s="806"/>
      <c r="AL72" s="806"/>
      <c r="AM72" s="806"/>
      <c r="AN72" s="806"/>
      <c r="AO72" s="806"/>
      <c r="AP72" s="806"/>
      <c r="AQ72" s="806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048"/>
    </row>
    <row r="73" spans="2:57" s="827" customFormat="1">
      <c r="B73" s="986" t="s">
        <v>321</v>
      </c>
      <c r="C73" s="17"/>
      <c r="D73" s="1203">
        <v>7467.49</v>
      </c>
      <c r="E73" s="1203">
        <v>7552</v>
      </c>
      <c r="F73" s="1203">
        <v>7532</v>
      </c>
      <c r="G73" s="1203">
        <v>7628</v>
      </c>
      <c r="H73" s="1203">
        <v>7644.2988202400002</v>
      </c>
      <c r="I73" s="1203">
        <v>7607</v>
      </c>
      <c r="J73" s="1203">
        <v>7586</v>
      </c>
      <c r="K73" s="1203">
        <v>7771</v>
      </c>
      <c r="L73" s="1203">
        <v>7693.4150569999965</v>
      </c>
      <c r="M73" s="1203">
        <v>7837.163896</v>
      </c>
      <c r="N73" s="1204">
        <v>7514.5563480000001</v>
      </c>
      <c r="O73" s="1204">
        <v>7403.2364610000004</v>
      </c>
      <c r="P73" s="1204">
        <v>7290.4513539999998</v>
      </c>
      <c r="Q73" s="1204">
        <v>7390.2210090000017</v>
      </c>
      <c r="R73" s="1204">
        <v>7288</v>
      </c>
      <c r="S73" s="1204">
        <v>7481.7754379999997</v>
      </c>
      <c r="T73" s="1204">
        <v>7551.7784139999994</v>
      </c>
      <c r="U73" s="1204">
        <v>7912.4453920000005</v>
      </c>
      <c r="V73" s="1204">
        <v>7979.0098520000001</v>
      </c>
      <c r="W73" s="1204">
        <v>8094.5149229999997</v>
      </c>
      <c r="X73" s="1204">
        <v>7673.1986040000002</v>
      </c>
      <c r="Y73" s="1204">
        <v>7892.0325370000019</v>
      </c>
      <c r="Z73" s="1204">
        <v>7548.4164109999992</v>
      </c>
      <c r="AA73" s="1204">
        <v>7448.2672670000002</v>
      </c>
      <c r="AB73" s="1204">
        <v>6034.7938980000017</v>
      </c>
      <c r="AC73" s="1204">
        <v>7921.6576299999997</v>
      </c>
      <c r="AD73" s="1204">
        <v>7892.5594209999999</v>
      </c>
      <c r="AE73" s="1204">
        <v>7389.4105060000002</v>
      </c>
      <c r="AF73" s="828">
        <v>10505.675816999996</v>
      </c>
      <c r="AG73" s="1204">
        <v>10329.501276000003</v>
      </c>
      <c r="AH73" s="828">
        <v>10241.891726999998</v>
      </c>
      <c r="AI73" s="1204">
        <v>9924.2629930000003</v>
      </c>
      <c r="AJ73" s="828">
        <v>9584.8888430000025</v>
      </c>
      <c r="AK73" s="1204">
        <v>9642.4637969999985</v>
      </c>
      <c r="AL73" s="828">
        <v>9369.1621700000014</v>
      </c>
      <c r="AM73" s="1204">
        <v>8973.6715359999998</v>
      </c>
      <c r="AN73" s="828">
        <v>8657.3839450000032</v>
      </c>
      <c r="AO73" s="1204">
        <v>8734.7009439999983</v>
      </c>
      <c r="AP73" s="828">
        <v>8545.3095669999984</v>
      </c>
      <c r="AQ73" s="1204">
        <v>8368.8924590000006</v>
      </c>
      <c r="AR73" s="826"/>
      <c r="AS73" s="826"/>
      <c r="AT73" s="826"/>
      <c r="AU73" s="826"/>
      <c r="AV73" s="826"/>
      <c r="AW73" s="826"/>
      <c r="AX73" s="826"/>
      <c r="AY73" s="826"/>
      <c r="AZ73" s="826"/>
      <c r="BA73" s="826"/>
      <c r="BB73" s="826"/>
      <c r="BC73" s="826"/>
      <c r="BD73" s="826"/>
      <c r="BE73" s="1047"/>
    </row>
    <row r="74" spans="2:57" s="827" customFormat="1">
      <c r="B74" s="986" t="s">
        <v>209</v>
      </c>
      <c r="C74" s="17"/>
      <c r="D74" s="1205">
        <v>3300</v>
      </c>
      <c r="E74" s="1205">
        <v>3477</v>
      </c>
      <c r="F74" s="1205">
        <v>3663</v>
      </c>
      <c r="G74" s="1205">
        <v>3882</v>
      </c>
      <c r="H74" s="1205">
        <v>3849.2446810900001</v>
      </c>
      <c r="I74" s="1205">
        <v>4425</v>
      </c>
      <c r="J74" s="1205">
        <v>4243</v>
      </c>
      <c r="K74" s="1205">
        <v>4402</v>
      </c>
      <c r="L74" s="1205">
        <v>4391.1461019999979</v>
      </c>
      <c r="M74" s="1205">
        <v>4285.0463120000013</v>
      </c>
      <c r="N74" s="1206">
        <v>4212.1457589999982</v>
      </c>
      <c r="O74" s="1206">
        <v>4263.8057280000003</v>
      </c>
      <c r="P74" s="1206">
        <v>4081.3691570000028</v>
      </c>
      <c r="Q74" s="1206">
        <v>4132.1344969999991</v>
      </c>
      <c r="R74" s="1206">
        <v>4352</v>
      </c>
      <c r="S74" s="1206">
        <v>4779.2623769999991</v>
      </c>
      <c r="T74" s="1206">
        <v>4952.0216600000058</v>
      </c>
      <c r="U74" s="1206">
        <v>5318.8595919999971</v>
      </c>
      <c r="V74" s="1206">
        <v>5314.3856830000022</v>
      </c>
      <c r="W74" s="1206">
        <v>5420.7716569999993</v>
      </c>
      <c r="X74" s="1206">
        <v>5105.0719160000044</v>
      </c>
      <c r="Y74" s="1206">
        <v>5291.4703479999989</v>
      </c>
      <c r="Z74" s="1206">
        <v>5350.9237969999995</v>
      </c>
      <c r="AA74" s="1206">
        <v>5041.1498350000002</v>
      </c>
      <c r="AB74" s="1206">
        <v>3648.1673410000021</v>
      </c>
      <c r="AC74" s="1206">
        <v>5440.677483999998</v>
      </c>
      <c r="AD74" s="1206">
        <v>5607.2980750000006</v>
      </c>
      <c r="AE74" s="1206">
        <v>5263.1006560000005</v>
      </c>
      <c r="AF74" s="829">
        <v>3925.8858579999978</v>
      </c>
      <c r="AG74" s="1206">
        <v>3825.8353180000013</v>
      </c>
      <c r="AH74" s="829">
        <v>3960.009466999998</v>
      </c>
      <c r="AI74" s="1206">
        <v>4010.3774549999998</v>
      </c>
      <c r="AJ74" s="829">
        <v>3701.3636019999976</v>
      </c>
      <c r="AK74" s="1206">
        <v>3708.4244909999979</v>
      </c>
      <c r="AL74" s="829">
        <v>3516.7825360000033</v>
      </c>
      <c r="AM74" s="1206">
        <v>3299.8260079999991</v>
      </c>
      <c r="AN74" s="829">
        <v>3152.8717449999931</v>
      </c>
      <c r="AO74" s="1206">
        <v>3025.8287670000027</v>
      </c>
      <c r="AP74" s="829">
        <v>3029.5357459999987</v>
      </c>
      <c r="AQ74" s="1206">
        <v>3010.7100689999997</v>
      </c>
      <c r="AR74" s="826"/>
      <c r="AS74" s="826"/>
      <c r="AT74" s="826"/>
      <c r="AU74" s="826"/>
      <c r="AV74" s="826"/>
      <c r="AW74" s="826"/>
      <c r="AX74" s="826"/>
      <c r="AY74" s="826"/>
      <c r="AZ74" s="826"/>
      <c r="BA74" s="826"/>
      <c r="BB74" s="826"/>
      <c r="BC74" s="826"/>
      <c r="BD74" s="826"/>
      <c r="BE74" s="1047"/>
    </row>
    <row r="75" spans="2:57" s="827" customFormat="1">
      <c r="B75" s="987" t="s">
        <v>358</v>
      </c>
      <c r="C75" s="17"/>
      <c r="D75" s="1207">
        <v>0.44191555663281773</v>
      </c>
      <c r="E75" s="1207">
        <v>0.46040783898305082</v>
      </c>
      <c r="F75" s="1207">
        <v>0.48632501327668615</v>
      </c>
      <c r="G75" s="1207">
        <v>0.50891452543261673</v>
      </c>
      <c r="H75" s="1207">
        <v>0.5035445070381418</v>
      </c>
      <c r="I75" s="1207">
        <v>0.58170106480872885</v>
      </c>
      <c r="J75" s="1207">
        <v>0.55931979963089906</v>
      </c>
      <c r="K75" s="1207">
        <v>0.56646506241153005</v>
      </c>
      <c r="L75" s="1207">
        <v>0.57076682714585014</v>
      </c>
      <c r="M75" s="1207">
        <v>0.54675981884046609</v>
      </c>
      <c r="N75" s="1208">
        <v>0.56053152893331637</v>
      </c>
      <c r="O75" s="1208">
        <v>0.57593807120191076</v>
      </c>
      <c r="P75" s="1208">
        <v>0.55982393391332452</v>
      </c>
      <c r="Q75" s="1208">
        <v>0.55913544290052752</v>
      </c>
      <c r="R75" s="1208">
        <v>0.59699999999999998</v>
      </c>
      <c r="S75" s="1208">
        <v>0.6387871991888564</v>
      </c>
      <c r="T75" s="1208">
        <v>0.65574244747695609</v>
      </c>
      <c r="U75" s="1208">
        <v>0.67221438234224173</v>
      </c>
      <c r="V75" s="1208">
        <v>0.66604576026032991</v>
      </c>
      <c r="W75" s="1208">
        <v>0.6696845590582895</v>
      </c>
      <c r="X75" s="1208">
        <v>0.6653121050898847</v>
      </c>
      <c r="Y75" s="1208">
        <v>0.67048258141260086</v>
      </c>
      <c r="Z75" s="1208">
        <v>0.7088803141811727</v>
      </c>
      <c r="AA75" s="1208">
        <v>0.67682182369248756</v>
      </c>
      <c r="AB75" s="1208">
        <v>0.60452227576637629</v>
      </c>
      <c r="AC75" s="1208">
        <v>0.68681048059886907</v>
      </c>
      <c r="AD75" s="1208">
        <v>0.71045370403933517</v>
      </c>
      <c r="AE75" s="1208">
        <v>0.71224905582475162</v>
      </c>
      <c r="AF75" s="830">
        <v>0.37369189059186819</v>
      </c>
      <c r="AG75" s="1208">
        <v>0.37037948065209186</v>
      </c>
      <c r="AH75" s="830">
        <v>0.38664824551508353</v>
      </c>
      <c r="AI75" s="1208">
        <v>0.40409826481106836</v>
      </c>
      <c r="AJ75" s="830">
        <v>0.38616656516608044</v>
      </c>
      <c r="AK75" s="1208">
        <v>0.38459304271941136</v>
      </c>
      <c r="AL75" s="830">
        <v>0.37535720613959689</v>
      </c>
      <c r="AM75" s="1208">
        <v>0.3677230657219811</v>
      </c>
      <c r="AN75" s="830">
        <v>0.36418296393345323</v>
      </c>
      <c r="AO75" s="1208">
        <v>0.34641469540848924</v>
      </c>
      <c r="AP75" s="830">
        <v>0.35452615522547742</v>
      </c>
      <c r="AQ75" s="1208">
        <v>0.35975012031158893</v>
      </c>
      <c r="AR75" s="826"/>
      <c r="AS75" s="826"/>
      <c r="AT75" s="826"/>
      <c r="AU75" s="826"/>
      <c r="AV75" s="826"/>
      <c r="AW75" s="826"/>
      <c r="AX75" s="826"/>
      <c r="AY75" s="826"/>
      <c r="AZ75" s="826"/>
      <c r="BA75" s="826"/>
      <c r="BB75" s="826"/>
      <c r="BC75" s="826"/>
      <c r="BD75" s="826"/>
      <c r="BE75" s="1047"/>
    </row>
    <row r="76" spans="2:57" s="827" customFormat="1">
      <c r="B76" s="988" t="s">
        <v>212</v>
      </c>
      <c r="C76" s="17"/>
      <c r="D76" s="1209">
        <v>9829.3303699999979</v>
      </c>
      <c r="E76" s="1209">
        <v>3287.4942730000007</v>
      </c>
      <c r="F76" s="1209">
        <v>3062.8936210000002</v>
      </c>
      <c r="G76" s="1209">
        <v>3056.9753110000001</v>
      </c>
      <c r="H76" s="1209">
        <v>3695.069532999998</v>
      </c>
      <c r="I76" s="1209">
        <v>4626.513339000001</v>
      </c>
      <c r="J76" s="1209">
        <v>4251.6728830000002</v>
      </c>
      <c r="K76" s="1209">
        <v>4078.0986539999999</v>
      </c>
      <c r="L76" s="1209">
        <v>3070.6824271199966</v>
      </c>
      <c r="M76" s="1209">
        <v>3716.8138145570006</v>
      </c>
      <c r="N76" s="1210">
        <v>3754.7317059300003</v>
      </c>
      <c r="O76" s="1210">
        <v>3843.0834917900006</v>
      </c>
      <c r="P76" s="1210">
        <v>3544.2171699200003</v>
      </c>
      <c r="Q76" s="1210">
        <v>4534.0647973400019</v>
      </c>
      <c r="R76" s="1210">
        <v>3054</v>
      </c>
      <c r="S76" s="1210">
        <v>2469.6391860600002</v>
      </c>
      <c r="T76" s="1210">
        <v>3143.2969737380045</v>
      </c>
      <c r="U76" s="1210">
        <v>4373.7661707919979</v>
      </c>
      <c r="V76" s="1210">
        <v>2578.5870649100007</v>
      </c>
      <c r="W76" s="1210">
        <v>2931.5903770649993</v>
      </c>
      <c r="X76" s="1210">
        <v>3690.3759494400001</v>
      </c>
      <c r="Y76" s="1210">
        <v>3226.3077855299998</v>
      </c>
      <c r="Z76" s="1210">
        <v>3469.0483109999991</v>
      </c>
      <c r="AA76" s="1210">
        <v>2457.2097514000006</v>
      </c>
      <c r="AB76" s="1210">
        <v>2514.3762578869987</v>
      </c>
      <c r="AC76" s="1210">
        <v>3509.4065474000004</v>
      </c>
      <c r="AD76" s="1210">
        <v>2051.740992709997</v>
      </c>
      <c r="AE76" s="1210">
        <v>2436.6709966400003</v>
      </c>
      <c r="AF76" s="815">
        <v>1916.6303276999997</v>
      </c>
      <c r="AG76" s="1210">
        <v>3268.0672073399996</v>
      </c>
      <c r="AH76" s="815">
        <v>1797.0683514700002</v>
      </c>
      <c r="AI76" s="1210">
        <v>1808.8751005000004</v>
      </c>
      <c r="AJ76" s="815">
        <v>2064.3502559709991</v>
      </c>
      <c r="AK76" s="1210">
        <v>2360.4760498400001</v>
      </c>
      <c r="AL76" s="815">
        <v>3191.0903046300004</v>
      </c>
      <c r="AM76" s="1210">
        <v>2661.0900125189996</v>
      </c>
      <c r="AN76" s="815">
        <v>1386.0040138400007</v>
      </c>
      <c r="AO76" s="1210">
        <v>2650.2535696519994</v>
      </c>
      <c r="AP76" s="815">
        <v>2541.1707275080003</v>
      </c>
      <c r="AQ76" s="1210">
        <v>2030.1525179999999</v>
      </c>
      <c r="AR76" s="826"/>
      <c r="AS76" s="826"/>
      <c r="AT76" s="826"/>
      <c r="AU76" s="826"/>
      <c r="AV76" s="826"/>
      <c r="AW76" s="826"/>
      <c r="AX76" s="826"/>
      <c r="AY76" s="826"/>
      <c r="AZ76" s="826"/>
      <c r="BA76" s="826"/>
      <c r="BB76" s="826"/>
      <c r="BC76" s="826"/>
      <c r="BD76" s="826"/>
      <c r="BE76" s="1047"/>
    </row>
    <row r="77" spans="2:57"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0"/>
      <c r="AW77" s="110"/>
      <c r="AX77" s="110"/>
      <c r="AY77" s="110"/>
      <c r="AZ77" s="110"/>
      <c r="BA77" s="110"/>
      <c r="BB77" s="110"/>
      <c r="BC77" s="110"/>
      <c r="BD77" s="110"/>
    </row>
    <row r="78" spans="2:57" s="110" customFormat="1">
      <c r="B78" s="986" t="s">
        <v>365</v>
      </c>
      <c r="C78" s="1177" t="s">
        <v>319</v>
      </c>
      <c r="D78" s="1211">
        <v>15996.824999999999</v>
      </c>
      <c r="E78" s="1211">
        <v>15427.221</v>
      </c>
      <c r="F78" s="1211">
        <v>15353.865</v>
      </c>
      <c r="G78" s="1211">
        <v>15694.957000000009</v>
      </c>
      <c r="H78" s="1211">
        <v>15898.47</v>
      </c>
      <c r="I78" s="1211">
        <v>15822.852000000001</v>
      </c>
      <c r="J78" s="1211">
        <v>15794.24</v>
      </c>
      <c r="K78" s="1211">
        <v>16340.511</v>
      </c>
      <c r="L78" s="1211">
        <v>16146.321</v>
      </c>
      <c r="M78" s="1211">
        <v>16137.174000000001</v>
      </c>
      <c r="N78" s="1212">
        <v>15749.462</v>
      </c>
      <c r="O78" s="1212">
        <v>15918.012000000001</v>
      </c>
      <c r="P78" s="1212">
        <v>15945.659</v>
      </c>
      <c r="Q78" s="1212">
        <v>15985.056</v>
      </c>
      <c r="R78" s="1212">
        <v>15770.837</v>
      </c>
      <c r="S78" s="1212">
        <v>15705.246999999999</v>
      </c>
      <c r="T78" s="1212">
        <v>16027.615</v>
      </c>
      <c r="U78" s="1212">
        <v>16205.163</v>
      </c>
      <c r="V78" s="1212">
        <v>16324.651</v>
      </c>
      <c r="W78" s="1212">
        <v>17998.513777225882</v>
      </c>
      <c r="X78" s="1212">
        <v>17716.126777225883</v>
      </c>
      <c r="Y78" s="1212">
        <v>17872.266584455479</v>
      </c>
      <c r="Z78" s="1212">
        <v>17386.908777225901</v>
      </c>
      <c r="AA78" s="1212">
        <v>16838.248777225883</v>
      </c>
      <c r="AB78" s="1212">
        <v>16612.594777225881</v>
      </c>
      <c r="AC78" s="1212">
        <v>16308.467777225882</v>
      </c>
      <c r="AD78" s="1212">
        <v>16207.257777225881</v>
      </c>
      <c r="AE78" s="1212">
        <v>16026.749777225881</v>
      </c>
      <c r="AF78" s="802">
        <v>15392.283777225883</v>
      </c>
      <c r="AG78" s="1212">
        <v>15001.453777225881</v>
      </c>
      <c r="AH78" s="802">
        <v>14778.967777225882</v>
      </c>
      <c r="AI78" s="1212">
        <v>14646.163777225882</v>
      </c>
      <c r="AJ78" s="802">
        <v>14167.638777225882</v>
      </c>
      <c r="AK78" s="1212">
        <v>13937.387777225882</v>
      </c>
      <c r="AL78" s="802">
        <v>13521.085777225882</v>
      </c>
      <c r="AM78" s="1212">
        <v>13314.376777225882</v>
      </c>
      <c r="AN78" s="802">
        <v>12815.348777225881</v>
      </c>
      <c r="AO78" s="1212">
        <v>12587.686777225881</v>
      </c>
      <c r="AP78" s="802">
        <v>12404.830777225881</v>
      </c>
      <c r="AQ78" s="1212">
        <v>12148.719777225882</v>
      </c>
      <c r="AR78" s="111"/>
      <c r="AS78" s="111"/>
      <c r="AT78" s="111"/>
      <c r="AU78" s="111"/>
    </row>
    <row r="79" spans="2:57" s="110" customFormat="1">
      <c r="B79" s="986" t="s">
        <v>366</v>
      </c>
      <c r="C79" s="1177" t="s">
        <v>319</v>
      </c>
      <c r="D79" s="1211">
        <v>569.60399999999811</v>
      </c>
      <c r="E79" s="1211">
        <v>73.355999999999995</v>
      </c>
      <c r="F79" s="1211">
        <v>-341.09200000000931</v>
      </c>
      <c r="G79" s="1211">
        <v>-203.5259999999758</v>
      </c>
      <c r="H79" s="1211">
        <v>75.617999999999995</v>
      </c>
      <c r="I79" s="1211">
        <v>28.611999999999998</v>
      </c>
      <c r="J79" s="1211">
        <v>-546.27099999999996</v>
      </c>
      <c r="K79" s="1211">
        <v>194.19</v>
      </c>
      <c r="L79" s="1211">
        <v>9.1470000000000002</v>
      </c>
      <c r="M79" s="1211">
        <v>387.71199999999999</v>
      </c>
      <c r="N79" s="1212">
        <v>-168.55</v>
      </c>
      <c r="O79" s="1212">
        <v>-27.646999999999998</v>
      </c>
      <c r="P79" s="1212">
        <v>-39.396999999999998</v>
      </c>
      <c r="Q79" s="1212">
        <v>214.21899999999999</v>
      </c>
      <c r="R79" s="1212">
        <v>65.59</v>
      </c>
      <c r="S79" s="1212">
        <v>-322.36799999999999</v>
      </c>
      <c r="T79" s="1212">
        <v>-177.548</v>
      </c>
      <c r="U79" s="1212">
        <f>U78-V78</f>
        <v>-119.48799999999937</v>
      </c>
      <c r="V79" s="1212">
        <f>V78-W78</f>
        <v>-1673.8627772258824</v>
      </c>
      <c r="W79" s="1212">
        <v>282.387</v>
      </c>
      <c r="X79" s="1212">
        <v>-156.13980722959712</v>
      </c>
      <c r="Y79" s="1212">
        <v>485.35780722959714</v>
      </c>
      <c r="Z79" s="1212">
        <v>548.66</v>
      </c>
      <c r="AA79" s="1212">
        <v>225.654</v>
      </c>
      <c r="AB79" s="1212">
        <v>304.12700000000001</v>
      </c>
      <c r="AC79" s="1212">
        <v>101.21</v>
      </c>
      <c r="AD79" s="1212">
        <v>180.50800000000001</v>
      </c>
      <c r="AE79" s="1212">
        <v>634.46600000000001</v>
      </c>
      <c r="AF79" s="802">
        <v>390.83</v>
      </c>
      <c r="AG79" s="1212">
        <v>222.48599999999999</v>
      </c>
      <c r="AH79" s="802">
        <v>132.804</v>
      </c>
      <c r="AI79" s="1212">
        <v>478.52499999999998</v>
      </c>
      <c r="AJ79" s="802">
        <v>230.251</v>
      </c>
      <c r="AK79" s="1212">
        <v>416.30200000000002</v>
      </c>
      <c r="AL79" s="802">
        <v>206.709</v>
      </c>
      <c r="AM79" s="1212">
        <v>499.02800000000002</v>
      </c>
      <c r="AN79" s="802">
        <v>227.66200000000001</v>
      </c>
      <c r="AO79" s="1212">
        <v>182.85599999999999</v>
      </c>
      <c r="AP79" s="802">
        <v>256.11099999999999</v>
      </c>
      <c r="AQ79" s="1212">
        <v>424.09399999999999</v>
      </c>
      <c r="AR79" s="111"/>
      <c r="AS79" s="111"/>
      <c r="AT79" s="111"/>
      <c r="AU79" s="111"/>
    </row>
    <row r="80" spans="2:57" s="110" customFormat="1">
      <c r="B80" s="986" t="s">
        <v>367</v>
      </c>
      <c r="C80" s="1178" t="s">
        <v>328</v>
      </c>
      <c r="D80" s="1211">
        <v>158.85703466808496</v>
      </c>
      <c r="E80" s="1211">
        <v>163.37015979664974</v>
      </c>
      <c r="F80" s="1211">
        <v>163.15362015269562</v>
      </c>
      <c r="G80" s="1211">
        <v>160.72751829689562</v>
      </c>
      <c r="H80" s="1211">
        <v>161.55374937363644</v>
      </c>
      <c r="I80" s="1211">
        <v>159.59898922661293</v>
      </c>
      <c r="J80" s="1211">
        <v>157.82629210205909</v>
      </c>
      <c r="K80" s="1211">
        <v>159.15326568388903</v>
      </c>
      <c r="L80" s="1211">
        <v>160.07840843104452</v>
      </c>
      <c r="M80" s="1211">
        <v>162.97802204201233</v>
      </c>
      <c r="N80" s="1212">
        <v>158.95802065141902</v>
      </c>
      <c r="O80" s="1212">
        <v>153.84560873706252</v>
      </c>
      <c r="P80" s="1212">
        <v>152.55903994199357</v>
      </c>
      <c r="Q80" s="1212">
        <v>153.9993376767836</v>
      </c>
      <c r="R80" s="1212">
        <v>154.96252504091342</v>
      </c>
      <c r="S80" s="1212">
        <v>157.58709845704288</v>
      </c>
      <c r="T80" s="1212">
        <v>156.58278267878202</v>
      </c>
      <c r="U80" s="1212">
        <v>160.78886706254568</v>
      </c>
      <c r="V80" s="1212">
        <v>163.48896143012482</v>
      </c>
      <c r="W80" s="1212">
        <v>150.73213838392522</v>
      </c>
      <c r="X80" s="1212">
        <v>143.83367944917575</v>
      </c>
      <c r="Y80" s="1212">
        <v>148.89064853169856</v>
      </c>
      <c r="Z80" s="1212">
        <v>147.74965710473782</v>
      </c>
      <c r="AA80" s="1212">
        <v>148.78737382368561</v>
      </c>
      <c r="AB80" s="1212">
        <v>122.65647839875182</v>
      </c>
      <c r="AC80" s="1212">
        <v>162.46205784245794</v>
      </c>
      <c r="AD80" s="1212">
        <v>162.47452004113191</v>
      </c>
      <c r="AE80" s="1212">
        <v>156.57654358260757</v>
      </c>
      <c r="AF80" s="802">
        <v>232.65856737321852</v>
      </c>
      <c r="AG80" s="1212">
        <v>231.16085567414214</v>
      </c>
      <c r="AH80" s="802">
        <v>231.80535391645742</v>
      </c>
      <c r="AI80" s="1212">
        <v>228.9316499706234</v>
      </c>
      <c r="AJ80" s="802">
        <v>227.72979631553901</v>
      </c>
      <c r="AK80" s="1212">
        <v>233.4872095396685</v>
      </c>
      <c r="AL80" s="802">
        <v>232.62872083821705</v>
      </c>
      <c r="AM80" s="1212">
        <v>228.26817604298958</v>
      </c>
      <c r="AN80" s="802">
        <v>227.53435393087886</v>
      </c>
      <c r="AO80" s="1212">
        <v>232.21084060015164</v>
      </c>
      <c r="AP80" s="802">
        <v>231.92547338937504</v>
      </c>
      <c r="AQ80" s="1212">
        <v>233.11766255382148</v>
      </c>
      <c r="AR80" s="111"/>
      <c r="AS80" s="111"/>
      <c r="AT80" s="111"/>
      <c r="AU80" s="111"/>
    </row>
    <row r="81" spans="2:57" s="110" customFormat="1">
      <c r="B81" s="986" t="s">
        <v>327</v>
      </c>
      <c r="C81" s="1178" t="s">
        <v>329</v>
      </c>
      <c r="D81" s="971">
        <v>1.7319139354634143</v>
      </c>
      <c r="E81" s="971">
        <v>1.8350118823556365</v>
      </c>
      <c r="F81" s="971">
        <v>1.8692364024922863</v>
      </c>
      <c r="G81" s="971">
        <v>1.8815705356570391</v>
      </c>
      <c r="H81" s="971">
        <v>1.8705390401399498</v>
      </c>
      <c r="I81" s="971">
        <v>1.8914527862853747</v>
      </c>
      <c r="J81" s="971">
        <v>1.8849574335176598</v>
      </c>
      <c r="K81" s="971">
        <v>1.9092270900016139</v>
      </c>
      <c r="L81" s="971">
        <v>1.9264424354797776</v>
      </c>
      <c r="M81" s="971">
        <v>1.9584559723128989</v>
      </c>
      <c r="N81" s="1217">
        <v>1.927056838253723</v>
      </c>
      <c r="O81" s="1217">
        <v>1.871442090427385</v>
      </c>
      <c r="P81" s="1217">
        <v>1.8541920064852591</v>
      </c>
      <c r="Q81" s="1217">
        <v>1.8744248159915531</v>
      </c>
      <c r="R81" s="1217">
        <v>1.9399414752242543</v>
      </c>
      <c r="S81" s="1217">
        <v>2.0421874766298926</v>
      </c>
      <c r="T81" s="1217">
        <v>2.0830950446169534</v>
      </c>
      <c r="U81" s="1217">
        <v>2.1530498683269612</v>
      </c>
      <c r="V81" s="1217">
        <v>2.2076818756002026</v>
      </c>
      <c r="W81" s="1217">
        <v>2.0531750917819021</v>
      </c>
      <c r="X81" s="1217">
        <v>1.9633986888601949</v>
      </c>
      <c r="Y81" s="1217">
        <v>2.0143609260468249</v>
      </c>
      <c r="Z81" s="1217">
        <v>1.9884214669906175</v>
      </c>
      <c r="AA81" s="1217">
        <v>1.9626783399848602</v>
      </c>
      <c r="AB81" s="1217">
        <v>1.706841548327831</v>
      </c>
      <c r="AC81" s="1217">
        <v>2.2899450215651553</v>
      </c>
      <c r="AD81" s="1217">
        <v>2.3177397192046922</v>
      </c>
      <c r="AE81" s="1217">
        <v>2.2481824983443506</v>
      </c>
      <c r="AF81" s="805">
        <v>3.2964977134811875</v>
      </c>
      <c r="AG81" s="1217">
        <v>3.2212303087647833</v>
      </c>
      <c r="AH81" s="805">
        <v>3.315807711193679</v>
      </c>
      <c r="AI81" s="1217">
        <v>3.4068477245526014</v>
      </c>
      <c r="AJ81" s="805">
        <v>3.5417223600441532</v>
      </c>
      <c r="AK81" s="1217">
        <v>3.6097896293076634</v>
      </c>
      <c r="AL81" s="805">
        <v>3.6147262616165388</v>
      </c>
      <c r="AM81" s="1217">
        <v>3.5422450698511243</v>
      </c>
      <c r="AN81" s="805">
        <v>3.3916900577252354</v>
      </c>
      <c r="AO81" s="1217">
        <v>3.4333786190263917</v>
      </c>
      <c r="AP81" s="805">
        <v>3.4549565268918996</v>
      </c>
      <c r="AQ81" s="1217">
        <v>3.4893657382593428</v>
      </c>
      <c r="AR81" s="111"/>
      <c r="AS81" s="111"/>
      <c r="AT81" s="111"/>
      <c r="AU81" s="111"/>
    </row>
    <row r="82" spans="2:57" s="110" customFormat="1">
      <c r="B82" s="986" t="s">
        <v>326</v>
      </c>
      <c r="C82" s="1178" t="s">
        <v>325</v>
      </c>
      <c r="D82" s="1218">
        <v>1.9264046229303538E-2</v>
      </c>
      <c r="E82" s="1218">
        <v>3.05794962041646E-2</v>
      </c>
      <c r="F82" s="1218">
        <v>3.1298122451872711E-2</v>
      </c>
      <c r="G82" s="1218">
        <v>2.5129594153680379E-2</v>
      </c>
      <c r="H82" s="1218">
        <v>2.2592561273780041E-2</v>
      </c>
      <c r="I82" s="1218">
        <v>2.5075051369157043E-2</v>
      </c>
      <c r="J82" s="1218">
        <v>3.7461897578873742E-2</v>
      </c>
      <c r="K82" s="1218">
        <v>2.0309824912336349E-2</v>
      </c>
      <c r="L82" s="1218">
        <v>2.3497643441507E-2</v>
      </c>
      <c r="M82" s="1218">
        <v>1.8132139770888425E-2</v>
      </c>
      <c r="N82" s="1219">
        <v>2.6644811786419847E-2</v>
      </c>
      <c r="O82" s="1219">
        <v>2.2071827686368822E-2</v>
      </c>
      <c r="P82" s="1219">
        <v>2.3240501812834321E-2</v>
      </c>
      <c r="Q82" s="1219">
        <v>2.0184645935426241E-2</v>
      </c>
      <c r="R82" s="1219">
        <v>2.2681343671131855E-2</v>
      </c>
      <c r="S82" s="1219">
        <v>2.4192220242015311E-2</v>
      </c>
      <c r="T82" s="1219">
        <v>1.6627995334890486E-2</v>
      </c>
      <c r="U82" s="1219">
        <v>2.6645576440652269E-2</v>
      </c>
      <c r="V82" s="1219">
        <v>2.258818811435899E-2</v>
      </c>
      <c r="W82" s="1219">
        <v>1.3584786904713658E-2</v>
      </c>
      <c r="X82" s="1219">
        <v>2.1582760014622115E-2</v>
      </c>
      <c r="Y82" s="1219">
        <v>1.4211244409713107E-2</v>
      </c>
      <c r="Z82" s="1219">
        <v>1.5179010914559693E-2</v>
      </c>
      <c r="AA82" s="1219">
        <v>1.3280954031544751E-2</v>
      </c>
      <c r="AB82" s="1219">
        <v>1.0483147700039311E-2</v>
      </c>
      <c r="AC82" s="1219">
        <v>1.7894445304058287E-2</v>
      </c>
      <c r="AD82" s="1219">
        <v>1.5991551320491775E-2</v>
      </c>
      <c r="AE82" s="1219">
        <v>9.727590525595806E-3</v>
      </c>
      <c r="AF82" s="804">
        <v>8.0600765136495025E-3</v>
      </c>
      <c r="AG82" s="1219">
        <v>1.3065717050202855E-2</v>
      </c>
      <c r="AH82" s="804">
        <v>1.3384920315116506E-2</v>
      </c>
      <c r="AI82" s="1219">
        <v>7.248664236760914E-3</v>
      </c>
      <c r="AJ82" s="804">
        <v>1.0970739906525891E-2</v>
      </c>
      <c r="AK82" s="1219">
        <v>1.227298615898898E-2</v>
      </c>
      <c r="AL82" s="804">
        <v>1.3607365229270613E-2</v>
      </c>
      <c r="AM82" s="1219">
        <v>9.1814275940929266E-3</v>
      </c>
      <c r="AN82" s="804">
        <v>1.1542079575245029E-2</v>
      </c>
      <c r="AO82" s="1219">
        <v>1.3436788038536722E-2</v>
      </c>
      <c r="AP82" s="804">
        <v>1.2251925123715283E-2</v>
      </c>
      <c r="AQ82" s="1219">
        <v>8.4426781449576643E-3</v>
      </c>
      <c r="AR82" s="111"/>
      <c r="AS82" s="111"/>
      <c r="AT82" s="111"/>
      <c r="AU82" s="111"/>
    </row>
    <row r="83" spans="2:57"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0"/>
      <c r="AW83" s="110"/>
      <c r="AX83" s="110"/>
      <c r="AY83" s="110"/>
      <c r="AZ83" s="110"/>
      <c r="BA83" s="110"/>
      <c r="BB83" s="110"/>
      <c r="BC83" s="110"/>
      <c r="BD83" s="110"/>
    </row>
    <row r="84" spans="2:57">
      <c r="B84" s="1027" t="s">
        <v>368</v>
      </c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0"/>
      <c r="AW84" s="110"/>
      <c r="AX84" s="110"/>
      <c r="AY84" s="110"/>
      <c r="AZ84" s="110"/>
      <c r="BA84" s="110"/>
      <c r="BB84" s="110"/>
      <c r="BC84" s="110"/>
      <c r="BD84" s="110"/>
    </row>
    <row r="85" spans="2:57" s="15" customFormat="1">
      <c r="B85" s="1027" t="s">
        <v>369</v>
      </c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806"/>
      <c r="AJ85" s="806"/>
      <c r="AK85" s="806"/>
      <c r="AL85" s="806"/>
      <c r="AM85" s="806"/>
      <c r="AN85" s="806"/>
      <c r="AO85" s="806"/>
      <c r="AP85" s="806"/>
      <c r="AQ85" s="806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048"/>
    </row>
    <row r="86" spans="2:57" s="827" customFormat="1">
      <c r="B86" s="986" t="s">
        <v>321</v>
      </c>
      <c r="C86" s="17"/>
      <c r="D86" s="1203">
        <v>54904</v>
      </c>
      <c r="E86" s="1203">
        <v>53531</v>
      </c>
      <c r="F86" s="1203">
        <v>52760</v>
      </c>
      <c r="G86" s="1203">
        <v>50571</v>
      </c>
      <c r="H86" s="1203">
        <v>53155</v>
      </c>
      <c r="I86" s="1203">
        <v>56459</v>
      </c>
      <c r="J86" s="1203">
        <v>56555</v>
      </c>
      <c r="K86" s="1203">
        <v>54765</v>
      </c>
      <c r="L86" s="1203">
        <v>54616.101027068944</v>
      </c>
      <c r="M86" s="1203">
        <v>51948.010027724027</v>
      </c>
      <c r="N86" s="1204">
        <v>51100.110061839005</v>
      </c>
      <c r="O86" s="1204">
        <v>50545.195438034993</v>
      </c>
      <c r="P86" s="1206">
        <v>47849.530726049976</v>
      </c>
      <c r="Q86" s="1204">
        <v>47779.058184985988</v>
      </c>
      <c r="R86" s="1204">
        <v>46646</v>
      </c>
      <c r="S86" s="1204">
        <v>43656.237966409004</v>
      </c>
      <c r="T86" s="1206">
        <v>41798.319524299972</v>
      </c>
      <c r="U86" s="1204">
        <v>41058.526125466982</v>
      </c>
      <c r="V86" s="1204">
        <v>39953.064996565008</v>
      </c>
      <c r="W86" s="1204">
        <v>37893.218485680001</v>
      </c>
      <c r="X86" s="1206">
        <v>37020.960182455041</v>
      </c>
      <c r="Y86" s="1204">
        <v>36214.320874482997</v>
      </c>
      <c r="Z86" s="1204">
        <v>35820.581256796992</v>
      </c>
      <c r="AA86" s="1204">
        <v>35019.394650413</v>
      </c>
      <c r="AB86" s="1204">
        <v>33762.460538964995</v>
      </c>
      <c r="AC86" s="1204">
        <v>33176.344185077003</v>
      </c>
      <c r="AD86" s="1204">
        <v>33311.707074083999</v>
      </c>
      <c r="AE86" s="1204">
        <v>32080.417566606</v>
      </c>
      <c r="AF86" s="828">
        <v>30039.899712763028</v>
      </c>
      <c r="AG86" s="1204">
        <v>31116.057515754976</v>
      </c>
      <c r="AH86" s="828">
        <v>33458.333936187002</v>
      </c>
      <c r="AI86" s="1204">
        <v>29923.388023309002</v>
      </c>
      <c r="AJ86" s="828">
        <v>28282.097675680976</v>
      </c>
      <c r="AK86" s="1204">
        <v>29098.687010046011</v>
      </c>
      <c r="AL86" s="828">
        <v>28313.092541403006</v>
      </c>
      <c r="AM86" s="1204">
        <v>27871.895226369899</v>
      </c>
      <c r="AN86" s="828">
        <v>25769.647827918991</v>
      </c>
      <c r="AO86" s="1204">
        <v>27050.018041204981</v>
      </c>
      <c r="AP86" s="828">
        <v>29816.443298414015</v>
      </c>
      <c r="AQ86" s="1204">
        <v>26793.237506999998</v>
      </c>
      <c r="AR86" s="826"/>
      <c r="AS86" s="826"/>
      <c r="AT86" s="826"/>
      <c r="AU86" s="826"/>
      <c r="AV86" s="826"/>
      <c r="AW86" s="826"/>
      <c r="AX86" s="826"/>
      <c r="AY86" s="826"/>
      <c r="AZ86" s="826"/>
      <c r="BA86" s="826"/>
      <c r="BB86" s="826"/>
      <c r="BC86" s="826"/>
      <c r="BD86" s="826"/>
      <c r="BE86" s="1047"/>
    </row>
    <row r="87" spans="2:57" s="827" customFormat="1">
      <c r="B87" s="986" t="s">
        <v>209</v>
      </c>
      <c r="C87" s="17"/>
      <c r="D87" s="1205">
        <v>23577</v>
      </c>
      <c r="E87" s="1205">
        <v>22446</v>
      </c>
      <c r="F87" s="1205">
        <v>21943</v>
      </c>
      <c r="G87" s="1205">
        <v>21535</v>
      </c>
      <c r="H87" s="1205">
        <v>22359</v>
      </c>
      <c r="I87" s="1205">
        <v>19846</v>
      </c>
      <c r="J87" s="1205">
        <v>20208</v>
      </c>
      <c r="K87" s="1205">
        <v>19855</v>
      </c>
      <c r="L87" s="1205">
        <v>20830.155666282943</v>
      </c>
      <c r="M87" s="1205">
        <v>20625.113802918018</v>
      </c>
      <c r="N87" s="1206">
        <v>20577.683013659003</v>
      </c>
      <c r="O87" s="1206">
        <v>19979.335158333994</v>
      </c>
      <c r="P87" s="1206">
        <v>19680.07435161803</v>
      </c>
      <c r="Q87" s="1206">
        <v>19049.598001704137</v>
      </c>
      <c r="R87" s="1206">
        <v>18293</v>
      </c>
      <c r="S87" s="1206">
        <v>17011.212316893005</v>
      </c>
      <c r="T87" s="1206">
        <v>16450.991253124972</v>
      </c>
      <c r="U87" s="1206">
        <v>15823.695888786993</v>
      </c>
      <c r="V87" s="1206">
        <v>15922.425548847017</v>
      </c>
      <c r="W87" s="1206">
        <v>14684.871011025001</v>
      </c>
      <c r="X87" s="1206">
        <v>14867.042365331066</v>
      </c>
      <c r="Y87" s="1206">
        <v>14017.881118295978</v>
      </c>
      <c r="Z87" s="1206">
        <v>13377.363453294993</v>
      </c>
      <c r="AA87" s="1206">
        <v>12710.870055566998</v>
      </c>
      <c r="AB87" s="1206">
        <v>13466.498654933986</v>
      </c>
      <c r="AC87" s="1206">
        <v>12125.214719066998</v>
      </c>
      <c r="AD87" s="1206">
        <v>9396.0647726939915</v>
      </c>
      <c r="AE87" s="1206">
        <v>7655.1305078320092</v>
      </c>
      <c r="AF87" s="829">
        <v>9586.7881703230541</v>
      </c>
      <c r="AG87" s="1206">
        <v>9874.4238554099884</v>
      </c>
      <c r="AH87" s="829">
        <v>10758.819605810984</v>
      </c>
      <c r="AI87" s="1206">
        <v>10425.287211888002</v>
      </c>
      <c r="AJ87" s="829">
        <v>11467.858319531979</v>
      </c>
      <c r="AK87" s="1206">
        <v>11682.407286269005</v>
      </c>
      <c r="AL87" s="829">
        <v>9929.3476270920055</v>
      </c>
      <c r="AM87" s="1206">
        <v>9394.3285993299032</v>
      </c>
      <c r="AN87" s="829">
        <v>9423.9507818149905</v>
      </c>
      <c r="AO87" s="1206">
        <v>8287.2352387639785</v>
      </c>
      <c r="AP87" s="829">
        <v>8440.1476352050158</v>
      </c>
      <c r="AQ87" s="1206">
        <v>7732.7619159999977</v>
      </c>
      <c r="AR87" s="826"/>
      <c r="AS87" s="826"/>
      <c r="AT87" s="826"/>
      <c r="AU87" s="826"/>
      <c r="AV87" s="826"/>
      <c r="AW87" s="826"/>
      <c r="AX87" s="826"/>
      <c r="AY87" s="826"/>
      <c r="AZ87" s="826"/>
      <c r="BA87" s="826"/>
      <c r="BB87" s="826"/>
      <c r="BC87" s="826"/>
      <c r="BD87" s="826"/>
      <c r="BE87" s="1047"/>
    </row>
    <row r="88" spans="2:57" s="827" customFormat="1">
      <c r="B88" s="987" t="s">
        <v>358</v>
      </c>
      <c r="C88" s="17"/>
      <c r="D88" s="1207">
        <v>0.42942226431589686</v>
      </c>
      <c r="E88" s="1207">
        <v>0.4193084381012871</v>
      </c>
      <c r="F88" s="1207">
        <v>0.41590219863532979</v>
      </c>
      <c r="G88" s="1207">
        <v>0.42583694212097845</v>
      </c>
      <c r="H88" s="1207">
        <v>0.42063775750164611</v>
      </c>
      <c r="I88" s="1207">
        <v>0.35151171646681661</v>
      </c>
      <c r="J88" s="1207">
        <v>0.35731588718946161</v>
      </c>
      <c r="K88" s="1207">
        <v>0.36254907331324754</v>
      </c>
      <c r="L88" s="1207">
        <v>0.38139221355180697</v>
      </c>
      <c r="M88" s="1207">
        <v>0.39703376109904198</v>
      </c>
      <c r="N88" s="1208">
        <v>0.40269351648669321</v>
      </c>
      <c r="O88" s="1208">
        <v>0.39527664271923357</v>
      </c>
      <c r="P88" s="1208">
        <v>0.41129085391226028</v>
      </c>
      <c r="Q88" s="1208">
        <v>0.39870183141638926</v>
      </c>
      <c r="R88" s="1208">
        <v>0.39200000000000002</v>
      </c>
      <c r="S88" s="1208">
        <v>0.38966280901213168</v>
      </c>
      <c r="T88" s="1208">
        <v>0.39358020705978347</v>
      </c>
      <c r="U88" s="1208">
        <v>0.38539366562825011</v>
      </c>
      <c r="V88" s="1208">
        <v>0.39852826185465268</v>
      </c>
      <c r="W88" s="1208">
        <v>0.38753295702698026</v>
      </c>
      <c r="X88" s="1208">
        <v>0.40158446166874001</v>
      </c>
      <c r="Y88" s="1208">
        <v>0.38708115407938326</v>
      </c>
      <c r="Z88" s="1208">
        <v>0.37345467281485345</v>
      </c>
      <c r="AA88" s="1208">
        <v>0.36296658415873262</v>
      </c>
      <c r="AB88" s="1208">
        <v>0.39886010794125637</v>
      </c>
      <c r="AC88" s="1208">
        <v>0.36547772266363882</v>
      </c>
      <c r="AD88" s="1208">
        <v>0.28206494346859778</v>
      </c>
      <c r="AE88" s="1208">
        <v>0.2386231566948365</v>
      </c>
      <c r="AF88" s="830">
        <v>0.31913515897158351</v>
      </c>
      <c r="AG88" s="1208">
        <v>0.31734174068839782</v>
      </c>
      <c r="AH88" s="830">
        <v>0.32155873709463872</v>
      </c>
      <c r="AI88" s="1208">
        <v>0.34839929234507677</v>
      </c>
      <c r="AJ88" s="830">
        <v>0.40548117933249644</v>
      </c>
      <c r="AK88" s="1208">
        <v>0.40147540960304423</v>
      </c>
      <c r="AL88" s="830">
        <v>0.35069809532717239</v>
      </c>
      <c r="AM88" s="1208">
        <v>0.33705381435424703</v>
      </c>
      <c r="AN88" s="830">
        <v>0.36569963411005663</v>
      </c>
      <c r="AO88" s="1208">
        <v>0.30636708730249751</v>
      </c>
      <c r="AP88" s="830">
        <v>0.28307023580018886</v>
      </c>
      <c r="AQ88" s="1208">
        <v>0.28860871755344003</v>
      </c>
      <c r="AR88" s="826"/>
      <c r="AS88" s="826"/>
      <c r="AT88" s="826"/>
      <c r="AU88" s="826"/>
      <c r="AV88" s="826"/>
      <c r="AW88" s="826"/>
      <c r="AX88" s="826"/>
      <c r="AY88" s="826"/>
      <c r="AZ88" s="826"/>
      <c r="BA88" s="826"/>
      <c r="BB88" s="826"/>
      <c r="BC88" s="826"/>
      <c r="BD88" s="826"/>
      <c r="BE88" s="1047"/>
    </row>
    <row r="89" spans="2:57" s="827" customFormat="1">
      <c r="B89" s="988" t="s">
        <v>212</v>
      </c>
      <c r="C89" s="17"/>
      <c r="D89" s="1209">
        <v>14137.360814963307</v>
      </c>
      <c r="E89" s="1209">
        <v>7596.0073700902585</v>
      </c>
      <c r="F89" s="1209">
        <v>7660.99172741653</v>
      </c>
      <c r="G89" s="1209">
        <v>7312.0596189979888</v>
      </c>
      <c r="H89" s="1209">
        <v>24852.737935650151</v>
      </c>
      <c r="I89" s="1209">
        <v>9082.5282118664036</v>
      </c>
      <c r="J89" s="1209">
        <v>9006.1766218993525</v>
      </c>
      <c r="K89" s="1209">
        <v>8180.6547712228621</v>
      </c>
      <c r="L89" s="1209">
        <v>13582.50675692424</v>
      </c>
      <c r="M89" s="1209">
        <v>8549.9817881474719</v>
      </c>
      <c r="N89" s="1210">
        <v>9602.8225627805477</v>
      </c>
      <c r="O89" s="1210">
        <v>6139.765162952016</v>
      </c>
      <c r="P89" s="1210">
        <v>15598.857207101355</v>
      </c>
      <c r="Q89" s="1210">
        <v>7660.3561969238835</v>
      </c>
      <c r="R89" s="1210">
        <v>8792</v>
      </c>
      <c r="S89" s="1210">
        <v>6860.9199916155339</v>
      </c>
      <c r="T89" s="1210">
        <v>8478.3709194961175</v>
      </c>
      <c r="U89" s="1210">
        <v>8367.6731538505937</v>
      </c>
      <c r="V89" s="1210">
        <v>5621.9133300210997</v>
      </c>
      <c r="W89" s="1210">
        <v>6567.1948093342417</v>
      </c>
      <c r="X89" s="1210">
        <v>7006.1731065480972</v>
      </c>
      <c r="Y89" s="1210">
        <v>5223.2091083894711</v>
      </c>
      <c r="Z89" s="1210">
        <v>5537.8631441685548</v>
      </c>
      <c r="AA89" s="1210">
        <v>4187.8794226710888</v>
      </c>
      <c r="AB89" s="1210">
        <v>18813.989587486863</v>
      </c>
      <c r="AC89" s="1210">
        <v>7627.5943302105006</v>
      </c>
      <c r="AD89" s="1210">
        <v>2619.7456446861993</v>
      </c>
      <c r="AE89" s="1210">
        <v>1155.2415951474004</v>
      </c>
      <c r="AF89" s="815">
        <v>1385.3257196997927</v>
      </c>
      <c r="AG89" s="1210">
        <v>8603.1338913988038</v>
      </c>
      <c r="AH89" s="815">
        <v>3084.8640791663993</v>
      </c>
      <c r="AI89" s="1210">
        <v>1395.5732355370001</v>
      </c>
      <c r="AJ89" s="815">
        <v>4220.6862199183324</v>
      </c>
      <c r="AK89" s="1210">
        <v>822.59960378600158</v>
      </c>
      <c r="AL89" s="815">
        <v>1532.3703114919988</v>
      </c>
      <c r="AM89" s="1210">
        <v>2248.2587354636667</v>
      </c>
      <c r="AN89" s="815">
        <v>6544.5279442529936</v>
      </c>
      <c r="AO89" s="1210">
        <v>5383.9383019979759</v>
      </c>
      <c r="AP89" s="815">
        <v>6113.7891934330164</v>
      </c>
      <c r="AQ89" s="1210">
        <v>4695.1862619999974</v>
      </c>
      <c r="AR89" s="826"/>
      <c r="AS89" s="826"/>
      <c r="AT89" s="826"/>
      <c r="AU89" s="826"/>
      <c r="AV89" s="826"/>
      <c r="AW89" s="826"/>
      <c r="AX89" s="826"/>
      <c r="AY89" s="826"/>
      <c r="AZ89" s="826"/>
      <c r="BA89" s="826"/>
      <c r="BB89" s="826"/>
      <c r="BC89" s="826"/>
      <c r="BD89" s="826"/>
      <c r="BE89" s="1047"/>
    </row>
    <row r="90" spans="2:57"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0"/>
      <c r="AW90" s="110"/>
      <c r="AX90" s="110"/>
      <c r="AY90" s="110"/>
      <c r="AZ90" s="110"/>
      <c r="BA90" s="110"/>
      <c r="BB90" s="110"/>
      <c r="BC90" s="110"/>
      <c r="BD90" s="110"/>
    </row>
    <row r="91" spans="2:57">
      <c r="B91" s="1028" t="s">
        <v>370</v>
      </c>
      <c r="C91" s="1179" t="s">
        <v>319</v>
      </c>
      <c r="D91" s="922"/>
      <c r="E91" s="922"/>
      <c r="F91" s="922"/>
      <c r="G91" s="922"/>
      <c r="H91" s="922"/>
      <c r="I91" s="922"/>
      <c r="J91" s="922"/>
      <c r="K91" s="922"/>
      <c r="L91" s="922"/>
      <c r="M91" s="922"/>
      <c r="N91" s="824"/>
      <c r="O91" s="824"/>
      <c r="P91" s="824"/>
      <c r="Q91" s="824"/>
      <c r="R91" s="824"/>
      <c r="S91" s="824"/>
      <c r="T91" s="824"/>
      <c r="U91" s="824"/>
      <c r="V91" s="824"/>
      <c r="W91" s="824"/>
      <c r="X91" s="824"/>
      <c r="Y91" s="824"/>
      <c r="Z91" s="824"/>
      <c r="AA91" s="824"/>
      <c r="AB91" s="824"/>
      <c r="AC91" s="824"/>
      <c r="AD91" s="824"/>
      <c r="AE91" s="824"/>
      <c r="AF91" s="824"/>
      <c r="AG91" s="824"/>
      <c r="AH91" s="831">
        <v>1783.133813118068</v>
      </c>
      <c r="AI91" s="1220">
        <v>1766.4873653266454</v>
      </c>
      <c r="AJ91" s="831">
        <v>1760.2451093709963</v>
      </c>
      <c r="AK91" s="1220">
        <v>1749.0570291722502</v>
      </c>
      <c r="AL91" s="831">
        <v>1743.3450765503696</v>
      </c>
      <c r="AM91" s="1220">
        <v>1742.5889999999999</v>
      </c>
      <c r="AN91" s="831">
        <v>1736.4171696487297</v>
      </c>
      <c r="AO91" s="1220">
        <v>1727.7522085661078</v>
      </c>
      <c r="AP91" s="831">
        <v>1713.8790000000001</v>
      </c>
      <c r="AQ91" s="1220">
        <v>1711.8826557268901</v>
      </c>
      <c r="AR91" s="111"/>
      <c r="AS91" s="111"/>
      <c r="AT91" s="111"/>
      <c r="AU91" s="111"/>
      <c r="AV91" s="110"/>
      <c r="AW91" s="110"/>
      <c r="AX91" s="110"/>
      <c r="AY91" s="110"/>
      <c r="AZ91" s="110"/>
      <c r="BA91" s="110"/>
      <c r="BB91" s="110"/>
      <c r="BC91" s="110"/>
      <c r="BD91" s="110"/>
    </row>
    <row r="92" spans="2:57"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0"/>
      <c r="AW92" s="110"/>
      <c r="AX92" s="110"/>
      <c r="AY92" s="110"/>
      <c r="AZ92" s="110"/>
      <c r="BA92" s="110"/>
      <c r="BB92" s="110"/>
      <c r="BC92" s="110"/>
      <c r="BD92" s="110"/>
    </row>
    <row r="93" spans="2:57" s="15" customFormat="1" hidden="1" outlineLevel="1">
      <c r="B93" s="1027" t="s">
        <v>371</v>
      </c>
      <c r="C93" s="1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806"/>
      <c r="AJ93" s="806"/>
      <c r="AK93" s="806"/>
      <c r="AL93" s="806"/>
      <c r="AM93" s="806"/>
      <c r="AN93" s="806"/>
      <c r="AO93" s="806"/>
      <c r="AP93" s="806"/>
      <c r="AQ93" s="806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048"/>
    </row>
    <row r="94" spans="2:57" s="110" customFormat="1" hidden="1" outlineLevel="1">
      <c r="B94" s="17"/>
      <c r="C94" s="923"/>
      <c r="D94" s="923"/>
      <c r="E94" s="923"/>
      <c r="F94" s="923"/>
      <c r="G94" s="923"/>
      <c r="H94" s="923"/>
      <c r="I94" s="923"/>
      <c r="J94" s="923"/>
      <c r="K94" s="923"/>
      <c r="L94" s="923"/>
      <c r="M94" s="923"/>
      <c r="N94" s="810"/>
      <c r="O94" s="810"/>
      <c r="P94" s="810"/>
      <c r="Q94" s="810"/>
      <c r="R94" s="810"/>
      <c r="S94" s="810"/>
      <c r="T94" s="810"/>
      <c r="U94" s="810"/>
      <c r="V94" s="810"/>
      <c r="W94" s="810"/>
      <c r="X94" s="810"/>
      <c r="Y94" s="810"/>
      <c r="Z94" s="810"/>
      <c r="AA94" s="810"/>
      <c r="AB94" s="810"/>
      <c r="AC94" s="810"/>
      <c r="AD94" s="810"/>
      <c r="AE94" s="810"/>
      <c r="AF94" s="810"/>
      <c r="AG94" s="810"/>
      <c r="AH94" s="810"/>
      <c r="AI94" s="810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</row>
    <row r="95" spans="2:57" s="110" customFormat="1" hidden="1" outlineLevel="1">
      <c r="B95" s="990" t="s">
        <v>320</v>
      </c>
      <c r="C95" s="923" t="s">
        <v>372</v>
      </c>
      <c r="D95" s="924"/>
      <c r="E95" s="924"/>
      <c r="F95" s="924"/>
      <c r="G95" s="924"/>
      <c r="H95" s="924"/>
      <c r="I95" s="924"/>
      <c r="J95" s="924"/>
      <c r="K95" s="924"/>
      <c r="L95" s="924"/>
      <c r="M95" s="924"/>
      <c r="N95" s="832"/>
      <c r="O95" s="832"/>
      <c r="P95" s="832"/>
      <c r="Q95" s="832"/>
      <c r="R95" s="832"/>
      <c r="S95" s="832"/>
      <c r="T95" s="832"/>
      <c r="U95" s="832"/>
      <c r="V95" s="832"/>
      <c r="W95" s="832"/>
      <c r="X95" s="832"/>
      <c r="Y95" s="832"/>
      <c r="Z95" s="832"/>
      <c r="AA95" s="832"/>
      <c r="AB95" s="832"/>
      <c r="AC95" s="832"/>
      <c r="AD95" s="832"/>
      <c r="AE95" s="832"/>
      <c r="AF95" s="811">
        <v>731186.53981978004</v>
      </c>
      <c r="AG95" s="1221">
        <v>702880.67413693003</v>
      </c>
      <c r="AH95" s="811">
        <v>693060.86222954001</v>
      </c>
      <c r="AI95" s="1221">
        <v>684191.41463047336</v>
      </c>
      <c r="AJ95" s="811">
        <v>592657.14136772999</v>
      </c>
      <c r="AK95" s="1221">
        <v>494545.90622746001</v>
      </c>
      <c r="AL95" s="811">
        <v>437142.17839873</v>
      </c>
      <c r="AM95" s="1221">
        <v>421911.62540765997</v>
      </c>
      <c r="AN95" s="811">
        <v>381236.12602492003</v>
      </c>
      <c r="AO95" s="1221">
        <v>330216.61634343001</v>
      </c>
      <c r="AP95" s="811">
        <v>313403.13607383001</v>
      </c>
      <c r="AQ95" s="1221">
        <v>314831.30049977999</v>
      </c>
      <c r="AR95" s="111"/>
      <c r="AS95" s="111"/>
      <c r="AT95" s="111"/>
      <c r="AU95" s="111"/>
    </row>
    <row r="96" spans="2:57" s="110" customFormat="1" hidden="1" outlineLevel="1">
      <c r="B96" s="991" t="s">
        <v>357</v>
      </c>
      <c r="C96" s="923" t="s">
        <v>372</v>
      </c>
      <c r="D96" s="925"/>
      <c r="E96" s="925"/>
      <c r="F96" s="925"/>
      <c r="G96" s="925"/>
      <c r="H96" s="925"/>
      <c r="I96" s="925"/>
      <c r="J96" s="925"/>
      <c r="K96" s="925"/>
      <c r="L96" s="925"/>
      <c r="M96" s="925"/>
      <c r="N96" s="833"/>
      <c r="O96" s="833"/>
      <c r="P96" s="833"/>
      <c r="Q96" s="833"/>
      <c r="R96" s="833"/>
      <c r="S96" s="833"/>
      <c r="T96" s="833"/>
      <c r="U96" s="833"/>
      <c r="V96" s="833"/>
      <c r="W96" s="833"/>
      <c r="X96" s="833"/>
      <c r="Y96" s="833"/>
      <c r="Z96" s="833"/>
      <c r="AA96" s="833"/>
      <c r="AB96" s="833"/>
      <c r="AC96" s="833"/>
      <c r="AD96" s="833"/>
      <c r="AE96" s="833"/>
      <c r="AF96" s="812">
        <v>3752.1173835546028</v>
      </c>
      <c r="AG96" s="1222">
        <v>3698.4665249680247</v>
      </c>
      <c r="AH96" s="812">
        <v>3450.7432965312591</v>
      </c>
      <c r="AI96" s="1222">
        <v>2841.4425816817011</v>
      </c>
      <c r="AJ96" s="812">
        <v>2830.627703710029</v>
      </c>
      <c r="AK96" s="1222">
        <v>3071.4390391257575</v>
      </c>
      <c r="AL96" s="812">
        <v>3500.2403625615334</v>
      </c>
      <c r="AM96" s="1222">
        <v>3473.9555443034387</v>
      </c>
      <c r="AN96" s="812">
        <v>2411.3184320932974</v>
      </c>
      <c r="AO96" s="1222">
        <v>2425.7665658791875</v>
      </c>
      <c r="AP96" s="812">
        <v>3127.8446527483043</v>
      </c>
      <c r="AQ96" s="1222">
        <v>2823.437997194198</v>
      </c>
      <c r="AR96" s="111"/>
      <c r="AS96" s="111"/>
      <c r="AT96" s="111"/>
      <c r="AU96" s="111"/>
    </row>
    <row r="97" spans="2:57" s="110" customFormat="1" hidden="1" outlineLevel="1">
      <c r="B97" s="991" t="s">
        <v>369</v>
      </c>
      <c r="C97" s="923" t="s">
        <v>372</v>
      </c>
      <c r="D97" s="925"/>
      <c r="E97" s="925"/>
      <c r="F97" s="925"/>
      <c r="G97" s="925"/>
      <c r="H97" s="925"/>
      <c r="I97" s="925"/>
      <c r="J97" s="925"/>
      <c r="K97" s="925"/>
      <c r="L97" s="925"/>
      <c r="M97" s="925"/>
      <c r="N97" s="833"/>
      <c r="O97" s="833"/>
      <c r="P97" s="833"/>
      <c r="Q97" s="833"/>
      <c r="R97" s="833"/>
      <c r="S97" s="833"/>
      <c r="T97" s="833"/>
      <c r="U97" s="833"/>
      <c r="V97" s="833"/>
      <c r="W97" s="833"/>
      <c r="X97" s="833"/>
      <c r="Y97" s="833"/>
      <c r="Z97" s="833"/>
      <c r="AA97" s="833"/>
      <c r="AB97" s="833"/>
      <c r="AC97" s="833"/>
      <c r="AD97" s="833"/>
      <c r="AE97" s="833"/>
      <c r="AF97" s="812">
        <v>3014.6172058999987</v>
      </c>
      <c r="AG97" s="1222">
        <v>2744.1425564333335</v>
      </c>
      <c r="AH97" s="812">
        <v>2864.8010946504933</v>
      </c>
      <c r="AI97" s="1222">
        <v>3065.1801923502094</v>
      </c>
      <c r="AJ97" s="812">
        <v>2714.1745949025831</v>
      </c>
      <c r="AK97" s="1222">
        <v>2868.8089863620125</v>
      </c>
      <c r="AL97" s="812">
        <v>3151.4596849026002</v>
      </c>
      <c r="AM97" s="1222">
        <v>3172.5776575557948</v>
      </c>
      <c r="AN97" s="812">
        <v>2897.0617290048049</v>
      </c>
      <c r="AO97" s="1222">
        <v>2841.723139436258</v>
      </c>
      <c r="AP97" s="812">
        <v>3002.3359668734756</v>
      </c>
      <c r="AQ97" s="1222">
        <v>3189.9154188864359</v>
      </c>
      <c r="AR97" s="111"/>
      <c r="AS97" s="111"/>
      <c r="AT97" s="111"/>
      <c r="AU97" s="111"/>
    </row>
    <row r="98" spans="2:57" s="110" customFormat="1" hidden="1" outlineLevel="1">
      <c r="B98" s="990" t="s">
        <v>373</v>
      </c>
      <c r="C98" s="923" t="s">
        <v>372</v>
      </c>
      <c r="D98" s="925"/>
      <c r="E98" s="925"/>
      <c r="F98" s="925"/>
      <c r="G98" s="925"/>
      <c r="H98" s="925"/>
      <c r="I98" s="925"/>
      <c r="J98" s="925"/>
      <c r="K98" s="925"/>
      <c r="L98" s="925"/>
      <c r="M98" s="925"/>
      <c r="N98" s="833"/>
      <c r="O98" s="833"/>
      <c r="P98" s="833"/>
      <c r="Q98" s="833"/>
      <c r="R98" s="833"/>
      <c r="S98" s="833"/>
      <c r="T98" s="833"/>
      <c r="U98" s="833"/>
      <c r="V98" s="833"/>
      <c r="W98" s="833"/>
      <c r="X98" s="833"/>
      <c r="Y98" s="833"/>
      <c r="Z98" s="833"/>
      <c r="AA98" s="833"/>
      <c r="AB98" s="833"/>
      <c r="AC98" s="833"/>
      <c r="AD98" s="833"/>
      <c r="AE98" s="833"/>
      <c r="AF98" s="812">
        <v>99284.706217694533</v>
      </c>
      <c r="AG98" s="1222">
        <v>97932.897520960978</v>
      </c>
      <c r="AH98" s="812">
        <v>93190.824358359037</v>
      </c>
      <c r="AI98" s="1222">
        <v>66244.126031354128</v>
      </c>
      <c r="AJ98" s="812">
        <v>66138.907224257666</v>
      </c>
      <c r="AK98" s="1222">
        <v>59515.990707651494</v>
      </c>
      <c r="AL98" s="812">
        <v>56709.050388530857</v>
      </c>
      <c r="AM98" s="1222">
        <v>51125.270739044339</v>
      </c>
      <c r="AN98" s="812">
        <v>43235.039815972123</v>
      </c>
      <c r="AO98" s="1222">
        <v>34754.757150193647</v>
      </c>
      <c r="AP98" s="812">
        <v>34226.454210295582</v>
      </c>
      <c r="AQ98" s="1222">
        <v>33551.642510346705</v>
      </c>
      <c r="AR98" s="111"/>
      <c r="AS98" s="111"/>
      <c r="AT98" s="111"/>
      <c r="AU98" s="111"/>
    </row>
    <row r="99" spans="2:57" s="110" customFormat="1" hidden="1" outlineLevel="1">
      <c r="B99" s="990" t="s">
        <v>374</v>
      </c>
      <c r="C99" s="923" t="s">
        <v>372</v>
      </c>
      <c r="D99" s="925"/>
      <c r="E99" s="925"/>
      <c r="F99" s="925"/>
      <c r="G99" s="925"/>
      <c r="H99" s="925"/>
      <c r="I99" s="925"/>
      <c r="J99" s="925"/>
      <c r="K99" s="925"/>
      <c r="L99" s="925"/>
      <c r="M99" s="925"/>
      <c r="N99" s="833"/>
      <c r="O99" s="833"/>
      <c r="P99" s="833"/>
      <c r="Q99" s="833"/>
      <c r="R99" s="833"/>
      <c r="S99" s="833"/>
      <c r="T99" s="833"/>
      <c r="U99" s="833"/>
      <c r="V99" s="833"/>
      <c r="W99" s="833"/>
      <c r="X99" s="833"/>
      <c r="Y99" s="833"/>
      <c r="Z99" s="833"/>
      <c r="AA99" s="833"/>
      <c r="AB99" s="833"/>
      <c r="AC99" s="833"/>
      <c r="AD99" s="833"/>
      <c r="AE99" s="833"/>
      <c r="AF99" s="812">
        <v>3543.8735675899998</v>
      </c>
      <c r="AG99" s="1222">
        <v>4422.8142076466656</v>
      </c>
      <c r="AH99" s="812">
        <v>5213.0249316233376</v>
      </c>
      <c r="AI99" s="1222">
        <v>5109.0593079360169</v>
      </c>
      <c r="AJ99" s="812">
        <v>5085.4532221939089</v>
      </c>
      <c r="AK99" s="1222">
        <v>5475.7673197872291</v>
      </c>
      <c r="AL99" s="812">
        <v>5102.6292696083337</v>
      </c>
      <c r="AM99" s="1222">
        <v>5168.1792964305268</v>
      </c>
      <c r="AN99" s="812">
        <v>4444.7479819590289</v>
      </c>
      <c r="AO99" s="1222">
        <v>4909.7708961796034</v>
      </c>
      <c r="AP99" s="812">
        <v>5192.6622921373873</v>
      </c>
      <c r="AQ99" s="1222">
        <v>5695.2678928972036</v>
      </c>
      <c r="AR99" s="111"/>
      <c r="AS99" s="111"/>
      <c r="AT99" s="111"/>
      <c r="AU99" s="111"/>
    </row>
    <row r="100" spans="2:57" s="110" customFormat="1" hidden="1" outlineLevel="1">
      <c r="B100" s="992" t="s">
        <v>375</v>
      </c>
      <c r="C100" s="974" t="s">
        <v>372</v>
      </c>
      <c r="D100" s="926"/>
      <c r="E100" s="926"/>
      <c r="F100" s="926"/>
      <c r="G100" s="926"/>
      <c r="H100" s="926"/>
      <c r="I100" s="926"/>
      <c r="J100" s="926"/>
      <c r="K100" s="926"/>
      <c r="L100" s="926"/>
      <c r="M100" s="926"/>
      <c r="N100" s="834"/>
      <c r="O100" s="834"/>
      <c r="P100" s="834"/>
      <c r="Q100" s="834"/>
      <c r="R100" s="834"/>
      <c r="S100" s="834"/>
      <c r="T100" s="834"/>
      <c r="U100" s="834"/>
      <c r="V100" s="834"/>
      <c r="W100" s="834"/>
      <c r="X100" s="834"/>
      <c r="Y100" s="834"/>
      <c r="Z100" s="834"/>
      <c r="AA100" s="834"/>
      <c r="AB100" s="834"/>
      <c r="AC100" s="834"/>
      <c r="AD100" s="834"/>
      <c r="AE100" s="834"/>
      <c r="AF100" s="813">
        <v>840781.85419451923</v>
      </c>
      <c r="AG100" s="1223">
        <v>811678.99494693906</v>
      </c>
      <c r="AH100" s="813">
        <v>797780.25591070415</v>
      </c>
      <c r="AI100" s="1223">
        <v>761451.22274379537</v>
      </c>
      <c r="AJ100" s="813">
        <v>669426.30411279411</v>
      </c>
      <c r="AK100" s="1223">
        <v>565477.91228038643</v>
      </c>
      <c r="AL100" s="813">
        <v>505605.55810433341</v>
      </c>
      <c r="AM100" s="1223">
        <v>484851.60864499415</v>
      </c>
      <c r="AN100" s="813">
        <v>434224.29398394923</v>
      </c>
      <c r="AO100" s="1223">
        <v>375148.63409511873</v>
      </c>
      <c r="AP100" s="813">
        <v>358952.43319588475</v>
      </c>
      <c r="AQ100" s="1223">
        <v>360091.56431910454</v>
      </c>
      <c r="AR100" s="111"/>
      <c r="AS100" s="111"/>
      <c r="AT100" s="111"/>
      <c r="AU100" s="111"/>
    </row>
    <row r="101" spans="2:57" s="110" customFormat="1" hidden="1" outlineLevel="1">
      <c r="B101" s="990" t="s">
        <v>376</v>
      </c>
      <c r="C101" s="923" t="s">
        <v>372</v>
      </c>
      <c r="D101" s="925"/>
      <c r="E101" s="925"/>
      <c r="F101" s="925"/>
      <c r="G101" s="925"/>
      <c r="H101" s="925"/>
      <c r="I101" s="925"/>
      <c r="J101" s="925"/>
      <c r="K101" s="925"/>
      <c r="L101" s="925"/>
      <c r="M101" s="925"/>
      <c r="N101" s="833"/>
      <c r="O101" s="833"/>
      <c r="P101" s="833"/>
      <c r="Q101" s="833"/>
      <c r="R101" s="833"/>
      <c r="S101" s="833"/>
      <c r="T101" s="833"/>
      <c r="U101" s="833"/>
      <c r="V101" s="833"/>
      <c r="W101" s="833"/>
      <c r="X101" s="833"/>
      <c r="Y101" s="833"/>
      <c r="Z101" s="833"/>
      <c r="AA101" s="833"/>
      <c r="AB101" s="833"/>
      <c r="AC101" s="833"/>
      <c r="AD101" s="833"/>
      <c r="AE101" s="833"/>
      <c r="AF101" s="812">
        <v>-99373.164702494527</v>
      </c>
      <c r="AG101" s="1222">
        <v>-98024.219958380971</v>
      </c>
      <c r="AH101" s="812">
        <v>-93298.421422416446</v>
      </c>
      <c r="AI101" s="1222">
        <v>-65937.125590580516</v>
      </c>
      <c r="AJ101" s="812">
        <v>-58122.685918633622</v>
      </c>
      <c r="AK101" s="1222">
        <v>-55562.320634942815</v>
      </c>
      <c r="AL101" s="812">
        <v>-56880.560602710844</v>
      </c>
      <c r="AM101" s="1222">
        <v>-51262.466810577673</v>
      </c>
      <c r="AN101" s="812">
        <v>-43271.386055625451</v>
      </c>
      <c r="AO101" s="1222">
        <v>-34802.827467836985</v>
      </c>
      <c r="AP101" s="812">
        <v>-34258.08983651892</v>
      </c>
      <c r="AQ101" s="1222">
        <v>-33573.410125220034</v>
      </c>
      <c r="AR101" s="111"/>
      <c r="AS101" s="111"/>
      <c r="AT101" s="111"/>
      <c r="AU101" s="111"/>
    </row>
    <row r="102" spans="2:57" s="110" customFormat="1" hidden="1" outlineLevel="1">
      <c r="B102" s="993" t="s">
        <v>377</v>
      </c>
      <c r="C102" s="1180" t="s">
        <v>372</v>
      </c>
      <c r="D102" s="927"/>
      <c r="E102" s="927"/>
      <c r="F102" s="927"/>
      <c r="G102" s="927"/>
      <c r="H102" s="927"/>
      <c r="I102" s="927"/>
      <c r="J102" s="927"/>
      <c r="K102" s="927"/>
      <c r="L102" s="927"/>
      <c r="M102" s="927"/>
      <c r="N102" s="835"/>
      <c r="O102" s="835"/>
      <c r="P102" s="835"/>
      <c r="Q102" s="835"/>
      <c r="R102" s="835"/>
      <c r="S102" s="835"/>
      <c r="T102" s="835"/>
      <c r="U102" s="835"/>
      <c r="V102" s="835"/>
      <c r="W102" s="835"/>
      <c r="X102" s="835"/>
      <c r="Y102" s="835"/>
      <c r="Z102" s="835"/>
      <c r="AA102" s="835"/>
      <c r="AB102" s="835"/>
      <c r="AC102" s="835"/>
      <c r="AD102" s="835"/>
      <c r="AE102" s="835"/>
      <c r="AF102" s="814">
        <v>741408.68949202471</v>
      </c>
      <c r="AG102" s="1224">
        <v>713654.77498855814</v>
      </c>
      <c r="AH102" s="814">
        <v>704481.83448828768</v>
      </c>
      <c r="AI102" s="1224">
        <v>695514.09715321485</v>
      </c>
      <c r="AJ102" s="814">
        <v>611303.61819416052</v>
      </c>
      <c r="AK102" s="1224">
        <v>509915.59164544364</v>
      </c>
      <c r="AL102" s="814">
        <v>448724.99750162254</v>
      </c>
      <c r="AM102" s="1224">
        <v>433589.14183441648</v>
      </c>
      <c r="AN102" s="814">
        <v>390952.90792832378</v>
      </c>
      <c r="AO102" s="1224">
        <v>340345.80662728177</v>
      </c>
      <c r="AP102" s="814">
        <v>324694.34335936583</v>
      </c>
      <c r="AQ102" s="1224">
        <v>326518.15419388452</v>
      </c>
      <c r="AR102" s="111"/>
      <c r="AS102" s="111"/>
      <c r="AT102" s="111"/>
      <c r="AU102" s="111"/>
    </row>
    <row r="103" spans="2:57" hidden="1" outlineLevel="1">
      <c r="B103" s="29"/>
      <c r="C103" s="974"/>
      <c r="D103" s="974"/>
      <c r="E103" s="974"/>
      <c r="F103" s="974"/>
      <c r="G103" s="974"/>
      <c r="H103" s="974"/>
      <c r="I103" s="974"/>
      <c r="J103" s="974"/>
      <c r="K103" s="974"/>
      <c r="L103" s="974"/>
      <c r="M103" s="974"/>
      <c r="N103" s="801"/>
      <c r="O103" s="801"/>
      <c r="P103" s="801"/>
      <c r="Q103" s="801"/>
      <c r="R103" s="801"/>
      <c r="S103" s="801"/>
      <c r="T103" s="801"/>
      <c r="U103" s="801"/>
      <c r="V103" s="801"/>
      <c r="W103" s="801"/>
      <c r="X103" s="801"/>
      <c r="Y103" s="801"/>
      <c r="Z103" s="801"/>
      <c r="AA103" s="801"/>
      <c r="AB103" s="801"/>
      <c r="AC103" s="801"/>
      <c r="AD103" s="801"/>
      <c r="AE103" s="801"/>
      <c r="AF103" s="801"/>
      <c r="AG103" s="801"/>
      <c r="AH103" s="801"/>
      <c r="AI103" s="80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0"/>
      <c r="AW103" s="110"/>
      <c r="AX103" s="110"/>
      <c r="AY103" s="110"/>
      <c r="AZ103" s="110"/>
      <c r="BA103" s="110"/>
      <c r="BB103" s="110"/>
      <c r="BC103" s="110"/>
      <c r="BD103" s="110"/>
    </row>
    <row r="104" spans="2:57" collapsed="1">
      <c r="B104" s="29"/>
      <c r="C104" s="974"/>
      <c r="D104" s="974"/>
      <c r="E104" s="974"/>
      <c r="F104" s="974"/>
      <c r="G104" s="974"/>
      <c r="H104" s="974"/>
      <c r="I104" s="974"/>
      <c r="J104" s="974"/>
      <c r="K104" s="974"/>
      <c r="L104" s="974"/>
      <c r="M104" s="974"/>
      <c r="N104" s="801"/>
      <c r="O104" s="801"/>
      <c r="P104" s="801"/>
      <c r="Q104" s="801"/>
      <c r="R104" s="801"/>
      <c r="S104" s="801"/>
      <c r="T104" s="801"/>
      <c r="U104" s="801"/>
      <c r="V104" s="801"/>
      <c r="W104" s="801"/>
      <c r="X104" s="801"/>
      <c r="Y104" s="801"/>
      <c r="Z104" s="801"/>
      <c r="AA104" s="801"/>
      <c r="AB104" s="801"/>
      <c r="AC104" s="801"/>
      <c r="AD104" s="801"/>
      <c r="AE104" s="801"/>
      <c r="AF104" s="801"/>
      <c r="AG104" s="801"/>
      <c r="AH104" s="801"/>
      <c r="AI104" s="80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0"/>
      <c r="AW104" s="110"/>
      <c r="AX104" s="110"/>
      <c r="AY104" s="110"/>
      <c r="AZ104" s="110"/>
      <c r="BA104" s="110"/>
      <c r="BB104" s="110"/>
      <c r="BC104" s="110"/>
      <c r="BD104" s="110"/>
    </row>
    <row r="105" spans="2:57" s="15" customFormat="1">
      <c r="B105" s="1027" t="s">
        <v>320</v>
      </c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806"/>
      <c r="AJ105" s="806"/>
      <c r="AK105" s="806"/>
      <c r="AL105" s="806"/>
      <c r="AM105" s="806"/>
      <c r="AN105" s="806"/>
      <c r="AO105" s="806"/>
      <c r="AP105" s="806"/>
      <c r="AQ105" s="806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048"/>
    </row>
    <row r="106" spans="2:57" s="110" customFormat="1">
      <c r="B106" s="994" t="s">
        <v>378</v>
      </c>
      <c r="C106" s="1037" t="s">
        <v>379</v>
      </c>
      <c r="D106" s="1225">
        <v>7918</v>
      </c>
      <c r="E106" s="1225">
        <v>7918</v>
      </c>
      <c r="F106" s="1225">
        <v>7918</v>
      </c>
      <c r="G106" s="1225">
        <v>7918</v>
      </c>
      <c r="H106" s="1225">
        <v>7918</v>
      </c>
      <c r="I106" s="1225">
        <v>7918</v>
      </c>
      <c r="J106" s="1225">
        <v>7918</v>
      </c>
      <c r="K106" s="1225">
        <v>7918</v>
      </c>
      <c r="L106" s="1225">
        <v>7918</v>
      </c>
      <c r="M106" s="1225">
        <v>7916</v>
      </c>
      <c r="N106" s="1226">
        <v>7916</v>
      </c>
      <c r="O106" s="1226">
        <v>7915</v>
      </c>
      <c r="P106" s="1226">
        <v>7915</v>
      </c>
      <c r="Q106" s="1226">
        <v>7915</v>
      </c>
      <c r="R106" s="1226">
        <v>7914</v>
      </c>
      <c r="S106" s="1226">
        <v>7914</v>
      </c>
      <c r="T106" s="1226">
        <v>7913</v>
      </c>
      <c r="U106" s="1226">
        <v>7913</v>
      </c>
      <c r="V106" s="1226">
        <v>7913</v>
      </c>
      <c r="W106" s="1226">
        <v>7913</v>
      </c>
      <c r="X106" s="1226">
        <v>7907</v>
      </c>
      <c r="Y106" s="1226">
        <v>7907</v>
      </c>
      <c r="Z106" s="1226">
        <v>7907</v>
      </c>
      <c r="AA106" s="1226">
        <v>7907</v>
      </c>
      <c r="AB106" s="1226">
        <v>7907</v>
      </c>
      <c r="AC106" s="1226">
        <v>7906</v>
      </c>
      <c r="AD106" s="1226">
        <v>7906</v>
      </c>
      <c r="AE106" s="1226">
        <v>7906</v>
      </c>
      <c r="AF106" s="815">
        <v>7906</v>
      </c>
      <c r="AG106" s="1226">
        <v>7906</v>
      </c>
      <c r="AH106" s="815">
        <v>7904</v>
      </c>
      <c r="AI106" s="1226">
        <v>7902</v>
      </c>
      <c r="AJ106" s="815">
        <v>7899</v>
      </c>
      <c r="AK106" s="1226">
        <v>7897</v>
      </c>
      <c r="AL106" s="815">
        <v>7896</v>
      </c>
      <c r="AM106" s="1226">
        <v>7896</v>
      </c>
      <c r="AN106" s="815">
        <v>7893</v>
      </c>
      <c r="AO106" s="1226">
        <v>7892</v>
      </c>
      <c r="AP106" s="815">
        <v>7889</v>
      </c>
      <c r="AQ106" s="1226">
        <v>7885</v>
      </c>
      <c r="AR106" s="111"/>
      <c r="AS106" s="111"/>
      <c r="AT106" s="111"/>
      <c r="AU106" s="111"/>
    </row>
    <row r="107" spans="2:57" s="110" customFormat="1">
      <c r="B107" s="994" t="s">
        <v>380</v>
      </c>
      <c r="C107" s="1037" t="s">
        <v>379</v>
      </c>
      <c r="D107" s="1225">
        <v>816832</v>
      </c>
      <c r="E107" s="1225">
        <v>816312</v>
      </c>
      <c r="F107" s="1225">
        <v>816254</v>
      </c>
      <c r="G107" s="1225">
        <v>814916</v>
      </c>
      <c r="H107" s="1225">
        <v>814066</v>
      </c>
      <c r="I107" s="1225">
        <v>812655</v>
      </c>
      <c r="J107" s="1225">
        <v>811186</v>
      </c>
      <c r="K107" s="1225">
        <v>810902</v>
      </c>
      <c r="L107" s="1225">
        <v>809051</v>
      </c>
      <c r="M107" s="1225">
        <v>808106</v>
      </c>
      <c r="N107" s="1226">
        <v>806201</v>
      </c>
      <c r="O107" s="1226">
        <v>804582</v>
      </c>
      <c r="P107" s="1226">
        <v>802577</v>
      </c>
      <c r="Q107" s="1226">
        <v>801620</v>
      </c>
      <c r="R107" s="1226">
        <v>799569</v>
      </c>
      <c r="S107" s="1226">
        <v>798104</v>
      </c>
      <c r="T107" s="1226">
        <v>795126</v>
      </c>
      <c r="U107" s="1226">
        <v>794484</v>
      </c>
      <c r="V107" s="1226">
        <v>793591</v>
      </c>
      <c r="W107" s="1226">
        <v>793350</v>
      </c>
      <c r="X107" s="1226">
        <v>792827</v>
      </c>
      <c r="Y107" s="1226">
        <v>791672</v>
      </c>
      <c r="Z107" s="1226">
        <v>790450</v>
      </c>
      <c r="AA107" s="1226">
        <v>789572</v>
      </c>
      <c r="AB107" s="1226">
        <v>788185</v>
      </c>
      <c r="AC107" s="1226">
        <v>786719</v>
      </c>
      <c r="AD107" s="1226">
        <v>786268</v>
      </c>
      <c r="AE107" s="1226">
        <v>786246</v>
      </c>
      <c r="AF107" s="815">
        <v>786192</v>
      </c>
      <c r="AG107" s="1226">
        <v>786134</v>
      </c>
      <c r="AH107" s="815">
        <v>786129</v>
      </c>
      <c r="AI107" s="1226">
        <v>786112</v>
      </c>
      <c r="AJ107" s="815">
        <v>786043</v>
      </c>
      <c r="AK107" s="1226">
        <v>786032</v>
      </c>
      <c r="AL107" s="815">
        <v>786032</v>
      </c>
      <c r="AM107" s="1226">
        <v>785823</v>
      </c>
      <c r="AN107" s="815">
        <v>785494</v>
      </c>
      <c r="AO107" s="1226">
        <v>784769</v>
      </c>
      <c r="AP107" s="815">
        <v>781679</v>
      </c>
      <c r="AQ107" s="1226">
        <v>781484</v>
      </c>
      <c r="AR107" s="111"/>
      <c r="AS107" s="111"/>
      <c r="AT107" s="111"/>
      <c r="AU107" s="111"/>
    </row>
    <row r="108" spans="2:57" s="110" customFormat="1">
      <c r="B108" s="994" t="s">
        <v>381</v>
      </c>
      <c r="C108" s="1037" t="s">
        <v>325</v>
      </c>
      <c r="D108" s="1227">
        <v>0.9650823690731869</v>
      </c>
      <c r="E108" s="1227">
        <v>0.96460969436642996</v>
      </c>
      <c r="F108" s="1227">
        <v>0.96457862464893462</v>
      </c>
      <c r="G108" s="1227">
        <v>0.96372605732694527</v>
      </c>
      <c r="H108" s="1227">
        <v>0.97032435486535618</v>
      </c>
      <c r="I108" s="1227">
        <v>0.96287459193788227</v>
      </c>
      <c r="J108" s="1227">
        <v>0.96174068891458819</v>
      </c>
      <c r="K108" s="1227">
        <v>0.96160305633570164</v>
      </c>
      <c r="L108" s="1227">
        <v>0.96109051627292241</v>
      </c>
      <c r="M108" s="1227">
        <v>0.96072040062778796</v>
      </c>
      <c r="N108" s="1228">
        <v>0.96007988187675553</v>
      </c>
      <c r="O108" s="1228">
        <v>0.95958938708078667</v>
      </c>
      <c r="P108" s="1228">
        <v>0.95879320502230303</v>
      </c>
      <c r="Q108" s="1228">
        <v>0.95834810754997524</v>
      </c>
      <c r="R108" s="1228">
        <v>0.95699999999999996</v>
      </c>
      <c r="S108" s="1228">
        <v>0.95698933091029237</v>
      </c>
      <c r="T108" s="1228">
        <v>0.9565540434495291</v>
      </c>
      <c r="U108" s="1228">
        <v>0.95633170411366275</v>
      </c>
      <c r="V108" s="1228">
        <v>0.95562185032215452</v>
      </c>
      <c r="W108" s="1228">
        <v>0.95526100528663482</v>
      </c>
      <c r="X108" s="1228">
        <v>0.9547629770361804</v>
      </c>
      <c r="Y108" s="1228">
        <v>0.95433677350074353</v>
      </c>
      <c r="Z108" s="1228">
        <v>0.9537872319510986</v>
      </c>
      <c r="AA108" s="1228">
        <v>0.9537872319510986</v>
      </c>
      <c r="AB108" s="1228">
        <v>0.95355973732033694</v>
      </c>
      <c r="AC108" s="1228">
        <v>0.95330186932099759</v>
      </c>
      <c r="AD108" s="1228">
        <v>0.95296839748884854</v>
      </c>
      <c r="AE108" s="1228">
        <v>0.95296193622996883</v>
      </c>
      <c r="AF108" s="816">
        <v>0.9527784842226994</v>
      </c>
      <c r="AG108" s="1228">
        <v>0.95271891128366093</v>
      </c>
      <c r="AH108" s="816">
        <v>0.95267033206674401</v>
      </c>
      <c r="AI108" s="1228">
        <v>0.95306647777961306</v>
      </c>
      <c r="AJ108" s="816">
        <v>0.95250289112836628</v>
      </c>
      <c r="AK108" s="1228">
        <v>0.95279200396497599</v>
      </c>
      <c r="AL108" s="816">
        <v>0.952903806377003</v>
      </c>
      <c r="AM108" s="1228">
        <v>0.95309999999999995</v>
      </c>
      <c r="AN108" s="816">
        <v>0.95299999999999996</v>
      </c>
      <c r="AO108" s="1228">
        <v>0.95274244176441403</v>
      </c>
      <c r="AP108" s="816">
        <v>0.95140000000000002</v>
      </c>
      <c r="AQ108" s="1228">
        <v>0.95140000000000002</v>
      </c>
      <c r="AR108" s="111"/>
      <c r="AS108" s="111"/>
      <c r="AT108" s="111"/>
      <c r="AU108" s="111"/>
    </row>
    <row r="109" spans="2:57" s="110" customFormat="1">
      <c r="B109" s="994" t="s">
        <v>382</v>
      </c>
      <c r="C109" s="1037" t="s">
        <v>383</v>
      </c>
      <c r="D109" s="1225">
        <v>532388.47460000007</v>
      </c>
      <c r="E109" s="1225">
        <v>519113</v>
      </c>
      <c r="F109" s="1225">
        <v>507655</v>
      </c>
      <c r="G109" s="1225">
        <v>497399</v>
      </c>
      <c r="H109" s="1225">
        <v>489098</v>
      </c>
      <c r="I109" s="1225">
        <v>477505</v>
      </c>
      <c r="J109" s="1225">
        <v>463551</v>
      </c>
      <c r="K109" s="1225">
        <v>453744</v>
      </c>
      <c r="L109" s="1225">
        <v>444708</v>
      </c>
      <c r="M109" s="1225">
        <v>430412</v>
      </c>
      <c r="N109" s="1226">
        <v>415903</v>
      </c>
      <c r="O109" s="1226">
        <v>403708</v>
      </c>
      <c r="P109" s="1226">
        <v>388726</v>
      </c>
      <c r="Q109" s="1226">
        <v>376978</v>
      </c>
      <c r="R109" s="1226">
        <v>367976</v>
      </c>
      <c r="S109" s="1226">
        <v>361538</v>
      </c>
      <c r="T109" s="1226">
        <v>355079</v>
      </c>
      <c r="U109" s="1226">
        <v>346243</v>
      </c>
      <c r="V109" s="1226">
        <v>340690</v>
      </c>
      <c r="W109" s="1226">
        <v>332542</v>
      </c>
      <c r="X109" s="1226">
        <v>324825</v>
      </c>
      <c r="Y109" s="1226">
        <v>314458.66823231539</v>
      </c>
      <c r="Z109" s="1226">
        <v>310288.66823231539</v>
      </c>
      <c r="AA109" s="1226">
        <v>306787.66823231539</v>
      </c>
      <c r="AB109" s="1226">
        <v>304906.6292323154</v>
      </c>
      <c r="AC109" s="1226">
        <v>299592.4992323154</v>
      </c>
      <c r="AD109" s="1226">
        <v>294866.7712323154</v>
      </c>
      <c r="AE109" s="1226">
        <v>286661.59823231539</v>
      </c>
      <c r="AF109" s="815">
        <v>280533.58223231544</v>
      </c>
      <c r="AG109" s="1226">
        <v>273599.88633231545</v>
      </c>
      <c r="AH109" s="815">
        <v>263506.96063231543</v>
      </c>
      <c r="AI109" s="1226">
        <v>245847.17473231541</v>
      </c>
      <c r="AJ109" s="815">
        <v>237892.59403231545</v>
      </c>
      <c r="AK109" s="1226">
        <v>233719.95003231542</v>
      </c>
      <c r="AL109" s="815">
        <v>232150.08243227654</v>
      </c>
      <c r="AM109" s="1226">
        <v>230914.44206864017</v>
      </c>
      <c r="AN109" s="815">
        <v>229855.5697000697</v>
      </c>
      <c r="AO109" s="1226">
        <v>223607.26810006314</v>
      </c>
      <c r="AP109" s="815">
        <v>218798.82789999997</v>
      </c>
      <c r="AQ109" s="1226">
        <v>214030.54839999997</v>
      </c>
      <c r="AR109" s="111"/>
      <c r="AS109" s="111"/>
      <c r="AT109" s="111"/>
      <c r="AU109" s="111"/>
    </row>
    <row r="110" spans="2:57" s="110" customFormat="1">
      <c r="B110" s="994" t="s">
        <v>384</v>
      </c>
      <c r="C110" s="1037" t="s">
        <v>379</v>
      </c>
      <c r="D110" s="1225">
        <v>345912</v>
      </c>
      <c r="E110" s="1225">
        <v>343486</v>
      </c>
      <c r="F110" s="1225">
        <v>342339</v>
      </c>
      <c r="G110" s="1225">
        <v>339860</v>
      </c>
      <c r="H110" s="1225">
        <v>338029</v>
      </c>
      <c r="I110" s="1225">
        <v>334757</v>
      </c>
      <c r="J110" s="1225">
        <v>329543</v>
      </c>
      <c r="K110" s="1225">
        <v>324498</v>
      </c>
      <c r="L110" s="1225">
        <v>318171</v>
      </c>
      <c r="M110" s="1225">
        <v>307663</v>
      </c>
      <c r="N110" s="1226">
        <v>295318</v>
      </c>
      <c r="O110" s="1226">
        <v>284221</v>
      </c>
      <c r="P110" s="1226">
        <v>275069</v>
      </c>
      <c r="Q110" s="1226">
        <v>262619</v>
      </c>
      <c r="R110" s="1226">
        <v>253998</v>
      </c>
      <c r="S110" s="1226">
        <v>245626</v>
      </c>
      <c r="T110" s="1226">
        <v>237577</v>
      </c>
      <c r="U110" s="1226">
        <v>230562</v>
      </c>
      <c r="V110" s="1226">
        <v>222812</v>
      </c>
      <c r="W110" s="1226">
        <v>219310</v>
      </c>
      <c r="X110" s="1226">
        <v>216901</v>
      </c>
      <c r="Y110" s="1226">
        <v>208606</v>
      </c>
      <c r="Z110" s="1226">
        <v>201192</v>
      </c>
      <c r="AA110" s="1226">
        <v>196145</v>
      </c>
      <c r="AB110" s="1226">
        <v>194409</v>
      </c>
      <c r="AC110" s="1226">
        <v>189857</v>
      </c>
      <c r="AD110" s="1226">
        <v>185582</v>
      </c>
      <c r="AE110" s="1226">
        <v>182600</v>
      </c>
      <c r="AF110" s="815">
        <v>181079</v>
      </c>
      <c r="AG110" s="1226">
        <v>175300</v>
      </c>
      <c r="AH110" s="815">
        <v>171031</v>
      </c>
      <c r="AI110" s="1226">
        <v>167355</v>
      </c>
      <c r="AJ110" s="815">
        <v>165748</v>
      </c>
      <c r="AK110" s="1226">
        <v>163808</v>
      </c>
      <c r="AL110" s="815">
        <v>162954</v>
      </c>
      <c r="AM110" s="1226">
        <v>162380</v>
      </c>
      <c r="AN110" s="815">
        <v>162046</v>
      </c>
      <c r="AO110" s="1226">
        <v>160199</v>
      </c>
      <c r="AP110" s="815">
        <v>158934</v>
      </c>
      <c r="AQ110" s="1226">
        <v>157055</v>
      </c>
      <c r="AR110" s="111"/>
      <c r="AS110" s="111"/>
      <c r="AT110" s="111"/>
      <c r="AU110" s="111"/>
    </row>
    <row r="111" spans="2:57" s="110" customFormat="1">
      <c r="B111" s="995" t="s">
        <v>385</v>
      </c>
      <c r="C111" s="1038" t="s">
        <v>379</v>
      </c>
      <c r="D111" s="1225"/>
      <c r="E111" s="1225"/>
      <c r="F111" s="1225"/>
      <c r="G111" s="1225"/>
      <c r="H111" s="1225"/>
      <c r="I111" s="1225">
        <v>334757</v>
      </c>
      <c r="J111" s="1225">
        <v>329543</v>
      </c>
      <c r="K111" s="1225">
        <v>324498</v>
      </c>
      <c r="L111" s="1225">
        <v>318171</v>
      </c>
      <c r="M111" s="1225">
        <v>307663</v>
      </c>
      <c r="N111" s="1229">
        <v>294713</v>
      </c>
      <c r="O111" s="1229">
        <v>283636</v>
      </c>
      <c r="P111" s="1229">
        <v>274302</v>
      </c>
      <c r="Q111" s="1229">
        <v>261763</v>
      </c>
      <c r="R111" s="1229">
        <v>253307</v>
      </c>
      <c r="S111" s="1229">
        <v>244920</v>
      </c>
      <c r="T111" s="1229">
        <v>236882</v>
      </c>
      <c r="U111" s="1229">
        <v>229823</v>
      </c>
      <c r="V111" s="1229">
        <v>221979</v>
      </c>
      <c r="W111" s="1229">
        <v>218328</v>
      </c>
      <c r="X111" s="1229">
        <v>215801</v>
      </c>
      <c r="Y111" s="1229">
        <v>207360</v>
      </c>
      <c r="Z111" s="1229">
        <v>199464</v>
      </c>
      <c r="AA111" s="1229">
        <v>194205</v>
      </c>
      <c r="AB111" s="1229">
        <v>192068</v>
      </c>
      <c r="AC111" s="1229">
        <v>188591</v>
      </c>
      <c r="AD111" s="1229">
        <v>181825</v>
      </c>
      <c r="AE111" s="1229">
        <v>177141</v>
      </c>
      <c r="AF111" s="817">
        <v>172627</v>
      </c>
      <c r="AG111" s="1229">
        <v>164859</v>
      </c>
      <c r="AH111" s="817">
        <v>154531</v>
      </c>
      <c r="AI111" s="1229">
        <v>146428</v>
      </c>
      <c r="AJ111" s="817">
        <v>144708</v>
      </c>
      <c r="AK111" s="1229">
        <v>130334</v>
      </c>
      <c r="AL111" s="817">
        <v>123181</v>
      </c>
      <c r="AM111" s="1229">
        <v>120132</v>
      </c>
      <c r="AN111" s="817">
        <v>116717</v>
      </c>
      <c r="AO111" s="1229">
        <v>113367</v>
      </c>
      <c r="AP111" s="817">
        <v>110382</v>
      </c>
      <c r="AQ111" s="1229">
        <v>108015</v>
      </c>
      <c r="AR111" s="111"/>
      <c r="AS111" s="111"/>
      <c r="AT111" s="111"/>
      <c r="AU111" s="111"/>
    </row>
    <row r="112" spans="2:57" s="110" customFormat="1">
      <c r="B112" s="994" t="s">
        <v>386</v>
      </c>
      <c r="C112" s="1037" t="s">
        <v>379</v>
      </c>
      <c r="D112" s="1225">
        <v>1187894</v>
      </c>
      <c r="E112" s="1225">
        <v>1171148</v>
      </c>
      <c r="F112" s="1225">
        <v>1154810</v>
      </c>
      <c r="G112" s="1225">
        <v>999933</v>
      </c>
      <c r="H112" s="1225">
        <v>992465</v>
      </c>
      <c r="I112" s="1225">
        <v>978832</v>
      </c>
      <c r="J112" s="1225">
        <v>962565</v>
      </c>
      <c r="K112" s="1225">
        <v>947377</v>
      </c>
      <c r="L112" s="1225">
        <v>931854</v>
      </c>
      <c r="M112" s="1225">
        <v>905556</v>
      </c>
      <c r="N112" s="1226">
        <v>876096</v>
      </c>
      <c r="O112" s="1226">
        <v>852650</v>
      </c>
      <c r="P112" s="1226">
        <v>832369</v>
      </c>
      <c r="Q112" s="1226">
        <v>806197</v>
      </c>
      <c r="R112" s="1226">
        <v>787498</v>
      </c>
      <c r="S112" s="1226">
        <v>766673</v>
      </c>
      <c r="T112" s="1226">
        <v>752136</v>
      </c>
      <c r="U112" s="1226">
        <v>748335</v>
      </c>
      <c r="V112" s="1226">
        <v>717534</v>
      </c>
      <c r="W112" s="1226">
        <v>661750</v>
      </c>
      <c r="X112" s="1226">
        <v>606783</v>
      </c>
      <c r="Y112" s="1226">
        <v>568345</v>
      </c>
      <c r="Z112" s="1226">
        <v>537206</v>
      </c>
      <c r="AA112" s="1226">
        <v>506957</v>
      </c>
      <c r="AB112" s="1226">
        <v>503883</v>
      </c>
      <c r="AC112" s="1226">
        <v>473859</v>
      </c>
      <c r="AD112" s="1226">
        <v>461891</v>
      </c>
      <c r="AE112" s="1226">
        <v>443804</v>
      </c>
      <c r="AF112" s="815">
        <v>417613</v>
      </c>
      <c r="AG112" s="1226">
        <v>371562</v>
      </c>
      <c r="AH112" s="815">
        <v>347642</v>
      </c>
      <c r="AI112" s="1226">
        <v>320204</v>
      </c>
      <c r="AJ112" s="815">
        <v>298014</v>
      </c>
      <c r="AK112" s="1226">
        <v>259002</v>
      </c>
      <c r="AL112" s="815">
        <v>226132</v>
      </c>
      <c r="AM112" s="1226">
        <v>203506</v>
      </c>
      <c r="AN112" s="815">
        <v>190860</v>
      </c>
      <c r="AO112" s="1226">
        <v>170844</v>
      </c>
      <c r="AP112" s="815">
        <v>148078</v>
      </c>
      <c r="AQ112" s="1226">
        <v>137567</v>
      </c>
      <c r="AR112" s="111"/>
      <c r="AS112" s="111"/>
      <c r="AT112" s="111"/>
      <c r="AU112" s="111"/>
    </row>
    <row r="113" spans="2:57" s="110" customFormat="1">
      <c r="B113" s="996"/>
      <c r="C113" s="1037"/>
      <c r="D113" s="1230"/>
      <c r="E113" s="1230">
        <v>0</v>
      </c>
      <c r="F113" s="1230">
        <v>0</v>
      </c>
      <c r="G113" s="1230">
        <v>0</v>
      </c>
      <c r="H113" s="1230">
        <v>0</v>
      </c>
      <c r="I113" s="1230">
        <v>0</v>
      </c>
      <c r="J113" s="1230">
        <v>0</v>
      </c>
      <c r="K113" s="1230">
        <v>0</v>
      </c>
      <c r="L113" s="1230"/>
      <c r="M113" s="1230">
        <v>0</v>
      </c>
      <c r="N113" s="1231">
        <v>0</v>
      </c>
      <c r="O113" s="1231"/>
      <c r="P113" s="1231"/>
      <c r="Q113" s="1231"/>
      <c r="R113" s="1231"/>
      <c r="S113" s="1231"/>
      <c r="T113" s="1231"/>
      <c r="U113" s="1231"/>
      <c r="V113" s="1231"/>
      <c r="W113" s="1231"/>
      <c r="X113" s="1231"/>
      <c r="Y113" s="1231"/>
      <c r="Z113" s="1231"/>
      <c r="AA113" s="1231"/>
      <c r="AB113" s="1231"/>
      <c r="AC113" s="1231"/>
      <c r="AD113" s="1231"/>
      <c r="AE113" s="1231"/>
      <c r="AF113" s="818"/>
      <c r="AG113" s="1231"/>
      <c r="AH113" s="818"/>
      <c r="AI113" s="1231"/>
      <c r="AJ113" s="818"/>
      <c r="AK113" s="1231"/>
      <c r="AL113" s="818"/>
      <c r="AM113" s="1231"/>
      <c r="AN113" s="818"/>
      <c r="AO113" s="1231"/>
      <c r="AP113" s="818"/>
      <c r="AQ113" s="1231"/>
      <c r="AR113" s="111"/>
      <c r="AS113" s="111"/>
      <c r="AT113" s="111"/>
      <c r="AU113" s="111"/>
    </row>
    <row r="114" spans="2:57" s="110" customFormat="1">
      <c r="B114" s="994" t="s">
        <v>387</v>
      </c>
      <c r="C114" s="1037" t="s">
        <v>379</v>
      </c>
      <c r="D114" s="1225">
        <v>1635</v>
      </c>
      <c r="E114" s="1225">
        <v>1591</v>
      </c>
      <c r="F114" s="1225">
        <v>1551</v>
      </c>
      <c r="G114" s="1225">
        <v>1512</v>
      </c>
      <c r="H114" s="1225">
        <v>1476</v>
      </c>
      <c r="I114" s="1225">
        <v>1427</v>
      </c>
      <c r="J114" s="1225">
        <v>1345</v>
      </c>
      <c r="K114" s="1225">
        <v>1317</v>
      </c>
      <c r="L114" s="1225">
        <v>1290</v>
      </c>
      <c r="M114" s="1225">
        <v>1267</v>
      </c>
      <c r="N114" s="1226">
        <v>1239</v>
      </c>
      <c r="O114" s="1226">
        <v>1225</v>
      </c>
      <c r="P114" s="1226">
        <v>1199</v>
      </c>
      <c r="Q114" s="1226">
        <v>1140</v>
      </c>
      <c r="R114" s="1226">
        <v>1060</v>
      </c>
      <c r="S114" s="1226">
        <v>983</v>
      </c>
      <c r="T114" s="1226">
        <v>847</v>
      </c>
      <c r="U114" s="1226">
        <v>672</v>
      </c>
      <c r="V114" s="1226">
        <v>523</v>
      </c>
      <c r="W114" s="1226">
        <v>387</v>
      </c>
      <c r="X114" s="1226">
        <v>291</v>
      </c>
      <c r="Y114" s="1226">
        <v>219</v>
      </c>
      <c r="Z114" s="1226">
        <v>145</v>
      </c>
      <c r="AA114" s="1226">
        <v>117</v>
      </c>
      <c r="AB114" s="1226">
        <v>111</v>
      </c>
      <c r="AC114" s="1226">
        <v>103</v>
      </c>
      <c r="AD114" s="1226">
        <v>100</v>
      </c>
      <c r="AE114" s="1226">
        <v>99</v>
      </c>
      <c r="AF114" s="815">
        <v>93</v>
      </c>
      <c r="AG114" s="1226">
        <v>90</v>
      </c>
      <c r="AH114" s="815">
        <v>89</v>
      </c>
      <c r="AI114" s="1226">
        <v>89</v>
      </c>
      <c r="AJ114" s="815">
        <v>89</v>
      </c>
      <c r="AK114" s="1226">
        <v>89</v>
      </c>
      <c r="AL114" s="815">
        <v>88</v>
      </c>
      <c r="AM114" s="1226">
        <v>88</v>
      </c>
      <c r="AN114" s="815">
        <v>87</v>
      </c>
      <c r="AO114" s="1226">
        <v>87</v>
      </c>
      <c r="AP114" s="815">
        <v>87</v>
      </c>
      <c r="AQ114" s="1226">
        <v>87</v>
      </c>
      <c r="AR114" s="111"/>
      <c r="AS114" s="111"/>
      <c r="AT114" s="111"/>
      <c r="AU114" s="111"/>
    </row>
    <row r="115" spans="2:57" s="110" customFormat="1">
      <c r="B115" s="996"/>
      <c r="C115" s="1037"/>
      <c r="D115" s="1230"/>
      <c r="E115" s="1230">
        <v>0</v>
      </c>
      <c r="F115" s="1230">
        <v>0</v>
      </c>
      <c r="G115" s="1230">
        <v>0</v>
      </c>
      <c r="H115" s="1230">
        <v>0</v>
      </c>
      <c r="I115" s="1230">
        <v>0</v>
      </c>
      <c r="J115" s="1230">
        <v>0</v>
      </c>
      <c r="K115" s="1230">
        <v>0</v>
      </c>
      <c r="L115" s="1230">
        <v>0</v>
      </c>
      <c r="M115" s="1230">
        <v>0</v>
      </c>
      <c r="N115" s="1231">
        <v>0</v>
      </c>
      <c r="O115" s="1231"/>
      <c r="P115" s="1231">
        <v>0</v>
      </c>
      <c r="Q115" s="1231">
        <v>0</v>
      </c>
      <c r="R115" s="1231"/>
      <c r="S115" s="1231"/>
      <c r="T115" s="1231">
        <v>0</v>
      </c>
      <c r="U115" s="1231">
        <v>0</v>
      </c>
      <c r="V115" s="1231">
        <v>0</v>
      </c>
      <c r="W115" s="1231">
        <v>0</v>
      </c>
      <c r="X115" s="1231">
        <v>0</v>
      </c>
      <c r="Y115" s="1231">
        <v>0</v>
      </c>
      <c r="Z115" s="1231">
        <v>0</v>
      </c>
      <c r="AA115" s="1231">
        <v>0</v>
      </c>
      <c r="AB115" s="1231">
        <v>0</v>
      </c>
      <c r="AC115" s="1231">
        <v>0</v>
      </c>
      <c r="AD115" s="1231">
        <v>0</v>
      </c>
      <c r="AE115" s="1231">
        <v>0</v>
      </c>
      <c r="AF115" s="818">
        <v>0</v>
      </c>
      <c r="AG115" s="1231">
        <v>0</v>
      </c>
      <c r="AH115" s="818">
        <v>0</v>
      </c>
      <c r="AI115" s="1231">
        <v>0</v>
      </c>
      <c r="AJ115" s="818">
        <v>0</v>
      </c>
      <c r="AK115" s="1231">
        <v>0</v>
      </c>
      <c r="AL115" s="818">
        <v>0</v>
      </c>
      <c r="AM115" s="1231">
        <v>0</v>
      </c>
      <c r="AN115" s="818">
        <v>0</v>
      </c>
      <c r="AO115" s="1231">
        <v>0</v>
      </c>
      <c r="AP115" s="818">
        <v>0</v>
      </c>
      <c r="AQ115" s="1231">
        <v>0</v>
      </c>
      <c r="AR115" s="111"/>
      <c r="AS115" s="111"/>
      <c r="AT115" s="111"/>
      <c r="AU115" s="111"/>
    </row>
    <row r="116" spans="2:57" s="110" customFormat="1">
      <c r="B116" s="994" t="s">
        <v>388</v>
      </c>
      <c r="C116" s="1037" t="s">
        <v>379</v>
      </c>
      <c r="D116" s="1232">
        <v>8</v>
      </c>
      <c r="E116" s="1232">
        <v>8</v>
      </c>
      <c r="F116" s="1232">
        <v>8</v>
      </c>
      <c r="G116" s="1232">
        <v>7</v>
      </c>
      <c r="H116" s="1232">
        <v>7</v>
      </c>
      <c r="I116" s="1232">
        <v>7</v>
      </c>
      <c r="J116" s="1232">
        <v>7</v>
      </c>
      <c r="K116" s="1232">
        <v>7</v>
      </c>
      <c r="L116" s="1232">
        <v>7</v>
      </c>
      <c r="M116" s="1232">
        <v>7</v>
      </c>
      <c r="N116" s="1222">
        <v>7</v>
      </c>
      <c r="O116" s="1222">
        <v>7</v>
      </c>
      <c r="P116" s="1222">
        <v>7</v>
      </c>
      <c r="Q116" s="1222">
        <v>7</v>
      </c>
      <c r="R116" s="1222">
        <v>7</v>
      </c>
      <c r="S116" s="1222">
        <v>7</v>
      </c>
      <c r="T116" s="1222">
        <v>7</v>
      </c>
      <c r="U116" s="1222">
        <v>7</v>
      </c>
      <c r="V116" s="1222">
        <v>7</v>
      </c>
      <c r="W116" s="1222">
        <v>7</v>
      </c>
      <c r="X116" s="1222">
        <v>7</v>
      </c>
      <c r="Y116" s="1222">
        <v>7</v>
      </c>
      <c r="Z116" s="1222">
        <v>7</v>
      </c>
      <c r="AA116" s="1222">
        <v>7</v>
      </c>
      <c r="AB116" s="1222">
        <v>7</v>
      </c>
      <c r="AC116" s="1222">
        <v>7</v>
      </c>
      <c r="AD116" s="1222">
        <v>7</v>
      </c>
      <c r="AE116" s="1222">
        <v>7</v>
      </c>
      <c r="AF116" s="812">
        <v>7</v>
      </c>
      <c r="AG116" s="1222">
        <v>7</v>
      </c>
      <c r="AH116" s="812">
        <v>7</v>
      </c>
      <c r="AI116" s="1222">
        <v>7</v>
      </c>
      <c r="AJ116" s="812">
        <v>7</v>
      </c>
      <c r="AK116" s="1222">
        <v>7</v>
      </c>
      <c r="AL116" s="812">
        <v>7</v>
      </c>
      <c r="AM116" s="1222">
        <v>7</v>
      </c>
      <c r="AN116" s="812">
        <v>7</v>
      </c>
      <c r="AO116" s="1222">
        <v>7</v>
      </c>
      <c r="AP116" s="812">
        <v>7</v>
      </c>
      <c r="AQ116" s="1222">
        <v>7</v>
      </c>
      <c r="AR116" s="111"/>
      <c r="AS116" s="111"/>
      <c r="AT116" s="111"/>
      <c r="AU116" s="111"/>
    </row>
    <row r="117" spans="2:57" s="110" customFormat="1">
      <c r="B117" s="996"/>
      <c r="C117" s="1037"/>
      <c r="D117" s="1230"/>
      <c r="E117" s="1230"/>
      <c r="F117" s="1230"/>
      <c r="G117" s="1230"/>
      <c r="H117" s="1230"/>
      <c r="I117" s="1230"/>
      <c r="J117" s="1230"/>
      <c r="K117" s="1230"/>
      <c r="L117" s="1230"/>
      <c r="M117" s="1230"/>
      <c r="N117" s="1231"/>
      <c r="O117" s="1231"/>
      <c r="P117" s="1231"/>
      <c r="Q117" s="1231"/>
      <c r="R117" s="1231"/>
      <c r="S117" s="1231"/>
      <c r="T117" s="1231"/>
      <c r="U117" s="1231"/>
      <c r="V117" s="1231"/>
      <c r="W117" s="1231"/>
      <c r="X117" s="1231"/>
      <c r="Y117" s="1231"/>
      <c r="Z117" s="1231"/>
      <c r="AA117" s="1231"/>
      <c r="AB117" s="1231"/>
      <c r="AC117" s="1231"/>
      <c r="AD117" s="1231"/>
      <c r="AE117" s="1231"/>
      <c r="AF117" s="818"/>
      <c r="AG117" s="1231"/>
      <c r="AH117" s="818"/>
      <c r="AI117" s="1231"/>
      <c r="AJ117" s="818"/>
      <c r="AK117" s="1231"/>
      <c r="AL117" s="818"/>
      <c r="AM117" s="1231"/>
      <c r="AN117" s="818"/>
      <c r="AO117" s="1231"/>
      <c r="AP117" s="818"/>
      <c r="AQ117" s="1231"/>
      <c r="AR117" s="111"/>
      <c r="AS117" s="111"/>
      <c r="AT117" s="111"/>
      <c r="AU117" s="111"/>
    </row>
    <row r="118" spans="2:57" s="110" customFormat="1">
      <c r="B118" s="992" t="s">
        <v>364</v>
      </c>
      <c r="C118" s="923"/>
      <c r="D118" s="1225"/>
      <c r="E118" s="1225"/>
      <c r="F118" s="1225"/>
      <c r="G118" s="1225"/>
      <c r="H118" s="1225"/>
      <c r="I118" s="1225"/>
      <c r="J118" s="1225"/>
      <c r="K118" s="1225"/>
      <c r="L118" s="1225"/>
      <c r="M118" s="1225"/>
      <c r="N118" s="1226"/>
      <c r="O118" s="1226"/>
      <c r="P118" s="1226"/>
      <c r="Q118" s="1226"/>
      <c r="R118" s="1226"/>
      <c r="S118" s="1226"/>
      <c r="T118" s="1226"/>
      <c r="U118" s="1226"/>
      <c r="V118" s="1226"/>
      <c r="W118" s="1226"/>
      <c r="X118" s="1226"/>
      <c r="Y118" s="1226"/>
      <c r="Z118" s="1226"/>
      <c r="AA118" s="1226"/>
      <c r="AB118" s="1226"/>
      <c r="AC118" s="1226"/>
      <c r="AD118" s="1226"/>
      <c r="AE118" s="1226"/>
      <c r="AF118" s="815"/>
      <c r="AG118" s="1226"/>
      <c r="AH118" s="815"/>
      <c r="AI118" s="1226"/>
      <c r="AJ118" s="815"/>
      <c r="AK118" s="1226"/>
      <c r="AL118" s="815"/>
      <c r="AM118" s="1226"/>
      <c r="AN118" s="815"/>
      <c r="AO118" s="1226"/>
      <c r="AP118" s="815"/>
      <c r="AQ118" s="1226"/>
      <c r="AR118" s="111"/>
      <c r="AS118" s="111"/>
      <c r="AT118" s="111"/>
      <c r="AU118" s="111"/>
    </row>
    <row r="119" spans="2:57" s="110" customFormat="1">
      <c r="B119" s="990" t="s">
        <v>389</v>
      </c>
      <c r="C119" s="923" t="s">
        <v>379</v>
      </c>
      <c r="D119" s="1225">
        <v>640</v>
      </c>
      <c r="E119" s="1225">
        <v>640</v>
      </c>
      <c r="F119" s="1225">
        <v>640</v>
      </c>
      <c r="G119" s="1225">
        <v>640</v>
      </c>
      <c r="H119" s="1225">
        <v>639</v>
      </c>
      <c r="I119" s="1225">
        <v>639</v>
      </c>
      <c r="J119" s="1225">
        <v>639</v>
      </c>
      <c r="K119" s="1225">
        <v>639</v>
      </c>
      <c r="L119" s="1225">
        <v>639</v>
      </c>
      <c r="M119" s="1225">
        <v>639</v>
      </c>
      <c r="N119" s="1226">
        <v>639</v>
      </c>
      <c r="O119" s="1226">
        <v>639</v>
      </c>
      <c r="P119" s="1226">
        <v>639</v>
      </c>
      <c r="Q119" s="1226">
        <v>639</v>
      </c>
      <c r="R119" s="1226">
        <v>639</v>
      </c>
      <c r="S119" s="1226">
        <v>639</v>
      </c>
      <c r="T119" s="1226">
        <v>639</v>
      </c>
      <c r="U119" s="1226">
        <v>639</v>
      </c>
      <c r="V119" s="1226">
        <v>639</v>
      </c>
      <c r="W119" s="1226">
        <v>639</v>
      </c>
      <c r="X119" s="1226">
        <v>639</v>
      </c>
      <c r="Y119" s="1226">
        <v>639</v>
      </c>
      <c r="Z119" s="1226">
        <v>639</v>
      </c>
      <c r="AA119" s="1226">
        <v>639</v>
      </c>
      <c r="AB119" s="1226">
        <v>639</v>
      </c>
      <c r="AC119" s="1226">
        <v>639</v>
      </c>
      <c r="AD119" s="1226">
        <v>639</v>
      </c>
      <c r="AE119" s="1226">
        <v>639</v>
      </c>
      <c r="AF119" s="815">
        <v>639</v>
      </c>
      <c r="AG119" s="1226">
        <v>639</v>
      </c>
      <c r="AH119" s="815">
        <v>639</v>
      </c>
      <c r="AI119" s="1226">
        <v>639</v>
      </c>
      <c r="AJ119" s="815">
        <v>639</v>
      </c>
      <c r="AK119" s="1226">
        <v>639</v>
      </c>
      <c r="AL119" s="815">
        <v>639</v>
      </c>
      <c r="AM119" s="1226">
        <v>639</v>
      </c>
      <c r="AN119" s="815">
        <v>639</v>
      </c>
      <c r="AO119" s="1226">
        <v>639</v>
      </c>
      <c r="AP119" s="815">
        <v>639</v>
      </c>
      <c r="AQ119" s="1226">
        <v>639</v>
      </c>
      <c r="AR119" s="111"/>
      <c r="AS119" s="111"/>
      <c r="AT119" s="111"/>
      <c r="AU119" s="111"/>
    </row>
    <row r="120" spans="2:57" s="110" customFormat="1">
      <c r="B120" s="997" t="s">
        <v>390</v>
      </c>
      <c r="C120" s="1181" t="s">
        <v>325</v>
      </c>
      <c r="D120" s="1233">
        <v>1</v>
      </c>
      <c r="E120" s="1233">
        <v>1</v>
      </c>
      <c r="F120" s="1233">
        <v>1</v>
      </c>
      <c r="G120" s="1233">
        <v>1</v>
      </c>
      <c r="H120" s="1233">
        <v>0.99843749999999998</v>
      </c>
      <c r="I120" s="1233">
        <v>0.99843749999999998</v>
      </c>
      <c r="J120" s="1233">
        <v>0.99843749999999998</v>
      </c>
      <c r="K120" s="1233">
        <v>0.99843749999999998</v>
      </c>
      <c r="L120" s="1233">
        <v>0.99843749999999998</v>
      </c>
      <c r="M120" s="1233">
        <v>0.99843749999999998</v>
      </c>
      <c r="N120" s="1234">
        <v>0.99843749999999998</v>
      </c>
      <c r="O120" s="1234">
        <v>0.99843749999999998</v>
      </c>
      <c r="P120" s="1234">
        <v>0.99843749999999998</v>
      </c>
      <c r="Q120" s="1234">
        <v>0.99843749999999998</v>
      </c>
      <c r="R120" s="1234">
        <v>0.99843749999999998</v>
      </c>
      <c r="S120" s="1234">
        <v>0.99843749999999998</v>
      </c>
      <c r="T120" s="1234">
        <v>0.99843749999999998</v>
      </c>
      <c r="U120" s="1234">
        <v>0.99843749999999998</v>
      </c>
      <c r="V120" s="1234">
        <v>0.99843749999999998</v>
      </c>
      <c r="W120" s="1234">
        <v>0.99843749999999998</v>
      </c>
      <c r="X120" s="1234">
        <v>0.99843749999999998</v>
      </c>
      <c r="Y120" s="1234">
        <v>0.99843749999999998</v>
      </c>
      <c r="Z120" s="1234">
        <v>0.99843749999999998</v>
      </c>
      <c r="AA120" s="1234">
        <v>0.99843749999999998</v>
      </c>
      <c r="AB120" s="1234">
        <v>0.99843749999999998</v>
      </c>
      <c r="AC120" s="1234">
        <v>0.99843749999999998</v>
      </c>
      <c r="AD120" s="1234">
        <v>0.99843749999999998</v>
      </c>
      <c r="AE120" s="1234">
        <v>0.99843749999999998</v>
      </c>
      <c r="AF120" s="819">
        <v>0.99843749999999998</v>
      </c>
      <c r="AG120" s="1234">
        <v>0.99843749999999998</v>
      </c>
      <c r="AH120" s="819">
        <v>0.99843749999999998</v>
      </c>
      <c r="AI120" s="1235">
        <v>0.99843749999999998</v>
      </c>
      <c r="AJ120" s="820">
        <v>0.99843749999999998</v>
      </c>
      <c r="AK120" s="1235">
        <v>0.99843749999999998</v>
      </c>
      <c r="AL120" s="820">
        <v>0.99843749999999998</v>
      </c>
      <c r="AM120" s="1235">
        <v>0.99843749999999998</v>
      </c>
      <c r="AN120" s="820">
        <v>0.99843749999999998</v>
      </c>
      <c r="AO120" s="1235">
        <v>0.99843749999999998</v>
      </c>
      <c r="AP120" s="820">
        <v>0.99843749999999998</v>
      </c>
      <c r="AQ120" s="1235">
        <v>0.99843749999999998</v>
      </c>
      <c r="AR120" s="111"/>
      <c r="AS120" s="111"/>
      <c r="AT120" s="111"/>
      <c r="AU120" s="111"/>
    </row>
    <row r="121" spans="2:57"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0"/>
      <c r="AW121" s="110"/>
      <c r="AX121" s="110"/>
      <c r="AY121" s="110"/>
      <c r="AZ121" s="110"/>
      <c r="BA121" s="110"/>
      <c r="BB121" s="110"/>
      <c r="BC121" s="110"/>
      <c r="BD121" s="110"/>
    </row>
    <row r="122" spans="2:57"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0"/>
      <c r="AW122" s="110"/>
      <c r="AX122" s="110"/>
      <c r="AY122" s="110"/>
      <c r="AZ122" s="110"/>
      <c r="BA122" s="110"/>
      <c r="BB122" s="110"/>
      <c r="BC122" s="110"/>
      <c r="BD122" s="110"/>
    </row>
    <row r="123" spans="2:57" s="15" customFormat="1" hidden="1" outlineLevel="1">
      <c r="B123" s="1027" t="s">
        <v>391</v>
      </c>
      <c r="C123" s="17"/>
      <c r="D123" s="18"/>
      <c r="E123" s="18" t="str">
        <f>E2</f>
        <v>Q3 FY 26</v>
      </c>
      <c r="F123" s="18" t="str">
        <f>F2</f>
        <v>Q2 FY 26</v>
      </c>
      <c r="G123" s="18" t="str">
        <f t="shared" ref="G123:L123" si="11">G2</f>
        <v>Q1 FY 26</v>
      </c>
      <c r="H123" s="18" t="str">
        <f t="shared" si="11"/>
        <v>Q4 FY 25</v>
      </c>
      <c r="I123" s="18" t="str">
        <f t="shared" si="11"/>
        <v>Q3 FY 25</v>
      </c>
      <c r="J123" s="18" t="str">
        <f t="shared" si="11"/>
        <v>Q2 FY 25</v>
      </c>
      <c r="K123" s="18" t="str">
        <f t="shared" si="11"/>
        <v>Q1 FY 25</v>
      </c>
      <c r="L123" s="18" t="str">
        <f t="shared" si="11"/>
        <v>Q4 FY 24</v>
      </c>
      <c r="M123" s="888" t="str">
        <f t="shared" ref="M123:R123" si="12">M2</f>
        <v>Q3 FY 24</v>
      </c>
      <c r="N123" s="18" t="str">
        <f t="shared" si="12"/>
        <v>Q2 FY 24</v>
      </c>
      <c r="O123" s="18" t="str">
        <f t="shared" si="12"/>
        <v>Q1 FY 24</v>
      </c>
      <c r="P123" s="18" t="str">
        <f t="shared" si="12"/>
        <v>Q4 FY 23</v>
      </c>
      <c r="Q123" s="18" t="str">
        <f t="shared" si="12"/>
        <v>Q3 FY 23</v>
      </c>
      <c r="R123" s="18" t="str">
        <f t="shared" si="12"/>
        <v>Q2 FY 23</v>
      </c>
      <c r="S123" s="18" t="str">
        <f t="shared" ref="S123:X123" si="13">S2</f>
        <v>Q1 FY 23</v>
      </c>
      <c r="T123" s="18" t="str">
        <f t="shared" si="13"/>
        <v>Q4 FY 22</v>
      </c>
      <c r="U123" s="18" t="str">
        <f t="shared" si="13"/>
        <v>Q3 FY 22</v>
      </c>
      <c r="V123" s="18" t="str">
        <f t="shared" si="13"/>
        <v>Q2 FY 22</v>
      </c>
      <c r="W123" s="18" t="str">
        <f t="shared" si="13"/>
        <v>Q1 FY 22</v>
      </c>
      <c r="X123" s="18" t="str">
        <f t="shared" si="13"/>
        <v>Q4 FY 21</v>
      </c>
      <c r="Y123" s="18" t="str">
        <f t="shared" ref="Y123:AD123" si="14">Y2</f>
        <v>Q3 FY 21</v>
      </c>
      <c r="Z123" s="18" t="str">
        <f t="shared" si="14"/>
        <v>Q2 FY 21</v>
      </c>
      <c r="AA123" s="18" t="str">
        <f t="shared" si="14"/>
        <v>Q1 FY 21</v>
      </c>
      <c r="AB123" s="18" t="str">
        <f t="shared" si="14"/>
        <v>Q4 FY 20</v>
      </c>
      <c r="AC123" s="18" t="str">
        <f t="shared" si="14"/>
        <v>Q3 FY 20</v>
      </c>
      <c r="AD123" s="18" t="str">
        <f t="shared" si="14"/>
        <v>Q2 FY 20</v>
      </c>
      <c r="AE123" s="18" t="str">
        <f t="shared" ref="AE123:BD123" si="15">AE2</f>
        <v>Q1 FY 20</v>
      </c>
      <c r="AF123" s="18" t="str">
        <f t="shared" si="15"/>
        <v>Q4 FY19</v>
      </c>
      <c r="AG123" s="18" t="str">
        <f t="shared" si="15"/>
        <v>Q3 FY19</v>
      </c>
      <c r="AH123" s="18" t="str">
        <f t="shared" si="15"/>
        <v>Q2 FY19</v>
      </c>
      <c r="AI123" s="18" t="str">
        <f t="shared" si="15"/>
        <v>Q1 FY 19</v>
      </c>
      <c r="AJ123" s="18" t="str">
        <f t="shared" si="15"/>
        <v>Q4 FY18</v>
      </c>
      <c r="AK123" s="18" t="str">
        <f t="shared" si="15"/>
        <v>Q3 FY 18</v>
      </c>
      <c r="AL123" s="18" t="str">
        <f t="shared" si="15"/>
        <v>Q2 FY 18</v>
      </c>
      <c r="AM123" s="18" t="str">
        <f t="shared" si="15"/>
        <v>Q1 FY 18</v>
      </c>
      <c r="AN123" s="18" t="str">
        <f t="shared" si="15"/>
        <v>Q4 FY17</v>
      </c>
      <c r="AO123" s="18" t="str">
        <f t="shared" si="15"/>
        <v>Q3 FY17</v>
      </c>
      <c r="AP123" s="18" t="str">
        <f t="shared" si="15"/>
        <v>Q2 FY17</v>
      </c>
      <c r="AQ123" s="18" t="str">
        <f t="shared" si="15"/>
        <v>Q1 FY 17</v>
      </c>
      <c r="AR123" s="18" t="str">
        <f t="shared" si="15"/>
        <v>Q4 FY16</v>
      </c>
      <c r="AS123" s="18" t="str">
        <f t="shared" si="15"/>
        <v>Q3 FY16</v>
      </c>
      <c r="AT123" s="18" t="str">
        <f t="shared" si="15"/>
        <v>Q2 FY16</v>
      </c>
      <c r="AU123" s="18" t="str">
        <f t="shared" si="15"/>
        <v>Q1 FY16</v>
      </c>
      <c r="AV123" s="18" t="str">
        <f t="shared" si="15"/>
        <v>Q4 FY15</v>
      </c>
      <c r="AW123" s="18" t="str">
        <f t="shared" si="15"/>
        <v>Q3 FY15</v>
      </c>
      <c r="AX123" s="18" t="str">
        <f t="shared" si="15"/>
        <v>Q4 FY15</v>
      </c>
      <c r="AY123" s="18" t="str">
        <f t="shared" si="15"/>
        <v>Q1 FY15</v>
      </c>
      <c r="AZ123" s="18" t="str">
        <f t="shared" si="15"/>
        <v>Q4 FY 14</v>
      </c>
      <c r="BA123" s="18" t="str">
        <f t="shared" si="15"/>
        <v>Q3 FY 14</v>
      </c>
      <c r="BB123" s="18" t="str">
        <f t="shared" si="15"/>
        <v>Q2 FY 14</v>
      </c>
      <c r="BC123" s="18" t="str">
        <f t="shared" si="15"/>
        <v>Q1 FY 14</v>
      </c>
      <c r="BD123" s="18" t="str">
        <f t="shared" si="15"/>
        <v>Q4 FY 13</v>
      </c>
      <c r="BE123" s="1048"/>
    </row>
    <row r="124" spans="2:57" hidden="1" outlineLevel="1">
      <c r="B124" s="97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10"/>
      <c r="O124" s="110"/>
      <c r="P124" s="110"/>
      <c r="Q124" s="848"/>
      <c r="R124" s="110"/>
      <c r="S124" s="110"/>
      <c r="T124" s="110"/>
      <c r="U124" s="848"/>
      <c r="V124" s="110"/>
      <c r="W124" s="110"/>
      <c r="X124" s="110"/>
      <c r="Y124" s="848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</row>
    <row r="125" spans="2:57" hidden="1" outlineLevel="1">
      <c r="B125" s="976" t="s">
        <v>312</v>
      </c>
      <c r="C125" s="3"/>
      <c r="D125" s="928"/>
      <c r="E125" s="928"/>
      <c r="F125" s="928"/>
      <c r="G125" s="928"/>
      <c r="H125" s="928"/>
      <c r="I125" s="928"/>
      <c r="J125" s="928"/>
      <c r="K125" s="928"/>
      <c r="L125" s="928"/>
      <c r="M125" s="928"/>
      <c r="N125" s="859"/>
      <c r="O125" s="859"/>
      <c r="P125" s="859"/>
      <c r="Q125" s="859"/>
      <c r="R125" s="859"/>
      <c r="S125" s="859"/>
      <c r="T125" s="859"/>
      <c r="U125" s="859"/>
      <c r="V125" s="859"/>
      <c r="W125" s="859"/>
      <c r="X125" s="859"/>
      <c r="Y125" s="859"/>
      <c r="Z125" s="523">
        <v>17663.259929</v>
      </c>
      <c r="AA125" s="523">
        <v>16420.748175000001</v>
      </c>
      <c r="AB125" s="523">
        <v>16825.546549999999</v>
      </c>
      <c r="AC125" s="523">
        <v>16662.105146000002</v>
      </c>
      <c r="AD125" s="523">
        <v>16673.534938999997</v>
      </c>
      <c r="AE125" s="523">
        <v>17261.687692</v>
      </c>
      <c r="AF125" s="523">
        <v>16705.129039999993</v>
      </c>
      <c r="AG125" s="523">
        <v>17325.258822000003</v>
      </c>
      <c r="AH125" s="523">
        <v>17205.610615999998</v>
      </c>
      <c r="AI125" s="523">
        <v>16949.453538000002</v>
      </c>
      <c r="AJ125" s="524">
        <v>16739</v>
      </c>
      <c r="AK125" s="523">
        <v>16949.719681000002</v>
      </c>
      <c r="AL125" s="526">
        <v>16613.097533</v>
      </c>
      <c r="AM125" s="525">
        <v>15982.125169999999</v>
      </c>
      <c r="AN125" s="524">
        <v>16017.21091</v>
      </c>
      <c r="AO125" s="523">
        <v>15292.243836</v>
      </c>
      <c r="AP125" s="524">
        <v>14962.475629999999</v>
      </c>
      <c r="AQ125" s="523">
        <v>14556.973023</v>
      </c>
      <c r="AR125" s="524">
        <v>14147.919489000002</v>
      </c>
      <c r="AS125" s="523">
        <v>13979.216162999999</v>
      </c>
      <c r="AT125" s="524">
        <v>13724.335026999999</v>
      </c>
      <c r="AU125" s="523">
        <v>13737.127049000001</v>
      </c>
      <c r="AV125" s="522">
        <v>13517.699963999999</v>
      </c>
      <c r="AW125" s="521">
        <v>13692.119829000003</v>
      </c>
      <c r="AX125" s="519">
        <v>13743.937688999998</v>
      </c>
      <c r="AY125" s="520">
        <v>13327.863781</v>
      </c>
      <c r="AZ125" s="519">
        <v>13060.38097</v>
      </c>
      <c r="BA125" s="518">
        <v>12592.159892000005</v>
      </c>
      <c r="BB125" s="517">
        <v>12602.001690999999</v>
      </c>
      <c r="BC125" s="518">
        <v>12832.094338000001</v>
      </c>
      <c r="BD125" s="1074">
        <v>13160.345954999999</v>
      </c>
    </row>
    <row r="126" spans="2:57" hidden="1" outlineLevel="1">
      <c r="B126" s="976" t="s">
        <v>313</v>
      </c>
      <c r="C126" s="3"/>
      <c r="D126" s="929"/>
      <c r="E126" s="929"/>
      <c r="F126" s="929"/>
      <c r="G126" s="929"/>
      <c r="H126" s="929"/>
      <c r="I126" s="929"/>
      <c r="J126" s="929"/>
      <c r="K126" s="929"/>
      <c r="L126" s="929"/>
      <c r="M126" s="929"/>
      <c r="N126" s="860"/>
      <c r="O126" s="860"/>
      <c r="P126" s="860"/>
      <c r="Q126" s="860"/>
      <c r="R126" s="860"/>
      <c r="S126" s="860"/>
      <c r="T126" s="860"/>
      <c r="U126" s="860"/>
      <c r="V126" s="860"/>
      <c r="W126" s="860"/>
      <c r="X126" s="860"/>
      <c r="Y126" s="860"/>
      <c r="Z126" s="513">
        <v>9293.0936160000001</v>
      </c>
      <c r="AA126" s="513">
        <v>8742.0220379999992</v>
      </c>
      <c r="AB126" s="513">
        <v>9031.6390199999987</v>
      </c>
      <c r="AC126" s="513">
        <v>8782.1744990000043</v>
      </c>
      <c r="AD126" s="513">
        <v>9268.1092349999926</v>
      </c>
      <c r="AE126" s="513">
        <v>10055.068471999999</v>
      </c>
      <c r="AF126" s="513">
        <v>8167.0138709999956</v>
      </c>
      <c r="AG126" s="513">
        <v>8509.6172020000049</v>
      </c>
      <c r="AH126" s="513">
        <v>7968.1308879999924</v>
      </c>
      <c r="AI126" s="513">
        <v>7814.6625280000026</v>
      </c>
      <c r="AJ126" s="514">
        <v>8144</v>
      </c>
      <c r="AK126" s="513">
        <v>8317.9803560000018</v>
      </c>
      <c r="AL126" s="516">
        <v>8129.8476569999984</v>
      </c>
      <c r="AM126" s="515">
        <v>7954.3698119999999</v>
      </c>
      <c r="AN126" s="514">
        <v>7942.9838569999965</v>
      </c>
      <c r="AO126" s="513">
        <v>7290.922010000002</v>
      </c>
      <c r="AP126" s="514">
        <v>7105.5237369999986</v>
      </c>
      <c r="AQ126" s="513">
        <v>6837.9277280000015</v>
      </c>
      <c r="AR126" s="514">
        <v>7088.4290570000012</v>
      </c>
      <c r="AS126" s="513">
        <v>6590.3041179999982</v>
      </c>
      <c r="AT126" s="514">
        <v>6126.048456999999</v>
      </c>
      <c r="AU126" s="513">
        <v>6391.5653439999987</v>
      </c>
      <c r="AV126" s="500">
        <v>6765.5202020000015</v>
      </c>
      <c r="AW126" s="499">
        <v>6549.9916770000036</v>
      </c>
      <c r="AX126" s="497">
        <v>6355.4853419999981</v>
      </c>
      <c r="AY126" s="498">
        <v>6072.8441559999992</v>
      </c>
      <c r="AZ126" s="497">
        <v>6340.1657220000016</v>
      </c>
      <c r="BA126" s="512">
        <v>5344.0169769999993</v>
      </c>
      <c r="BB126" s="511">
        <v>5420.5985600000022</v>
      </c>
      <c r="BC126" s="512">
        <v>5745.3156920000001</v>
      </c>
      <c r="BD126" s="1075">
        <v>6160.7898609999975</v>
      </c>
    </row>
    <row r="127" spans="2:57" hidden="1" outlineLevel="1">
      <c r="B127" s="976" t="s">
        <v>314</v>
      </c>
      <c r="C127" s="3"/>
      <c r="D127" s="930"/>
      <c r="E127" s="930"/>
      <c r="F127" s="930"/>
      <c r="G127" s="930"/>
      <c r="H127" s="930"/>
      <c r="I127" s="930"/>
      <c r="J127" s="930"/>
      <c r="K127" s="930"/>
      <c r="L127" s="930"/>
      <c r="M127" s="930"/>
      <c r="N127" s="861"/>
      <c r="O127" s="861"/>
      <c r="P127" s="861"/>
      <c r="Q127" s="861"/>
      <c r="R127" s="861"/>
      <c r="S127" s="861"/>
      <c r="T127" s="861"/>
      <c r="U127" s="861"/>
      <c r="V127" s="861"/>
      <c r="W127" s="861"/>
      <c r="X127" s="861"/>
      <c r="Y127" s="861"/>
      <c r="Z127" s="507">
        <v>0.52612562196077728</v>
      </c>
      <c r="AA127" s="507">
        <v>0.53237659726792552</v>
      </c>
      <c r="AB127" s="507">
        <v>0.53678131602803714</v>
      </c>
      <c r="AC127" s="507">
        <v>0.52707472567524294</v>
      </c>
      <c r="AD127" s="507">
        <v>0.55585748726393658</v>
      </c>
      <c r="AE127" s="507">
        <v>0.58250784346307349</v>
      </c>
      <c r="AF127" s="507">
        <v>0.48889259409156888</v>
      </c>
      <c r="AG127" s="507">
        <v>0.4911682584039842</v>
      </c>
      <c r="AH127" s="507">
        <v>0.46311235711624182</v>
      </c>
      <c r="AI127" s="507">
        <v>0.46105690136144151</v>
      </c>
      <c r="AJ127" s="508">
        <v>0.48699999999999999</v>
      </c>
      <c r="AK127" s="507">
        <v>0.49074442011711528</v>
      </c>
      <c r="AL127" s="510">
        <v>0.48936374693828139</v>
      </c>
      <c r="AM127" s="509">
        <v>0.4977041368022273</v>
      </c>
      <c r="AN127" s="508">
        <v>0.49590305713218563</v>
      </c>
      <c r="AO127" s="507">
        <v>0.47677254483976972</v>
      </c>
      <c r="AP127" s="508">
        <v>0.47488957794880626</v>
      </c>
      <c r="AQ127" s="507">
        <v>0.46973554991110333</v>
      </c>
      <c r="AR127" s="508">
        <v>0.50102271662708076</v>
      </c>
      <c r="AS127" s="507">
        <v>0.47143588318228646</v>
      </c>
      <c r="AT127" s="508">
        <v>0.44636395460677492</v>
      </c>
      <c r="AU127" s="507">
        <v>0.46527671478915783</v>
      </c>
      <c r="AV127" s="506">
        <v>0.50049344341254542</v>
      </c>
      <c r="AW127" s="505">
        <v>0.47837674215551901</v>
      </c>
      <c r="AX127" s="503">
        <v>0.4624209950461744</v>
      </c>
      <c r="AY127" s="504">
        <v>0.45565022690713225</v>
      </c>
      <c r="AZ127" s="503">
        <v>0.48545028943363217</v>
      </c>
      <c r="BA127" s="502">
        <v>0.4243924015287589</v>
      </c>
      <c r="BB127" s="501">
        <v>0.43013790133604279</v>
      </c>
      <c r="BC127" s="502">
        <v>0.44773016318826875</v>
      </c>
      <c r="BD127" s="1076">
        <v>0.46813281976522308</v>
      </c>
    </row>
    <row r="128" spans="2:57" hidden="1" outlineLevel="1">
      <c r="B128" s="976" t="s">
        <v>315</v>
      </c>
      <c r="C128" s="3"/>
      <c r="D128" s="931"/>
      <c r="E128" s="931"/>
      <c r="F128" s="931"/>
      <c r="G128" s="931"/>
      <c r="H128" s="931"/>
      <c r="I128" s="931"/>
      <c r="J128" s="931"/>
      <c r="K128" s="931"/>
      <c r="L128" s="931"/>
      <c r="M128" s="931"/>
      <c r="N128" s="862"/>
      <c r="O128" s="862"/>
      <c r="P128" s="862"/>
      <c r="Q128" s="862"/>
      <c r="R128" s="862"/>
      <c r="S128" s="862"/>
      <c r="T128" s="862"/>
      <c r="U128" s="862"/>
      <c r="V128" s="862"/>
      <c r="W128" s="862"/>
      <c r="X128" s="862"/>
      <c r="Y128" s="862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500"/>
      <c r="AW128" s="499"/>
      <c r="AX128" s="497"/>
      <c r="AY128" s="498"/>
      <c r="AZ128" s="497"/>
      <c r="BA128" s="110"/>
      <c r="BB128" s="110"/>
      <c r="BC128" s="110"/>
      <c r="BD128" s="110"/>
    </row>
    <row r="129" spans="2:57" hidden="1" outlineLevel="1">
      <c r="B129" s="976" t="s">
        <v>316</v>
      </c>
      <c r="C129" s="3"/>
      <c r="D129" s="932"/>
      <c r="E129" s="932"/>
      <c r="F129" s="932"/>
      <c r="G129" s="932"/>
      <c r="H129" s="932"/>
      <c r="I129" s="932"/>
      <c r="J129" s="932"/>
      <c r="K129" s="932"/>
      <c r="L129" s="932"/>
      <c r="M129" s="932"/>
      <c r="N129" s="863"/>
      <c r="O129" s="863"/>
      <c r="P129" s="863"/>
      <c r="Q129" s="863"/>
      <c r="R129" s="863"/>
      <c r="S129" s="863"/>
      <c r="T129" s="863"/>
      <c r="U129" s="863"/>
      <c r="V129" s="863"/>
      <c r="W129" s="863"/>
      <c r="X129" s="863"/>
      <c r="Y129" s="863"/>
      <c r="Z129" s="493">
        <v>2073.2116249999999</v>
      </c>
      <c r="AA129" s="493">
        <v>1003.7284100000001</v>
      </c>
      <c r="AB129" s="493">
        <v>2937.0000000000009</v>
      </c>
      <c r="AC129" s="493">
        <v>1611.1999999999996</v>
      </c>
      <c r="AD129" s="493">
        <v>2135.82633063</v>
      </c>
      <c r="AE129" s="493">
        <v>2036.1736693700002</v>
      </c>
      <c r="AF129" s="493">
        <v>1710.4532574669993</v>
      </c>
      <c r="AG129" s="493">
        <v>1876.4381062370014</v>
      </c>
      <c r="AH129" s="493">
        <v>2586.63793498</v>
      </c>
      <c r="AI129" s="493">
        <v>2933.59063732</v>
      </c>
      <c r="AJ129" s="494">
        <v>2670</v>
      </c>
      <c r="AK129" s="493">
        <v>2379.9259791740005</v>
      </c>
      <c r="AL129" s="496">
        <v>2795.6003905359998</v>
      </c>
      <c r="AM129" s="495">
        <v>3460.6274992900003</v>
      </c>
      <c r="AN129" s="494">
        <v>2243.0968570799996</v>
      </c>
      <c r="AO129" s="493">
        <v>3404.9237509399991</v>
      </c>
      <c r="AP129" s="494">
        <v>2127.7810761930109</v>
      </c>
      <c r="AQ129" s="493">
        <v>2053.5685314009897</v>
      </c>
      <c r="AR129" s="494">
        <v>2093.0332560000006</v>
      </c>
      <c r="AS129" s="493">
        <v>2388.7639639999998</v>
      </c>
      <c r="AT129" s="494">
        <v>2478.0730490000005</v>
      </c>
      <c r="AU129" s="493">
        <v>2902.4032580000003</v>
      </c>
      <c r="AV129" s="492">
        <v>2719.5433450000014</v>
      </c>
      <c r="AW129" s="491">
        <v>2570.3509729999982</v>
      </c>
      <c r="AX129" s="489">
        <v>2054.4786259999996</v>
      </c>
      <c r="AY129" s="490">
        <v>2667.4224440000003</v>
      </c>
      <c r="AZ129" s="489">
        <v>2939.2472360000002</v>
      </c>
      <c r="BA129" s="488">
        <v>1678.6682880000003</v>
      </c>
      <c r="BB129" s="487">
        <v>1192.9531419999998</v>
      </c>
      <c r="BC129" s="488">
        <v>1727.1480799999999</v>
      </c>
      <c r="BD129" s="1077">
        <v>3532.9341009000027</v>
      </c>
    </row>
    <row r="130" spans="2:57" hidden="1" outlineLevel="1">
      <c r="B130" s="975"/>
      <c r="C130" s="3"/>
      <c r="D130" s="933"/>
      <c r="E130" s="933"/>
      <c r="F130" s="933"/>
      <c r="G130" s="933"/>
      <c r="H130" s="933"/>
      <c r="I130" s="933"/>
      <c r="J130" s="933"/>
      <c r="K130" s="933"/>
      <c r="L130" s="933"/>
      <c r="M130" s="933"/>
      <c r="N130" s="493"/>
      <c r="O130" s="493"/>
      <c r="P130" s="493"/>
      <c r="Q130" s="849"/>
      <c r="R130" s="493"/>
      <c r="S130" s="493"/>
      <c r="T130" s="493"/>
      <c r="U130" s="849"/>
      <c r="V130" s="493"/>
      <c r="W130" s="493"/>
      <c r="X130" s="493"/>
      <c r="Y130" s="849"/>
      <c r="Z130" s="493"/>
      <c r="AA130" s="493"/>
      <c r="AB130" s="493"/>
      <c r="AC130" s="493"/>
      <c r="AD130" s="493"/>
      <c r="AE130" s="493"/>
      <c r="AF130" s="493"/>
      <c r="AG130" s="493"/>
      <c r="AH130" s="493"/>
      <c r="AI130" s="493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</row>
    <row r="131" spans="2:57" hidden="1" outlineLevel="1">
      <c r="B131" s="998" t="s">
        <v>392</v>
      </c>
      <c r="C131" s="1182" t="s">
        <v>393</v>
      </c>
      <c r="D131" s="934"/>
      <c r="E131" s="934">
        <f>E3</f>
        <v>46022</v>
      </c>
      <c r="F131" s="934">
        <f>F3</f>
        <v>45930</v>
      </c>
      <c r="G131" s="934">
        <f t="shared" ref="G131:L131" si="16">G3</f>
        <v>45838</v>
      </c>
      <c r="H131" s="934">
        <f t="shared" si="16"/>
        <v>45746</v>
      </c>
      <c r="I131" s="934">
        <f t="shared" si="16"/>
        <v>45656</v>
      </c>
      <c r="J131" s="934">
        <f t="shared" si="16"/>
        <v>45565</v>
      </c>
      <c r="K131" s="934">
        <f t="shared" si="16"/>
        <v>45473</v>
      </c>
      <c r="L131" s="934">
        <f t="shared" si="16"/>
        <v>45382</v>
      </c>
      <c r="M131" s="934">
        <f t="shared" ref="M131:R131" si="17">M3</f>
        <v>45290</v>
      </c>
      <c r="N131" s="256">
        <f t="shared" si="17"/>
        <v>45199</v>
      </c>
      <c r="O131" s="256">
        <f t="shared" si="17"/>
        <v>45107</v>
      </c>
      <c r="P131" s="256">
        <f t="shared" si="17"/>
        <v>45016</v>
      </c>
      <c r="Q131" s="850">
        <f t="shared" si="17"/>
        <v>44926</v>
      </c>
      <c r="R131" s="256">
        <f t="shared" si="17"/>
        <v>44834</v>
      </c>
      <c r="S131" s="256">
        <f t="shared" ref="S131:X131" si="18">S3</f>
        <v>44742</v>
      </c>
      <c r="T131" s="256">
        <f t="shared" si="18"/>
        <v>44651</v>
      </c>
      <c r="U131" s="850">
        <f t="shared" si="18"/>
        <v>44561</v>
      </c>
      <c r="V131" s="256">
        <f t="shared" si="18"/>
        <v>44469</v>
      </c>
      <c r="W131" s="256">
        <f t="shared" si="18"/>
        <v>44377</v>
      </c>
      <c r="X131" s="256">
        <f t="shared" si="18"/>
        <v>44286</v>
      </c>
      <c r="Y131" s="850">
        <f t="shared" ref="Y131:AD131" si="19">Y3</f>
        <v>44196</v>
      </c>
      <c r="Z131" s="256">
        <f t="shared" si="19"/>
        <v>44104</v>
      </c>
      <c r="AA131" s="256">
        <f t="shared" si="19"/>
        <v>44012</v>
      </c>
      <c r="AB131" s="256">
        <f t="shared" si="19"/>
        <v>43921</v>
      </c>
      <c r="AC131" s="256">
        <f t="shared" si="19"/>
        <v>43830</v>
      </c>
      <c r="AD131" s="256">
        <f t="shared" si="19"/>
        <v>43738</v>
      </c>
      <c r="AE131" s="256">
        <f t="shared" ref="AE131:AR131" si="20">AE3</f>
        <v>43646</v>
      </c>
      <c r="AF131" s="256">
        <f t="shared" si="20"/>
        <v>43555</v>
      </c>
      <c r="AG131" s="256">
        <f t="shared" si="20"/>
        <v>43465</v>
      </c>
      <c r="AH131" s="256">
        <f t="shared" si="20"/>
        <v>43373</v>
      </c>
      <c r="AI131" s="256">
        <f t="shared" si="20"/>
        <v>43281</v>
      </c>
      <c r="AJ131" s="255">
        <f t="shared" si="20"/>
        <v>43190</v>
      </c>
      <c r="AK131" s="255">
        <f t="shared" si="20"/>
        <v>43100</v>
      </c>
      <c r="AL131" s="256">
        <f t="shared" si="20"/>
        <v>43008</v>
      </c>
      <c r="AM131" s="256">
        <f t="shared" si="20"/>
        <v>42916</v>
      </c>
      <c r="AN131" s="255">
        <f t="shared" si="20"/>
        <v>42825</v>
      </c>
      <c r="AO131" s="255">
        <f t="shared" si="20"/>
        <v>42735</v>
      </c>
      <c r="AP131" s="255">
        <f t="shared" si="20"/>
        <v>42643</v>
      </c>
      <c r="AQ131" s="255">
        <f t="shared" si="20"/>
        <v>42551</v>
      </c>
      <c r="AR131" s="255">
        <f t="shared" si="20"/>
        <v>42460</v>
      </c>
      <c r="AS131" s="255">
        <v>42369</v>
      </c>
      <c r="AT131" s="255">
        <v>42277</v>
      </c>
      <c r="AU131" s="255">
        <v>42185</v>
      </c>
      <c r="AV131" s="255">
        <v>42094</v>
      </c>
      <c r="AW131" s="254">
        <v>42004</v>
      </c>
      <c r="AX131" s="253">
        <v>41912</v>
      </c>
      <c r="AY131" s="253">
        <v>41820</v>
      </c>
      <c r="AZ131" s="253">
        <v>41729</v>
      </c>
      <c r="BA131" s="110"/>
      <c r="BB131" s="110"/>
      <c r="BC131" s="110"/>
      <c r="BD131" s="110"/>
    </row>
    <row r="132" spans="2:57" hidden="1" outlineLevel="1">
      <c r="B132" s="3" t="s">
        <v>394</v>
      </c>
      <c r="C132" s="1031" t="s">
        <v>395</v>
      </c>
      <c r="D132" s="935"/>
      <c r="E132" s="935"/>
      <c r="F132" s="935"/>
      <c r="G132" s="935"/>
      <c r="H132" s="935"/>
      <c r="I132" s="935"/>
      <c r="J132" s="935"/>
      <c r="K132" s="935"/>
      <c r="L132" s="935"/>
      <c r="M132" s="935"/>
      <c r="N132" s="864"/>
      <c r="O132" s="864"/>
      <c r="P132" s="864"/>
      <c r="Q132" s="864"/>
      <c r="R132" s="864"/>
      <c r="S132" s="864"/>
      <c r="T132" s="864"/>
      <c r="U132" s="864"/>
      <c r="V132" s="864"/>
      <c r="W132" s="864"/>
      <c r="X132" s="864"/>
      <c r="Y132" s="864"/>
      <c r="Z132" s="483">
        <v>97283.28</v>
      </c>
      <c r="AA132" s="483">
        <v>95801.22</v>
      </c>
      <c r="AB132" s="483">
        <v>95371.579999999987</v>
      </c>
      <c r="AC132" s="483">
        <v>94243.579999999987</v>
      </c>
      <c r="AD132" s="483">
        <v>93420.64</v>
      </c>
      <c r="AE132" s="483">
        <v>92631.579999999987</v>
      </c>
      <c r="AF132" s="483">
        <v>92277.32</v>
      </c>
      <c r="AG132" s="483">
        <v>92301</v>
      </c>
      <c r="AH132" s="483">
        <v>92122.6</v>
      </c>
      <c r="AI132" s="483">
        <v>91758.68</v>
      </c>
      <c r="AJ132" s="484">
        <v>91451</v>
      </c>
      <c r="AK132" s="483">
        <v>91007</v>
      </c>
      <c r="AL132" s="486">
        <v>90954.66</v>
      </c>
      <c r="AM132" s="485">
        <v>90836.9</v>
      </c>
      <c r="AN132" s="484">
        <v>90645.6</v>
      </c>
      <c r="AO132" s="483">
        <v>90255.48</v>
      </c>
      <c r="AP132" s="484">
        <v>89790.6</v>
      </c>
      <c r="AQ132" s="483">
        <v>89352.38</v>
      </c>
      <c r="AR132" s="484">
        <v>88808.01999999999</v>
      </c>
      <c r="AS132" s="483">
        <v>88054.540000000008</v>
      </c>
      <c r="AT132" s="484">
        <v>87184.18</v>
      </c>
      <c r="AU132" s="483">
        <v>86396.68</v>
      </c>
      <c r="AV132" s="482">
        <v>85891.64</v>
      </c>
      <c r="AW132" s="481">
        <v>85063.799999999988</v>
      </c>
      <c r="AX132" s="479">
        <v>84303.42</v>
      </c>
      <c r="AY132" s="480">
        <v>83777.799999999988</v>
      </c>
      <c r="AZ132" s="479">
        <v>83368.36</v>
      </c>
      <c r="BA132" s="478">
        <v>82813.299999999988</v>
      </c>
      <c r="BB132" s="477">
        <v>82476.479999999996</v>
      </c>
      <c r="BC132" s="478">
        <v>82320.86</v>
      </c>
      <c r="BD132" s="1078">
        <v>82082.98</v>
      </c>
    </row>
    <row r="133" spans="2:57" hidden="1" outlineLevel="1">
      <c r="B133" s="3" t="s">
        <v>396</v>
      </c>
      <c r="C133" s="1031" t="s">
        <v>395</v>
      </c>
      <c r="D133" s="936"/>
      <c r="E133" s="936"/>
      <c r="F133" s="936"/>
      <c r="G133" s="936"/>
      <c r="H133" s="936"/>
      <c r="I133" s="936"/>
      <c r="J133" s="936"/>
      <c r="K133" s="936"/>
      <c r="L133" s="936"/>
      <c r="M133" s="936"/>
      <c r="N133" s="865"/>
      <c r="O133" s="865"/>
      <c r="P133" s="865"/>
      <c r="Q133" s="865"/>
      <c r="R133" s="865"/>
      <c r="S133" s="865"/>
      <c r="T133" s="865"/>
      <c r="U133" s="865"/>
      <c r="V133" s="865"/>
      <c r="W133" s="865"/>
      <c r="X133" s="865"/>
      <c r="Y133" s="865"/>
      <c r="Z133" s="473">
        <v>176332.22</v>
      </c>
      <c r="AA133" s="473">
        <v>174215.64</v>
      </c>
      <c r="AB133" s="473">
        <v>174581.32</v>
      </c>
      <c r="AC133" s="473">
        <v>174150.08000000002</v>
      </c>
      <c r="AD133" s="473">
        <v>173406</v>
      </c>
      <c r="AE133" s="473">
        <v>173246.52</v>
      </c>
      <c r="AF133" s="473">
        <v>172723.86</v>
      </c>
      <c r="AG133" s="473">
        <v>174449</v>
      </c>
      <c r="AH133" s="473">
        <v>174512</v>
      </c>
      <c r="AI133" s="473">
        <v>200777.68</v>
      </c>
      <c r="AJ133" s="474">
        <v>205596</v>
      </c>
      <c r="AK133" s="473">
        <v>213476</v>
      </c>
      <c r="AL133" s="476">
        <v>220088.18</v>
      </c>
      <c r="AM133" s="475">
        <v>218401.14</v>
      </c>
      <c r="AN133" s="474">
        <v>210606.46</v>
      </c>
      <c r="AO133" s="473">
        <v>204933.78</v>
      </c>
      <c r="AP133" s="474">
        <v>198794.58000000002</v>
      </c>
      <c r="AQ133" s="473">
        <v>196401.26</v>
      </c>
      <c r="AR133" s="474">
        <v>195034.52</v>
      </c>
      <c r="AS133" s="473">
        <v>191920.52</v>
      </c>
      <c r="AT133" s="474">
        <v>188635.78</v>
      </c>
      <c r="AU133" s="473">
        <v>185215.2</v>
      </c>
      <c r="AV133" s="472">
        <v>182294.46</v>
      </c>
      <c r="AW133" s="471">
        <v>178747.62</v>
      </c>
      <c r="AX133" s="469">
        <v>174270.18</v>
      </c>
      <c r="AY133" s="470">
        <v>170320.03999999998</v>
      </c>
      <c r="AZ133" s="469">
        <v>167201.96</v>
      </c>
      <c r="BA133" s="457">
        <v>163370.20000000001</v>
      </c>
      <c r="BB133" s="468">
        <v>159996.84</v>
      </c>
      <c r="BC133" s="457">
        <v>158037.76000000001</v>
      </c>
      <c r="BD133" s="1079">
        <v>156607.62</v>
      </c>
    </row>
    <row r="134" spans="2:57" hidden="1" outlineLevel="1">
      <c r="B134" s="999" t="s">
        <v>397</v>
      </c>
      <c r="C134" s="1039" t="s">
        <v>398</v>
      </c>
      <c r="D134" s="937"/>
      <c r="E134" s="937"/>
      <c r="F134" s="937"/>
      <c r="G134" s="937"/>
      <c r="H134" s="937"/>
      <c r="I134" s="937"/>
      <c r="J134" s="937"/>
      <c r="K134" s="937"/>
      <c r="L134" s="937"/>
      <c r="M134" s="937"/>
      <c r="N134" s="866"/>
      <c r="O134" s="866"/>
      <c r="P134" s="866"/>
      <c r="Q134" s="866"/>
      <c r="R134" s="866"/>
      <c r="S134" s="866"/>
      <c r="T134" s="866"/>
      <c r="U134" s="866"/>
      <c r="V134" s="866"/>
      <c r="W134" s="866"/>
      <c r="X134" s="866"/>
      <c r="Y134" s="866"/>
      <c r="Z134" s="464">
        <v>1.8155152795796659</v>
      </c>
      <c r="AA134" s="464">
        <v>1.8245114367734325</v>
      </c>
      <c r="AB134" s="464">
        <v>1.8391535782265513</v>
      </c>
      <c r="AC134" s="464">
        <v>1.8520103619112906</v>
      </c>
      <c r="AD134" s="464">
        <v>1.8632001273620926</v>
      </c>
      <c r="AE134" s="464">
        <v>1.8710315187641049</v>
      </c>
      <c r="AF134" s="464">
        <v>1.8808987838765445</v>
      </c>
      <c r="AG134" s="464">
        <v>1.8911201172877923</v>
      </c>
      <c r="AH134" s="464">
        <v>2.04</v>
      </c>
      <c r="AI134" s="464">
        <v>2.2200000000000002</v>
      </c>
      <c r="AJ134" s="465">
        <v>2.2971213085435571</v>
      </c>
      <c r="AK134" s="464">
        <v>2.38</v>
      </c>
      <c r="AL134" s="467">
        <v>2.4120377974703628</v>
      </c>
      <c r="AM134" s="466">
        <v>2.3638996490029367</v>
      </c>
      <c r="AN134" s="465">
        <v>2.2971213085435571</v>
      </c>
      <c r="AO134" s="464">
        <v>2.242361288843389</v>
      </c>
      <c r="AP134" s="465">
        <v>2.2060358714586528</v>
      </c>
      <c r="AQ134" s="464">
        <v>2.2000000000000002</v>
      </c>
      <c r="AR134" s="465">
        <v>2.1878855536185839</v>
      </c>
      <c r="AS134" s="464">
        <v>2.1716450565263203</v>
      </c>
      <c r="AT134" s="465">
        <v>2.1537569291913865</v>
      </c>
      <c r="AU134" s="464">
        <v>2.1331083848284087</v>
      </c>
      <c r="AV134" s="463">
        <v>2.1119075239723286</v>
      </c>
      <c r="AW134" s="462">
        <v>2.0843336744855354</v>
      </c>
      <c r="AX134" s="460">
        <v>2.0501411163007979</v>
      </c>
      <c r="AY134" s="461">
        <v>2.0193224899692583</v>
      </c>
      <c r="AZ134" s="460">
        <v>1.9892216746420759</v>
      </c>
      <c r="BA134" s="459">
        <v>1.9563643922812415</v>
      </c>
      <c r="BB134" s="458">
        <v>1.9298527512640675</v>
      </c>
      <c r="BC134" s="459">
        <v>1.9138566349788424</v>
      </c>
      <c r="BD134" s="1080">
        <v>1.9143584293264564</v>
      </c>
    </row>
    <row r="135" spans="2:57" hidden="1" outlineLevel="1"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0"/>
      <c r="AW135" s="110"/>
      <c r="AX135" s="110"/>
      <c r="AY135" s="110"/>
      <c r="AZ135" s="110"/>
      <c r="BA135" s="457"/>
      <c r="BB135" s="110"/>
      <c r="BC135" s="110"/>
      <c r="BD135" s="110"/>
    </row>
    <row r="136" spans="2:57" s="15" customFormat="1" hidden="1" outlineLevel="1">
      <c r="B136" s="1027" t="s">
        <v>399</v>
      </c>
      <c r="C136" s="17"/>
      <c r="D136" s="18"/>
      <c r="E136" s="18" t="str">
        <f>E2</f>
        <v>Q3 FY 26</v>
      </c>
      <c r="F136" s="18" t="str">
        <f>F2</f>
        <v>Q2 FY 26</v>
      </c>
      <c r="G136" s="18" t="str">
        <f t="shared" ref="G136:L136" si="21">G2</f>
        <v>Q1 FY 26</v>
      </c>
      <c r="H136" s="18" t="str">
        <f t="shared" si="21"/>
        <v>Q4 FY 25</v>
      </c>
      <c r="I136" s="18" t="str">
        <f t="shared" si="21"/>
        <v>Q3 FY 25</v>
      </c>
      <c r="J136" s="18" t="str">
        <f t="shared" si="21"/>
        <v>Q2 FY 25</v>
      </c>
      <c r="K136" s="18" t="str">
        <f t="shared" si="21"/>
        <v>Q1 FY 25</v>
      </c>
      <c r="L136" s="18" t="str">
        <f t="shared" si="21"/>
        <v>Q4 FY 24</v>
      </c>
      <c r="M136" s="888" t="str">
        <f t="shared" ref="M136:R136" si="22">M2</f>
        <v>Q3 FY 24</v>
      </c>
      <c r="N136" s="18" t="str">
        <f t="shared" si="22"/>
        <v>Q2 FY 24</v>
      </c>
      <c r="O136" s="18" t="str">
        <f t="shared" si="22"/>
        <v>Q1 FY 24</v>
      </c>
      <c r="P136" s="18" t="str">
        <f t="shared" si="22"/>
        <v>Q4 FY 23</v>
      </c>
      <c r="Q136" s="18" t="str">
        <f t="shared" si="22"/>
        <v>Q3 FY 23</v>
      </c>
      <c r="R136" s="18" t="str">
        <f t="shared" si="22"/>
        <v>Q2 FY 23</v>
      </c>
      <c r="S136" s="18" t="str">
        <f t="shared" ref="S136:X136" si="23">S2</f>
        <v>Q1 FY 23</v>
      </c>
      <c r="T136" s="18" t="str">
        <f t="shared" si="23"/>
        <v>Q4 FY 22</v>
      </c>
      <c r="U136" s="18" t="str">
        <f t="shared" si="23"/>
        <v>Q3 FY 22</v>
      </c>
      <c r="V136" s="18" t="str">
        <f t="shared" si="23"/>
        <v>Q2 FY 22</v>
      </c>
      <c r="W136" s="18" t="str">
        <f t="shared" si="23"/>
        <v>Q1 FY 22</v>
      </c>
      <c r="X136" s="18" t="str">
        <f t="shared" si="23"/>
        <v>Q4 FY 21</v>
      </c>
      <c r="Y136" s="18" t="str">
        <f t="shared" ref="Y136:AD136" si="24">Y2</f>
        <v>Q3 FY 21</v>
      </c>
      <c r="Z136" s="18" t="str">
        <f t="shared" si="24"/>
        <v>Q2 FY 21</v>
      </c>
      <c r="AA136" s="18" t="str">
        <f t="shared" si="24"/>
        <v>Q1 FY 21</v>
      </c>
      <c r="AB136" s="18" t="str">
        <f t="shared" si="24"/>
        <v>Q4 FY 20</v>
      </c>
      <c r="AC136" s="18" t="str">
        <f t="shared" si="24"/>
        <v>Q3 FY 20</v>
      </c>
      <c r="AD136" s="18" t="str">
        <f t="shared" si="24"/>
        <v>Q2 FY 20</v>
      </c>
      <c r="AE136" s="18" t="str">
        <f t="shared" ref="AE136:BD136" si="25">AE2</f>
        <v>Q1 FY 20</v>
      </c>
      <c r="AF136" s="18" t="str">
        <f t="shared" si="25"/>
        <v>Q4 FY19</v>
      </c>
      <c r="AG136" s="18" t="str">
        <f t="shared" si="25"/>
        <v>Q3 FY19</v>
      </c>
      <c r="AH136" s="18" t="str">
        <f t="shared" si="25"/>
        <v>Q2 FY19</v>
      </c>
      <c r="AI136" s="18" t="str">
        <f t="shared" si="25"/>
        <v>Q1 FY 19</v>
      </c>
      <c r="AJ136" s="18" t="str">
        <f t="shared" si="25"/>
        <v>Q4 FY18</v>
      </c>
      <c r="AK136" s="18" t="str">
        <f t="shared" si="25"/>
        <v>Q3 FY 18</v>
      </c>
      <c r="AL136" s="18" t="str">
        <f t="shared" si="25"/>
        <v>Q2 FY 18</v>
      </c>
      <c r="AM136" s="18" t="str">
        <f t="shared" si="25"/>
        <v>Q1 FY 18</v>
      </c>
      <c r="AN136" s="18" t="str">
        <f t="shared" si="25"/>
        <v>Q4 FY17</v>
      </c>
      <c r="AO136" s="18" t="str">
        <f t="shared" si="25"/>
        <v>Q3 FY17</v>
      </c>
      <c r="AP136" s="18" t="str">
        <f t="shared" si="25"/>
        <v>Q2 FY17</v>
      </c>
      <c r="AQ136" s="18" t="str">
        <f t="shared" si="25"/>
        <v>Q1 FY 17</v>
      </c>
      <c r="AR136" s="18" t="str">
        <f t="shared" si="25"/>
        <v>Q4 FY16</v>
      </c>
      <c r="AS136" s="18" t="str">
        <f t="shared" si="25"/>
        <v>Q3 FY16</v>
      </c>
      <c r="AT136" s="18" t="str">
        <f t="shared" si="25"/>
        <v>Q2 FY16</v>
      </c>
      <c r="AU136" s="18" t="str">
        <f t="shared" si="25"/>
        <v>Q1 FY16</v>
      </c>
      <c r="AV136" s="18" t="str">
        <f t="shared" si="25"/>
        <v>Q4 FY15</v>
      </c>
      <c r="AW136" s="18" t="str">
        <f t="shared" si="25"/>
        <v>Q3 FY15</v>
      </c>
      <c r="AX136" s="18" t="str">
        <f t="shared" si="25"/>
        <v>Q4 FY15</v>
      </c>
      <c r="AY136" s="18" t="str">
        <f t="shared" si="25"/>
        <v>Q1 FY15</v>
      </c>
      <c r="AZ136" s="18" t="str">
        <f t="shared" si="25"/>
        <v>Q4 FY 14</v>
      </c>
      <c r="BA136" s="18" t="str">
        <f t="shared" si="25"/>
        <v>Q3 FY 14</v>
      </c>
      <c r="BB136" s="18" t="str">
        <f t="shared" si="25"/>
        <v>Q2 FY 14</v>
      </c>
      <c r="BC136" s="18" t="str">
        <f t="shared" si="25"/>
        <v>Q1 FY 14</v>
      </c>
      <c r="BD136" s="18" t="str">
        <f t="shared" si="25"/>
        <v>Q4 FY 13</v>
      </c>
      <c r="BE136" s="1048"/>
    </row>
    <row r="137" spans="2:57" hidden="1" outlineLevel="1">
      <c r="B137" s="97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298" t="s">
        <v>400</v>
      </c>
      <c r="BB137" s="298" t="s">
        <v>400</v>
      </c>
      <c r="BC137" s="298" t="s">
        <v>400</v>
      </c>
      <c r="BD137" s="298" t="s">
        <v>400</v>
      </c>
    </row>
    <row r="138" spans="2:57" hidden="1" outlineLevel="1">
      <c r="B138" s="976" t="s">
        <v>312</v>
      </c>
      <c r="D138" s="1203"/>
      <c r="E138" s="1203"/>
      <c r="F138" s="1203"/>
      <c r="G138" s="1203"/>
      <c r="H138" s="1203"/>
      <c r="I138" s="1203"/>
      <c r="J138" s="1203"/>
      <c r="K138" s="1203">
        <v>940.75</v>
      </c>
      <c r="L138" s="1203">
        <v>961.3448814100002</v>
      </c>
      <c r="M138" s="1203">
        <v>945.2344450999999</v>
      </c>
      <c r="N138" s="1236">
        <v>932.81413617399994</v>
      </c>
      <c r="O138" s="1236">
        <v>933.71615324100003</v>
      </c>
      <c r="P138" s="1236">
        <v>805.59233178499903</v>
      </c>
      <c r="Q138" s="1236">
        <v>776.55100861300139</v>
      </c>
      <c r="R138" s="1236">
        <v>695</v>
      </c>
      <c r="S138" s="1236">
        <v>666.88710738999998</v>
      </c>
      <c r="T138" s="1236">
        <v>983.7042368750009</v>
      </c>
      <c r="U138" s="1236">
        <v>975.48070332999885</v>
      </c>
      <c r="V138" s="1236">
        <v>957.85773911400031</v>
      </c>
      <c r="W138" s="1236">
        <v>951.57582377999995</v>
      </c>
      <c r="X138" s="1236">
        <v>982.30751476899945</v>
      </c>
      <c r="Y138" s="1236">
        <v>1060.6138277099997</v>
      </c>
      <c r="Z138" s="1236">
        <v>1116.3075473180004</v>
      </c>
      <c r="AA138" s="1236">
        <v>1087.516621645</v>
      </c>
      <c r="AB138" s="1236">
        <v>1203.096119242002</v>
      </c>
      <c r="AC138" s="1236">
        <v>1154.7463531619999</v>
      </c>
      <c r="AD138" s="453">
        <v>1105.6166348169997</v>
      </c>
      <c r="AE138" s="453">
        <v>1089</v>
      </c>
      <c r="AF138" s="453">
        <v>1124.2615708570015</v>
      </c>
      <c r="AG138" s="453">
        <v>1130.0029552169999</v>
      </c>
      <c r="AH138" s="453">
        <v>1121.9087047080002</v>
      </c>
      <c r="AI138" s="453">
        <v>1060.3252391279998</v>
      </c>
      <c r="AJ138" s="454">
        <v>1033</v>
      </c>
      <c r="AK138" s="453">
        <v>1012.5216980590003</v>
      </c>
      <c r="AL138" s="456">
        <v>1027.6500586839998</v>
      </c>
      <c r="AM138" s="455">
        <v>971.71580549400005</v>
      </c>
      <c r="AN138" s="454">
        <v>976.59419986299872</v>
      </c>
      <c r="AO138" s="453">
        <v>2453.8504955349963</v>
      </c>
      <c r="AP138" s="454">
        <v>4169.3683122689999</v>
      </c>
      <c r="AQ138" s="453">
        <v>4142.901973</v>
      </c>
      <c r="AR138" s="454">
        <v>4387.867322000001</v>
      </c>
      <c r="AS138" s="453">
        <v>4134.8333569999986</v>
      </c>
      <c r="AT138" s="454">
        <v>4045.421343</v>
      </c>
      <c r="AU138" s="453">
        <v>3885.6957130000001</v>
      </c>
      <c r="AV138" s="452">
        <v>3706.2823839999983</v>
      </c>
      <c r="AW138" s="451">
        <v>3788.080820000001</v>
      </c>
      <c r="AX138" s="449">
        <v>3893.343809</v>
      </c>
      <c r="AY138" s="450">
        <v>4370.8117480000001</v>
      </c>
      <c r="AZ138" s="449">
        <v>4487.7197530000012</v>
      </c>
      <c r="BA138" s="448">
        <v>71.959375282277023</v>
      </c>
      <c r="BB138" s="447">
        <v>72.210512583970328</v>
      </c>
      <c r="BC138" s="448">
        <v>69.985338503183669</v>
      </c>
      <c r="BD138" s="1081">
        <v>63.799965746695534</v>
      </c>
    </row>
    <row r="139" spans="2:57" hidden="1" outlineLevel="1">
      <c r="B139" s="976" t="s">
        <v>313</v>
      </c>
      <c r="D139" s="1205"/>
      <c r="E139" s="1205"/>
      <c r="F139" s="1205"/>
      <c r="G139" s="1205"/>
      <c r="H139" s="1205"/>
      <c r="I139" s="1205"/>
      <c r="J139" s="1205"/>
      <c r="K139" s="1205">
        <v>-166.15</v>
      </c>
      <c r="L139" s="1205">
        <v>-265.49376133099986</v>
      </c>
      <c r="M139" s="1205">
        <v>-151.0451155640003</v>
      </c>
      <c r="N139" s="1237">
        <v>-119.8444728290001</v>
      </c>
      <c r="O139" s="1237">
        <v>-112.41179045599984</v>
      </c>
      <c r="P139" s="1237">
        <v>-138.39178903500101</v>
      </c>
      <c r="Q139" s="1237">
        <v>-131.09308721799846</v>
      </c>
      <c r="R139" s="1237">
        <v>-141</v>
      </c>
      <c r="S139" s="1237">
        <v>-108.08195985200007</v>
      </c>
      <c r="T139" s="1237">
        <v>-159.96442757199895</v>
      </c>
      <c r="U139" s="1237">
        <v>-208.7894512840013</v>
      </c>
      <c r="V139" s="1237">
        <v>-141.33020668699976</v>
      </c>
      <c r="W139" s="1237">
        <v>-110.69604768600004</v>
      </c>
      <c r="X139" s="1237">
        <v>-121.6531217290003</v>
      </c>
      <c r="Y139" s="1237">
        <v>38.822074347999546</v>
      </c>
      <c r="Z139" s="1237">
        <v>116.03673861700031</v>
      </c>
      <c r="AA139" s="1237">
        <v>98.239024370000038</v>
      </c>
      <c r="AB139" s="1237">
        <v>146.96209258700219</v>
      </c>
      <c r="AC139" s="1237">
        <v>106.05340315399951</v>
      </c>
      <c r="AD139" s="443">
        <v>84</v>
      </c>
      <c r="AE139" s="443">
        <v>92</v>
      </c>
      <c r="AF139" s="443">
        <v>44.628641189001655</v>
      </c>
      <c r="AG139" s="443">
        <v>41.809687695999855</v>
      </c>
      <c r="AH139" s="443">
        <v>30.019111759000339</v>
      </c>
      <c r="AI139" s="443">
        <v>9.994731799999613</v>
      </c>
      <c r="AJ139" s="444">
        <v>67</v>
      </c>
      <c r="AK139" s="443">
        <v>18.144777342000225</v>
      </c>
      <c r="AL139" s="446">
        <v>-14.638699521000262</v>
      </c>
      <c r="AM139" s="445">
        <v>-62.24993106799991</v>
      </c>
      <c r="AN139" s="444">
        <v>-107.9901743820011</v>
      </c>
      <c r="AO139" s="443">
        <v>161.58074008299582</v>
      </c>
      <c r="AP139" s="444">
        <v>209.74431267199998</v>
      </c>
      <c r="AQ139" s="443">
        <v>-25.817163999999593</v>
      </c>
      <c r="AR139" s="444">
        <v>287.48812300000054</v>
      </c>
      <c r="AS139" s="443">
        <v>-370.655717000001</v>
      </c>
      <c r="AT139" s="444">
        <v>-241.94401799999969</v>
      </c>
      <c r="AU139" s="443">
        <v>-475.53604099999984</v>
      </c>
      <c r="AV139" s="442">
        <v>-265.6871690000047</v>
      </c>
      <c r="AW139" s="441">
        <v>-270.74933699999661</v>
      </c>
      <c r="AX139" s="439">
        <v>107.29849800000071</v>
      </c>
      <c r="AY139" s="440">
        <v>233.40401799999935</v>
      </c>
      <c r="AZ139" s="439">
        <v>295.5549890000043</v>
      </c>
      <c r="BA139" s="438">
        <v>5.036495534975642</v>
      </c>
      <c r="BB139" s="437">
        <v>4.2143716402024314</v>
      </c>
      <c r="BC139" s="438">
        <v>2.8753022550955345</v>
      </c>
      <c r="BD139" s="1082">
        <v>-1.2514259131391581</v>
      </c>
    </row>
    <row r="140" spans="2:57" hidden="1" outlineLevel="1">
      <c r="B140" s="976" t="s">
        <v>314</v>
      </c>
      <c r="D140" s="1207"/>
      <c r="E140" s="1207"/>
      <c r="F140" s="1207"/>
      <c r="G140" s="1207"/>
      <c r="H140" s="1207"/>
      <c r="I140" s="1207"/>
      <c r="J140" s="1207"/>
      <c r="K140" s="1207">
        <v>-0.17661440340154133</v>
      </c>
      <c r="L140" s="1207">
        <v>-0.27616911107031783</v>
      </c>
      <c r="M140" s="1207">
        <v>-0.15979645721440111</v>
      </c>
      <c r="N140" s="1238">
        <v>-0.12847626143462007</v>
      </c>
      <c r="O140" s="1238">
        <v>-0.12039182364555859</v>
      </c>
      <c r="P140" s="1238">
        <v>-0.17178886090978307</v>
      </c>
      <c r="Q140" s="1238">
        <v>-0.16881452185883317</v>
      </c>
      <c r="R140" s="1238">
        <v>-0.20300000000000001</v>
      </c>
      <c r="S140" s="1238">
        <v>-0.16206934975096621</v>
      </c>
      <c r="T140" s="1238">
        <v>-0.16261435254174431</v>
      </c>
      <c r="U140" s="1238">
        <v>-0.21403750025116505</v>
      </c>
      <c r="V140" s="1238">
        <v>-0.14754822236726661</v>
      </c>
      <c r="W140" s="1238">
        <v>-0.11632919302875487</v>
      </c>
      <c r="X140" s="1238">
        <v>-0.12384423401016981</v>
      </c>
      <c r="Y140" s="1238">
        <v>3.6603402042967276E-2</v>
      </c>
      <c r="Z140" s="1238">
        <v>0.10394692653990016</v>
      </c>
      <c r="AA140" s="1238">
        <v>9.0333354373381136E-2</v>
      </c>
      <c r="AB140" s="1238">
        <v>0.12215324298410513</v>
      </c>
      <c r="AC140" s="1238">
        <v>9.1841297323518145E-2</v>
      </c>
      <c r="AD140" s="433">
        <v>7.6405285445060284E-2</v>
      </c>
      <c r="AE140" s="433">
        <v>8.4628431975138849E-2</v>
      </c>
      <c r="AF140" s="433">
        <v>3.9695958970635416E-2</v>
      </c>
      <c r="AG140" s="433">
        <v>3.6999626862012004E-2</v>
      </c>
      <c r="AH140" s="433">
        <v>2.6757178755301154E-2</v>
      </c>
      <c r="AI140" s="433">
        <v>9.4261000598450089E-3</v>
      </c>
      <c r="AJ140" s="434">
        <v>6.5000000000000002E-2</v>
      </c>
      <c r="AK140" s="433">
        <v>1.7920383708105895E-2</v>
      </c>
      <c r="AL140" s="436">
        <v>-1.4244829158815463E-2</v>
      </c>
      <c r="AM140" s="435">
        <v>-6.4061869443765337E-2</v>
      </c>
      <c r="AN140" s="434">
        <v>-0.11057834912100695</v>
      </c>
      <c r="AO140" s="433">
        <v>6.5847833996817096E-2</v>
      </c>
      <c r="AP140" s="434">
        <v>5.0306016874257779E-2</v>
      </c>
      <c r="AQ140" s="433">
        <v>-6.2316618081370168E-3</v>
      </c>
      <c r="AR140" s="434">
        <v>6.5518873270981839E-2</v>
      </c>
      <c r="AS140" s="433">
        <v>-8.9642238271224514E-2</v>
      </c>
      <c r="AT140" s="434">
        <v>-5.9806877327783871E-2</v>
      </c>
      <c r="AU140" s="433">
        <v>-0.12238118373732777</v>
      </c>
      <c r="AV140" s="432">
        <v>-7.1685624966671413E-2</v>
      </c>
      <c r="AW140" s="431">
        <v>-7.1474012795745084E-2</v>
      </c>
      <c r="AX140" s="429">
        <v>2.7559471565795308E-2</v>
      </c>
      <c r="AY140" s="430">
        <v>5.3400611020779053E-2</v>
      </c>
      <c r="AZ140" s="429">
        <v>6.5858610890849045E-2</v>
      </c>
      <c r="BA140" s="428">
        <v>6.9990817947193709E-2</v>
      </c>
      <c r="BB140" s="427">
        <v>5.836230057641164E-2</v>
      </c>
      <c r="BC140" s="428">
        <v>4.1084351616942391E-2</v>
      </c>
      <c r="BD140" s="1083">
        <v>-1.9614836755676074E-2</v>
      </c>
    </row>
    <row r="141" spans="2:57" hidden="1" outlineLevel="1">
      <c r="B141" s="976" t="s">
        <v>315</v>
      </c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0"/>
      <c r="AW141" s="110"/>
      <c r="AX141" s="110"/>
      <c r="AY141" s="110"/>
      <c r="AZ141" s="110"/>
      <c r="BA141" s="110"/>
      <c r="BB141" s="110"/>
      <c r="BC141" s="110"/>
      <c r="BD141" s="110"/>
    </row>
    <row r="142" spans="2:57" hidden="1" outlineLevel="1">
      <c r="B142" s="976" t="s">
        <v>316</v>
      </c>
      <c r="D142" s="1239"/>
      <c r="E142" s="1239"/>
      <c r="F142" s="1239"/>
      <c r="G142" s="1239"/>
      <c r="H142" s="1239"/>
      <c r="I142" s="1239"/>
      <c r="J142" s="1239"/>
      <c r="K142" s="1239">
        <v>3.9371399999995447</v>
      </c>
      <c r="L142" s="1239">
        <v>58.610977185000081</v>
      </c>
      <c r="M142" s="1239">
        <v>31.601281729999982</v>
      </c>
      <c r="N142" s="1240">
        <v>89.64482546800005</v>
      </c>
      <c r="O142" s="1240">
        <v>87.261233101999977</v>
      </c>
      <c r="P142" s="1240">
        <v>523.37970581700006</v>
      </c>
      <c r="Q142" s="1240">
        <v>104.35629280400008</v>
      </c>
      <c r="R142" s="1240">
        <v>130</v>
      </c>
      <c r="S142" s="1240">
        <v>221.40233731599997</v>
      </c>
      <c r="T142" s="1240">
        <v>388.05820246499934</v>
      </c>
      <c r="U142" s="1240">
        <v>511.99231765299965</v>
      </c>
      <c r="V142" s="1240">
        <v>1414.1546385279994</v>
      </c>
      <c r="W142" s="1240">
        <v>978.07902759300032</v>
      </c>
      <c r="X142" s="1240">
        <v>1593.3323672490001</v>
      </c>
      <c r="Y142" s="1240">
        <v>900.93192579100059</v>
      </c>
      <c r="Z142" s="1240">
        <v>857.85295007199989</v>
      </c>
      <c r="AA142" s="1240">
        <v>334.38177243299998</v>
      </c>
      <c r="AB142" s="1240">
        <v>268.95894654599988</v>
      </c>
      <c r="AC142" s="1240">
        <v>331.07829239300008</v>
      </c>
      <c r="AD142" s="423">
        <v>106.51804518899985</v>
      </c>
      <c r="AE142" s="423">
        <v>318.45299086099999</v>
      </c>
      <c r="AF142" s="423">
        <v>163.87916014299964</v>
      </c>
      <c r="AG142" s="423">
        <v>389.42239373699994</v>
      </c>
      <c r="AH142" s="423">
        <v>423.46215376800018</v>
      </c>
      <c r="AI142" s="423">
        <v>207.92499294700002</v>
      </c>
      <c r="AJ142" s="424">
        <v>301</v>
      </c>
      <c r="AK142" s="423">
        <v>388.61781918200006</v>
      </c>
      <c r="AL142" s="426">
        <v>267.16092672100001</v>
      </c>
      <c r="AM142" s="425">
        <v>278.44516050499999</v>
      </c>
      <c r="AN142" s="424">
        <v>552.34238154499974</v>
      </c>
      <c r="AO142" s="423">
        <v>456.93767456600023</v>
      </c>
      <c r="AP142" s="424">
        <v>290.00592322200004</v>
      </c>
      <c r="AQ142" s="423">
        <v>530.7239340000001</v>
      </c>
      <c r="AR142" s="424">
        <v>464.96431699999948</v>
      </c>
      <c r="AS142" s="423">
        <v>546.74132300000019</v>
      </c>
      <c r="AT142" s="424">
        <v>1316.9507019999996</v>
      </c>
      <c r="AU142" s="423">
        <v>992.23521200000005</v>
      </c>
      <c r="AV142" s="422">
        <v>1330.0441500000004</v>
      </c>
      <c r="AW142" s="421">
        <v>427.02323199999978</v>
      </c>
      <c r="AX142" s="419">
        <v>661.2002030000001</v>
      </c>
      <c r="AY142" s="420">
        <v>815.10957600000006</v>
      </c>
      <c r="AZ142" s="419">
        <v>2097.8082870000007</v>
      </c>
      <c r="BA142" s="418">
        <v>34.116179359430603</v>
      </c>
      <c r="BB142" s="417">
        <v>21.077421574707984</v>
      </c>
      <c r="BC142" s="418">
        <v>16.214512918835023</v>
      </c>
      <c r="BD142" s="1084">
        <v>25.719863916875532</v>
      </c>
    </row>
    <row r="143" spans="2:57" hidden="1" outlineLevel="1"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0"/>
      <c r="AW143" s="110"/>
      <c r="AX143" s="110"/>
      <c r="AY143" s="110"/>
      <c r="AZ143" s="110"/>
      <c r="BA143" s="110"/>
      <c r="BB143" s="110"/>
      <c r="BC143" s="110"/>
      <c r="BD143" s="110"/>
    </row>
    <row r="144" spans="2:57" s="793" customFormat="1" hidden="1" outlineLevel="1">
      <c r="B144" s="1000" t="s">
        <v>392</v>
      </c>
      <c r="C144" s="1183" t="s">
        <v>393</v>
      </c>
      <c r="D144" s="900"/>
      <c r="E144" s="900">
        <f>E131</f>
        <v>46022</v>
      </c>
      <c r="F144" s="900">
        <f>F131</f>
        <v>45930</v>
      </c>
      <c r="G144" s="900">
        <f t="shared" ref="G144:L144" si="26">G131</f>
        <v>45838</v>
      </c>
      <c r="H144" s="900">
        <f t="shared" si="26"/>
        <v>45746</v>
      </c>
      <c r="I144" s="900">
        <f t="shared" si="26"/>
        <v>45656</v>
      </c>
      <c r="J144" s="900">
        <f t="shared" si="26"/>
        <v>45565</v>
      </c>
      <c r="K144" s="900">
        <f t="shared" si="26"/>
        <v>45473</v>
      </c>
      <c r="L144" s="900">
        <f t="shared" si="26"/>
        <v>45382</v>
      </c>
      <c r="M144" s="900">
        <f t="shared" ref="M144:R144" si="27">M131</f>
        <v>45290</v>
      </c>
      <c r="N144" s="789">
        <f t="shared" si="27"/>
        <v>45199</v>
      </c>
      <c r="O144" s="789">
        <f t="shared" si="27"/>
        <v>45107</v>
      </c>
      <c r="P144" s="789">
        <f t="shared" si="27"/>
        <v>45016</v>
      </c>
      <c r="Q144" s="789">
        <f t="shared" si="27"/>
        <v>44926</v>
      </c>
      <c r="R144" s="789">
        <f t="shared" si="27"/>
        <v>44834</v>
      </c>
      <c r="S144" s="789">
        <f t="shared" ref="S144:X144" si="28">S131</f>
        <v>44742</v>
      </c>
      <c r="T144" s="789">
        <f t="shared" si="28"/>
        <v>44651</v>
      </c>
      <c r="U144" s="789">
        <f t="shared" si="28"/>
        <v>44561</v>
      </c>
      <c r="V144" s="789">
        <f t="shared" si="28"/>
        <v>44469</v>
      </c>
      <c r="W144" s="789">
        <f t="shared" si="28"/>
        <v>44377</v>
      </c>
      <c r="X144" s="789">
        <f t="shared" si="28"/>
        <v>44286</v>
      </c>
      <c r="Y144" s="789">
        <f t="shared" ref="Y144:AD144" si="29">Y131</f>
        <v>44196</v>
      </c>
      <c r="Z144" s="789">
        <f t="shared" si="29"/>
        <v>44104</v>
      </c>
      <c r="AA144" s="789">
        <f t="shared" si="29"/>
        <v>44012</v>
      </c>
      <c r="AB144" s="789">
        <f t="shared" si="29"/>
        <v>43921</v>
      </c>
      <c r="AC144" s="789">
        <f t="shared" si="29"/>
        <v>43830</v>
      </c>
      <c r="AD144" s="789">
        <f t="shared" si="29"/>
        <v>43738</v>
      </c>
      <c r="AE144" s="789">
        <f t="shared" ref="AE144:AJ144" si="30">AE131</f>
        <v>43646</v>
      </c>
      <c r="AF144" s="789">
        <f t="shared" si="30"/>
        <v>43555</v>
      </c>
      <c r="AG144" s="789">
        <f t="shared" si="30"/>
        <v>43465</v>
      </c>
      <c r="AH144" s="789">
        <f t="shared" si="30"/>
        <v>43373</v>
      </c>
      <c r="AI144" s="789">
        <f t="shared" si="30"/>
        <v>43281</v>
      </c>
      <c r="AJ144" s="790">
        <f t="shared" si="30"/>
        <v>43190</v>
      </c>
      <c r="AK144" s="790">
        <f t="shared" ref="AK144:AR144" si="31">AK131</f>
        <v>43100</v>
      </c>
      <c r="AL144" s="789">
        <f t="shared" si="31"/>
        <v>43008</v>
      </c>
      <c r="AM144" s="789">
        <f t="shared" si="31"/>
        <v>42916</v>
      </c>
      <c r="AN144" s="790">
        <f t="shared" si="31"/>
        <v>42825</v>
      </c>
      <c r="AO144" s="790">
        <f t="shared" si="31"/>
        <v>42735</v>
      </c>
      <c r="AP144" s="790">
        <f t="shared" si="31"/>
        <v>42643</v>
      </c>
      <c r="AQ144" s="790">
        <f t="shared" si="31"/>
        <v>42551</v>
      </c>
      <c r="AR144" s="790">
        <f t="shared" si="31"/>
        <v>42460</v>
      </c>
      <c r="AS144" s="790">
        <v>42369</v>
      </c>
      <c r="AT144" s="790">
        <v>42277</v>
      </c>
      <c r="AU144" s="790">
        <v>42185</v>
      </c>
      <c r="AV144" s="790">
        <v>42094</v>
      </c>
      <c r="AW144" s="791">
        <v>42004</v>
      </c>
      <c r="AX144" s="792">
        <v>41912</v>
      </c>
      <c r="AY144" s="792">
        <v>41820</v>
      </c>
      <c r="AZ144" s="792">
        <v>41729</v>
      </c>
      <c r="BA144" s="792">
        <v>41639</v>
      </c>
      <c r="BB144" s="792">
        <v>41547</v>
      </c>
      <c r="BC144" s="792">
        <v>41455</v>
      </c>
      <c r="BD144" s="789">
        <v>41364</v>
      </c>
    </row>
    <row r="145" spans="2:57" hidden="1" outlineLevel="1">
      <c r="B145" s="1001" t="s">
        <v>322</v>
      </c>
      <c r="C145" s="1040" t="s">
        <v>319</v>
      </c>
      <c r="D145" s="938"/>
      <c r="E145" s="938">
        <v>0</v>
      </c>
      <c r="F145" s="938">
        <v>0</v>
      </c>
      <c r="G145" s="938">
        <v>0</v>
      </c>
      <c r="H145" s="938">
        <v>0</v>
      </c>
      <c r="I145" s="938">
        <v>0</v>
      </c>
      <c r="J145" s="938">
        <v>0</v>
      </c>
      <c r="K145" s="938">
        <v>2870</v>
      </c>
      <c r="L145" s="938">
        <v>2903</v>
      </c>
      <c r="M145" s="938">
        <v>3011</v>
      </c>
      <c r="N145" s="415">
        <v>3043</v>
      </c>
      <c r="O145" s="415">
        <v>3006</v>
      </c>
      <c r="P145" s="415">
        <v>3054</v>
      </c>
      <c r="Q145" s="415">
        <v>3019</v>
      </c>
      <c r="R145" s="415">
        <v>2961</v>
      </c>
      <c r="S145" s="415">
        <v>2882</v>
      </c>
      <c r="T145" s="415">
        <v>2928</v>
      </c>
      <c r="U145" s="415">
        <v>2880</v>
      </c>
      <c r="V145" s="415">
        <v>2796</v>
      </c>
      <c r="W145" s="415">
        <v>2805</v>
      </c>
      <c r="X145" s="415">
        <v>2866</v>
      </c>
      <c r="Y145" s="415">
        <v>2868</v>
      </c>
      <c r="Z145" s="415">
        <v>2865</v>
      </c>
      <c r="AA145" s="415">
        <v>2847</v>
      </c>
      <c r="AB145" s="415">
        <v>2929</v>
      </c>
      <c r="AC145" s="415">
        <v>2933</v>
      </c>
      <c r="AD145" s="415">
        <v>2840</v>
      </c>
      <c r="AE145" s="415">
        <v>2573</v>
      </c>
      <c r="AF145" s="415">
        <v>2587</v>
      </c>
      <c r="AG145" s="415">
        <v>2509</v>
      </c>
      <c r="AH145" s="415">
        <v>2428</v>
      </c>
      <c r="AI145" s="415">
        <v>2283</v>
      </c>
      <c r="AJ145" s="414">
        <v>2267</v>
      </c>
      <c r="AK145" s="413">
        <v>2150</v>
      </c>
      <c r="AL145" s="416">
        <v>2086</v>
      </c>
      <c r="AM145" s="415">
        <v>1990</v>
      </c>
      <c r="AN145" s="414">
        <v>1964</v>
      </c>
      <c r="AO145" s="413">
        <v>1938</v>
      </c>
      <c r="AP145" s="414">
        <v>8800.3069999999989</v>
      </c>
      <c r="AQ145" s="413">
        <v>9244.5559999999987</v>
      </c>
      <c r="AR145" s="414">
        <v>10238.179999999998</v>
      </c>
      <c r="AS145" s="413">
        <v>10792.498999999998</v>
      </c>
      <c r="AT145" s="414">
        <v>9852.4739999999983</v>
      </c>
      <c r="AU145" s="413">
        <v>9019.0119999999988</v>
      </c>
      <c r="AV145" s="412">
        <v>8603.4949970041362</v>
      </c>
      <c r="AW145" s="411">
        <v>7891.9279970041371</v>
      </c>
      <c r="AX145" s="409">
        <v>7678.4819970041372</v>
      </c>
      <c r="AY145" s="410">
        <v>8650.0999970041357</v>
      </c>
      <c r="AZ145" s="409">
        <v>8617.9639970041371</v>
      </c>
      <c r="BA145" s="408">
        <v>8426.1132214977079</v>
      </c>
      <c r="BB145" s="407">
        <v>8341.8140000000003</v>
      </c>
      <c r="BC145" s="408">
        <v>8024.5959999999995</v>
      </c>
      <c r="BD145" s="1085">
        <v>7905.5870000000004</v>
      </c>
    </row>
    <row r="146" spans="2:57" hidden="1" outlineLevel="1">
      <c r="B146" s="1002" t="s">
        <v>401</v>
      </c>
      <c r="C146" s="1041" t="s">
        <v>325</v>
      </c>
      <c r="D146" s="939"/>
      <c r="E146" s="939"/>
      <c r="F146" s="939"/>
      <c r="G146" s="939"/>
      <c r="H146" s="939"/>
      <c r="I146" s="939"/>
      <c r="J146" s="939"/>
      <c r="K146" s="939"/>
      <c r="L146" s="939"/>
      <c r="M146" s="939"/>
      <c r="N146" s="405"/>
      <c r="O146" s="405"/>
      <c r="P146" s="405"/>
      <c r="Q146" s="405"/>
      <c r="R146" s="405"/>
      <c r="S146" s="405"/>
      <c r="T146" s="405"/>
      <c r="U146" s="405"/>
      <c r="V146" s="405"/>
      <c r="W146" s="405"/>
      <c r="X146" s="405"/>
      <c r="Y146" s="405"/>
      <c r="Z146" s="405"/>
      <c r="AA146" s="405"/>
      <c r="AB146" s="405"/>
      <c r="AC146" s="405"/>
      <c r="AD146" s="405"/>
      <c r="AE146" s="405"/>
      <c r="AF146" s="405"/>
      <c r="AG146" s="405"/>
      <c r="AH146" s="405"/>
      <c r="AI146" s="405"/>
      <c r="AJ146" s="404"/>
      <c r="AK146" s="403"/>
      <c r="AL146" s="406"/>
      <c r="AM146" s="405"/>
      <c r="AN146" s="404"/>
      <c r="AO146" s="403"/>
      <c r="AP146" s="404">
        <v>0.96503798106134253</v>
      </c>
      <c r="AQ146" s="403">
        <v>0.97031571878627809</v>
      </c>
      <c r="AR146" s="404">
        <v>0.90416421668695024</v>
      </c>
      <c r="AS146" s="403">
        <v>0.849368783106763</v>
      </c>
      <c r="AT146" s="404">
        <v>0.85446061567886422</v>
      </c>
      <c r="AU146" s="403">
        <v>0.88102471756329848</v>
      </c>
      <c r="AV146" s="402">
        <v>0.88833027061482961</v>
      </c>
      <c r="AW146" s="401">
        <v>0.89615268951829641</v>
      </c>
      <c r="AX146" s="399">
        <v>0.87816433021928808</v>
      </c>
      <c r="AY146" s="400">
        <v>0.83699999999999997</v>
      </c>
      <c r="AZ146" s="399">
        <v>0.8449225860430648</v>
      </c>
      <c r="BA146" s="398">
        <v>0.84500150261068618</v>
      </c>
      <c r="BB146" s="397">
        <v>0.82897192964663724</v>
      </c>
      <c r="BC146" s="398">
        <v>0.82772908442992021</v>
      </c>
      <c r="BD146" s="1086">
        <v>0.83937796143410981</v>
      </c>
    </row>
    <row r="147" spans="2:57" hidden="1" outlineLevel="1">
      <c r="B147" s="1002" t="s">
        <v>323</v>
      </c>
      <c r="C147" s="1041" t="s">
        <v>319</v>
      </c>
      <c r="D147" s="940"/>
      <c r="E147" s="940"/>
      <c r="F147" s="940"/>
      <c r="G147" s="940"/>
      <c r="H147" s="940"/>
      <c r="I147" s="940"/>
      <c r="J147" s="940"/>
      <c r="K147" s="940">
        <f t="shared" ref="K147:AO147" si="32">K145-L145</f>
        <v>-33</v>
      </c>
      <c r="L147" s="940">
        <f t="shared" si="32"/>
        <v>-108</v>
      </c>
      <c r="M147" s="940">
        <f>M145-N145</f>
        <v>-32</v>
      </c>
      <c r="N147" s="317">
        <f t="shared" si="32"/>
        <v>37</v>
      </c>
      <c r="O147" s="317">
        <f t="shared" si="32"/>
        <v>-48</v>
      </c>
      <c r="P147" s="317">
        <f t="shared" si="32"/>
        <v>35</v>
      </c>
      <c r="Q147" s="317">
        <f t="shared" si="32"/>
        <v>58</v>
      </c>
      <c r="R147" s="317">
        <f t="shared" si="32"/>
        <v>79</v>
      </c>
      <c r="S147" s="317">
        <f t="shared" si="32"/>
        <v>-46</v>
      </c>
      <c r="T147" s="317">
        <f t="shared" si="32"/>
        <v>48</v>
      </c>
      <c r="U147" s="317">
        <f t="shared" si="32"/>
        <v>84</v>
      </c>
      <c r="V147" s="317">
        <f t="shared" si="32"/>
        <v>-9</v>
      </c>
      <c r="W147" s="317">
        <f t="shared" si="32"/>
        <v>-61</v>
      </c>
      <c r="X147" s="317">
        <f t="shared" si="32"/>
        <v>-2</v>
      </c>
      <c r="Y147" s="317">
        <f t="shared" si="32"/>
        <v>3</v>
      </c>
      <c r="Z147" s="317">
        <f t="shared" si="32"/>
        <v>18</v>
      </c>
      <c r="AA147" s="317">
        <f t="shared" si="32"/>
        <v>-82</v>
      </c>
      <c r="AB147" s="317">
        <f t="shared" si="32"/>
        <v>-4</v>
      </c>
      <c r="AC147" s="317">
        <f t="shared" si="32"/>
        <v>93</v>
      </c>
      <c r="AD147" s="317">
        <f t="shared" si="32"/>
        <v>267</v>
      </c>
      <c r="AE147" s="317">
        <f t="shared" si="32"/>
        <v>-14</v>
      </c>
      <c r="AF147" s="317">
        <f t="shared" si="32"/>
        <v>78</v>
      </c>
      <c r="AG147" s="317">
        <f t="shared" si="32"/>
        <v>81</v>
      </c>
      <c r="AH147" s="317">
        <f t="shared" si="32"/>
        <v>145</v>
      </c>
      <c r="AI147" s="317">
        <f t="shared" si="32"/>
        <v>16</v>
      </c>
      <c r="AJ147" s="316">
        <f t="shared" si="32"/>
        <v>117</v>
      </c>
      <c r="AK147" s="315">
        <f t="shared" si="32"/>
        <v>64</v>
      </c>
      <c r="AL147" s="318">
        <f t="shared" si="32"/>
        <v>96</v>
      </c>
      <c r="AM147" s="317">
        <f t="shared" si="32"/>
        <v>26</v>
      </c>
      <c r="AN147" s="316">
        <f t="shared" si="32"/>
        <v>26</v>
      </c>
      <c r="AO147" s="315">
        <f t="shared" si="32"/>
        <v>-6862.3069999999989</v>
      </c>
      <c r="AP147" s="316">
        <v>-444.24900000000002</v>
      </c>
      <c r="AQ147" s="315">
        <f>AQ145-AR145</f>
        <v>-993.6239999999998</v>
      </c>
      <c r="AR147" s="316">
        <v>-554.31899999999996</v>
      </c>
      <c r="AS147" s="315">
        <v>940.02499999999998</v>
      </c>
      <c r="AT147" s="316">
        <v>833.46199999999999</v>
      </c>
      <c r="AU147" s="315">
        <v>415.51700299586167</v>
      </c>
      <c r="AV147" s="372">
        <v>711.5669999999991</v>
      </c>
      <c r="AW147" s="371">
        <v>213.446</v>
      </c>
      <c r="AX147" s="369">
        <v>-971.61799999999903</v>
      </c>
      <c r="AY147" s="370">
        <v>32.135999999998603</v>
      </c>
      <c r="AZ147" s="369">
        <v>191.85077550642927</v>
      </c>
      <c r="BA147" s="320">
        <v>84.299221497707549</v>
      </c>
      <c r="BB147" s="319">
        <v>317.21800000000076</v>
      </c>
      <c r="BC147" s="320">
        <v>119.00899999999911</v>
      </c>
      <c r="BD147" s="1087">
        <v>412.68900000000031</v>
      </c>
    </row>
    <row r="148" spans="2:57" hidden="1" outlineLevel="1">
      <c r="B148" s="1003" t="s">
        <v>324</v>
      </c>
      <c r="C148" s="1184" t="s">
        <v>325</v>
      </c>
      <c r="D148" s="941"/>
      <c r="E148" s="941"/>
      <c r="F148" s="941"/>
      <c r="G148" s="941"/>
      <c r="H148" s="941"/>
      <c r="I148" s="941"/>
      <c r="J148" s="941"/>
      <c r="K148" s="941"/>
      <c r="L148" s="941"/>
      <c r="M148" s="941"/>
      <c r="N148" s="395"/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  <c r="AA148" s="395"/>
      <c r="AB148" s="395"/>
      <c r="AC148" s="395"/>
      <c r="AD148" s="395"/>
      <c r="AE148" s="395"/>
      <c r="AF148" s="395"/>
      <c r="AG148" s="395"/>
      <c r="AH148" s="395"/>
      <c r="AI148" s="395"/>
      <c r="AJ148" s="394"/>
      <c r="AK148" s="393"/>
      <c r="AL148" s="396"/>
      <c r="AM148" s="395"/>
      <c r="AN148" s="394"/>
      <c r="AO148" s="393"/>
      <c r="AP148" s="394">
        <v>0.97659218025007533</v>
      </c>
      <c r="AQ148" s="393">
        <v>0.9777339225377617</v>
      </c>
      <c r="AR148" s="394">
        <v>0.98000972829155186</v>
      </c>
      <c r="AS148" s="393">
        <v>0.98168950490521245</v>
      </c>
      <c r="AT148" s="394">
        <v>0.98052976338734821</v>
      </c>
      <c r="AU148" s="393">
        <v>0.97709072789791163</v>
      </c>
      <c r="AV148" s="392">
        <v>0.97560654163485683</v>
      </c>
      <c r="AW148" s="391">
        <v>0.97416284118639407</v>
      </c>
      <c r="AX148" s="389">
        <v>0.97297981592128657</v>
      </c>
      <c r="AY148" s="390">
        <v>0.97179974831636373</v>
      </c>
      <c r="AZ148" s="389">
        <v>0.97173914893485236</v>
      </c>
      <c r="BA148" s="388">
        <v>0.97220281577748879</v>
      </c>
      <c r="BB148" s="387">
        <v>0.97285324013485441</v>
      </c>
      <c r="BC148" s="388">
        <v>0.97468941470726878</v>
      </c>
      <c r="BD148" s="1088">
        <v>0.97392082061740515</v>
      </c>
    </row>
    <row r="149" spans="2:57" hidden="1" outlineLevel="1">
      <c r="B149" s="1003" t="s">
        <v>326</v>
      </c>
      <c r="C149" s="1184" t="s">
        <v>325</v>
      </c>
      <c r="D149" s="941"/>
      <c r="E149" s="941"/>
      <c r="F149" s="941"/>
      <c r="G149" s="941"/>
      <c r="H149" s="941"/>
      <c r="I149" s="941"/>
      <c r="J149" s="941"/>
      <c r="K149" s="941"/>
      <c r="L149" s="941"/>
      <c r="M149" s="941"/>
      <c r="N149" s="395"/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  <c r="AA149" s="395"/>
      <c r="AB149" s="395"/>
      <c r="AC149" s="395"/>
      <c r="AD149" s="395"/>
      <c r="AE149" s="395"/>
      <c r="AF149" s="395"/>
      <c r="AG149" s="395"/>
      <c r="AH149" s="395"/>
      <c r="AI149" s="395"/>
      <c r="AJ149" s="394"/>
      <c r="AK149" s="393"/>
      <c r="AL149" s="396"/>
      <c r="AM149" s="395"/>
      <c r="AN149" s="394"/>
      <c r="AO149" s="393"/>
      <c r="AP149" s="394">
        <v>4.1364261572394666E-2</v>
      </c>
      <c r="AQ149" s="393">
        <v>6.360938930962752E-2</v>
      </c>
      <c r="AR149" s="394">
        <v>4.3654965795976643E-2</v>
      </c>
      <c r="AS149" s="393">
        <v>3.9301399146366239E-2</v>
      </c>
      <c r="AT149" s="394">
        <v>3.9239364473307413E-2</v>
      </c>
      <c r="AU149" s="393">
        <v>3.8425072016075264E-2</v>
      </c>
      <c r="AV149" s="392">
        <v>3.0535456044105805E-2</v>
      </c>
      <c r="AW149" s="391">
        <v>4.0961975839895103E-2</v>
      </c>
      <c r="AX149" s="389">
        <v>7.296132464047797E-2</v>
      </c>
      <c r="AY149" s="390">
        <v>5.1603521563114076E-2</v>
      </c>
      <c r="AZ149" s="389">
        <v>5.146188646770402E-2</v>
      </c>
      <c r="BA149" s="388">
        <v>5.5320807385189866E-2</v>
      </c>
      <c r="BB149" s="387">
        <v>6.0106900431260088E-2</v>
      </c>
      <c r="BC149" s="388">
        <v>4.6573913505391397E-2</v>
      </c>
      <c r="BD149" s="1088">
        <v>3.8492792537010906E-2</v>
      </c>
    </row>
    <row r="150" spans="2:57" hidden="1" outlineLevel="1">
      <c r="B150" s="1003" t="s">
        <v>327</v>
      </c>
      <c r="C150" s="1184" t="s">
        <v>328</v>
      </c>
      <c r="D150" s="942"/>
      <c r="E150" s="942"/>
      <c r="F150" s="942"/>
      <c r="G150" s="942"/>
      <c r="H150" s="942"/>
      <c r="I150" s="942"/>
      <c r="J150" s="942"/>
      <c r="K150" s="942"/>
      <c r="L150" s="942"/>
      <c r="M150" s="942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  <c r="AF150" s="357"/>
      <c r="AG150" s="357"/>
      <c r="AH150" s="357"/>
      <c r="AI150" s="357"/>
      <c r="AJ150" s="356"/>
      <c r="AK150" s="355"/>
      <c r="AL150" s="358"/>
      <c r="AM150" s="357"/>
      <c r="AN150" s="356"/>
      <c r="AO150" s="355"/>
      <c r="AP150" s="356">
        <v>155.68666877935993</v>
      </c>
      <c r="AQ150" s="355">
        <v>136.27385162962455</v>
      </c>
      <c r="AR150" s="356">
        <v>139.57125619916863</v>
      </c>
      <c r="AS150" s="355">
        <v>133.81329280390909</v>
      </c>
      <c r="AT150" s="356">
        <v>142.3759276567705</v>
      </c>
      <c r="AU150" s="355">
        <v>147.34433277872813</v>
      </c>
      <c r="AV150" s="386">
        <v>149.30379459723306</v>
      </c>
      <c r="AW150" s="385">
        <v>164.02044242895531</v>
      </c>
      <c r="AX150" s="383">
        <v>159.74006520067306</v>
      </c>
      <c r="AY150" s="384">
        <v>168.48256210051022</v>
      </c>
      <c r="AZ150" s="383">
        <v>174.24245410383833</v>
      </c>
      <c r="BA150" s="362">
        <v>2.8532514664939597</v>
      </c>
      <c r="BB150" s="361">
        <v>2.952305802904561</v>
      </c>
      <c r="BC150" s="362">
        <v>2.9365093401182976</v>
      </c>
      <c r="BD150" s="1089">
        <v>2.7598005141881199</v>
      </c>
    </row>
    <row r="151" spans="2:57" hidden="1" outlineLevel="1">
      <c r="B151" s="1003"/>
      <c r="C151" s="1185" t="s">
        <v>402</v>
      </c>
      <c r="D151" s="943"/>
      <c r="E151" s="943"/>
      <c r="F151" s="943"/>
      <c r="G151" s="943"/>
      <c r="H151" s="943"/>
      <c r="I151" s="943"/>
      <c r="J151" s="943"/>
      <c r="K151" s="943"/>
      <c r="L151" s="943"/>
      <c r="M151" s="943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  <c r="AA151" s="381"/>
      <c r="AB151" s="381"/>
      <c r="AC151" s="381"/>
      <c r="AD151" s="381"/>
      <c r="AE151" s="381"/>
      <c r="AF151" s="381"/>
      <c r="AG151" s="381"/>
      <c r="AH151" s="381"/>
      <c r="AI151" s="381"/>
      <c r="AJ151" s="380"/>
      <c r="AK151" s="379"/>
      <c r="AL151" s="382"/>
      <c r="AM151" s="381"/>
      <c r="AN151" s="380"/>
      <c r="AO151" s="379"/>
      <c r="AP151" s="380">
        <v>0</v>
      </c>
      <c r="AQ151" s="379">
        <v>0</v>
      </c>
      <c r="AR151" s="380">
        <v>0</v>
      </c>
      <c r="AS151" s="379">
        <v>0</v>
      </c>
      <c r="AT151" s="380">
        <v>0</v>
      </c>
      <c r="AU151" s="379">
        <v>0</v>
      </c>
      <c r="AV151" s="378"/>
      <c r="AW151" s="377"/>
      <c r="AX151" s="375"/>
      <c r="AY151" s="376"/>
      <c r="AZ151" s="375"/>
      <c r="BA151" s="374"/>
      <c r="BB151" s="373"/>
      <c r="BC151" s="374"/>
      <c r="BD151" s="1090"/>
    </row>
    <row r="152" spans="2:57" hidden="1" outlineLevel="1">
      <c r="B152" s="1004" t="s">
        <v>403</v>
      </c>
      <c r="C152" s="1186" t="s">
        <v>328</v>
      </c>
      <c r="D152" s="940"/>
      <c r="E152" s="940"/>
      <c r="F152" s="940"/>
      <c r="G152" s="940"/>
      <c r="H152" s="940"/>
      <c r="I152" s="940"/>
      <c r="J152" s="940"/>
      <c r="K152" s="940"/>
      <c r="L152" s="940"/>
      <c r="M152" s="940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  <c r="AI152" s="317"/>
      <c r="AJ152" s="316"/>
      <c r="AK152" s="315"/>
      <c r="AL152" s="318"/>
      <c r="AM152" s="317"/>
      <c r="AN152" s="316"/>
      <c r="AO152" s="315"/>
      <c r="AP152" s="316">
        <v>196104.05494892062</v>
      </c>
      <c r="AQ152" s="315">
        <v>194886.7237275379</v>
      </c>
      <c r="AR152" s="316">
        <v>206760.31109226274</v>
      </c>
      <c r="AS152" s="315">
        <v>195945.09321391335</v>
      </c>
      <c r="AT152" s="316">
        <v>193412.76262191625</v>
      </c>
      <c r="AU152" s="315">
        <v>187606.01163576671</v>
      </c>
      <c r="AV152" s="372">
        <v>180657.66781214197</v>
      </c>
      <c r="AW152" s="371">
        <v>183731.33600097007</v>
      </c>
      <c r="AX152" s="369">
        <v>187812.05060299087</v>
      </c>
      <c r="AY152" s="370">
        <v>211537.97406136701</v>
      </c>
      <c r="AZ152" s="369">
        <v>219351.63639969259</v>
      </c>
      <c r="BA152" s="320">
        <v>3603.2915006716062</v>
      </c>
      <c r="BB152" s="319">
        <v>3665.3935375946598</v>
      </c>
      <c r="BC152" s="320">
        <v>3585.2092823065618</v>
      </c>
      <c r="BD152" s="1087">
        <v>3384.4679744764057</v>
      </c>
    </row>
    <row r="153" spans="2:57" hidden="1" outlineLevel="1">
      <c r="B153" s="1004"/>
      <c r="C153" s="1186"/>
      <c r="D153" s="944"/>
      <c r="E153" s="944"/>
      <c r="F153" s="944"/>
      <c r="G153" s="944"/>
      <c r="H153" s="944"/>
      <c r="I153" s="944"/>
      <c r="J153" s="944"/>
      <c r="K153" s="944"/>
      <c r="L153" s="944"/>
      <c r="M153" s="944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  <c r="AA153" s="367"/>
      <c r="AB153" s="367"/>
      <c r="AC153" s="367"/>
      <c r="AD153" s="367"/>
      <c r="AE153" s="367"/>
      <c r="AF153" s="367"/>
      <c r="AG153" s="367"/>
      <c r="AH153" s="367"/>
      <c r="AI153" s="367"/>
      <c r="AJ153" s="366"/>
      <c r="AK153" s="365"/>
      <c r="AL153" s="368"/>
      <c r="AM153" s="367"/>
      <c r="AN153" s="366"/>
      <c r="AO153" s="365"/>
      <c r="AP153" s="366"/>
      <c r="AQ153" s="365"/>
      <c r="AR153" s="366"/>
      <c r="AS153" s="365"/>
      <c r="AT153" s="366"/>
      <c r="AU153" s="365"/>
      <c r="AV153" s="110"/>
      <c r="AW153" s="110"/>
      <c r="AX153" s="110"/>
      <c r="AY153" s="110"/>
      <c r="AZ153" s="110"/>
      <c r="BA153" s="364"/>
      <c r="BB153" s="363"/>
      <c r="BC153" s="364"/>
      <c r="BD153" s="1091"/>
    </row>
    <row r="154" spans="2:57" s="15" customFormat="1" hidden="1" outlineLevel="1">
      <c r="B154" s="1027" t="s">
        <v>330</v>
      </c>
      <c r="C154" s="17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048"/>
    </row>
    <row r="155" spans="2:57" hidden="1" outlineLevel="1">
      <c r="B155" s="1005" t="s">
        <v>334</v>
      </c>
      <c r="C155" s="1187" t="s">
        <v>335</v>
      </c>
      <c r="D155" s="945"/>
      <c r="E155" s="945"/>
      <c r="F155" s="945"/>
      <c r="G155" s="945"/>
      <c r="H155" s="945"/>
      <c r="I155" s="945"/>
      <c r="J155" s="945"/>
      <c r="K155" s="945"/>
      <c r="L155" s="945"/>
      <c r="M155" s="945"/>
      <c r="N155" s="788"/>
      <c r="O155" s="788"/>
      <c r="P155" s="788"/>
      <c r="Q155" s="788"/>
      <c r="R155" s="788"/>
      <c r="S155" s="788"/>
      <c r="T155" s="788"/>
      <c r="U155" s="788"/>
      <c r="V155" s="788"/>
      <c r="W155" s="788"/>
      <c r="X155" s="788"/>
      <c r="Y155" s="788"/>
      <c r="Z155" s="788"/>
      <c r="AA155" s="788"/>
      <c r="AB155" s="788"/>
      <c r="AC155" s="788"/>
      <c r="AD155" s="788"/>
      <c r="AE155" s="788"/>
      <c r="AF155" s="788"/>
      <c r="AG155" s="357">
        <v>1919</v>
      </c>
      <c r="AH155" s="357">
        <v>1779</v>
      </c>
      <c r="AI155" s="357">
        <v>1543</v>
      </c>
      <c r="AJ155" s="356">
        <v>1430</v>
      </c>
      <c r="AK155" s="355">
        <v>1404</v>
      </c>
      <c r="AL155" s="358">
        <v>1347</v>
      </c>
      <c r="AM155" s="357">
        <v>1261</v>
      </c>
      <c r="AN155" s="356">
        <v>1270</v>
      </c>
      <c r="AO155" s="355">
        <v>4752</v>
      </c>
      <c r="AP155" s="356">
        <v>8818.6986247754994</v>
      </c>
      <c r="AQ155" s="355">
        <v>9426.5484143052199</v>
      </c>
      <c r="AR155" s="356">
        <v>10102.069752182773</v>
      </c>
      <c r="AS155" s="355">
        <v>10065.97310906151</v>
      </c>
      <c r="AT155" s="356">
        <v>9480.3474391582677</v>
      </c>
      <c r="AU155" s="355">
        <v>9097.2263176907236</v>
      </c>
      <c r="AV155" s="354">
        <v>8710.9530507870422</v>
      </c>
      <c r="AW155" s="353">
        <v>8278.295604682924</v>
      </c>
      <c r="AX155" s="351">
        <v>8554.441128637689</v>
      </c>
      <c r="AY155" s="352">
        <v>10280.42380715039</v>
      </c>
      <c r="AZ155" s="351">
        <v>10344.897917604669</v>
      </c>
      <c r="BA155" s="350">
        <v>10518.498190170103</v>
      </c>
      <c r="BB155" s="349">
        <v>10672.98939892558</v>
      </c>
      <c r="BC155" s="350">
        <v>10471.84374179682</v>
      </c>
      <c r="BD155" s="1092">
        <v>9859.9170382416396</v>
      </c>
    </row>
    <row r="156" spans="2:57" hidden="1" outlineLevel="1">
      <c r="B156" s="1005" t="s">
        <v>333</v>
      </c>
      <c r="C156" s="1187" t="s">
        <v>328</v>
      </c>
      <c r="D156" s="942"/>
      <c r="E156" s="942"/>
      <c r="F156" s="942"/>
      <c r="G156" s="942"/>
      <c r="H156" s="942"/>
      <c r="I156" s="942"/>
      <c r="J156" s="942"/>
      <c r="K156" s="942"/>
      <c r="L156" s="942"/>
      <c r="M156" s="942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6"/>
      <c r="AK156" s="355"/>
      <c r="AL156" s="358"/>
      <c r="AM156" s="357"/>
      <c r="AN156" s="356"/>
      <c r="AO156" s="355"/>
      <c r="AP156" s="356">
        <v>105.4032627516316</v>
      </c>
      <c r="AQ156" s="355">
        <v>96.774755401697703</v>
      </c>
      <c r="AR156" s="356">
        <v>101.14279950673277</v>
      </c>
      <c r="AS156" s="355">
        <v>100.51124976146833</v>
      </c>
      <c r="AT156" s="356">
        <v>107.59296295714502</v>
      </c>
      <c r="AU156" s="355">
        <v>114.59072687566163</v>
      </c>
      <c r="AV156" s="354">
        <v>116.86032322914802</v>
      </c>
      <c r="AW156" s="353">
        <v>130.38733277934648</v>
      </c>
      <c r="AX156" s="351">
        <v>125.00274669628926</v>
      </c>
      <c r="AY156" s="352">
        <v>138.18439365894847</v>
      </c>
      <c r="AZ156" s="351">
        <v>143.30112210902828</v>
      </c>
      <c r="BA156" s="360">
        <v>2.3888326829136122</v>
      </c>
      <c r="BB156" s="359">
        <v>2.5170418427447872</v>
      </c>
      <c r="BC156" s="360">
        <v>2.5438895489758191</v>
      </c>
      <c r="BD156" s="1093">
        <v>2.3695870017414249</v>
      </c>
    </row>
    <row r="157" spans="2:57" hidden="1" outlineLevel="1">
      <c r="B157" s="1005" t="s">
        <v>336</v>
      </c>
      <c r="C157" s="1187" t="s">
        <v>337</v>
      </c>
      <c r="D157" s="942"/>
      <c r="E157" s="942"/>
      <c r="F157" s="942"/>
      <c r="G157" s="942"/>
      <c r="H157" s="942"/>
      <c r="I157" s="942"/>
      <c r="J157" s="942"/>
      <c r="K157" s="942"/>
      <c r="L157" s="942"/>
      <c r="M157" s="942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6"/>
      <c r="AK157" s="355"/>
      <c r="AL157" s="358"/>
      <c r="AM157" s="357"/>
      <c r="AN157" s="356"/>
      <c r="AO157" s="355"/>
      <c r="AP157" s="356">
        <v>329.29540137298363</v>
      </c>
      <c r="AQ157" s="355">
        <v>310.07059021970775</v>
      </c>
      <c r="AR157" s="356">
        <v>321.33117572960515</v>
      </c>
      <c r="AS157" s="355">
        <v>325.75944196609686</v>
      </c>
      <c r="AT157" s="356">
        <v>333.65455578421489</v>
      </c>
      <c r="AU157" s="355">
        <v>344.96389859676736</v>
      </c>
      <c r="AV157" s="354">
        <v>350.91183301505544</v>
      </c>
      <c r="AW157" s="353">
        <v>358.4426447474184</v>
      </c>
      <c r="AX157" s="351">
        <v>350.98030142754942</v>
      </c>
      <c r="AY157" s="352">
        <v>396.25165285483644</v>
      </c>
      <c r="AZ157" s="351">
        <v>401.65618617609903</v>
      </c>
      <c r="BA157" s="350">
        <v>417.06755052678432</v>
      </c>
      <c r="BB157" s="349">
        <v>436.36206709023685</v>
      </c>
      <c r="BC157" s="350">
        <v>439.38740299212185</v>
      </c>
      <c r="BD157" s="1092">
        <v>426.51126522588879</v>
      </c>
    </row>
    <row r="158" spans="2:57" hidden="1" outlineLevel="1">
      <c r="B158" s="1005" t="s">
        <v>338</v>
      </c>
      <c r="C158" s="1185" t="s">
        <v>339</v>
      </c>
      <c r="D158" s="946"/>
      <c r="E158" s="946"/>
      <c r="F158" s="946"/>
      <c r="G158" s="946"/>
      <c r="H158" s="946"/>
      <c r="I158" s="946"/>
      <c r="J158" s="946"/>
      <c r="K158" s="946"/>
      <c r="L158" s="946"/>
      <c r="M158" s="946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347"/>
      <c r="AB158" s="347"/>
      <c r="AC158" s="347"/>
      <c r="AD158" s="347"/>
      <c r="AE158" s="347"/>
      <c r="AF158" s="347"/>
      <c r="AG158" s="347"/>
      <c r="AH158" s="347"/>
      <c r="AI158" s="347"/>
      <c r="AJ158" s="346"/>
      <c r="AK158" s="345"/>
      <c r="AL158" s="348"/>
      <c r="AM158" s="347"/>
      <c r="AN158" s="346"/>
      <c r="AO158" s="345"/>
      <c r="AP158" s="346">
        <v>32.008725998649552</v>
      </c>
      <c r="AQ158" s="345">
        <v>31.210556065032058</v>
      </c>
      <c r="AR158" s="346">
        <v>31.476186298164471</v>
      </c>
      <c r="AS158" s="345">
        <v>30.854439446126314</v>
      </c>
      <c r="AT158" s="346">
        <v>32.246813685567915</v>
      </c>
      <c r="AU158" s="345">
        <v>33.218179450600474</v>
      </c>
      <c r="AV158" s="344">
        <v>33.301904420001208</v>
      </c>
      <c r="AW158" s="343">
        <v>36.376065931336306</v>
      </c>
      <c r="AX158" s="341">
        <v>35.615316924586082</v>
      </c>
      <c r="AY158" s="342">
        <v>34.872887636779446</v>
      </c>
      <c r="AZ158" s="341">
        <v>35.677558827937602</v>
      </c>
      <c r="BA158" s="340">
        <v>0.57276877088528133</v>
      </c>
      <c r="BB158" s="339">
        <v>0.57682416336713316</v>
      </c>
      <c r="BC158" s="340">
        <v>0.57896278583604066</v>
      </c>
      <c r="BD158" s="1094">
        <v>0.5555743059884819</v>
      </c>
    </row>
    <row r="159" spans="2:57" hidden="1" outlineLevel="1">
      <c r="B159" s="1004"/>
      <c r="C159" s="1186"/>
      <c r="D159" s="940"/>
      <c r="E159" s="940"/>
      <c r="F159" s="940"/>
      <c r="G159" s="940"/>
      <c r="H159" s="940"/>
      <c r="I159" s="940"/>
      <c r="J159" s="940"/>
      <c r="K159" s="940"/>
      <c r="L159" s="940"/>
      <c r="M159" s="940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6"/>
      <c r="AK159" s="315"/>
      <c r="AL159" s="318"/>
      <c r="AM159" s="317"/>
      <c r="AN159" s="316"/>
      <c r="AO159" s="315"/>
      <c r="AP159" s="316"/>
      <c r="AQ159" s="315"/>
      <c r="AR159" s="316"/>
      <c r="AS159" s="315"/>
      <c r="AT159" s="316"/>
      <c r="AU159" s="315"/>
      <c r="AV159" s="314"/>
      <c r="AW159" s="313"/>
      <c r="AX159" s="311"/>
      <c r="AY159" s="312"/>
      <c r="AZ159" s="311"/>
      <c r="BA159" s="320"/>
      <c r="BB159" s="319"/>
      <c r="BC159" s="320"/>
      <c r="BD159" s="1087"/>
    </row>
    <row r="160" spans="2:57" s="15" customFormat="1" hidden="1" outlineLevel="1">
      <c r="B160" s="1027" t="s">
        <v>340</v>
      </c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048"/>
    </row>
    <row r="161" spans="2:57" hidden="1" outlineLevel="1">
      <c r="B161" s="1006" t="s">
        <v>341</v>
      </c>
      <c r="C161" s="1186" t="s">
        <v>325</v>
      </c>
      <c r="D161" s="947"/>
      <c r="E161" s="947"/>
      <c r="F161" s="947"/>
      <c r="G161" s="947"/>
      <c r="H161" s="947"/>
      <c r="I161" s="947"/>
      <c r="J161" s="947"/>
      <c r="K161" s="947"/>
      <c r="L161" s="947"/>
      <c r="M161" s="947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0"/>
      <c r="AK161" s="159"/>
      <c r="AL161" s="162"/>
      <c r="AM161" s="161"/>
      <c r="AN161" s="160"/>
      <c r="AO161" s="159"/>
      <c r="AP161" s="160">
        <v>0.32297823841931028</v>
      </c>
      <c r="AQ161" s="159">
        <v>0.2898508830239897</v>
      </c>
      <c r="AR161" s="160">
        <v>0.27533216895030554</v>
      </c>
      <c r="AS161" s="159">
        <v>0.24886946838115528</v>
      </c>
      <c r="AT161" s="160">
        <v>0.24430369144619524</v>
      </c>
      <c r="AU161" s="159">
        <v>0.22229294663306598</v>
      </c>
      <c r="AV161" s="159">
        <v>0.21729837112047715</v>
      </c>
      <c r="AW161" s="158">
        <v>0.20505437707361918</v>
      </c>
      <c r="AX161" s="156">
        <v>0.2174615270173148</v>
      </c>
      <c r="AY161" s="157">
        <v>0.17988898321686322</v>
      </c>
      <c r="AZ161" s="156">
        <v>0.1765494050984571</v>
      </c>
      <c r="BA161" s="157">
        <v>0.16282591471199623</v>
      </c>
      <c r="BB161" s="156">
        <v>0.14835809304192174</v>
      </c>
      <c r="BC161" s="157">
        <v>0.13373656027801328</v>
      </c>
      <c r="BD161" s="161">
        <v>0.14137986876059863</v>
      </c>
    </row>
    <row r="162" spans="2:57" hidden="1" outlineLevel="1">
      <c r="B162" s="1007" t="s">
        <v>343</v>
      </c>
      <c r="C162" s="1186"/>
      <c r="D162" s="948"/>
      <c r="E162" s="948"/>
      <c r="F162" s="948"/>
      <c r="G162" s="948"/>
      <c r="H162" s="948"/>
      <c r="I162" s="948"/>
      <c r="J162" s="948"/>
      <c r="K162" s="948"/>
      <c r="L162" s="948"/>
      <c r="M162" s="948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6"/>
      <c r="AK162" s="335"/>
      <c r="AL162" s="338"/>
      <c r="AM162" s="337"/>
      <c r="AN162" s="336"/>
      <c r="AO162" s="335"/>
      <c r="AP162" s="336"/>
      <c r="AQ162" s="335"/>
      <c r="AR162" s="336"/>
      <c r="AS162" s="335"/>
      <c r="AT162" s="336"/>
      <c r="AU162" s="335"/>
      <c r="AV162" s="334"/>
      <c r="AW162" s="333"/>
      <c r="AX162" s="331"/>
      <c r="AY162" s="332"/>
      <c r="AZ162" s="331"/>
      <c r="BA162" s="310"/>
      <c r="BB162" s="309"/>
      <c r="BC162" s="310"/>
      <c r="BD162" s="1095"/>
    </row>
    <row r="163" spans="2:57" hidden="1" outlineLevel="1">
      <c r="B163" s="1008" t="s">
        <v>344</v>
      </c>
      <c r="C163" s="1184" t="s">
        <v>325</v>
      </c>
      <c r="D163" s="949"/>
      <c r="E163" s="949"/>
      <c r="F163" s="949"/>
      <c r="G163" s="949"/>
      <c r="H163" s="949"/>
      <c r="I163" s="949"/>
      <c r="J163" s="949"/>
      <c r="K163" s="949"/>
      <c r="L163" s="949"/>
      <c r="M163" s="949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2"/>
      <c r="AK163" s="151"/>
      <c r="AL163" s="154"/>
      <c r="AM163" s="153"/>
      <c r="AN163" s="152"/>
      <c r="AO163" s="151"/>
      <c r="AP163" s="152">
        <v>6.8286058655297327E-2</v>
      </c>
      <c r="AQ163" s="151">
        <v>6.1763334576141832E-2</v>
      </c>
      <c r="AR163" s="152">
        <v>6.0681997738627313E-2</v>
      </c>
      <c r="AS163" s="151">
        <v>5.5095803085299606E-2</v>
      </c>
      <c r="AT163" s="152">
        <v>5.8177699644560599E-2</v>
      </c>
      <c r="AU163" s="151">
        <v>5.5944973693450216E-2</v>
      </c>
      <c r="AV163" s="151">
        <v>5.7451240755070097E-2</v>
      </c>
      <c r="AW163" s="150">
        <v>6.2495247387680614E-2</v>
      </c>
      <c r="AX163" s="148">
        <v>8.5967850940037491E-2</v>
      </c>
      <c r="AY163" s="149">
        <v>8.0752078735110894E-2</v>
      </c>
      <c r="AZ163" s="148">
        <v>7.4778531580094759E-2</v>
      </c>
      <c r="BA163" s="149">
        <v>7.3450145371239561E-2</v>
      </c>
      <c r="BB163" s="148">
        <v>7.18249853576923E-2</v>
      </c>
      <c r="BC163" s="149">
        <v>6.4848488767139292E-2</v>
      </c>
      <c r="BD163" s="153">
        <v>7.0161416084067202E-2</v>
      </c>
    </row>
    <row r="164" spans="2:57" hidden="1" outlineLevel="1">
      <c r="B164" s="1008" t="s">
        <v>345</v>
      </c>
      <c r="C164" s="1184" t="s">
        <v>325</v>
      </c>
      <c r="D164" s="949"/>
      <c r="E164" s="949"/>
      <c r="F164" s="949"/>
      <c r="G164" s="949"/>
      <c r="H164" s="949"/>
      <c r="I164" s="949"/>
      <c r="J164" s="949"/>
      <c r="K164" s="949"/>
      <c r="L164" s="949"/>
      <c r="M164" s="949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2"/>
      <c r="AK164" s="151"/>
      <c r="AL164" s="154"/>
      <c r="AM164" s="153"/>
      <c r="AN164" s="152"/>
      <c r="AO164" s="151"/>
      <c r="AP164" s="152">
        <v>0.21485443137147678</v>
      </c>
      <c r="AQ164" s="151">
        <v>0.18997679715950813</v>
      </c>
      <c r="AR164" s="152">
        <v>0.1789744387820737</v>
      </c>
      <c r="AS164" s="151">
        <v>0.16611262072164859</v>
      </c>
      <c r="AT164" s="152">
        <v>0.15988066911601959</v>
      </c>
      <c r="AU164" s="151">
        <v>0.14220883459360983</v>
      </c>
      <c r="AV164" s="151">
        <v>0.12890624682011884</v>
      </c>
      <c r="AW164" s="150">
        <v>0.11138512460174226</v>
      </c>
      <c r="AX164" s="148">
        <v>0.10213826588152099</v>
      </c>
      <c r="AY164" s="149">
        <v>7.6019041055867681E-2</v>
      </c>
      <c r="AZ164" s="148">
        <v>6.841913453630144E-2</v>
      </c>
      <c r="BA164" s="149">
        <v>6.5581824043674908E-2</v>
      </c>
      <c r="BB164" s="148">
        <v>5.4490149486519132E-2</v>
      </c>
      <c r="BC164" s="149">
        <v>5.0704605141803409E-2</v>
      </c>
      <c r="BD164" s="153">
        <v>5.0582240581012489E-2</v>
      </c>
    </row>
    <row r="165" spans="2:57" hidden="1" outlineLevel="1">
      <c r="B165" s="1008" t="s">
        <v>346</v>
      </c>
      <c r="C165" s="1184" t="s">
        <v>325</v>
      </c>
      <c r="D165" s="949"/>
      <c r="E165" s="949"/>
      <c r="F165" s="949"/>
      <c r="G165" s="949"/>
      <c r="H165" s="949"/>
      <c r="I165" s="949"/>
      <c r="J165" s="949"/>
      <c r="K165" s="949"/>
      <c r="L165" s="949"/>
      <c r="M165" s="949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2"/>
      <c r="AK165" s="151"/>
      <c r="AL165" s="154"/>
      <c r="AM165" s="153"/>
      <c r="AN165" s="152"/>
      <c r="AO165" s="151"/>
      <c r="AP165" s="152">
        <v>3.9837748392536156E-2</v>
      </c>
      <c r="AQ165" s="151">
        <v>3.8110751288339732E-2</v>
      </c>
      <c r="AR165" s="152">
        <v>3.5675732429604499E-2</v>
      </c>
      <c r="AS165" s="151">
        <v>2.7661044574207084E-2</v>
      </c>
      <c r="AT165" s="152">
        <v>2.6245322685615032E-2</v>
      </c>
      <c r="AU165" s="151">
        <v>2.4139138346005912E-2</v>
      </c>
      <c r="AV165" s="151">
        <v>3.0940883545288209E-2</v>
      </c>
      <c r="AW165" s="150">
        <v>3.1174005084196293E-2</v>
      </c>
      <c r="AX165" s="148">
        <v>2.9355410195756323E-2</v>
      </c>
      <c r="AY165" s="149">
        <v>2.3117863425884653E-2</v>
      </c>
      <c r="AZ165" s="148">
        <v>3.4351738982060863E-2</v>
      </c>
      <c r="BA165" s="149">
        <v>2.3793945297081769E-2</v>
      </c>
      <c r="BB165" s="148">
        <v>2.2042958197710318E-2</v>
      </c>
      <c r="BC165" s="149">
        <v>1.8183466369070606E-2</v>
      </c>
      <c r="BD165" s="153">
        <v>2.0136212095518941E-2</v>
      </c>
    </row>
    <row r="166" spans="2:57" hidden="1" outlineLevel="1">
      <c r="B166" s="1009"/>
      <c r="C166" s="1186"/>
      <c r="D166" s="949"/>
      <c r="E166" s="949"/>
      <c r="F166" s="949"/>
      <c r="G166" s="949"/>
      <c r="H166" s="949"/>
      <c r="I166" s="949"/>
      <c r="J166" s="949"/>
      <c r="K166" s="949"/>
      <c r="L166" s="949"/>
      <c r="M166" s="949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2"/>
      <c r="AK166" s="151"/>
      <c r="AL166" s="154"/>
      <c r="AM166" s="153"/>
      <c r="AN166" s="152"/>
      <c r="AO166" s="151"/>
      <c r="AP166" s="152"/>
      <c r="AQ166" s="151"/>
      <c r="AR166" s="152"/>
      <c r="AS166" s="151"/>
      <c r="AT166" s="152"/>
      <c r="AU166" s="151"/>
      <c r="AV166" s="151"/>
      <c r="AW166" s="150"/>
      <c r="AX166" s="148"/>
      <c r="AY166" s="149"/>
      <c r="AZ166" s="148"/>
      <c r="BA166" s="149"/>
      <c r="BB166" s="148"/>
      <c r="BC166" s="149"/>
      <c r="BD166" s="153"/>
    </row>
    <row r="167" spans="2:57" s="15" customFormat="1" hidden="1" outlineLevel="1">
      <c r="B167" s="1027" t="s">
        <v>347</v>
      </c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048"/>
    </row>
    <row r="168" spans="2:57" hidden="1" outlineLevel="1">
      <c r="B168" s="1006" t="s">
        <v>348</v>
      </c>
      <c r="C168" s="1185" t="s">
        <v>319</v>
      </c>
      <c r="D168" s="940"/>
      <c r="E168" s="940"/>
      <c r="F168" s="940"/>
      <c r="G168" s="940"/>
      <c r="H168" s="940"/>
      <c r="I168" s="940"/>
      <c r="J168" s="940"/>
      <c r="K168" s="940"/>
      <c r="L168" s="940"/>
      <c r="M168" s="940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6"/>
      <c r="AK168" s="315"/>
      <c r="AL168" s="318"/>
      <c r="AM168" s="317"/>
      <c r="AN168" s="316"/>
      <c r="AO168" s="315"/>
      <c r="AP168" s="316">
        <v>2741.875</v>
      </c>
      <c r="AQ168" s="315">
        <v>2748.7750000000001</v>
      </c>
      <c r="AR168" s="316">
        <v>2941.2429999999999</v>
      </c>
      <c r="AS168" s="315">
        <v>2956.9789999999998</v>
      </c>
      <c r="AT168" s="316">
        <v>2885.125</v>
      </c>
      <c r="AU168" s="315">
        <v>2434.8040000000001</v>
      </c>
      <c r="AV168" s="314">
        <v>3473.998</v>
      </c>
      <c r="AW168" s="313">
        <v>2935.9977600000002</v>
      </c>
      <c r="AX168" s="311">
        <v>2922.067</v>
      </c>
      <c r="AY168" s="312">
        <v>3001.123</v>
      </c>
      <c r="AZ168" s="311">
        <v>3078.9409999999998</v>
      </c>
      <c r="BA168" s="320">
        <v>2773.3662522622067</v>
      </c>
      <c r="BB168" s="319">
        <v>2375.8429999999998</v>
      </c>
      <c r="BC168" s="320">
        <v>2235.7550000000001</v>
      </c>
      <c r="BD168" s="1087">
        <v>2234.2359999999999</v>
      </c>
    </row>
    <row r="169" spans="2:57" hidden="1" outlineLevel="1">
      <c r="B169" s="1010"/>
      <c r="C169" s="1188" t="s">
        <v>319</v>
      </c>
      <c r="D169" s="950"/>
      <c r="E169" s="950"/>
      <c r="F169" s="950"/>
      <c r="G169" s="950"/>
      <c r="H169" s="950"/>
      <c r="I169" s="950"/>
      <c r="J169" s="950"/>
      <c r="K169" s="950"/>
      <c r="L169" s="950"/>
      <c r="M169" s="950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  <c r="AA169" s="329"/>
      <c r="AB169" s="329"/>
      <c r="AC169" s="329"/>
      <c r="AD169" s="329"/>
      <c r="AE169" s="329"/>
      <c r="AF169" s="329"/>
      <c r="AG169" s="329"/>
      <c r="AH169" s="329"/>
      <c r="AI169" s="329"/>
      <c r="AJ169" s="328"/>
      <c r="AK169" s="327"/>
      <c r="AL169" s="330"/>
      <c r="AM169" s="329"/>
      <c r="AN169" s="328"/>
      <c r="AO169" s="327"/>
      <c r="AP169" s="328">
        <v>0</v>
      </c>
      <c r="AQ169" s="327">
        <v>0</v>
      </c>
      <c r="AR169" s="328">
        <v>0</v>
      </c>
      <c r="AS169" s="327">
        <v>0</v>
      </c>
      <c r="AT169" s="328">
        <v>0</v>
      </c>
      <c r="AU169" s="327">
        <v>0</v>
      </c>
      <c r="AV169" s="326"/>
      <c r="AW169" s="325"/>
      <c r="AX169" s="323"/>
      <c r="AY169" s="324"/>
      <c r="AZ169" s="323"/>
      <c r="BA169" s="322"/>
      <c r="BB169" s="321"/>
      <c r="BC169" s="322"/>
      <c r="BD169" s="1096"/>
    </row>
    <row r="170" spans="2:57" hidden="1" outlineLevel="1">
      <c r="B170" s="1011" t="s">
        <v>404</v>
      </c>
      <c r="C170" s="1188" t="s">
        <v>325</v>
      </c>
      <c r="D170" s="951"/>
      <c r="E170" s="951"/>
      <c r="F170" s="951"/>
      <c r="G170" s="951"/>
      <c r="H170" s="951"/>
      <c r="I170" s="951"/>
      <c r="J170" s="951"/>
      <c r="K170" s="951"/>
      <c r="L170" s="951"/>
      <c r="M170" s="951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5"/>
      <c r="AK170" s="144"/>
      <c r="AL170" s="147"/>
      <c r="AM170" s="146"/>
      <c r="AN170" s="145"/>
      <c r="AO170" s="144"/>
      <c r="AP170" s="145">
        <v>0.31156583514643299</v>
      </c>
      <c r="AQ170" s="144">
        <v>0.2973398614276338</v>
      </c>
      <c r="AR170" s="145">
        <v>0.28728182157375631</v>
      </c>
      <c r="AS170" s="144">
        <v>0.27398464433492192</v>
      </c>
      <c r="AT170" s="145">
        <v>0.29283254134951286</v>
      </c>
      <c r="AU170" s="144">
        <v>0.26996349489278876</v>
      </c>
      <c r="AV170" s="144">
        <v>0.40378915791892683</v>
      </c>
      <c r="AW170" s="143">
        <v>0.37202541142221995</v>
      </c>
      <c r="AX170" s="141">
        <v>0.38055269272495312</v>
      </c>
      <c r="AY170" s="142">
        <v>0.34694662501467094</v>
      </c>
      <c r="AZ170" s="141">
        <v>0.3572701163604689</v>
      </c>
      <c r="BA170" s="142">
        <v>0.32913944773332299</v>
      </c>
      <c r="BB170" s="141">
        <v>0.28481131322275943</v>
      </c>
      <c r="BC170" s="142">
        <v>0.27861278000786582</v>
      </c>
      <c r="BD170" s="146">
        <v>0.28261481405492089</v>
      </c>
    </row>
    <row r="171" spans="2:57" hidden="1" outlineLevel="1">
      <c r="B171" s="1006" t="s">
        <v>351</v>
      </c>
      <c r="C171" s="1185" t="s">
        <v>352</v>
      </c>
      <c r="D171" s="940"/>
      <c r="E171" s="940"/>
      <c r="F171" s="940"/>
      <c r="G171" s="940"/>
      <c r="H171" s="940"/>
      <c r="I171" s="940"/>
      <c r="J171" s="940"/>
      <c r="K171" s="940"/>
      <c r="L171" s="940"/>
      <c r="M171" s="940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6"/>
      <c r="AK171" s="315"/>
      <c r="AL171" s="318"/>
      <c r="AM171" s="317"/>
      <c r="AN171" s="316"/>
      <c r="AO171" s="315"/>
      <c r="AP171" s="316">
        <v>9075.1353138107443</v>
      </c>
      <c r="AQ171" s="315">
        <v>8189.2964648565985</v>
      </c>
      <c r="AR171" s="316">
        <v>7703.9189285897619</v>
      </c>
      <c r="AS171" s="315">
        <v>7258.3028079650603</v>
      </c>
      <c r="AT171" s="316">
        <v>6254.3482510407839</v>
      </c>
      <c r="AU171" s="315">
        <v>3991.2351597881852</v>
      </c>
      <c r="AV171" s="314">
        <v>3492.3313731671988</v>
      </c>
      <c r="AW171" s="313">
        <v>2744.2240265480727</v>
      </c>
      <c r="AX171" s="311">
        <v>2356.4257978000001</v>
      </c>
      <c r="AY171" s="312">
        <v>2098.337548</v>
      </c>
      <c r="AZ171" s="311">
        <v>1831.7535792321098</v>
      </c>
      <c r="BA171" s="320">
        <v>1497.4357080845832</v>
      </c>
      <c r="BB171" s="319">
        <v>1277.7793409718279</v>
      </c>
      <c r="BC171" s="320">
        <v>1049.1410274043042</v>
      </c>
      <c r="BD171" s="1087">
        <v>1058.6275901435545</v>
      </c>
    </row>
    <row r="172" spans="2:57" hidden="1" outlineLevel="1">
      <c r="B172" s="1006" t="s">
        <v>353</v>
      </c>
      <c r="C172" s="1185" t="s">
        <v>328</v>
      </c>
      <c r="D172" s="940"/>
      <c r="E172" s="940"/>
      <c r="F172" s="940"/>
      <c r="G172" s="940"/>
      <c r="H172" s="940"/>
      <c r="I172" s="940"/>
      <c r="J172" s="940"/>
      <c r="K172" s="940"/>
      <c r="L172" s="940"/>
      <c r="M172" s="940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6"/>
      <c r="AK172" s="315"/>
      <c r="AL172" s="318"/>
      <c r="AM172" s="317"/>
      <c r="AN172" s="316"/>
      <c r="AO172" s="315"/>
      <c r="AP172" s="316">
        <v>108.31009782298345</v>
      </c>
      <c r="AQ172" s="315">
        <v>88.959695358319323</v>
      </c>
      <c r="AR172" s="316">
        <v>87.474211498479576</v>
      </c>
      <c r="AS172" s="315">
        <v>78.337964908522977</v>
      </c>
      <c r="AT172" s="316">
        <v>79.377550283619655</v>
      </c>
      <c r="AU172" s="315">
        <v>77.559472833756203</v>
      </c>
      <c r="AV172" s="314">
        <v>49.380826981371882</v>
      </c>
      <c r="AW172" s="313">
        <v>48.304576190125402</v>
      </c>
      <c r="AX172" s="311">
        <v>44.875093565924004</v>
      </c>
      <c r="AY172" s="312">
        <v>37.613888330393358</v>
      </c>
      <c r="AZ172" s="311">
        <v>34.522861207787933</v>
      </c>
      <c r="BA172" s="310">
        <v>0.62546517601736051</v>
      </c>
      <c r="BB172" s="309">
        <v>0.56585997017927314</v>
      </c>
      <c r="BC172" s="310">
        <v>0.53367085308662487</v>
      </c>
      <c r="BD172" s="1095">
        <v>0.52295781425133003</v>
      </c>
    </row>
    <row r="173" spans="2:57" hidden="1" outlineLevel="1">
      <c r="B173" s="1006" t="s">
        <v>354</v>
      </c>
      <c r="C173" s="1185" t="s">
        <v>355</v>
      </c>
      <c r="D173" s="940"/>
      <c r="E173" s="940"/>
      <c r="F173" s="940"/>
      <c r="G173" s="940"/>
      <c r="H173" s="940"/>
      <c r="I173" s="940"/>
      <c r="J173" s="940"/>
      <c r="K173" s="940"/>
      <c r="L173" s="940"/>
      <c r="M173" s="940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6"/>
      <c r="AK173" s="315"/>
      <c r="AL173" s="318"/>
      <c r="AM173" s="317"/>
      <c r="AN173" s="316"/>
      <c r="AO173" s="315"/>
      <c r="AP173" s="316">
        <v>1097.2547776494098</v>
      </c>
      <c r="AQ173" s="315">
        <v>925.6241169484241</v>
      </c>
      <c r="AR173" s="316">
        <v>858.11845841693537</v>
      </c>
      <c r="AS173" s="315">
        <v>827.84060866272705</v>
      </c>
      <c r="AT173" s="316">
        <v>767.57360666310842</v>
      </c>
      <c r="AU173" s="315">
        <v>560.20476653928665</v>
      </c>
      <c r="AV173" s="314">
        <v>360.96187588127259</v>
      </c>
      <c r="AW173" s="313">
        <v>314.16760930221807</v>
      </c>
      <c r="AX173" s="311">
        <v>265.91810004026422</v>
      </c>
      <c r="AY173" s="312">
        <v>237.52334785675319</v>
      </c>
      <c r="AZ173" s="311">
        <v>208.97235516711694</v>
      </c>
      <c r="BA173" s="310">
        <v>198.46340751485306</v>
      </c>
      <c r="BB173" s="309">
        <v>183.75806431259852</v>
      </c>
      <c r="BC173" s="310">
        <v>157.78038515110239</v>
      </c>
      <c r="BD173" s="1095">
        <v>171.55025061281989</v>
      </c>
    </row>
    <row r="174" spans="2:57" hidden="1" outlineLevel="1">
      <c r="B174" s="1012" t="s">
        <v>356</v>
      </c>
      <c r="C174" s="1189" t="s">
        <v>339</v>
      </c>
      <c r="D174" s="952"/>
      <c r="E174" s="952"/>
      <c r="F174" s="952"/>
      <c r="G174" s="952"/>
      <c r="H174" s="952"/>
      <c r="I174" s="952"/>
      <c r="J174" s="952"/>
      <c r="K174" s="952"/>
      <c r="L174" s="952"/>
      <c r="M174" s="952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307"/>
      <c r="AC174" s="307"/>
      <c r="AD174" s="307"/>
      <c r="AE174" s="307"/>
      <c r="AF174" s="307"/>
      <c r="AG174" s="307"/>
      <c r="AH174" s="307"/>
      <c r="AI174" s="307"/>
      <c r="AJ174" s="306"/>
      <c r="AK174" s="305"/>
      <c r="AL174" s="308"/>
      <c r="AM174" s="307"/>
      <c r="AN174" s="306"/>
      <c r="AO174" s="305"/>
      <c r="AP174" s="306">
        <v>9.8710071743784411</v>
      </c>
      <c r="AQ174" s="305">
        <v>9.6107797678824074</v>
      </c>
      <c r="AR174" s="306">
        <v>10.1937221651021</v>
      </c>
      <c r="AS174" s="305">
        <v>9.4629285020298965</v>
      </c>
      <c r="AT174" s="306">
        <v>10.341360046067717</v>
      </c>
      <c r="AU174" s="305">
        <v>13.844843433390711</v>
      </c>
      <c r="AV174" s="304">
        <v>13.68034418061762</v>
      </c>
      <c r="AW174" s="303">
        <v>15.375415784400015</v>
      </c>
      <c r="AX174" s="301">
        <v>16.875531811910964</v>
      </c>
      <c r="AY174" s="302">
        <v>15.835869892284329</v>
      </c>
      <c r="AZ174" s="301">
        <v>16.520300582428579</v>
      </c>
      <c r="BA174" s="300">
        <v>0.31515390360842749</v>
      </c>
      <c r="BB174" s="299">
        <v>0.30793748959864153</v>
      </c>
      <c r="BC174" s="300">
        <v>0.33823650042148223</v>
      </c>
      <c r="BD174" s="1097">
        <v>0.30484234933099519</v>
      </c>
    </row>
    <row r="175" spans="2:57" hidden="1" outlineLevel="1"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0"/>
      <c r="AW175" s="110"/>
      <c r="AX175" s="110"/>
      <c r="AY175" s="110"/>
      <c r="AZ175" s="110"/>
      <c r="BA175" s="110"/>
      <c r="BB175" s="110"/>
      <c r="BC175" s="110"/>
      <c r="BD175" s="110"/>
    </row>
    <row r="176" spans="2:57" collapsed="1"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0"/>
      <c r="AW176" s="110"/>
      <c r="AX176" s="110"/>
      <c r="AY176" s="110"/>
      <c r="AZ176" s="110"/>
      <c r="BA176" s="110"/>
      <c r="BB176" s="110"/>
      <c r="BC176" s="110"/>
      <c r="BD176" s="110"/>
    </row>
    <row r="177" spans="2:57" s="15" customFormat="1">
      <c r="B177" s="1027" t="s">
        <v>405</v>
      </c>
      <c r="C177" s="17"/>
      <c r="D177" s="18" t="str">
        <f>D2</f>
        <v>Q4 FY 26</v>
      </c>
      <c r="E177" s="18" t="str">
        <f>E2</f>
        <v>Q3 FY 26</v>
      </c>
      <c r="F177" s="18" t="str">
        <f>F2</f>
        <v>Q2 FY 26</v>
      </c>
      <c r="G177" s="18" t="str">
        <f t="shared" ref="G177:L177" si="33">G2</f>
        <v>Q1 FY 26</v>
      </c>
      <c r="H177" s="18" t="str">
        <f t="shared" si="33"/>
        <v>Q4 FY 25</v>
      </c>
      <c r="I177" s="18" t="str">
        <f t="shared" si="33"/>
        <v>Q3 FY 25</v>
      </c>
      <c r="J177" s="18" t="str">
        <f t="shared" si="33"/>
        <v>Q2 FY 25</v>
      </c>
      <c r="K177" s="18" t="str">
        <f t="shared" si="33"/>
        <v>Q1 FY 25</v>
      </c>
      <c r="L177" s="18" t="str">
        <f t="shared" si="33"/>
        <v>Q4 FY 24</v>
      </c>
      <c r="M177" s="888" t="str">
        <f t="shared" ref="M177:R177" si="34">M2</f>
        <v>Q3 FY 24</v>
      </c>
      <c r="N177" s="18" t="str">
        <f t="shared" si="34"/>
        <v>Q2 FY 24</v>
      </c>
      <c r="O177" s="18" t="str">
        <f t="shared" si="34"/>
        <v>Q1 FY 24</v>
      </c>
      <c r="P177" s="18" t="str">
        <f t="shared" si="34"/>
        <v>Q4 FY 23</v>
      </c>
      <c r="Q177" s="18" t="str">
        <f t="shared" si="34"/>
        <v>Q3 FY 23</v>
      </c>
      <c r="R177" s="18" t="str">
        <f t="shared" si="34"/>
        <v>Q2 FY 23</v>
      </c>
      <c r="S177" s="18" t="str">
        <f t="shared" ref="S177:X177" si="35">S2</f>
        <v>Q1 FY 23</v>
      </c>
      <c r="T177" s="18" t="str">
        <f t="shared" si="35"/>
        <v>Q4 FY 22</v>
      </c>
      <c r="U177" s="18" t="str">
        <f t="shared" si="35"/>
        <v>Q3 FY 22</v>
      </c>
      <c r="V177" s="18" t="str">
        <f t="shared" si="35"/>
        <v>Q2 FY 22</v>
      </c>
      <c r="W177" s="18" t="str">
        <f t="shared" si="35"/>
        <v>Q1 FY 22</v>
      </c>
      <c r="X177" s="18" t="str">
        <f t="shared" si="35"/>
        <v>Q4 FY 21</v>
      </c>
      <c r="Y177" s="18" t="str">
        <f t="shared" ref="Y177:AD177" si="36">Y2</f>
        <v>Q3 FY 21</v>
      </c>
      <c r="Z177" s="18" t="str">
        <f t="shared" si="36"/>
        <v>Q2 FY 21</v>
      </c>
      <c r="AA177" s="18" t="str">
        <f t="shared" si="36"/>
        <v>Q1 FY 21</v>
      </c>
      <c r="AB177" s="18" t="str">
        <f t="shared" si="36"/>
        <v>Q4 FY 20</v>
      </c>
      <c r="AC177" s="18" t="str">
        <f t="shared" si="36"/>
        <v>Q3 FY 20</v>
      </c>
      <c r="AD177" s="18" t="str">
        <f t="shared" si="36"/>
        <v>Q2 FY 20</v>
      </c>
      <c r="AE177" s="18" t="str">
        <f t="shared" ref="AE177:AJ177" si="37">AE2</f>
        <v>Q1 FY 20</v>
      </c>
      <c r="AF177" s="18" t="str">
        <f t="shared" si="37"/>
        <v>Q4 FY19</v>
      </c>
      <c r="AG177" s="18" t="str">
        <f t="shared" si="37"/>
        <v>Q3 FY19</v>
      </c>
      <c r="AH177" s="18" t="str">
        <f t="shared" si="37"/>
        <v>Q2 FY19</v>
      </c>
      <c r="AI177" s="18" t="str">
        <f t="shared" si="37"/>
        <v>Q1 FY 19</v>
      </c>
      <c r="AJ177" s="18" t="str">
        <f t="shared" si="37"/>
        <v>Q4 FY18</v>
      </c>
      <c r="AK177" s="18" t="str">
        <f t="shared" ref="AK177:BD177" si="38">AK2</f>
        <v>Q3 FY 18</v>
      </c>
      <c r="AL177" s="18" t="str">
        <f t="shared" si="38"/>
        <v>Q2 FY 18</v>
      </c>
      <c r="AM177" s="18" t="str">
        <f t="shared" si="38"/>
        <v>Q1 FY 18</v>
      </c>
      <c r="AN177" s="18" t="str">
        <f t="shared" si="38"/>
        <v>Q4 FY17</v>
      </c>
      <c r="AO177" s="18" t="str">
        <f t="shared" si="38"/>
        <v>Q3 FY17</v>
      </c>
      <c r="AP177" s="18" t="str">
        <f t="shared" si="38"/>
        <v>Q2 FY17</v>
      </c>
      <c r="AQ177" s="18" t="str">
        <f t="shared" si="38"/>
        <v>Q1 FY 17</v>
      </c>
      <c r="AR177" s="18" t="str">
        <f t="shared" si="38"/>
        <v>Q4 FY16</v>
      </c>
      <c r="AS177" s="18" t="str">
        <f t="shared" si="38"/>
        <v>Q3 FY16</v>
      </c>
      <c r="AT177" s="18" t="str">
        <f t="shared" si="38"/>
        <v>Q2 FY16</v>
      </c>
      <c r="AU177" s="18" t="str">
        <f t="shared" si="38"/>
        <v>Q1 FY16</v>
      </c>
      <c r="AV177" s="18" t="str">
        <f t="shared" si="38"/>
        <v>Q4 FY15</v>
      </c>
      <c r="AW177" s="18" t="str">
        <f t="shared" si="38"/>
        <v>Q3 FY15</v>
      </c>
      <c r="AX177" s="18" t="str">
        <f t="shared" si="38"/>
        <v>Q4 FY15</v>
      </c>
      <c r="AY177" s="18" t="str">
        <f t="shared" si="38"/>
        <v>Q1 FY15</v>
      </c>
      <c r="AZ177" s="18" t="str">
        <f t="shared" si="38"/>
        <v>Q4 FY 14</v>
      </c>
      <c r="BA177" s="18" t="str">
        <f t="shared" si="38"/>
        <v>Q3 FY 14</v>
      </c>
      <c r="BB177" s="18" t="str">
        <f t="shared" si="38"/>
        <v>Q2 FY 14</v>
      </c>
      <c r="BC177" s="18" t="str">
        <f t="shared" si="38"/>
        <v>Q1 FY 14</v>
      </c>
      <c r="BD177" s="18" t="str">
        <f t="shared" si="38"/>
        <v>Q4 FY 13</v>
      </c>
      <c r="BE177" s="1048"/>
    </row>
    <row r="178" spans="2:57">
      <c r="B178" s="953"/>
      <c r="C178" s="953"/>
      <c r="D178" s="953"/>
      <c r="E178" s="953"/>
      <c r="F178" s="953"/>
      <c r="G178" s="953"/>
      <c r="H178" s="953"/>
      <c r="I178" s="953"/>
      <c r="J178" s="953"/>
      <c r="K178" s="953"/>
      <c r="L178" s="953"/>
      <c r="M178" s="953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  <c r="AA178" s="257"/>
      <c r="AB178" s="257"/>
      <c r="AC178" s="257"/>
      <c r="AD178" s="257"/>
      <c r="AE178" s="257"/>
      <c r="AF178" s="257"/>
      <c r="AG178" s="257"/>
      <c r="AH178" s="257"/>
      <c r="AI178" s="257"/>
      <c r="AJ178" s="257"/>
      <c r="AK178" s="257"/>
      <c r="AL178" s="257"/>
      <c r="AM178" s="257"/>
      <c r="AN178" s="257"/>
      <c r="AO178" s="257"/>
      <c r="AP178" s="129"/>
      <c r="AQ178" s="257"/>
      <c r="AR178" s="257"/>
      <c r="AS178" s="257"/>
      <c r="AT178" s="129"/>
      <c r="AU178" s="257"/>
      <c r="AV178" s="110"/>
      <c r="AW178" s="110"/>
      <c r="AX178" s="110"/>
      <c r="AY178" s="110"/>
      <c r="AZ178" s="110"/>
      <c r="BA178" s="298" t="s">
        <v>400</v>
      </c>
      <c r="BB178" s="298" t="s">
        <v>400</v>
      </c>
      <c r="BC178" s="298" t="s">
        <v>400</v>
      </c>
      <c r="BD178" s="298" t="s">
        <v>400</v>
      </c>
    </row>
    <row r="179" spans="2:57">
      <c r="B179" s="976" t="s">
        <v>312</v>
      </c>
      <c r="C179" s="953"/>
      <c r="D179" s="954">
        <v>160335</v>
      </c>
      <c r="E179" s="954">
        <v>150100</v>
      </c>
      <c r="F179" s="954">
        <v>136795</v>
      </c>
      <c r="G179" s="954">
        <v>120834</v>
      </c>
      <c r="H179" s="954">
        <v>113762.56917417585</v>
      </c>
      <c r="I179" s="954">
        <v>107032</v>
      </c>
      <c r="J179" s="954">
        <v>101631.15716316091</v>
      </c>
      <c r="K179" s="954">
        <v>96369.348685824269</v>
      </c>
      <c r="L179" s="954">
        <v>92932.501927844976</v>
      </c>
      <c r="M179" s="954">
        <v>102972.35068890199</v>
      </c>
      <c r="N179" s="294">
        <v>102767.63975801811</v>
      </c>
      <c r="O179" s="294">
        <v>113168.47988314697</v>
      </c>
      <c r="P179" s="294">
        <v>110314.79130590509</v>
      </c>
      <c r="Q179" s="294">
        <v>110876.80381784689</v>
      </c>
      <c r="R179" s="294">
        <v>104451.814448598</v>
      </c>
      <c r="S179" s="294">
        <v>97020.754476614995</v>
      </c>
      <c r="T179" s="294">
        <v>91871.379550050056</v>
      </c>
      <c r="U179" s="294">
        <v>91053</v>
      </c>
      <c r="V179" s="294">
        <v>85915.677568233965</v>
      </c>
      <c r="W179" s="294">
        <v>81773.153924568993</v>
      </c>
      <c r="X179" s="294">
        <v>76017.490857259982</v>
      </c>
      <c r="Y179" s="294">
        <v>76441.540934315999</v>
      </c>
      <c r="Z179" s="294">
        <v>71660.353665636983</v>
      </c>
      <c r="AA179" s="294">
        <v>64512.787317907001</v>
      </c>
      <c r="AB179" s="294">
        <v>64888.432813095009</v>
      </c>
      <c r="AC179" s="294">
        <v>62692.392380003388</v>
      </c>
      <c r="AD179" s="294">
        <v>59156.82830853566</v>
      </c>
      <c r="AE179" s="294">
        <v>55433.089851472148</v>
      </c>
      <c r="AF179" s="294">
        <v>55114.726907413387</v>
      </c>
      <c r="AG179" s="294">
        <v>56153.530464902702</v>
      </c>
      <c r="AH179" s="294">
        <v>53724.789620589399</v>
      </c>
      <c r="AI179" s="294">
        <v>50033.253772959797</v>
      </c>
      <c r="AJ179" s="295">
        <v>49712</v>
      </c>
      <c r="AK179" s="294">
        <v>51293.39205105498</v>
      </c>
      <c r="AL179" s="297">
        <v>52030.132223252993</v>
      </c>
      <c r="AM179" s="296">
        <v>48528.016530169989</v>
      </c>
      <c r="AN179" s="295">
        <v>50468.039745782029</v>
      </c>
      <c r="AO179" s="294">
        <v>53558.667512548964</v>
      </c>
      <c r="AP179" s="295">
        <v>53047.696293542009</v>
      </c>
      <c r="AQ179" s="294">
        <v>62493.492789999997</v>
      </c>
      <c r="AR179" s="295">
        <v>64511.019396999996</v>
      </c>
      <c r="AS179" s="294">
        <v>62505.601766000007</v>
      </c>
      <c r="AT179" s="295">
        <v>62721.312334999995</v>
      </c>
      <c r="AU179" s="294">
        <v>61594.534071000002</v>
      </c>
      <c r="AV179" s="293">
        <v>62152.525951999996</v>
      </c>
      <c r="AW179" s="292">
        <v>68275.648936999991</v>
      </c>
      <c r="AX179" s="290">
        <v>68956.352278999984</v>
      </c>
      <c r="AY179" s="291">
        <v>69685.361741000001</v>
      </c>
      <c r="AZ179" s="290">
        <v>70623.199313000005</v>
      </c>
      <c r="BA179" s="289">
        <v>1165.01211956</v>
      </c>
      <c r="BB179" s="288">
        <v>1118.9678712100001</v>
      </c>
      <c r="BC179" s="289">
        <v>1062.0406049999999</v>
      </c>
      <c r="BD179" s="1098">
        <v>1120.4752269999999</v>
      </c>
    </row>
    <row r="180" spans="2:57">
      <c r="B180" s="976" t="s">
        <v>313</v>
      </c>
      <c r="C180" s="953"/>
      <c r="D180" s="955">
        <v>80729</v>
      </c>
      <c r="E180" s="955">
        <v>74678</v>
      </c>
      <c r="F180" s="955">
        <v>67150</v>
      </c>
      <c r="G180" s="955">
        <v>58156.519150583837</v>
      </c>
      <c r="H180" s="955">
        <v>53807.245893841478</v>
      </c>
      <c r="I180" s="955">
        <v>50294.6</v>
      </c>
      <c r="J180" s="955">
        <v>47258.500766475518</v>
      </c>
      <c r="K180" s="955">
        <v>43616.529097564257</v>
      </c>
      <c r="L180" s="955">
        <v>43236.906250850938</v>
      </c>
      <c r="M180" s="955">
        <v>50590.337462133022</v>
      </c>
      <c r="N180" s="284">
        <v>51157.696750332107</v>
      </c>
      <c r="O180" s="284">
        <v>56030.824992768969</v>
      </c>
      <c r="P180" s="284">
        <v>54180.045980566138</v>
      </c>
      <c r="Q180" s="284">
        <v>54467.657951169866</v>
      </c>
      <c r="R180" s="284">
        <v>51251.757737889995</v>
      </c>
      <c r="S180" s="284">
        <v>47381.327488894975</v>
      </c>
      <c r="T180" s="284">
        <v>45865.058372405023</v>
      </c>
      <c r="U180" s="284">
        <v>45189.595548540012</v>
      </c>
      <c r="V180" s="284">
        <v>41743.257718275971</v>
      </c>
      <c r="W180" s="284">
        <v>39272.835667117004</v>
      </c>
      <c r="X180" s="284">
        <v>36250.037016255985</v>
      </c>
      <c r="Y180" s="284">
        <v>35852.111383891999</v>
      </c>
      <c r="Z180" s="284">
        <v>32452.604396361967</v>
      </c>
      <c r="AA180" s="284">
        <v>28425.237581814989</v>
      </c>
      <c r="AB180" s="284">
        <v>28640.351451533032</v>
      </c>
      <c r="AC180" s="284">
        <v>28330.852402844761</v>
      </c>
      <c r="AD180" s="284">
        <v>26081.960233742488</v>
      </c>
      <c r="AE180" s="284">
        <v>24205.991842561514</v>
      </c>
      <c r="AF180" s="284">
        <v>21608.266769026875</v>
      </c>
      <c r="AG180" s="284">
        <v>21868.119607931985</v>
      </c>
      <c r="AH180" s="284">
        <v>20934.255039373929</v>
      </c>
      <c r="AI180" s="284">
        <v>19220.899901304449</v>
      </c>
      <c r="AJ180" s="285">
        <v>17911</v>
      </c>
      <c r="AK180" s="284">
        <v>18187.919616880979</v>
      </c>
      <c r="AL180" s="287">
        <v>16814.363746002993</v>
      </c>
      <c r="AM180" s="286">
        <v>13616.109291279994</v>
      </c>
      <c r="AN180" s="285">
        <v>13065.317436425008</v>
      </c>
      <c r="AO180" s="284">
        <v>12945.463315674973</v>
      </c>
      <c r="AP180" s="285">
        <v>12247.189157559995</v>
      </c>
      <c r="AQ180" s="284">
        <v>13998.263753999992</v>
      </c>
      <c r="AR180" s="285">
        <v>14233.245731999988</v>
      </c>
      <c r="AS180" s="284">
        <v>13286.648837999986</v>
      </c>
      <c r="AT180" s="285">
        <v>12695.042389000002</v>
      </c>
      <c r="AU180" s="284">
        <v>12673.633989000002</v>
      </c>
      <c r="AV180" s="283">
        <v>12901.380716999978</v>
      </c>
      <c r="AW180" s="282">
        <v>14953.149932999971</v>
      </c>
      <c r="AX180" s="280">
        <v>16309.51464400001</v>
      </c>
      <c r="AY180" s="281">
        <v>16957.623412000001</v>
      </c>
      <c r="AZ180" s="280">
        <v>17849.892122999983</v>
      </c>
      <c r="BA180" s="279">
        <v>300.48604881000006</v>
      </c>
      <c r="BB180" s="278">
        <v>301.47803906999991</v>
      </c>
      <c r="BC180" s="279">
        <v>283.32636747000004</v>
      </c>
      <c r="BD180" s="1099">
        <v>284.87530404000006</v>
      </c>
    </row>
    <row r="181" spans="2:57">
      <c r="B181" s="976" t="s">
        <v>314</v>
      </c>
      <c r="C181" s="953"/>
      <c r="D181" s="956">
        <v>0.50350204259830977</v>
      </c>
      <c r="E181" s="956">
        <v>0.49752165223184541</v>
      </c>
      <c r="F181" s="956">
        <v>0.49088051463869292</v>
      </c>
      <c r="G181" s="956">
        <v>0.48129267549351867</v>
      </c>
      <c r="H181" s="956">
        <v>0.47297846984679165</v>
      </c>
      <c r="I181" s="956">
        <v>0.46990245907765898</v>
      </c>
      <c r="J181" s="956">
        <v>0.46499463444114131</v>
      </c>
      <c r="K181" s="956">
        <v>0.4525918933984453</v>
      </c>
      <c r="L181" s="956">
        <v>0.46525064271293493</v>
      </c>
      <c r="M181" s="956">
        <v>0.49130020946084391</v>
      </c>
      <c r="N181" s="274">
        <v>0.49779966603096665</v>
      </c>
      <c r="O181" s="274">
        <v>0.49510981370982499</v>
      </c>
      <c r="P181" s="274">
        <v>0.49114035696558406</v>
      </c>
      <c r="Q181" s="274">
        <v>0.49124705708671573</v>
      </c>
      <c r="R181" s="274">
        <v>0.49067604374774743</v>
      </c>
      <c r="S181" s="274">
        <v>0.48836280179943709</v>
      </c>
      <c r="T181" s="274">
        <v>0.49923119253280041</v>
      </c>
      <c r="U181" s="274">
        <v>0.496306422847829</v>
      </c>
      <c r="V181" s="274">
        <v>0.48586310321679771</v>
      </c>
      <c r="W181" s="274">
        <v>0.48026563465246708</v>
      </c>
      <c r="X181" s="274">
        <v>0.47686442432470733</v>
      </c>
      <c r="Y181" s="274">
        <v>0.46901345715543175</v>
      </c>
      <c r="Z181" s="274">
        <v>0.45286693040595249</v>
      </c>
      <c r="AA181" s="274">
        <v>0.44061400481335145</v>
      </c>
      <c r="AB181" s="274">
        <v>0.44137838147561453</v>
      </c>
      <c r="AC181" s="274">
        <v>0.45190255671087265</v>
      </c>
      <c r="AD181" s="274">
        <v>0.44089517608534728</v>
      </c>
      <c r="AE181" s="274">
        <v>0.43667044192231097</v>
      </c>
      <c r="AF181" s="274">
        <v>0.39205976299812501</v>
      </c>
      <c r="AG181" s="274">
        <v>0.38943445633574336</v>
      </c>
      <c r="AH181" s="274">
        <v>0.38965727343399631</v>
      </c>
      <c r="AI181" s="274">
        <v>0.38416250097434762</v>
      </c>
      <c r="AJ181" s="275">
        <v>0.36</v>
      </c>
      <c r="AK181" s="274">
        <v>0.35458601760588571</v>
      </c>
      <c r="AL181" s="277">
        <v>0.32316588537302271</v>
      </c>
      <c r="AM181" s="276">
        <v>0.28058244010065453</v>
      </c>
      <c r="AN181" s="275">
        <v>0.25888299807636117</v>
      </c>
      <c r="AO181" s="274">
        <v>0.24170622453670659</v>
      </c>
      <c r="AP181" s="275">
        <v>0.23087127270880112</v>
      </c>
      <c r="AQ181" s="274">
        <v>0.22399554144043535</v>
      </c>
      <c r="AR181" s="275">
        <v>0.22063278281821552</v>
      </c>
      <c r="AS181" s="274">
        <v>0.21256732936898584</v>
      </c>
      <c r="AT181" s="275">
        <v>0.20240396631362995</v>
      </c>
      <c r="AU181" s="274">
        <v>0.20575906904971644</v>
      </c>
      <c r="AV181" s="273">
        <v>0.20757612855451174</v>
      </c>
      <c r="AW181" s="272">
        <v>0.21901146551968617</v>
      </c>
      <c r="AX181" s="270">
        <v>0.23651939386252774</v>
      </c>
      <c r="AY181" s="271">
        <v>0.24334556050704739</v>
      </c>
      <c r="AZ181" s="270">
        <v>0.25274827955456636</v>
      </c>
      <c r="BA181" s="269">
        <v>0.25792525568187835</v>
      </c>
      <c r="BB181" s="268">
        <v>0.26942510757167271</v>
      </c>
      <c r="BC181" s="269">
        <v>0.2667754567350088</v>
      </c>
      <c r="BD181" s="1100">
        <v>0.25424507135488866</v>
      </c>
    </row>
    <row r="182" spans="2:57">
      <c r="B182" s="976" t="s">
        <v>315</v>
      </c>
      <c r="C182" s="953"/>
      <c r="D182" s="953"/>
      <c r="E182" s="953"/>
      <c r="F182" s="953"/>
      <c r="G182" s="953"/>
      <c r="H182" s="953"/>
      <c r="I182" s="953"/>
      <c r="J182" s="953"/>
      <c r="K182" s="953"/>
      <c r="L182" s="953"/>
      <c r="M182" s="953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  <c r="AA182" s="257"/>
      <c r="AB182" s="257"/>
      <c r="AC182" s="257"/>
      <c r="AD182" s="257"/>
      <c r="AE182" s="257"/>
      <c r="AF182" s="257"/>
      <c r="AG182" s="257"/>
      <c r="AH182" s="257"/>
      <c r="AI182" s="257"/>
      <c r="AJ182" s="257"/>
      <c r="AK182" s="257"/>
      <c r="AL182" s="257"/>
      <c r="AM182" s="257"/>
      <c r="AN182" s="257"/>
      <c r="AO182" s="257"/>
      <c r="AP182" s="129"/>
      <c r="AQ182" s="257"/>
      <c r="AR182" s="257"/>
      <c r="AS182" s="257"/>
      <c r="AT182" s="129"/>
      <c r="AU182" s="257"/>
      <c r="AV182" s="110"/>
      <c r="AW182" s="110"/>
      <c r="AX182" s="110"/>
      <c r="AY182" s="110"/>
      <c r="AZ182" s="110"/>
      <c r="BA182" s="110"/>
      <c r="BB182" s="110"/>
      <c r="BC182" s="110"/>
      <c r="BD182" s="110"/>
    </row>
    <row r="183" spans="2:57">
      <c r="B183" s="976" t="s">
        <v>316</v>
      </c>
      <c r="C183" s="953"/>
      <c r="D183" s="957">
        <v>25774.275400000006</v>
      </c>
      <c r="E183" s="957">
        <v>25373.402750000001</v>
      </c>
      <c r="F183" s="957">
        <v>17194.924633333332</v>
      </c>
      <c r="G183" s="957">
        <v>10336.062000000002</v>
      </c>
      <c r="H183" s="957">
        <v>18482.64143333333</v>
      </c>
      <c r="I183" s="957">
        <v>11813.066999999997</v>
      </c>
      <c r="J183" s="957">
        <v>14150.262966666667</v>
      </c>
      <c r="K183" s="957">
        <v>12253.927350000002</v>
      </c>
      <c r="L183" s="957">
        <v>20192.170050000001</v>
      </c>
      <c r="M183" s="957">
        <v>15145.604716666669</v>
      </c>
      <c r="N183" s="264">
        <v>14187.842833333334</v>
      </c>
      <c r="O183" s="264">
        <v>11502.7955</v>
      </c>
      <c r="P183" s="264">
        <v>23942.871324999989</v>
      </c>
      <c r="Q183" s="264">
        <v>12077.252950000004</v>
      </c>
      <c r="R183" s="264">
        <v>13499.72</v>
      </c>
      <c r="S183" s="264">
        <v>10880.382500000002</v>
      </c>
      <c r="T183" s="264">
        <v>16815.837180886789</v>
      </c>
      <c r="U183" s="264">
        <v>13965.082083333333</v>
      </c>
      <c r="V183" s="264">
        <v>10315.12138447753</v>
      </c>
      <c r="W183" s="264">
        <v>7794.7100000000009</v>
      </c>
      <c r="X183" s="264">
        <v>15457.332500000004</v>
      </c>
      <c r="Y183" s="264">
        <v>13822.027083333334</v>
      </c>
      <c r="Z183" s="264">
        <v>11145.749999999998</v>
      </c>
      <c r="AA183" s="264">
        <v>5003.817500000001</v>
      </c>
      <c r="AB183" s="264">
        <v>17908.919993985506</v>
      </c>
      <c r="AC183" s="264">
        <v>10676.807801334775</v>
      </c>
      <c r="AD183" s="264">
        <v>10325.536554405979</v>
      </c>
      <c r="AE183" s="264">
        <v>6926.9286390100406</v>
      </c>
      <c r="AF183" s="264">
        <v>21495.79104192536</v>
      </c>
      <c r="AG183" s="264">
        <v>12198.037309264722</v>
      </c>
      <c r="AH183" s="264">
        <v>7386.1213904511496</v>
      </c>
      <c r="AI183" s="264">
        <v>3295.7369373321226</v>
      </c>
      <c r="AJ183" s="265">
        <v>16300</v>
      </c>
      <c r="AK183" s="264">
        <v>4667.3656491992861</v>
      </c>
      <c r="AL183" s="267">
        <v>3130.6016856514352</v>
      </c>
      <c r="AM183" s="266">
        <v>3160.9451196352893</v>
      </c>
      <c r="AN183" s="265">
        <v>9032.7416779837931</v>
      </c>
      <c r="AO183" s="264">
        <v>4366.2131277775252</v>
      </c>
      <c r="AP183" s="265">
        <v>6781.3770374301876</v>
      </c>
      <c r="AQ183" s="264">
        <v>7503.504585341424</v>
      </c>
      <c r="AR183" s="265">
        <v>18667.891189064496</v>
      </c>
      <c r="AS183" s="264">
        <v>12098.864000000003</v>
      </c>
      <c r="AT183" s="265">
        <v>10665.229999999998</v>
      </c>
      <c r="AU183" s="264">
        <v>9511.0310000000009</v>
      </c>
      <c r="AV183" s="263">
        <v>22210.108</v>
      </c>
      <c r="AW183" s="262">
        <v>17577.816999999995</v>
      </c>
      <c r="AX183" s="260">
        <v>16020.902760000001</v>
      </c>
      <c r="AY183" s="261">
        <v>9571.2900699999991</v>
      </c>
      <c r="AZ183" s="260">
        <v>10868.407000000001</v>
      </c>
      <c r="BA183" s="259">
        <v>139.89927737414934</v>
      </c>
      <c r="BB183" s="258">
        <v>153.62894690975671</v>
      </c>
      <c r="BC183" s="259">
        <v>165.27527058875393</v>
      </c>
      <c r="BD183" s="1101">
        <v>234.53637373398047</v>
      </c>
    </row>
    <row r="184" spans="2:57">
      <c r="B184" s="976" t="s">
        <v>318</v>
      </c>
      <c r="C184" s="953"/>
      <c r="D184" s="953"/>
      <c r="E184" s="953"/>
      <c r="F184" s="953"/>
      <c r="G184" s="953"/>
      <c r="H184" s="953"/>
      <c r="I184" s="953"/>
      <c r="J184" s="953"/>
      <c r="K184" s="953"/>
      <c r="L184" s="953"/>
      <c r="M184" s="953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  <c r="AA184" s="257"/>
      <c r="AB184" s="257"/>
      <c r="AC184" s="257"/>
      <c r="AD184" s="257"/>
      <c r="AE184" s="257"/>
      <c r="AF184" s="257"/>
      <c r="AG184" s="257"/>
      <c r="AH184" s="257"/>
      <c r="AI184" s="257"/>
      <c r="AJ184" s="257"/>
      <c r="AK184" s="257"/>
      <c r="AL184" s="257"/>
      <c r="AM184" s="257"/>
      <c r="AN184" s="257"/>
      <c r="AO184" s="257"/>
      <c r="AP184" s="129"/>
      <c r="AQ184" s="257"/>
      <c r="AR184" s="257"/>
      <c r="AS184" s="257"/>
      <c r="AT184" s="129"/>
      <c r="AU184" s="257"/>
      <c r="AV184" s="110"/>
      <c r="AW184" s="110"/>
      <c r="AX184" s="110"/>
      <c r="AY184" s="110"/>
      <c r="AZ184" s="110"/>
      <c r="BA184" s="110"/>
      <c r="BB184" s="110"/>
      <c r="BC184" s="110"/>
      <c r="BD184" s="110"/>
    </row>
    <row r="185" spans="2:57">
      <c r="B185" s="953"/>
      <c r="C185" s="953"/>
      <c r="D185" s="953"/>
      <c r="E185" s="953"/>
      <c r="F185" s="953"/>
      <c r="G185" s="953"/>
      <c r="H185" s="953"/>
      <c r="I185" s="953"/>
      <c r="J185" s="953"/>
      <c r="K185" s="953"/>
      <c r="L185" s="953"/>
      <c r="M185" s="953"/>
      <c r="N185" s="257"/>
      <c r="O185" s="257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  <c r="AA185" s="257"/>
      <c r="AB185" s="257"/>
      <c r="AC185" s="257"/>
      <c r="AD185" s="257"/>
      <c r="AE185" s="257"/>
      <c r="AF185" s="257"/>
      <c r="AG185" s="257"/>
      <c r="AH185" s="257"/>
      <c r="AI185" s="257"/>
      <c r="AJ185" s="257"/>
      <c r="AK185" s="257"/>
      <c r="AL185" s="257"/>
      <c r="AM185" s="257"/>
      <c r="AN185" s="257"/>
      <c r="AO185" s="257"/>
      <c r="AP185" s="129"/>
      <c r="AQ185" s="257"/>
      <c r="AR185" s="257"/>
      <c r="AS185" s="257"/>
      <c r="AT185" s="129"/>
      <c r="AU185" s="257"/>
      <c r="AV185" s="110"/>
      <c r="AW185" s="110"/>
      <c r="AX185" s="110"/>
      <c r="AY185" s="110"/>
      <c r="AZ185" s="110"/>
      <c r="BA185" s="110"/>
      <c r="BB185" s="110"/>
      <c r="BC185" s="110"/>
      <c r="BD185" s="110"/>
    </row>
    <row r="186" spans="2:57" s="793" customFormat="1">
      <c r="B186" s="1142" t="s">
        <v>392</v>
      </c>
      <c r="C186" s="1190" t="s">
        <v>393</v>
      </c>
      <c r="D186" s="900">
        <f>D3</f>
        <v>46112</v>
      </c>
      <c r="E186" s="900">
        <f>E3</f>
        <v>46022</v>
      </c>
      <c r="F186" s="900">
        <f>F3</f>
        <v>45930</v>
      </c>
      <c r="G186" s="900">
        <f t="shared" ref="G186:L186" si="39">G3</f>
        <v>45838</v>
      </c>
      <c r="H186" s="900">
        <f t="shared" si="39"/>
        <v>45746</v>
      </c>
      <c r="I186" s="900">
        <f t="shared" si="39"/>
        <v>45656</v>
      </c>
      <c r="J186" s="900">
        <f t="shared" si="39"/>
        <v>45565</v>
      </c>
      <c r="K186" s="900">
        <f t="shared" si="39"/>
        <v>45473</v>
      </c>
      <c r="L186" s="900">
        <f t="shared" si="39"/>
        <v>45382</v>
      </c>
      <c r="M186" s="900">
        <f t="shared" ref="M186:R186" si="40">M3</f>
        <v>45290</v>
      </c>
      <c r="N186" s="789">
        <f t="shared" si="40"/>
        <v>45199</v>
      </c>
      <c r="O186" s="789">
        <f t="shared" si="40"/>
        <v>45107</v>
      </c>
      <c r="P186" s="789">
        <f t="shared" si="40"/>
        <v>45016</v>
      </c>
      <c r="Q186" s="789">
        <f t="shared" si="40"/>
        <v>44926</v>
      </c>
      <c r="R186" s="789">
        <f t="shared" si="40"/>
        <v>44834</v>
      </c>
      <c r="S186" s="789">
        <f t="shared" ref="S186:X186" si="41">S3</f>
        <v>44742</v>
      </c>
      <c r="T186" s="789">
        <f t="shared" si="41"/>
        <v>44651</v>
      </c>
      <c r="U186" s="789">
        <f t="shared" si="41"/>
        <v>44561</v>
      </c>
      <c r="V186" s="789">
        <f t="shared" si="41"/>
        <v>44469</v>
      </c>
      <c r="W186" s="789">
        <f t="shared" si="41"/>
        <v>44377</v>
      </c>
      <c r="X186" s="789">
        <f t="shared" si="41"/>
        <v>44286</v>
      </c>
      <c r="Y186" s="789">
        <f t="shared" ref="Y186:AD186" si="42">Y3</f>
        <v>44196</v>
      </c>
      <c r="Z186" s="789">
        <f t="shared" si="42"/>
        <v>44104</v>
      </c>
      <c r="AA186" s="789">
        <f t="shared" si="42"/>
        <v>44012</v>
      </c>
      <c r="AB186" s="789">
        <f t="shared" si="42"/>
        <v>43921</v>
      </c>
      <c r="AC186" s="789">
        <f t="shared" si="42"/>
        <v>43830</v>
      </c>
      <c r="AD186" s="789">
        <f t="shared" si="42"/>
        <v>43738</v>
      </c>
      <c r="AE186" s="789">
        <f t="shared" ref="AE186:AJ186" si="43">AE3</f>
        <v>43646</v>
      </c>
      <c r="AF186" s="789">
        <f t="shared" si="43"/>
        <v>43555</v>
      </c>
      <c r="AG186" s="789">
        <f t="shared" si="43"/>
        <v>43465</v>
      </c>
      <c r="AH186" s="789">
        <f t="shared" si="43"/>
        <v>43373</v>
      </c>
      <c r="AI186" s="789">
        <f t="shared" si="43"/>
        <v>43281</v>
      </c>
      <c r="AJ186" s="790">
        <f t="shared" si="43"/>
        <v>43190</v>
      </c>
      <c r="AK186" s="790">
        <f t="shared" ref="AK186:AQ186" si="44">AK3</f>
        <v>43100</v>
      </c>
      <c r="AL186" s="789">
        <f t="shared" si="44"/>
        <v>43008</v>
      </c>
      <c r="AM186" s="789">
        <f t="shared" si="44"/>
        <v>42916</v>
      </c>
      <c r="AN186" s="790">
        <f t="shared" si="44"/>
        <v>42825</v>
      </c>
      <c r="AO186" s="790">
        <f t="shared" si="44"/>
        <v>42735</v>
      </c>
      <c r="AP186" s="790">
        <f t="shared" si="44"/>
        <v>42643</v>
      </c>
      <c r="AQ186" s="790">
        <f t="shared" si="44"/>
        <v>42551</v>
      </c>
      <c r="AR186" s="790">
        <v>42460</v>
      </c>
      <c r="AS186" s="790">
        <v>42369</v>
      </c>
      <c r="AT186" s="790">
        <v>42277</v>
      </c>
      <c r="AU186" s="790">
        <v>42185</v>
      </c>
      <c r="AV186" s="790">
        <v>42094</v>
      </c>
      <c r="AW186" s="791">
        <v>42004</v>
      </c>
      <c r="AX186" s="792">
        <v>41912</v>
      </c>
      <c r="AY186" s="792">
        <v>41820</v>
      </c>
      <c r="AZ186" s="792">
        <v>41729</v>
      </c>
      <c r="BA186" s="792">
        <v>41639</v>
      </c>
      <c r="BB186" s="792">
        <v>41547</v>
      </c>
      <c r="BC186" s="792">
        <v>41455</v>
      </c>
      <c r="BD186" s="789">
        <v>41364</v>
      </c>
    </row>
    <row r="187" spans="2:57">
      <c r="B187" s="1013" t="s">
        <v>322</v>
      </c>
      <c r="C187" s="1191" t="s">
        <v>319</v>
      </c>
      <c r="D187" s="958">
        <v>183545.15224999998</v>
      </c>
      <c r="E187" s="958">
        <v>179389.36825</v>
      </c>
      <c r="F187" s="958">
        <v>173816.04525</v>
      </c>
      <c r="G187" s="958">
        <v>169388.91384600001</v>
      </c>
      <c r="H187" s="958">
        <v>166052.520667</v>
      </c>
      <c r="I187" s="958">
        <v>163106.19616699999</v>
      </c>
      <c r="J187" s="958">
        <v>156642.493842</v>
      </c>
      <c r="K187" s="958">
        <v>155416.47188699999</v>
      </c>
      <c r="L187" s="958">
        <v>152718.57600000003</v>
      </c>
      <c r="M187" s="958">
        <v>151170.64299999998</v>
      </c>
      <c r="N187" s="249">
        <v>147665.76200000002</v>
      </c>
      <c r="O187" s="249">
        <v>143103.09099999999</v>
      </c>
      <c r="P187" s="249">
        <v>140047.571</v>
      </c>
      <c r="Q187" s="249">
        <v>138501.73799999998</v>
      </c>
      <c r="R187" s="249">
        <v>134660.08899999998</v>
      </c>
      <c r="S187" s="249">
        <v>131555.698</v>
      </c>
      <c r="T187" s="249">
        <v>128428.18499999998</v>
      </c>
      <c r="U187" s="249">
        <v>125762.06299999999</v>
      </c>
      <c r="V187" s="249">
        <v>122697.15000000001</v>
      </c>
      <c r="W187" s="249">
        <v>120795.90699899998</v>
      </c>
      <c r="X187" s="249">
        <v>118192.269</v>
      </c>
      <c r="Y187" s="249">
        <v>118903.22699999998</v>
      </c>
      <c r="Z187" s="249">
        <v>116371.03</v>
      </c>
      <c r="AA187" s="249">
        <v>111460.67432000001</v>
      </c>
      <c r="AB187" s="249">
        <v>110603.819984</v>
      </c>
      <c r="AC187" s="249">
        <v>107140</v>
      </c>
      <c r="AD187" s="249">
        <v>103881.36632</v>
      </c>
      <c r="AE187" s="249">
        <v>99670.340999999986</v>
      </c>
      <c r="AF187" s="249">
        <v>98851.418319999982</v>
      </c>
      <c r="AG187" s="249">
        <v>97922.425319999995</v>
      </c>
      <c r="AH187" s="249">
        <v>94095.653319999998</v>
      </c>
      <c r="AI187" s="249">
        <v>91192.750320000006</v>
      </c>
      <c r="AJ187" s="250">
        <v>89262</v>
      </c>
      <c r="AK187" s="249">
        <v>84129.551000000007</v>
      </c>
      <c r="AL187" s="252">
        <v>78741.75999999998</v>
      </c>
      <c r="AM187" s="251">
        <v>76860.904823999997</v>
      </c>
      <c r="AN187" s="250">
        <v>76726.374000000011</v>
      </c>
      <c r="AO187" s="249">
        <v>76925.164000000004</v>
      </c>
      <c r="AP187" s="250">
        <v>78145.122999999992</v>
      </c>
      <c r="AQ187" s="249">
        <v>75768.582000000009</v>
      </c>
      <c r="AR187" s="250">
        <v>80564.446000000011</v>
      </c>
      <c r="AS187" s="249">
        <v>82069.755000000005</v>
      </c>
      <c r="AT187" s="250">
        <v>80834.590000000011</v>
      </c>
      <c r="AU187" s="249">
        <v>78323.356</v>
      </c>
      <c r="AV187" s="248">
        <v>76262.792000000016</v>
      </c>
      <c r="AW187" s="247">
        <v>74598.626000000004</v>
      </c>
      <c r="AX187" s="245">
        <v>71366.826000000001</v>
      </c>
      <c r="AY187" s="246">
        <v>69085.806689999998</v>
      </c>
      <c r="AZ187" s="245">
        <v>69443.122000000003</v>
      </c>
      <c r="BA187" s="244">
        <v>68307.370999999999</v>
      </c>
      <c r="BB187" s="243">
        <v>66378.459000000003</v>
      </c>
      <c r="BC187" s="244">
        <v>64203.376420000001</v>
      </c>
      <c r="BD187" s="1102">
        <v>63717.822990000001</v>
      </c>
    </row>
    <row r="188" spans="2:57">
      <c r="B188" s="1013" t="s">
        <v>401</v>
      </c>
      <c r="C188" s="1192" t="s">
        <v>325</v>
      </c>
      <c r="D188" s="959"/>
      <c r="E188" s="959"/>
      <c r="F188" s="959"/>
      <c r="G188" s="959"/>
      <c r="H188" s="959"/>
      <c r="I188" s="959"/>
      <c r="J188" s="959"/>
      <c r="K188" s="959"/>
      <c r="L188" s="959"/>
      <c r="M188" s="95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>
        <v>0.82195518289218295</v>
      </c>
      <c r="AI188" s="239">
        <v>0.83299999999999996</v>
      </c>
      <c r="AJ188" s="240">
        <v>0.83699999999999997</v>
      </c>
      <c r="AK188" s="239">
        <v>0.82130085895739535</v>
      </c>
      <c r="AL188" s="242">
        <v>0.82129284384804213</v>
      </c>
      <c r="AM188" s="241">
        <v>0.80314601748904357</v>
      </c>
      <c r="AN188" s="240">
        <v>0.80524227796819881</v>
      </c>
      <c r="AO188" s="239">
        <v>0.81075402647175365</v>
      </c>
      <c r="AP188" s="240">
        <v>0.81194050574339749</v>
      </c>
      <c r="AQ188" s="239">
        <v>0.81841475336043645</v>
      </c>
      <c r="AR188" s="240">
        <v>0.84843316529477519</v>
      </c>
      <c r="AS188" s="239">
        <v>0.82530474752848959</v>
      </c>
      <c r="AT188" s="240">
        <v>0.82411911229360302</v>
      </c>
      <c r="AU188" s="239">
        <v>0.83526177172489902</v>
      </c>
      <c r="AV188" s="238">
        <v>0.8392215412202586</v>
      </c>
      <c r="AW188" s="237">
        <v>0.83985084711881974</v>
      </c>
      <c r="AX188" s="235">
        <v>0.85687282095917927</v>
      </c>
      <c r="AY188" s="236">
        <v>0.86597365130581161</v>
      </c>
      <c r="AZ188" s="235">
        <v>0.86933362373625955</v>
      </c>
      <c r="BA188" s="234">
        <v>0.8654847941036391</v>
      </c>
      <c r="BB188" s="233">
        <v>0.86810641385935161</v>
      </c>
      <c r="BC188" s="234">
        <v>0.86695894221641023</v>
      </c>
      <c r="BD188" s="1103">
        <v>0.85859422325268953</v>
      </c>
    </row>
    <row r="189" spans="2:57">
      <c r="B189" s="1013" t="s">
        <v>323</v>
      </c>
      <c r="C189" s="1192" t="s">
        <v>319</v>
      </c>
      <c r="D189" s="960">
        <v>4155.7839999999833</v>
      </c>
      <c r="E189" s="960">
        <v>5573.3229999999876</v>
      </c>
      <c r="F189" s="960">
        <v>4427.1314039999934</v>
      </c>
      <c r="G189" s="960">
        <v>3336.3931789999979</v>
      </c>
      <c r="H189" s="960">
        <v>2946.3245000000315</v>
      </c>
      <c r="I189" s="960">
        <v>6463.7023249999856</v>
      </c>
      <c r="J189" s="960">
        <v>1226.0219549999931</v>
      </c>
      <c r="K189" s="960">
        <v>2697.8958869999587</v>
      </c>
      <c r="L189" s="960">
        <v>1547.9330000000573</v>
      </c>
      <c r="M189" s="960">
        <v>3504.8809999999548</v>
      </c>
      <c r="N189" s="128">
        <v>4562.6710000000512</v>
      </c>
      <c r="O189" s="128">
        <v>3055.5199999999732</v>
      </c>
      <c r="P189" s="128">
        <v>1545.833000000016</v>
      </c>
      <c r="Q189" s="128">
        <v>3841.6490000000181</v>
      </c>
      <c r="R189" s="128">
        <v>3104.3909999999642</v>
      </c>
      <c r="S189" s="128">
        <v>3127.5130000000217</v>
      </c>
      <c r="T189" s="128">
        <v>2666.1219999999871</v>
      </c>
      <c r="U189" s="128">
        <v>3064.91299999999</v>
      </c>
      <c r="V189" s="128">
        <v>1901.2430010000257</v>
      </c>
      <c r="W189" s="128">
        <v>2603.6379989999859</v>
      </c>
      <c r="X189" s="128">
        <v>-710.95799999998417</v>
      </c>
      <c r="Y189" s="128">
        <v>2532.1969999999856</v>
      </c>
      <c r="Z189" s="128">
        <v>4910.3556799999933</v>
      </c>
      <c r="AA189" s="128">
        <v>856.85433600000397</v>
      </c>
      <c r="AB189" s="128">
        <v>3464.2588390000019</v>
      </c>
      <c r="AC189" s="128">
        <v>3258.1948249999987</v>
      </c>
      <c r="AD189" s="128">
        <v>4211</v>
      </c>
      <c r="AE189" s="128">
        <v>818.92268000000331</v>
      </c>
      <c r="AF189" s="128">
        <v>928.99299999998766</v>
      </c>
      <c r="AG189" s="128">
        <v>3826.7719999999972</v>
      </c>
      <c r="AH189" s="128">
        <v>2902.9029999999912</v>
      </c>
      <c r="AI189" s="128">
        <v>1930.3483200000192</v>
      </c>
      <c r="AJ189" s="129">
        <v>5133</v>
      </c>
      <c r="AK189" s="128">
        <v>5387.7910000000265</v>
      </c>
      <c r="AL189" s="131">
        <v>1880.8551759999827</v>
      </c>
      <c r="AM189" s="130">
        <v>134.53082399998675</v>
      </c>
      <c r="AN189" s="129">
        <v>-198.7899999999936</v>
      </c>
      <c r="AO189" s="128">
        <v>2397.9550000000163</v>
      </c>
      <c r="AP189" s="129">
        <v>2376.5409999999829</v>
      </c>
      <c r="AQ189" s="128">
        <v>1093.3920000000071</v>
      </c>
      <c r="AR189" s="129">
        <v>-1505.3089999999938</v>
      </c>
      <c r="AS189" s="128">
        <v>1235.16499999999</v>
      </c>
      <c r="AT189" s="129">
        <v>2511.2340000000113</v>
      </c>
      <c r="AU189" s="128">
        <v>2060.5639999999839</v>
      </c>
      <c r="AV189" s="127">
        <v>1664.166000000012</v>
      </c>
      <c r="AW189" s="126">
        <v>3231.8000000000029</v>
      </c>
      <c r="AX189" s="124">
        <v>2281.0193100000033</v>
      </c>
      <c r="AY189" s="125">
        <v>-357.31531000000541</v>
      </c>
      <c r="AZ189" s="124">
        <v>1135.7510000000038</v>
      </c>
      <c r="BA189" s="140">
        <v>1928.9119999999966</v>
      </c>
      <c r="BB189" s="139">
        <v>2175.0825800000021</v>
      </c>
      <c r="BC189" s="140">
        <v>484.55342999999993</v>
      </c>
      <c r="BD189" s="1104">
        <v>2030.5754900000029</v>
      </c>
    </row>
    <row r="190" spans="2:57">
      <c r="B190" s="1013" t="s">
        <v>324</v>
      </c>
      <c r="C190" s="1192" t="s">
        <v>325</v>
      </c>
      <c r="D190" s="961"/>
      <c r="E190" s="961"/>
      <c r="F190" s="961"/>
      <c r="G190" s="961"/>
      <c r="H190" s="961"/>
      <c r="I190" s="961"/>
      <c r="J190" s="961"/>
      <c r="K190" s="961"/>
      <c r="L190" s="961"/>
      <c r="M190" s="961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>
        <v>0.99142469081695095</v>
      </c>
      <c r="AI190" s="229">
        <v>0.99199999999999999</v>
      </c>
      <c r="AJ190" s="230">
        <v>0.98799999999999999</v>
      </c>
      <c r="AK190" s="229">
        <v>0.99142257397760269</v>
      </c>
      <c r="AL190" s="232">
        <v>0.9902599967285467</v>
      </c>
      <c r="AM190" s="231">
        <v>0.99046488815506184</v>
      </c>
      <c r="AN190" s="230">
        <v>0.9914568229172408</v>
      </c>
      <c r="AO190" s="229">
        <v>0.99232303229148777</v>
      </c>
      <c r="AP190" s="230">
        <v>0.99210526548150679</v>
      </c>
      <c r="AQ190" s="229">
        <v>0.99201221688430175</v>
      </c>
      <c r="AR190" s="230">
        <v>0.9929211081523478</v>
      </c>
      <c r="AS190" s="229">
        <v>0.99328439569485738</v>
      </c>
      <c r="AT190" s="230">
        <v>0.9935294634540659</v>
      </c>
      <c r="AU190" s="229">
        <v>0.99363676588184702</v>
      </c>
      <c r="AV190" s="228">
        <v>0.99363676588184702</v>
      </c>
      <c r="AW190" s="227">
        <v>0.99363063335777779</v>
      </c>
      <c r="AX190" s="225">
        <v>0.99333408774547427</v>
      </c>
      <c r="AY190" s="226">
        <v>0.9933938239724418</v>
      </c>
      <c r="AZ190" s="225">
        <v>0.9932139862605831</v>
      </c>
      <c r="BA190" s="224">
        <v>0.99317483613884072</v>
      </c>
      <c r="BB190" s="223">
        <v>0.99314734016347073</v>
      </c>
      <c r="BC190" s="224">
        <v>0.99332513297748459</v>
      </c>
      <c r="BD190" s="1105">
        <v>0.99302705205357178</v>
      </c>
    </row>
    <row r="191" spans="2:57">
      <c r="B191" s="1013" t="s">
        <v>326</v>
      </c>
      <c r="C191" s="1192" t="s">
        <v>325</v>
      </c>
      <c r="D191" s="961">
        <v>4.3422558115174842E-2</v>
      </c>
      <c r="E191" s="961">
        <v>4.3031966013402E-2</v>
      </c>
      <c r="F191" s="961">
        <v>4.204553588726434E-2</v>
      </c>
      <c r="G191" s="961">
        <v>4.167161541368869E-2</v>
      </c>
      <c r="H191" s="961">
        <v>4.1566683144831855E-2</v>
      </c>
      <c r="I191" s="961">
        <v>3.7754200249618806E-2</v>
      </c>
      <c r="J191" s="961">
        <v>4.7002077959390563E-2</v>
      </c>
      <c r="K191" s="961">
        <v>4.029384352323729E-2</v>
      </c>
      <c r="L191" s="961">
        <v>4.5204238376226141E-2</v>
      </c>
      <c r="M191" s="961">
        <v>4.2519580054444804E-2</v>
      </c>
      <c r="N191" s="229">
        <v>4.1060814196704438E-2</v>
      </c>
      <c r="O191" s="229">
        <v>4.1174967102448619E-2</v>
      </c>
      <c r="P191" s="229">
        <v>4.243484948932854E-2</v>
      </c>
      <c r="Q191" s="229">
        <v>4.2427713483925156E-2</v>
      </c>
      <c r="R191" s="229">
        <v>4.2262202291762134E-2</v>
      </c>
      <c r="S191" s="229">
        <v>4.6235680883865503E-2</v>
      </c>
      <c r="T191" s="229">
        <v>4.3049191171324032E-2</v>
      </c>
      <c r="U191" s="229">
        <v>4.2058420350990382E-2</v>
      </c>
      <c r="V191" s="229">
        <v>4.3369337865075859E-2</v>
      </c>
      <c r="W191" s="229">
        <v>3.6211814631439729E-2</v>
      </c>
      <c r="X191" s="229">
        <v>3.8776976902931422E-2</v>
      </c>
      <c r="Y191" s="229">
        <v>5.0331051558104654E-2</v>
      </c>
      <c r="Z191" s="229">
        <v>5.290542186531217E-2</v>
      </c>
      <c r="AA191" s="229">
        <v>5.7400952285712355E-2</v>
      </c>
      <c r="AB191" s="229">
        <v>5.345949185599902E-2</v>
      </c>
      <c r="AC191" s="229">
        <v>5.2413785393450929E-2</v>
      </c>
      <c r="AD191" s="229">
        <v>4.5079981600480275E-2</v>
      </c>
      <c r="AE191" s="229">
        <v>5.0397253308548301E-2</v>
      </c>
      <c r="AF191" s="229">
        <v>5.4160523499957432E-2</v>
      </c>
      <c r="AG191" s="229">
        <v>4.6783994391670351E-2</v>
      </c>
      <c r="AH191" s="229">
        <v>4.8375413834365527E-2</v>
      </c>
      <c r="AI191" s="229">
        <v>4.8772166715214248E-2</v>
      </c>
      <c r="AJ191" s="230">
        <v>4.1000000000000002E-2</v>
      </c>
      <c r="AK191" s="229">
        <v>4.1489728247879422E-2</v>
      </c>
      <c r="AL191" s="232">
        <v>4.7308851052397426E-2</v>
      </c>
      <c r="AM191" s="231">
        <v>4.7887948439174967E-2</v>
      </c>
      <c r="AN191" s="230">
        <v>5.0614017174591241E-2</v>
      </c>
      <c r="AO191" s="229">
        <v>4.7189741396431117E-2</v>
      </c>
      <c r="AP191" s="230">
        <v>5.2512616881371162E-2</v>
      </c>
      <c r="AQ191" s="229">
        <v>4.9104987960828204E-2</v>
      </c>
      <c r="AR191" s="230">
        <v>6.6832254996400373E-2</v>
      </c>
      <c r="AS191" s="229">
        <v>5.8839662070070652E-2</v>
      </c>
      <c r="AT191" s="230">
        <v>5.8222673401511514E-2</v>
      </c>
      <c r="AU191" s="229">
        <v>5.3998084757690801E-2</v>
      </c>
      <c r="AV191" s="228">
        <v>5.7862632102157703E-2</v>
      </c>
      <c r="AW191" s="227">
        <v>5.5130865438765435E-2</v>
      </c>
      <c r="AX191" s="225">
        <v>6.0750956732497162E-2</v>
      </c>
      <c r="AY191" s="226">
        <v>7.0218301586310025E-2</v>
      </c>
      <c r="AZ191" s="225">
        <v>6.0507036196427548E-2</v>
      </c>
      <c r="BA191" s="224">
        <v>6.7387195381416534E-2</v>
      </c>
      <c r="BB191" s="223">
        <v>6.5575534796787391E-2</v>
      </c>
      <c r="BC191" s="224">
        <v>6.7168335972452711E-2</v>
      </c>
      <c r="BD191" s="1105">
        <v>5.5185742247729895E-2</v>
      </c>
    </row>
    <row r="192" spans="2:57">
      <c r="B192" s="1013" t="s">
        <v>327</v>
      </c>
      <c r="C192" s="1192" t="s">
        <v>329</v>
      </c>
      <c r="D192" s="962">
        <v>2.4773036873299259</v>
      </c>
      <c r="E192" s="962">
        <v>2.5111414063801178</v>
      </c>
      <c r="F192" s="962">
        <v>2.4518897138957074</v>
      </c>
      <c r="G192" s="962">
        <v>2.3550052240978681</v>
      </c>
      <c r="H192" s="962">
        <v>2.3730771995652469</v>
      </c>
      <c r="I192" s="962">
        <v>2.3536930382494776</v>
      </c>
      <c r="J192" s="962">
        <v>2.3041224718223705</v>
      </c>
      <c r="K192" s="962">
        <v>2.1693185194777489</v>
      </c>
      <c r="L192" s="962">
        <v>2.1103431300890705</v>
      </c>
      <c r="M192" s="962">
        <v>2.1032528448828214</v>
      </c>
      <c r="N192" s="199">
        <v>2.5142292035249647</v>
      </c>
      <c r="O192" s="199">
        <v>2.4553550540081823</v>
      </c>
      <c r="P192" s="199">
        <v>3.1113480224406973</v>
      </c>
      <c r="Q192" s="199">
        <v>3.1220263012112572</v>
      </c>
      <c r="R192" s="199">
        <v>3.0592976924041255</v>
      </c>
      <c r="S192" s="199">
        <v>2.9294523209044083</v>
      </c>
      <c r="T192" s="199">
        <v>3.2102999017721481</v>
      </c>
      <c r="U192" s="199">
        <v>3.2584369685376084</v>
      </c>
      <c r="V192" s="199">
        <v>3.1362069605028666</v>
      </c>
      <c r="W192" s="199">
        <v>3.0899952535920483</v>
      </c>
      <c r="X192" s="199">
        <v>2.9</v>
      </c>
      <c r="Y192" s="199">
        <v>2.8</v>
      </c>
      <c r="Z192" s="199">
        <v>2.7367338827977616</v>
      </c>
      <c r="AA192" s="199">
        <v>2.515252011190602</v>
      </c>
      <c r="AB192" s="199">
        <v>2.6593033789772504</v>
      </c>
      <c r="AC192" s="199">
        <v>2.8363994135982007</v>
      </c>
      <c r="AD192" s="199">
        <v>2.7957174575928665</v>
      </c>
      <c r="AE192" s="199">
        <v>2.6981759051100944</v>
      </c>
      <c r="AF192" s="199">
        <v>2.7350062022737873</v>
      </c>
      <c r="AG192" s="199">
        <v>2.8326674281141706</v>
      </c>
      <c r="AH192" s="199">
        <v>2.8214711901704486</v>
      </c>
      <c r="AI192" s="199">
        <v>2.7715227584289495</v>
      </c>
      <c r="AJ192" s="200">
        <v>3</v>
      </c>
      <c r="AK192" s="199">
        <v>3.2197265080854423</v>
      </c>
      <c r="AL192" s="202">
        <v>3.2279590380473278</v>
      </c>
      <c r="AM192" s="201">
        <v>3.0762581170034928</v>
      </c>
      <c r="AN192" s="200">
        <v>3.0944843588370046</v>
      </c>
      <c r="AO192" s="199">
        <v>3.290412606355412</v>
      </c>
      <c r="AP192" s="200">
        <v>3.3084495387153141</v>
      </c>
      <c r="AQ192" s="199">
        <v>3.2442788071318733</v>
      </c>
      <c r="AR192" s="200">
        <v>3.8908238884973936</v>
      </c>
      <c r="AS192" s="199">
        <v>3.8850592456848534</v>
      </c>
      <c r="AT192" s="200">
        <v>3.9201482064907487</v>
      </c>
      <c r="AU192" s="199">
        <v>3.9424852456502144</v>
      </c>
      <c r="AV192" s="198">
        <v>4.4259967510280864</v>
      </c>
      <c r="AW192" s="197">
        <v>5.0877623383596999</v>
      </c>
      <c r="AX192" s="195">
        <v>5.4251218758630353</v>
      </c>
      <c r="AY192" s="196">
        <v>5.6025065392114293</v>
      </c>
      <c r="AZ192" s="195">
        <v>5.5219647956308968</v>
      </c>
      <c r="BA192" s="194">
        <v>5.8103591123418568</v>
      </c>
      <c r="BB192" s="193">
        <v>5.7343696801141109</v>
      </c>
      <c r="BC192" s="194">
        <v>5.477264069503863</v>
      </c>
      <c r="BD192" s="1106">
        <v>5.9204197404684109</v>
      </c>
    </row>
    <row r="193" spans="2:57">
      <c r="B193" s="1013"/>
      <c r="C193" s="1193"/>
      <c r="D193" s="963"/>
      <c r="E193" s="963"/>
      <c r="F193" s="963"/>
      <c r="G193" s="963"/>
      <c r="H193" s="963"/>
      <c r="I193" s="963"/>
      <c r="J193" s="963"/>
      <c r="K193" s="963"/>
      <c r="L193" s="963"/>
      <c r="M193" s="963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0"/>
      <c r="AK193" s="219"/>
      <c r="AL193" s="222"/>
      <c r="AM193" s="221"/>
      <c r="AN193" s="220"/>
      <c r="AO193" s="219"/>
      <c r="AP193" s="220"/>
      <c r="AQ193" s="219"/>
      <c r="AR193" s="220"/>
      <c r="AS193" s="219"/>
      <c r="AT193" s="220"/>
      <c r="AU193" s="219"/>
      <c r="AV193" s="218"/>
      <c r="AW193" s="217"/>
      <c r="AX193" s="215"/>
      <c r="AY193" s="216"/>
      <c r="AZ193" s="215"/>
      <c r="BA193" s="214"/>
      <c r="BB193" s="213"/>
      <c r="BC193" s="214"/>
      <c r="BD193" s="1107"/>
    </row>
    <row r="194" spans="2:57">
      <c r="B194" s="953" t="s">
        <v>403</v>
      </c>
      <c r="C194" s="1194" t="s">
        <v>329</v>
      </c>
      <c r="D194" s="960"/>
      <c r="E194" s="960"/>
      <c r="F194" s="960"/>
      <c r="G194" s="960">
        <v>10564.546143904516</v>
      </c>
      <c r="H194" s="960">
        <v>10577.72813666975</v>
      </c>
      <c r="I194" s="960">
        <v>10270.164346508489</v>
      </c>
      <c r="J194" s="960">
        <v>10002.061895125424</v>
      </c>
      <c r="K194" s="960">
        <v>9542.8255988769997</v>
      </c>
      <c r="L194" s="960">
        <v>9365.0917326081199</v>
      </c>
      <c r="M194" s="960">
        <v>9356.2289850165816</v>
      </c>
      <c r="N194" s="128">
        <v>11155.667198990172</v>
      </c>
      <c r="O194" s="128">
        <v>10882.53902791138</v>
      </c>
      <c r="P194" s="128">
        <v>10526.280916694554</v>
      </c>
      <c r="Q194" s="128">
        <v>10606.282226362688</v>
      </c>
      <c r="R194" s="128">
        <v>10434.20058167416</v>
      </c>
      <c r="S194" s="128">
        <v>9983.80246606121</v>
      </c>
      <c r="T194" s="128">
        <v>13103.231880199362</v>
      </c>
      <c r="U194" s="128">
        <v>13427.459641698799</v>
      </c>
      <c r="V194" s="128">
        <v>13111.862038096384</v>
      </c>
      <c r="W194" s="128">
        <v>12983.758153920831</v>
      </c>
      <c r="X194" s="128">
        <v>13684</v>
      </c>
      <c r="Y194" s="128">
        <v>13684</v>
      </c>
      <c r="Z194" s="128">
        <v>13043.20884866129</v>
      </c>
      <c r="AA194" s="128">
        <v>11929.595943401093</v>
      </c>
      <c r="AB194" s="128">
        <v>12808.754927467067</v>
      </c>
      <c r="AC194" s="128">
        <v>13485.499767300806</v>
      </c>
      <c r="AD194" s="128">
        <v>13099.739574675112</v>
      </c>
      <c r="AE194" s="128">
        <v>12565.001537155294</v>
      </c>
      <c r="AF194" s="129">
        <v>12487.206573457979</v>
      </c>
      <c r="AG194" s="128">
        <v>12837.346053089248</v>
      </c>
      <c r="AH194" s="129">
        <v>12626.169223842035</v>
      </c>
      <c r="AI194" s="128">
        <v>12217.561525759731</v>
      </c>
      <c r="AJ194" s="129">
        <v>13565</v>
      </c>
      <c r="AK194" s="128">
        <v>13703.9247008656</v>
      </c>
      <c r="AL194" s="131">
        <v>13081.820109951128</v>
      </c>
      <c r="AM194" s="130">
        <v>12374.374385360838</v>
      </c>
      <c r="AN194" s="129">
        <v>12536.232956425478</v>
      </c>
      <c r="AO194" s="128">
        <v>13179.348881869946</v>
      </c>
      <c r="AP194" s="129">
        <v>12794.773368903872</v>
      </c>
      <c r="AQ194" s="128">
        <v>12446.491462144424</v>
      </c>
      <c r="AR194" s="129">
        <v>15672.952105836775</v>
      </c>
      <c r="AS194" s="128">
        <v>15960.572919099228</v>
      </c>
      <c r="AT194" s="129">
        <v>16085.899574939031</v>
      </c>
      <c r="AU194" s="128">
        <v>15944.546037622853</v>
      </c>
      <c r="AV194" s="127">
        <v>17781.446974989449</v>
      </c>
      <c r="AW194" s="126">
        <v>20095.260180058762</v>
      </c>
      <c r="AX194" s="124">
        <v>21282.917708078425</v>
      </c>
      <c r="AY194" s="125">
        <v>21627.598262870782</v>
      </c>
      <c r="AZ194" s="124">
        <v>21405.674091458914</v>
      </c>
      <c r="BA194" s="140">
        <v>21992.549743295618</v>
      </c>
      <c r="BB194" s="139">
        <v>21246.706122359228</v>
      </c>
      <c r="BC194" s="140">
        <v>20438.369693892237</v>
      </c>
      <c r="BD194" s="1104">
        <v>21783.556149470758</v>
      </c>
    </row>
    <row r="195" spans="2:57">
      <c r="B195" s="1014"/>
      <c r="C195" s="1194"/>
      <c r="D195" s="964"/>
      <c r="E195" s="964"/>
      <c r="F195" s="964"/>
      <c r="G195" s="964"/>
      <c r="H195" s="964"/>
      <c r="I195" s="964"/>
      <c r="J195" s="964"/>
      <c r="K195" s="964"/>
      <c r="L195" s="964"/>
      <c r="M195" s="964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  <c r="AJ195" s="210"/>
      <c r="AK195" s="209"/>
      <c r="AL195" s="212"/>
      <c r="AM195" s="211"/>
      <c r="AN195" s="210"/>
      <c r="AO195" s="209"/>
      <c r="AP195" s="210"/>
      <c r="AQ195" s="209"/>
      <c r="AR195" s="210"/>
      <c r="AS195" s="209"/>
      <c r="AT195" s="210"/>
      <c r="AU195" s="209"/>
      <c r="AV195" s="208"/>
      <c r="AW195" s="207"/>
      <c r="AX195" s="205"/>
      <c r="AY195" s="206"/>
      <c r="AZ195" s="205"/>
      <c r="BA195" s="204"/>
      <c r="BB195" s="203"/>
      <c r="BC195" s="204"/>
      <c r="BD195" s="1108"/>
    </row>
    <row r="196" spans="2:57" s="15" customFormat="1">
      <c r="B196" s="1027" t="s">
        <v>330</v>
      </c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048"/>
    </row>
    <row r="197" spans="2:57" s="15" customFormat="1">
      <c r="B197" s="1015" t="s">
        <v>406</v>
      </c>
      <c r="C197" s="1195" t="s">
        <v>407</v>
      </c>
      <c r="D197" s="965">
        <v>563.78823716558315</v>
      </c>
      <c r="E197" s="965">
        <v>571.26353443670462</v>
      </c>
      <c r="F197" s="965">
        <v>544.22807931025613</v>
      </c>
      <c r="G197" s="965">
        <v>527.83383934042558</v>
      </c>
      <c r="H197" s="965">
        <v>534.52136438903926</v>
      </c>
      <c r="I197" s="965">
        <v>523.96504821833958</v>
      </c>
      <c r="J197" s="965">
        <v>504.12000037099642</v>
      </c>
      <c r="K197" s="965">
        <v>482.64735310151821</v>
      </c>
      <c r="L197" s="965">
        <v>472.08825334164953</v>
      </c>
      <c r="M197" s="965">
        <v>474.71889111672721</v>
      </c>
      <c r="N197" s="1241">
        <v>556.12100810763934</v>
      </c>
      <c r="O197" s="1241">
        <v>534.37970075628425</v>
      </c>
      <c r="P197" s="1241">
        <v>512.77238776858894</v>
      </c>
      <c r="Q197" s="1241">
        <v>524.85088807449915</v>
      </c>
      <c r="R197" s="1241">
        <v>500.16084439579623</v>
      </c>
      <c r="S197" s="1241">
        <v>477.69719418226464</v>
      </c>
      <c r="T197" s="1241">
        <v>609.47128013399333</v>
      </c>
      <c r="U197" s="1241">
        <v>599.82787253416177</v>
      </c>
      <c r="V197" s="1241">
        <v>569.07983261338211</v>
      </c>
      <c r="W197" s="1241">
        <v>553.99874768137931</v>
      </c>
      <c r="X197" s="1241">
        <v>541</v>
      </c>
      <c r="Y197" s="1241">
        <v>550</v>
      </c>
      <c r="Z197" s="1241">
        <v>502.86981103249104</v>
      </c>
      <c r="AA197" s="1241">
        <v>443.22062412093328</v>
      </c>
      <c r="AB197" s="1241">
        <v>493.56488884205407</v>
      </c>
      <c r="AC197" s="1241">
        <v>512.72917948261727</v>
      </c>
      <c r="AD197" s="1241">
        <v>491.00120417785342</v>
      </c>
      <c r="AE197" s="1241">
        <v>472.29497695419718</v>
      </c>
      <c r="AF197" s="1241">
        <v>482.35893063015254</v>
      </c>
      <c r="AG197" s="1241">
        <v>483.80962405719077</v>
      </c>
      <c r="AH197" s="1241">
        <v>475.44629616364409</v>
      </c>
      <c r="AI197" s="1241">
        <v>457.60491701573613</v>
      </c>
      <c r="AJ197" s="825"/>
      <c r="AK197" s="825"/>
      <c r="AL197" s="825"/>
      <c r="AM197" s="825"/>
      <c r="AN197" s="825"/>
      <c r="AO197" s="825"/>
      <c r="AP197" s="825"/>
      <c r="AQ197" s="825"/>
      <c r="AR197" s="825"/>
      <c r="AS197" s="825"/>
      <c r="AT197" s="825"/>
      <c r="AU197" s="825"/>
      <c r="AV197" s="825"/>
      <c r="AW197" s="825"/>
      <c r="AX197" s="825"/>
      <c r="AY197" s="825"/>
      <c r="AZ197" s="825"/>
      <c r="BA197" s="825"/>
      <c r="BB197" s="825"/>
      <c r="BC197" s="825"/>
      <c r="BD197" s="825"/>
      <c r="BE197" s="1048"/>
    </row>
    <row r="198" spans="2:57">
      <c r="B198" s="1015" t="s">
        <v>334</v>
      </c>
      <c r="C198" s="1196" t="s">
        <v>335</v>
      </c>
      <c r="D198" s="965">
        <v>150184.70311299997</v>
      </c>
      <c r="E198" s="965">
        <v>152518.16907599999</v>
      </c>
      <c r="F198" s="965">
        <v>149637.795029</v>
      </c>
      <c r="G198" s="965">
        <v>148331.962486</v>
      </c>
      <c r="H198" s="965">
        <v>147860.53006700001</v>
      </c>
      <c r="I198" s="965">
        <v>148361.33004300002</v>
      </c>
      <c r="J198" s="965">
        <v>139755.996598</v>
      </c>
      <c r="K198" s="965">
        <v>134209.36957699998</v>
      </c>
      <c r="L198" s="965">
        <v>130209.649258</v>
      </c>
      <c r="M198" s="965">
        <v>128828.32632200001</v>
      </c>
      <c r="N198" s="181">
        <v>125743.016601</v>
      </c>
      <c r="O198" s="181">
        <v>119663.138477</v>
      </c>
      <c r="P198" s="181">
        <v>113055.974136</v>
      </c>
      <c r="Q198" s="181">
        <v>113851.531158</v>
      </c>
      <c r="R198" s="181">
        <v>109001.974434</v>
      </c>
      <c r="S198" s="181">
        <v>103213.476322</v>
      </c>
      <c r="T198" s="181">
        <v>98407.947392000002</v>
      </c>
      <c r="U198" s="181">
        <v>97411.959901999988</v>
      </c>
      <c r="V198" s="181">
        <v>93821.461659999986</v>
      </c>
      <c r="W198" s="181">
        <v>89025.942777000004</v>
      </c>
      <c r="X198" s="181">
        <v>84963.599904999995</v>
      </c>
      <c r="Y198" s="181">
        <v>85650.82037500001</v>
      </c>
      <c r="Z198" s="181">
        <v>80375.304208999994</v>
      </c>
      <c r="AA198" s="181">
        <v>71890.876373999985</v>
      </c>
      <c r="AB198" s="181">
        <v>68869.606883999993</v>
      </c>
      <c r="AC198" s="181">
        <v>65086.240229999996</v>
      </c>
      <c r="AD198" s="181">
        <v>60795.202536000012</v>
      </c>
      <c r="AE198" s="181">
        <v>55329.243278999995</v>
      </c>
      <c r="AF198" s="181">
        <v>52866.031697000006</v>
      </c>
      <c r="AG198" s="181">
        <v>52445.342611</v>
      </c>
      <c r="AH198" s="181">
        <v>52356.700755000013</v>
      </c>
      <c r="AI198" s="181">
        <v>49666.103798000004</v>
      </c>
      <c r="AJ198" s="182">
        <v>44688</v>
      </c>
      <c r="AK198" s="181">
        <v>41927.667094999997</v>
      </c>
      <c r="AL198" s="182">
        <v>38406.249536000003</v>
      </c>
      <c r="AM198" s="181">
        <v>34527.443490999998</v>
      </c>
      <c r="AN198" s="180">
        <v>32637.590138</v>
      </c>
      <c r="AO198" s="179">
        <v>34403.839079999998</v>
      </c>
      <c r="AP198" s="180">
        <v>36570.055139999989</v>
      </c>
      <c r="AQ198" s="179">
        <v>34191.338950000005</v>
      </c>
      <c r="AR198" s="180">
        <v>34940.443139999996</v>
      </c>
      <c r="AS198" s="179">
        <v>33669.225539999992</v>
      </c>
      <c r="AT198" s="180">
        <v>34620.067939999994</v>
      </c>
      <c r="AU198" s="179">
        <v>32790.573709999997</v>
      </c>
      <c r="AV198" s="178">
        <v>31044.766409999993</v>
      </c>
      <c r="AW198" s="177">
        <v>30360.905740000002</v>
      </c>
      <c r="AX198" s="175">
        <v>28965.68216</v>
      </c>
      <c r="AY198" s="176">
        <v>28255.847850000006</v>
      </c>
      <c r="AZ198" s="175">
        <v>28154.621951550474</v>
      </c>
      <c r="BA198" s="174">
        <v>28269.669640000004</v>
      </c>
      <c r="BB198" s="173">
        <v>27848.222573794999</v>
      </c>
      <c r="BC198" s="174">
        <v>25970.605877583661</v>
      </c>
      <c r="BD198" s="1109">
        <v>23360.213750000003</v>
      </c>
    </row>
    <row r="199" spans="2:57">
      <c r="B199" s="1015" t="s">
        <v>333</v>
      </c>
      <c r="C199" s="1196" t="s">
        <v>329</v>
      </c>
      <c r="D199" s="966">
        <v>1.0346745607980077</v>
      </c>
      <c r="E199" s="966">
        <v>1.0801595523150849</v>
      </c>
      <c r="F199" s="966">
        <v>1.0599459222143477</v>
      </c>
      <c r="G199" s="966">
        <v>1.0474456314560106</v>
      </c>
      <c r="H199" s="966">
        <v>1.0791388469714607</v>
      </c>
      <c r="I199" s="966">
        <v>1.0951036202821482</v>
      </c>
      <c r="J199" s="966">
        <v>1.0807982745720708</v>
      </c>
      <c r="K199" s="966">
        <v>1.0443483891688101</v>
      </c>
      <c r="L199" s="966">
        <v>1.0332399886332229</v>
      </c>
      <c r="M199" s="966">
        <v>1.0605673031805884</v>
      </c>
      <c r="N199" s="191">
        <v>1.2745016787355332</v>
      </c>
      <c r="O199" s="191">
        <v>1.2590937973172762</v>
      </c>
      <c r="P199" s="191">
        <v>1.5967221387793913</v>
      </c>
      <c r="Q199" s="191">
        <v>1.6734704962994051</v>
      </c>
      <c r="R199" s="191">
        <v>1.6109546118737494</v>
      </c>
      <c r="S199" s="191">
        <v>1.575493356543257</v>
      </c>
      <c r="T199" s="191">
        <v>1.6137776960765766</v>
      </c>
      <c r="U199" s="191">
        <v>1.6284982467887785</v>
      </c>
      <c r="V199" s="191">
        <v>1.5678591162523319</v>
      </c>
      <c r="W199" s="191">
        <v>1.5600218115486071</v>
      </c>
      <c r="X199" s="191">
        <v>1.5</v>
      </c>
      <c r="Y199" s="191">
        <v>1.5</v>
      </c>
      <c r="Z199" s="191">
        <v>1.4714841304353667</v>
      </c>
      <c r="AA199" s="191">
        <v>1.3415379518961446</v>
      </c>
      <c r="AB199" s="191">
        <v>1.5087967589062841</v>
      </c>
      <c r="AC199" s="191">
        <v>1.6227273391859434</v>
      </c>
      <c r="AD199" s="191">
        <v>1.6086420149515792</v>
      </c>
      <c r="AE199" s="191">
        <v>1.5891541995386651</v>
      </c>
      <c r="AF199" s="191">
        <v>1.684421887375595</v>
      </c>
      <c r="AG199" s="191">
        <v>1.7446785772503357</v>
      </c>
      <c r="AH199" s="191">
        <v>1.7690742189030531</v>
      </c>
      <c r="AI199" s="191">
        <v>1.7434248408288535</v>
      </c>
      <c r="AJ199" s="137">
        <v>1.9073089913035339</v>
      </c>
      <c r="AK199" s="191">
        <v>2.0858054799154817</v>
      </c>
      <c r="AL199" s="192"/>
      <c r="AM199" s="191">
        <v>2.0786076216265359</v>
      </c>
      <c r="AN199" s="190">
        <v>2.105406311236512</v>
      </c>
      <c r="AO199" s="189">
        <v>2.2678266133421912</v>
      </c>
      <c r="AP199" s="190">
        <v>2.3189263681889956</v>
      </c>
      <c r="AQ199" s="189">
        <v>2.2230980294363767</v>
      </c>
      <c r="AR199" s="190">
        <v>2.7312024247448594</v>
      </c>
      <c r="AS199" s="189">
        <v>2.8031572519193717</v>
      </c>
      <c r="AT199" s="190">
        <v>2.8485496280539859</v>
      </c>
      <c r="AU199" s="189">
        <v>2.8714652809102046</v>
      </c>
      <c r="AV199" s="188">
        <v>3.3128040645241152</v>
      </c>
      <c r="AW199" s="187">
        <v>3.8942604035246338</v>
      </c>
      <c r="AX199" s="185">
        <v>4.1334386843604687</v>
      </c>
      <c r="AY199" s="186">
        <v>4.3975522016589812</v>
      </c>
      <c r="AZ199" s="185">
        <v>4.3901765050132475</v>
      </c>
      <c r="BA199" s="184">
        <v>4.6714405992653214</v>
      </c>
      <c r="BB199" s="183">
        <v>4.709882892511124</v>
      </c>
      <c r="BC199" s="184">
        <v>4.5235564968125477</v>
      </c>
      <c r="BD199" s="1110">
        <v>4.8705983357488405</v>
      </c>
    </row>
    <row r="200" spans="2:57">
      <c r="B200" s="1015" t="s">
        <v>336</v>
      </c>
      <c r="C200" s="1196" t="s">
        <v>337</v>
      </c>
      <c r="D200" s="965">
        <v>275.62173434701174</v>
      </c>
      <c r="E200" s="965">
        <v>288.38521505051892</v>
      </c>
      <c r="F200" s="965">
        <v>291.43658087460591</v>
      </c>
      <c r="G200" s="965">
        <v>294.35336375061803</v>
      </c>
      <c r="H200" s="965">
        <v>298.51387158579087</v>
      </c>
      <c r="I200" s="965">
        <v>310.07989978037858</v>
      </c>
      <c r="J200" s="965">
        <v>299.62715201352449</v>
      </c>
      <c r="K200" s="965">
        <v>290.40113455179443</v>
      </c>
      <c r="L200" s="965">
        <v>284.98446120392458</v>
      </c>
      <c r="M200" s="965">
        <v>287.81477454832645</v>
      </c>
      <c r="N200" s="181">
        <v>288.17412651353322</v>
      </c>
      <c r="O200" s="181">
        <v>281.94767729888764</v>
      </c>
      <c r="P200" s="181">
        <v>270.61968189826331</v>
      </c>
      <c r="Q200" s="181">
        <v>278.80589669259365</v>
      </c>
      <c r="R200" s="181">
        <v>273.70902004128823</v>
      </c>
      <c r="S200" s="181">
        <v>263.61706700245736</v>
      </c>
      <c r="T200" s="181">
        <v>258.42059009221003</v>
      </c>
      <c r="U200" s="181">
        <v>262.46001076953524</v>
      </c>
      <c r="V200" s="181">
        <v>256.48022663086175</v>
      </c>
      <c r="W200" s="181">
        <v>248.63722209334682</v>
      </c>
      <c r="X200" s="181">
        <v>239.95978648008554</v>
      </c>
      <c r="Y200" s="181">
        <v>241.13834908861273</v>
      </c>
      <c r="Z200" s="181">
        <v>235.19205573232708</v>
      </c>
      <c r="AA200" s="181">
        <v>217.59894238242831</v>
      </c>
      <c r="AB200" s="181">
        <v>210.53004782716923</v>
      </c>
      <c r="AC200" s="181">
        <v>205.99026864946677</v>
      </c>
      <c r="AD200" s="181">
        <v>199.18019808251941</v>
      </c>
      <c r="AE200" s="181">
        <v>186.16903334681527</v>
      </c>
      <c r="AF200" s="181">
        <v>179.18303867998665</v>
      </c>
      <c r="AG200" s="181">
        <v>183.06461709887466</v>
      </c>
      <c r="AH200" s="181">
        <v>188.52817054685059</v>
      </c>
      <c r="AI200" s="181">
        <v>183.17301029803318</v>
      </c>
      <c r="AJ200" s="220">
        <v>172</v>
      </c>
      <c r="AK200" s="181">
        <v>172.38749081626153</v>
      </c>
      <c r="AL200" s="182">
        <v>164.48438002733113</v>
      </c>
      <c r="AM200" s="181">
        <v>150.09765012085555</v>
      </c>
      <c r="AN200" s="180">
        <v>141.29854708868714</v>
      </c>
      <c r="AO200" s="179">
        <v>152.16999077464013</v>
      </c>
      <c r="AP200" s="180">
        <v>158.83242258074969</v>
      </c>
      <c r="AQ200" s="179">
        <v>151.62055494399991</v>
      </c>
      <c r="AR200" s="180">
        <v>143.22400990787688</v>
      </c>
      <c r="AS200" s="179">
        <v>138.4931253785652</v>
      </c>
      <c r="AT200" s="180">
        <v>144.83635140615993</v>
      </c>
      <c r="AU200" s="179">
        <v>141.05778584617673</v>
      </c>
      <c r="AV200" s="178">
        <v>137.40753104011677</v>
      </c>
      <c r="AW200" s="177">
        <v>140.0140497417041</v>
      </c>
      <c r="AX200" s="175">
        <v>137.81865930706775</v>
      </c>
      <c r="AY200" s="176">
        <v>136.05352974001457</v>
      </c>
      <c r="AZ200" s="175">
        <v>135.8321044618053</v>
      </c>
      <c r="BA200" s="174">
        <v>140.99153246928805</v>
      </c>
      <c r="BB200" s="173">
        <v>142.71366258737979</v>
      </c>
      <c r="BC200" s="174">
        <v>133.93829698471214</v>
      </c>
      <c r="BD200" s="1109">
        <v>123.43179685494393</v>
      </c>
    </row>
    <row r="201" spans="2:57">
      <c r="B201" s="1015" t="s">
        <v>338</v>
      </c>
      <c r="C201" s="1193" t="s">
        <v>402</v>
      </c>
      <c r="D201" s="967"/>
      <c r="E201" s="967"/>
      <c r="F201" s="967"/>
      <c r="G201" s="967"/>
      <c r="H201" s="967"/>
      <c r="I201" s="967"/>
      <c r="J201" s="967"/>
      <c r="K201" s="967"/>
      <c r="L201" s="967"/>
      <c r="M201" s="967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29"/>
      <c r="AK201" s="171"/>
      <c r="AL201" s="172"/>
      <c r="AM201" s="171">
        <v>1.3928872984008143</v>
      </c>
      <c r="AN201" s="170">
        <v>1.4943276338586402</v>
      </c>
      <c r="AO201" s="169">
        <v>1.4945046627918912</v>
      </c>
      <c r="AP201" s="170">
        <v>1.459983000013781</v>
      </c>
      <c r="AQ201" s="169">
        <v>1.4662247016952703</v>
      </c>
      <c r="AR201" s="170">
        <v>1.906944531508088</v>
      </c>
      <c r="AS201" s="169">
        <v>2.0240407198964268</v>
      </c>
      <c r="AT201" s="170">
        <v>1.9667366654838532</v>
      </c>
      <c r="AU201" s="169">
        <v>2.035665924915008</v>
      </c>
      <c r="AV201" s="168">
        <v>2.4109334033204677</v>
      </c>
      <c r="AW201" s="167">
        <v>2.7813354521983391</v>
      </c>
      <c r="AX201" s="165">
        <v>2.9991865434933116</v>
      </c>
      <c r="AY201" s="166">
        <v>3.2322220599952733</v>
      </c>
      <c r="AZ201" s="165">
        <v>3.2320610229871862</v>
      </c>
      <c r="BA201" s="164">
        <v>3.3132774127998745</v>
      </c>
      <c r="BB201" s="163">
        <v>3.3002326526567751</v>
      </c>
      <c r="BC201" s="164">
        <v>3.3773435967525192</v>
      </c>
      <c r="BD201" s="1111">
        <v>3.9459834984600679</v>
      </c>
    </row>
    <row r="202" spans="2:57">
      <c r="B202" s="1014"/>
      <c r="C202" s="1194"/>
      <c r="D202" s="968"/>
      <c r="E202" s="968"/>
      <c r="F202" s="968"/>
      <c r="G202" s="968"/>
      <c r="H202" s="968"/>
      <c r="I202" s="968"/>
      <c r="J202" s="968"/>
      <c r="K202" s="968"/>
      <c r="L202" s="968"/>
      <c r="M202" s="968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29"/>
      <c r="AK202" s="128"/>
      <c r="AL202" s="131"/>
      <c r="AM202" s="130"/>
      <c r="AN202" s="129"/>
      <c r="AO202" s="128"/>
      <c r="AP202" s="129"/>
      <c r="AQ202" s="128"/>
      <c r="AR202" s="129"/>
      <c r="AS202" s="128"/>
      <c r="AT202" s="129"/>
      <c r="AU202" s="128"/>
      <c r="AV202" s="127"/>
      <c r="AW202" s="126"/>
      <c r="AX202" s="124"/>
      <c r="AY202" s="125"/>
      <c r="AZ202" s="124"/>
      <c r="BA202" s="140"/>
      <c r="BB202" s="139"/>
      <c r="BC202" s="140"/>
      <c r="BD202" s="1104"/>
    </row>
    <row r="203" spans="2:57" s="15" customFormat="1" hidden="1" outlineLevel="1">
      <c r="B203" s="1027" t="s">
        <v>340</v>
      </c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048"/>
    </row>
    <row r="204" spans="2:57" hidden="1" outlineLevel="1">
      <c r="B204" s="1016" t="s">
        <v>341</v>
      </c>
      <c r="C204" s="1194" t="s">
        <v>325</v>
      </c>
      <c r="D204" s="947"/>
      <c r="E204" s="947"/>
      <c r="F204" s="947"/>
      <c r="G204" s="947"/>
      <c r="H204" s="947"/>
      <c r="I204" s="947"/>
      <c r="J204" s="947"/>
      <c r="K204" s="947"/>
      <c r="L204" s="947"/>
      <c r="M204" s="947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0"/>
      <c r="AK204" s="159"/>
      <c r="AL204" s="162"/>
      <c r="AM204" s="161">
        <v>0.32297376197214533</v>
      </c>
      <c r="AN204" s="160">
        <v>0.3172400186583364</v>
      </c>
      <c r="AO204" s="159">
        <v>0.30704957284174844</v>
      </c>
      <c r="AP204" s="160">
        <v>0.29908969713666989</v>
      </c>
      <c r="AQ204" s="159">
        <v>0.31476356947209438</v>
      </c>
      <c r="AR204" s="160">
        <v>0.29804008019503825</v>
      </c>
      <c r="AS204" s="159">
        <v>0.27847760493412127</v>
      </c>
      <c r="AT204" s="160">
        <v>0.27335664928751241</v>
      </c>
      <c r="AU204" s="159">
        <v>0.27166112185750785</v>
      </c>
      <c r="AV204" s="159">
        <v>0.25151231442847188</v>
      </c>
      <c r="AW204" s="158">
        <v>0.23458287857444465</v>
      </c>
      <c r="AX204" s="156">
        <v>0.23809293524803699</v>
      </c>
      <c r="AY204" s="157">
        <v>0.21507415102848765</v>
      </c>
      <c r="AZ204" s="156">
        <v>0.20496115649146213</v>
      </c>
      <c r="BA204" s="157">
        <v>0.19627726814527369</v>
      </c>
      <c r="BB204" s="156">
        <v>0.17865728373055934</v>
      </c>
      <c r="BC204" s="157">
        <v>0.17414871321214262</v>
      </c>
      <c r="BD204" s="161">
        <v>0.1773326771060085</v>
      </c>
    </row>
    <row r="205" spans="2:57" hidden="1" outlineLevel="1">
      <c r="B205" s="1017" t="s">
        <v>343</v>
      </c>
      <c r="C205" s="1194"/>
      <c r="D205" s="969"/>
      <c r="E205" s="969"/>
      <c r="F205" s="969"/>
      <c r="G205" s="969"/>
      <c r="H205" s="969"/>
      <c r="I205" s="969"/>
      <c r="J205" s="969"/>
      <c r="K205" s="969"/>
      <c r="L205" s="969"/>
      <c r="M205" s="969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38"/>
      <c r="AI205" s="138"/>
      <c r="AJ205" s="137"/>
      <c r="AK205" s="136"/>
      <c r="AL205" s="155"/>
      <c r="AM205" s="138"/>
      <c r="AN205" s="137"/>
      <c r="AO205" s="136"/>
      <c r="AP205" s="137"/>
      <c r="AQ205" s="136"/>
      <c r="AR205" s="137"/>
      <c r="AS205" s="136"/>
      <c r="AT205" s="137"/>
      <c r="AU205" s="136"/>
      <c r="AV205" s="135"/>
      <c r="AW205" s="134"/>
      <c r="AX205" s="132"/>
      <c r="AY205" s="133"/>
      <c r="AZ205" s="132"/>
      <c r="BA205" s="123"/>
      <c r="BB205" s="122"/>
      <c r="BC205" s="123"/>
      <c r="BD205" s="1112"/>
    </row>
    <row r="206" spans="2:57" hidden="1" outlineLevel="1">
      <c r="B206" s="1018" t="s">
        <v>344</v>
      </c>
      <c r="C206" s="1192" t="s">
        <v>325</v>
      </c>
      <c r="D206" s="949"/>
      <c r="E206" s="949"/>
      <c r="F206" s="949"/>
      <c r="G206" s="949"/>
      <c r="H206" s="949"/>
      <c r="I206" s="949"/>
      <c r="J206" s="949"/>
      <c r="K206" s="949"/>
      <c r="L206" s="949"/>
      <c r="M206" s="949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2"/>
      <c r="AK206" s="151"/>
      <c r="AL206" s="154"/>
      <c r="AM206" s="153">
        <v>0.10872474181435807</v>
      </c>
      <c r="AN206" s="152">
        <v>0.10678398122001959</v>
      </c>
      <c r="AO206" s="151">
        <v>0.10644048608869183</v>
      </c>
      <c r="AP206" s="152">
        <v>0.10332915562484309</v>
      </c>
      <c r="AQ206" s="151">
        <v>0.10304787925000813</v>
      </c>
      <c r="AR206" s="152">
        <v>0.10460597691322514</v>
      </c>
      <c r="AS206" s="151">
        <v>0.10143040957774727</v>
      </c>
      <c r="AT206" s="152">
        <v>0.10000357076273593</v>
      </c>
      <c r="AU206" s="151">
        <v>9.7789682531944561E-2</v>
      </c>
      <c r="AV206" s="151">
        <v>9.2955800590399179E-2</v>
      </c>
      <c r="AW206" s="150">
        <v>9.0728244641816683E-2</v>
      </c>
      <c r="AX206" s="148">
        <v>9.7971174575237338E-2</v>
      </c>
      <c r="AY206" s="149">
        <v>9.1999507690165003E-2</v>
      </c>
      <c r="AZ206" s="148">
        <v>9.7317704702135854E-2</v>
      </c>
      <c r="BA206" s="149">
        <v>9.2609684224947697E-2</v>
      </c>
      <c r="BB206" s="148">
        <v>8.8054239444459587E-2</v>
      </c>
      <c r="BC206" s="149">
        <v>8.7078602780810824E-2</v>
      </c>
      <c r="BD206" s="153">
        <v>8.6456434536116553E-2</v>
      </c>
    </row>
    <row r="207" spans="2:57" hidden="1" outlineLevel="1">
      <c r="B207" s="1018" t="s">
        <v>345</v>
      </c>
      <c r="C207" s="1192" t="s">
        <v>325</v>
      </c>
      <c r="D207" s="949"/>
      <c r="E207" s="949"/>
      <c r="F207" s="949"/>
      <c r="G207" s="949"/>
      <c r="H207" s="949"/>
      <c r="I207" s="949"/>
      <c r="J207" s="949"/>
      <c r="K207" s="949"/>
      <c r="L207" s="949"/>
      <c r="M207" s="949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2"/>
      <c r="AK207" s="151"/>
      <c r="AL207" s="154"/>
      <c r="AM207" s="153">
        <v>0.18694490529110297</v>
      </c>
      <c r="AN207" s="152">
        <v>0.17886966227535292</v>
      </c>
      <c r="AO207" s="151">
        <v>0.1673406696367376</v>
      </c>
      <c r="AP207" s="152">
        <v>0.16381339219376312</v>
      </c>
      <c r="AQ207" s="151">
        <v>0.16895146607965347</v>
      </c>
      <c r="AR207" s="152">
        <v>0.15491029633644682</v>
      </c>
      <c r="AS207" s="151">
        <v>0.14146130342229657</v>
      </c>
      <c r="AT207" s="152">
        <v>0.13518654805504443</v>
      </c>
      <c r="AU207" s="151">
        <v>0.12850128261754817</v>
      </c>
      <c r="AV207" s="151">
        <v>0.11482181470781926</v>
      </c>
      <c r="AW207" s="150">
        <v>0.10488897419623174</v>
      </c>
      <c r="AX207" s="148">
        <v>0.10084163152885209</v>
      </c>
      <c r="AY207" s="149">
        <v>8.7675735134659816E-2</v>
      </c>
      <c r="AZ207" s="148">
        <v>7.7100456761758085E-2</v>
      </c>
      <c r="BA207" s="149">
        <v>7.3618486227969279E-2</v>
      </c>
      <c r="BB207" s="148">
        <v>6.5515211315583854E-2</v>
      </c>
      <c r="BC207" s="149">
        <v>5.3976226251217507E-2</v>
      </c>
      <c r="BD207" s="153">
        <v>4.3617913359700611E-2</v>
      </c>
    </row>
    <row r="208" spans="2:57" hidden="1" outlineLevel="1">
      <c r="B208" s="1018" t="s">
        <v>346</v>
      </c>
      <c r="C208" s="1192" t="s">
        <v>325</v>
      </c>
      <c r="D208" s="949"/>
      <c r="E208" s="949"/>
      <c r="F208" s="949"/>
      <c r="G208" s="949"/>
      <c r="H208" s="949"/>
      <c r="I208" s="949"/>
      <c r="J208" s="949"/>
      <c r="K208" s="949"/>
      <c r="L208" s="949"/>
      <c r="M208" s="949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2"/>
      <c r="AK208" s="151"/>
      <c r="AL208" s="154"/>
      <c r="AM208" s="153">
        <v>2.7304114866684409E-2</v>
      </c>
      <c r="AN208" s="152">
        <v>3.1586375162963864E-2</v>
      </c>
      <c r="AO208" s="151">
        <v>3.3268417116318956E-2</v>
      </c>
      <c r="AP208" s="152">
        <v>3.1947149318063799E-2</v>
      </c>
      <c r="AQ208" s="151">
        <v>4.276422414243275E-2</v>
      </c>
      <c r="AR208" s="152">
        <v>3.8523806945366362E-2</v>
      </c>
      <c r="AS208" s="151">
        <v>3.5585891934077483E-2</v>
      </c>
      <c r="AT208" s="152">
        <v>3.8166530469732084E-2</v>
      </c>
      <c r="AU208" s="151">
        <v>4.5370156708015259E-2</v>
      </c>
      <c r="AV208" s="151">
        <v>4.3734699130253442E-2</v>
      </c>
      <c r="AW208" s="150">
        <v>3.8965659736396228E-2</v>
      </c>
      <c r="AX208" s="148">
        <v>3.9280129143947559E-2</v>
      </c>
      <c r="AY208" s="149">
        <v>3.5398908203662836E-2</v>
      </c>
      <c r="AZ208" s="148">
        <v>3.0542995019257019E-2</v>
      </c>
      <c r="BA208" s="149">
        <v>3.0149097692356724E-2</v>
      </c>
      <c r="BB208" s="148">
        <v>2.5087832970515905E-2</v>
      </c>
      <c r="BC208" s="149">
        <v>3.3093884180114302E-2</v>
      </c>
      <c r="BD208" s="153">
        <v>4.7258329210191352E-2</v>
      </c>
    </row>
    <row r="209" spans="2:57" hidden="1" outlineLevel="1">
      <c r="B209" s="1019"/>
      <c r="C209" s="1194"/>
      <c r="D209" s="949"/>
      <c r="E209" s="949"/>
      <c r="F209" s="949"/>
      <c r="G209" s="949"/>
      <c r="H209" s="949"/>
      <c r="I209" s="949"/>
      <c r="J209" s="949"/>
      <c r="K209" s="949"/>
      <c r="L209" s="949"/>
      <c r="M209" s="949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2"/>
      <c r="AK209" s="151"/>
      <c r="AL209" s="154"/>
      <c r="AM209" s="153"/>
      <c r="AN209" s="152"/>
      <c r="AO209" s="151"/>
      <c r="AP209" s="152"/>
      <c r="AQ209" s="151"/>
      <c r="AR209" s="152"/>
      <c r="AS209" s="151"/>
      <c r="AT209" s="152"/>
      <c r="AU209" s="151"/>
      <c r="AV209" s="151"/>
      <c r="AW209" s="150"/>
      <c r="AX209" s="148"/>
      <c r="AY209" s="149"/>
      <c r="AZ209" s="148"/>
      <c r="BA209" s="149"/>
      <c r="BB209" s="148"/>
      <c r="BC209" s="149"/>
      <c r="BD209" s="153"/>
    </row>
    <row r="210" spans="2:57" s="15" customFormat="1" collapsed="1">
      <c r="B210" s="1027" t="s">
        <v>347</v>
      </c>
      <c r="C210" s="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048"/>
    </row>
    <row r="211" spans="2:57">
      <c r="B211" s="1016" t="s">
        <v>348</v>
      </c>
      <c r="C211" s="1193" t="s">
        <v>319</v>
      </c>
      <c r="D211" s="960">
        <v>84245.771000000008</v>
      </c>
      <c r="E211" s="960">
        <v>81832.813999999998</v>
      </c>
      <c r="F211" s="960">
        <v>78137.222999999998</v>
      </c>
      <c r="G211" s="960">
        <v>75597.361000000004</v>
      </c>
      <c r="H211" s="960">
        <v>73407.266000000003</v>
      </c>
      <c r="I211" s="960">
        <v>71412.515999999989</v>
      </c>
      <c r="J211" s="960">
        <v>66011.512999999992</v>
      </c>
      <c r="K211" s="960">
        <v>64401.256999999998</v>
      </c>
      <c r="L211" s="960">
        <v>64353.914000000004</v>
      </c>
      <c r="M211" s="960">
        <v>62725.220187999999</v>
      </c>
      <c r="N211" s="128">
        <v>59787.042000000001</v>
      </c>
      <c r="O211" s="128">
        <v>56782.384000000005</v>
      </c>
      <c r="P211" s="128">
        <v>54647.945</v>
      </c>
      <c r="Q211" s="128">
        <v>51266.748</v>
      </c>
      <c r="R211" s="128">
        <v>48594.226000000002</v>
      </c>
      <c r="S211" s="128">
        <v>46536.339</v>
      </c>
      <c r="T211" s="128">
        <v>46733.957000000002</v>
      </c>
      <c r="U211" s="128">
        <v>45113.750999999997</v>
      </c>
      <c r="V211" s="128">
        <v>43920.006000000001</v>
      </c>
      <c r="W211" s="128">
        <v>42433.68</v>
      </c>
      <c r="X211" s="128">
        <v>40583.673999999992</v>
      </c>
      <c r="Y211" s="128">
        <v>40623.897999999994</v>
      </c>
      <c r="Z211" s="128">
        <v>39596.172999999995</v>
      </c>
      <c r="AA211" s="128">
        <v>36971.971937000002</v>
      </c>
      <c r="AB211" s="128">
        <v>35442.883999999998</v>
      </c>
      <c r="AC211" s="128">
        <v>32886.810381999996</v>
      </c>
      <c r="AD211" s="128">
        <v>31909.666236000005</v>
      </c>
      <c r="AE211" s="128">
        <v>30001.152164000003</v>
      </c>
      <c r="AF211" s="128">
        <v>30023.777996000001</v>
      </c>
      <c r="AG211" s="128">
        <v>29264</v>
      </c>
      <c r="AH211" s="128">
        <v>27113.074000000001</v>
      </c>
      <c r="AI211" s="128">
        <v>26376.053833000002</v>
      </c>
      <c r="AJ211" s="129">
        <v>24941</v>
      </c>
      <c r="AK211" s="128">
        <v>23324.016500000002</v>
      </c>
      <c r="AL211" s="131">
        <v>20529.310000000001</v>
      </c>
      <c r="AM211" s="130">
        <v>18167.396086999997</v>
      </c>
      <c r="AN211" s="129">
        <v>16850.782278999999</v>
      </c>
      <c r="AO211" s="128">
        <v>16731.498380000001</v>
      </c>
      <c r="AP211" s="129">
        <v>18071.393</v>
      </c>
      <c r="AQ211" s="128">
        <v>16224.680330000001</v>
      </c>
      <c r="AR211" s="129">
        <v>15787.862999999998</v>
      </c>
      <c r="AS211" s="128">
        <v>15405.636999999999</v>
      </c>
      <c r="AT211" s="129">
        <v>14291.627999999999</v>
      </c>
      <c r="AU211" s="128">
        <v>13039.028999999999</v>
      </c>
      <c r="AV211" s="127">
        <v>30379.447919999999</v>
      </c>
      <c r="AW211" s="126">
        <v>27116.160769999999</v>
      </c>
      <c r="AX211" s="124">
        <v>26365.33395</v>
      </c>
      <c r="AY211" s="125">
        <v>23650.407429999999</v>
      </c>
      <c r="AZ211" s="124">
        <v>22304.883019999997</v>
      </c>
      <c r="BA211" s="140">
        <v>19633.969079999995</v>
      </c>
      <c r="BB211" s="139">
        <v>17535.438800000004</v>
      </c>
      <c r="BC211" s="140">
        <v>15544.313549999999</v>
      </c>
      <c r="BD211" s="1104">
        <v>14534.708360000001</v>
      </c>
    </row>
    <row r="212" spans="2:57">
      <c r="B212" s="1020" t="s">
        <v>404</v>
      </c>
      <c r="C212" s="1197" t="s">
        <v>325</v>
      </c>
      <c r="D212" s="970">
        <v>0.45899207888232318</v>
      </c>
      <c r="E212" s="970">
        <v>0.45617426940238975</v>
      </c>
      <c r="F212" s="970">
        <v>0.44953975847060063</v>
      </c>
      <c r="G212" s="970">
        <v>0.44629462037125628</v>
      </c>
      <c r="H212" s="970">
        <v>0.44207257863438382</v>
      </c>
      <c r="I212" s="970">
        <v>0.43782834544729776</v>
      </c>
      <c r="J212" s="970">
        <v>0.42141510506455282</v>
      </c>
      <c r="K212" s="970">
        <v>0.4143785804559042</v>
      </c>
      <c r="L212" s="970">
        <v>0.42138890818363828</v>
      </c>
      <c r="M212" s="970">
        <v>0.41492990267958313</v>
      </c>
      <c r="N212" s="144">
        <v>0.40488086872839207</v>
      </c>
      <c r="O212" s="144">
        <v>0.39679355353686957</v>
      </c>
      <c r="P212" s="144">
        <v>0.39020987375782473</v>
      </c>
      <c r="Q212" s="144">
        <v>0.35872305148174927</v>
      </c>
      <c r="R212" s="144">
        <v>0.36086583902376607</v>
      </c>
      <c r="S212" s="144">
        <v>0.35373868032686806</v>
      </c>
      <c r="T212" s="144">
        <v>0.36389175008585545</v>
      </c>
      <c r="U212" s="144">
        <v>0.35872305148174927</v>
      </c>
      <c r="V212" s="144">
        <v>0.35795457351698878</v>
      </c>
      <c r="W212" s="144">
        <v>0.35128408779902859</v>
      </c>
      <c r="X212" s="144">
        <v>0.34336995425648348</v>
      </c>
      <c r="Y212" s="144">
        <v>0.34165513438924577</v>
      </c>
      <c r="Z212" s="144">
        <v>0.34025799204492729</v>
      </c>
      <c r="AA212" s="144">
        <v>0.33170418322479062</v>
      </c>
      <c r="AB212" s="144">
        <v>0.32044900442974916</v>
      </c>
      <c r="AC212" s="144">
        <v>0.30695300625220789</v>
      </c>
      <c r="AD212" s="144">
        <v>0.30717410991403682</v>
      </c>
      <c r="AE212" s="144">
        <v>0.30100380778269842</v>
      </c>
      <c r="AF212" s="144">
        <v>0.30372632488496604</v>
      </c>
      <c r="AG212" s="144">
        <v>0.29884880714880563</v>
      </c>
      <c r="AH212" s="144">
        <v>0.28814374568179046</v>
      </c>
      <c r="AI212" s="144">
        <v>0.28923410841810437</v>
      </c>
      <c r="AJ212" s="145">
        <v>0.27900000000000003</v>
      </c>
      <c r="AK212" s="144">
        <v>0.27723928420823263</v>
      </c>
      <c r="AL212" s="147">
        <v>0.26071693088902265</v>
      </c>
      <c r="AM212" s="146">
        <v>0.23636718990754302</v>
      </c>
      <c r="AN212" s="145">
        <v>0.21962177280787434</v>
      </c>
      <c r="AO212" s="144">
        <v>0.21750357763293166</v>
      </c>
      <c r="AP212" s="145">
        <v>0.23125426522138817</v>
      </c>
      <c r="AQ212" s="144">
        <v>0.21413467035716729</v>
      </c>
      <c r="AR212" s="145">
        <v>0.19596563724896707</v>
      </c>
      <c r="AS212" s="144">
        <v>0.18771393919721094</v>
      </c>
      <c r="AT212" s="145">
        <v>0.17680089674482169</v>
      </c>
      <c r="AU212" s="144">
        <v>0.16647689355905534</v>
      </c>
      <c r="AV212" s="144">
        <v>0.39835215998910706</v>
      </c>
      <c r="AW212" s="143">
        <v>0.36349410470375149</v>
      </c>
      <c r="AX212" s="141">
        <v>0.36943402737288611</v>
      </c>
      <c r="AY212" s="142">
        <v>0.34233381012866337</v>
      </c>
      <c r="AZ212" s="141">
        <v>0.32119643209589566</v>
      </c>
      <c r="BA212" s="142">
        <v>0.28743558407481379</v>
      </c>
      <c r="BB212" s="141">
        <v>0.26417363500409075</v>
      </c>
      <c r="BC212" s="142">
        <v>0.24211053089036277</v>
      </c>
      <c r="BD212" s="146">
        <v>0.22811056118915277</v>
      </c>
    </row>
    <row r="213" spans="2:57">
      <c r="B213" s="1016" t="s">
        <v>351</v>
      </c>
      <c r="C213" s="1193" t="s">
        <v>352</v>
      </c>
      <c r="D213" s="960">
        <v>2448.9697355364488</v>
      </c>
      <c r="E213" s="960">
        <v>2226.1741129420002</v>
      </c>
      <c r="F213" s="960">
        <v>1986</v>
      </c>
      <c r="G213" s="960">
        <v>1753</v>
      </c>
      <c r="H213" s="960">
        <v>1568.9548844711408</v>
      </c>
      <c r="I213" s="960">
        <v>1519.2627088481495</v>
      </c>
      <c r="J213" s="960">
        <v>1389.4813961591465</v>
      </c>
      <c r="K213" s="960">
        <v>1189.0973646400039</v>
      </c>
      <c r="L213" s="960">
        <v>1091.3285825163691</v>
      </c>
      <c r="M213" s="960">
        <v>1009.0403113167041</v>
      </c>
      <c r="N213" s="128">
        <f>917.900103295835*1000</f>
        <v>917900.10329583508</v>
      </c>
      <c r="O213" s="128">
        <v>823634.90773927502</v>
      </c>
      <c r="P213" s="128">
        <v>732365.44604324398</v>
      </c>
      <c r="Q213" s="128">
        <v>692939.73350281199</v>
      </c>
      <c r="R213" s="128">
        <v>647070.25059913797</v>
      </c>
      <c r="S213" s="128">
        <v>568135.36225684301</v>
      </c>
      <c r="T213" s="128">
        <v>509303.47312318499</v>
      </c>
      <c r="U213" s="128">
        <v>478813.00798904902</v>
      </c>
      <c r="V213" s="128">
        <v>448911.87507589103</v>
      </c>
      <c r="W213" s="128">
        <v>410723.46653071704</v>
      </c>
      <c r="X213" s="128">
        <v>348230.38199061499</v>
      </c>
      <c r="Y213" s="128">
        <v>320568.43407318904</v>
      </c>
      <c r="Z213" s="128">
        <v>293919.17664358404</v>
      </c>
      <c r="AA213" s="128">
        <v>279540.604232991</v>
      </c>
      <c r="AB213" s="128">
        <v>219015.22273317204</v>
      </c>
      <c r="AC213" s="128">
        <v>189798.35794607698</v>
      </c>
      <c r="AD213" s="128">
        <v>162394.17316502304</v>
      </c>
      <c r="AE213" s="128">
        <v>139302.67798250698</v>
      </c>
      <c r="AF213" s="128">
        <v>120673.862280683</v>
      </c>
      <c r="AG213" s="128">
        <v>105338.04274121401</v>
      </c>
      <c r="AH213" s="128">
        <v>88808.237253190004</v>
      </c>
      <c r="AI213" s="128">
        <v>77810.765300853993</v>
      </c>
      <c r="AJ213" s="129">
        <v>69705</v>
      </c>
      <c r="AK213" s="128">
        <v>65543.831927587002</v>
      </c>
      <c r="AL213" s="131">
        <v>57932.560429082994</v>
      </c>
      <c r="AM213" s="130">
        <v>44381.460883063002</v>
      </c>
      <c r="AN213" s="129">
        <v>37034.369138271992</v>
      </c>
      <c r="AO213" s="128">
        <v>33559.743848542006</v>
      </c>
      <c r="AP213" s="129">
        <v>34269.450637410002</v>
      </c>
      <c r="AQ213" s="128">
        <v>27654.901218030001</v>
      </c>
      <c r="AR213" s="129">
        <v>23646.422395939997</v>
      </c>
      <c r="AS213" s="128">
        <v>20048.63105018</v>
      </c>
      <c r="AT213" s="129">
        <v>16482.691808610001</v>
      </c>
      <c r="AU213" s="128">
        <v>13842.63579645</v>
      </c>
      <c r="AV213" s="127">
        <v>11255.54870788</v>
      </c>
      <c r="AW213" s="126">
        <v>9475.0226329600009</v>
      </c>
      <c r="AX213" s="124">
        <v>8060.7197316800002</v>
      </c>
      <c r="AY213" s="125">
        <v>6541.0814463999995</v>
      </c>
      <c r="AZ213" s="124">
        <v>6113.8293574399995</v>
      </c>
      <c r="BA213" s="140">
        <v>5383.2430007101193</v>
      </c>
      <c r="BB213" s="139">
        <v>4214.6599826800002</v>
      </c>
      <c r="BC213" s="140">
        <v>3140.2456578116175</v>
      </c>
      <c r="BD213" s="1104">
        <v>3003.1981809141671</v>
      </c>
    </row>
    <row r="214" spans="2:57">
      <c r="B214" s="1016" t="s">
        <v>353</v>
      </c>
      <c r="C214" s="1193" t="s">
        <v>329</v>
      </c>
      <c r="D214" s="971">
        <v>2.6308475823678954</v>
      </c>
      <c r="E214" s="971">
        <v>2.6527259574731805</v>
      </c>
      <c r="F214" s="971">
        <v>2.581967667777985</v>
      </c>
      <c r="G214" s="971">
        <v>2.4344653388409099</v>
      </c>
      <c r="H214" s="971">
        <v>2.3993783656416183</v>
      </c>
      <c r="I214" s="971">
        <v>2.3945130534971457</v>
      </c>
      <c r="J214" s="971">
        <v>2.349537672847092</v>
      </c>
      <c r="K214" s="971">
        <v>2.1577092755408169</v>
      </c>
      <c r="L214" s="971">
        <v>2.0631822164397557</v>
      </c>
      <c r="M214" s="971">
        <v>2.0332965160224514</v>
      </c>
      <c r="N214" s="821">
        <v>2.4769265859182137</v>
      </c>
      <c r="O214" s="821">
        <v>2.4373706150450949</v>
      </c>
      <c r="P214" s="821">
        <v>2.3549018973461227</v>
      </c>
      <c r="Q214" s="821">
        <v>2.3829932158914757</v>
      </c>
      <c r="R214" s="821">
        <v>2.3927445131982656</v>
      </c>
      <c r="S214" s="821">
        <v>2.2133522204229754</v>
      </c>
      <c r="T214" s="821">
        <v>2.9034640721641392</v>
      </c>
      <c r="U214" s="821">
        <v>2.9428435962283106</v>
      </c>
      <c r="V214" s="821">
        <v>2.8714106004857438</v>
      </c>
      <c r="W214" s="821">
        <v>2.8519584637396491</v>
      </c>
      <c r="X214" s="821">
        <v>2.6</v>
      </c>
      <c r="Y214" s="821">
        <v>2.439796391373442</v>
      </c>
      <c r="Z214" s="821">
        <v>2.3967664897739853</v>
      </c>
      <c r="AA214" s="821">
        <v>2.4074072895918843</v>
      </c>
      <c r="AB214" s="821">
        <v>2.3959914073388049</v>
      </c>
      <c r="AC214" s="821">
        <v>2.5550133333414222</v>
      </c>
      <c r="AD214" s="821">
        <v>2.4641842269608865</v>
      </c>
      <c r="AE214" s="821">
        <v>2.3212974051165123</v>
      </c>
      <c r="AF214" s="821">
        <v>2.1307481346947292</v>
      </c>
      <c r="AG214" s="821">
        <v>2.1319428699836496</v>
      </c>
      <c r="AH214" s="821">
        <v>2.1189147736380343</v>
      </c>
      <c r="AI214" s="821">
        <v>2.0448027696876103</v>
      </c>
      <c r="AJ214" s="776">
        <v>2.187856474095573</v>
      </c>
      <c r="AK214" s="821">
        <v>2.2665058684021888</v>
      </c>
      <c r="AL214" s="131"/>
      <c r="AM214" s="138">
        <v>2.4458068437822753</v>
      </c>
      <c r="AN214" s="137">
        <v>2.4788207742029518</v>
      </c>
      <c r="AO214" s="136">
        <v>2.4117040805600416</v>
      </c>
      <c r="AP214" s="137">
        <v>2.4403316975532978</v>
      </c>
      <c r="AQ214" s="136">
        <v>2.6401217053742378</v>
      </c>
      <c r="AR214" s="137">
        <v>3.1509034891672756</v>
      </c>
      <c r="AS214" s="136">
        <v>3.0166397374025351</v>
      </c>
      <c r="AT214" s="137">
        <v>3.1001930067350716</v>
      </c>
      <c r="AU214" s="136">
        <v>3.0577107484784793</v>
      </c>
      <c r="AV214" s="135">
        <v>1.3223297182030493</v>
      </c>
      <c r="AW214" s="134">
        <v>1.4765959816695835</v>
      </c>
      <c r="AX214" s="132">
        <v>1.5040045164311024</v>
      </c>
      <c r="AY214" s="133">
        <v>1.4978686872054963</v>
      </c>
      <c r="AZ214" s="132">
        <v>1.3915151983369196</v>
      </c>
      <c r="BA214" s="123">
        <v>1.5686100616582106</v>
      </c>
      <c r="BB214" s="122">
        <v>1.4735617571607167</v>
      </c>
      <c r="BC214" s="123">
        <v>1.282328465055921</v>
      </c>
      <c r="BD214" s="1112">
        <v>1.1942573651426993</v>
      </c>
    </row>
    <row r="215" spans="2:57">
      <c r="B215" s="1016" t="s">
        <v>354</v>
      </c>
      <c r="C215" s="1193" t="s">
        <v>355</v>
      </c>
      <c r="D215" s="960">
        <v>9.8175240103974311</v>
      </c>
      <c r="E215" s="960">
        <v>9.3379019099127749</v>
      </c>
      <c r="F215" s="960">
        <v>8.6382661042149635</v>
      </c>
      <c r="G215" s="960">
        <v>7.7882338760707697</v>
      </c>
      <c r="H215" s="960">
        <v>7.1876038921336436</v>
      </c>
      <c r="I215" s="960">
        <v>7.4339582925823002</v>
      </c>
      <c r="J215" s="960">
        <v>7.1319271966365356</v>
      </c>
      <c r="K215" s="960">
        <v>6.157376511025106</v>
      </c>
      <c r="L215" s="960">
        <v>5.7354342231572693</v>
      </c>
      <c r="M215" s="960">
        <v>5.5102123765930848</v>
      </c>
      <c r="N215" s="128">
        <f>1000*5.22594565443937</f>
        <v>5225.9456544393697</v>
      </c>
      <c r="O215" s="128">
        <v>4922.6050154764998</v>
      </c>
      <c r="P215" s="128">
        <v>4591.7034933922396</v>
      </c>
      <c r="Q215" s="128">
        <v>4630.3391903028996</v>
      </c>
      <c r="R215" s="128">
        <v>4502.2204676618603</v>
      </c>
      <c r="S215" s="128">
        <v>4002.47563357949</v>
      </c>
      <c r="T215" s="128">
        <v>3714.5901748847104</v>
      </c>
      <c r="U215" s="128">
        <v>3585.9139643985932</v>
      </c>
      <c r="V215" s="128">
        <v>3454.9285559137847</v>
      </c>
      <c r="W215" s="128">
        <v>3302.3889206069616</v>
      </c>
      <c r="X215" s="128">
        <v>2895.6270009326904</v>
      </c>
      <c r="Y215" s="128">
        <v>2652.9037806760484</v>
      </c>
      <c r="Z215" s="128">
        <v>2575.7456466897406</v>
      </c>
      <c r="AA215" s="128">
        <v>2606.7506014341184</v>
      </c>
      <c r="AB215" s="128">
        <v>2145.1236906044455</v>
      </c>
      <c r="AC215" s="128">
        <v>1966.607682309108</v>
      </c>
      <c r="AD215" s="128">
        <v>1748.4236607008695</v>
      </c>
      <c r="AE215" s="128">
        <v>1550.1643845361389</v>
      </c>
      <c r="AF215" s="128">
        <v>1374.6272011686397</v>
      </c>
      <c r="AG215" s="128">
        <v>1248.112842163036</v>
      </c>
      <c r="AH215" s="128">
        <v>1113.2193104597554</v>
      </c>
      <c r="AI215" s="128">
        <v>1005.9806192905138</v>
      </c>
      <c r="AJ215" s="129">
        <v>963</v>
      </c>
      <c r="AK215" s="128">
        <v>997.4138099837437</v>
      </c>
      <c r="AL215" s="131">
        <v>994.41195913642014</v>
      </c>
      <c r="AM215" s="130">
        <v>843.31638694689821</v>
      </c>
      <c r="AN215" s="129">
        <v>740.02948485353909</v>
      </c>
      <c r="AO215" s="128">
        <v>670.5361011207716</v>
      </c>
      <c r="AP215" s="129">
        <v>670.18642945868419</v>
      </c>
      <c r="AQ215" s="128">
        <v>590.68766030518464</v>
      </c>
      <c r="AR215" s="129">
        <v>506.71773626640623</v>
      </c>
      <c r="AS215" s="128">
        <v>452.65566421804397</v>
      </c>
      <c r="AT215" s="129">
        <v>403.39505082790816</v>
      </c>
      <c r="AU215" s="128">
        <v>359.40631244624655</v>
      </c>
      <c r="AV215" s="127">
        <v>129.62628442714558</v>
      </c>
      <c r="AW215" s="126">
        <v>120.90441993648534</v>
      </c>
      <c r="AX215" s="124">
        <v>105.43816980896138</v>
      </c>
      <c r="AY215" s="125">
        <v>96.042394852864732</v>
      </c>
      <c r="AZ215" s="124">
        <v>96.40585525632487</v>
      </c>
      <c r="BA215" s="123">
        <v>98.589745894816943</v>
      </c>
      <c r="BB215" s="122">
        <v>84.717105964745471</v>
      </c>
      <c r="BC215" s="123">
        <v>70.245621769288647</v>
      </c>
      <c r="BD215" s="1112">
        <v>73.386265579270216</v>
      </c>
    </row>
    <row r="216" spans="2:57">
      <c r="B216" s="1021" t="s">
        <v>356</v>
      </c>
      <c r="C216" s="1198" t="s">
        <v>402</v>
      </c>
      <c r="D216" s="972"/>
      <c r="E216" s="972"/>
      <c r="F216" s="972"/>
      <c r="G216" s="972"/>
      <c r="H216" s="972"/>
      <c r="I216" s="972"/>
      <c r="J216" s="972"/>
      <c r="K216" s="972"/>
      <c r="L216" s="972"/>
      <c r="M216" s="972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19"/>
      <c r="AK216" s="118"/>
      <c r="AL216" s="121"/>
      <c r="AM216" s="120">
        <v>0.28435864262837685</v>
      </c>
      <c r="AN216" s="119">
        <v>0.32977485835047832</v>
      </c>
      <c r="AO216" s="118">
        <v>0.35252078999498199</v>
      </c>
      <c r="AP216" s="119">
        <v>0.36412729209160144</v>
      </c>
      <c r="AQ216" s="118">
        <v>0.44695731480325707</v>
      </c>
      <c r="AR216" s="119">
        <v>0.62182616941410784</v>
      </c>
      <c r="AS216" s="118">
        <v>0.66643145681469285</v>
      </c>
      <c r="AT216" s="119">
        <v>0.76852529558118954</v>
      </c>
      <c r="AU216" s="118">
        <v>0.85076712416835931</v>
      </c>
      <c r="AV216" s="117">
        <v>1.0201092502549078</v>
      </c>
      <c r="AW216" s="116">
        <v>1.2212919779486002</v>
      </c>
      <c r="AX216" s="114">
        <v>1.4264326848200608</v>
      </c>
      <c r="AY216" s="115">
        <v>1.5595911467016257</v>
      </c>
      <c r="AZ216" s="114">
        <v>1.4433928257128623</v>
      </c>
      <c r="BA216" s="113">
        <v>1.5910478796970668</v>
      </c>
      <c r="BB216" s="112">
        <v>1.7393910478645611</v>
      </c>
      <c r="BC216" s="113">
        <v>1.8054923691437157</v>
      </c>
      <c r="BD216" s="1113">
        <v>1.6373581380874183</v>
      </c>
    </row>
    <row r="217" spans="2:57"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0"/>
      <c r="AW217" s="110"/>
      <c r="AX217" s="110"/>
      <c r="AY217" s="110"/>
      <c r="AZ217" s="110"/>
      <c r="BA217" s="110"/>
      <c r="BB217" s="110"/>
      <c r="BC217" s="110"/>
      <c r="BD217" s="110"/>
    </row>
    <row r="218" spans="2:57" s="15" customFormat="1">
      <c r="B218" s="1027" t="s">
        <v>408</v>
      </c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048"/>
    </row>
    <row r="219" spans="2:57" s="110" customFormat="1">
      <c r="B219" s="1022" t="s">
        <v>409</v>
      </c>
      <c r="C219" s="1195" t="s">
        <v>410</v>
      </c>
      <c r="D219" s="1225">
        <v>48583.546689842304</v>
      </c>
      <c r="E219" s="1225">
        <v>49000.801097814634</v>
      </c>
      <c r="F219" s="1225">
        <v>45207.235513239124</v>
      </c>
      <c r="G219" s="1225">
        <v>39696.540820800088</v>
      </c>
      <c r="H219" s="1225">
        <v>37100.583093895395</v>
      </c>
      <c r="I219" s="1225">
        <v>36917.906421422456</v>
      </c>
      <c r="J219" s="1225">
        <v>34005.440524655656</v>
      </c>
      <c r="K219" s="1225">
        <v>30159.824655930264</v>
      </c>
      <c r="L219" s="1225">
        <v>27678.780237417926</v>
      </c>
      <c r="M219" s="1225">
        <v>27690.501356563938</v>
      </c>
      <c r="N219" s="1226">
        <v>28599.313385519872</v>
      </c>
      <c r="O219" s="1226">
        <v>25846.292556532906</v>
      </c>
      <c r="P219" s="1226">
        <v>23647.221302474478</v>
      </c>
      <c r="Q219" s="1226">
        <v>22843.288654214564</v>
      </c>
      <c r="R219" s="1226">
        <v>19926.181926048223</v>
      </c>
      <c r="S219" s="1226">
        <v>17555.210515637285</v>
      </c>
      <c r="T219" s="1226">
        <v>16648.827747879106</v>
      </c>
      <c r="U219" s="1226">
        <v>16847.600392216071</v>
      </c>
      <c r="V219" s="1226">
        <v>15709.942930112369</v>
      </c>
      <c r="W219" s="1226">
        <v>15016.937420029615</v>
      </c>
      <c r="X219" s="1226">
        <v>12440</v>
      </c>
      <c r="Y219" s="1226">
        <v>12645</v>
      </c>
      <c r="Z219" s="1226">
        <v>11384.960954897902</v>
      </c>
      <c r="AA219" s="1226">
        <v>8859.7213747531532</v>
      </c>
      <c r="AB219" s="1226">
        <v>8031.2614190232325</v>
      </c>
      <c r="AC219" s="1226">
        <v>8575.5970747778865</v>
      </c>
      <c r="AD219" s="1226">
        <v>7978.2638268541768</v>
      </c>
      <c r="AE219" s="1226">
        <v>7208.4062707457169</v>
      </c>
      <c r="AF219" s="815">
        <v>6474.1523440565588</v>
      </c>
      <c r="AG219" s="1226">
        <v>6509.0022482822988</v>
      </c>
      <c r="AH219" s="815">
        <v>5926.0685679276312</v>
      </c>
      <c r="AI219" s="1226">
        <v>5813.9250298893739</v>
      </c>
      <c r="AJ219" s="815">
        <v>5645.4063379999998</v>
      </c>
      <c r="AK219" s="1226">
        <v>5357.892702642087</v>
      </c>
      <c r="AL219" s="824"/>
      <c r="AM219" s="824"/>
      <c r="AN219" s="824"/>
      <c r="AO219" s="824"/>
      <c r="AP219" s="824"/>
      <c r="AQ219" s="824"/>
      <c r="AR219" s="111"/>
      <c r="AS219" s="111"/>
      <c r="AT219" s="111"/>
      <c r="AU219" s="111"/>
    </row>
    <row r="220" spans="2:57" s="110" customFormat="1">
      <c r="B220" s="1022" t="s">
        <v>411</v>
      </c>
      <c r="C220" s="1195" t="s">
        <v>412</v>
      </c>
      <c r="D220" s="1225">
        <v>306.24578768942854</v>
      </c>
      <c r="E220" s="1225">
        <v>321.60806323744634</v>
      </c>
      <c r="F220" s="1225">
        <v>314.91730145079674</v>
      </c>
      <c r="G220" s="1225">
        <v>291.95391474925106</v>
      </c>
      <c r="H220" s="1225">
        <v>278.477599455551</v>
      </c>
      <c r="I220" s="1225">
        <v>288.17015559149547</v>
      </c>
      <c r="J220" s="1225">
        <v>278.60677202527211</v>
      </c>
      <c r="K220" s="1225">
        <v>259.66636505901727</v>
      </c>
      <c r="L220" s="1225">
        <v>245.92901997487385</v>
      </c>
      <c r="M220" s="1225">
        <v>249.69443740248485</v>
      </c>
      <c r="N220" s="1226">
        <v>267.94350293892711</v>
      </c>
      <c r="O220" s="1226">
        <v>262.6845553223705</v>
      </c>
      <c r="P220" s="1226">
        <v>253.13901892901615</v>
      </c>
      <c r="Q220" s="1226">
        <v>251.8977198476035</v>
      </c>
      <c r="R220" s="1226">
        <v>231.55393264512074</v>
      </c>
      <c r="S220" s="1226">
        <v>217.8392485076225</v>
      </c>
      <c r="T220" s="1226">
        <v>216.95730010167162</v>
      </c>
      <c r="U220" s="1226">
        <v>226.68049052486001</v>
      </c>
      <c r="V220" s="1226">
        <v>222.70491884601674</v>
      </c>
      <c r="W220" s="1226">
        <v>222.58924621660981</v>
      </c>
      <c r="X220" s="1226">
        <v>192</v>
      </c>
      <c r="Y220" s="1226">
        <v>203</v>
      </c>
      <c r="Z220" s="1226">
        <v>194.95908657626578</v>
      </c>
      <c r="AA220" s="1226">
        <v>160.90076780053462</v>
      </c>
      <c r="AB220" s="1226">
        <v>155.3856942478466</v>
      </c>
      <c r="AC220" s="1226">
        <v>177.47860905155054</v>
      </c>
      <c r="AD220" s="1226">
        <v>177.54277304372025</v>
      </c>
      <c r="AE220" s="1226">
        <v>163.07989591812549</v>
      </c>
      <c r="AF220" s="815">
        <v>156.98293046133975</v>
      </c>
      <c r="AG220" s="1226">
        <v>156.43562637821711</v>
      </c>
      <c r="AH220" s="815">
        <v>154.67540258310495</v>
      </c>
      <c r="AI220" s="1226">
        <v>160.77216959391211</v>
      </c>
      <c r="AJ220" s="815">
        <v>169.72394059560517</v>
      </c>
      <c r="AK220" s="1226">
        <v>181.9156657545436</v>
      </c>
      <c r="AL220" s="824"/>
      <c r="AM220" s="824"/>
      <c r="AN220" s="824"/>
      <c r="AO220" s="824"/>
      <c r="AP220" s="824"/>
      <c r="AQ220" s="824"/>
      <c r="AR220" s="111"/>
      <c r="AS220" s="111"/>
      <c r="AT220" s="111"/>
      <c r="AU220" s="111"/>
    </row>
    <row r="221" spans="2:57" s="110" customFormat="1">
      <c r="B221" s="1023" t="s">
        <v>413</v>
      </c>
      <c r="C221" s="1195" t="s">
        <v>407</v>
      </c>
      <c r="D221" s="1225">
        <v>330.64684546629758</v>
      </c>
      <c r="E221" s="1225">
        <v>336.0138320925285</v>
      </c>
      <c r="F221" s="1225">
        <v>311.61370381932136</v>
      </c>
      <c r="G221" s="1225">
        <v>284.27263356478909</v>
      </c>
      <c r="H221" s="1225">
        <v>268.98869056122425</v>
      </c>
      <c r="I221" s="1225">
        <v>268.51570756948104</v>
      </c>
      <c r="J221" s="1225">
        <v>244.74946310935971</v>
      </c>
      <c r="K221" s="1225">
        <v>222.61563288754695</v>
      </c>
      <c r="L221" s="1225">
        <v>206.25715477117299</v>
      </c>
      <c r="M221" s="1225">
        <v>204.73108909546309</v>
      </c>
      <c r="N221" s="1226">
        <v>212.2452212117596</v>
      </c>
      <c r="O221" s="1226">
        <v>193.94707943851091</v>
      </c>
      <c r="P221" s="1226">
        <v>171.46262698572022</v>
      </c>
      <c r="Q221" s="1226">
        <v>172.76846456250837</v>
      </c>
      <c r="R221" s="1226">
        <v>162.58081060120858</v>
      </c>
      <c r="S221" s="1226">
        <v>147.82740352334096</v>
      </c>
      <c r="T221" s="1226">
        <v>145.4504795690099</v>
      </c>
      <c r="U221" s="1226">
        <v>144.87111870552798</v>
      </c>
      <c r="V221" s="1226">
        <v>133.64669069194511</v>
      </c>
      <c r="W221" s="1226">
        <v>126.70388817121594</v>
      </c>
      <c r="X221" s="1226">
        <v>109</v>
      </c>
      <c r="Y221" s="1226">
        <v>108</v>
      </c>
      <c r="Z221" s="1226">
        <v>97.698967119912425</v>
      </c>
      <c r="AA221" s="1226">
        <v>80.086874634929259</v>
      </c>
      <c r="AB221" s="1226">
        <v>80.526120086204912</v>
      </c>
      <c r="AC221" s="1226">
        <v>83.88399186882026</v>
      </c>
      <c r="AD221" s="1226">
        <v>79.257423456797667</v>
      </c>
      <c r="AE221" s="1226">
        <v>68.580528057552073</v>
      </c>
      <c r="AF221" s="815">
        <v>66.467815224933375</v>
      </c>
      <c r="AG221" s="1226">
        <v>64.215075308079363</v>
      </c>
      <c r="AH221" s="815">
        <v>52.535316506794153</v>
      </c>
      <c r="AI221" s="1226">
        <v>48.350899277678124</v>
      </c>
      <c r="AJ221" s="815">
        <v>45.762988033675185</v>
      </c>
      <c r="AK221" s="1226">
        <v>39.924241802761827</v>
      </c>
      <c r="AL221" s="824"/>
      <c r="AM221" s="824"/>
      <c r="AN221" s="824"/>
      <c r="AO221" s="824"/>
      <c r="AP221" s="824"/>
      <c r="AQ221" s="824"/>
      <c r="AR221" s="111"/>
      <c r="AS221" s="111"/>
      <c r="AT221" s="111"/>
      <c r="AU221" s="111"/>
    </row>
    <row r="222" spans="2:57" s="110" customFormat="1">
      <c r="B222" s="1023" t="s">
        <v>414</v>
      </c>
      <c r="C222" s="1195" t="s">
        <v>319</v>
      </c>
      <c r="D222" s="1225">
        <v>54056.057999999997</v>
      </c>
      <c r="E222" s="1225">
        <v>51986.251000000004</v>
      </c>
      <c r="F222" s="1225">
        <v>49752.151000000005</v>
      </c>
      <c r="G222" s="1225">
        <v>45829.359000000004</v>
      </c>
      <c r="H222" s="1225">
        <v>44565.963000000003</v>
      </c>
      <c r="I222" s="1225">
        <v>44334.476999999999</v>
      </c>
      <c r="J222" s="1225">
        <v>41456.822000000007</v>
      </c>
      <c r="K222" s="1225">
        <v>39465.195</v>
      </c>
      <c r="L222" s="1225">
        <v>37992.635999999991</v>
      </c>
      <c r="M222" s="1225">
        <v>37461.288</v>
      </c>
      <c r="N222" s="1226">
        <v>36547.543999999994</v>
      </c>
      <c r="O222" s="1226">
        <v>34333.942000000003</v>
      </c>
      <c r="P222" s="1226">
        <v>31485.114000000005</v>
      </c>
      <c r="Q222" s="1226">
        <v>31353.794999999995</v>
      </c>
      <c r="R222" s="1226">
        <v>29680.221817999995</v>
      </c>
      <c r="S222" s="1226">
        <v>27621.536</v>
      </c>
      <c r="T222" s="1226">
        <v>26154.627</v>
      </c>
      <c r="U222" s="1226">
        <v>25666.984000000004</v>
      </c>
      <c r="V222" s="1226">
        <v>23942.401999999998</v>
      </c>
      <c r="W222" s="1226">
        <v>23082.859000000004</v>
      </c>
      <c r="X222" s="1226">
        <v>21670.111000000001</v>
      </c>
      <c r="Y222" s="1226">
        <v>21460.191999999995</v>
      </c>
      <c r="Z222" s="1226">
        <v>20119.575000000001</v>
      </c>
      <c r="AA222" s="1226">
        <v>18528.571999999996</v>
      </c>
      <c r="AB222" s="1226">
        <v>18294.377</v>
      </c>
      <c r="AC222" s="1226">
        <v>16634.254999999997</v>
      </c>
      <c r="AD222" s="1226">
        <v>15521.252999999999</v>
      </c>
      <c r="AE222" s="1226">
        <v>14600.460000000001</v>
      </c>
      <c r="AF222" s="815">
        <v>14216.064999999999</v>
      </c>
      <c r="AG222" s="1226">
        <v>13804.999</v>
      </c>
      <c r="AH222" s="815">
        <v>12942.621999999999</v>
      </c>
      <c r="AI222" s="1226">
        <v>11815.798999999999</v>
      </c>
      <c r="AJ222" s="815">
        <v>11464.847</v>
      </c>
      <c r="AK222" s="1226">
        <v>10449.159999999998</v>
      </c>
      <c r="AL222" s="824"/>
      <c r="AM222" s="824"/>
      <c r="AN222" s="824"/>
      <c r="AO222" s="824"/>
      <c r="AP222" s="824"/>
      <c r="AQ222" s="824"/>
      <c r="AR222" s="111"/>
      <c r="AS222" s="111"/>
      <c r="AT222" s="111"/>
      <c r="AU222" s="111"/>
    </row>
    <row r="223" spans="2:57" s="110" customFormat="1">
      <c r="B223" s="1022" t="s">
        <v>415</v>
      </c>
      <c r="C223" s="1195" t="s">
        <v>412</v>
      </c>
      <c r="D223" s="971">
        <v>2.0842283146450895</v>
      </c>
      <c r="E223" s="971">
        <v>2.2053671641929569</v>
      </c>
      <c r="F223" s="971">
        <v>2.1707265571045586</v>
      </c>
      <c r="G223" s="971">
        <v>2.0907239399013897</v>
      </c>
      <c r="H223" s="971">
        <v>2.0190336264689912</v>
      </c>
      <c r="I223" s="971">
        <v>2.0959534472452472</v>
      </c>
      <c r="J223" s="971">
        <v>2.0052337749418885</v>
      </c>
      <c r="K223" s="971">
        <v>1.9166488153257781</v>
      </c>
      <c r="L223" s="971">
        <v>1.832617604554253</v>
      </c>
      <c r="M223" s="971">
        <v>1.8461281524746316</v>
      </c>
      <c r="N223" s="1217">
        <v>1.9884997687503949</v>
      </c>
      <c r="O223" s="1217">
        <v>1.9711493324213869</v>
      </c>
      <c r="P223" s="1217">
        <v>1.8354749009607831</v>
      </c>
      <c r="Q223" s="1217">
        <v>1.9051539795185291</v>
      </c>
      <c r="R223" s="1217">
        <v>1.8892844704046829</v>
      </c>
      <c r="S223" s="1217">
        <v>1.8343619669882749</v>
      </c>
      <c r="T223" s="1217">
        <v>1.8954213367848511</v>
      </c>
      <c r="U223" s="1217">
        <v>1.949206740814365</v>
      </c>
      <c r="V223" s="1217">
        <v>1.8945820196162508</v>
      </c>
      <c r="W223" s="1217">
        <v>1.8780742152609278</v>
      </c>
      <c r="X223" s="1217">
        <v>1.7261177687851339</v>
      </c>
      <c r="Y223" s="1217">
        <v>1.7</v>
      </c>
      <c r="Z223" s="1217">
        <v>1.7039782316886536</v>
      </c>
      <c r="AA223" s="1217">
        <v>1.4770814209357075</v>
      </c>
      <c r="AB223" s="1217">
        <v>1.5579877707681702</v>
      </c>
      <c r="AC223" s="1217">
        <v>1.7360440408699347</v>
      </c>
      <c r="AD223" s="1217">
        <v>1.7637399627543617</v>
      </c>
      <c r="AE223" s="1217">
        <v>1.5515364919184378</v>
      </c>
      <c r="AF223" s="805">
        <v>1.6116878103666912</v>
      </c>
      <c r="AG223" s="1217">
        <v>1.5433280164244458</v>
      </c>
      <c r="AH223" s="805">
        <v>1.371216201327365</v>
      </c>
      <c r="AI223" s="1217">
        <v>1.3370449289809541</v>
      </c>
      <c r="AJ223" s="805">
        <v>1.3758220750601493</v>
      </c>
      <c r="AK223" s="1217">
        <v>1.3555413350687928</v>
      </c>
      <c r="AL223" s="824"/>
      <c r="AM223" s="824"/>
      <c r="AN223" s="824"/>
      <c r="AO223" s="824"/>
      <c r="AP223" s="824"/>
      <c r="AQ223" s="824"/>
      <c r="AR223" s="111"/>
      <c r="AS223" s="111"/>
      <c r="AT223" s="111"/>
      <c r="AU223" s="111"/>
    </row>
    <row r="224" spans="2:57" s="15" customFormat="1">
      <c r="B224" s="1027" t="s">
        <v>416</v>
      </c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048"/>
    </row>
    <row r="225" spans="2:57" s="110" customFormat="1">
      <c r="B225" s="1024" t="s">
        <v>384</v>
      </c>
      <c r="C225" s="1199" t="s">
        <v>379</v>
      </c>
      <c r="D225" s="1225">
        <v>40378</v>
      </c>
      <c r="E225" s="1225">
        <v>39127</v>
      </c>
      <c r="F225" s="1225">
        <v>38314</v>
      </c>
      <c r="G225" s="1225">
        <v>37579</v>
      </c>
      <c r="H225" s="1225">
        <v>37117</v>
      </c>
      <c r="I225" s="1225">
        <v>36630</v>
      </c>
      <c r="J225" s="1225">
        <v>35961</v>
      </c>
      <c r="K225" s="1225">
        <v>35216</v>
      </c>
      <c r="L225" s="1225">
        <v>34534</v>
      </c>
      <c r="M225" s="1225">
        <v>33780</v>
      </c>
      <c r="N225" s="1226">
        <v>33144</v>
      </c>
      <c r="O225" s="1226">
        <v>32226</v>
      </c>
      <c r="P225" s="1226">
        <v>31546</v>
      </c>
      <c r="Q225" s="1226">
        <v>30733</v>
      </c>
      <c r="R225" s="1226">
        <v>30149</v>
      </c>
      <c r="S225" s="1226">
        <v>29412</v>
      </c>
      <c r="T225" s="1226">
        <v>28797</v>
      </c>
      <c r="U225" s="1226">
        <v>27422</v>
      </c>
      <c r="V225" s="1226">
        <v>26751</v>
      </c>
      <c r="W225" s="1226">
        <v>26104</v>
      </c>
      <c r="X225" s="1226">
        <v>25368</v>
      </c>
      <c r="Y225" s="1226">
        <v>24693</v>
      </c>
      <c r="Z225" s="1226">
        <v>24246</v>
      </c>
      <c r="AA225" s="1226">
        <v>23471</v>
      </c>
      <c r="AB225" s="1226">
        <v>22909</v>
      </c>
      <c r="AC225" s="1226">
        <v>22253</v>
      </c>
      <c r="AD225" s="1226">
        <v>21936</v>
      </c>
      <c r="AE225" s="1226">
        <v>21385</v>
      </c>
      <c r="AF225" s="815">
        <v>21059</v>
      </c>
      <c r="AG225" s="1226">
        <v>20582</v>
      </c>
      <c r="AH225" s="815">
        <v>20060</v>
      </c>
      <c r="AI225" s="1226">
        <v>19895</v>
      </c>
      <c r="AJ225" s="815">
        <v>19731</v>
      </c>
      <c r="AK225" s="1226">
        <v>19054</v>
      </c>
      <c r="AL225" s="815">
        <v>18926</v>
      </c>
      <c r="AM225" s="1226">
        <v>18998</v>
      </c>
      <c r="AN225" s="824"/>
      <c r="AO225" s="824"/>
      <c r="AP225" s="824"/>
      <c r="AQ225" s="824"/>
      <c r="AR225" s="111"/>
      <c r="AS225" s="111"/>
      <c r="AT225" s="111"/>
      <c r="AU225" s="111"/>
    </row>
    <row r="226" spans="2:57" s="110" customFormat="1">
      <c r="B226" s="1025" t="s">
        <v>417</v>
      </c>
      <c r="C226" s="1199" t="s">
        <v>379</v>
      </c>
      <c r="D226" s="1225">
        <v>2598</v>
      </c>
      <c r="E226" s="1225">
        <v>2255</v>
      </c>
      <c r="F226" s="1225">
        <v>2126</v>
      </c>
      <c r="G226" s="1225">
        <v>2157</v>
      </c>
      <c r="H226" s="1225">
        <v>2267</v>
      </c>
      <c r="I226" s="1225">
        <v>2258</v>
      </c>
      <c r="J226" s="1225">
        <v>2240</v>
      </c>
      <c r="K226" s="1225">
        <v>2232</v>
      </c>
      <c r="L226" s="1225">
        <v>2265</v>
      </c>
      <c r="M226" s="1225">
        <v>2257</v>
      </c>
      <c r="N226" s="1226">
        <v>2292</v>
      </c>
      <c r="O226" s="1226">
        <v>2201</v>
      </c>
      <c r="P226" s="1226">
        <v>2049</v>
      </c>
      <c r="Q226" s="1226">
        <v>2038</v>
      </c>
      <c r="R226" s="1226">
        <v>2015</v>
      </c>
      <c r="S226" s="1226">
        <v>2015</v>
      </c>
      <c r="T226" s="1226">
        <v>2048</v>
      </c>
      <c r="U226" s="1226">
        <v>4097</v>
      </c>
      <c r="V226" s="1226">
        <v>4562</v>
      </c>
      <c r="W226" s="1226">
        <v>4505</v>
      </c>
      <c r="X226" s="1226">
        <v>4627</v>
      </c>
      <c r="Y226" s="1226">
        <v>4530</v>
      </c>
      <c r="Z226" s="1226">
        <v>4561</v>
      </c>
      <c r="AA226" s="1226">
        <v>4569</v>
      </c>
      <c r="AB226" s="1226">
        <v>4548</v>
      </c>
      <c r="AC226" s="1226">
        <v>4454</v>
      </c>
      <c r="AD226" s="1226">
        <v>4461</v>
      </c>
      <c r="AE226" s="1226">
        <v>4500</v>
      </c>
      <c r="AF226" s="815">
        <v>4422</v>
      </c>
      <c r="AG226" s="1226">
        <v>4441</v>
      </c>
      <c r="AH226" s="815">
        <v>4449</v>
      </c>
      <c r="AI226" s="1226">
        <v>4377</v>
      </c>
      <c r="AJ226" s="815">
        <v>4397</v>
      </c>
      <c r="AK226" s="1226">
        <v>4181</v>
      </c>
      <c r="AL226" s="824"/>
      <c r="AM226" s="824"/>
      <c r="AN226" s="824"/>
      <c r="AO226" s="824"/>
      <c r="AP226" s="824"/>
      <c r="AQ226" s="824"/>
      <c r="AR226" s="111"/>
      <c r="AS226" s="111"/>
      <c r="AT226" s="111"/>
      <c r="AU226" s="111"/>
    </row>
    <row r="227" spans="2:57" s="110" customFormat="1">
      <c r="B227" s="1025" t="s">
        <v>418</v>
      </c>
      <c r="C227" s="1199" t="s">
        <v>379</v>
      </c>
      <c r="D227" s="1211">
        <v>37780</v>
      </c>
      <c r="E227" s="1211">
        <v>36872</v>
      </c>
      <c r="F227" s="1211">
        <v>36188</v>
      </c>
      <c r="G227" s="1211">
        <v>35422</v>
      </c>
      <c r="H227" s="1211">
        <v>34850</v>
      </c>
      <c r="I227" s="1211">
        <v>34372</v>
      </c>
      <c r="J227" s="1211">
        <v>33721</v>
      </c>
      <c r="K227" s="1211">
        <v>32984</v>
      </c>
      <c r="L227" s="1211">
        <v>32269</v>
      </c>
      <c r="M227" s="1211">
        <v>31523</v>
      </c>
      <c r="N227" s="1212">
        <v>30852</v>
      </c>
      <c r="O227" s="1212">
        <v>30025</v>
      </c>
      <c r="P227" s="1212">
        <v>29497</v>
      </c>
      <c r="Q227" s="1212">
        <v>28695</v>
      </c>
      <c r="R227" s="1212">
        <v>28134</v>
      </c>
      <c r="S227" s="1212">
        <v>27397</v>
      </c>
      <c r="T227" s="1212">
        <v>26749</v>
      </c>
      <c r="U227" s="1212">
        <v>23325</v>
      </c>
      <c r="V227" s="1212">
        <v>22189</v>
      </c>
      <c r="W227" s="1212">
        <v>21599</v>
      </c>
      <c r="X227" s="1212">
        <v>20741</v>
      </c>
      <c r="Y227" s="1212">
        <v>20163</v>
      </c>
      <c r="Z227" s="1212">
        <v>19685</v>
      </c>
      <c r="AA227" s="1212">
        <v>18902</v>
      </c>
      <c r="AB227" s="1212">
        <v>18361</v>
      </c>
      <c r="AC227" s="1212">
        <v>17799</v>
      </c>
      <c r="AD227" s="1212">
        <v>17475</v>
      </c>
      <c r="AE227" s="1212">
        <v>16885</v>
      </c>
      <c r="AF227" s="802">
        <v>16637</v>
      </c>
      <c r="AG227" s="1212">
        <v>16141</v>
      </c>
      <c r="AH227" s="802">
        <v>15611</v>
      </c>
      <c r="AI227" s="1212">
        <v>15518</v>
      </c>
      <c r="AJ227" s="802">
        <v>15334</v>
      </c>
      <c r="AK227" s="1212">
        <v>14873</v>
      </c>
      <c r="AL227" s="824"/>
      <c r="AM227" s="824"/>
      <c r="AN227" s="824"/>
      <c r="AO227" s="824"/>
      <c r="AP227" s="824"/>
      <c r="AQ227" s="824"/>
      <c r="AR227" s="111"/>
      <c r="AS227" s="111"/>
      <c r="AT227" s="111"/>
      <c r="AU227" s="111"/>
    </row>
    <row r="228" spans="2:57" s="110" customFormat="1">
      <c r="B228" s="1024" t="s">
        <v>385</v>
      </c>
      <c r="C228" s="1199" t="s">
        <v>379</v>
      </c>
      <c r="D228" s="1213"/>
      <c r="E228" s="1213"/>
      <c r="F228" s="1213"/>
      <c r="G228" s="1213"/>
      <c r="H228" s="1213"/>
      <c r="I228" s="1213">
        <v>36630</v>
      </c>
      <c r="J228" s="1213">
        <v>35961</v>
      </c>
      <c r="K228" s="1213">
        <v>35216</v>
      </c>
      <c r="L228" s="1213">
        <v>33909</v>
      </c>
      <c r="M228" s="1213">
        <v>33191</v>
      </c>
      <c r="N228" s="1214">
        <v>32463</v>
      </c>
      <c r="O228" s="1214">
        <v>31566</v>
      </c>
      <c r="P228" s="1214">
        <v>30866</v>
      </c>
      <c r="Q228" s="1214">
        <v>30020</v>
      </c>
      <c r="R228" s="1214">
        <v>29264</v>
      </c>
      <c r="S228" s="1214">
        <v>28513</v>
      </c>
      <c r="T228" s="1214">
        <v>27782</v>
      </c>
      <c r="U228" s="1214">
        <v>26278</v>
      </c>
      <c r="V228" s="1214">
        <v>25600</v>
      </c>
      <c r="W228" s="1214">
        <v>24701</v>
      </c>
      <c r="X228" s="1214">
        <v>23826</v>
      </c>
      <c r="Y228" s="1214">
        <v>22998</v>
      </c>
      <c r="Z228" s="1214">
        <v>22250</v>
      </c>
      <c r="AA228" s="1214">
        <v>21171</v>
      </c>
      <c r="AB228" s="1214">
        <v>20378</v>
      </c>
      <c r="AC228" s="1214">
        <v>19133</v>
      </c>
      <c r="AD228" s="1214">
        <v>18274</v>
      </c>
      <c r="AE228" s="1214">
        <v>17049</v>
      </c>
      <c r="AF228" s="803">
        <v>16426</v>
      </c>
      <c r="AG228" s="1214">
        <v>15734</v>
      </c>
      <c r="AH228" s="803">
        <v>15280</v>
      </c>
      <c r="AI228" s="1214">
        <v>14653</v>
      </c>
      <c r="AJ228" s="803">
        <v>13725</v>
      </c>
      <c r="AK228" s="1214">
        <v>12933</v>
      </c>
      <c r="AL228" s="815">
        <v>12709</v>
      </c>
      <c r="AM228" s="1226">
        <v>12732</v>
      </c>
      <c r="AN228" s="824"/>
      <c r="AO228" s="824"/>
      <c r="AP228" s="824"/>
      <c r="AQ228" s="824"/>
      <c r="AR228" s="111"/>
      <c r="AS228" s="111"/>
      <c r="AT228" s="111"/>
      <c r="AU228" s="111"/>
    </row>
    <row r="229" spans="2:57" s="110" customFormat="1">
      <c r="B229" s="1024" t="s">
        <v>386</v>
      </c>
      <c r="C229" s="1199" t="s">
        <v>379</v>
      </c>
      <c r="D229" s="1213">
        <v>156803</v>
      </c>
      <c r="E229" s="1213">
        <v>148967</v>
      </c>
      <c r="F229" s="1213">
        <v>143640</v>
      </c>
      <c r="G229" s="1213">
        <v>139055</v>
      </c>
      <c r="H229" s="1213">
        <v>136924</v>
      </c>
      <c r="I229" s="1213">
        <v>133641</v>
      </c>
      <c r="J229" s="1213">
        <v>130704</v>
      </c>
      <c r="K229" s="1213">
        <v>127189</v>
      </c>
      <c r="L229" s="1213">
        <v>125413</v>
      </c>
      <c r="M229" s="1213">
        <v>119816</v>
      </c>
      <c r="N229" s="1214">
        <v>116892</v>
      </c>
      <c r="O229" s="1214">
        <v>110996</v>
      </c>
      <c r="P229" s="1214">
        <v>107697</v>
      </c>
      <c r="Q229" s="1214">
        <v>103723</v>
      </c>
      <c r="R229" s="1214">
        <v>99154</v>
      </c>
      <c r="S229" s="1214">
        <v>95857</v>
      </c>
      <c r="T229" s="1214">
        <v>92304</v>
      </c>
      <c r="U229" s="1214">
        <v>88572</v>
      </c>
      <c r="V229" s="1214">
        <v>85205</v>
      </c>
      <c r="W229" s="1214">
        <v>81319</v>
      </c>
      <c r="X229" s="1214">
        <v>76563</v>
      </c>
      <c r="Y229" s="1214">
        <v>72616</v>
      </c>
      <c r="Z229" s="1214">
        <v>63705</v>
      </c>
      <c r="AA229" s="1214">
        <v>51963</v>
      </c>
      <c r="AB229" s="1214">
        <v>47082</v>
      </c>
      <c r="AC229" s="1214">
        <v>43174</v>
      </c>
      <c r="AD229" s="1214">
        <v>40187</v>
      </c>
      <c r="AE229" s="1214">
        <v>35283</v>
      </c>
      <c r="AF229" s="803">
        <v>32501</v>
      </c>
      <c r="AG229" s="1214">
        <v>29650</v>
      </c>
      <c r="AH229" s="803">
        <v>26338</v>
      </c>
      <c r="AI229" s="1214">
        <v>23754</v>
      </c>
      <c r="AJ229" s="803">
        <v>20093</v>
      </c>
      <c r="AK229" s="1214">
        <v>16863</v>
      </c>
      <c r="AL229" s="815">
        <v>15575</v>
      </c>
      <c r="AM229" s="1226">
        <v>13974</v>
      </c>
      <c r="AN229" s="824"/>
      <c r="AO229" s="824"/>
      <c r="AP229" s="824"/>
      <c r="AQ229" s="824"/>
      <c r="AR229" s="111"/>
      <c r="AS229" s="111"/>
      <c r="AT229" s="111"/>
      <c r="AU229" s="111"/>
    </row>
    <row r="230" spans="2:57" s="110" customFormat="1">
      <c r="B230" s="990" t="s">
        <v>419</v>
      </c>
      <c r="C230" s="1200" t="s">
        <v>412</v>
      </c>
      <c r="D230" s="1242">
        <v>11296.969313508438</v>
      </c>
      <c r="E230" s="1242">
        <v>11416.890816623913</v>
      </c>
      <c r="F230" s="1242">
        <v>11030.323046010724</v>
      </c>
      <c r="G230" s="1242">
        <v>10564.546143904516</v>
      </c>
      <c r="H230" s="1242">
        <v>10577.72813666975</v>
      </c>
      <c r="I230" s="1242">
        <v>10270.164346508489</v>
      </c>
      <c r="J230" s="1242">
        <v>10002.061895125424</v>
      </c>
      <c r="K230" s="1242">
        <v>9542.8255988769997</v>
      </c>
      <c r="L230" s="1242">
        <v>9365.0917326081199</v>
      </c>
      <c r="M230" s="1242">
        <v>9356.2289850165816</v>
      </c>
      <c r="N230" s="1243">
        <v>11155.667198990172</v>
      </c>
      <c r="O230" s="1243">
        <v>10882.53902791138</v>
      </c>
      <c r="P230" s="1243">
        <v>10526.280916694554</v>
      </c>
      <c r="Q230" s="1243">
        <v>10606.282226362688</v>
      </c>
      <c r="R230" s="1243">
        <v>10434.20058167416</v>
      </c>
      <c r="S230" s="1243">
        <v>9983.80246606121</v>
      </c>
      <c r="T230" s="1243">
        <v>13103.231880199362</v>
      </c>
      <c r="U230" s="1243">
        <v>13427.459641698799</v>
      </c>
      <c r="V230" s="1243">
        <v>13111.862038096384</v>
      </c>
      <c r="W230" s="1243">
        <v>12983.758153920831</v>
      </c>
      <c r="X230" s="1243">
        <v>13684</v>
      </c>
      <c r="Y230" s="1243">
        <v>13684</v>
      </c>
      <c r="Z230" s="1243">
        <v>13043.20884866129</v>
      </c>
      <c r="AA230" s="1243">
        <v>11929.595943401093</v>
      </c>
      <c r="AB230" s="1243">
        <v>12808.754927467067</v>
      </c>
      <c r="AC230" s="1243">
        <v>13485.499767300806</v>
      </c>
      <c r="AD230" s="1243">
        <v>13099.739574675112</v>
      </c>
      <c r="AE230" s="1243">
        <v>12565.001537155294</v>
      </c>
      <c r="AF230" s="822">
        <v>12487.206573457979</v>
      </c>
      <c r="AG230" s="1243">
        <v>12837.346053089248</v>
      </c>
      <c r="AH230" s="822">
        <v>12626.169223842035</v>
      </c>
      <c r="AI230" s="1243">
        <v>12217.561525759731</v>
      </c>
      <c r="AJ230" s="822">
        <v>12597.027979019926</v>
      </c>
      <c r="AK230" s="1243">
        <v>13423.110397506292</v>
      </c>
      <c r="AL230" s="824"/>
      <c r="AM230" s="824"/>
      <c r="AN230" s="824"/>
      <c r="AO230" s="824"/>
      <c r="AP230" s="824"/>
      <c r="AQ230" s="824"/>
      <c r="AR230" s="111"/>
      <c r="AS230" s="111"/>
      <c r="AT230" s="111"/>
      <c r="AU230" s="111"/>
    </row>
    <row r="231" spans="2:57" s="15" customFormat="1">
      <c r="B231" s="1027" t="s">
        <v>420</v>
      </c>
      <c r="C231" s="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048"/>
    </row>
    <row r="232" spans="2:57" s="110" customFormat="1">
      <c r="B232" s="990" t="s">
        <v>421</v>
      </c>
      <c r="C232" s="1200" t="s">
        <v>379</v>
      </c>
      <c r="D232" s="1244">
        <v>4512</v>
      </c>
      <c r="E232" s="1244">
        <v>4381</v>
      </c>
      <c r="F232" s="1244">
        <v>4310</v>
      </c>
      <c r="G232" s="1244">
        <v>4260</v>
      </c>
      <c r="H232" s="1244">
        <v>4253</v>
      </c>
      <c r="I232" s="1244">
        <v>4189</v>
      </c>
      <c r="J232" s="1244">
        <v>4174</v>
      </c>
      <c r="K232" s="1244">
        <v>4174</v>
      </c>
      <c r="L232" s="1244">
        <v>4132</v>
      </c>
      <c r="M232" s="1244">
        <v>4098</v>
      </c>
      <c r="N232" s="1245">
        <v>4081</v>
      </c>
      <c r="O232" s="1245">
        <v>4072</v>
      </c>
      <c r="P232" s="1245">
        <v>4000</v>
      </c>
      <c r="Q232" s="1245">
        <v>3930</v>
      </c>
      <c r="R232" s="1245">
        <v>3904</v>
      </c>
      <c r="S232" s="1245">
        <v>3893</v>
      </c>
      <c r="T232" s="1245">
        <v>3757</v>
      </c>
      <c r="U232" s="1245">
        <v>3704</v>
      </c>
      <c r="V232" s="1245">
        <v>3662</v>
      </c>
      <c r="W232" s="1245">
        <v>3602</v>
      </c>
      <c r="X232" s="1245">
        <v>3526</v>
      </c>
      <c r="Y232" s="1245">
        <v>3498</v>
      </c>
      <c r="Z232" s="1245">
        <v>3453</v>
      </c>
      <c r="AA232" s="1245">
        <v>3432</v>
      </c>
      <c r="AB232" s="1245">
        <v>3363</v>
      </c>
      <c r="AC232" s="1245">
        <v>3286</v>
      </c>
      <c r="AD232" s="1245">
        <v>3184</v>
      </c>
      <c r="AE232" s="1245">
        <v>3100</v>
      </c>
      <c r="AF232" s="823">
        <v>3075</v>
      </c>
      <c r="AG232" s="1245">
        <v>3071</v>
      </c>
      <c r="AH232" s="823">
        <v>3073</v>
      </c>
      <c r="AI232" s="1245">
        <v>3217</v>
      </c>
      <c r="AJ232" s="823">
        <v>3530</v>
      </c>
      <c r="AK232" s="1245">
        <v>3420</v>
      </c>
      <c r="AL232" s="824"/>
      <c r="AM232" s="824"/>
      <c r="AN232" s="824"/>
      <c r="AO232" s="824"/>
      <c r="AP232" s="824"/>
      <c r="AQ232" s="824"/>
      <c r="AR232" s="111"/>
      <c r="AS232" s="111"/>
      <c r="AT232" s="111"/>
      <c r="AU232" s="111"/>
    </row>
    <row r="233" spans="2:57" s="110" customFormat="1">
      <c r="B233" s="990" t="s">
        <v>422</v>
      </c>
      <c r="C233" s="1200" t="s">
        <v>379</v>
      </c>
      <c r="D233" s="1244">
        <v>40679.333388741128</v>
      </c>
      <c r="E233" s="1244">
        <v>40947.128110020545</v>
      </c>
      <c r="F233" s="1244">
        <v>40328.548781902551</v>
      </c>
      <c r="G233" s="1244">
        <v>39762.655832394368</v>
      </c>
      <c r="H233" s="1244">
        <v>39043.621130260988</v>
      </c>
      <c r="I233" s="1244">
        <v>38936.785907615173</v>
      </c>
      <c r="J233" s="1244">
        <v>37528.148979875419</v>
      </c>
      <c r="K233" s="1244">
        <v>37234.420672496402</v>
      </c>
      <c r="L233" s="1244">
        <v>36959.965150048411</v>
      </c>
      <c r="M233" s="1244">
        <v>36888.883113714001</v>
      </c>
      <c r="N233" s="1245">
        <v>36183.720166625833</v>
      </c>
      <c r="O233" s="1245">
        <v>35143.195235756379</v>
      </c>
      <c r="P233" s="1245">
        <v>35011.892749999999</v>
      </c>
      <c r="Q233" s="1245">
        <v>35242.172519083972</v>
      </c>
      <c r="R233" s="1245">
        <v>34492.850665983598</v>
      </c>
      <c r="S233" s="1245">
        <v>33792.884151040329</v>
      </c>
      <c r="T233" s="1245">
        <v>34183.70641469257</v>
      </c>
      <c r="U233" s="1245">
        <v>33953.040766738661</v>
      </c>
      <c r="V233" s="1245">
        <v>33505.502457673407</v>
      </c>
      <c r="W233" s="1245">
        <v>33535.787617712376</v>
      </c>
      <c r="X233" s="1245">
        <v>33520.212422007942</v>
      </c>
      <c r="Y233" s="1245">
        <v>33991.77444253859</v>
      </c>
      <c r="Z233" s="1245">
        <v>33701.427743990731</v>
      </c>
      <c r="AA233" s="1245">
        <v>32476.886456876458</v>
      </c>
      <c r="AB233" s="1245">
        <v>32888.438889087127</v>
      </c>
      <c r="AC233" s="1245">
        <v>32604.857317407179</v>
      </c>
      <c r="AD233" s="1245">
        <v>32626.057261306534</v>
      </c>
      <c r="AE233" s="1245">
        <v>32151.7229032258</v>
      </c>
      <c r="AF233" s="823">
        <v>32146.802705691051</v>
      </c>
      <c r="AG233" s="1245">
        <v>31886.169104526212</v>
      </c>
      <c r="AH233" s="823">
        <v>30620.127992190039</v>
      </c>
      <c r="AI233" s="1245">
        <v>28347.140292197702</v>
      </c>
      <c r="AJ233" s="823">
        <v>25286.799433427757</v>
      </c>
      <c r="AK233" s="1245">
        <v>24599.283918128654</v>
      </c>
      <c r="AL233" s="824"/>
      <c r="AM233" s="824"/>
      <c r="AN233" s="824"/>
      <c r="AO233" s="824"/>
      <c r="AP233" s="824"/>
      <c r="AQ233" s="824"/>
      <c r="AR233" s="111"/>
      <c r="AS233" s="111"/>
      <c r="AT233" s="111"/>
      <c r="AU233" s="111"/>
    </row>
    <row r="234" spans="2:57" s="110" customFormat="1">
      <c r="B234" s="990" t="s">
        <v>423</v>
      </c>
      <c r="C234" s="1200" t="s">
        <v>412</v>
      </c>
      <c r="D234" s="1244">
        <v>4738.0719717943912</v>
      </c>
      <c r="E234" s="1244">
        <v>4878.6276257950149</v>
      </c>
      <c r="F234" s="1244">
        <v>4507.1236691122513</v>
      </c>
      <c r="G234" s="1244">
        <v>4294.1194300468769</v>
      </c>
      <c r="H234" s="1244">
        <v>4370.2298641309189</v>
      </c>
      <c r="I234" s="1244">
        <v>4643.1394097781367</v>
      </c>
      <c r="J234" s="1244">
        <v>4482.3436748352824</v>
      </c>
      <c r="K234" s="1244">
        <v>3894.7419914041056</v>
      </c>
      <c r="L234" s="1244">
        <v>4093.4591946423575</v>
      </c>
      <c r="M234" s="1244">
        <v>4162.5726265612529</v>
      </c>
      <c r="N234" s="1245">
        <v>4799.0727450419154</v>
      </c>
      <c r="O234" s="1245">
        <v>3986.5084138689799</v>
      </c>
      <c r="P234" s="1245">
        <v>4220.5098739783525</v>
      </c>
      <c r="Q234" s="1245">
        <v>4402.7369086666304</v>
      </c>
      <c r="R234" s="1245">
        <v>4166.2130620036887</v>
      </c>
      <c r="S234" s="1245">
        <v>3941.9276903351551</v>
      </c>
      <c r="T234" s="1245">
        <v>4955.492088651542</v>
      </c>
      <c r="U234" s="1245">
        <v>5118.0680918732087</v>
      </c>
      <c r="V234" s="1245">
        <v>4756.9370019644748</v>
      </c>
      <c r="W234" s="1245">
        <v>5390.4435805883886</v>
      </c>
      <c r="X234" s="1245">
        <v>6491</v>
      </c>
      <c r="Y234" s="1245">
        <v>6432</v>
      </c>
      <c r="Z234" s="1245">
        <v>6845.3726604840822</v>
      </c>
      <c r="AA234" s="1245">
        <v>6381.1952848701012</v>
      </c>
      <c r="AB234" s="1245">
        <v>6326.923846205932</v>
      </c>
      <c r="AC234" s="1245">
        <v>6694.0574714340291</v>
      </c>
      <c r="AD234" s="1245">
        <v>6932.8536942865985</v>
      </c>
      <c r="AE234" s="1245">
        <v>5811.8439450492378</v>
      </c>
      <c r="AF234" s="823">
        <v>6743.5726110143851</v>
      </c>
      <c r="AG234" s="1245">
        <v>6735.0549256995409</v>
      </c>
      <c r="AH234" s="823">
        <v>6046.8153426164608</v>
      </c>
      <c r="AI234" s="1245">
        <v>6689.1912834872119</v>
      </c>
      <c r="AJ234" s="823">
        <v>5914.4694924347104</v>
      </c>
      <c r="AK234" s="1245">
        <v>5628.4796429972484</v>
      </c>
      <c r="AL234" s="824"/>
      <c r="AM234" s="824"/>
      <c r="AN234" s="824"/>
      <c r="AO234" s="824"/>
      <c r="AP234" s="824"/>
      <c r="AQ234" s="824"/>
      <c r="AR234" s="111"/>
      <c r="AS234" s="111"/>
      <c r="AT234" s="111"/>
      <c r="AU234" s="111"/>
    </row>
    <row r="235" spans="2:57" s="110" customFormat="1">
      <c r="B235" s="1026" t="s">
        <v>424</v>
      </c>
      <c r="C235" s="1201" t="s">
        <v>412</v>
      </c>
      <c r="D235" s="1211">
        <v>118940.29871788528</v>
      </c>
      <c r="E235" s="1211">
        <v>121191.01531964059</v>
      </c>
      <c r="F235" s="1211">
        <v>116400.77279587783</v>
      </c>
      <c r="G235" s="1211">
        <v>92859.589732640496</v>
      </c>
      <c r="H235" s="1211">
        <v>92126.1603450572</v>
      </c>
      <c r="I235" s="1211">
        <v>89611.822666151027</v>
      </c>
      <c r="J235" s="1211">
        <v>85826.449202160889</v>
      </c>
      <c r="K235" s="1211">
        <v>80063.42266293893</v>
      </c>
      <c r="L235" s="1211">
        <v>77784.577244467611</v>
      </c>
      <c r="M235" s="1211">
        <v>76576.684123990926</v>
      </c>
      <c r="N235" s="1212">
        <v>89607.818912353207</v>
      </c>
      <c r="O235" s="1212">
        <v>85305.522149697907</v>
      </c>
      <c r="P235" s="1212">
        <v>82144.476741373859</v>
      </c>
      <c r="Q235" s="1212">
        <v>82214.461500797057</v>
      </c>
      <c r="R235" s="1212">
        <v>79712.324626444897</v>
      </c>
      <c r="S235" s="1212">
        <v>74944.267150559448</v>
      </c>
      <c r="T235" s="1212">
        <v>98342.319242787606</v>
      </c>
      <c r="U235" s="1212">
        <v>98563.31771628141</v>
      </c>
      <c r="V235" s="1212">
        <v>94822.546456499244</v>
      </c>
      <c r="W235" s="1212">
        <v>92961.927453127588</v>
      </c>
      <c r="X235" s="1212">
        <v>97073</v>
      </c>
      <c r="Y235" s="1212">
        <v>96076</v>
      </c>
      <c r="Z235" s="1212">
        <v>90284.816059248988</v>
      </c>
      <c r="AA235" s="1212">
        <v>80710.48716317692</v>
      </c>
      <c r="AB235" s="1212">
        <v>86225.014927326032</v>
      </c>
      <c r="AC235" s="1212">
        <v>90911.966899387015</v>
      </c>
      <c r="AD235" s="1212">
        <v>89335.097201636599</v>
      </c>
      <c r="AE235" s="1212">
        <v>86225.276942395125</v>
      </c>
      <c r="AF235" s="802">
        <v>84746.703257939895</v>
      </c>
      <c r="AG235" s="1212">
        <v>85195.590932926323</v>
      </c>
      <c r="AH235" s="802">
        <v>82235.338333460619</v>
      </c>
      <c r="AI235" s="1212">
        <v>75396.612008346667</v>
      </c>
      <c r="AJ235" s="802">
        <v>69389.595208443454</v>
      </c>
      <c r="AK235" s="1212">
        <v>74756.396269727731</v>
      </c>
      <c r="AL235" s="824"/>
      <c r="AM235" s="824"/>
      <c r="AN235" s="824"/>
      <c r="AO235" s="824"/>
      <c r="AP235" s="824"/>
      <c r="AQ235" s="824"/>
      <c r="AR235" s="111"/>
      <c r="AS235" s="111"/>
      <c r="AT235" s="111"/>
      <c r="AU235" s="111"/>
    </row>
    <row r="239" spans="2:57">
      <c r="C239" s="973"/>
      <c r="D239" s="973"/>
      <c r="E239" s="973"/>
      <c r="F239" s="973"/>
      <c r="G239" s="973"/>
      <c r="H239" s="973"/>
      <c r="I239" s="973"/>
      <c r="J239" s="973"/>
      <c r="K239" s="973"/>
      <c r="L239" s="973"/>
      <c r="M239" s="973"/>
      <c r="N239" s="867"/>
      <c r="O239" s="867"/>
      <c r="P239" s="867"/>
      <c r="Q239" s="867"/>
      <c r="R239" s="867"/>
      <c r="S239" s="867"/>
      <c r="T239" s="867"/>
      <c r="U239" s="867"/>
      <c r="V239" s="867"/>
      <c r="W239" s="867"/>
      <c r="X239" s="867"/>
      <c r="Y239" s="867"/>
      <c r="Z239" s="867"/>
      <c r="AA239" s="867"/>
      <c r="AB239" s="867"/>
      <c r="AC239" s="867"/>
      <c r="AD239" s="867"/>
      <c r="AE239" s="867"/>
      <c r="AF239" s="867"/>
      <c r="AG239" s="867"/>
      <c r="AH239" s="867"/>
      <c r="AI239" s="867"/>
      <c r="AJ239" s="867"/>
      <c r="AK239" s="867"/>
      <c r="AL239" s="867"/>
      <c r="AM239" s="867"/>
      <c r="AN239" s="867"/>
      <c r="AO239" s="867"/>
      <c r="AP239" s="867"/>
      <c r="AQ239" s="867"/>
      <c r="AR239" s="110"/>
      <c r="AV239" s="1248" t="s">
        <v>209</v>
      </c>
      <c r="AW239" s="1249"/>
      <c r="AX239" s="1249"/>
    </row>
    <row r="240" spans="2:57">
      <c r="C240" s="3"/>
      <c r="AF240" s="108"/>
      <c r="AG240" s="108"/>
      <c r="AH240" s="108"/>
      <c r="AI240" s="109" t="s">
        <v>425</v>
      </c>
      <c r="AJ240" s="109" t="s">
        <v>426</v>
      </c>
      <c r="AL240" s="109" t="s">
        <v>427</v>
      </c>
      <c r="AM240" s="109" t="s">
        <v>425</v>
      </c>
      <c r="AN240" s="109" t="s">
        <v>426</v>
      </c>
      <c r="AP240" s="108"/>
      <c r="AQ240" s="109" t="s">
        <v>427</v>
      </c>
      <c r="AR240" s="109" t="s">
        <v>425</v>
      </c>
      <c r="AS240" s="109" t="s">
        <v>426</v>
      </c>
      <c r="AT240" s="108"/>
      <c r="AU240" s="108" t="s">
        <v>428</v>
      </c>
      <c r="AV240" s="109" t="s">
        <v>427</v>
      </c>
      <c r="AW240" s="109" t="s">
        <v>425</v>
      </c>
      <c r="AX240" s="109" t="s">
        <v>426</v>
      </c>
    </row>
    <row r="241" spans="35:50">
      <c r="AI241" s="109" t="s">
        <v>429</v>
      </c>
      <c r="AJ241" s="109" t="s">
        <v>429</v>
      </c>
      <c r="AL241" s="109" t="s">
        <v>429</v>
      </c>
      <c r="AM241" s="109" t="s">
        <v>429</v>
      </c>
      <c r="AN241" s="109" t="s">
        <v>429</v>
      </c>
      <c r="AQ241" s="109" t="s">
        <v>429</v>
      </c>
      <c r="AR241" s="109" t="s">
        <v>429</v>
      </c>
      <c r="AS241" s="109" t="s">
        <v>429</v>
      </c>
      <c r="AU241" s="109" t="s">
        <v>116</v>
      </c>
      <c r="AV241" s="109" t="s">
        <v>429</v>
      </c>
      <c r="AW241" s="109" t="s">
        <v>429</v>
      </c>
      <c r="AX241" s="109" t="s">
        <v>429</v>
      </c>
    </row>
  </sheetData>
  <mergeCells count="1">
    <mergeCell ref="AV239:AX239"/>
  </mergeCells>
  <pageMargins left="0.7" right="0.7" top="0.75" bottom="0.75" header="0.3" footer="0.3"/>
  <pageSetup paperSize="9" orientation="portrait" r:id="rId1"/>
  <headerFooter>
    <oddFooter>&amp;C_x000D_&amp;1#&amp;"Aptos"&amp;10&amp;K000000 Barings-Corporate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D3CD-6DF9-4AD3-922F-AF13CAA00A16}">
  <dimension ref="B2:L12"/>
  <sheetViews>
    <sheetView showGridLines="0" workbookViewId="0">
      <pane xSplit="2" ySplit="6" topLeftCell="C7" activePane="bottomRight" state="frozen"/>
      <selection pane="topRight" activeCell="CA1" sqref="CA1"/>
      <selection pane="bottomLeft" activeCell="CA1" sqref="CA1"/>
      <selection pane="bottomRight" activeCell="CA1" sqref="CA1"/>
    </sheetView>
  </sheetViews>
  <sheetFormatPr defaultRowHeight="12.5"/>
  <cols>
    <col min="1" max="1" width="2.7265625" customWidth="1"/>
    <col min="2" max="2" width="50.7265625" customWidth="1"/>
    <col min="3" max="14" width="12.7265625" customWidth="1"/>
  </cols>
  <sheetData>
    <row r="2" spans="2:12" ht="21">
      <c r="B2" s="16" t="s">
        <v>111</v>
      </c>
      <c r="C2" s="18" t="s">
        <v>112</v>
      </c>
      <c r="D2" s="18" t="s">
        <v>112</v>
      </c>
      <c r="E2" s="18" t="s">
        <v>112</v>
      </c>
      <c r="F2" s="18" t="s">
        <v>112</v>
      </c>
      <c r="G2" s="21" t="s">
        <v>113</v>
      </c>
      <c r="I2" s="18" t="s">
        <v>114</v>
      </c>
      <c r="J2" s="18" t="s">
        <v>114</v>
      </c>
      <c r="K2" s="18" t="s">
        <v>114</v>
      </c>
      <c r="L2" s="18" t="s">
        <v>114</v>
      </c>
    </row>
    <row r="3" spans="2:12" ht="13">
      <c r="B3" s="19" t="s">
        <v>115</v>
      </c>
      <c r="C3" s="21">
        <v>45016</v>
      </c>
      <c r="D3" s="21">
        <v>45382</v>
      </c>
      <c r="E3" s="21">
        <v>45747</v>
      </c>
      <c r="F3" s="21">
        <v>46112</v>
      </c>
      <c r="G3" s="21">
        <f>L3</f>
        <v>46112</v>
      </c>
      <c r="I3" s="21">
        <v>45838</v>
      </c>
      <c r="J3" s="21">
        <v>45930</v>
      </c>
      <c r="K3" s="21">
        <v>46021</v>
      </c>
      <c r="L3" s="21">
        <v>46112</v>
      </c>
    </row>
    <row r="4" spans="2:12" ht="13">
      <c r="B4" s="19"/>
      <c r="C4" s="21" t="s">
        <v>116</v>
      </c>
      <c r="D4" s="21" t="s">
        <v>116</v>
      </c>
      <c r="E4" s="21" t="s">
        <v>116</v>
      </c>
      <c r="F4" s="21" t="s">
        <v>116</v>
      </c>
      <c r="G4" s="21" t="s">
        <v>116</v>
      </c>
      <c r="I4" s="21" t="s">
        <v>116</v>
      </c>
      <c r="J4" s="21" t="s">
        <v>116</v>
      </c>
      <c r="K4" s="21" t="s">
        <v>116</v>
      </c>
      <c r="L4" s="21" t="s">
        <v>116</v>
      </c>
    </row>
    <row r="5" spans="2:12" ht="13">
      <c r="B5" s="22"/>
      <c r="C5" s="23" t="s">
        <v>430</v>
      </c>
      <c r="D5" s="23" t="s">
        <v>430</v>
      </c>
      <c r="E5" s="23" t="s">
        <v>430</v>
      </c>
      <c r="F5" s="23" t="s">
        <v>430</v>
      </c>
      <c r="G5" s="1168" t="s">
        <v>113</v>
      </c>
      <c r="H5" s="23"/>
      <c r="I5" s="23" t="s">
        <v>133</v>
      </c>
      <c r="J5" s="23" t="s">
        <v>134</v>
      </c>
      <c r="K5" s="23" t="s">
        <v>135</v>
      </c>
      <c r="L5" s="1168" t="s">
        <v>136</v>
      </c>
    </row>
    <row r="6" spans="2:12" ht="13">
      <c r="B6" s="19"/>
      <c r="C6" s="1170"/>
      <c r="D6" s="1170"/>
      <c r="E6" s="1170"/>
      <c r="F6" s="1170"/>
      <c r="G6" s="1170"/>
      <c r="I6" s="1170"/>
      <c r="J6" s="1170"/>
      <c r="K6" s="1170"/>
      <c r="L6" s="1170"/>
    </row>
    <row r="8" spans="2:12" ht="13">
      <c r="B8" s="20" t="s">
        <v>431</v>
      </c>
      <c r="C8" s="1171">
        <v>722101</v>
      </c>
      <c r="D8" s="1171">
        <v>797272</v>
      </c>
      <c r="E8" s="1171">
        <v>947329</v>
      </c>
      <c r="F8" s="1171">
        <v>1224918</v>
      </c>
      <c r="G8" s="1157">
        <f>SUM(I8:L8)</f>
        <v>1224918</v>
      </c>
      <c r="I8" s="1171">
        <v>283475</v>
      </c>
      <c r="J8" s="1171">
        <v>302891</v>
      </c>
      <c r="K8" s="1171">
        <v>314851</v>
      </c>
      <c r="L8" s="1157">
        <f>F8-SUM(I8:K8)</f>
        <v>323701</v>
      </c>
    </row>
    <row r="9" spans="2:12" ht="13">
      <c r="B9" s="17" t="s">
        <v>432</v>
      </c>
      <c r="C9" s="105">
        <v>783</v>
      </c>
      <c r="D9" s="105">
        <v>3699</v>
      </c>
      <c r="E9" s="105">
        <v>3558</v>
      </c>
      <c r="F9" s="105">
        <v>4572</v>
      </c>
      <c r="G9" s="1155">
        <f>SUM(I9:L9)</f>
        <v>4572</v>
      </c>
      <c r="I9" s="105">
        <v>810</v>
      </c>
      <c r="J9" s="105">
        <v>676</v>
      </c>
      <c r="K9" s="105">
        <v>698</v>
      </c>
      <c r="L9" s="1155">
        <f>F9-SUM(I9:K9)</f>
        <v>2388</v>
      </c>
    </row>
    <row r="10" spans="2:12" ht="13">
      <c r="B10" s="17" t="s">
        <v>433</v>
      </c>
      <c r="C10" s="105">
        <v>-5554</v>
      </c>
      <c r="D10" s="105">
        <v>-20424</v>
      </c>
      <c r="E10" s="105">
        <v>-9021</v>
      </c>
      <c r="F10" s="105">
        <v>-16814</v>
      </c>
      <c r="G10" s="1155">
        <f>SUM(I10:L10)</f>
        <v>-16814</v>
      </c>
      <c r="I10" s="105">
        <v>-2617</v>
      </c>
      <c r="J10" s="105">
        <v>-4376</v>
      </c>
      <c r="K10" s="105">
        <v>-4113</v>
      </c>
      <c r="L10" s="1155">
        <f>F10-SUM(I10:K10)</f>
        <v>-5708</v>
      </c>
    </row>
    <row r="11" spans="2:12" ht="13">
      <c r="B11" s="17" t="s">
        <v>434</v>
      </c>
      <c r="C11" s="105">
        <v>0</v>
      </c>
      <c r="D11" s="105">
        <v>108517</v>
      </c>
      <c r="E11" s="105">
        <v>108128</v>
      </c>
      <c r="F11" s="105">
        <v>0</v>
      </c>
      <c r="G11" s="1155">
        <f>SUM(I11:L11)</f>
        <v>0</v>
      </c>
      <c r="I11" s="105">
        <v>0</v>
      </c>
      <c r="J11" s="105">
        <v>0</v>
      </c>
      <c r="K11" s="105">
        <v>0</v>
      </c>
      <c r="L11" s="1155">
        <f>F11-SUM(I11:K11)</f>
        <v>0</v>
      </c>
    </row>
    <row r="12" spans="2:12" ht="13">
      <c r="B12" s="20" t="s">
        <v>209</v>
      </c>
      <c r="C12" s="34">
        <f>SUM(C8:C11)</f>
        <v>717330</v>
      </c>
      <c r="D12" s="34">
        <f>SUM(D8:D11)</f>
        <v>889064</v>
      </c>
      <c r="E12" s="34">
        <f>SUM(E8:E11)</f>
        <v>1049994</v>
      </c>
      <c r="F12" s="34">
        <f>SUM(F8:F11)</f>
        <v>1212676</v>
      </c>
      <c r="G12" s="34">
        <f>SUM(G8:G11)</f>
        <v>1212676</v>
      </c>
      <c r="I12" s="34">
        <f>SUM(I8:I11)</f>
        <v>281668</v>
      </c>
      <c r="J12" s="34">
        <f>SUM(J8:J11)</f>
        <v>299191</v>
      </c>
      <c r="K12" s="34">
        <f>SUM(K8:K11)</f>
        <v>311436</v>
      </c>
      <c r="L12" s="34">
        <f>SUM(L8:L11)</f>
        <v>320381</v>
      </c>
    </row>
  </sheetData>
  <pageMargins left="0.7" right="0.7" top="0.75" bottom="0.75" header="0.3" footer="0.3"/>
  <headerFooter>
    <oddFooter>&amp;C_x000D_&amp;1#&amp;"Aptos"&amp;10&amp;K000000 Barings-Corporate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67DEC-07B9-42A1-AB4D-89C0A25A8F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28AD97-94EB-4CE6-86F4-A99F4184F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3d72f-12a9-4590-815a-2b1f92f4a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Capital Structure</vt:lpstr>
      <vt:lpstr>Model </vt:lpstr>
      <vt:lpstr>KPIs</vt:lpstr>
      <vt:lpstr>EBITDA</vt:lpstr>
    </vt:vector>
  </TitlesOfParts>
  <Manager/>
  <Company>MassMutual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Kumar, Gunjan</cp:lastModifiedBy>
  <cp:revision/>
  <dcterms:created xsi:type="dcterms:W3CDTF">2008-03-12T15:44:19Z</dcterms:created>
  <dcterms:modified xsi:type="dcterms:W3CDTF">2026-08-24T14:36:51Z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{C223853F-F5BD-403F-98B1-0863C12C03B5}</vt:lpwstr>
  </property>
  <property fmtid="{D5CDD505-2E9C-101B-9397-08002B2CF9AE}" pid="3" name="WorkbookGuid">
    <vt:lpwstr>45a12408-c9f7-45a4-abc6-96c4222548b0</vt:lpwstr>
  </property>
  <property fmtid="{D5CDD505-2E9C-101B-9397-08002B2CF9AE}" pid="4" name="MSIP_Label_e23aaa83-1940-48a9-a4d6-4a193a1929ec_Enabled">
    <vt:lpwstr>true</vt:lpwstr>
  </property>
  <property fmtid="{D5CDD505-2E9C-101B-9397-08002B2CF9AE}" pid="5" name="MSIP_Label_e23aaa83-1940-48a9-a4d6-4a193a1929ec_SetDate">
    <vt:lpwstr>2026-08-24T14:36:50Z</vt:lpwstr>
  </property>
  <property fmtid="{D5CDD505-2E9C-101B-9397-08002B2CF9AE}" pid="6" name="MSIP_Label_e23aaa83-1940-48a9-a4d6-4a193a1929ec_Method">
    <vt:lpwstr>Standard</vt:lpwstr>
  </property>
  <property fmtid="{D5CDD505-2E9C-101B-9397-08002B2CF9AE}" pid="7" name="MSIP_Label_e23aaa83-1940-48a9-a4d6-4a193a1929ec_Name">
    <vt:lpwstr>Corporate</vt:lpwstr>
  </property>
  <property fmtid="{D5CDD505-2E9C-101B-9397-08002B2CF9AE}" pid="8" name="MSIP_Label_e23aaa83-1940-48a9-a4d6-4a193a1929ec_SiteId">
    <vt:lpwstr>ce78e7b0-e32a-4428-9390-1c2ec8a59c47</vt:lpwstr>
  </property>
  <property fmtid="{D5CDD505-2E9C-101B-9397-08002B2CF9AE}" pid="9" name="MSIP_Label_e23aaa83-1940-48a9-a4d6-4a193a1929ec_ActionId">
    <vt:lpwstr>620966b7-844c-45d9-ae17-334c95098626</vt:lpwstr>
  </property>
  <property fmtid="{D5CDD505-2E9C-101B-9397-08002B2CF9AE}" pid="10" name="MSIP_Label_e23aaa83-1940-48a9-a4d6-4a193a1929ec_ContentBits">
    <vt:lpwstr>2</vt:lpwstr>
  </property>
  <property fmtid="{D5CDD505-2E9C-101B-9397-08002B2CF9AE}" pid="11" name="MSIP_Label_e23aaa83-1940-48a9-a4d6-4a193a1929ec_Tag">
    <vt:lpwstr>10, 3, 0, 1</vt:lpwstr>
  </property>
</Properties>
</file>