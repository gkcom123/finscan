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Project\finscan\inbox\GlobalTelecom\"/>
    </mc:Choice>
  </mc:AlternateContent>
  <xr:revisionPtr revIDLastSave="0" documentId="13_ncr:1_{A04020B6-6079-42DA-8733-23B9A15BD7F3}" xr6:coauthVersionLast="47" xr6:coauthVersionMax="47" xr10:uidLastSave="{00000000-0000-0000-0000-000000000000}"/>
  <bookViews>
    <workbookView xWindow="39990" yWindow="3990" windowWidth="38700" windowHeight="15225" activeTab="1" xr2:uid="{00000000-000D-0000-FFFF-FFFF00000000}"/>
  </bookViews>
  <sheets>
    <sheet name="Capitalization" sheetId="3" r:id="rId1"/>
    <sheet name="Model" sheetId="1" r:id="rId2"/>
    <sheet name="KPI" sheetId="2" r:id="rId3"/>
    <sheet name="Adjusted EBITDA" sheetId="5" r:id="rId4"/>
    <sheet name="Sheet1" sheetId="4" state="hidden" r:id="rId5"/>
  </sheets>
  <externalReferences>
    <externalReference r:id="rId6"/>
  </externalReferences>
  <definedNames>
    <definedName name="CIQWBGuid" hidden="1">"aad441c4-a272-42f7-b4a2-69e026e632e3"</definedName>
    <definedName name="CIQWBInfo" hidden="1">"{ ""CIQVersion"":""9.45.614.5792"" }"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K4" i="3"/>
  <c r="K3" i="3"/>
  <c r="D50" i="3" s="1"/>
  <c r="C22" i="3"/>
  <c r="C20" i="3"/>
  <c r="K10" i="3" s="1"/>
  <c r="K8" i="3"/>
  <c r="K9" i="3" s="1"/>
  <c r="C52" i="3"/>
  <c r="D46" i="3"/>
  <c r="C46" i="3"/>
  <c r="D35" i="3"/>
  <c r="C35" i="3"/>
  <c r="C31" i="3"/>
  <c r="D28" i="3"/>
  <c r="C28" i="3"/>
  <c r="C14" i="3"/>
  <c r="C54" i="3" s="1"/>
  <c r="C55" i="3" s="1"/>
  <c r="N6" i="3"/>
  <c r="M6" i="3"/>
  <c r="L6" i="3"/>
  <c r="K6" i="3"/>
  <c r="J6" i="3"/>
  <c r="M90" i="2"/>
  <c r="M89" i="2"/>
  <c r="M87" i="2"/>
  <c r="M84" i="2"/>
  <c r="M83" i="2"/>
  <c r="M81" i="2"/>
  <c r="M78" i="2"/>
  <c r="M77" i="2"/>
  <c r="M75" i="2"/>
  <c r="M72" i="2"/>
  <c r="M71" i="2"/>
  <c r="M69" i="2"/>
  <c r="M64" i="2"/>
  <c r="M63" i="2"/>
  <c r="M59" i="2"/>
  <c r="M58" i="2"/>
  <c r="M57" i="2"/>
  <c r="M53" i="2"/>
  <c r="M52" i="2"/>
  <c r="M51" i="2"/>
  <c r="M40" i="2"/>
  <c r="M38" i="2"/>
  <c r="M39" i="2"/>
  <c r="M27" i="2"/>
  <c r="M26" i="2"/>
  <c r="M24" i="2"/>
  <c r="M23" i="2"/>
  <c r="M22" i="2"/>
  <c r="M21" i="2"/>
  <c r="M20" i="2"/>
  <c r="M19" i="2"/>
  <c r="M16" i="2"/>
  <c r="M15" i="2"/>
  <c r="M14" i="2"/>
  <c r="M13" i="2"/>
  <c r="M12" i="2"/>
  <c r="M11" i="2"/>
  <c r="M3" i="2"/>
  <c r="K61" i="3"/>
  <c r="AR72" i="1"/>
  <c r="C79" i="3"/>
  <c r="C77" i="3"/>
  <c r="C75" i="3"/>
  <c r="C109" i="3"/>
  <c r="D103" i="3"/>
  <c r="C103" i="3"/>
  <c r="D92" i="3"/>
  <c r="C92" i="3"/>
  <c r="C88" i="3"/>
  <c r="D85" i="3"/>
  <c r="C85" i="3"/>
  <c r="C71" i="3"/>
  <c r="C111" i="3" s="1"/>
  <c r="N63" i="3"/>
  <c r="M63" i="3"/>
  <c r="L63" i="3"/>
  <c r="K63" i="3"/>
  <c r="J63" i="3"/>
  <c r="AU76" i="2"/>
  <c r="AU74" i="2" s="1"/>
  <c r="AU70" i="2"/>
  <c r="AU68" i="2" s="1"/>
  <c r="AU65" i="2"/>
  <c r="AU60" i="2"/>
  <c r="AU54" i="2"/>
  <c r="AU41" i="2"/>
  <c r="AU25" i="2"/>
  <c r="AU47" i="2" s="1"/>
  <c r="AU17" i="2"/>
  <c r="AU46" i="2" s="1"/>
  <c r="AU9" i="2"/>
  <c r="K60" i="3"/>
  <c r="L119" i="1"/>
  <c r="AU95" i="1"/>
  <c r="AU70" i="1"/>
  <c r="AU175" i="1" s="1"/>
  <c r="AU233" i="1" s="1"/>
  <c r="AU71" i="1"/>
  <c r="AU176" i="1" s="1"/>
  <c r="AU234" i="1" s="1"/>
  <c r="AU69" i="1"/>
  <c r="AU174" i="1" s="1"/>
  <c r="AU232" i="1" s="1"/>
  <c r="AU66" i="1"/>
  <c r="AU45" i="1" s="1"/>
  <c r="AU62" i="1"/>
  <c r="AU167" i="1" s="1"/>
  <c r="AU225" i="1" s="1"/>
  <c r="AU204" i="1"/>
  <c r="AU216" i="1" s="1"/>
  <c r="AU203" i="1"/>
  <c r="AU215" i="1" s="1"/>
  <c r="AU179" i="1"/>
  <c r="AU237" i="1" s="1"/>
  <c r="AU177" i="1"/>
  <c r="AU235" i="1" s="1"/>
  <c r="AU172" i="1"/>
  <c r="AU230" i="1" s="1"/>
  <c r="AU169" i="1"/>
  <c r="AU227" i="1" s="1"/>
  <c r="AU168" i="1"/>
  <c r="AU226" i="1" s="1"/>
  <c r="AU162" i="1"/>
  <c r="AU158" i="1"/>
  <c r="AU157" i="1"/>
  <c r="AU152" i="1"/>
  <c r="AU147" i="1"/>
  <c r="AU146" i="1"/>
  <c r="AU131" i="1"/>
  <c r="AU118" i="1"/>
  <c r="AU117" i="1"/>
  <c r="AU114" i="1"/>
  <c r="AU109" i="1"/>
  <c r="AU102" i="1"/>
  <c r="AU99" i="1"/>
  <c r="AU61" i="1"/>
  <c r="AU57" i="1"/>
  <c r="AU48" i="1"/>
  <c r="AU60" i="1" s="1"/>
  <c r="AU82" i="1" s="1"/>
  <c r="AU93" i="1" s="1"/>
  <c r="AU38" i="1"/>
  <c r="AU37" i="1"/>
  <c r="AU36" i="1"/>
  <c r="AU10" i="1"/>
  <c r="AU8" i="1"/>
  <c r="D22" i="3" l="1"/>
  <c r="D29" i="3"/>
  <c r="D30" i="3"/>
  <c r="C32" i="3"/>
  <c r="D18" i="3"/>
  <c r="C17" i="3"/>
  <c r="A11" i="3" s="1"/>
  <c r="K11" i="3"/>
  <c r="D51" i="3"/>
  <c r="D8" i="3"/>
  <c r="D10" i="3"/>
  <c r="D12" i="3"/>
  <c r="D16" i="3"/>
  <c r="C38" i="3"/>
  <c r="C53" i="3"/>
  <c r="D53" i="3" s="1"/>
  <c r="L7" i="3"/>
  <c r="D37" i="3"/>
  <c r="D40" i="3"/>
  <c r="D47" i="3"/>
  <c r="L10" i="3"/>
  <c r="D20" i="3"/>
  <c r="D48" i="3"/>
  <c r="D9" i="3"/>
  <c r="D13" i="3"/>
  <c r="C42" i="3"/>
  <c r="D42" i="3" s="1"/>
  <c r="D49" i="3"/>
  <c r="D15" i="3"/>
  <c r="L8" i="3"/>
  <c r="C41" i="3"/>
  <c r="D87" i="3"/>
  <c r="D86" i="3"/>
  <c r="AU120" i="1"/>
  <c r="AU151" i="1" s="1"/>
  <c r="AU208" i="1" s="1"/>
  <c r="D72" i="3"/>
  <c r="D65" i="3"/>
  <c r="D73" i="3"/>
  <c r="D79" i="3"/>
  <c r="L64" i="3"/>
  <c r="C74" i="3"/>
  <c r="C76" i="3" s="1"/>
  <c r="C99" i="3"/>
  <c r="D99" i="3" s="1"/>
  <c r="C89" i="3"/>
  <c r="K67" i="3"/>
  <c r="L67" i="3" s="1"/>
  <c r="D77" i="3"/>
  <c r="D75" i="3"/>
  <c r="K65" i="3"/>
  <c r="C112" i="3"/>
  <c r="C110" i="3"/>
  <c r="D110" i="3" s="1"/>
  <c r="C98" i="3"/>
  <c r="C95" i="3"/>
  <c r="D94" i="3"/>
  <c r="D70" i="3"/>
  <c r="D69" i="3"/>
  <c r="D67" i="3"/>
  <c r="D66" i="3"/>
  <c r="D108" i="3"/>
  <c r="D106" i="3"/>
  <c r="D105" i="3"/>
  <c r="D104" i="3"/>
  <c r="D97" i="3"/>
  <c r="D107" i="3"/>
  <c r="AU42" i="2"/>
  <c r="AU28" i="2"/>
  <c r="AU45" i="2"/>
  <c r="AU209" i="1"/>
  <c r="AU171" i="1"/>
  <c r="AU229" i="1" s="1"/>
  <c r="AU46" i="1"/>
  <c r="AU249" i="1"/>
  <c r="AU248" i="1"/>
  <c r="AU245" i="1"/>
  <c r="AU160" i="1"/>
  <c r="AU164" i="1" s="1"/>
  <c r="AU103" i="1"/>
  <c r="AU58" i="1"/>
  <c r="AU220" i="1"/>
  <c r="AU166" i="1"/>
  <c r="AU65" i="1"/>
  <c r="AU68" i="1" s="1"/>
  <c r="AU23" i="1"/>
  <c r="C129" i="3"/>
  <c r="C168" i="3" s="1"/>
  <c r="C133" i="3"/>
  <c r="C166" i="3"/>
  <c r="D160" i="3"/>
  <c r="C160" i="3"/>
  <c r="D149" i="3"/>
  <c r="C149" i="3"/>
  <c r="C145" i="3"/>
  <c r="C156" i="3" s="1"/>
  <c r="D142" i="3"/>
  <c r="C142" i="3"/>
  <c r="N121" i="3"/>
  <c r="M121" i="3"/>
  <c r="L121" i="3"/>
  <c r="K121" i="3"/>
  <c r="J121" i="3"/>
  <c r="E14" i="5"/>
  <c r="E25" i="5" s="1"/>
  <c r="E10" i="5"/>
  <c r="AT78" i="2"/>
  <c r="AT77" i="2"/>
  <c r="AT75" i="2"/>
  <c r="AT72" i="2"/>
  <c r="AT71" i="2"/>
  <c r="AT70" i="2" s="1"/>
  <c r="AT69" i="2"/>
  <c r="AT64" i="2"/>
  <c r="AT63" i="2"/>
  <c r="AT59" i="2"/>
  <c r="AT58" i="2"/>
  <c r="AT57" i="2"/>
  <c r="AT53" i="2"/>
  <c r="AT52" i="2"/>
  <c r="AT51" i="2"/>
  <c r="L76" i="2"/>
  <c r="L74" i="2" s="1"/>
  <c r="L70" i="2"/>
  <c r="L68" i="2" s="1"/>
  <c r="L65" i="2"/>
  <c r="L60" i="2"/>
  <c r="L54" i="2"/>
  <c r="L41" i="2"/>
  <c r="L42" i="2" s="1"/>
  <c r="L25" i="2"/>
  <c r="L47" i="2" s="1"/>
  <c r="L17" i="2"/>
  <c r="L46" i="2" s="1"/>
  <c r="L9" i="2"/>
  <c r="K118" i="3"/>
  <c r="D164" i="3" s="1"/>
  <c r="L201" i="1"/>
  <c r="L200" i="1"/>
  <c r="AT127" i="1"/>
  <c r="AT122" i="1"/>
  <c r="AT113" i="1"/>
  <c r="AT249" i="1" s="1"/>
  <c r="AT112" i="1"/>
  <c r="AT108" i="1"/>
  <c r="AT107" i="1"/>
  <c r="AT98" i="1"/>
  <c r="AT97" i="1"/>
  <c r="AT96" i="1"/>
  <c r="L95" i="1"/>
  <c r="AT95" i="1" s="1"/>
  <c r="L71" i="1"/>
  <c r="L70" i="1"/>
  <c r="L72" i="1"/>
  <c r="L177" i="1" s="1"/>
  <c r="L69" i="1"/>
  <c r="L174" i="1" s="1"/>
  <c r="L66" i="1"/>
  <c r="L67" i="1"/>
  <c r="L172" i="1" s="1"/>
  <c r="L62" i="1"/>
  <c r="L18" i="1"/>
  <c r="AT204" i="1"/>
  <c r="AT216" i="1" s="1"/>
  <c r="AT203" i="1"/>
  <c r="AT215" i="1" s="1"/>
  <c r="AT158" i="1"/>
  <c r="AT157" i="1"/>
  <c r="AT147" i="1"/>
  <c r="AT146" i="1"/>
  <c r="AT131" i="1"/>
  <c r="AT48" i="1"/>
  <c r="AT60" i="1" s="1"/>
  <c r="AT82" i="1" s="1"/>
  <c r="AT93" i="1" s="1"/>
  <c r="L204" i="1"/>
  <c r="L216" i="1" s="1"/>
  <c r="L203" i="1"/>
  <c r="L215" i="1" s="1"/>
  <c r="L179" i="1"/>
  <c r="L169" i="1"/>
  <c r="L168" i="1"/>
  <c r="L162" i="1"/>
  <c r="L158" i="1"/>
  <c r="L157" i="1"/>
  <c r="L152" i="1"/>
  <c r="L147" i="1"/>
  <c r="L146" i="1"/>
  <c r="L131" i="1"/>
  <c r="L118" i="1"/>
  <c r="L117" i="1"/>
  <c r="L114" i="1"/>
  <c r="L109" i="1"/>
  <c r="L99" i="1"/>
  <c r="L88" i="1"/>
  <c r="L87" i="1"/>
  <c r="L187" i="1" s="1"/>
  <c r="L61" i="1"/>
  <c r="L166" i="1" s="1"/>
  <c r="L57" i="1"/>
  <c r="L48" i="1"/>
  <c r="L60" i="1" s="1"/>
  <c r="L82" i="1" s="1"/>
  <c r="L93" i="1" s="1"/>
  <c r="L38" i="1"/>
  <c r="L37" i="1"/>
  <c r="L10" i="1"/>
  <c r="L103" i="1" s="1"/>
  <c r="L8" i="1"/>
  <c r="C193" i="3"/>
  <c r="C191" i="3"/>
  <c r="C189" i="3"/>
  <c r="K180" i="3" s="1"/>
  <c r="C220" i="3"/>
  <c r="D214" i="3"/>
  <c r="C214" i="3"/>
  <c r="D203" i="3"/>
  <c r="C203" i="3"/>
  <c r="C201" i="3"/>
  <c r="C210" i="3" s="1"/>
  <c r="D198" i="3"/>
  <c r="C198" i="3"/>
  <c r="C185" i="3"/>
  <c r="C188" i="3" s="1"/>
  <c r="N178" i="3"/>
  <c r="M178" i="3"/>
  <c r="L178" i="3"/>
  <c r="K178" i="3"/>
  <c r="J178" i="3"/>
  <c r="AS76" i="2"/>
  <c r="AS74" i="2" s="1"/>
  <c r="AS70" i="2"/>
  <c r="AS68" i="2" s="1"/>
  <c r="AS65" i="2"/>
  <c r="AS60" i="2"/>
  <c r="AS54" i="2"/>
  <c r="K228" i="3"/>
  <c r="AS95" i="1"/>
  <c r="AR70" i="1"/>
  <c r="AR63" i="1"/>
  <c r="AS249" i="1"/>
  <c r="AS248" i="1"/>
  <c r="AS245" i="1"/>
  <c r="AS204" i="1"/>
  <c r="AS216" i="1" s="1"/>
  <c r="AS203" i="1"/>
  <c r="AS215" i="1" s="1"/>
  <c r="AS158" i="1"/>
  <c r="AS157" i="1"/>
  <c r="AS152" i="1"/>
  <c r="AS209" i="1" s="1"/>
  <c r="AS147" i="1"/>
  <c r="AS146" i="1"/>
  <c r="AS131" i="1"/>
  <c r="AS118" i="1"/>
  <c r="AS117" i="1"/>
  <c r="AS114" i="1"/>
  <c r="AS109" i="1"/>
  <c r="AS102" i="1"/>
  <c r="AS99" i="1"/>
  <c r="AS48" i="1"/>
  <c r="AS60" i="1" s="1"/>
  <c r="AS82" i="1" s="1"/>
  <c r="AS93" i="1" s="1"/>
  <c r="AS38" i="1"/>
  <c r="AS37" i="1"/>
  <c r="AS36" i="1"/>
  <c r="AS10" i="1"/>
  <c r="AS8" i="1"/>
  <c r="J232" i="3"/>
  <c r="L232" i="3"/>
  <c r="K232" i="3"/>
  <c r="N232" i="3"/>
  <c r="M232" i="3"/>
  <c r="D268" i="3"/>
  <c r="C268" i="3"/>
  <c r="C274" i="3"/>
  <c r="D257" i="3"/>
  <c r="C257" i="3"/>
  <c r="D252" i="3"/>
  <c r="C252" i="3"/>
  <c r="C255" i="3"/>
  <c r="C264" i="3" s="1"/>
  <c r="C247" i="3"/>
  <c r="C245" i="3"/>
  <c r="K236" i="3" s="1"/>
  <c r="C243" i="3"/>
  <c r="C239" i="3"/>
  <c r="C242" i="3" s="1"/>
  <c r="A233" i="3" s="1"/>
  <c r="AR40" i="2"/>
  <c r="AR39" i="2"/>
  <c r="AR38" i="2"/>
  <c r="AR27" i="2"/>
  <c r="AR26" i="2"/>
  <c r="AR24" i="2"/>
  <c r="AR22" i="2"/>
  <c r="AR20" i="2"/>
  <c r="AR19" i="2"/>
  <c r="AR16" i="2"/>
  <c r="AR15" i="2"/>
  <c r="AR14" i="2"/>
  <c r="AR13" i="2"/>
  <c r="AR12" i="2"/>
  <c r="AR11" i="2"/>
  <c r="AR76" i="2"/>
  <c r="AR74" i="2" s="1"/>
  <c r="AR70" i="2"/>
  <c r="AR68" i="2" s="1"/>
  <c r="AR65" i="2"/>
  <c r="AR60" i="2"/>
  <c r="AR54" i="2"/>
  <c r="AR23" i="2"/>
  <c r="AR21" i="2"/>
  <c r="D31" i="3" l="1"/>
  <c r="A15" i="3"/>
  <c r="D43" i="3"/>
  <c r="D52" i="3"/>
  <c r="D54" i="3" s="1"/>
  <c r="A7" i="3"/>
  <c r="C19" i="3"/>
  <c r="C25" i="3" s="1"/>
  <c r="D14" i="3"/>
  <c r="D17" i="3" s="1"/>
  <c r="D19" i="3" s="1"/>
  <c r="L9" i="3"/>
  <c r="A72" i="3"/>
  <c r="A64" i="3"/>
  <c r="C43" i="3"/>
  <c r="A68" i="3"/>
  <c r="AU128" i="1"/>
  <c r="C82" i="3"/>
  <c r="AU124" i="1"/>
  <c r="AU184" i="1" s="1"/>
  <c r="AU242" i="1" s="1"/>
  <c r="AU218" i="1"/>
  <c r="AU123" i="1"/>
  <c r="L230" i="1"/>
  <c r="L232" i="1"/>
  <c r="AS23" i="1"/>
  <c r="AS26" i="1" s="1"/>
  <c r="D71" i="3"/>
  <c r="D74" i="3" s="1"/>
  <c r="D76" i="3" s="1"/>
  <c r="D78" i="3" s="1"/>
  <c r="AU250" i="1"/>
  <c r="C100" i="3"/>
  <c r="D100" i="3"/>
  <c r="D109" i="3"/>
  <c r="D111" i="3" s="1"/>
  <c r="L65" i="3"/>
  <c r="L66" i="3" s="1"/>
  <c r="K66" i="3"/>
  <c r="C78" i="3"/>
  <c r="AT68" i="2"/>
  <c r="AT54" i="2"/>
  <c r="AS40" i="2"/>
  <c r="AT40" i="2" s="1"/>
  <c r="AS39" i="2"/>
  <c r="AT39" i="2"/>
  <c r="AS38" i="2"/>
  <c r="AT38" i="2"/>
  <c r="AS27" i="2"/>
  <c r="AT27" i="2"/>
  <c r="AS26" i="2"/>
  <c r="AT26" i="2"/>
  <c r="AS24" i="2"/>
  <c r="AT24" i="2"/>
  <c r="AS20" i="2"/>
  <c r="AS19" i="2"/>
  <c r="AT19" i="2" s="1"/>
  <c r="AS16" i="2"/>
  <c r="AT16" i="2"/>
  <c r="AS15" i="2"/>
  <c r="AT15" i="2" s="1"/>
  <c r="AS14" i="2"/>
  <c r="AT14" i="2"/>
  <c r="AS13" i="2"/>
  <c r="AT13" i="2"/>
  <c r="AS12" i="2"/>
  <c r="AT12" i="2"/>
  <c r="AS11" i="2"/>
  <c r="AT11" i="2"/>
  <c r="AS23" i="2"/>
  <c r="AT23" i="2"/>
  <c r="AS21" i="2"/>
  <c r="AT21" i="2"/>
  <c r="AU33" i="2"/>
  <c r="AU29" i="2"/>
  <c r="AU34" i="2"/>
  <c r="AT60" i="2"/>
  <c r="AU48" i="2"/>
  <c r="AU32" i="2"/>
  <c r="AT20" i="2"/>
  <c r="AS70" i="1"/>
  <c r="AT70" i="1" s="1"/>
  <c r="AS63" i="1"/>
  <c r="AT248" i="1"/>
  <c r="AT250" i="1" s="1"/>
  <c r="AU222" i="1"/>
  <c r="AU185" i="1"/>
  <c r="AU243" i="1" s="1"/>
  <c r="AU144" i="1"/>
  <c r="AU198" i="1" s="1"/>
  <c r="AU153" i="1"/>
  <c r="AU210" i="1" s="1"/>
  <c r="AU170" i="1"/>
  <c r="AU228" i="1" s="1"/>
  <c r="AU224" i="1"/>
  <c r="AU73" i="1"/>
  <c r="AU74" i="1" s="1"/>
  <c r="AU173" i="1"/>
  <c r="AU231" i="1" s="1"/>
  <c r="AU24" i="1"/>
  <c r="AU26" i="1"/>
  <c r="AU39" i="1"/>
  <c r="AU49" i="1"/>
  <c r="AU51" i="1" s="1"/>
  <c r="K229" i="3"/>
  <c r="K119" i="3"/>
  <c r="AT245" i="1"/>
  <c r="C137" i="3"/>
  <c r="D137" i="3" s="1"/>
  <c r="C135" i="3"/>
  <c r="L176" i="1"/>
  <c r="L234" i="1" s="1"/>
  <c r="L175" i="1"/>
  <c r="L233" i="1" s="1"/>
  <c r="L90" i="1"/>
  <c r="L141" i="1" s="1"/>
  <c r="L195" i="1" s="1"/>
  <c r="L102" i="1"/>
  <c r="L36" i="1"/>
  <c r="D133" i="3"/>
  <c r="D125" i="3"/>
  <c r="K123" i="3"/>
  <c r="L123" i="3" s="1"/>
  <c r="D123" i="3"/>
  <c r="C155" i="3"/>
  <c r="D127" i="3"/>
  <c r="D128" i="3"/>
  <c r="D162" i="3"/>
  <c r="D165" i="3"/>
  <c r="D124" i="3"/>
  <c r="D156" i="3"/>
  <c r="C169" i="3"/>
  <c r="C167" i="3"/>
  <c r="D167" i="3" s="1"/>
  <c r="D151" i="3"/>
  <c r="D130" i="3"/>
  <c r="C152" i="3"/>
  <c r="L122" i="3"/>
  <c r="D131" i="3"/>
  <c r="D154" i="3"/>
  <c r="D161" i="3"/>
  <c r="C132" i="3"/>
  <c r="D163" i="3"/>
  <c r="AT76" i="2"/>
  <c r="AT74" i="2" s="1"/>
  <c r="AT65" i="2"/>
  <c r="AS22" i="2"/>
  <c r="L28" i="2"/>
  <c r="L32" i="2" s="1"/>
  <c r="L45" i="2"/>
  <c r="L237" i="1"/>
  <c r="L134" i="1"/>
  <c r="L190" i="1" s="1"/>
  <c r="L149" i="1"/>
  <c r="L206" i="1" s="1"/>
  <c r="L235" i="1"/>
  <c r="L45" i="1"/>
  <c r="L46" i="1"/>
  <c r="AT99" i="1"/>
  <c r="L224" i="1"/>
  <c r="L252" i="1" s="1"/>
  <c r="L226" i="1"/>
  <c r="L65" i="1"/>
  <c r="L68" i="1" s="1"/>
  <c r="L173" i="1" s="1"/>
  <c r="L231" i="1" s="1"/>
  <c r="L227" i="1"/>
  <c r="L80" i="1"/>
  <c r="L23" i="1"/>
  <c r="L85" i="1" s="1"/>
  <c r="L58" i="1"/>
  <c r="L84" i="1"/>
  <c r="L148" i="1" s="1"/>
  <c r="L205" i="1" s="1"/>
  <c r="L120" i="1"/>
  <c r="L124" i="1" s="1"/>
  <c r="AT114" i="1"/>
  <c r="L160" i="1"/>
  <c r="L43" i="1"/>
  <c r="L142" i="1"/>
  <c r="L196" i="1" s="1"/>
  <c r="L171" i="1"/>
  <c r="L229" i="1" s="1"/>
  <c r="L133" i="1"/>
  <c r="L189" i="1" s="1"/>
  <c r="L167" i="1"/>
  <c r="L220" i="1"/>
  <c r="D272" i="3"/>
  <c r="D253" i="3"/>
  <c r="D254" i="3"/>
  <c r="AS120" i="1"/>
  <c r="AS128" i="1" s="1"/>
  <c r="K175" i="3"/>
  <c r="K176" i="3"/>
  <c r="AS250" i="1"/>
  <c r="K181" i="3"/>
  <c r="A182" i="3"/>
  <c r="A179" i="3"/>
  <c r="A186" i="3"/>
  <c r="C190" i="3"/>
  <c r="C222" i="3"/>
  <c r="K182" i="3"/>
  <c r="AS25" i="2"/>
  <c r="AS47" i="2" s="1"/>
  <c r="AR9" i="2"/>
  <c r="AR45" i="2" s="1"/>
  <c r="AS9" i="2"/>
  <c r="L236" i="3"/>
  <c r="AS160" i="1"/>
  <c r="AS218" i="1" s="1"/>
  <c r="AS103" i="1"/>
  <c r="K234" i="3"/>
  <c r="K235" i="3" s="1"/>
  <c r="L233" i="3"/>
  <c r="C263" i="3"/>
  <c r="D262" i="3"/>
  <c r="D247" i="3"/>
  <c r="D245" i="3"/>
  <c r="D264" i="3"/>
  <c r="D273" i="3"/>
  <c r="D243" i="3"/>
  <c r="A236" i="3"/>
  <c r="A240" i="3"/>
  <c r="C244" i="3"/>
  <c r="D235" i="3"/>
  <c r="D240" i="3"/>
  <c r="C260" i="3"/>
  <c r="D270" i="3"/>
  <c r="C276" i="3"/>
  <c r="D259" i="3"/>
  <c r="D241" i="3"/>
  <c r="D271" i="3"/>
  <c r="D237" i="3"/>
  <c r="D269" i="3"/>
  <c r="D234" i="3"/>
  <c r="D238" i="3"/>
  <c r="AR25" i="2"/>
  <c r="AR47" i="2" s="1"/>
  <c r="AR17" i="2"/>
  <c r="AR41" i="2"/>
  <c r="AR95" i="1"/>
  <c r="AR75" i="1"/>
  <c r="AR175" i="1"/>
  <c r="AR233" i="1" s="1"/>
  <c r="AR67" i="1"/>
  <c r="AR64" i="1"/>
  <c r="AS168" i="1"/>
  <c r="AS226" i="1" s="1"/>
  <c r="AR56" i="1"/>
  <c r="AR50" i="1"/>
  <c r="AR28" i="1"/>
  <c r="AR27" i="1"/>
  <c r="AR22" i="1"/>
  <c r="AR18" i="1"/>
  <c r="AR19" i="1"/>
  <c r="AR20" i="1"/>
  <c r="AR21" i="1"/>
  <c r="AR25" i="1"/>
  <c r="AR17" i="1"/>
  <c r="AR16" i="1"/>
  <c r="AR15" i="1"/>
  <c r="AR14" i="1"/>
  <c r="AR13" i="1"/>
  <c r="AR12" i="1"/>
  <c r="AR9" i="1"/>
  <c r="AR7" i="1"/>
  <c r="AR249" i="1"/>
  <c r="AR248" i="1"/>
  <c r="AR245" i="1"/>
  <c r="AR204" i="1"/>
  <c r="AR216" i="1" s="1"/>
  <c r="AR203" i="1"/>
  <c r="AR215" i="1" s="1"/>
  <c r="AR158" i="1"/>
  <c r="AR157" i="1"/>
  <c r="AR152" i="1"/>
  <c r="AR209" i="1" s="1"/>
  <c r="AR147" i="1"/>
  <c r="AR146" i="1"/>
  <c r="AR131" i="1"/>
  <c r="AR118" i="1"/>
  <c r="AR117" i="1"/>
  <c r="AR114" i="1"/>
  <c r="AR109" i="1"/>
  <c r="AR168" i="1"/>
  <c r="AR226" i="1" s="1"/>
  <c r="AR48" i="1"/>
  <c r="AR60" i="1" s="1"/>
  <c r="AR82" i="1" s="1"/>
  <c r="AR93" i="1" s="1"/>
  <c r="C307" i="3"/>
  <c r="C297" i="3"/>
  <c r="C295" i="3"/>
  <c r="C293" i="3"/>
  <c r="L280" i="3"/>
  <c r="C319" i="3"/>
  <c r="C289" i="3"/>
  <c r="C321" i="3" s="1"/>
  <c r="AQ76" i="2"/>
  <c r="AQ74" i="2" s="1"/>
  <c r="AQ70" i="2"/>
  <c r="AQ68" i="2" s="1"/>
  <c r="AQ65" i="2"/>
  <c r="AQ60" i="2"/>
  <c r="AQ54" i="2"/>
  <c r="AQ41" i="2"/>
  <c r="AQ25" i="2"/>
  <c r="AQ17" i="2"/>
  <c r="AQ46" i="2" s="1"/>
  <c r="AQ9" i="2"/>
  <c r="AQ45" i="2" s="1"/>
  <c r="C21" i="3" l="1"/>
  <c r="K124" i="3"/>
  <c r="L11" i="3"/>
  <c r="D21" i="3"/>
  <c r="AS41" i="2"/>
  <c r="AT25" i="2"/>
  <c r="AS49" i="1"/>
  <c r="AS39" i="1"/>
  <c r="AT63" i="1"/>
  <c r="AS24" i="1"/>
  <c r="L68" i="3"/>
  <c r="K68" i="3"/>
  <c r="C80" i="3"/>
  <c r="D80" i="3" s="1"/>
  <c r="A122" i="3"/>
  <c r="C134" i="3"/>
  <c r="D88" i="3"/>
  <c r="AT9" i="2"/>
  <c r="AT45" i="2" s="1"/>
  <c r="AU35" i="2"/>
  <c r="AT22" i="2"/>
  <c r="C157" i="3"/>
  <c r="AU263" i="1"/>
  <c r="AU178" i="1"/>
  <c r="AU236" i="1" s="1"/>
  <c r="AU29" i="1"/>
  <c r="AU30" i="1" s="1"/>
  <c r="AU32" i="1"/>
  <c r="AU33" i="1"/>
  <c r="AU41" i="1"/>
  <c r="AU40" i="1"/>
  <c r="AU53" i="1"/>
  <c r="AU55" i="1"/>
  <c r="C146" i="3"/>
  <c r="D135" i="3"/>
  <c r="K125" i="3"/>
  <c r="L125" i="3" s="1"/>
  <c r="AS75" i="1"/>
  <c r="D157" i="3"/>
  <c r="D129" i="3"/>
  <c r="D132" i="3" s="1"/>
  <c r="D134" i="3" s="1"/>
  <c r="L124" i="3"/>
  <c r="A126" i="3"/>
  <c r="A130" i="3"/>
  <c r="D166" i="3"/>
  <c r="D168" i="3" s="1"/>
  <c r="D219" i="3"/>
  <c r="D144" i="3"/>
  <c r="D143" i="3"/>
  <c r="AT47" i="2"/>
  <c r="AT41" i="2"/>
  <c r="AS17" i="2"/>
  <c r="AS46" i="2" s="1"/>
  <c r="L29" i="2"/>
  <c r="L34" i="2"/>
  <c r="L33" i="2"/>
  <c r="L48" i="2"/>
  <c r="C209" i="3"/>
  <c r="L261" i="1"/>
  <c r="L73" i="1"/>
  <c r="L74" i="1" s="1"/>
  <c r="L128" i="1"/>
  <c r="AS50" i="1"/>
  <c r="L42" i="1"/>
  <c r="L123" i="1"/>
  <c r="L185" i="1" s="1"/>
  <c r="L91" i="1"/>
  <c r="AT12" i="1"/>
  <c r="AT13" i="1"/>
  <c r="AT19" i="1"/>
  <c r="AT15" i="1"/>
  <c r="AT20" i="1"/>
  <c r="L260" i="1"/>
  <c r="AT14" i="1"/>
  <c r="AT18" i="1"/>
  <c r="AT22" i="1"/>
  <c r="AT16" i="1"/>
  <c r="AT27" i="1"/>
  <c r="AT17" i="1"/>
  <c r="AT28" i="1"/>
  <c r="L151" i="1"/>
  <c r="AR8" i="1"/>
  <c r="AT7" i="1"/>
  <c r="AT25" i="1"/>
  <c r="AT9" i="1"/>
  <c r="AT21" i="1"/>
  <c r="L26" i="1"/>
  <c r="L33" i="1" s="1"/>
  <c r="L39" i="1"/>
  <c r="L100" i="1"/>
  <c r="L24" i="1"/>
  <c r="AS56" i="1"/>
  <c r="D216" i="3"/>
  <c r="L180" i="3"/>
  <c r="L207" i="1"/>
  <c r="L218" i="1"/>
  <c r="L222" i="1" s="1"/>
  <c r="L164" i="1"/>
  <c r="L150" i="1"/>
  <c r="AS64" i="1"/>
  <c r="D187" i="3"/>
  <c r="D183" i="3"/>
  <c r="D189" i="3"/>
  <c r="C196" i="3"/>
  <c r="L49" i="1"/>
  <c r="L51" i="1" s="1"/>
  <c r="L86" i="1" s="1"/>
  <c r="L182" i="3"/>
  <c r="D181" i="3"/>
  <c r="L137" i="1"/>
  <c r="L184" i="1"/>
  <c r="D180" i="3"/>
  <c r="C206" i="3"/>
  <c r="D193" i="3"/>
  <c r="L225" i="1"/>
  <c r="L170" i="1"/>
  <c r="L228" i="1" s="1"/>
  <c r="L179" i="3"/>
  <c r="D218" i="3"/>
  <c r="D200" i="3"/>
  <c r="D199" i="3"/>
  <c r="AS124" i="1"/>
  <c r="AS184" i="1" s="1"/>
  <c r="AS242" i="1" s="1"/>
  <c r="D205" i="3"/>
  <c r="AS151" i="1"/>
  <c r="AS208" i="1" s="1"/>
  <c r="D217" i="3"/>
  <c r="D215" i="3"/>
  <c r="D191" i="3"/>
  <c r="D255" i="3"/>
  <c r="AS123" i="1"/>
  <c r="D184" i="3"/>
  <c r="D208" i="3"/>
  <c r="D210" i="3"/>
  <c r="D186" i="3"/>
  <c r="C192" i="3"/>
  <c r="C223" i="3"/>
  <c r="C221" i="3"/>
  <c r="D221" i="3" s="1"/>
  <c r="K183" i="3"/>
  <c r="AS45" i="2"/>
  <c r="AR120" i="1"/>
  <c r="AR124" i="1" s="1"/>
  <c r="AS51" i="1"/>
  <c r="AR36" i="1"/>
  <c r="AS67" i="1"/>
  <c r="AR38" i="1"/>
  <c r="AR172" i="1"/>
  <c r="AR230" i="1" s="1"/>
  <c r="AS33" i="1"/>
  <c r="AS32" i="1"/>
  <c r="AS72" i="1"/>
  <c r="AR250" i="1"/>
  <c r="AR179" i="1"/>
  <c r="AR237" i="1" s="1"/>
  <c r="L234" i="3"/>
  <c r="AR10" i="1"/>
  <c r="AS175" i="1"/>
  <c r="AS233" i="1" s="1"/>
  <c r="AS29" i="1"/>
  <c r="AS41" i="1"/>
  <c r="AS40" i="1"/>
  <c r="C320" i="3"/>
  <c r="C265" i="3"/>
  <c r="D239" i="3"/>
  <c r="D242" i="3" s="1"/>
  <c r="D244" i="3" s="1"/>
  <c r="D274" i="3"/>
  <c r="D265" i="3"/>
  <c r="K237" i="3"/>
  <c r="C246" i="3"/>
  <c r="C277" i="3"/>
  <c r="C275" i="3"/>
  <c r="D275" i="3" s="1"/>
  <c r="AR28" i="2"/>
  <c r="AR46" i="2"/>
  <c r="AR42" i="2"/>
  <c r="AR177" i="1"/>
  <c r="AR235" i="1" s="1"/>
  <c r="AR169" i="1"/>
  <c r="AR227" i="1" s="1"/>
  <c r="AR162" i="1"/>
  <c r="AR57" i="1"/>
  <c r="AR61" i="1"/>
  <c r="AR166" i="1" s="1"/>
  <c r="AR224" i="1" s="1"/>
  <c r="AR102" i="1"/>
  <c r="AR37" i="1"/>
  <c r="AR99" i="1"/>
  <c r="C292" i="3"/>
  <c r="C322" i="3"/>
  <c r="C308" i="3"/>
  <c r="K284" i="3"/>
  <c r="K286" i="3"/>
  <c r="AQ42" i="2"/>
  <c r="AQ28" i="2"/>
  <c r="AQ48" i="2" s="1"/>
  <c r="AQ47" i="2"/>
  <c r="D25" i="5"/>
  <c r="AQ201" i="1"/>
  <c r="AQ95" i="1"/>
  <c r="AQ118" i="1"/>
  <c r="AQ117" i="1"/>
  <c r="AQ114" i="1"/>
  <c r="AQ109" i="1"/>
  <c r="AQ71" i="1"/>
  <c r="AQ69" i="1"/>
  <c r="AQ66" i="1"/>
  <c r="AQ62" i="1"/>
  <c r="AQ204" i="1"/>
  <c r="AQ216" i="1" s="1"/>
  <c r="AQ203" i="1"/>
  <c r="AQ215" i="1" s="1"/>
  <c r="AQ179" i="1"/>
  <c r="AQ177" i="1"/>
  <c r="AQ235" i="1" s="1"/>
  <c r="AQ175" i="1"/>
  <c r="AQ172" i="1"/>
  <c r="AQ230" i="1" s="1"/>
  <c r="AQ169" i="1"/>
  <c r="AQ227" i="1" s="1"/>
  <c r="AQ168" i="1"/>
  <c r="AQ226" i="1" s="1"/>
  <c r="AQ162" i="1"/>
  <c r="AQ158" i="1"/>
  <c r="AQ157" i="1"/>
  <c r="AQ152" i="1"/>
  <c r="AQ147" i="1"/>
  <c r="AQ146" i="1"/>
  <c r="AQ131" i="1"/>
  <c r="AQ102" i="1"/>
  <c r="AQ99" i="1"/>
  <c r="AQ61" i="1"/>
  <c r="AQ166" i="1" s="1"/>
  <c r="AQ57" i="1"/>
  <c r="AQ48" i="1"/>
  <c r="AQ60" i="1" s="1"/>
  <c r="AQ82" i="1" s="1"/>
  <c r="AQ93" i="1" s="1"/>
  <c r="AQ38" i="1"/>
  <c r="AQ37" i="1"/>
  <c r="AQ36" i="1"/>
  <c r="AQ10" i="1"/>
  <c r="AU11" i="1" s="1"/>
  <c r="AQ8" i="1"/>
  <c r="L325" i="3"/>
  <c r="L324" i="3"/>
  <c r="C338" i="3"/>
  <c r="C364" i="3"/>
  <c r="C334" i="3"/>
  <c r="C366" i="3" s="1"/>
  <c r="AP78" i="2"/>
  <c r="AP77" i="2"/>
  <c r="AP75" i="2"/>
  <c r="AP72" i="2"/>
  <c r="AP71" i="2"/>
  <c r="AP69" i="2"/>
  <c r="AP64" i="2"/>
  <c r="AP63" i="2"/>
  <c r="AP59" i="2"/>
  <c r="AP58" i="2"/>
  <c r="AP57" i="2"/>
  <c r="AP53" i="2"/>
  <c r="AP52" i="2"/>
  <c r="AP51" i="2"/>
  <c r="K76" i="2"/>
  <c r="K74" i="2" s="1"/>
  <c r="K70" i="2"/>
  <c r="K68" i="2" s="1"/>
  <c r="K65" i="2"/>
  <c r="K60" i="2"/>
  <c r="K54" i="2"/>
  <c r="K41" i="2"/>
  <c r="K42" i="2" s="1"/>
  <c r="K25" i="2"/>
  <c r="K47" i="2" s="1"/>
  <c r="K17" i="2"/>
  <c r="K46" i="2" s="1"/>
  <c r="K9" i="2"/>
  <c r="K45" i="2" s="1"/>
  <c r="AP127" i="1"/>
  <c r="C342" i="3" s="1"/>
  <c r="AP122" i="1"/>
  <c r="C340" i="3" s="1"/>
  <c r="AP113" i="1"/>
  <c r="AP112" i="1"/>
  <c r="AP248" i="1" s="1"/>
  <c r="AP108" i="1"/>
  <c r="AP107" i="1"/>
  <c r="AP98" i="1"/>
  <c r="AP97" i="1"/>
  <c r="AP96" i="1"/>
  <c r="AP50" i="1"/>
  <c r="AP28" i="1"/>
  <c r="AP27" i="1"/>
  <c r="AP25" i="1"/>
  <c r="AP22" i="1"/>
  <c r="AP21" i="1"/>
  <c r="AP20" i="1"/>
  <c r="AP19" i="1"/>
  <c r="AP18" i="1"/>
  <c r="AP17" i="1"/>
  <c r="AP16" i="1"/>
  <c r="AP15" i="1"/>
  <c r="AP14" i="1"/>
  <c r="AP13" i="1"/>
  <c r="AP12" i="1"/>
  <c r="AP9" i="1"/>
  <c r="AP7" i="1"/>
  <c r="K119" i="1"/>
  <c r="J201" i="1"/>
  <c r="J249" i="1" s="1"/>
  <c r="J200" i="1"/>
  <c r="P248" i="1"/>
  <c r="Q248" i="1"/>
  <c r="S248" i="1"/>
  <c r="T248" i="1"/>
  <c r="U248" i="1"/>
  <c r="W248" i="1"/>
  <c r="X248" i="1"/>
  <c r="Y248" i="1"/>
  <c r="AC248" i="1"/>
  <c r="AG248" i="1"/>
  <c r="AI248" i="1"/>
  <c r="AJ248" i="1"/>
  <c r="AK248" i="1"/>
  <c r="AM248" i="1"/>
  <c r="AN248" i="1"/>
  <c r="AO248" i="1"/>
  <c r="P249" i="1"/>
  <c r="Q249" i="1"/>
  <c r="S249" i="1"/>
  <c r="T249" i="1"/>
  <c r="U249" i="1"/>
  <c r="W249" i="1"/>
  <c r="X249" i="1"/>
  <c r="Y249" i="1"/>
  <c r="AC249" i="1"/>
  <c r="AG249" i="1"/>
  <c r="AI249" i="1"/>
  <c r="AJ249" i="1"/>
  <c r="AK249" i="1"/>
  <c r="AM249" i="1"/>
  <c r="AN249" i="1"/>
  <c r="AO249" i="1"/>
  <c r="O249" i="1"/>
  <c r="O248" i="1"/>
  <c r="D248" i="1"/>
  <c r="E248" i="1"/>
  <c r="F248" i="1"/>
  <c r="I248" i="1"/>
  <c r="D249" i="1"/>
  <c r="E249" i="1"/>
  <c r="F249" i="1"/>
  <c r="I249" i="1"/>
  <c r="C249" i="1"/>
  <c r="C248" i="1"/>
  <c r="AO245" i="1"/>
  <c r="AN245" i="1"/>
  <c r="AM245" i="1"/>
  <c r="AK245" i="1"/>
  <c r="AG245" i="1"/>
  <c r="AC245" i="1"/>
  <c r="Y245" i="1"/>
  <c r="X245" i="1"/>
  <c r="W245" i="1"/>
  <c r="U245" i="1"/>
  <c r="T245" i="1"/>
  <c r="S245" i="1"/>
  <c r="Q245" i="1"/>
  <c r="P245" i="1"/>
  <c r="O245" i="1"/>
  <c r="I245" i="1"/>
  <c r="F245" i="1"/>
  <c r="E245" i="1"/>
  <c r="D245" i="1"/>
  <c r="C245" i="1"/>
  <c r="K201" i="1"/>
  <c r="K245" i="1" s="1"/>
  <c r="K95" i="1"/>
  <c r="AP95" i="1" s="1"/>
  <c r="K71" i="1"/>
  <c r="K70" i="1"/>
  <c r="K69" i="1"/>
  <c r="C23" i="3" l="1"/>
  <c r="D23" i="3" s="1"/>
  <c r="AT17" i="2"/>
  <c r="AT46" i="2" s="1"/>
  <c r="AS28" i="2"/>
  <c r="AS32" i="2" s="1"/>
  <c r="T250" i="1"/>
  <c r="AS30" i="1"/>
  <c r="AS53" i="1"/>
  <c r="K126" i="3"/>
  <c r="AR220" i="1"/>
  <c r="D145" i="3"/>
  <c r="AT50" i="1"/>
  <c r="AU180" i="1"/>
  <c r="AU238" i="1" s="1"/>
  <c r="AU76" i="1"/>
  <c r="AT75" i="1"/>
  <c r="AS179" i="1"/>
  <c r="AS237" i="1" s="1"/>
  <c r="AS185" i="1"/>
  <c r="AS243" i="1" s="1"/>
  <c r="AS263" i="1" s="1"/>
  <c r="AS144" i="1"/>
  <c r="AS198" i="1" s="1"/>
  <c r="AQ46" i="1"/>
  <c r="AQ45" i="1"/>
  <c r="L180" i="1"/>
  <c r="L238" i="1" s="1"/>
  <c r="AU42" i="1"/>
  <c r="AT56" i="1"/>
  <c r="AU87" i="1"/>
  <c r="C81" i="3" s="1"/>
  <c r="AS169" i="1"/>
  <c r="AS227" i="1" s="1"/>
  <c r="AT64" i="1"/>
  <c r="AT67" i="1"/>
  <c r="AT72" i="1"/>
  <c r="AR160" i="1"/>
  <c r="AR71" i="1"/>
  <c r="AR69" i="1"/>
  <c r="AR62" i="1"/>
  <c r="AQ220" i="1"/>
  <c r="AU221" i="1" s="1"/>
  <c r="AU163" i="1"/>
  <c r="D136" i="3"/>
  <c r="L126" i="3"/>
  <c r="C136" i="3"/>
  <c r="L35" i="2"/>
  <c r="AT42" i="2"/>
  <c r="AT28" i="2"/>
  <c r="AT33" i="2" s="1"/>
  <c r="C211" i="3"/>
  <c r="L144" i="1"/>
  <c r="L198" i="1" s="1"/>
  <c r="L136" i="1"/>
  <c r="L178" i="1"/>
  <c r="L236" i="1" s="1"/>
  <c r="D211" i="3"/>
  <c r="E250" i="1"/>
  <c r="L208" i="1"/>
  <c r="L211" i="1" s="1"/>
  <c r="L153" i="1"/>
  <c r="L210" i="1" s="1"/>
  <c r="L212" i="1" s="1"/>
  <c r="L181" i="3"/>
  <c r="L183" i="3" s="1"/>
  <c r="AS153" i="1"/>
  <c r="AS210" i="1" s="1"/>
  <c r="AS42" i="2"/>
  <c r="D185" i="3"/>
  <c r="D188" i="3" s="1"/>
  <c r="D190" i="3" s="1"/>
  <c r="D192" i="3" s="1"/>
  <c r="L29" i="1"/>
  <c r="L30" i="1" s="1"/>
  <c r="L40" i="1"/>
  <c r="L41" i="1"/>
  <c r="L32" i="1"/>
  <c r="L53" i="1"/>
  <c r="L55" i="1"/>
  <c r="AS172" i="1"/>
  <c r="AS230" i="1" s="1"/>
  <c r="L243" i="1"/>
  <c r="L257" i="1" s="1"/>
  <c r="AR66" i="1"/>
  <c r="AQ160" i="1"/>
  <c r="L242" i="1"/>
  <c r="L258" i="1" s="1"/>
  <c r="AS177" i="1"/>
  <c r="AS235" i="1" s="1"/>
  <c r="D201" i="3"/>
  <c r="L76" i="1"/>
  <c r="L181" i="1" s="1"/>
  <c r="L239" i="1" s="1"/>
  <c r="D220" i="3"/>
  <c r="D222" i="3" s="1"/>
  <c r="L154" i="1"/>
  <c r="L193" i="1"/>
  <c r="L249" i="1"/>
  <c r="L209" i="1"/>
  <c r="L248" i="1"/>
  <c r="L245" i="1"/>
  <c r="AR128" i="1"/>
  <c r="AR123" i="1"/>
  <c r="AR151" i="1"/>
  <c r="AR208" i="1" s="1"/>
  <c r="C250" i="3"/>
  <c r="I250" i="1"/>
  <c r="C194" i="3"/>
  <c r="D194" i="3" s="1"/>
  <c r="AS33" i="2"/>
  <c r="AS48" i="2"/>
  <c r="AS29" i="2"/>
  <c r="AS34" i="2"/>
  <c r="AP65" i="2"/>
  <c r="AN250" i="1"/>
  <c r="C250" i="1"/>
  <c r="AQ167" i="1"/>
  <c r="AQ225" i="1" s="1"/>
  <c r="K249" i="1"/>
  <c r="AR58" i="1"/>
  <c r="AR42" i="1"/>
  <c r="AR29" i="2"/>
  <c r="AS42" i="1"/>
  <c r="AS55" i="1"/>
  <c r="AS61" i="1"/>
  <c r="AS162" i="1"/>
  <c r="AS58" i="1"/>
  <c r="AP117" i="1"/>
  <c r="D250" i="1"/>
  <c r="X250" i="1"/>
  <c r="AR23" i="1"/>
  <c r="AR103" i="1"/>
  <c r="D276" i="3"/>
  <c r="L235" i="3"/>
  <c r="D342" i="3"/>
  <c r="C248" i="3"/>
  <c r="D248" i="3" s="1"/>
  <c r="D340" i="3"/>
  <c r="D246" i="3"/>
  <c r="AR34" i="2"/>
  <c r="AR48" i="2"/>
  <c r="AR32" i="2"/>
  <c r="AR33" i="2"/>
  <c r="AP76" i="2"/>
  <c r="AP74" i="2" s="1"/>
  <c r="AP60" i="2"/>
  <c r="AQ174" i="1"/>
  <c r="AQ232" i="1" s="1"/>
  <c r="AR184" i="1"/>
  <c r="AR242" i="1" s="1"/>
  <c r="D338" i="3"/>
  <c r="AQ176" i="1"/>
  <c r="AQ234" i="1" s="1"/>
  <c r="AG250" i="1"/>
  <c r="AQ209" i="1"/>
  <c r="AQ245" i="1"/>
  <c r="F250" i="1"/>
  <c r="P250" i="1"/>
  <c r="AQ249" i="1"/>
  <c r="AQ248" i="1"/>
  <c r="L279" i="3"/>
  <c r="L284" i="3" s="1"/>
  <c r="Y250" i="1"/>
  <c r="AQ171" i="1"/>
  <c r="AQ229" i="1" s="1"/>
  <c r="C294" i="3"/>
  <c r="A286" i="3"/>
  <c r="A283" i="3"/>
  <c r="K283" i="3"/>
  <c r="K285" i="3" s="1"/>
  <c r="A290" i="3"/>
  <c r="D359" i="3"/>
  <c r="D332" i="3"/>
  <c r="D330" i="3"/>
  <c r="C350" i="3"/>
  <c r="D336" i="3"/>
  <c r="D363" i="3"/>
  <c r="D333" i="3"/>
  <c r="D361" i="3"/>
  <c r="D352" i="3"/>
  <c r="D335" i="3"/>
  <c r="D349" i="3"/>
  <c r="D362" i="3"/>
  <c r="D360" i="3"/>
  <c r="D329" i="3"/>
  <c r="AP70" i="2"/>
  <c r="AP68" i="2" s="1"/>
  <c r="AQ33" i="2"/>
  <c r="AQ32" i="2"/>
  <c r="AQ29" i="2"/>
  <c r="AQ34" i="2"/>
  <c r="AQ233" i="1"/>
  <c r="AQ237" i="1"/>
  <c r="AQ120" i="1"/>
  <c r="AQ65" i="1"/>
  <c r="AQ68" i="1" s="1"/>
  <c r="AQ103" i="1"/>
  <c r="AQ23" i="1"/>
  <c r="AQ58" i="1"/>
  <c r="AO250" i="1"/>
  <c r="AQ224" i="1"/>
  <c r="AP118" i="1"/>
  <c r="AP249" i="1"/>
  <c r="AP250" i="1" s="1"/>
  <c r="Q250" i="1"/>
  <c r="K329" i="3"/>
  <c r="L329" i="3" s="1"/>
  <c r="W250" i="1"/>
  <c r="K248" i="1"/>
  <c r="O250" i="1"/>
  <c r="AC250" i="1"/>
  <c r="U250" i="1"/>
  <c r="AM250" i="1"/>
  <c r="AI250" i="1"/>
  <c r="S250" i="1"/>
  <c r="C337" i="3"/>
  <c r="K328" i="3" s="1"/>
  <c r="C367" i="3"/>
  <c r="C365" i="3"/>
  <c r="D365" i="3" s="1"/>
  <c r="C353" i="3"/>
  <c r="D353" i="3" s="1"/>
  <c r="K331" i="3"/>
  <c r="M70" i="2"/>
  <c r="AP54" i="2"/>
  <c r="K28" i="2"/>
  <c r="K34" i="2" s="1"/>
  <c r="AJ250" i="1"/>
  <c r="AK250" i="1"/>
  <c r="K66" i="1"/>
  <c r="K171" i="1" s="1"/>
  <c r="K62" i="1"/>
  <c r="C25" i="5"/>
  <c r="AP204" i="1"/>
  <c r="AP216" i="1" s="1"/>
  <c r="AP203" i="1"/>
  <c r="AP215" i="1" s="1"/>
  <c r="AP158" i="1"/>
  <c r="AP157" i="1"/>
  <c r="AP147" i="1"/>
  <c r="AP146" i="1"/>
  <c r="AP131" i="1"/>
  <c r="AP245" i="1"/>
  <c r="AP114" i="1"/>
  <c r="AP48" i="1"/>
  <c r="AP60" i="1" s="1"/>
  <c r="AP82" i="1" s="1"/>
  <c r="AP93" i="1" s="1"/>
  <c r="K204" i="1"/>
  <c r="K216" i="1" s="1"/>
  <c r="K203" i="1"/>
  <c r="K215" i="1" s="1"/>
  <c r="K179" i="1"/>
  <c r="K177" i="1"/>
  <c r="K176" i="1"/>
  <c r="K169" i="1"/>
  <c r="K168" i="1"/>
  <c r="K162" i="1"/>
  <c r="L163" i="1" s="1"/>
  <c r="K158" i="1"/>
  <c r="K157" i="1"/>
  <c r="K152" i="1"/>
  <c r="K209" i="1" s="1"/>
  <c r="K147" i="1"/>
  <c r="K146" i="1"/>
  <c r="K131" i="1"/>
  <c r="K118" i="1"/>
  <c r="K114" i="1"/>
  <c r="K109" i="1"/>
  <c r="K102" i="1"/>
  <c r="K88" i="1"/>
  <c r="K87" i="1"/>
  <c r="K149" i="1" s="1"/>
  <c r="K175" i="1"/>
  <c r="K174" i="1"/>
  <c r="K172" i="1"/>
  <c r="K61" i="1"/>
  <c r="K166" i="1" s="1"/>
  <c r="K57" i="1"/>
  <c r="K48" i="1"/>
  <c r="K60" i="1" s="1"/>
  <c r="K82" i="1" s="1"/>
  <c r="K93" i="1" s="1"/>
  <c r="K36" i="1"/>
  <c r="L369" i="3"/>
  <c r="C387" i="3"/>
  <c r="C385" i="3"/>
  <c r="C398" i="3" s="1"/>
  <c r="C383" i="3"/>
  <c r="K374" i="3" s="1"/>
  <c r="C409" i="3"/>
  <c r="C379" i="3"/>
  <c r="C411" i="3" s="1"/>
  <c r="AN19" i="2"/>
  <c r="AO76" i="2"/>
  <c r="AO74" i="2" s="1"/>
  <c r="AO70" i="2"/>
  <c r="AO68" i="2" s="1"/>
  <c r="AO65" i="2"/>
  <c r="AO60" i="2"/>
  <c r="AO54" i="2"/>
  <c r="L370" i="3"/>
  <c r="AO95" i="1"/>
  <c r="AO56" i="1"/>
  <c r="AS57" i="1" s="1"/>
  <c r="AO204" i="1"/>
  <c r="AO216" i="1" s="1"/>
  <c r="AO203" i="1"/>
  <c r="AO215" i="1" s="1"/>
  <c r="AO158" i="1"/>
  <c r="AO157" i="1"/>
  <c r="AO152" i="1"/>
  <c r="AO209" i="1" s="1"/>
  <c r="AO147" i="1"/>
  <c r="AO146" i="1"/>
  <c r="AO131" i="1"/>
  <c r="AO118" i="1"/>
  <c r="AO117" i="1"/>
  <c r="AO114" i="1"/>
  <c r="AO109" i="1"/>
  <c r="AO102" i="1"/>
  <c r="AO99" i="1"/>
  <c r="AO48" i="1"/>
  <c r="AO60" i="1" s="1"/>
  <c r="AO82" i="1" s="1"/>
  <c r="AO93" i="1" s="1"/>
  <c r="AO38" i="1"/>
  <c r="AO37" i="1"/>
  <c r="AO36" i="1"/>
  <c r="AO10" i="1"/>
  <c r="AS11" i="1" s="1"/>
  <c r="AO8" i="1"/>
  <c r="C515" i="3"/>
  <c r="C428" i="3"/>
  <c r="C430" i="3"/>
  <c r="C432" i="3"/>
  <c r="L414" i="3"/>
  <c r="C440" i="3" s="1"/>
  <c r="AN40" i="2"/>
  <c r="AN39" i="2"/>
  <c r="AN38" i="2"/>
  <c r="AN27" i="2"/>
  <c r="AN26" i="2"/>
  <c r="AN24" i="2"/>
  <c r="AN22" i="2"/>
  <c r="AN20" i="2"/>
  <c r="AN16" i="2"/>
  <c r="AN13" i="2"/>
  <c r="AN12" i="2"/>
  <c r="AN11" i="2"/>
  <c r="AN98" i="1"/>
  <c r="AN97" i="1"/>
  <c r="AN96" i="1"/>
  <c r="AN102" i="1" s="1"/>
  <c r="AN95" i="1"/>
  <c r="AN75" i="1"/>
  <c r="AN72" i="1"/>
  <c r="AN70" i="1"/>
  <c r="AN67" i="1"/>
  <c r="AN64" i="1"/>
  <c r="AN63" i="1"/>
  <c r="C454" i="3"/>
  <c r="C424" i="3"/>
  <c r="C456" i="3" s="1"/>
  <c r="AN76" i="2"/>
  <c r="AN74" i="2" s="1"/>
  <c r="AN70" i="2"/>
  <c r="AN68" i="2" s="1"/>
  <c r="AN65" i="2"/>
  <c r="AN60" i="2"/>
  <c r="AN54" i="2"/>
  <c r="AN23" i="2"/>
  <c r="AN21" i="2"/>
  <c r="AN15" i="2"/>
  <c r="AN14" i="2"/>
  <c r="AN204" i="1"/>
  <c r="AN216" i="1" s="1"/>
  <c r="AN203" i="1"/>
  <c r="AN215" i="1" s="1"/>
  <c r="AN162" i="1"/>
  <c r="AR163" i="1" s="1"/>
  <c r="AN158" i="1"/>
  <c r="AN157" i="1"/>
  <c r="AN152" i="1"/>
  <c r="AN209" i="1" s="1"/>
  <c r="AN147" i="1"/>
  <c r="AN146" i="1"/>
  <c r="AN131" i="1"/>
  <c r="AN117" i="1"/>
  <c r="AN114" i="1"/>
  <c r="AN61" i="1"/>
  <c r="AN166" i="1" s="1"/>
  <c r="AN57" i="1"/>
  <c r="AN48" i="1"/>
  <c r="AN60" i="1" s="1"/>
  <c r="AN82" i="1" s="1"/>
  <c r="AN93" i="1" s="1"/>
  <c r="AN38" i="1"/>
  <c r="AN37" i="1"/>
  <c r="AN36" i="1"/>
  <c r="AN10" i="1"/>
  <c r="AR11" i="1" s="1"/>
  <c r="AN8" i="1"/>
  <c r="AM62" i="1"/>
  <c r="L460" i="3"/>
  <c r="L459" i="3"/>
  <c r="C499" i="3"/>
  <c r="C477" i="3"/>
  <c r="C475" i="3"/>
  <c r="C488" i="3" s="1"/>
  <c r="C473" i="3"/>
  <c r="C469" i="3"/>
  <c r="C501" i="3" s="1"/>
  <c r="AM41" i="2"/>
  <c r="AM42" i="2" s="1"/>
  <c r="AM25" i="2"/>
  <c r="AJ12" i="2"/>
  <c r="AJ11" i="2"/>
  <c r="AM9" i="2"/>
  <c r="AM45" i="2" s="1"/>
  <c r="J119" i="1"/>
  <c r="AM95" i="1"/>
  <c r="AM71" i="1"/>
  <c r="AM69" i="1"/>
  <c r="AM66" i="1"/>
  <c r="AI62" i="1"/>
  <c r="AM204" i="1"/>
  <c r="AM216" i="1" s="1"/>
  <c r="AM203" i="1"/>
  <c r="AM215" i="1" s="1"/>
  <c r="AM179" i="1"/>
  <c r="AM177" i="1"/>
  <c r="AM235" i="1" s="1"/>
  <c r="AM175" i="1"/>
  <c r="AM172" i="1"/>
  <c r="AM169" i="1"/>
  <c r="AM168" i="1"/>
  <c r="AM162" i="1"/>
  <c r="AQ163" i="1" s="1"/>
  <c r="AM158" i="1"/>
  <c r="AM157" i="1"/>
  <c r="AM152" i="1"/>
  <c r="AM209" i="1" s="1"/>
  <c r="AM147" i="1"/>
  <c r="AM146" i="1"/>
  <c r="AM131" i="1"/>
  <c r="AM118" i="1"/>
  <c r="AM117" i="1"/>
  <c r="AM114" i="1"/>
  <c r="AM109" i="1"/>
  <c r="AM102" i="1"/>
  <c r="AM99" i="1"/>
  <c r="AM61" i="1"/>
  <c r="AM57" i="1"/>
  <c r="AM48" i="1"/>
  <c r="AM60" i="1" s="1"/>
  <c r="AM82" i="1" s="1"/>
  <c r="AM93" i="1" s="1"/>
  <c r="AM38" i="1"/>
  <c r="AM37" i="1"/>
  <c r="AM36" i="1"/>
  <c r="AM10" i="1"/>
  <c r="AM8" i="1"/>
  <c r="AM76" i="2"/>
  <c r="AM74" i="2" s="1"/>
  <c r="AM70" i="2"/>
  <c r="AM65" i="2"/>
  <c r="AM60" i="2"/>
  <c r="AM54" i="2"/>
  <c r="AM17" i="2"/>
  <c r="AM46" i="2" s="1"/>
  <c r="AT179" i="1" l="1"/>
  <c r="AT237" i="1" s="1"/>
  <c r="L89" i="1"/>
  <c r="D81" i="3"/>
  <c r="K69" i="3"/>
  <c r="E76" i="3"/>
  <c r="E78" i="3"/>
  <c r="AU181" i="1"/>
  <c r="AU239" i="1" s="1"/>
  <c r="AU77" i="1"/>
  <c r="AU80" i="1"/>
  <c r="AT172" i="1"/>
  <c r="AT230" i="1" s="1"/>
  <c r="AR45" i="1"/>
  <c r="AR46" i="1"/>
  <c r="AM46" i="1"/>
  <c r="AM45" i="1"/>
  <c r="AT87" i="1"/>
  <c r="AT162" i="1"/>
  <c r="AT61" i="1"/>
  <c r="AT166" i="1" s="1"/>
  <c r="AR218" i="1"/>
  <c r="AR164" i="1"/>
  <c r="AS71" i="1"/>
  <c r="AR176" i="1"/>
  <c r="AR234" i="1" s="1"/>
  <c r="AS69" i="1"/>
  <c r="AR174" i="1"/>
  <c r="AR232" i="1" s="1"/>
  <c r="AS62" i="1"/>
  <c r="AR167" i="1"/>
  <c r="AR65" i="1"/>
  <c r="AR68" i="1" s="1"/>
  <c r="AU149" i="1"/>
  <c r="AU187" i="1"/>
  <c r="AU134" i="1"/>
  <c r="AU190" i="1" s="1"/>
  <c r="AU133" i="1"/>
  <c r="AU189" i="1" s="1"/>
  <c r="AU137" i="1"/>
  <c r="AU136" i="1"/>
  <c r="AU88" i="1"/>
  <c r="AU142" i="1" s="1"/>
  <c r="AU196" i="1" s="1"/>
  <c r="AT177" i="1"/>
  <c r="AT235" i="1" s="1"/>
  <c r="L155" i="1"/>
  <c r="L192" i="1"/>
  <c r="AR171" i="1"/>
  <c r="AR229" i="1" s="1"/>
  <c r="AQ218" i="1"/>
  <c r="AU161" i="1"/>
  <c r="AR185" i="1"/>
  <c r="AR243" i="1" s="1"/>
  <c r="AR263" i="1" s="1"/>
  <c r="AR153" i="1"/>
  <c r="AR210" i="1" s="1"/>
  <c r="AR49" i="1"/>
  <c r="AR51" i="1" s="1"/>
  <c r="C138" i="3"/>
  <c r="D138" i="3" s="1"/>
  <c r="AT32" i="2"/>
  <c r="AT34" i="2"/>
  <c r="AT48" i="2"/>
  <c r="AR144" i="1"/>
  <c r="AR198" i="1" s="1"/>
  <c r="AQ164" i="1"/>
  <c r="AS66" i="1"/>
  <c r="L263" i="1"/>
  <c r="AQ170" i="1"/>
  <c r="AQ228" i="1" s="1"/>
  <c r="AQ24" i="1"/>
  <c r="AQ173" i="1"/>
  <c r="AQ231" i="1" s="1"/>
  <c r="L250" i="1"/>
  <c r="L255" i="1" s="1"/>
  <c r="AT220" i="1"/>
  <c r="AQ250" i="1"/>
  <c r="AS35" i="2"/>
  <c r="AR35" i="2"/>
  <c r="AR26" i="1"/>
  <c r="AR29" i="1" s="1"/>
  <c r="K250" i="1"/>
  <c r="AR39" i="1"/>
  <c r="AR24" i="1"/>
  <c r="AS220" i="1"/>
  <c r="AS164" i="1"/>
  <c r="AS65" i="1"/>
  <c r="AS166" i="1"/>
  <c r="AQ128" i="1"/>
  <c r="AQ42" i="1"/>
  <c r="L237" i="3"/>
  <c r="A331" i="3"/>
  <c r="A328" i="3"/>
  <c r="A335" i="3"/>
  <c r="AO23" i="1"/>
  <c r="AO49" i="1" s="1"/>
  <c r="AO51" i="1" s="1"/>
  <c r="AS52" i="1" s="1"/>
  <c r="D318" i="3"/>
  <c r="D314" i="3"/>
  <c r="D284" i="3"/>
  <c r="D316" i="3"/>
  <c r="D304" i="3"/>
  <c r="D290" i="3"/>
  <c r="D317" i="3"/>
  <c r="D320" i="3"/>
  <c r="D288" i="3"/>
  <c r="D287" i="3"/>
  <c r="D293" i="3"/>
  <c r="D297" i="3"/>
  <c r="D295" i="3"/>
  <c r="L286" i="3" s="1"/>
  <c r="D291" i="3"/>
  <c r="D307" i="3"/>
  <c r="C305" i="3"/>
  <c r="C309" i="3" s="1"/>
  <c r="D315" i="3"/>
  <c r="D285" i="3"/>
  <c r="D308" i="3"/>
  <c r="D364" i="3"/>
  <c r="C300" i="3"/>
  <c r="C296" i="3"/>
  <c r="D387" i="3"/>
  <c r="K287" i="3"/>
  <c r="AQ35" i="2"/>
  <c r="AO20" i="2"/>
  <c r="AP20" i="2" s="1"/>
  <c r="AO40" i="2"/>
  <c r="AQ151" i="1"/>
  <c r="AQ208" i="1" s="1"/>
  <c r="AQ123" i="1"/>
  <c r="AQ153" i="1" s="1"/>
  <c r="AQ210" i="1" s="1"/>
  <c r="AQ124" i="1"/>
  <c r="AQ184" i="1" s="1"/>
  <c r="AQ242" i="1" s="1"/>
  <c r="AQ73" i="1"/>
  <c r="AQ74" i="1" s="1"/>
  <c r="AQ49" i="1"/>
  <c r="AQ51" i="1" s="1"/>
  <c r="AU52" i="1" s="1"/>
  <c r="AQ26" i="1"/>
  <c r="AQ39" i="1"/>
  <c r="AM103" i="1"/>
  <c r="AQ11" i="1"/>
  <c r="AN172" i="1"/>
  <c r="AN230" i="1" s="1"/>
  <c r="AO70" i="1"/>
  <c r="AN177" i="1"/>
  <c r="AN235" i="1" s="1"/>
  <c r="K330" i="3"/>
  <c r="AN179" i="1"/>
  <c r="AN237" i="1" s="1"/>
  <c r="AN103" i="1"/>
  <c r="AN66" i="1"/>
  <c r="AM174" i="1"/>
  <c r="AM232" i="1" s="1"/>
  <c r="AN62" i="1"/>
  <c r="AN168" i="1"/>
  <c r="AN226" i="1" s="1"/>
  <c r="AO162" i="1"/>
  <c r="AO220" i="1" s="1"/>
  <c r="AP56" i="1"/>
  <c r="AT57" i="1" s="1"/>
  <c r="AN71" i="1"/>
  <c r="AN176" i="1" s="1"/>
  <c r="AN234" i="1" s="1"/>
  <c r="AN169" i="1"/>
  <c r="AN227" i="1" s="1"/>
  <c r="D378" i="3"/>
  <c r="C339" i="3"/>
  <c r="L331" i="3"/>
  <c r="D406" i="3"/>
  <c r="C354" i="3"/>
  <c r="D354" i="3"/>
  <c r="AO16" i="2"/>
  <c r="AN17" i="2"/>
  <c r="AN46" i="2" s="1"/>
  <c r="AO12" i="2"/>
  <c r="AO38" i="2"/>
  <c r="AO14" i="2"/>
  <c r="AO26" i="2"/>
  <c r="AO13" i="2"/>
  <c r="AO39" i="2"/>
  <c r="AO15" i="2"/>
  <c r="AO21" i="2"/>
  <c r="AO22" i="2"/>
  <c r="AO23" i="2"/>
  <c r="AO24" i="2"/>
  <c r="AO11" i="2"/>
  <c r="AP11" i="2" s="1"/>
  <c r="AO27" i="2"/>
  <c r="AP27" i="2" s="1"/>
  <c r="AO19" i="2"/>
  <c r="M68" i="2"/>
  <c r="K33" i="2"/>
  <c r="K32" i="2"/>
  <c r="K48" i="2"/>
  <c r="AP99" i="1"/>
  <c r="D375" i="3"/>
  <c r="D380" i="3"/>
  <c r="D381" i="3"/>
  <c r="D404" i="3"/>
  <c r="AM167" i="1"/>
  <c r="AM225" i="1" s="1"/>
  <c r="D398" i="3"/>
  <c r="D405" i="3"/>
  <c r="K200" i="1"/>
  <c r="K229" i="1" s="1"/>
  <c r="D408" i="3"/>
  <c r="D374" i="3"/>
  <c r="K142" i="1"/>
  <c r="K196" i="1" s="1"/>
  <c r="K65" i="1"/>
  <c r="K68" i="1" s="1"/>
  <c r="D385" i="3"/>
  <c r="L376" i="3" s="1"/>
  <c r="K38" i="1"/>
  <c r="D419" i="3"/>
  <c r="C395" i="3"/>
  <c r="C399" i="3" s="1"/>
  <c r="L415" i="3"/>
  <c r="D432" i="3"/>
  <c r="D397" i="3"/>
  <c r="AN69" i="1"/>
  <c r="K45" i="1"/>
  <c r="K99" i="1"/>
  <c r="K134" i="1"/>
  <c r="K190" i="1" s="1"/>
  <c r="K133" i="1"/>
  <c r="K189" i="1" s="1"/>
  <c r="K80" i="1"/>
  <c r="AO72" i="1"/>
  <c r="D407" i="3"/>
  <c r="K37" i="1"/>
  <c r="K46" i="1"/>
  <c r="K90" i="1"/>
  <c r="K141" i="1" s="1"/>
  <c r="K195" i="1" s="1"/>
  <c r="K117" i="1"/>
  <c r="K120" i="1" s="1"/>
  <c r="AO64" i="1"/>
  <c r="D377" i="3"/>
  <c r="D394" i="3"/>
  <c r="K167" i="1"/>
  <c r="K170" i="1" s="1"/>
  <c r="AO63" i="1"/>
  <c r="AO75" i="1"/>
  <c r="AO67" i="1"/>
  <c r="K187" i="1"/>
  <c r="K10" i="1"/>
  <c r="AM176" i="1"/>
  <c r="AM234" i="1" s="1"/>
  <c r="D430" i="3"/>
  <c r="D383" i="3"/>
  <c r="L374" i="3"/>
  <c r="C382" i="3"/>
  <c r="K373" i="3" s="1"/>
  <c r="K375" i="3" s="1"/>
  <c r="C412" i="3"/>
  <c r="C410" i="3"/>
  <c r="D410" i="3" s="1"/>
  <c r="D420" i="3"/>
  <c r="D428" i="3"/>
  <c r="K376" i="3"/>
  <c r="D422" i="3"/>
  <c r="D442" i="3"/>
  <c r="C500" i="3"/>
  <c r="D423" i="3"/>
  <c r="D449" i="3"/>
  <c r="D439" i="3"/>
  <c r="D425" i="3"/>
  <c r="D450" i="3"/>
  <c r="D426" i="3"/>
  <c r="D451" i="3"/>
  <c r="D452" i="3"/>
  <c r="D453" i="3"/>
  <c r="AO120" i="1"/>
  <c r="AO58" i="1"/>
  <c r="AO160" i="1"/>
  <c r="AS161" i="1" s="1"/>
  <c r="AO61" i="1"/>
  <c r="AO103" i="1"/>
  <c r="K419" i="3"/>
  <c r="L419" i="3" s="1"/>
  <c r="C427" i="3"/>
  <c r="A425" i="3" s="1"/>
  <c r="AN25" i="2"/>
  <c r="AN9" i="2"/>
  <c r="AN224" i="1"/>
  <c r="AN109" i="1"/>
  <c r="AN118" i="1"/>
  <c r="AN99" i="1"/>
  <c r="AN175" i="1"/>
  <c r="AN233" i="1" s="1"/>
  <c r="AN220" i="1"/>
  <c r="AR221" i="1" s="1"/>
  <c r="AN58" i="1"/>
  <c r="AN23" i="1"/>
  <c r="AN160" i="1"/>
  <c r="C457" i="3"/>
  <c r="C455" i="3"/>
  <c r="D455" i="3" s="1"/>
  <c r="K421" i="3"/>
  <c r="C443" i="3"/>
  <c r="D443" i="3" s="1"/>
  <c r="AN41" i="2"/>
  <c r="AM68" i="2"/>
  <c r="AM23" i="1"/>
  <c r="C472" i="3"/>
  <c r="K463" i="3" s="1"/>
  <c r="C502" i="3"/>
  <c r="K464" i="3"/>
  <c r="L464" i="3" s="1"/>
  <c r="K466" i="3"/>
  <c r="AM226" i="1"/>
  <c r="AM233" i="1"/>
  <c r="AM227" i="1"/>
  <c r="AM230" i="1"/>
  <c r="AM237" i="1"/>
  <c r="AM120" i="1"/>
  <c r="AM65" i="1"/>
  <c r="AM68" i="1" s="1"/>
  <c r="AM166" i="1"/>
  <c r="AM224" i="1" s="1"/>
  <c r="AM58" i="1"/>
  <c r="AM160" i="1"/>
  <c r="AQ161" i="1" s="1"/>
  <c r="AM220" i="1"/>
  <c r="AM171" i="1"/>
  <c r="AM229" i="1" s="1"/>
  <c r="AM47" i="2"/>
  <c r="AM28" i="2"/>
  <c r="AM48" i="2" s="1"/>
  <c r="AL72" i="2"/>
  <c r="AL71" i="2"/>
  <c r="AL69" i="2"/>
  <c r="L505" i="3"/>
  <c r="C518" i="3"/>
  <c r="C516" i="3"/>
  <c r="J127" i="1"/>
  <c r="J112" i="1"/>
  <c r="J108" i="1"/>
  <c r="J118" i="1" s="1"/>
  <c r="AL118" i="1" s="1"/>
  <c r="J107" i="1"/>
  <c r="J98" i="1"/>
  <c r="AL98" i="1" s="1"/>
  <c r="J97" i="1"/>
  <c r="AL97" i="1" s="1"/>
  <c r="J96" i="1"/>
  <c r="J102" i="1" s="1"/>
  <c r="J95" i="1"/>
  <c r="AL95" i="1" s="1"/>
  <c r="J70" i="1"/>
  <c r="J175" i="1" s="1"/>
  <c r="J233" i="1" s="1"/>
  <c r="J71" i="1"/>
  <c r="J176" i="1" s="1"/>
  <c r="J234" i="1" s="1"/>
  <c r="I69" i="1"/>
  <c r="J67" i="1"/>
  <c r="J172" i="1" s="1"/>
  <c r="J230" i="1" s="1"/>
  <c r="J69" i="1"/>
  <c r="J174" i="1" s="1"/>
  <c r="J232" i="1" s="1"/>
  <c r="J66" i="1"/>
  <c r="J90" i="1" s="1"/>
  <c r="J62" i="1"/>
  <c r="J167" i="1" s="1"/>
  <c r="J225" i="1" s="1"/>
  <c r="I62" i="1"/>
  <c r="J28" i="1"/>
  <c r="AL28" i="1" s="1"/>
  <c r="H18" i="1"/>
  <c r="J7" i="1"/>
  <c r="J10" i="1" s="1"/>
  <c r="J76" i="2"/>
  <c r="J74" i="2" s="1"/>
  <c r="J70" i="2"/>
  <c r="J68" i="2" s="1"/>
  <c r="J65" i="2"/>
  <c r="J60" i="2"/>
  <c r="J54" i="2"/>
  <c r="J41" i="2"/>
  <c r="J42" i="2" s="1"/>
  <c r="J25" i="2"/>
  <c r="J47" i="2" s="1"/>
  <c r="J17" i="2"/>
  <c r="J46" i="2" s="1"/>
  <c r="J9" i="2"/>
  <c r="J45" i="2" s="1"/>
  <c r="AL78" i="2"/>
  <c r="AL77" i="2"/>
  <c r="AL75" i="2"/>
  <c r="AL64" i="2"/>
  <c r="AL63" i="2"/>
  <c r="AL59" i="2"/>
  <c r="AL58" i="2"/>
  <c r="AL57" i="2"/>
  <c r="AL53" i="2"/>
  <c r="AL52" i="2"/>
  <c r="AL51" i="2"/>
  <c r="J204" i="1"/>
  <c r="J216" i="1" s="1"/>
  <c r="J203" i="1"/>
  <c r="J215" i="1" s="1"/>
  <c r="J179" i="1"/>
  <c r="J237" i="1" s="1"/>
  <c r="J177" i="1"/>
  <c r="J235" i="1" s="1"/>
  <c r="J169" i="1"/>
  <c r="J227" i="1" s="1"/>
  <c r="J168" i="1"/>
  <c r="J226" i="1" s="1"/>
  <c r="J162" i="1"/>
  <c r="K163" i="1" s="1"/>
  <c r="J158" i="1"/>
  <c r="J157" i="1"/>
  <c r="J152" i="1"/>
  <c r="J209" i="1" s="1"/>
  <c r="J147" i="1"/>
  <c r="J146" i="1"/>
  <c r="J131" i="1"/>
  <c r="J88" i="1"/>
  <c r="J87" i="1"/>
  <c r="J187" i="1" s="1"/>
  <c r="J61" i="1"/>
  <c r="J57" i="1"/>
  <c r="J48" i="1"/>
  <c r="J60" i="1" s="1"/>
  <c r="J82" i="1" s="1"/>
  <c r="J93" i="1" s="1"/>
  <c r="AL204" i="1"/>
  <c r="AL216" i="1" s="1"/>
  <c r="AL203" i="1"/>
  <c r="AL215" i="1" s="1"/>
  <c r="AL158" i="1"/>
  <c r="AL157" i="1"/>
  <c r="AL147" i="1"/>
  <c r="AL146" i="1"/>
  <c r="AL131" i="1"/>
  <c r="AL122" i="1"/>
  <c r="AL152" i="1" s="1"/>
  <c r="AL113" i="1"/>
  <c r="AL249" i="1" s="1"/>
  <c r="AL50" i="1"/>
  <c r="AL48" i="1"/>
  <c r="AL60" i="1" s="1"/>
  <c r="AL82" i="1" s="1"/>
  <c r="AL93" i="1" s="1"/>
  <c r="AL27" i="1"/>
  <c r="AL25" i="1"/>
  <c r="AL22" i="1"/>
  <c r="AL21" i="1"/>
  <c r="AL20" i="1"/>
  <c r="AL19" i="1"/>
  <c r="AL18" i="1"/>
  <c r="AL17" i="1"/>
  <c r="AL16" i="1"/>
  <c r="AL15" i="1"/>
  <c r="AL14" i="1"/>
  <c r="AL13" i="1"/>
  <c r="AL12" i="1"/>
  <c r="AL9" i="1"/>
  <c r="C544" i="3"/>
  <c r="C514" i="3"/>
  <c r="C546" i="3" s="1"/>
  <c r="C567" i="3"/>
  <c r="C565" i="3"/>
  <c r="C578" i="3" s="1"/>
  <c r="L550" i="3"/>
  <c r="L549" i="3"/>
  <c r="C589" i="3"/>
  <c r="C559" i="3"/>
  <c r="C591" i="3" s="1"/>
  <c r="AK76" i="2"/>
  <c r="AK74" i="2" s="1"/>
  <c r="AK70" i="2"/>
  <c r="AK68" i="2" s="1"/>
  <c r="AK65" i="2"/>
  <c r="AK60" i="2"/>
  <c r="AK54" i="2"/>
  <c r="AK119" i="1"/>
  <c r="AK95" i="1"/>
  <c r="AJ63" i="1"/>
  <c r="AK56" i="1"/>
  <c r="AO57" i="1" s="1"/>
  <c r="AK204" i="1"/>
  <c r="AK216" i="1" s="1"/>
  <c r="AK203" i="1"/>
  <c r="AK215" i="1" s="1"/>
  <c r="AK158" i="1"/>
  <c r="AK157" i="1"/>
  <c r="AK152" i="1"/>
  <c r="AK209" i="1" s="1"/>
  <c r="AK147" i="1"/>
  <c r="AK146" i="1"/>
  <c r="AK131" i="1"/>
  <c r="AK118" i="1"/>
  <c r="AK117" i="1"/>
  <c r="AK114" i="1"/>
  <c r="AK109" i="1"/>
  <c r="AK102" i="1"/>
  <c r="AK99" i="1"/>
  <c r="AK48" i="1"/>
  <c r="AK60" i="1" s="1"/>
  <c r="AK82" i="1" s="1"/>
  <c r="AK93" i="1" s="1"/>
  <c r="AK38" i="1"/>
  <c r="AK37" i="1"/>
  <c r="AK36" i="1"/>
  <c r="AK10" i="1"/>
  <c r="AO11" i="1" s="1"/>
  <c r="AK8" i="1"/>
  <c r="C635" i="3"/>
  <c r="AJ119" i="1"/>
  <c r="C609" i="3" s="1"/>
  <c r="C613" i="3"/>
  <c r="C611" i="3"/>
  <c r="C605" i="3"/>
  <c r="C637" i="3" s="1"/>
  <c r="C659" i="3"/>
  <c r="C657" i="3"/>
  <c r="AJ60" i="2"/>
  <c r="AJ40" i="2"/>
  <c r="AJ39" i="2"/>
  <c r="AJ38" i="2"/>
  <c r="AJ27" i="2"/>
  <c r="AJ26" i="2"/>
  <c r="AJ24" i="2"/>
  <c r="AJ22" i="2"/>
  <c r="AJ20" i="2"/>
  <c r="AJ19" i="2"/>
  <c r="AJ16" i="2"/>
  <c r="AJ13" i="2"/>
  <c r="AK12" i="2"/>
  <c r="AK11" i="2"/>
  <c r="AJ76" i="2"/>
  <c r="AJ74" i="2" s="1"/>
  <c r="AJ70" i="2"/>
  <c r="AJ68" i="2" s="1"/>
  <c r="AJ65" i="2"/>
  <c r="AJ54" i="2"/>
  <c r="AJ23" i="2"/>
  <c r="AJ21" i="2"/>
  <c r="AJ15" i="2"/>
  <c r="AJ14" i="2"/>
  <c r="AJ95" i="1"/>
  <c r="AJ75" i="1"/>
  <c r="AJ72" i="1"/>
  <c r="AJ70" i="1"/>
  <c r="AJ67" i="1"/>
  <c r="AJ64" i="1"/>
  <c r="AJ204" i="1"/>
  <c r="AJ216" i="1" s="1"/>
  <c r="AJ203" i="1"/>
  <c r="AJ215" i="1" s="1"/>
  <c r="AJ158" i="1"/>
  <c r="AJ157" i="1"/>
  <c r="AJ152" i="1"/>
  <c r="AJ147" i="1"/>
  <c r="AJ146" i="1"/>
  <c r="AJ131" i="1"/>
  <c r="AJ118" i="1"/>
  <c r="AJ117" i="1"/>
  <c r="AJ114" i="1"/>
  <c r="AJ109" i="1"/>
  <c r="AJ102" i="1"/>
  <c r="AJ99" i="1"/>
  <c r="AJ61" i="1"/>
  <c r="AJ162" i="1"/>
  <c r="AN163" i="1" s="1"/>
  <c r="AJ48" i="1"/>
  <c r="AJ60" i="1" s="1"/>
  <c r="AJ82" i="1" s="1"/>
  <c r="AJ93" i="1" s="1"/>
  <c r="AJ38" i="1"/>
  <c r="AJ37" i="1"/>
  <c r="AJ36" i="1"/>
  <c r="AJ10" i="1"/>
  <c r="AJ8" i="1"/>
  <c r="AI119" i="1"/>
  <c r="C681" i="3"/>
  <c r="C651" i="3"/>
  <c r="C654" i="3" s="1"/>
  <c r="AI76" i="2"/>
  <c r="AI74" i="2" s="1"/>
  <c r="AI70" i="2"/>
  <c r="AI68" i="2" s="1"/>
  <c r="AI65" i="2"/>
  <c r="AI60" i="2"/>
  <c r="AI54" i="2"/>
  <c r="AI41" i="2"/>
  <c r="AI25" i="2"/>
  <c r="AI47" i="2" s="1"/>
  <c r="AI17" i="2"/>
  <c r="AI9" i="2"/>
  <c r="AH119" i="1"/>
  <c r="AE95" i="1"/>
  <c r="AI95" i="1"/>
  <c r="AI71" i="1"/>
  <c r="AI176" i="1" s="1"/>
  <c r="AI69" i="1"/>
  <c r="AI174" i="1" s="1"/>
  <c r="AI66" i="1"/>
  <c r="AI167" i="1"/>
  <c r="AI204" i="1"/>
  <c r="AI216" i="1" s="1"/>
  <c r="AI203" i="1"/>
  <c r="AI215" i="1" s="1"/>
  <c r="AI179" i="1"/>
  <c r="AI177" i="1"/>
  <c r="AI175" i="1"/>
  <c r="AI172" i="1"/>
  <c r="AI169" i="1"/>
  <c r="AI168" i="1"/>
  <c r="AI162" i="1"/>
  <c r="AM163" i="1" s="1"/>
  <c r="AI158" i="1"/>
  <c r="AI157" i="1"/>
  <c r="AI152" i="1"/>
  <c r="AI147" i="1"/>
  <c r="AI146" i="1"/>
  <c r="AI131" i="1"/>
  <c r="AI118" i="1"/>
  <c r="AI117" i="1"/>
  <c r="AI114" i="1"/>
  <c r="AI109" i="1"/>
  <c r="AI102" i="1"/>
  <c r="AI99" i="1"/>
  <c r="AI61" i="1"/>
  <c r="AI57" i="1"/>
  <c r="AI48" i="1"/>
  <c r="AI60" i="1" s="1"/>
  <c r="AI82" i="1" s="1"/>
  <c r="AI93" i="1" s="1"/>
  <c r="AI38" i="1"/>
  <c r="AI37" i="1"/>
  <c r="AI36" i="1"/>
  <c r="AI10" i="1"/>
  <c r="AM11" i="1" s="1"/>
  <c r="AI8" i="1"/>
  <c r="AR53" i="1" l="1"/>
  <c r="AR222" i="1"/>
  <c r="L69" i="3"/>
  <c r="M66" i="3"/>
  <c r="M68" i="3"/>
  <c r="F76" i="3"/>
  <c r="F78" i="3"/>
  <c r="AS68" i="1"/>
  <c r="AS46" i="1"/>
  <c r="AS45" i="1"/>
  <c r="AN46" i="1"/>
  <c r="AN45" i="1"/>
  <c r="AI46" i="1"/>
  <c r="AI45" i="1"/>
  <c r="AT187" i="1"/>
  <c r="AT149" i="1"/>
  <c r="AT206" i="1" s="1"/>
  <c r="C139" i="3"/>
  <c r="AS176" i="1"/>
  <c r="AS234" i="1" s="1"/>
  <c r="AT71" i="1"/>
  <c r="AS174" i="1"/>
  <c r="AS232" i="1" s="1"/>
  <c r="AT69" i="1"/>
  <c r="AS167" i="1"/>
  <c r="AT62" i="1"/>
  <c r="AR225" i="1"/>
  <c r="AR170" i="1"/>
  <c r="AR228" i="1" s="1"/>
  <c r="AU206" i="1"/>
  <c r="AU154" i="1"/>
  <c r="AU193" i="1"/>
  <c r="AU192" i="1"/>
  <c r="AU155" i="1"/>
  <c r="AU219" i="1"/>
  <c r="AQ222" i="1"/>
  <c r="AR55" i="1"/>
  <c r="AS171" i="1"/>
  <c r="AS229" i="1" s="1"/>
  <c r="AT66" i="1"/>
  <c r="AR30" i="1"/>
  <c r="AN167" i="1"/>
  <c r="AN65" i="1"/>
  <c r="AN68" i="1" s="1"/>
  <c r="AN173" i="1" s="1"/>
  <c r="AN231" i="1" s="1"/>
  <c r="AT35" i="2"/>
  <c r="AR41" i="1"/>
  <c r="AO24" i="1"/>
  <c r="AO39" i="1"/>
  <c r="L254" i="1"/>
  <c r="AT224" i="1"/>
  <c r="AR40" i="1"/>
  <c r="K103" i="1"/>
  <c r="L11" i="1"/>
  <c r="A373" i="3"/>
  <c r="AP16" i="2"/>
  <c r="AP40" i="2"/>
  <c r="AP38" i="2"/>
  <c r="AP22" i="2"/>
  <c r="AP19" i="2"/>
  <c r="AP21" i="2"/>
  <c r="AP13" i="2"/>
  <c r="AP23" i="2"/>
  <c r="AP24" i="2"/>
  <c r="AR87" i="1"/>
  <c r="C249" i="3" s="1"/>
  <c r="K238" i="3" s="1"/>
  <c r="AP87" i="1"/>
  <c r="AP162" i="1"/>
  <c r="AT163" i="1" s="1"/>
  <c r="AQ33" i="1"/>
  <c r="AQ32" i="1"/>
  <c r="AQ87" i="1"/>
  <c r="C299" i="3" s="1"/>
  <c r="E294" i="3" s="1"/>
  <c r="AR32" i="1"/>
  <c r="AR33" i="1"/>
  <c r="K128" i="1"/>
  <c r="K42" i="1"/>
  <c r="AP67" i="1"/>
  <c r="AP75" i="1"/>
  <c r="AS224" i="1"/>
  <c r="AM124" i="1"/>
  <c r="AM184" i="1" s="1"/>
  <c r="AM242" i="1" s="1"/>
  <c r="AM42" i="1"/>
  <c r="AO26" i="1"/>
  <c r="AO29" i="1" s="1"/>
  <c r="AS163" i="1"/>
  <c r="AP72" i="1"/>
  <c r="AO124" i="1"/>
  <c r="AO184" i="1" s="1"/>
  <c r="AO242" i="1" s="1"/>
  <c r="AO42" i="1"/>
  <c r="AP61" i="1"/>
  <c r="AS87" i="1"/>
  <c r="C195" i="3" s="1"/>
  <c r="AS221" i="1"/>
  <c r="AS222" i="1"/>
  <c r="K332" i="3"/>
  <c r="A380" i="3"/>
  <c r="D309" i="3"/>
  <c r="D319" i="3"/>
  <c r="D321" i="3" s="1"/>
  <c r="AO41" i="2"/>
  <c r="AO42" i="2" s="1"/>
  <c r="AP14" i="2"/>
  <c r="D289" i="3"/>
  <c r="D292" i="3" s="1"/>
  <c r="AO69" i="1"/>
  <c r="AO62" i="1"/>
  <c r="K234" i="1"/>
  <c r="AO71" i="1"/>
  <c r="AO66" i="1"/>
  <c r="AN218" i="1"/>
  <c r="AR219" i="1" s="1"/>
  <c r="AR161" i="1"/>
  <c r="AO55" i="1"/>
  <c r="AN171" i="1"/>
  <c r="AN229" i="1" s="1"/>
  <c r="AR173" i="1"/>
  <c r="AR231" i="1" s="1"/>
  <c r="AR73" i="1"/>
  <c r="AR74" i="1" s="1"/>
  <c r="C298" i="3"/>
  <c r="D298" i="3" s="1"/>
  <c r="C341" i="3"/>
  <c r="A376" i="3"/>
  <c r="AO9" i="2"/>
  <c r="AO45" i="2" s="1"/>
  <c r="AP39" i="2"/>
  <c r="AP15" i="2"/>
  <c r="AO17" i="2"/>
  <c r="AO46" i="2" s="1"/>
  <c r="AP12" i="2"/>
  <c r="AP26" i="2"/>
  <c r="AQ144" i="1"/>
  <c r="AQ198" i="1" s="1"/>
  <c r="AQ185" i="1"/>
  <c r="AQ243" i="1" s="1"/>
  <c r="AQ178" i="1"/>
  <c r="AQ236" i="1" s="1"/>
  <c r="AQ180" i="1"/>
  <c r="AQ238" i="1" s="1"/>
  <c r="AQ76" i="1"/>
  <c r="AQ181" i="1" s="1"/>
  <c r="AQ239" i="1" s="1"/>
  <c r="AQ29" i="1"/>
  <c r="AQ41" i="1"/>
  <c r="AQ40" i="1"/>
  <c r="AQ55" i="1"/>
  <c r="AQ53" i="1"/>
  <c r="AQ221" i="1"/>
  <c r="K29" i="2"/>
  <c r="AO168" i="1"/>
  <c r="AO226" i="1" s="1"/>
  <c r="AP63" i="1"/>
  <c r="AO175" i="1"/>
  <c r="AO233" i="1" s="1"/>
  <c r="AP70" i="1"/>
  <c r="AN39" i="1"/>
  <c r="J114" i="1"/>
  <c r="J248" i="1"/>
  <c r="J250" i="1" s="1"/>
  <c r="AO169" i="1"/>
  <c r="AO227" i="1" s="1"/>
  <c r="AP64" i="1"/>
  <c r="AS80" i="1" s="1"/>
  <c r="A418" i="3"/>
  <c r="D366" i="3"/>
  <c r="D334" i="3"/>
  <c r="D337" i="3" s="1"/>
  <c r="AN28" i="2"/>
  <c r="AN33" i="2" s="1"/>
  <c r="AO25" i="2"/>
  <c r="AO47" i="2" s="1"/>
  <c r="AL70" i="2"/>
  <c r="AN45" i="2"/>
  <c r="K35" i="2"/>
  <c r="AN174" i="1"/>
  <c r="AN232" i="1" s="1"/>
  <c r="AL108" i="1"/>
  <c r="J109" i="1"/>
  <c r="J80" i="1" s="1"/>
  <c r="K233" i="1"/>
  <c r="AL112" i="1"/>
  <c r="J36" i="1"/>
  <c r="D379" i="3"/>
  <c r="D382" i="3" s="1"/>
  <c r="D384" i="3" s="1"/>
  <c r="AL127" i="1"/>
  <c r="AL245" i="1" s="1"/>
  <c r="J245" i="1"/>
  <c r="L595" i="3"/>
  <c r="D601" i="3" s="1"/>
  <c r="AJ245" i="1"/>
  <c r="L641" i="3"/>
  <c r="D680" i="3" s="1"/>
  <c r="AI245" i="1"/>
  <c r="AL107" i="1"/>
  <c r="K226" i="1"/>
  <c r="K232" i="1"/>
  <c r="K220" i="1"/>
  <c r="L221" i="1" s="1"/>
  <c r="K237" i="1"/>
  <c r="K224" i="1"/>
  <c r="K252" i="1" s="1"/>
  <c r="K228" i="1"/>
  <c r="K225" i="1"/>
  <c r="K235" i="1"/>
  <c r="K206" i="1"/>
  <c r="K230" i="1"/>
  <c r="K227" i="1"/>
  <c r="K73" i="1"/>
  <c r="K91" i="1"/>
  <c r="AO177" i="1"/>
  <c r="AO235" i="1" s="1"/>
  <c r="K173" i="1"/>
  <c r="K231" i="1" s="1"/>
  <c r="AO172" i="1"/>
  <c r="AO230" i="1" s="1"/>
  <c r="AM49" i="1"/>
  <c r="AM51" i="1" s="1"/>
  <c r="AQ52" i="1" s="1"/>
  <c r="AO179" i="1"/>
  <c r="AO237" i="1" s="1"/>
  <c r="AM173" i="1"/>
  <c r="AM231" i="1" s="1"/>
  <c r="AL96" i="1"/>
  <c r="AL102" i="1" s="1"/>
  <c r="K151" i="1"/>
  <c r="K208" i="1" s="1"/>
  <c r="K124" i="1"/>
  <c r="K137" i="1" s="1"/>
  <c r="K123" i="1"/>
  <c r="J99" i="1"/>
  <c r="K23" i="1"/>
  <c r="K160" i="1"/>
  <c r="L161" i="1" s="1"/>
  <c r="K84" i="1"/>
  <c r="K58" i="1"/>
  <c r="K43" i="1"/>
  <c r="K11" i="1"/>
  <c r="J43" i="1"/>
  <c r="AN49" i="1"/>
  <c r="AN51" i="1" s="1"/>
  <c r="AR52" i="1" s="1"/>
  <c r="J117" i="1"/>
  <c r="AL117" i="1" s="1"/>
  <c r="AL120" i="1" s="1"/>
  <c r="K8" i="1"/>
  <c r="D409" i="3"/>
  <c r="D411" i="3" s="1"/>
  <c r="C384" i="3"/>
  <c r="C390" i="3" s="1"/>
  <c r="K377" i="3"/>
  <c r="K418" i="3"/>
  <c r="K420" i="3" s="1"/>
  <c r="D399" i="3"/>
  <c r="AO128" i="1"/>
  <c r="AO123" i="1"/>
  <c r="AO153" i="1" s="1"/>
  <c r="AO210" i="1" s="1"/>
  <c r="AO151" i="1"/>
  <c r="AO208" i="1" s="1"/>
  <c r="AO166" i="1"/>
  <c r="AO53" i="1"/>
  <c r="AO218" i="1"/>
  <c r="AO164" i="1"/>
  <c r="A421" i="3"/>
  <c r="C429" i="3"/>
  <c r="AN47" i="2"/>
  <c r="AN120" i="1"/>
  <c r="AN42" i="1" s="1"/>
  <c r="AN24" i="1"/>
  <c r="AN26" i="1"/>
  <c r="AN164" i="1"/>
  <c r="AK23" i="2"/>
  <c r="AL23" i="2" s="1"/>
  <c r="AK16" i="2"/>
  <c r="AL16" i="2" s="1"/>
  <c r="AK39" i="2"/>
  <c r="AL39" i="2" s="1"/>
  <c r="AK21" i="2"/>
  <c r="AK19" i="2"/>
  <c r="AL19" i="2" s="1"/>
  <c r="AK40" i="2"/>
  <c r="AL40" i="2" s="1"/>
  <c r="AN42" i="2"/>
  <c r="AK20" i="2"/>
  <c r="AK13" i="2"/>
  <c r="AL13" i="2" s="1"/>
  <c r="AK22" i="2"/>
  <c r="AL22" i="2" s="1"/>
  <c r="AK24" i="2"/>
  <c r="AL24" i="2" s="1"/>
  <c r="AK14" i="2"/>
  <c r="AK26" i="2"/>
  <c r="AL26" i="2" s="1"/>
  <c r="AK38" i="2"/>
  <c r="AK15" i="2"/>
  <c r="AL15" i="2" s="1"/>
  <c r="AJ172" i="1"/>
  <c r="AK61" i="1"/>
  <c r="AL61" i="1" s="1"/>
  <c r="AL166" i="1" s="1"/>
  <c r="AL224" i="1" s="1"/>
  <c r="J37" i="1"/>
  <c r="AK63" i="1"/>
  <c r="AK168" i="1" s="1"/>
  <c r="AK226" i="1" s="1"/>
  <c r="AL7" i="1"/>
  <c r="AL37" i="1" s="1"/>
  <c r="J38" i="1"/>
  <c r="AJ177" i="1"/>
  <c r="AJ103" i="1"/>
  <c r="AN11" i="1"/>
  <c r="AK70" i="1"/>
  <c r="AK175" i="1" s="1"/>
  <c r="AK233" i="1" s="1"/>
  <c r="AK75" i="1"/>
  <c r="AK179" i="1" s="1"/>
  <c r="AK237" i="1" s="1"/>
  <c r="AK64" i="1"/>
  <c r="AK103" i="1"/>
  <c r="J8" i="1"/>
  <c r="AM73" i="1"/>
  <c r="AM178" i="1" s="1"/>
  <c r="AM236" i="1" s="1"/>
  <c r="C474" i="3"/>
  <c r="C480" i="3" s="1"/>
  <c r="A470" i="3"/>
  <c r="A466" i="3"/>
  <c r="A463" i="3"/>
  <c r="K465" i="3"/>
  <c r="AM170" i="1"/>
  <c r="AM228" i="1" s="1"/>
  <c r="AM151" i="1"/>
  <c r="AM208" i="1" s="1"/>
  <c r="AM128" i="1"/>
  <c r="AM123" i="1"/>
  <c r="AM153" i="1" s="1"/>
  <c r="AM210" i="1" s="1"/>
  <c r="AM218" i="1"/>
  <c r="AQ219" i="1" s="1"/>
  <c r="AM26" i="1"/>
  <c r="AM24" i="1"/>
  <c r="AM39" i="1"/>
  <c r="AM164" i="1"/>
  <c r="AM33" i="2"/>
  <c r="AM29" i="2"/>
  <c r="AM32" i="2"/>
  <c r="AM34" i="2"/>
  <c r="L504" i="3"/>
  <c r="D543" i="3" s="1"/>
  <c r="C520" i="3"/>
  <c r="K511" i="3" s="1"/>
  <c r="M65" i="2"/>
  <c r="M76" i="2"/>
  <c r="M74" i="2" s="1"/>
  <c r="AL11" i="2"/>
  <c r="M54" i="2"/>
  <c r="M60" i="2"/>
  <c r="J28" i="2"/>
  <c r="J29" i="2" s="1"/>
  <c r="AL76" i="2"/>
  <c r="AL74" i="2" s="1"/>
  <c r="AL12" i="2"/>
  <c r="AL54" i="2"/>
  <c r="AL60" i="2"/>
  <c r="AL65" i="2"/>
  <c r="AJ25" i="2"/>
  <c r="AK27" i="2"/>
  <c r="J141" i="1"/>
  <c r="J195" i="1" s="1"/>
  <c r="J65" i="1"/>
  <c r="J68" i="1" s="1"/>
  <c r="J173" i="1" s="1"/>
  <c r="J231" i="1" s="1"/>
  <c r="J142" i="1"/>
  <c r="J196" i="1" s="1"/>
  <c r="J45" i="1"/>
  <c r="J46" i="1"/>
  <c r="J58" i="1"/>
  <c r="J84" i="1"/>
  <c r="J148" i="1" s="1"/>
  <c r="J205" i="1" s="1"/>
  <c r="J166" i="1"/>
  <c r="J103" i="1"/>
  <c r="AL209" i="1"/>
  <c r="J149" i="1"/>
  <c r="J23" i="1"/>
  <c r="J220" i="1"/>
  <c r="J160" i="1"/>
  <c r="J171" i="1"/>
  <c r="J229" i="1" s="1"/>
  <c r="AL56" i="1"/>
  <c r="C575" i="3"/>
  <c r="C579" i="3" s="1"/>
  <c r="D587" i="3"/>
  <c r="AK67" i="1"/>
  <c r="D578" i="3"/>
  <c r="AJ168" i="1"/>
  <c r="C563" i="3"/>
  <c r="D563" i="3" s="1"/>
  <c r="AI65" i="1"/>
  <c r="AI68" i="1" s="1"/>
  <c r="AJ179" i="1"/>
  <c r="AK72" i="1"/>
  <c r="D554" i="3"/>
  <c r="D588" i="3"/>
  <c r="AI120" i="1"/>
  <c r="AJ71" i="1"/>
  <c r="AK23" i="1"/>
  <c r="AJ62" i="1"/>
  <c r="AJ69" i="1"/>
  <c r="AK120" i="1"/>
  <c r="K509" i="3"/>
  <c r="AJ66" i="1"/>
  <c r="C655" i="3"/>
  <c r="C656" i="3" s="1"/>
  <c r="D565" i="3"/>
  <c r="L556" i="3" s="1"/>
  <c r="AJ175" i="1"/>
  <c r="D574" i="3"/>
  <c r="C547" i="3"/>
  <c r="C545" i="3"/>
  <c r="D560" i="3"/>
  <c r="D584" i="3"/>
  <c r="D561" i="3"/>
  <c r="D585" i="3"/>
  <c r="D586" i="3"/>
  <c r="C517" i="3"/>
  <c r="D555" i="3"/>
  <c r="D557" i="3"/>
  <c r="D577" i="3"/>
  <c r="D558" i="3"/>
  <c r="C562" i="3"/>
  <c r="C590" i="3"/>
  <c r="D590" i="3" s="1"/>
  <c r="C592" i="3"/>
  <c r="K556" i="3"/>
  <c r="AK162" i="1"/>
  <c r="AK58" i="1"/>
  <c r="AK160" i="1"/>
  <c r="AO161" i="1" s="1"/>
  <c r="AJ120" i="1"/>
  <c r="C624" i="3"/>
  <c r="C608" i="3"/>
  <c r="C638" i="3"/>
  <c r="C636" i="3"/>
  <c r="K600" i="3"/>
  <c r="K602" i="3"/>
  <c r="AJ17" i="2"/>
  <c r="AJ46" i="2" s="1"/>
  <c r="AJ9" i="2"/>
  <c r="AJ45" i="2" s="1"/>
  <c r="AJ41" i="2"/>
  <c r="AJ209" i="1"/>
  <c r="AJ166" i="1"/>
  <c r="AJ23" i="1"/>
  <c r="AJ49" i="1" s="1"/>
  <c r="AJ51" i="1" s="1"/>
  <c r="AJ58" i="1"/>
  <c r="AJ160" i="1"/>
  <c r="AN161" i="1" s="1"/>
  <c r="AJ169" i="1"/>
  <c r="C670" i="3"/>
  <c r="A648" i="3"/>
  <c r="A652" i="3"/>
  <c r="K645" i="3"/>
  <c r="A645" i="3"/>
  <c r="C683" i="3"/>
  <c r="K648" i="3"/>
  <c r="AI42" i="2"/>
  <c r="AI28" i="2"/>
  <c r="AI48" i="2" s="1"/>
  <c r="AI45" i="2"/>
  <c r="AI46" i="2"/>
  <c r="AI209" i="1"/>
  <c r="AI166" i="1"/>
  <c r="AI170" i="1" s="1"/>
  <c r="AI23" i="1"/>
  <c r="AI39" i="1" s="1"/>
  <c r="AI58" i="1"/>
  <c r="AI103" i="1"/>
  <c r="AI160" i="1"/>
  <c r="AM161" i="1" s="1"/>
  <c r="AI171" i="1"/>
  <c r="I119" i="1"/>
  <c r="N66" i="3" l="1"/>
  <c r="N68" i="3"/>
  <c r="AQ80" i="1"/>
  <c r="AR80" i="1"/>
  <c r="AS73" i="1"/>
  <c r="AS74" i="1" s="1"/>
  <c r="AS173" i="1"/>
  <c r="AS231" i="1" s="1"/>
  <c r="AL64" i="1"/>
  <c r="AO80" i="1" s="1"/>
  <c r="AN80" i="1"/>
  <c r="AT176" i="1"/>
  <c r="AT234" i="1" s="1"/>
  <c r="AT174" i="1"/>
  <c r="AT232" i="1" s="1"/>
  <c r="AS225" i="1"/>
  <c r="AS170" i="1"/>
  <c r="AS228" i="1" s="1"/>
  <c r="AT46" i="1"/>
  <c r="AT45" i="1"/>
  <c r="C344" i="3"/>
  <c r="E339" i="3" s="1"/>
  <c r="AP187" i="1"/>
  <c r="AP149" i="1"/>
  <c r="AP206" i="1" s="1"/>
  <c r="AP66" i="1"/>
  <c r="AO46" i="1"/>
  <c r="AO45" i="1"/>
  <c r="AJ46" i="1"/>
  <c r="AJ45" i="1"/>
  <c r="E136" i="3"/>
  <c r="E134" i="3"/>
  <c r="D139" i="3"/>
  <c r="K127" i="3"/>
  <c r="AN225" i="1"/>
  <c r="AN170" i="1"/>
  <c r="AN228" i="1" s="1"/>
  <c r="AU212" i="1"/>
  <c r="AU211" i="1"/>
  <c r="AU90" i="1"/>
  <c r="AU141" i="1" s="1"/>
  <c r="AU195" i="1" s="1"/>
  <c r="AU252" i="1"/>
  <c r="AT252" i="1"/>
  <c r="AL248" i="1"/>
  <c r="AL250" i="1" s="1"/>
  <c r="AL114" i="1"/>
  <c r="AP25" i="2"/>
  <c r="AP47" i="2" s="1"/>
  <c r="AP177" i="1"/>
  <c r="AP235" i="1" s="1"/>
  <c r="AN73" i="1"/>
  <c r="AN178" i="1" s="1"/>
  <c r="AN236" i="1" s="1"/>
  <c r="AR136" i="1"/>
  <c r="AP220" i="1"/>
  <c r="AT221" i="1" s="1"/>
  <c r="AQ30" i="1"/>
  <c r="D249" i="3"/>
  <c r="F244" i="3" s="1"/>
  <c r="AR137" i="1"/>
  <c r="AR193" i="1" s="1"/>
  <c r="AR134" i="1"/>
  <c r="AR190" i="1" s="1"/>
  <c r="AR149" i="1"/>
  <c r="AR206" i="1" s="1"/>
  <c r="K184" i="3"/>
  <c r="D195" i="3"/>
  <c r="E190" i="3"/>
  <c r="E192" i="3"/>
  <c r="AR133" i="1"/>
  <c r="AR189" i="1" s="1"/>
  <c r="AR187" i="1"/>
  <c r="M25" i="2"/>
  <c r="AP17" i="2"/>
  <c r="AP46" i="2" s="1"/>
  <c r="AO28" i="2"/>
  <c r="AO29" i="2" s="1"/>
  <c r="AP41" i="2"/>
  <c r="AP42" i="2" s="1"/>
  <c r="AN29" i="2"/>
  <c r="AN34" i="2"/>
  <c r="AN48" i="2"/>
  <c r="AP172" i="1"/>
  <c r="AP230" i="1" s="1"/>
  <c r="E246" i="3"/>
  <c r="AO40" i="1"/>
  <c r="AO41" i="1"/>
  <c r="E244" i="3"/>
  <c r="E296" i="3"/>
  <c r="AQ134" i="1"/>
  <c r="AQ190" i="1" s="1"/>
  <c r="AQ137" i="1"/>
  <c r="AQ193" i="1" s="1"/>
  <c r="AQ133" i="1"/>
  <c r="AQ189" i="1" s="1"/>
  <c r="AQ149" i="1"/>
  <c r="AQ206" i="1" s="1"/>
  <c r="AQ187" i="1"/>
  <c r="AQ136" i="1"/>
  <c r="AQ192" i="1" s="1"/>
  <c r="K288" i="3"/>
  <c r="M285" i="3" s="1"/>
  <c r="D299" i="3"/>
  <c r="L288" i="3" s="1"/>
  <c r="AP179" i="1"/>
  <c r="AP237" i="1" s="1"/>
  <c r="AM33" i="1"/>
  <c r="AM32" i="1"/>
  <c r="AN29" i="1"/>
  <c r="AN30" i="1" s="1"/>
  <c r="AN32" i="1"/>
  <c r="AN33" i="1"/>
  <c r="AO32" i="1"/>
  <c r="AO33" i="1"/>
  <c r="AJ128" i="1"/>
  <c r="AK151" i="1"/>
  <c r="AK208" i="1" s="1"/>
  <c r="AO176" i="1"/>
  <c r="AO234" i="1" s="1"/>
  <c r="AL99" i="1"/>
  <c r="AL124" i="1"/>
  <c r="AL184" i="1" s="1"/>
  <c r="AL242" i="1" s="1"/>
  <c r="AL42" i="1"/>
  <c r="AQ88" i="1"/>
  <c r="AQ142" i="1" s="1"/>
  <c r="AQ196" i="1" s="1"/>
  <c r="AS88" i="1"/>
  <c r="AP71" i="1"/>
  <c r="AQ263" i="1"/>
  <c r="J133" i="1"/>
  <c r="J189" i="1" s="1"/>
  <c r="AS178" i="1"/>
  <c r="AS236" i="1" s="1"/>
  <c r="AP69" i="1"/>
  <c r="K261" i="1"/>
  <c r="K260" i="1"/>
  <c r="AI123" i="1"/>
  <c r="AN222" i="1"/>
  <c r="AO222" i="1"/>
  <c r="AS219" i="1"/>
  <c r="AO174" i="1"/>
  <c r="AO232" i="1" s="1"/>
  <c r="AS149" i="1"/>
  <c r="AS133" i="1"/>
  <c r="AS189" i="1" s="1"/>
  <c r="AS187" i="1"/>
  <c r="AS134" i="1"/>
  <c r="AS190" i="1" s="1"/>
  <c r="AS137" i="1"/>
  <c r="AS136" i="1"/>
  <c r="L238" i="3"/>
  <c r="M235" i="3"/>
  <c r="M237" i="3"/>
  <c r="K422" i="3"/>
  <c r="AP9" i="2"/>
  <c r="AP45" i="2" s="1"/>
  <c r="AK41" i="2"/>
  <c r="AK42" i="2" s="1"/>
  <c r="L283" i="3"/>
  <c r="L285" i="3" s="1"/>
  <c r="D294" i="3"/>
  <c r="AR88" i="1"/>
  <c r="AR142" i="1" s="1"/>
  <c r="AR196" i="1" s="1"/>
  <c r="AO65" i="1"/>
  <c r="AO68" i="1" s="1"/>
  <c r="AO173" i="1" s="1"/>
  <c r="AO231" i="1" s="1"/>
  <c r="AR178" i="1"/>
  <c r="AR236" i="1" s="1"/>
  <c r="AO171" i="1"/>
  <c r="AO229" i="1" s="1"/>
  <c r="AR90" i="1"/>
  <c r="AO167" i="1"/>
  <c r="AO225" i="1" s="1"/>
  <c r="AP62" i="1"/>
  <c r="C343" i="3"/>
  <c r="D343" i="3" s="1"/>
  <c r="AN32" i="2"/>
  <c r="J134" i="1"/>
  <c r="J190" i="1" s="1"/>
  <c r="D646" i="3"/>
  <c r="AN53" i="1"/>
  <c r="AL109" i="1"/>
  <c r="AL80" i="1" s="1"/>
  <c r="D624" i="3"/>
  <c r="D339" i="3"/>
  <c r="L328" i="3"/>
  <c r="L330" i="3" s="1"/>
  <c r="D634" i="3"/>
  <c r="D632" i="3"/>
  <c r="AK17" i="2"/>
  <c r="AK46" i="2" s="1"/>
  <c r="AL38" i="2"/>
  <c r="M41" i="2" s="1"/>
  <c r="D649" i="3"/>
  <c r="K211" i="1"/>
  <c r="AJ230" i="1"/>
  <c r="D620" i="3"/>
  <c r="C522" i="3"/>
  <c r="D631" i="3"/>
  <c r="D679" i="3"/>
  <c r="D607" i="3"/>
  <c r="K221" i="1"/>
  <c r="D604" i="3"/>
  <c r="C621" i="3"/>
  <c r="C625" i="3" s="1"/>
  <c r="J120" i="1"/>
  <c r="J151" i="1" s="1"/>
  <c r="J208" i="1" s="1"/>
  <c r="D647" i="3"/>
  <c r="D669" i="3"/>
  <c r="D678" i="3"/>
  <c r="D623" i="3"/>
  <c r="D609" i="3"/>
  <c r="D630" i="3"/>
  <c r="D666" i="3"/>
  <c r="C667" i="3"/>
  <c r="D600" i="3"/>
  <c r="D657" i="3"/>
  <c r="D652" i="3"/>
  <c r="D677" i="3"/>
  <c r="L600" i="3"/>
  <c r="D633" i="3"/>
  <c r="D606" i="3"/>
  <c r="D650" i="3"/>
  <c r="D670" i="3"/>
  <c r="D653" i="3"/>
  <c r="D676" i="3"/>
  <c r="D636" i="3"/>
  <c r="D611" i="3"/>
  <c r="L602" i="3" s="1"/>
  <c r="D603" i="3"/>
  <c r="AL10" i="1"/>
  <c r="AL58" i="1" s="1"/>
  <c r="AL36" i="1"/>
  <c r="AL38" i="1"/>
  <c r="AN41" i="1"/>
  <c r="K178" i="1"/>
  <c r="K236" i="1" s="1"/>
  <c r="K74" i="1"/>
  <c r="AN40" i="1"/>
  <c r="AJ235" i="1"/>
  <c r="AM185" i="1"/>
  <c r="AM243" i="1" s="1"/>
  <c r="AN87" i="1"/>
  <c r="C434" i="3" s="1"/>
  <c r="D434" i="3" s="1"/>
  <c r="L423" i="3" s="1"/>
  <c r="AP57" i="1"/>
  <c r="AN55" i="1"/>
  <c r="AN52" i="1"/>
  <c r="AJ227" i="1"/>
  <c r="AO88" i="1"/>
  <c r="AL63" i="1"/>
  <c r="AJ237" i="1"/>
  <c r="AJ220" i="1"/>
  <c r="AK166" i="1"/>
  <c r="AK224" i="1" s="1"/>
  <c r="AN252" i="1" s="1"/>
  <c r="K153" i="1"/>
  <c r="K210" i="1" s="1"/>
  <c r="K212" i="1" s="1"/>
  <c r="K144" i="1"/>
  <c r="K198" i="1" s="1"/>
  <c r="K185" i="1"/>
  <c r="K243" i="1" s="1"/>
  <c r="K254" i="1" s="1"/>
  <c r="K136" i="1"/>
  <c r="L373" i="3"/>
  <c r="L375" i="3" s="1"/>
  <c r="K148" i="1"/>
  <c r="K100" i="1"/>
  <c r="K184" i="1"/>
  <c r="K242" i="1" s="1"/>
  <c r="K258" i="1" s="1"/>
  <c r="AK220" i="1"/>
  <c r="AO163" i="1"/>
  <c r="AJ226" i="1"/>
  <c r="AO87" i="1"/>
  <c r="AO136" i="1" s="1"/>
  <c r="K161" i="1"/>
  <c r="K218" i="1"/>
  <c r="L219" i="1" s="1"/>
  <c r="K164" i="1"/>
  <c r="AJ233" i="1"/>
  <c r="AM88" i="1"/>
  <c r="K85" i="1"/>
  <c r="K49" i="1"/>
  <c r="K51" i="1" s="1"/>
  <c r="L52" i="1" s="1"/>
  <c r="K39" i="1"/>
  <c r="K26" i="1"/>
  <c r="K24" i="1"/>
  <c r="AO144" i="1"/>
  <c r="AO198" i="1" s="1"/>
  <c r="C386" i="3"/>
  <c r="L509" i="3"/>
  <c r="D386" i="3"/>
  <c r="AO185" i="1"/>
  <c r="AO243" i="1" s="1"/>
  <c r="AO224" i="1"/>
  <c r="AO30" i="1"/>
  <c r="C435" i="3"/>
  <c r="C431" i="3"/>
  <c r="AN128" i="1"/>
  <c r="AN124" i="1"/>
  <c r="AN184" i="1" s="1"/>
  <c r="AN242" i="1" s="1"/>
  <c r="AN151" i="1"/>
  <c r="AN208" i="1" s="1"/>
  <c r="AN123" i="1"/>
  <c r="C444" i="3"/>
  <c r="D424" i="3"/>
  <c r="D427" i="3" s="1"/>
  <c r="L421" i="3"/>
  <c r="AL20" i="2"/>
  <c r="AJ47" i="2"/>
  <c r="AL21" i="2"/>
  <c r="AK9" i="2"/>
  <c r="AK45" i="2" s="1"/>
  <c r="AL14" i="2"/>
  <c r="AL9" i="2" s="1"/>
  <c r="AM87" i="1"/>
  <c r="AM136" i="1" s="1"/>
  <c r="AM192" i="1" s="1"/>
  <c r="AK66" i="1"/>
  <c r="D488" i="3"/>
  <c r="C485" i="3"/>
  <c r="C489" i="3" s="1"/>
  <c r="AK24" i="1"/>
  <c r="K554" i="3"/>
  <c r="L554" i="3" s="1"/>
  <c r="L596" i="3"/>
  <c r="AL70" i="1"/>
  <c r="D518" i="3"/>
  <c r="AL75" i="1"/>
  <c r="D529" i="3"/>
  <c r="D500" i="3"/>
  <c r="C564" i="3"/>
  <c r="C566" i="3" s="1"/>
  <c r="AK169" i="1"/>
  <c r="AK227" i="1" s="1"/>
  <c r="AN88" i="1"/>
  <c r="AJ65" i="1"/>
  <c r="AJ68" i="1" s="1"/>
  <c r="AM74" i="1"/>
  <c r="C476" i="3"/>
  <c r="C478" i="3" s="1"/>
  <c r="D515" i="3"/>
  <c r="K467" i="3"/>
  <c r="D520" i="3"/>
  <c r="L511" i="3" s="1"/>
  <c r="D496" i="3"/>
  <c r="D495" i="3"/>
  <c r="D484" i="3"/>
  <c r="D494" i="3"/>
  <c r="D465" i="3"/>
  <c r="D498" i="3"/>
  <c r="D468" i="3"/>
  <c r="D464" i="3"/>
  <c r="D497" i="3"/>
  <c r="D487" i="3"/>
  <c r="D470" i="3"/>
  <c r="D467" i="3"/>
  <c r="D473" i="3"/>
  <c r="D471" i="3"/>
  <c r="D475" i="3"/>
  <c r="L466" i="3" s="1"/>
  <c r="AM144" i="1"/>
  <c r="AM198" i="1" s="1"/>
  <c r="AM55" i="1"/>
  <c r="AM53" i="1"/>
  <c r="AM41" i="1"/>
  <c r="AM40" i="1"/>
  <c r="AM29" i="1"/>
  <c r="AM222" i="1"/>
  <c r="AM35" i="2"/>
  <c r="J100" i="1"/>
  <c r="C533" i="3"/>
  <c r="D533" i="3" s="1"/>
  <c r="D532" i="3"/>
  <c r="D539" i="3"/>
  <c r="D545" i="3"/>
  <c r="D516" i="3"/>
  <c r="C530" i="3"/>
  <c r="D509" i="3"/>
  <c r="D513" i="3"/>
  <c r="D512" i="3"/>
  <c r="D510" i="3"/>
  <c r="D542" i="3"/>
  <c r="D541" i="3"/>
  <c r="D540" i="3"/>
  <c r="AL123" i="1"/>
  <c r="AL153" i="1" s="1"/>
  <c r="AL210" i="1" s="1"/>
  <c r="AL151" i="1"/>
  <c r="AL208" i="1" s="1"/>
  <c r="J91" i="1"/>
  <c r="J73" i="1"/>
  <c r="J34" i="2"/>
  <c r="J48" i="2"/>
  <c r="AL68" i="2"/>
  <c r="J32" i="2"/>
  <c r="J33" i="2"/>
  <c r="AK25" i="2"/>
  <c r="AK47" i="2" s="1"/>
  <c r="AL27" i="2"/>
  <c r="AI128" i="1"/>
  <c r="C662" i="3"/>
  <c r="AL128" i="1"/>
  <c r="AJ224" i="1"/>
  <c r="AK123" i="1"/>
  <c r="AK153" i="1" s="1"/>
  <c r="AK210" i="1" s="1"/>
  <c r="AL87" i="1"/>
  <c r="AL169" i="1"/>
  <c r="AL227" i="1" s="1"/>
  <c r="J170" i="1"/>
  <c r="J228" i="1" s="1"/>
  <c r="J224" i="1"/>
  <c r="J252" i="1" s="1"/>
  <c r="J39" i="1"/>
  <c r="J26" i="1"/>
  <c r="J85" i="1"/>
  <c r="J49" i="1"/>
  <c r="J51" i="1" s="1"/>
  <c r="J24" i="1"/>
  <c r="J206" i="1"/>
  <c r="J207" i="1" s="1"/>
  <c r="J150" i="1"/>
  <c r="J218" i="1"/>
  <c r="J164" i="1"/>
  <c r="AL88" i="1"/>
  <c r="AK177" i="1"/>
  <c r="AK235" i="1" s="1"/>
  <c r="AL72" i="1"/>
  <c r="AL162" i="1"/>
  <c r="AP163" i="1" s="1"/>
  <c r="AK172" i="1"/>
  <c r="AK230" i="1" s="1"/>
  <c r="AL67" i="1"/>
  <c r="AK164" i="1"/>
  <c r="AJ171" i="1"/>
  <c r="AJ229" i="1" s="1"/>
  <c r="AJ123" i="1"/>
  <c r="AJ153" i="1" s="1"/>
  <c r="AJ210" i="1" s="1"/>
  <c r="D579" i="3"/>
  <c r="AJ151" i="1"/>
  <c r="AJ208" i="1" s="1"/>
  <c r="AK124" i="1"/>
  <c r="AK184" i="1" s="1"/>
  <c r="AK242" i="1" s="1"/>
  <c r="AK128" i="1"/>
  <c r="AJ167" i="1"/>
  <c r="AJ225" i="1" s="1"/>
  <c r="AK62" i="1"/>
  <c r="AL62" i="1" s="1"/>
  <c r="AJ124" i="1"/>
  <c r="AJ184" i="1" s="1"/>
  <c r="AJ242" i="1" s="1"/>
  <c r="D655" i="3"/>
  <c r="K646" i="3"/>
  <c r="L646" i="3" s="1"/>
  <c r="AK71" i="1"/>
  <c r="AJ176" i="1"/>
  <c r="AJ234" i="1" s="1"/>
  <c r="AJ174" i="1"/>
  <c r="AJ232" i="1" s="1"/>
  <c r="AK69" i="1"/>
  <c r="A515" i="3"/>
  <c r="A508" i="3"/>
  <c r="C519" i="3"/>
  <c r="C525" i="3" s="1"/>
  <c r="A511" i="3"/>
  <c r="K508" i="3"/>
  <c r="K510" i="3" s="1"/>
  <c r="A560" i="3"/>
  <c r="A556" i="3"/>
  <c r="K553" i="3"/>
  <c r="A553" i="3"/>
  <c r="D589" i="3"/>
  <c r="D591" i="3" s="1"/>
  <c r="D559" i="3"/>
  <c r="D562" i="3" s="1"/>
  <c r="AK26" i="1"/>
  <c r="AK39" i="1"/>
  <c r="AK49" i="1"/>
  <c r="AK51" i="1" s="1"/>
  <c r="AO52" i="1" s="1"/>
  <c r="AK218" i="1"/>
  <c r="AO219" i="1" s="1"/>
  <c r="A606" i="3"/>
  <c r="A602" i="3"/>
  <c r="K599" i="3"/>
  <c r="K601" i="3" s="1"/>
  <c r="A599" i="3"/>
  <c r="C610" i="3"/>
  <c r="C616" i="3" s="1"/>
  <c r="AJ28" i="2"/>
  <c r="AJ29" i="2" s="1"/>
  <c r="AJ42" i="2"/>
  <c r="AJ39" i="1"/>
  <c r="AJ26" i="1"/>
  <c r="AJ24" i="1"/>
  <c r="AJ218" i="1"/>
  <c r="AN219" i="1" s="1"/>
  <c r="AJ164" i="1"/>
  <c r="AJ55" i="1"/>
  <c r="AJ53" i="1"/>
  <c r="C658" i="3"/>
  <c r="C682" i="3"/>
  <c r="D682" i="3" s="1"/>
  <c r="C684" i="3"/>
  <c r="AI29" i="2"/>
  <c r="AI34" i="2"/>
  <c r="AI33" i="2"/>
  <c r="AI32" i="2"/>
  <c r="AI124" i="1"/>
  <c r="AI151" i="1"/>
  <c r="AI208" i="1" s="1"/>
  <c r="AI73" i="1"/>
  <c r="AI173" i="1"/>
  <c r="AI26" i="1"/>
  <c r="AI49" i="1"/>
  <c r="AI51" i="1" s="1"/>
  <c r="AM52" i="1" s="1"/>
  <c r="AI24" i="1"/>
  <c r="AI164" i="1"/>
  <c r="C727" i="3"/>
  <c r="C697" i="3"/>
  <c r="C700" i="3" s="1"/>
  <c r="AM80" i="1" l="1"/>
  <c r="K333" i="3"/>
  <c r="M330" i="3" s="1"/>
  <c r="D344" i="3"/>
  <c r="E341" i="3"/>
  <c r="AS90" i="1"/>
  <c r="AS141" i="1" s="1"/>
  <c r="AS195" i="1" s="1"/>
  <c r="AQ90" i="1"/>
  <c r="AQ141" i="1" s="1"/>
  <c r="AQ195" i="1" s="1"/>
  <c r="AK41" i="1"/>
  <c r="AK32" i="1"/>
  <c r="AK33" i="1"/>
  <c r="AJ32" i="1"/>
  <c r="AJ33" i="1"/>
  <c r="AI41" i="1"/>
  <c r="AI32" i="1"/>
  <c r="AI33" i="1"/>
  <c r="AP46" i="1"/>
  <c r="AP45" i="1"/>
  <c r="AK171" i="1"/>
  <c r="AK229" i="1" s="1"/>
  <c r="AK46" i="1"/>
  <c r="AK45" i="1"/>
  <c r="F134" i="3"/>
  <c r="F136" i="3"/>
  <c r="L127" i="3"/>
  <c r="M124" i="3"/>
  <c r="M126" i="3"/>
  <c r="AM252" i="1"/>
  <c r="AU254" i="1"/>
  <c r="AU257" i="1"/>
  <c r="AU255" i="1"/>
  <c r="AU258" i="1"/>
  <c r="AR192" i="1"/>
  <c r="AR155" i="1"/>
  <c r="AT74" i="1"/>
  <c r="AI144" i="1"/>
  <c r="AI198" i="1" s="1"/>
  <c r="AI153" i="1"/>
  <c r="AI210" i="1" s="1"/>
  <c r="AO252" i="1"/>
  <c r="J260" i="1"/>
  <c r="J261" i="1"/>
  <c r="AO48" i="2"/>
  <c r="AO34" i="2"/>
  <c r="AR154" i="1"/>
  <c r="F246" i="3"/>
  <c r="AR141" i="1"/>
  <c r="AR195" i="1" s="1"/>
  <c r="AS180" i="1"/>
  <c r="AS238" i="1" s="1"/>
  <c r="AQ155" i="1"/>
  <c r="F190" i="3"/>
  <c r="F192" i="3"/>
  <c r="L184" i="3"/>
  <c r="M181" i="3"/>
  <c r="M183" i="3"/>
  <c r="M332" i="3"/>
  <c r="N285" i="3"/>
  <c r="AO33" i="2"/>
  <c r="AN35" i="2"/>
  <c r="AO32" i="2"/>
  <c r="M287" i="3"/>
  <c r="AP176" i="1"/>
  <c r="AP234" i="1" s="1"/>
  <c r="AQ154" i="1"/>
  <c r="AP174" i="1"/>
  <c r="AP232" i="1" s="1"/>
  <c r="AS142" i="1"/>
  <c r="AS196" i="1" s="1"/>
  <c r="AO170" i="1"/>
  <c r="AO228" i="1" s="1"/>
  <c r="AS76" i="1"/>
  <c r="AS181" i="1" s="1"/>
  <c r="AS239" i="1" s="1"/>
  <c r="AI185" i="1"/>
  <c r="AI243" i="1" s="1"/>
  <c r="AI263" i="1" s="1"/>
  <c r="J128" i="1"/>
  <c r="J42" i="1"/>
  <c r="AS193" i="1"/>
  <c r="AS154" i="1"/>
  <c r="J124" i="1"/>
  <c r="AM263" i="1"/>
  <c r="AO263" i="1"/>
  <c r="N235" i="3"/>
  <c r="N237" i="3"/>
  <c r="AS206" i="1"/>
  <c r="AS155" i="1"/>
  <c r="AS192" i="1"/>
  <c r="L377" i="3"/>
  <c r="AP28" i="2"/>
  <c r="AP34" i="2" s="1"/>
  <c r="AR180" i="1"/>
  <c r="AR238" i="1" s="1"/>
  <c r="AL160" i="1"/>
  <c r="AL218" i="1" s="1"/>
  <c r="AO73" i="1"/>
  <c r="AO178" i="1" s="1"/>
  <c r="AO236" i="1" s="1"/>
  <c r="D296" i="3"/>
  <c r="F296" i="3" s="1"/>
  <c r="F294" i="3"/>
  <c r="AL84" i="1"/>
  <c r="L287" i="3"/>
  <c r="N287" i="3" s="1"/>
  <c r="K257" i="1"/>
  <c r="K263" i="1"/>
  <c r="AN84" i="1"/>
  <c r="AN43" i="1" s="1"/>
  <c r="AR76" i="1"/>
  <c r="AR211" i="1"/>
  <c r="AR212" i="1"/>
  <c r="AO221" i="1"/>
  <c r="AQ211" i="1"/>
  <c r="AQ212" i="1"/>
  <c r="AN221" i="1"/>
  <c r="AM76" i="1"/>
  <c r="AM181" i="1" s="1"/>
  <c r="AM239" i="1" s="1"/>
  <c r="K180" i="1"/>
  <c r="K238" i="1" s="1"/>
  <c r="L332" i="3"/>
  <c r="D341" i="3"/>
  <c r="AL41" i="2"/>
  <c r="AL42" i="2" s="1"/>
  <c r="AL17" i="2"/>
  <c r="AL46" i="2" s="1"/>
  <c r="AL25" i="2"/>
  <c r="AL47" i="2" s="1"/>
  <c r="M9" i="2"/>
  <c r="M45" i="2" s="1"/>
  <c r="K255" i="1"/>
  <c r="J123" i="1"/>
  <c r="J144" i="1" s="1"/>
  <c r="J198" i="1" s="1"/>
  <c r="D681" i="3"/>
  <c r="D625" i="3"/>
  <c r="D605" i="3"/>
  <c r="D608" i="3" s="1"/>
  <c r="D635" i="3"/>
  <c r="D637" i="3" s="1"/>
  <c r="AO84" i="1"/>
  <c r="AL103" i="1"/>
  <c r="M42" i="2"/>
  <c r="AM84" i="1"/>
  <c r="AM43" i="1" s="1"/>
  <c r="AL23" i="1"/>
  <c r="AL39" i="1" s="1"/>
  <c r="AN136" i="1"/>
  <c r="AN155" i="1" s="1"/>
  <c r="AK144" i="1"/>
  <c r="AK198" i="1" s="1"/>
  <c r="AK185" i="1"/>
  <c r="AK243" i="1" s="1"/>
  <c r="AN142" i="1"/>
  <c r="AN196" i="1" s="1"/>
  <c r="AN134" i="1"/>
  <c r="AN190" i="1" s="1"/>
  <c r="E429" i="3"/>
  <c r="K555" i="3"/>
  <c r="AN187" i="1"/>
  <c r="AN258" i="1" s="1"/>
  <c r="AJ185" i="1"/>
  <c r="AJ243" i="1" s="1"/>
  <c r="AL66" i="1"/>
  <c r="AN149" i="1"/>
  <c r="AN206" i="1" s="1"/>
  <c r="E431" i="3"/>
  <c r="AJ144" i="1"/>
  <c r="AJ198" i="1" s="1"/>
  <c r="AN133" i="1"/>
  <c r="AN189" i="1" s="1"/>
  <c r="K76" i="1"/>
  <c r="K181" i="1" s="1"/>
  <c r="K239" i="1" s="1"/>
  <c r="AO192" i="1"/>
  <c r="AO155" i="1"/>
  <c r="AN74" i="1"/>
  <c r="K423" i="3"/>
  <c r="M420" i="3" s="1"/>
  <c r="K55" i="1"/>
  <c r="K53" i="1"/>
  <c r="K86" i="1"/>
  <c r="K52" i="1"/>
  <c r="K219" i="1"/>
  <c r="K222" i="1"/>
  <c r="K193" i="1"/>
  <c r="K154" i="1"/>
  <c r="AO134" i="1"/>
  <c r="AO190" i="1" s="1"/>
  <c r="C389" i="3"/>
  <c r="AO133" i="1"/>
  <c r="AO189" i="1" s="1"/>
  <c r="AO137" i="1"/>
  <c r="AO142" i="1"/>
  <c r="AO196" i="1" s="1"/>
  <c r="AO187" i="1"/>
  <c r="AO149" i="1"/>
  <c r="K205" i="1"/>
  <c r="K207" i="1" s="1"/>
  <c r="K150" i="1"/>
  <c r="AL172" i="1"/>
  <c r="AL230" i="1" s="1"/>
  <c r="K192" i="1"/>
  <c r="K155" i="1"/>
  <c r="K33" i="1"/>
  <c r="K32" i="1"/>
  <c r="K41" i="1"/>
  <c r="K40" i="1"/>
  <c r="K29" i="1"/>
  <c r="AL179" i="1"/>
  <c r="AL237" i="1" s="1"/>
  <c r="AL168" i="1"/>
  <c r="AL226" i="1" s="1"/>
  <c r="C388" i="3"/>
  <c r="D388" i="3" s="1"/>
  <c r="C570" i="3"/>
  <c r="AN137" i="1"/>
  <c r="AN193" i="1" s="1"/>
  <c r="C433" i="3"/>
  <c r="D433" i="3" s="1"/>
  <c r="D444" i="3"/>
  <c r="AN185" i="1"/>
  <c r="AN243" i="1" s="1"/>
  <c r="AN153" i="1"/>
  <c r="AN210" i="1" s="1"/>
  <c r="AN144" i="1"/>
  <c r="AN198" i="1" s="1"/>
  <c r="D429" i="3"/>
  <c r="L418" i="3"/>
  <c r="L420" i="3" s="1"/>
  <c r="N420" i="3" s="1"/>
  <c r="D454" i="3"/>
  <c r="D456" i="3" s="1"/>
  <c r="D489" i="3"/>
  <c r="M17" i="2"/>
  <c r="M46" i="2" s="1"/>
  <c r="C479" i="3"/>
  <c r="AM187" i="1"/>
  <c r="AM254" i="1" s="1"/>
  <c r="AM134" i="1"/>
  <c r="AM190" i="1" s="1"/>
  <c r="AM142" i="1"/>
  <c r="AM196" i="1" s="1"/>
  <c r="AM133" i="1"/>
  <c r="AM189" i="1" s="1"/>
  <c r="AM149" i="1"/>
  <c r="AM137" i="1"/>
  <c r="AL175" i="1"/>
  <c r="AL233" i="1" s="1"/>
  <c r="AK55" i="1"/>
  <c r="AL185" i="1"/>
  <c r="AL243" i="1" s="1"/>
  <c r="AL177" i="1"/>
  <c r="AL235" i="1" s="1"/>
  <c r="AL144" i="1"/>
  <c r="AL198" i="1" s="1"/>
  <c r="D514" i="3"/>
  <c r="D517" i="3" s="1"/>
  <c r="D519" i="3" s="1"/>
  <c r="AM180" i="1"/>
  <c r="AM238" i="1" s="1"/>
  <c r="D544" i="3"/>
  <c r="D546" i="3" s="1"/>
  <c r="D469" i="3"/>
  <c r="D472" i="3" s="1"/>
  <c r="D534" i="3"/>
  <c r="D499" i="3"/>
  <c r="D501" i="3" s="1"/>
  <c r="AM155" i="1"/>
  <c r="AJ73" i="1"/>
  <c r="AJ178" i="1" s="1"/>
  <c r="AJ236" i="1" s="1"/>
  <c r="AM30" i="1"/>
  <c r="C534" i="3"/>
  <c r="K647" i="3"/>
  <c r="AL187" i="1"/>
  <c r="C524" i="3"/>
  <c r="D524" i="3" s="1"/>
  <c r="J74" i="1"/>
  <c r="J76" i="1" s="1"/>
  <c r="J181" i="1" s="1"/>
  <c r="J239" i="1" s="1"/>
  <c r="J35" i="2"/>
  <c r="J178" i="1"/>
  <c r="J236" i="1" s="1"/>
  <c r="AL149" i="1"/>
  <c r="AL142" i="1"/>
  <c r="AL196" i="1" s="1"/>
  <c r="AL134" i="1"/>
  <c r="AL190" i="1" s="1"/>
  <c r="AL136" i="1"/>
  <c r="AL155" i="1" s="1"/>
  <c r="AL137" i="1"/>
  <c r="AL154" i="1" s="1"/>
  <c r="AL133" i="1"/>
  <c r="AL189" i="1" s="1"/>
  <c r="M47" i="2"/>
  <c r="AL45" i="2"/>
  <c r="AK28" i="2"/>
  <c r="AK32" i="2" s="1"/>
  <c r="AJ170" i="1"/>
  <c r="AJ228" i="1" s="1"/>
  <c r="J222" i="1"/>
  <c r="J53" i="1"/>
  <c r="J86" i="1"/>
  <c r="J55" i="1"/>
  <c r="J32" i="1"/>
  <c r="J41" i="1"/>
  <c r="J33" i="1"/>
  <c r="J40" i="1"/>
  <c r="J29" i="1"/>
  <c r="J211" i="1"/>
  <c r="AL220" i="1"/>
  <c r="AJ173" i="1"/>
  <c r="AJ231" i="1" s="1"/>
  <c r="AK176" i="1"/>
  <c r="AK234" i="1" s="1"/>
  <c r="AL71" i="1"/>
  <c r="AK174" i="1"/>
  <c r="AK232" i="1" s="1"/>
  <c r="AL69" i="1"/>
  <c r="AL167" i="1"/>
  <c r="AL65" i="1"/>
  <c r="AI74" i="1"/>
  <c r="C568" i="3"/>
  <c r="AK167" i="1"/>
  <c r="AK65" i="1"/>
  <c r="AK68" i="1" s="1"/>
  <c r="C521" i="3"/>
  <c r="K512" i="3"/>
  <c r="D564" i="3"/>
  <c r="L553" i="3"/>
  <c r="L555" i="3" s="1"/>
  <c r="AK29" i="1"/>
  <c r="AK53" i="1"/>
  <c r="AK40" i="1"/>
  <c r="AK222" i="1"/>
  <c r="K603" i="3"/>
  <c r="C612" i="3"/>
  <c r="AJ34" i="2"/>
  <c r="AJ48" i="2"/>
  <c r="AJ33" i="2"/>
  <c r="AJ32" i="2"/>
  <c r="AJ222" i="1"/>
  <c r="AJ41" i="1"/>
  <c r="AJ29" i="1"/>
  <c r="AJ40" i="1"/>
  <c r="AI184" i="1"/>
  <c r="AI242" i="1" s="1"/>
  <c r="C660" i="3"/>
  <c r="AI35" i="2"/>
  <c r="AI178" i="1"/>
  <c r="AI55" i="1"/>
  <c r="AI53" i="1"/>
  <c r="AI29" i="1"/>
  <c r="AI40" i="1"/>
  <c r="C701" i="3"/>
  <c r="C729" i="3"/>
  <c r="A694" i="3"/>
  <c r="A698" i="3"/>
  <c r="K691" i="3"/>
  <c r="A691" i="3"/>
  <c r="AH78" i="2"/>
  <c r="AH77" i="2"/>
  <c r="AH75" i="2"/>
  <c r="AH72" i="2"/>
  <c r="AH71" i="2"/>
  <c r="AH69" i="2"/>
  <c r="AH64" i="2"/>
  <c r="AH63" i="2"/>
  <c r="AH59" i="2"/>
  <c r="AH58" i="2"/>
  <c r="AH57" i="2"/>
  <c r="AH53" i="2"/>
  <c r="AH52" i="2"/>
  <c r="AH51" i="2"/>
  <c r="AT180" i="1" l="1"/>
  <c r="AT238" i="1" s="1"/>
  <c r="AO254" i="1"/>
  <c r="AO35" i="2"/>
  <c r="AP48" i="2"/>
  <c r="AP32" i="2"/>
  <c r="F341" i="3"/>
  <c r="L333" i="3"/>
  <c r="F339" i="3"/>
  <c r="AO43" i="1"/>
  <c r="AO100" i="1"/>
  <c r="AM90" i="1"/>
  <c r="AM141" i="1" s="1"/>
  <c r="AM195" i="1" s="1"/>
  <c r="AL46" i="1"/>
  <c r="AL45" i="1"/>
  <c r="N124" i="3"/>
  <c r="N126" i="3"/>
  <c r="AL148" i="1"/>
  <c r="AL150" i="1" s="1"/>
  <c r="AL100" i="1"/>
  <c r="J137" i="1"/>
  <c r="J193" i="1" s="1"/>
  <c r="J184" i="1"/>
  <c r="J242" i="1" s="1"/>
  <c r="AL164" i="1"/>
  <c r="AN148" i="1"/>
  <c r="AN205" i="1" s="1"/>
  <c r="AN207" i="1" s="1"/>
  <c r="N183" i="3"/>
  <c r="N181" i="3"/>
  <c r="AP33" i="2"/>
  <c r="AN100" i="1"/>
  <c r="AL43" i="1"/>
  <c r="J153" i="1"/>
  <c r="J210" i="1" s="1"/>
  <c r="J212" i="1" s="1"/>
  <c r="J185" i="1"/>
  <c r="J243" i="1" s="1"/>
  <c r="AL24" i="1"/>
  <c r="J136" i="1"/>
  <c r="J155" i="1" s="1"/>
  <c r="AR181" i="1"/>
  <c r="AR239" i="1" s="1"/>
  <c r="AN263" i="1"/>
  <c r="AN257" i="1"/>
  <c r="AN254" i="1"/>
  <c r="AM257" i="1"/>
  <c r="AO257" i="1"/>
  <c r="AK263" i="1"/>
  <c r="AS211" i="1"/>
  <c r="AS212" i="1"/>
  <c r="AL263" i="1"/>
  <c r="AO261" i="1"/>
  <c r="AO255" i="1"/>
  <c r="AO258" i="1"/>
  <c r="AN255" i="1"/>
  <c r="AJ263" i="1"/>
  <c r="AN261" i="1"/>
  <c r="AM261" i="1"/>
  <c r="AM255" i="1"/>
  <c r="AM258" i="1"/>
  <c r="M422" i="3"/>
  <c r="K649" i="3"/>
  <c r="K557" i="3"/>
  <c r="AK34" i="2"/>
  <c r="AO74" i="1"/>
  <c r="AP74" i="1" s="1"/>
  <c r="AP221" i="1"/>
  <c r="AL28" i="2"/>
  <c r="AL29" i="2" s="1"/>
  <c r="D610" i="3"/>
  <c r="D612" i="3" s="1"/>
  <c r="L599" i="3"/>
  <c r="L601" i="3" s="1"/>
  <c r="AO148" i="1"/>
  <c r="AO205" i="1" s="1"/>
  <c r="AM148" i="1"/>
  <c r="AM205" i="1" s="1"/>
  <c r="AM100" i="1"/>
  <c r="AL49" i="1"/>
  <c r="AL51" i="1" s="1"/>
  <c r="AN86" i="1" s="1"/>
  <c r="AO85" i="1"/>
  <c r="AL26" i="1"/>
  <c r="AN85" i="1"/>
  <c r="AL85" i="1"/>
  <c r="AM85" i="1"/>
  <c r="AN192" i="1"/>
  <c r="AO90" i="1"/>
  <c r="AO141" i="1" s="1"/>
  <c r="AO195" i="1" s="1"/>
  <c r="AN90" i="1"/>
  <c r="AN141" i="1" s="1"/>
  <c r="AN195" i="1" s="1"/>
  <c r="AL68" i="1"/>
  <c r="AO91" i="1" s="1"/>
  <c r="AN154" i="1"/>
  <c r="AL171" i="1"/>
  <c r="AL229" i="1" s="1"/>
  <c r="AO260" i="1" s="1"/>
  <c r="AL90" i="1"/>
  <c r="AL141" i="1" s="1"/>
  <c r="AL195" i="1" s="1"/>
  <c r="AJ74" i="1"/>
  <c r="AJ180" i="1" s="1"/>
  <c r="AJ238" i="1" s="1"/>
  <c r="K89" i="1"/>
  <c r="K30" i="1"/>
  <c r="D389" i="3"/>
  <c r="K378" i="3"/>
  <c r="E384" i="3"/>
  <c r="AL176" i="1"/>
  <c r="AL234" i="1" s="1"/>
  <c r="AO206" i="1"/>
  <c r="AL174" i="1"/>
  <c r="AL232" i="1" s="1"/>
  <c r="AO154" i="1"/>
  <c r="AO193" i="1"/>
  <c r="E386" i="3"/>
  <c r="M28" i="2"/>
  <c r="M29" i="2" s="1"/>
  <c r="L508" i="3"/>
  <c r="L510" i="3" s="1"/>
  <c r="L422" i="3"/>
  <c r="N422" i="3" s="1"/>
  <c r="D431" i="3"/>
  <c r="F431" i="3" s="1"/>
  <c r="F429" i="3"/>
  <c r="K468" i="3"/>
  <c r="D479" i="3"/>
  <c r="L468" i="3" s="1"/>
  <c r="E474" i="3"/>
  <c r="AM154" i="1"/>
  <c r="AM193" i="1"/>
  <c r="AN211" i="1"/>
  <c r="AN212" i="1"/>
  <c r="AM206" i="1"/>
  <c r="AN180" i="1"/>
  <c r="AN238" i="1" s="1"/>
  <c r="AN76" i="1"/>
  <c r="AN181" i="1" s="1"/>
  <c r="AN239" i="1" s="1"/>
  <c r="E476" i="3"/>
  <c r="D474" i="3"/>
  <c r="L463" i="3"/>
  <c r="L465" i="3" s="1"/>
  <c r="AL192" i="1"/>
  <c r="J180" i="1"/>
  <c r="J238" i="1" s="1"/>
  <c r="AL193" i="1"/>
  <c r="AK29" i="2"/>
  <c r="AK48" i="2"/>
  <c r="AK33" i="2"/>
  <c r="AI180" i="1"/>
  <c r="J30" i="1"/>
  <c r="J89" i="1"/>
  <c r="AL225" i="1"/>
  <c r="AL170" i="1"/>
  <c r="AL228" i="1" s="1"/>
  <c r="AL222" i="1"/>
  <c r="AI76" i="1"/>
  <c r="AI181" i="1" s="1"/>
  <c r="AK173" i="1"/>
  <c r="AK231" i="1" s="1"/>
  <c r="AK73" i="1"/>
  <c r="AK225" i="1"/>
  <c r="AK170" i="1"/>
  <c r="AK228" i="1" s="1"/>
  <c r="C523" i="3"/>
  <c r="D521" i="3"/>
  <c r="L557" i="3"/>
  <c r="D566" i="3"/>
  <c r="AK30" i="1"/>
  <c r="C614" i="3"/>
  <c r="AJ35" i="2"/>
  <c r="AJ30" i="1"/>
  <c r="K692" i="3"/>
  <c r="C730" i="3"/>
  <c r="C728" i="3"/>
  <c r="C702" i="3"/>
  <c r="AI30" i="1"/>
  <c r="AH76" i="2"/>
  <c r="AH74" i="2" s="1"/>
  <c r="AH70" i="2"/>
  <c r="AH68" i="2" s="1"/>
  <c r="AH65" i="2"/>
  <c r="AH60" i="2"/>
  <c r="AH54" i="2"/>
  <c r="I76" i="2"/>
  <c r="I74" i="2" s="1"/>
  <c r="I70" i="2"/>
  <c r="I68" i="2" s="1"/>
  <c r="I65" i="2"/>
  <c r="I60" i="2"/>
  <c r="I54" i="2"/>
  <c r="I41" i="2"/>
  <c r="I42" i="2" s="1"/>
  <c r="I25" i="2"/>
  <c r="I47" i="2" s="1"/>
  <c r="I17" i="2"/>
  <c r="I46" i="2" s="1"/>
  <c r="I9" i="2"/>
  <c r="I45" i="2" s="1"/>
  <c r="AH201" i="1"/>
  <c r="AH127" i="1"/>
  <c r="AH122" i="1"/>
  <c r="AH113" i="1"/>
  <c r="AH112" i="1"/>
  <c r="AH108" i="1"/>
  <c r="AH107" i="1"/>
  <c r="AH98" i="1"/>
  <c r="AH97" i="1"/>
  <c r="AH96" i="1"/>
  <c r="AH50" i="1"/>
  <c r="AH28" i="1"/>
  <c r="AH27" i="1"/>
  <c r="AH25" i="1"/>
  <c r="AH22" i="1"/>
  <c r="AH21" i="1"/>
  <c r="AH20" i="1"/>
  <c r="AH19" i="1"/>
  <c r="AH18" i="1"/>
  <c r="AH16" i="1"/>
  <c r="AH15" i="1"/>
  <c r="AH14" i="1"/>
  <c r="AH13" i="1"/>
  <c r="AH12" i="1"/>
  <c r="AH9" i="1"/>
  <c r="AH7" i="1"/>
  <c r="AL8" i="1" s="1"/>
  <c r="AH204" i="1"/>
  <c r="AH216" i="1" s="1"/>
  <c r="AH203" i="1"/>
  <c r="AH215" i="1" s="1"/>
  <c r="AH158" i="1"/>
  <c r="AH157" i="1"/>
  <c r="AH147" i="1"/>
  <c r="AH146" i="1"/>
  <c r="AH131" i="1"/>
  <c r="AH48" i="1"/>
  <c r="AH60" i="1" s="1"/>
  <c r="AH82" i="1" s="1"/>
  <c r="AH93" i="1" s="1"/>
  <c r="I203" i="1"/>
  <c r="AG102" i="1"/>
  <c r="AF102" i="1"/>
  <c r="AE102" i="1"/>
  <c r="AC102" i="1"/>
  <c r="AB102" i="1"/>
  <c r="AA102" i="1"/>
  <c r="Y102" i="1"/>
  <c r="X102" i="1"/>
  <c r="W102" i="1"/>
  <c r="U102" i="1"/>
  <c r="T102" i="1"/>
  <c r="S102" i="1"/>
  <c r="Q102" i="1"/>
  <c r="P102" i="1"/>
  <c r="O102" i="1"/>
  <c r="I102" i="1"/>
  <c r="H102" i="1"/>
  <c r="G102" i="1"/>
  <c r="F102" i="1"/>
  <c r="E102" i="1"/>
  <c r="D102" i="1"/>
  <c r="C102" i="1"/>
  <c r="I95" i="1"/>
  <c r="AH95" i="1" s="1"/>
  <c r="AP35" i="2" l="1"/>
  <c r="J154" i="1"/>
  <c r="N332" i="3"/>
  <c r="N330" i="3"/>
  <c r="AL40" i="1"/>
  <c r="AL33" i="1"/>
  <c r="AL32" i="1"/>
  <c r="J258" i="1"/>
  <c r="J255" i="1"/>
  <c r="J263" i="1"/>
  <c r="J254" i="1"/>
  <c r="AN150" i="1"/>
  <c r="J257" i="1"/>
  <c r="J192" i="1"/>
  <c r="AJ42" i="1"/>
  <c r="AK42" i="1"/>
  <c r="AI42" i="1"/>
  <c r="AM260" i="1"/>
  <c r="AH249" i="1"/>
  <c r="N465" i="3"/>
  <c r="AN260" i="1"/>
  <c r="L603" i="3"/>
  <c r="L512" i="3"/>
  <c r="M375" i="3"/>
  <c r="M377" i="3"/>
  <c r="M465" i="3"/>
  <c r="M467" i="3"/>
  <c r="AL32" i="2"/>
  <c r="AK35" i="2"/>
  <c r="AO180" i="1"/>
  <c r="AO238" i="1" s="1"/>
  <c r="AM150" i="1"/>
  <c r="AO76" i="1"/>
  <c r="AO181" i="1" s="1"/>
  <c r="AO239" i="1" s="1"/>
  <c r="AH248" i="1"/>
  <c r="AL34" i="2"/>
  <c r="AL33" i="2"/>
  <c r="AL48" i="2"/>
  <c r="AP180" i="1"/>
  <c r="AP238" i="1" s="1"/>
  <c r="AL173" i="1"/>
  <c r="AL231" i="1" s="1"/>
  <c r="AL91" i="1"/>
  <c r="AN91" i="1"/>
  <c r="AL55" i="1"/>
  <c r="AL86" i="1"/>
  <c r="AL53" i="1"/>
  <c r="AO150" i="1"/>
  <c r="AJ76" i="1"/>
  <c r="AJ181" i="1" s="1"/>
  <c r="AJ239" i="1" s="1"/>
  <c r="AM86" i="1"/>
  <c r="AO86" i="1"/>
  <c r="AL29" i="1"/>
  <c r="AO89" i="1" s="1"/>
  <c r="AL41" i="1"/>
  <c r="AM91" i="1"/>
  <c r="AL73" i="1"/>
  <c r="AL178" i="1" s="1"/>
  <c r="AL236" i="1" s="1"/>
  <c r="C705" i="3"/>
  <c r="AH245" i="1"/>
  <c r="AO212" i="1"/>
  <c r="AO207" i="1"/>
  <c r="AO211" i="1"/>
  <c r="L378" i="3"/>
  <c r="F384" i="3"/>
  <c r="F386" i="3"/>
  <c r="M33" i="2"/>
  <c r="M34" i="2"/>
  <c r="M32" i="2"/>
  <c r="M48" i="2"/>
  <c r="AM207" i="1"/>
  <c r="AM212" i="1"/>
  <c r="AM211" i="1"/>
  <c r="L467" i="3"/>
  <c r="N467" i="3" s="1"/>
  <c r="D476" i="3"/>
  <c r="F476" i="3" s="1"/>
  <c r="F474" i="3"/>
  <c r="AH114" i="1"/>
  <c r="AH99" i="1"/>
  <c r="AH109" i="1"/>
  <c r="AH152" i="1"/>
  <c r="AH209" i="1" s="1"/>
  <c r="C703" i="3"/>
  <c r="L687" i="3"/>
  <c r="D728" i="3" s="1"/>
  <c r="AK178" i="1"/>
  <c r="AK236" i="1" s="1"/>
  <c r="AK74" i="1"/>
  <c r="AH10" i="1"/>
  <c r="AH160" i="1" s="1"/>
  <c r="AL161" i="1" s="1"/>
  <c r="AH102" i="1"/>
  <c r="K693" i="3"/>
  <c r="I28" i="2"/>
  <c r="I34" i="2" s="1"/>
  <c r="AH36" i="1"/>
  <c r="AH37" i="1"/>
  <c r="AH38" i="1"/>
  <c r="I71" i="1"/>
  <c r="I70" i="1"/>
  <c r="I66" i="1"/>
  <c r="AD14" i="1"/>
  <c r="AD13" i="1"/>
  <c r="AE17" i="1"/>
  <c r="AH17" i="1" s="1"/>
  <c r="I204" i="1"/>
  <c r="I216" i="1" s="1"/>
  <c r="I215" i="1"/>
  <c r="I179" i="1"/>
  <c r="I177" i="1"/>
  <c r="I172" i="1"/>
  <c r="I169" i="1"/>
  <c r="I168" i="1"/>
  <c r="I162" i="1"/>
  <c r="J163" i="1" s="1"/>
  <c r="I158" i="1"/>
  <c r="I157" i="1"/>
  <c r="I152" i="1"/>
  <c r="I147" i="1"/>
  <c r="I146" i="1"/>
  <c r="I131" i="1"/>
  <c r="I118" i="1"/>
  <c r="AH118" i="1" s="1"/>
  <c r="I117" i="1"/>
  <c r="I114" i="1"/>
  <c r="I109" i="1"/>
  <c r="I99" i="1"/>
  <c r="I88" i="1"/>
  <c r="I87" i="1"/>
  <c r="I149" i="1" s="1"/>
  <c r="I61" i="1"/>
  <c r="I57" i="1"/>
  <c r="I48" i="1"/>
  <c r="I60" i="1" s="1"/>
  <c r="I82" i="1" s="1"/>
  <c r="I93" i="1" s="1"/>
  <c r="I38" i="1"/>
  <c r="I37" i="1"/>
  <c r="I36" i="1"/>
  <c r="I10" i="1"/>
  <c r="J11" i="1" s="1"/>
  <c r="I8" i="1"/>
  <c r="AL35" i="2" l="1"/>
  <c r="AH250" i="1"/>
  <c r="N375" i="3"/>
  <c r="N377" i="3"/>
  <c r="AL89" i="1"/>
  <c r="AL30" i="1"/>
  <c r="AN89" i="1"/>
  <c r="AM89" i="1"/>
  <c r="M35" i="2"/>
  <c r="AK84" i="1"/>
  <c r="AK43" i="1" s="1"/>
  <c r="AL11" i="1"/>
  <c r="AK180" i="1"/>
  <c r="AK238" i="1" s="1"/>
  <c r="AL74" i="1"/>
  <c r="AL205" i="1"/>
  <c r="AL206" i="1"/>
  <c r="L692" i="3"/>
  <c r="AH103" i="1"/>
  <c r="AK76" i="1"/>
  <c r="AK181" i="1" s="1"/>
  <c r="AK239" i="1" s="1"/>
  <c r="AH23" i="1"/>
  <c r="AK85" i="1" s="1"/>
  <c r="I166" i="1"/>
  <c r="I167" i="1"/>
  <c r="I171" i="1"/>
  <c r="D726" i="3"/>
  <c r="C713" i="3"/>
  <c r="D723" i="3"/>
  <c r="D695" i="3"/>
  <c r="D715" i="3"/>
  <c r="D712" i="3"/>
  <c r="D725" i="3"/>
  <c r="D692" i="3"/>
  <c r="D722" i="3"/>
  <c r="D696" i="3"/>
  <c r="D699" i="3"/>
  <c r="D698" i="3"/>
  <c r="D724" i="3"/>
  <c r="D693" i="3"/>
  <c r="D701" i="3"/>
  <c r="I174" i="1"/>
  <c r="AI235" i="1"/>
  <c r="L642" i="3"/>
  <c r="AI220" i="1"/>
  <c r="AI230" i="1"/>
  <c r="AI225" i="1"/>
  <c r="AI233" i="1"/>
  <c r="AI237" i="1"/>
  <c r="AI227" i="1"/>
  <c r="AI226" i="1"/>
  <c r="AI232" i="1"/>
  <c r="AI234" i="1"/>
  <c r="AI229" i="1"/>
  <c r="AI224" i="1"/>
  <c r="AL252" i="1" s="1"/>
  <c r="AI218" i="1"/>
  <c r="AM219" i="1" s="1"/>
  <c r="AI228" i="1"/>
  <c r="AI231" i="1"/>
  <c r="AI238" i="1"/>
  <c r="AI236" i="1"/>
  <c r="I175" i="1"/>
  <c r="AI239" i="1"/>
  <c r="I176" i="1"/>
  <c r="C716" i="3"/>
  <c r="D716" i="3" s="1"/>
  <c r="K694" i="3"/>
  <c r="K695" i="3" s="1"/>
  <c r="D703" i="3"/>
  <c r="I120" i="1"/>
  <c r="AH117" i="1"/>
  <c r="AH120" i="1" s="1"/>
  <c r="C704" i="3"/>
  <c r="C706" i="3" s="1"/>
  <c r="I29" i="2"/>
  <c r="I32" i="2"/>
  <c r="I48" i="2"/>
  <c r="I33" i="2"/>
  <c r="AH218" i="1"/>
  <c r="AL219" i="1" s="1"/>
  <c r="I160" i="1"/>
  <c r="I103" i="1"/>
  <c r="I209" i="1"/>
  <c r="I65" i="1"/>
  <c r="I68" i="1" s="1"/>
  <c r="I187" i="1"/>
  <c r="I142" i="1"/>
  <c r="I196" i="1" s="1"/>
  <c r="I84" i="1"/>
  <c r="I148" i="1" s="1"/>
  <c r="I43" i="1"/>
  <c r="I133" i="1"/>
  <c r="I189" i="1" s="1"/>
  <c r="I45" i="1"/>
  <c r="I80" i="1"/>
  <c r="I90" i="1"/>
  <c r="I141" i="1" s="1"/>
  <c r="I195" i="1" s="1"/>
  <c r="I134" i="1"/>
  <c r="I190" i="1" s="1"/>
  <c r="I23" i="1"/>
  <c r="I49" i="1" s="1"/>
  <c r="I46" i="1"/>
  <c r="I58" i="1"/>
  <c r="C751" i="3"/>
  <c r="C749" i="3"/>
  <c r="L733" i="3"/>
  <c r="C773" i="3"/>
  <c r="C743" i="3"/>
  <c r="C775" i="3" s="1"/>
  <c r="AB26" i="2"/>
  <c r="AC26" i="2" s="1"/>
  <c r="AG76" i="2"/>
  <c r="AG74" i="2" s="1"/>
  <c r="AG70" i="2"/>
  <c r="AG68" i="2" s="1"/>
  <c r="AG65" i="2"/>
  <c r="AG60" i="2"/>
  <c r="AG54" i="2"/>
  <c r="AG119" i="1"/>
  <c r="C747" i="3" s="1"/>
  <c r="K738" i="3" s="1"/>
  <c r="AG95" i="1"/>
  <c r="AG204" i="1"/>
  <c r="AG216" i="1" s="1"/>
  <c r="AG203" i="1"/>
  <c r="AG215" i="1" s="1"/>
  <c r="AG158" i="1"/>
  <c r="AG157" i="1"/>
  <c r="AG152" i="1"/>
  <c r="AG209" i="1" s="1"/>
  <c r="AG147" i="1"/>
  <c r="AG146" i="1"/>
  <c r="AG131" i="1"/>
  <c r="AG118" i="1"/>
  <c r="AG117" i="1"/>
  <c r="AG114" i="1"/>
  <c r="AG109" i="1"/>
  <c r="AG99" i="1"/>
  <c r="AG48" i="1"/>
  <c r="AG60" i="1" s="1"/>
  <c r="AG82" i="1" s="1"/>
  <c r="AG93" i="1" s="1"/>
  <c r="AG38" i="1"/>
  <c r="AG37" i="1"/>
  <c r="AG36" i="1"/>
  <c r="AG10" i="1"/>
  <c r="AG8" i="1"/>
  <c r="C793" i="3"/>
  <c r="K784" i="3" s="1"/>
  <c r="C789" i="3"/>
  <c r="C792" i="3" s="1"/>
  <c r="K783" i="3" s="1"/>
  <c r="AF119" i="1"/>
  <c r="L830" i="3"/>
  <c r="AH151" i="1" l="1"/>
  <c r="AH208" i="1" s="1"/>
  <c r="AH42" i="1"/>
  <c r="I128" i="1"/>
  <c r="I42" i="1"/>
  <c r="AL260" i="1"/>
  <c r="AL261" i="1"/>
  <c r="AL258" i="1"/>
  <c r="AL255" i="1"/>
  <c r="AL257" i="1"/>
  <c r="AL254" i="1"/>
  <c r="AM221" i="1"/>
  <c r="AH49" i="1"/>
  <c r="AH51" i="1" s="1"/>
  <c r="AL52" i="1" s="1"/>
  <c r="AH26" i="1"/>
  <c r="AH24" i="1"/>
  <c r="AH39" i="1"/>
  <c r="I164" i="1"/>
  <c r="J161" i="1"/>
  <c r="I170" i="1"/>
  <c r="AK148" i="1"/>
  <c r="AK205" i="1" s="1"/>
  <c r="AK100" i="1"/>
  <c r="AL180" i="1"/>
  <c r="AL238" i="1" s="1"/>
  <c r="AL76" i="1"/>
  <c r="AL181" i="1" s="1"/>
  <c r="AL239" i="1" s="1"/>
  <c r="AL207" i="1"/>
  <c r="AL212" i="1"/>
  <c r="AL211" i="1"/>
  <c r="I123" i="1"/>
  <c r="I185" i="1" s="1"/>
  <c r="I243" i="1" s="1"/>
  <c r="I263" i="1" s="1"/>
  <c r="I124" i="1"/>
  <c r="I137" i="1" s="1"/>
  <c r="I151" i="1"/>
  <c r="I208" i="1" s="1"/>
  <c r="AH123" i="1"/>
  <c r="C708" i="3"/>
  <c r="AH128" i="1"/>
  <c r="AI222" i="1"/>
  <c r="AH124" i="1"/>
  <c r="AH184" i="1" s="1"/>
  <c r="AH242" i="1" s="1"/>
  <c r="AJ84" i="1"/>
  <c r="AK11" i="1"/>
  <c r="C794" i="3"/>
  <c r="C671" i="3"/>
  <c r="L648" i="3"/>
  <c r="L738" i="3"/>
  <c r="C717" i="3"/>
  <c r="L694" i="3"/>
  <c r="I35" i="2"/>
  <c r="AG160" i="1"/>
  <c r="AK161" i="1" s="1"/>
  <c r="AG103" i="1"/>
  <c r="AG120" i="1"/>
  <c r="I173" i="1"/>
  <c r="I73" i="1"/>
  <c r="I74" i="1" s="1"/>
  <c r="I180" i="1" s="1"/>
  <c r="I91" i="1"/>
  <c r="D739" i="3"/>
  <c r="I100" i="1"/>
  <c r="D740" i="3"/>
  <c r="D741" i="3"/>
  <c r="D742" i="3"/>
  <c r="D749" i="3"/>
  <c r="D738" i="3"/>
  <c r="I150" i="1"/>
  <c r="I39" i="1"/>
  <c r="I24" i="1"/>
  <c r="I85" i="1"/>
  <c r="I51" i="1"/>
  <c r="J52" i="1" s="1"/>
  <c r="I26" i="1"/>
  <c r="D761" i="3"/>
  <c r="D768" i="3"/>
  <c r="D769" i="3"/>
  <c r="D770" i="3"/>
  <c r="D771" i="3"/>
  <c r="D744" i="3"/>
  <c r="C759" i="3"/>
  <c r="D772" i="3"/>
  <c r="D745" i="3"/>
  <c r="D758" i="3"/>
  <c r="C762" i="3"/>
  <c r="D762" i="3" s="1"/>
  <c r="D747" i="3"/>
  <c r="C746" i="3"/>
  <c r="A744" i="3" s="1"/>
  <c r="C776" i="3"/>
  <c r="C774" i="3"/>
  <c r="D774" i="3" s="1"/>
  <c r="K740" i="3"/>
  <c r="AG23" i="1"/>
  <c r="AJ85" i="1" s="1"/>
  <c r="K785" i="3"/>
  <c r="A783" i="3"/>
  <c r="AH29" i="1" l="1"/>
  <c r="AK89" i="1" s="1"/>
  <c r="AH33" i="1"/>
  <c r="AH32" i="1"/>
  <c r="AG128" i="1"/>
  <c r="AH41" i="1"/>
  <c r="AH40" i="1"/>
  <c r="AH53" i="1"/>
  <c r="AK86" i="1"/>
  <c r="I144" i="1"/>
  <c r="I198" i="1" s="1"/>
  <c r="I153" i="1"/>
  <c r="I210" i="1" s="1"/>
  <c r="I136" i="1"/>
  <c r="I192" i="1" s="1"/>
  <c r="I184" i="1"/>
  <c r="I242" i="1" s="1"/>
  <c r="AJ148" i="1"/>
  <c r="AJ43" i="1"/>
  <c r="AJ100" i="1"/>
  <c r="AH185" i="1"/>
  <c r="AH243" i="1" s="1"/>
  <c r="AH153" i="1"/>
  <c r="AH210" i="1" s="1"/>
  <c r="AH144" i="1"/>
  <c r="AH198" i="1" s="1"/>
  <c r="C748" i="3"/>
  <c r="C750" i="3" s="1"/>
  <c r="A740" i="3"/>
  <c r="A737" i="3"/>
  <c r="D671" i="3"/>
  <c r="D651" i="3"/>
  <c r="D654" i="3" s="1"/>
  <c r="K737" i="3"/>
  <c r="K739" i="3" s="1"/>
  <c r="D683" i="3"/>
  <c r="D697" i="3"/>
  <c r="D700" i="3" s="1"/>
  <c r="D727" i="3"/>
  <c r="D729" i="3" s="1"/>
  <c r="D717" i="3"/>
  <c r="I178" i="1"/>
  <c r="I76" i="1"/>
  <c r="I181" i="1" s="1"/>
  <c r="I193" i="1"/>
  <c r="I154" i="1"/>
  <c r="I41" i="1"/>
  <c r="I40" i="1"/>
  <c r="I29" i="1"/>
  <c r="I32" i="1"/>
  <c r="I33" i="1"/>
  <c r="I86" i="1"/>
  <c r="I55" i="1"/>
  <c r="I53" i="1"/>
  <c r="AG124" i="1"/>
  <c r="AG184" i="1" s="1"/>
  <c r="AG242" i="1" s="1"/>
  <c r="AG123" i="1"/>
  <c r="AG144" i="1" s="1"/>
  <c r="AG198" i="1" s="1"/>
  <c r="AG151" i="1"/>
  <c r="AG208" i="1" s="1"/>
  <c r="AG26" i="1"/>
  <c r="AG39" i="1"/>
  <c r="AG49" i="1"/>
  <c r="AG51" i="1" s="1"/>
  <c r="AG24" i="1"/>
  <c r="H201" i="1"/>
  <c r="AF201" i="1"/>
  <c r="C797" i="3"/>
  <c r="C795" i="3"/>
  <c r="C796" i="3" s="1"/>
  <c r="C819" i="3"/>
  <c r="AF40" i="2"/>
  <c r="AF39" i="2"/>
  <c r="AF38" i="2"/>
  <c r="AF27" i="2"/>
  <c r="AF26" i="2"/>
  <c r="AF24" i="2"/>
  <c r="AF22" i="2"/>
  <c r="AF20" i="2"/>
  <c r="AF19" i="2"/>
  <c r="AF16" i="2"/>
  <c r="AF13" i="2"/>
  <c r="AF12" i="2"/>
  <c r="AF11" i="2"/>
  <c r="AF76" i="2"/>
  <c r="AF74" i="2" s="1"/>
  <c r="AF70" i="2"/>
  <c r="AF68" i="2" s="1"/>
  <c r="AF65" i="2"/>
  <c r="AF60" i="2"/>
  <c r="AF54" i="2"/>
  <c r="AF23" i="2"/>
  <c r="AF21" i="2"/>
  <c r="AF15" i="2"/>
  <c r="AF14" i="2"/>
  <c r="AH30" i="1" l="1"/>
  <c r="AG29" i="1"/>
  <c r="AG30" i="1" s="1"/>
  <c r="AG32" i="1"/>
  <c r="AG33" i="1"/>
  <c r="AH263" i="1"/>
  <c r="K741" i="3"/>
  <c r="H245" i="1"/>
  <c r="H249" i="1"/>
  <c r="H248" i="1"/>
  <c r="AF245" i="1"/>
  <c r="AF249" i="1"/>
  <c r="AF248" i="1"/>
  <c r="I155" i="1"/>
  <c r="AG24" i="2"/>
  <c r="AH24" i="2" s="1"/>
  <c r="AF25" i="2"/>
  <c r="AF47" i="2" s="1"/>
  <c r="AG26" i="2"/>
  <c r="AG15" i="2"/>
  <c r="AH15" i="2" s="1"/>
  <c r="AG21" i="2"/>
  <c r="AH21" i="2" s="1"/>
  <c r="AG12" i="2"/>
  <c r="AH12" i="2" s="1"/>
  <c r="AG27" i="2"/>
  <c r="AH27" i="2" s="1"/>
  <c r="AG20" i="2"/>
  <c r="AH20" i="2" s="1"/>
  <c r="AG22" i="2"/>
  <c r="AH22" i="2" s="1"/>
  <c r="AG11" i="2"/>
  <c r="AH11" i="2" s="1"/>
  <c r="AG23" i="2"/>
  <c r="AH23" i="2" s="1"/>
  <c r="AG13" i="2"/>
  <c r="AH13" i="2" s="1"/>
  <c r="AG38" i="2"/>
  <c r="AG14" i="2"/>
  <c r="AH14" i="2" s="1"/>
  <c r="AG16" i="2"/>
  <c r="AH16" i="2" s="1"/>
  <c r="AG39" i="2"/>
  <c r="AH39" i="2" s="1"/>
  <c r="AG19" i="2"/>
  <c r="AG40" i="2"/>
  <c r="AH40" i="2" s="1"/>
  <c r="AK52" i="1"/>
  <c r="AJ86" i="1"/>
  <c r="AJ89" i="1"/>
  <c r="C754" i="3"/>
  <c r="L645" i="3"/>
  <c r="L647" i="3" s="1"/>
  <c r="D656" i="3"/>
  <c r="L691" i="3"/>
  <c r="L693" i="3" s="1"/>
  <c r="D702" i="3"/>
  <c r="I30" i="1"/>
  <c r="I89" i="1"/>
  <c r="C752" i="3"/>
  <c r="AF41" i="2"/>
  <c r="AF17" i="2"/>
  <c r="AF46" i="2" s="1"/>
  <c r="AG153" i="1"/>
  <c r="AG210" i="1" s="1"/>
  <c r="AG185" i="1"/>
  <c r="AG243" i="1" s="1"/>
  <c r="L779" i="3"/>
  <c r="D785" i="3" s="1"/>
  <c r="AG200" i="1"/>
  <c r="AG218" i="1" s="1"/>
  <c r="AK219" i="1" s="1"/>
  <c r="AG53" i="1"/>
  <c r="AG40" i="1"/>
  <c r="AG41" i="1"/>
  <c r="C808" i="3"/>
  <c r="K786" i="3"/>
  <c r="A786" i="3"/>
  <c r="A790" i="3"/>
  <c r="C821" i="3"/>
  <c r="AF9" i="2"/>
  <c r="AF95" i="1"/>
  <c r="AF75" i="1"/>
  <c r="AG75" i="1" s="1"/>
  <c r="AH75" i="1" s="1"/>
  <c r="AF72" i="1"/>
  <c r="AF70" i="1"/>
  <c r="AG70" i="1" s="1"/>
  <c r="AH70" i="1" s="1"/>
  <c r="AF67" i="1"/>
  <c r="AF64" i="1"/>
  <c r="AF63" i="1"/>
  <c r="AG63" i="1" s="1"/>
  <c r="AH63" i="1" s="1"/>
  <c r="AF56" i="1"/>
  <c r="AF204" i="1"/>
  <c r="AF216" i="1" s="1"/>
  <c r="AF203" i="1"/>
  <c r="AF215" i="1" s="1"/>
  <c r="AF158" i="1"/>
  <c r="AF157" i="1"/>
  <c r="AF152" i="1"/>
  <c r="AF209" i="1" s="1"/>
  <c r="AF147" i="1"/>
  <c r="AF146" i="1"/>
  <c r="AF131" i="1"/>
  <c r="AF118" i="1"/>
  <c r="AF117" i="1"/>
  <c r="AF114" i="1"/>
  <c r="AF109" i="1"/>
  <c r="AF99" i="1"/>
  <c r="AF48" i="1"/>
  <c r="AF60" i="1" s="1"/>
  <c r="AF82" i="1" s="1"/>
  <c r="AF93" i="1" s="1"/>
  <c r="AF38" i="1"/>
  <c r="AF37" i="1"/>
  <c r="AF36" i="1"/>
  <c r="AF10" i="1"/>
  <c r="AF8" i="1"/>
  <c r="AF250" i="1" l="1"/>
  <c r="AG263" i="1"/>
  <c r="H250" i="1"/>
  <c r="AF28" i="2"/>
  <c r="AF34" i="2" s="1"/>
  <c r="AH9" i="2"/>
  <c r="AG17" i="2"/>
  <c r="AG25" i="2"/>
  <c r="AH19" i="2"/>
  <c r="AH26" i="2"/>
  <c r="AG41" i="2"/>
  <c r="AH38" i="2"/>
  <c r="AF45" i="2"/>
  <c r="AG9" i="2"/>
  <c r="AG45" i="2" s="1"/>
  <c r="AH175" i="1"/>
  <c r="AH233" i="1" s="1"/>
  <c r="AF103" i="1"/>
  <c r="AJ11" i="1"/>
  <c r="AI84" i="1"/>
  <c r="AH179" i="1"/>
  <c r="AH237" i="1" s="1"/>
  <c r="AG64" i="1"/>
  <c r="AJ57" i="1"/>
  <c r="AJ205" i="1"/>
  <c r="AH168" i="1"/>
  <c r="AH226" i="1" s="1"/>
  <c r="D658" i="3"/>
  <c r="L649" i="3"/>
  <c r="D704" i="3"/>
  <c r="L695" i="3"/>
  <c r="AG67" i="1"/>
  <c r="D817" i="3"/>
  <c r="D816" i="3"/>
  <c r="AF61" i="1"/>
  <c r="AF166" i="1" s="1"/>
  <c r="AG56" i="1"/>
  <c r="D815" i="3"/>
  <c r="D786" i="3"/>
  <c r="D808" i="3"/>
  <c r="C805" i="3"/>
  <c r="D790" i="3"/>
  <c r="D793" i="3"/>
  <c r="C763" i="3"/>
  <c r="L740" i="3"/>
  <c r="D791" i="3"/>
  <c r="D814" i="3"/>
  <c r="D795" i="3"/>
  <c r="D788" i="3"/>
  <c r="D818" i="3"/>
  <c r="L784" i="3"/>
  <c r="AF172" i="1"/>
  <c r="D787" i="3"/>
  <c r="D804" i="3"/>
  <c r="D784" i="3"/>
  <c r="AF179" i="1"/>
  <c r="AG179" i="1"/>
  <c r="AG237" i="1" s="1"/>
  <c r="AF42" i="2"/>
  <c r="AF169" i="1"/>
  <c r="AF168" i="1"/>
  <c r="AG168" i="1"/>
  <c r="AG226" i="1" s="1"/>
  <c r="AF175" i="1"/>
  <c r="AG175" i="1"/>
  <c r="AG233" i="1" s="1"/>
  <c r="AF177" i="1"/>
  <c r="AG72" i="1"/>
  <c r="AF120" i="1"/>
  <c r="K787" i="3"/>
  <c r="C798" i="3"/>
  <c r="C822" i="3"/>
  <c r="C820" i="3"/>
  <c r="D820" i="3" s="1"/>
  <c r="AF162" i="1"/>
  <c r="AJ163" i="1" s="1"/>
  <c r="AF58" i="1"/>
  <c r="AF23" i="1"/>
  <c r="AF160" i="1"/>
  <c r="AJ161" i="1" s="1"/>
  <c r="C800" i="3" l="1"/>
  <c r="AF48" i="2"/>
  <c r="AF29" i="2"/>
  <c r="AF32" i="2"/>
  <c r="AF33" i="2"/>
  <c r="AG28" i="2"/>
  <c r="AG29" i="2" s="1"/>
  <c r="AH17" i="2"/>
  <c r="AH25" i="2"/>
  <c r="AG47" i="2"/>
  <c r="AH41" i="2"/>
  <c r="AH45" i="2"/>
  <c r="AG46" i="2"/>
  <c r="AI43" i="1"/>
  <c r="AI100" i="1"/>
  <c r="AI148" i="1"/>
  <c r="AH64" i="1"/>
  <c r="AH80" i="1" s="1"/>
  <c r="AG177" i="1"/>
  <c r="AG235" i="1" s="1"/>
  <c r="AH72" i="1"/>
  <c r="AG172" i="1"/>
  <c r="AG230" i="1" s="1"/>
  <c r="AH67" i="1"/>
  <c r="AG169" i="1"/>
  <c r="AG227" i="1" s="1"/>
  <c r="AG42" i="2"/>
  <c r="AK57" i="1"/>
  <c r="AH56" i="1"/>
  <c r="AI85" i="1"/>
  <c r="D773" i="3"/>
  <c r="D775" i="3" s="1"/>
  <c r="D743" i="3"/>
  <c r="D746" i="3" s="1"/>
  <c r="AG162" i="1"/>
  <c r="AK163" i="1" s="1"/>
  <c r="AG61" i="1"/>
  <c r="AG58" i="1"/>
  <c r="AG55" i="1"/>
  <c r="AF128" i="1"/>
  <c r="AF151" i="1"/>
  <c r="AF208" i="1" s="1"/>
  <c r="AF123" i="1"/>
  <c r="AF144" i="1" s="1"/>
  <c r="AF198" i="1" s="1"/>
  <c r="AF164" i="1"/>
  <c r="AF124" i="1"/>
  <c r="AF184" i="1" s="1"/>
  <c r="AF242" i="1" s="1"/>
  <c r="AF26" i="1"/>
  <c r="AF39" i="1"/>
  <c r="AF24" i="1"/>
  <c r="AF49" i="1"/>
  <c r="AF51" i="1" s="1"/>
  <c r="AA66" i="1"/>
  <c r="AE66" i="1"/>
  <c r="C841" i="3"/>
  <c r="C839" i="3"/>
  <c r="K832" i="3" s="1"/>
  <c r="C863" i="3"/>
  <c r="C835" i="3"/>
  <c r="C865" i="3" s="1"/>
  <c r="AE76" i="2"/>
  <c r="AE74" i="2" s="1"/>
  <c r="AE70" i="2"/>
  <c r="AE68" i="2" s="1"/>
  <c r="AE65" i="2"/>
  <c r="AE60" i="2"/>
  <c r="AE54" i="2"/>
  <c r="AE41" i="2"/>
  <c r="AE42" i="2" s="1"/>
  <c r="AE25" i="2"/>
  <c r="AE17" i="2"/>
  <c r="AE46" i="2" s="1"/>
  <c r="AE9" i="2"/>
  <c r="AE45" i="2" s="1"/>
  <c r="AJ80" i="1" l="1"/>
  <c r="AI80" i="1"/>
  <c r="AI88" i="1"/>
  <c r="AK80" i="1"/>
  <c r="AF32" i="1"/>
  <c r="AF33" i="1"/>
  <c r="AA46" i="1"/>
  <c r="AA45" i="1"/>
  <c r="AE46" i="1"/>
  <c r="AE45" i="1"/>
  <c r="AF35" i="2"/>
  <c r="AH28" i="2"/>
  <c r="AH29" i="2" s="1"/>
  <c r="AG48" i="2"/>
  <c r="AG33" i="2"/>
  <c r="AG32" i="2"/>
  <c r="AG34" i="2"/>
  <c r="AH47" i="2"/>
  <c r="AH46" i="2"/>
  <c r="AJ87" i="1"/>
  <c r="AJ133" i="1" s="1"/>
  <c r="AJ189" i="1" s="1"/>
  <c r="AL57" i="1"/>
  <c r="AK87" i="1"/>
  <c r="AH162" i="1"/>
  <c r="AL163" i="1" s="1"/>
  <c r="AH42" i="2"/>
  <c r="AH58" i="1"/>
  <c r="AH55" i="1"/>
  <c r="AI87" i="1"/>
  <c r="AH87" i="1"/>
  <c r="AH177" i="1"/>
  <c r="AH235" i="1" s="1"/>
  <c r="AK88" i="1"/>
  <c r="AH169" i="1"/>
  <c r="AH227" i="1" s="1"/>
  <c r="AJ88" i="1"/>
  <c r="AF66" i="1"/>
  <c r="AH88" i="1"/>
  <c r="AH172" i="1"/>
  <c r="AH230" i="1" s="1"/>
  <c r="AJ52" i="1"/>
  <c r="AI86" i="1"/>
  <c r="D748" i="3"/>
  <c r="L737" i="3"/>
  <c r="L739" i="3" s="1"/>
  <c r="AG166" i="1"/>
  <c r="AG164" i="1"/>
  <c r="AG220" i="1"/>
  <c r="AF185" i="1"/>
  <c r="AF243" i="1" s="1"/>
  <c r="AF153" i="1"/>
  <c r="AF210" i="1" s="1"/>
  <c r="AF55" i="1"/>
  <c r="AF53" i="1"/>
  <c r="AF29" i="1"/>
  <c r="AF40" i="1"/>
  <c r="AF41" i="1"/>
  <c r="C852" i="3"/>
  <c r="C838" i="3"/>
  <c r="K829" i="3" s="1"/>
  <c r="C866" i="3"/>
  <c r="C864" i="3"/>
  <c r="AE47" i="2"/>
  <c r="AE28" i="2"/>
  <c r="AF171" i="1" l="1"/>
  <c r="AF46" i="1"/>
  <c r="AF45" i="1"/>
  <c r="AH34" i="2"/>
  <c r="AH33" i="2"/>
  <c r="AH32" i="2"/>
  <c r="AF263" i="1"/>
  <c r="AH48" i="2"/>
  <c r="AK221" i="1"/>
  <c r="AG35" i="2"/>
  <c r="AJ142" i="1"/>
  <c r="AJ196" i="1" s="1"/>
  <c r="AJ134" i="1"/>
  <c r="AJ190" i="1" s="1"/>
  <c r="AJ137" i="1"/>
  <c r="AJ193" i="1" s="1"/>
  <c r="AJ136" i="1"/>
  <c r="AJ155" i="1" s="1"/>
  <c r="AJ149" i="1"/>
  <c r="AJ206" i="1" s="1"/>
  <c r="AJ187" i="1"/>
  <c r="C615" i="3"/>
  <c r="D615" i="3" s="1"/>
  <c r="C707" i="3"/>
  <c r="AH134" i="1"/>
  <c r="AH190" i="1" s="1"/>
  <c r="AH133" i="1"/>
  <c r="AH189" i="1" s="1"/>
  <c r="AH187" i="1"/>
  <c r="AH149" i="1"/>
  <c r="AH137" i="1"/>
  <c r="AH136" i="1"/>
  <c r="AI149" i="1"/>
  <c r="C661" i="3"/>
  <c r="AI187" i="1"/>
  <c r="AI133" i="1"/>
  <c r="AI189" i="1" s="1"/>
  <c r="AI134" i="1"/>
  <c r="AI190" i="1" s="1"/>
  <c r="AI142" i="1"/>
  <c r="AI196" i="1" s="1"/>
  <c r="AI136" i="1"/>
  <c r="AI137" i="1"/>
  <c r="AG66" i="1"/>
  <c r="AH220" i="1"/>
  <c r="AH164" i="1"/>
  <c r="AH142" i="1"/>
  <c r="AH196" i="1" s="1"/>
  <c r="AK142" i="1"/>
  <c r="AK196" i="1" s="1"/>
  <c r="C569" i="3"/>
  <c r="AK187" i="1"/>
  <c r="AK133" i="1"/>
  <c r="AK189" i="1" s="1"/>
  <c r="AK134" i="1"/>
  <c r="AK190" i="1" s="1"/>
  <c r="AK149" i="1"/>
  <c r="AK137" i="1"/>
  <c r="AK136" i="1"/>
  <c r="AI89" i="1"/>
  <c r="L741" i="3"/>
  <c r="D750" i="3"/>
  <c r="AG224" i="1"/>
  <c r="AG222" i="1"/>
  <c r="AF30" i="1"/>
  <c r="A829" i="3"/>
  <c r="A836" i="3"/>
  <c r="C840" i="3"/>
  <c r="A832" i="3"/>
  <c r="AE48" i="2"/>
  <c r="AE32" i="2"/>
  <c r="AE34" i="2"/>
  <c r="AE33" i="2"/>
  <c r="AG46" i="1" l="1"/>
  <c r="AG45" i="1"/>
  <c r="AH35" i="2"/>
  <c r="AL221" i="1"/>
  <c r="AJ154" i="1"/>
  <c r="AJ150" i="1"/>
  <c r="E612" i="3"/>
  <c r="E610" i="3"/>
  <c r="K604" i="3"/>
  <c r="AJ192" i="1"/>
  <c r="D569" i="3"/>
  <c r="K558" i="3"/>
  <c r="E564" i="3"/>
  <c r="E566" i="3"/>
  <c r="AH193" i="1"/>
  <c r="AH154" i="1"/>
  <c r="AH222" i="1"/>
  <c r="AK206" i="1"/>
  <c r="AK150" i="1"/>
  <c r="AK155" i="1"/>
  <c r="AK192" i="1"/>
  <c r="AK154" i="1"/>
  <c r="AK193" i="1"/>
  <c r="AH192" i="1"/>
  <c r="AH155" i="1"/>
  <c r="AJ212" i="1"/>
  <c r="AJ211" i="1"/>
  <c r="AJ207" i="1"/>
  <c r="AI155" i="1"/>
  <c r="AI192" i="1"/>
  <c r="K513" i="3"/>
  <c r="E519" i="3"/>
  <c r="E521" i="3"/>
  <c r="AH66" i="1"/>
  <c r="AG171" i="1"/>
  <c r="AG229" i="1" s="1"/>
  <c r="D661" i="3"/>
  <c r="K650" i="3"/>
  <c r="E656" i="3"/>
  <c r="E658" i="3"/>
  <c r="L604" i="3"/>
  <c r="F610" i="3"/>
  <c r="F612" i="3"/>
  <c r="AI193" i="1"/>
  <c r="AI154" i="1"/>
  <c r="AI150" i="1"/>
  <c r="K696" i="3"/>
  <c r="E702" i="3"/>
  <c r="E704" i="3"/>
  <c r="C842" i="3"/>
  <c r="AE35" i="2"/>
  <c r="AH90" i="1" l="1"/>
  <c r="AH141" i="1" s="1"/>
  <c r="AH195" i="1" s="1"/>
  <c r="AH46" i="1"/>
  <c r="AH45" i="1"/>
  <c r="M601" i="3"/>
  <c r="M603" i="3"/>
  <c r="N601" i="3"/>
  <c r="N603" i="3"/>
  <c r="M647" i="3"/>
  <c r="M649" i="3"/>
  <c r="M555" i="3"/>
  <c r="M557" i="3"/>
  <c r="M510" i="3"/>
  <c r="M512" i="3"/>
  <c r="M693" i="3"/>
  <c r="M695" i="3"/>
  <c r="AK212" i="1"/>
  <c r="AK211" i="1"/>
  <c r="AK207" i="1"/>
  <c r="AH171" i="1"/>
  <c r="AH229" i="1" s="1"/>
  <c r="AK90" i="1"/>
  <c r="AK141" i="1" s="1"/>
  <c r="AK195" i="1" s="1"/>
  <c r="AI90" i="1"/>
  <c r="AI141" i="1" s="1"/>
  <c r="AI195" i="1" s="1"/>
  <c r="L513" i="3"/>
  <c r="F519" i="3"/>
  <c r="F521" i="3"/>
  <c r="AJ90" i="1"/>
  <c r="AJ141" i="1" s="1"/>
  <c r="AJ195" i="1" s="1"/>
  <c r="L558" i="3"/>
  <c r="F564" i="3"/>
  <c r="F566" i="3"/>
  <c r="AE201" i="1"/>
  <c r="AE71" i="1"/>
  <c r="AE69" i="1"/>
  <c r="AF69" i="1" s="1"/>
  <c r="AG69" i="1" s="1"/>
  <c r="AH69" i="1" s="1"/>
  <c r="AE62" i="1"/>
  <c r="AF62" i="1" s="1"/>
  <c r="AG62" i="1" s="1"/>
  <c r="AH62" i="1" s="1"/>
  <c r="AE204" i="1"/>
  <c r="AE216" i="1" s="1"/>
  <c r="AE203" i="1"/>
  <c r="AE215" i="1" s="1"/>
  <c r="AE179" i="1"/>
  <c r="AE177" i="1"/>
  <c r="AE172" i="1"/>
  <c r="AE169" i="1"/>
  <c r="AE168" i="1"/>
  <c r="AE162" i="1"/>
  <c r="AI163" i="1" s="1"/>
  <c r="AE158" i="1"/>
  <c r="AE157" i="1"/>
  <c r="AE152" i="1"/>
  <c r="AE147" i="1"/>
  <c r="AE146" i="1"/>
  <c r="AE131" i="1"/>
  <c r="AE118" i="1"/>
  <c r="AE117" i="1"/>
  <c r="AE114" i="1"/>
  <c r="AE109" i="1"/>
  <c r="AE99" i="1"/>
  <c r="AE175" i="1"/>
  <c r="AE61" i="1"/>
  <c r="AH61" i="1" s="1"/>
  <c r="AE57" i="1"/>
  <c r="AE48" i="1"/>
  <c r="AE60" i="1" s="1"/>
  <c r="AE82" i="1" s="1"/>
  <c r="AE93" i="1" s="1"/>
  <c r="AE38" i="1"/>
  <c r="AE37" i="1"/>
  <c r="AE36" i="1"/>
  <c r="AE10" i="1"/>
  <c r="AE8" i="1"/>
  <c r="N555" i="3" l="1"/>
  <c r="N557" i="3"/>
  <c r="N510" i="3"/>
  <c r="N512" i="3"/>
  <c r="AE245" i="1"/>
  <c r="AE248" i="1"/>
  <c r="AE249" i="1"/>
  <c r="AE120" i="1"/>
  <c r="AE103" i="1"/>
  <c r="AI11" i="1"/>
  <c r="AH84" i="1"/>
  <c r="AH167" i="1"/>
  <c r="AH174" i="1"/>
  <c r="AH232" i="1" s="1"/>
  <c r="AH166" i="1"/>
  <c r="AH224" i="1" s="1"/>
  <c r="AH65" i="1"/>
  <c r="AH68" i="1" s="1"/>
  <c r="AE167" i="1"/>
  <c r="AG167" i="1"/>
  <c r="AG65" i="1"/>
  <c r="AG68" i="1" s="1"/>
  <c r="AF174" i="1"/>
  <c r="AG174" i="1"/>
  <c r="AG232" i="1" s="1"/>
  <c r="AE65" i="1"/>
  <c r="AE68" i="1" s="1"/>
  <c r="AE73" i="1" s="1"/>
  <c r="AE174" i="1"/>
  <c r="AF167" i="1"/>
  <c r="AF65" i="1"/>
  <c r="AF68" i="1" s="1"/>
  <c r="L825" i="3"/>
  <c r="D836" i="3" s="1"/>
  <c r="AF200" i="1"/>
  <c r="AE176" i="1"/>
  <c r="AF71" i="1"/>
  <c r="AG71" i="1" s="1"/>
  <c r="AH71" i="1" s="1"/>
  <c r="C809" i="3"/>
  <c r="L786" i="3"/>
  <c r="AE58" i="1"/>
  <c r="AE29" i="2"/>
  <c r="AE209" i="1"/>
  <c r="AE166" i="1"/>
  <c r="AE160" i="1"/>
  <c r="AI161" i="1" s="1"/>
  <c r="AE23" i="1"/>
  <c r="AH85" i="1" s="1"/>
  <c r="AE171" i="1"/>
  <c r="H70" i="1"/>
  <c r="AK252" i="1" l="1"/>
  <c r="AJ252" i="1"/>
  <c r="C844" i="3"/>
  <c r="AE250" i="1"/>
  <c r="AE128" i="1"/>
  <c r="AE123" i="1"/>
  <c r="AE185" i="1" s="1"/>
  <c r="AE243" i="1" s="1"/>
  <c r="AE170" i="1"/>
  <c r="AE151" i="1"/>
  <c r="AE208" i="1" s="1"/>
  <c r="AE124" i="1"/>
  <c r="AE184" i="1" s="1"/>
  <c r="AE242" i="1" s="1"/>
  <c r="AH148" i="1"/>
  <c r="AH43" i="1"/>
  <c r="AH100" i="1"/>
  <c r="AI205" i="1"/>
  <c r="AI206" i="1"/>
  <c r="AH173" i="1"/>
  <c r="AH231" i="1" s="1"/>
  <c r="AH73" i="1"/>
  <c r="AH178" i="1" s="1"/>
  <c r="AH236" i="1" s="1"/>
  <c r="AK91" i="1"/>
  <c r="AH176" i="1"/>
  <c r="AH234" i="1" s="1"/>
  <c r="AH170" i="1"/>
  <c r="AH228" i="1" s="1"/>
  <c r="AH225" i="1"/>
  <c r="AI91" i="1"/>
  <c r="AJ91" i="1"/>
  <c r="AH91" i="1"/>
  <c r="D837" i="3"/>
  <c r="D860" i="3"/>
  <c r="D834" i="3"/>
  <c r="D763" i="3"/>
  <c r="D852" i="3"/>
  <c r="AF176" i="1"/>
  <c r="AF234" i="1" s="1"/>
  <c r="AG176" i="1"/>
  <c r="AG234" i="1" s="1"/>
  <c r="AG173" i="1"/>
  <c r="AG231" i="1" s="1"/>
  <c r="AG225" i="1"/>
  <c r="AG170" i="1"/>
  <c r="AG228" i="1" s="1"/>
  <c r="D864" i="3"/>
  <c r="D861" i="3"/>
  <c r="K830" i="3"/>
  <c r="K831" i="3" s="1"/>
  <c r="AE173" i="1"/>
  <c r="AF237" i="1"/>
  <c r="AF235" i="1"/>
  <c r="AF233" i="1"/>
  <c r="AF224" i="1"/>
  <c r="AI252" i="1" s="1"/>
  <c r="AF226" i="1"/>
  <c r="AF230" i="1"/>
  <c r="AF227" i="1"/>
  <c r="AF220" i="1"/>
  <c r="AF218" i="1"/>
  <c r="AJ219" i="1" s="1"/>
  <c r="AF229" i="1"/>
  <c r="AF73" i="1"/>
  <c r="AF173" i="1"/>
  <c r="AF231" i="1" s="1"/>
  <c r="D832" i="3"/>
  <c r="D851" i="3"/>
  <c r="AF225" i="1"/>
  <c r="AF170" i="1"/>
  <c r="AF228" i="1" s="1"/>
  <c r="D859" i="3"/>
  <c r="D831" i="3"/>
  <c r="D833" i="3"/>
  <c r="D839" i="3"/>
  <c r="L832" i="3" s="1"/>
  <c r="D858" i="3"/>
  <c r="D807" i="3"/>
  <c r="D809" i="3" s="1"/>
  <c r="D848" i="3"/>
  <c r="C849" i="3"/>
  <c r="AF232" i="1"/>
  <c r="D862" i="3"/>
  <c r="D830" i="3"/>
  <c r="D819" i="3"/>
  <c r="D821" i="3" s="1"/>
  <c r="D789" i="3"/>
  <c r="D792" i="3" s="1"/>
  <c r="D794" i="3" s="1"/>
  <c r="AE74" i="1"/>
  <c r="AE76" i="1" s="1"/>
  <c r="AE39" i="1"/>
  <c r="AE26" i="1"/>
  <c r="AE24" i="1"/>
  <c r="AE49" i="1"/>
  <c r="AE51" i="1" s="1"/>
  <c r="AE178" i="1"/>
  <c r="AE164" i="1"/>
  <c r="C906" i="3"/>
  <c r="C907" i="3" s="1"/>
  <c r="C879" i="3"/>
  <c r="C909" i="3" s="1"/>
  <c r="AD78" i="2"/>
  <c r="AD77" i="2"/>
  <c r="AD75" i="2"/>
  <c r="AD72" i="2"/>
  <c r="AD71" i="2"/>
  <c r="AD69" i="2"/>
  <c r="AD64" i="2"/>
  <c r="AD63" i="2"/>
  <c r="AD59" i="2"/>
  <c r="AD58" i="2"/>
  <c r="AD57" i="2"/>
  <c r="AD53" i="2"/>
  <c r="AD52" i="2"/>
  <c r="AD51" i="2"/>
  <c r="H54" i="2"/>
  <c r="H17" i="2"/>
  <c r="H46" i="2" s="1"/>
  <c r="H76" i="2"/>
  <c r="H74" i="2" s="1"/>
  <c r="H70" i="2"/>
  <c r="H68" i="2" s="1"/>
  <c r="H65" i="2"/>
  <c r="H60" i="2"/>
  <c r="H41" i="2"/>
  <c r="H42" i="2" s="1"/>
  <c r="H25" i="2"/>
  <c r="H47" i="2" s="1"/>
  <c r="H9" i="2"/>
  <c r="H45" i="2" s="1"/>
  <c r="AD201" i="1"/>
  <c r="AE200" i="1" s="1"/>
  <c r="AD127" i="1"/>
  <c r="AD122" i="1"/>
  <c r="C883" i="3" s="1"/>
  <c r="AD113" i="1"/>
  <c r="AD112" i="1"/>
  <c r="AD108" i="1"/>
  <c r="AD107" i="1"/>
  <c r="AD98" i="1"/>
  <c r="AD97" i="1"/>
  <c r="AD96" i="1"/>
  <c r="AD50" i="1"/>
  <c r="AD28" i="1"/>
  <c r="AD27" i="1"/>
  <c r="AD25" i="1"/>
  <c r="AE42" i="1" s="1"/>
  <c r="AD22" i="1"/>
  <c r="AD21" i="1"/>
  <c r="AD20" i="1"/>
  <c r="AD19" i="1"/>
  <c r="AD18" i="1"/>
  <c r="AD17" i="1"/>
  <c r="AD16" i="1"/>
  <c r="AD15" i="1"/>
  <c r="AD12" i="1"/>
  <c r="AD9" i="1"/>
  <c r="AD7" i="1"/>
  <c r="AH8" i="1" s="1"/>
  <c r="AD204" i="1"/>
  <c r="AD216" i="1" s="1"/>
  <c r="AD203" i="1"/>
  <c r="AD215" i="1" s="1"/>
  <c r="AD158" i="1"/>
  <c r="AD157" i="1"/>
  <c r="AD147" i="1"/>
  <c r="AD146" i="1"/>
  <c r="AD131" i="1"/>
  <c r="AD48" i="1"/>
  <c r="AD60" i="1" s="1"/>
  <c r="AD82" i="1" s="1"/>
  <c r="AD93" i="1" s="1"/>
  <c r="H95" i="1"/>
  <c r="AD95" i="1" s="1"/>
  <c r="H71" i="1"/>
  <c r="H176" i="1" s="1"/>
  <c r="H69" i="1"/>
  <c r="H174" i="1" s="1"/>
  <c r="H66" i="1"/>
  <c r="H171" i="1" s="1"/>
  <c r="H62" i="1"/>
  <c r="H167" i="1" s="1"/>
  <c r="H204" i="1"/>
  <c r="H216" i="1" s="1"/>
  <c r="H203" i="1"/>
  <c r="H215" i="1" s="1"/>
  <c r="H179" i="1"/>
  <c r="H177" i="1"/>
  <c r="H175" i="1"/>
  <c r="H169" i="1"/>
  <c r="H168" i="1"/>
  <c r="H162" i="1"/>
  <c r="I163" i="1" s="1"/>
  <c r="H158" i="1"/>
  <c r="H157" i="1"/>
  <c r="H152" i="1"/>
  <c r="H147" i="1"/>
  <c r="H146" i="1"/>
  <c r="H131" i="1"/>
  <c r="H118" i="1"/>
  <c r="AD118" i="1" s="1"/>
  <c r="H117" i="1"/>
  <c r="H114" i="1"/>
  <c r="H109" i="1"/>
  <c r="H80" i="1" s="1"/>
  <c r="H99" i="1"/>
  <c r="H88" i="1"/>
  <c r="H87" i="1"/>
  <c r="H61" i="1"/>
  <c r="H166" i="1" s="1"/>
  <c r="H57" i="1"/>
  <c r="H48" i="1"/>
  <c r="H60" i="1" s="1"/>
  <c r="H82" i="1" s="1"/>
  <c r="H93" i="1" s="1"/>
  <c r="H38" i="1"/>
  <c r="H37" i="1"/>
  <c r="H36" i="1"/>
  <c r="H10" i="1"/>
  <c r="H8" i="1"/>
  <c r="AE32" i="1" l="1"/>
  <c r="AE33" i="1"/>
  <c r="AK260" i="1"/>
  <c r="AK257" i="1"/>
  <c r="AK254" i="1"/>
  <c r="AK255" i="1"/>
  <c r="AK258" i="1"/>
  <c r="AK261" i="1"/>
  <c r="AJ260" i="1"/>
  <c r="AJ261" i="1"/>
  <c r="AJ254" i="1"/>
  <c r="AJ257" i="1"/>
  <c r="AJ258" i="1"/>
  <c r="AJ255" i="1"/>
  <c r="AD65" i="2"/>
  <c r="AI261" i="1"/>
  <c r="AI260" i="1"/>
  <c r="AI257" i="1"/>
  <c r="AI254" i="1"/>
  <c r="AI255" i="1"/>
  <c r="AI258" i="1"/>
  <c r="AE263" i="1"/>
  <c r="AG42" i="1"/>
  <c r="AF42" i="1"/>
  <c r="K833" i="3"/>
  <c r="AD249" i="1"/>
  <c r="AJ221" i="1"/>
  <c r="AD248" i="1"/>
  <c r="AD245" i="1"/>
  <c r="AD76" i="2"/>
  <c r="AD74" i="2" s="1"/>
  <c r="AE153" i="1"/>
  <c r="AE210" i="1" s="1"/>
  <c r="AE144" i="1"/>
  <c r="AE198" i="1" s="1"/>
  <c r="L688" i="3"/>
  <c r="AH206" i="1"/>
  <c r="AI211" i="1"/>
  <c r="AI212" i="1"/>
  <c r="AI207" i="1"/>
  <c r="AI52" i="1"/>
  <c r="AH86" i="1"/>
  <c r="AH205" i="1"/>
  <c r="AH150" i="1"/>
  <c r="I11" i="1"/>
  <c r="H103" i="1"/>
  <c r="AD102" i="1"/>
  <c r="AG73" i="1"/>
  <c r="D796" i="3"/>
  <c r="L783" i="3"/>
  <c r="L785" i="3" s="1"/>
  <c r="AD152" i="1"/>
  <c r="AD209" i="1" s="1"/>
  <c r="AE180" i="1"/>
  <c r="AE238" i="1" s="1"/>
  <c r="AD70" i="2"/>
  <c r="AD68" i="2" s="1"/>
  <c r="AF74" i="1"/>
  <c r="AF180" i="1" s="1"/>
  <c r="AF238" i="1" s="1"/>
  <c r="AF178" i="1"/>
  <c r="AF236" i="1" s="1"/>
  <c r="H120" i="1"/>
  <c r="AF222" i="1"/>
  <c r="H45" i="1"/>
  <c r="AD54" i="2"/>
  <c r="AE234" i="1"/>
  <c r="AE226" i="1"/>
  <c r="AE233" i="1"/>
  <c r="AE237" i="1"/>
  <c r="AE227" i="1"/>
  <c r="AE230" i="1"/>
  <c r="AE225" i="1"/>
  <c r="AE235" i="1"/>
  <c r="AE220" i="1"/>
  <c r="AE232" i="1"/>
  <c r="AD60" i="2"/>
  <c r="AE236" i="1"/>
  <c r="AE218" i="1"/>
  <c r="AI219" i="1" s="1"/>
  <c r="AE229" i="1"/>
  <c r="H209" i="1"/>
  <c r="AE224" i="1"/>
  <c r="AH252" i="1" s="1"/>
  <c r="AD37" i="1"/>
  <c r="AD114" i="1"/>
  <c r="AE231" i="1"/>
  <c r="AE228" i="1"/>
  <c r="AE53" i="1"/>
  <c r="AE55" i="1"/>
  <c r="AE29" i="1"/>
  <c r="AH89" i="1" s="1"/>
  <c r="AE40" i="1"/>
  <c r="AE41" i="1"/>
  <c r="AD99" i="1"/>
  <c r="AD38" i="1"/>
  <c r="L869" i="3"/>
  <c r="D906" i="3" s="1"/>
  <c r="AD36" i="1"/>
  <c r="AD117" i="1"/>
  <c r="AD120" i="1" s="1"/>
  <c r="C885" i="3"/>
  <c r="AD200" i="1"/>
  <c r="H65" i="1"/>
  <c r="H68" i="1" s="1"/>
  <c r="H173" i="1" s="1"/>
  <c r="AD109" i="1"/>
  <c r="C896" i="3"/>
  <c r="C882" i="3"/>
  <c r="C884" i="3" s="1"/>
  <c r="C910" i="3"/>
  <c r="C908" i="3"/>
  <c r="H28" i="2"/>
  <c r="H32" i="2" s="1"/>
  <c r="AD10" i="1"/>
  <c r="H46" i="1"/>
  <c r="H90" i="1"/>
  <c r="H141" i="1" s="1"/>
  <c r="H195" i="1" s="1"/>
  <c r="H134" i="1"/>
  <c r="H190" i="1" s="1"/>
  <c r="H142" i="1"/>
  <c r="H196" i="1" s="1"/>
  <c r="H133" i="1"/>
  <c r="H189" i="1" s="1"/>
  <c r="H23" i="1"/>
  <c r="H85" i="1" s="1"/>
  <c r="H58" i="1"/>
  <c r="H170" i="1"/>
  <c r="H149" i="1"/>
  <c r="H172" i="1"/>
  <c r="H43" i="1"/>
  <c r="H84" i="1"/>
  <c r="H148" i="1" s="1"/>
  <c r="H160" i="1"/>
  <c r="H187" i="1"/>
  <c r="C928" i="3"/>
  <c r="C973" i="3"/>
  <c r="C930" i="3"/>
  <c r="C975" i="3"/>
  <c r="L914" i="3"/>
  <c r="C952" i="3"/>
  <c r="C924" i="3"/>
  <c r="C954" i="3" s="1"/>
  <c r="AH261" i="1" l="1"/>
  <c r="AH260" i="1"/>
  <c r="AH255" i="1"/>
  <c r="AH258" i="1"/>
  <c r="AH257" i="1"/>
  <c r="AH254" i="1"/>
  <c r="AD128" i="1"/>
  <c r="AD42" i="1"/>
  <c r="H151" i="1"/>
  <c r="H208" i="1" s="1"/>
  <c r="H42" i="1"/>
  <c r="AI221" i="1"/>
  <c r="AD250" i="1"/>
  <c r="H124" i="1"/>
  <c r="H184" i="1" s="1"/>
  <c r="H242" i="1" s="1"/>
  <c r="AH207" i="1"/>
  <c r="AH211" i="1"/>
  <c r="AH212" i="1"/>
  <c r="AG84" i="1"/>
  <c r="AG100" i="1" s="1"/>
  <c r="AH11" i="1"/>
  <c r="H123" i="1"/>
  <c r="H153" i="1" s="1"/>
  <c r="H210" i="1" s="1"/>
  <c r="AD103" i="1"/>
  <c r="L734" i="3"/>
  <c r="AG178" i="1"/>
  <c r="AG236" i="1" s="1"/>
  <c r="AG74" i="1"/>
  <c r="H164" i="1"/>
  <c r="I161" i="1"/>
  <c r="AD124" i="1"/>
  <c r="AD184" i="1" s="1"/>
  <c r="AD242" i="1" s="1"/>
  <c r="H128" i="1"/>
  <c r="AF76" i="1"/>
  <c r="AF181" i="1" s="1"/>
  <c r="AF239" i="1" s="1"/>
  <c r="AD151" i="1"/>
  <c r="AD208" i="1" s="1"/>
  <c r="AD123" i="1"/>
  <c r="AD185" i="1" s="1"/>
  <c r="AD243" i="1" s="1"/>
  <c r="L787" i="3"/>
  <c r="C893" i="3"/>
  <c r="C897" i="3" s="1"/>
  <c r="AE222" i="1"/>
  <c r="D892" i="3"/>
  <c r="C853" i="3"/>
  <c r="D863" i="3"/>
  <c r="D865" i="3" s="1"/>
  <c r="D853" i="3"/>
  <c r="D896" i="3"/>
  <c r="AE30" i="1"/>
  <c r="AE181" i="1"/>
  <c r="AE239" i="1" s="1"/>
  <c r="D905" i="3"/>
  <c r="D875" i="3"/>
  <c r="D874" i="3"/>
  <c r="D883" i="3"/>
  <c r="D908" i="3"/>
  <c r="D877" i="3"/>
  <c r="D876" i="3"/>
  <c r="D895" i="3"/>
  <c r="D903" i="3"/>
  <c r="D878" i="3"/>
  <c r="D881" i="3"/>
  <c r="D904" i="3"/>
  <c r="D880" i="3"/>
  <c r="A876" i="3"/>
  <c r="A873" i="3"/>
  <c r="D949" i="3"/>
  <c r="D902" i="3"/>
  <c r="A880" i="3"/>
  <c r="C888" i="3"/>
  <c r="C886" i="3"/>
  <c r="H34" i="2"/>
  <c r="H33" i="2"/>
  <c r="H35" i="2" s="1"/>
  <c r="H29" i="2"/>
  <c r="H48" i="2"/>
  <c r="AD23" i="1"/>
  <c r="AG85" i="1" s="1"/>
  <c r="AD160" i="1"/>
  <c r="AH161" i="1" s="1"/>
  <c r="H73" i="1"/>
  <c r="H91" i="1"/>
  <c r="H26" i="1"/>
  <c r="H29" i="1" s="1"/>
  <c r="H24" i="1"/>
  <c r="H39" i="1"/>
  <c r="H49" i="1"/>
  <c r="H51" i="1" s="1"/>
  <c r="I52" i="1" s="1"/>
  <c r="H100" i="1"/>
  <c r="H150" i="1"/>
  <c r="D922" i="3"/>
  <c r="D928" i="3"/>
  <c r="D947" i="3"/>
  <c r="D951" i="3"/>
  <c r="C938" i="3"/>
  <c r="D923" i="3"/>
  <c r="D948" i="3"/>
  <c r="D940" i="3"/>
  <c r="D920" i="3"/>
  <c r="D926" i="3"/>
  <c r="D950" i="3"/>
  <c r="D937" i="3"/>
  <c r="D919" i="3"/>
  <c r="D925" i="3"/>
  <c r="C927" i="3"/>
  <c r="C955" i="3"/>
  <c r="C953" i="3"/>
  <c r="D953" i="3" s="1"/>
  <c r="C941" i="3"/>
  <c r="D941" i="3" s="1"/>
  <c r="AB15" i="2"/>
  <c r="AC76" i="2"/>
  <c r="AC74" i="2" s="1"/>
  <c r="AC70" i="2"/>
  <c r="AC68" i="2" s="1"/>
  <c r="AC65" i="2"/>
  <c r="AC60" i="2"/>
  <c r="AC54" i="2"/>
  <c r="AD263" i="1" l="1"/>
  <c r="H137" i="1"/>
  <c r="H193" i="1" s="1"/>
  <c r="H144" i="1"/>
  <c r="H198" i="1" s="1"/>
  <c r="H185" i="1"/>
  <c r="H243" i="1" s="1"/>
  <c r="H263" i="1" s="1"/>
  <c r="H136" i="1"/>
  <c r="H155" i="1" s="1"/>
  <c r="AG43" i="1"/>
  <c r="AG148" i="1"/>
  <c r="AG205" i="1" s="1"/>
  <c r="AH74" i="1"/>
  <c r="D707" i="3"/>
  <c r="L696" i="3" s="1"/>
  <c r="AD144" i="1"/>
  <c r="AD198" i="1" s="1"/>
  <c r="AD153" i="1"/>
  <c r="AD210" i="1" s="1"/>
  <c r="AG180" i="1"/>
  <c r="AG238" i="1" s="1"/>
  <c r="AG76" i="1"/>
  <c r="AG181" i="1" s="1"/>
  <c r="AG239" i="1" s="1"/>
  <c r="D835" i="3"/>
  <c r="D838" i="3" s="1"/>
  <c r="L829" i="3" s="1"/>
  <c r="L831" i="3" s="1"/>
  <c r="H40" i="1"/>
  <c r="H41" i="1"/>
  <c r="H33" i="1"/>
  <c r="H32" i="1"/>
  <c r="H74" i="1"/>
  <c r="D907" i="3"/>
  <c r="D909" i="3" s="1"/>
  <c r="D879" i="3"/>
  <c r="D882" i="3" s="1"/>
  <c r="D897" i="3"/>
  <c r="AD218" i="1"/>
  <c r="AH219" i="1" s="1"/>
  <c r="AD39" i="1"/>
  <c r="AD26" i="1"/>
  <c r="AD49" i="1"/>
  <c r="AD51" i="1" s="1"/>
  <c r="AD24" i="1"/>
  <c r="H178" i="1"/>
  <c r="H86" i="1"/>
  <c r="H53" i="1"/>
  <c r="H55" i="1"/>
  <c r="H89" i="1"/>
  <c r="H30" i="1"/>
  <c r="A918" i="3"/>
  <c r="A921" i="3"/>
  <c r="C929" i="3"/>
  <c r="A925" i="3"/>
  <c r="AC114" i="1"/>
  <c r="AC109" i="1"/>
  <c r="AC95" i="1"/>
  <c r="AC10" i="1"/>
  <c r="AC8" i="1"/>
  <c r="AC204" i="1"/>
  <c r="AC216" i="1" s="1"/>
  <c r="AC203" i="1"/>
  <c r="AC215" i="1" s="1"/>
  <c r="AC158" i="1"/>
  <c r="AC157" i="1"/>
  <c r="AC152" i="1"/>
  <c r="AC209" i="1" s="1"/>
  <c r="AC147" i="1"/>
  <c r="AC146" i="1"/>
  <c r="AC131" i="1"/>
  <c r="AC118" i="1"/>
  <c r="AC117" i="1"/>
  <c r="AC99" i="1"/>
  <c r="AC48" i="1"/>
  <c r="AC60" i="1" s="1"/>
  <c r="AC82" i="1" s="1"/>
  <c r="AC93" i="1" s="1"/>
  <c r="AC38" i="1"/>
  <c r="AC37" i="1"/>
  <c r="AC36" i="1"/>
  <c r="AD33" i="1" l="1"/>
  <c r="AD32" i="1"/>
  <c r="N693" i="3"/>
  <c r="N695" i="3"/>
  <c r="H154" i="1"/>
  <c r="F702" i="3"/>
  <c r="H192" i="1"/>
  <c r="F704" i="3"/>
  <c r="AG86" i="1"/>
  <c r="AH52" i="1"/>
  <c r="AH180" i="1"/>
  <c r="AH238" i="1" s="1"/>
  <c r="AH76" i="1"/>
  <c r="AH181" i="1" s="1"/>
  <c r="AH239" i="1" s="1"/>
  <c r="L650" i="3"/>
  <c r="F656" i="3"/>
  <c r="F658" i="3"/>
  <c r="AG11" i="1"/>
  <c r="AC103" i="1"/>
  <c r="AC23" i="1"/>
  <c r="AC24" i="1" s="1"/>
  <c r="AF84" i="1"/>
  <c r="L833" i="3"/>
  <c r="D840" i="3"/>
  <c r="H180" i="1"/>
  <c r="H76" i="1"/>
  <c r="D884" i="3"/>
  <c r="AD40" i="1"/>
  <c r="AD29" i="1"/>
  <c r="AD41" i="1"/>
  <c r="AD53" i="1"/>
  <c r="C931" i="3"/>
  <c r="AC120" i="1"/>
  <c r="AC160" i="1"/>
  <c r="AG161" i="1" s="1"/>
  <c r="G201" i="1"/>
  <c r="AA201" i="1"/>
  <c r="AB201" i="1"/>
  <c r="N647" i="3" l="1"/>
  <c r="N649" i="3"/>
  <c r="AB245" i="1"/>
  <c r="AB248" i="1"/>
  <c r="AB249" i="1"/>
  <c r="AA245" i="1"/>
  <c r="AA249" i="1"/>
  <c r="AA248" i="1"/>
  <c r="G249" i="1"/>
  <c r="G248" i="1"/>
  <c r="G200" i="1"/>
  <c r="G245" i="1"/>
  <c r="L959" i="3"/>
  <c r="AG89" i="1"/>
  <c r="AC49" i="1"/>
  <c r="AC51" i="1" s="1"/>
  <c r="AG52" i="1" s="1"/>
  <c r="AC39" i="1"/>
  <c r="AF148" i="1"/>
  <c r="AF100" i="1"/>
  <c r="AF43" i="1"/>
  <c r="AC26" i="1"/>
  <c r="AF85" i="1"/>
  <c r="AA200" i="1"/>
  <c r="H200" i="1"/>
  <c r="H238" i="1" s="1"/>
  <c r="H181" i="1"/>
  <c r="AD30" i="1"/>
  <c r="AC151" i="1"/>
  <c r="AC208" i="1" s="1"/>
  <c r="C933" i="3"/>
  <c r="AC200" i="1"/>
  <c r="AC124" i="1"/>
  <c r="AC184" i="1" s="1"/>
  <c r="AC242" i="1" s="1"/>
  <c r="AC128" i="1"/>
  <c r="AC123" i="1"/>
  <c r="AC153" i="1" s="1"/>
  <c r="AC210" i="1" s="1"/>
  <c r="AB200" i="1"/>
  <c r="AC41" i="1" l="1"/>
  <c r="AC32" i="1"/>
  <c r="AC33" i="1"/>
  <c r="G250" i="1"/>
  <c r="AB250" i="1"/>
  <c r="L826" i="3"/>
  <c r="AA250" i="1"/>
  <c r="AF86" i="1"/>
  <c r="I230" i="1"/>
  <c r="I235" i="1"/>
  <c r="I206" i="1"/>
  <c r="I234" i="1"/>
  <c r="I233" i="1"/>
  <c r="I224" i="1"/>
  <c r="I252" i="1" s="1"/>
  <c r="I218" i="1"/>
  <c r="J219" i="1" s="1"/>
  <c r="I237" i="1"/>
  <c r="I229" i="1"/>
  <c r="I220" i="1"/>
  <c r="J221" i="1" s="1"/>
  <c r="I225" i="1"/>
  <c r="I226" i="1"/>
  <c r="I227" i="1"/>
  <c r="I232" i="1"/>
  <c r="I205" i="1"/>
  <c r="I231" i="1"/>
  <c r="I228" i="1"/>
  <c r="I236" i="1"/>
  <c r="I238" i="1"/>
  <c r="I239" i="1"/>
  <c r="AC40" i="1"/>
  <c r="AC29" i="1"/>
  <c r="AC53" i="1"/>
  <c r="H239" i="1"/>
  <c r="AF205" i="1"/>
  <c r="AC218" i="1"/>
  <c r="AG219" i="1" s="1"/>
  <c r="L780" i="3"/>
  <c r="H233" i="1"/>
  <c r="H237" i="1"/>
  <c r="H224" i="1"/>
  <c r="H252" i="1" s="1"/>
  <c r="H228" i="1"/>
  <c r="H225" i="1"/>
  <c r="H220" i="1"/>
  <c r="H231" i="1"/>
  <c r="H227" i="1"/>
  <c r="H226" i="1"/>
  <c r="H232" i="1"/>
  <c r="H229" i="1"/>
  <c r="H235" i="1"/>
  <c r="H206" i="1"/>
  <c r="H234" i="1"/>
  <c r="H205" i="1"/>
  <c r="H218" i="1"/>
  <c r="H230" i="1"/>
  <c r="H236" i="1"/>
  <c r="L870" i="3"/>
  <c r="L960" i="3"/>
  <c r="L915" i="3"/>
  <c r="AC144" i="1"/>
  <c r="AC198" i="1" s="1"/>
  <c r="AC185" i="1"/>
  <c r="AC243" i="1" s="1"/>
  <c r="I261" i="1" l="1"/>
  <c r="I260" i="1"/>
  <c r="H261" i="1"/>
  <c r="H260" i="1"/>
  <c r="AC263" i="1"/>
  <c r="H255" i="1"/>
  <c r="H254" i="1"/>
  <c r="I254" i="1"/>
  <c r="I255" i="1"/>
  <c r="I219" i="1"/>
  <c r="I257" i="1"/>
  <c r="I258" i="1"/>
  <c r="I207" i="1"/>
  <c r="I211" i="1"/>
  <c r="I212" i="1"/>
  <c r="I221" i="1"/>
  <c r="I222" i="1"/>
  <c r="AC30" i="1"/>
  <c r="AF89" i="1"/>
  <c r="H222" i="1"/>
  <c r="H207" i="1"/>
  <c r="H211" i="1"/>
  <c r="H212" i="1"/>
  <c r="H258" i="1"/>
  <c r="H257" i="1"/>
  <c r="D995" i="3"/>
  <c r="C942" i="3"/>
  <c r="D992" i="3"/>
  <c r="D967" i="3"/>
  <c r="D982" i="3"/>
  <c r="D993" i="3"/>
  <c r="D985" i="3"/>
  <c r="D994" i="3"/>
  <c r="D973" i="3"/>
  <c r="D996" i="3"/>
  <c r="D968" i="3"/>
  <c r="D964" i="3"/>
  <c r="D970" i="3"/>
  <c r="D965" i="3"/>
  <c r="D971" i="3"/>
  <c r="C983" i="3"/>
  <c r="AB40" i="2"/>
  <c r="AB39" i="2"/>
  <c r="AB38" i="2"/>
  <c r="AB27" i="2"/>
  <c r="AB24" i="2"/>
  <c r="AB22" i="2"/>
  <c r="AB20" i="2"/>
  <c r="AB19" i="2"/>
  <c r="AB16" i="2"/>
  <c r="AB13" i="2"/>
  <c r="AB12" i="2"/>
  <c r="AB11" i="2"/>
  <c r="G62" i="1"/>
  <c r="AB95" i="1"/>
  <c r="AB75" i="1"/>
  <c r="AB67" i="1"/>
  <c r="AB64" i="1"/>
  <c r="AB63" i="1"/>
  <c r="AB56" i="1"/>
  <c r="AF57" i="1" s="1"/>
  <c r="AA62" i="1"/>
  <c r="AB62" i="1" s="1"/>
  <c r="AA95" i="1"/>
  <c r="AA70" i="1"/>
  <c r="AB70" i="1" s="1"/>
  <c r="AA71" i="1"/>
  <c r="AB71" i="1" s="1"/>
  <c r="AA69" i="1"/>
  <c r="AB69" i="1" s="1"/>
  <c r="AB66" i="1"/>
  <c r="AB46" i="1" l="1"/>
  <c r="AB45" i="1"/>
  <c r="AC22" i="2"/>
  <c r="AD22" i="2" s="1"/>
  <c r="AC12" i="2"/>
  <c r="AD12" i="2" s="1"/>
  <c r="AC27" i="2"/>
  <c r="AC11" i="2"/>
  <c r="AD11" i="2" s="1"/>
  <c r="AC13" i="2"/>
  <c r="AC38" i="2"/>
  <c r="AD38" i="2" s="1"/>
  <c r="AC24" i="2"/>
  <c r="AD24" i="2" s="1"/>
  <c r="AC16" i="2"/>
  <c r="AC39" i="2"/>
  <c r="AD39" i="2" s="1"/>
  <c r="AC40" i="2"/>
  <c r="AD40" i="2" s="1"/>
  <c r="AC19" i="2"/>
  <c r="AD19" i="2" s="1"/>
  <c r="AC20" i="2"/>
  <c r="D952" i="3"/>
  <c r="D954" i="3" s="1"/>
  <c r="D924" i="3"/>
  <c r="D927" i="3" s="1"/>
  <c r="D942" i="3"/>
  <c r="AC69" i="1"/>
  <c r="AC71" i="1"/>
  <c r="AC64" i="1"/>
  <c r="AC66" i="1"/>
  <c r="AC70" i="1"/>
  <c r="AC62" i="1"/>
  <c r="AC56" i="1"/>
  <c r="AG57" i="1" s="1"/>
  <c r="AC63" i="1"/>
  <c r="AC67" i="1"/>
  <c r="AC75" i="1"/>
  <c r="G95" i="1"/>
  <c r="G71" i="1"/>
  <c r="G70" i="1"/>
  <c r="G69" i="1"/>
  <c r="G67" i="1"/>
  <c r="G66" i="1"/>
  <c r="AC46" i="1" l="1"/>
  <c r="AC45" i="1"/>
  <c r="AD20" i="2"/>
  <c r="AC41" i="2"/>
  <c r="AC42" i="2" s="1"/>
  <c r="AD26" i="2"/>
  <c r="AD13" i="2"/>
  <c r="AD70" i="1"/>
  <c r="AD41" i="2"/>
  <c r="AC25" i="2"/>
  <c r="AC47" i="2" s="1"/>
  <c r="AD16" i="2"/>
  <c r="AD27" i="2"/>
  <c r="AD63" i="1"/>
  <c r="AD66" i="1"/>
  <c r="AD56" i="1"/>
  <c r="AH57" i="1" s="1"/>
  <c r="AD62" i="1"/>
  <c r="AD71" i="1"/>
  <c r="AD64" i="1"/>
  <c r="AD75" i="1"/>
  <c r="AD67" i="1"/>
  <c r="AC174" i="1"/>
  <c r="AC232" i="1" s="1"/>
  <c r="AD69" i="1"/>
  <c r="D929" i="3"/>
  <c r="AC55" i="1"/>
  <c r="AC58" i="1"/>
  <c r="AC172" i="1"/>
  <c r="AC230" i="1" s="1"/>
  <c r="AC168" i="1"/>
  <c r="AC226" i="1" s="1"/>
  <c r="AC175" i="1"/>
  <c r="AC233" i="1" s="1"/>
  <c r="AC179" i="1"/>
  <c r="AC237" i="1" s="1"/>
  <c r="AC167" i="1"/>
  <c r="AC225" i="1" s="1"/>
  <c r="AC171" i="1"/>
  <c r="AC229" i="1" s="1"/>
  <c r="AC176" i="1"/>
  <c r="AC234" i="1" s="1"/>
  <c r="AC169" i="1"/>
  <c r="AC227" i="1" s="1"/>
  <c r="AC162" i="1"/>
  <c r="AC61" i="1"/>
  <c r="C997" i="3"/>
  <c r="D997" i="3"/>
  <c r="C986" i="3"/>
  <c r="D986" i="3" s="1"/>
  <c r="D987" i="3" s="1"/>
  <c r="C969" i="3"/>
  <c r="C999" i="3" s="1"/>
  <c r="D969" i="3"/>
  <c r="D972" i="3" s="1"/>
  <c r="L1003" i="3"/>
  <c r="L1004" i="3"/>
  <c r="Z78" i="2"/>
  <c r="Z77" i="2"/>
  <c r="Z75" i="2"/>
  <c r="Z72" i="2"/>
  <c r="Z71" i="2"/>
  <c r="Z69" i="2"/>
  <c r="Z64" i="2"/>
  <c r="Z63" i="2"/>
  <c r="Z59" i="2"/>
  <c r="Z58" i="2"/>
  <c r="Z57" i="2"/>
  <c r="Z53" i="2"/>
  <c r="Z52" i="2"/>
  <c r="Z51" i="2"/>
  <c r="AB76" i="2"/>
  <c r="AB74" i="2" s="1"/>
  <c r="AA76" i="2"/>
  <c r="AA74" i="2" s="1"/>
  <c r="AB70" i="2"/>
  <c r="AB68" i="2" s="1"/>
  <c r="AA70" i="2"/>
  <c r="AA68" i="2" s="1"/>
  <c r="AB65" i="2"/>
  <c r="AA65" i="2"/>
  <c r="AB60" i="2"/>
  <c r="AA60" i="2"/>
  <c r="AB54" i="2"/>
  <c r="AA54" i="2"/>
  <c r="AA41" i="2"/>
  <c r="AA42" i="2" s="1"/>
  <c r="AB41" i="2"/>
  <c r="AB25" i="2"/>
  <c r="AA25" i="2"/>
  <c r="AA47" i="2" s="1"/>
  <c r="AB23" i="2"/>
  <c r="AB21" i="2"/>
  <c r="AA17" i="2"/>
  <c r="AA46" i="2" s="1"/>
  <c r="AC15" i="2"/>
  <c r="AB14" i="2"/>
  <c r="AA9" i="2"/>
  <c r="G76" i="2"/>
  <c r="G74" i="2" s="1"/>
  <c r="G70" i="2"/>
  <c r="G68" i="2" s="1"/>
  <c r="G65" i="2"/>
  <c r="G60" i="2"/>
  <c r="G54" i="2"/>
  <c r="G41" i="2"/>
  <c r="G42" i="2" s="1"/>
  <c r="G25" i="2"/>
  <c r="G47" i="2" s="1"/>
  <c r="G17" i="2"/>
  <c r="G46" i="2" s="1"/>
  <c r="G9" i="2"/>
  <c r="G45" i="2" s="1"/>
  <c r="AG80" i="1" l="1"/>
  <c r="AD80" i="1"/>
  <c r="AE80" i="1"/>
  <c r="AF80" i="1"/>
  <c r="AD46" i="1"/>
  <c r="AD45" i="1"/>
  <c r="AD25" i="2"/>
  <c r="AD179" i="1"/>
  <c r="AD237" i="1" s="1"/>
  <c r="AD174" i="1"/>
  <c r="AD232" i="1" s="1"/>
  <c r="AD176" i="1"/>
  <c r="AD234" i="1" s="1"/>
  <c r="AD167" i="1"/>
  <c r="AD225" i="1" s="1"/>
  <c r="AD168" i="1"/>
  <c r="AD226" i="1" s="1"/>
  <c r="AD172" i="1"/>
  <c r="AD230" i="1" s="1"/>
  <c r="AC220" i="1"/>
  <c r="AG163" i="1"/>
  <c r="AF88" i="1"/>
  <c r="AG88" i="1"/>
  <c r="AG90" i="1"/>
  <c r="AD87" i="1"/>
  <c r="AD187" i="1" s="1"/>
  <c r="AG87" i="1"/>
  <c r="C753" i="3" s="1"/>
  <c r="AD175" i="1"/>
  <c r="AD233" i="1" s="1"/>
  <c r="AF87" i="1"/>
  <c r="AF90" i="1"/>
  <c r="AC14" i="2"/>
  <c r="AD14" i="2" s="1"/>
  <c r="AC23" i="2"/>
  <c r="AD23" i="2" s="1"/>
  <c r="AD171" i="1"/>
  <c r="AD229" i="1" s="1"/>
  <c r="AE90" i="1"/>
  <c r="AD15" i="2"/>
  <c r="AD169" i="1"/>
  <c r="AD227" i="1" s="1"/>
  <c r="AE88" i="1"/>
  <c r="AE87" i="1"/>
  <c r="AD88" i="1"/>
  <c r="AD90" i="1"/>
  <c r="AD162" i="1"/>
  <c r="AH163" i="1" s="1"/>
  <c r="AD58" i="1"/>
  <c r="AD42" i="2"/>
  <c r="AD55" i="1"/>
  <c r="AC65" i="1"/>
  <c r="AC68" i="1" s="1"/>
  <c r="AC173" i="1" s="1"/>
  <c r="AC231" i="1" s="1"/>
  <c r="AB9" i="2"/>
  <c r="AB45" i="2" s="1"/>
  <c r="AB17" i="2"/>
  <c r="AB46" i="2" s="1"/>
  <c r="AC21" i="2"/>
  <c r="AC164" i="1"/>
  <c r="AC166" i="1"/>
  <c r="AC170" i="1" s="1"/>
  <c r="AC228" i="1" s="1"/>
  <c r="Z60" i="2"/>
  <c r="C972" i="3"/>
  <c r="AB47" i="2"/>
  <c r="AA28" i="2"/>
  <c r="AA34" i="2" s="1"/>
  <c r="AA45" i="2"/>
  <c r="Z76" i="2"/>
  <c r="Z74" i="2" s="1"/>
  <c r="Z65" i="2"/>
  <c r="Z54" i="2"/>
  <c r="D974" i="3"/>
  <c r="C987" i="3"/>
  <c r="Z70" i="2"/>
  <c r="Z68" i="2" s="1"/>
  <c r="G28" i="2"/>
  <c r="AB204" i="1"/>
  <c r="AB216" i="1" s="1"/>
  <c r="AA204" i="1"/>
  <c r="AA216" i="1" s="1"/>
  <c r="AB203" i="1"/>
  <c r="AB215" i="1" s="1"/>
  <c r="AA203" i="1"/>
  <c r="AA215" i="1" s="1"/>
  <c r="AA179" i="1"/>
  <c r="AA237" i="1" s="1"/>
  <c r="AA177" i="1"/>
  <c r="AA235" i="1" s="1"/>
  <c r="AA175" i="1"/>
  <c r="AA233" i="1" s="1"/>
  <c r="AA171" i="1"/>
  <c r="AA229" i="1" s="1"/>
  <c r="AA169" i="1"/>
  <c r="AA227" i="1" s="1"/>
  <c r="AA168" i="1"/>
  <c r="AA226" i="1" s="1"/>
  <c r="AA167" i="1"/>
  <c r="AA225" i="1" s="1"/>
  <c r="AA162" i="1"/>
  <c r="AE163" i="1" s="1"/>
  <c r="AB158" i="1"/>
  <c r="AA158" i="1"/>
  <c r="AB157" i="1"/>
  <c r="AA157" i="1"/>
  <c r="AB152" i="1"/>
  <c r="AB209" i="1" s="1"/>
  <c r="AA152" i="1"/>
  <c r="AA209" i="1" s="1"/>
  <c r="AB147" i="1"/>
  <c r="AA147" i="1"/>
  <c r="AB146" i="1"/>
  <c r="AA146" i="1"/>
  <c r="AB131" i="1"/>
  <c r="AA131" i="1"/>
  <c r="AB118" i="1"/>
  <c r="AA118" i="1"/>
  <c r="AB117" i="1"/>
  <c r="AA117" i="1"/>
  <c r="AB114" i="1"/>
  <c r="AA114" i="1"/>
  <c r="AB109" i="1"/>
  <c r="AA109" i="1"/>
  <c r="AB99" i="1"/>
  <c r="AA99" i="1"/>
  <c r="AB179" i="1"/>
  <c r="AB237" i="1" s="1"/>
  <c r="AB72" i="1"/>
  <c r="AA176" i="1"/>
  <c r="AA234" i="1" s="1"/>
  <c r="AB175" i="1"/>
  <c r="AB233" i="1" s="1"/>
  <c r="AA174" i="1"/>
  <c r="AA232" i="1" s="1"/>
  <c r="AA172" i="1"/>
  <c r="AA230" i="1" s="1"/>
  <c r="AB171" i="1"/>
  <c r="AB229" i="1" s="1"/>
  <c r="AB169" i="1"/>
  <c r="AB227" i="1" s="1"/>
  <c r="AB168" i="1"/>
  <c r="AB226" i="1" s="1"/>
  <c r="AB167" i="1"/>
  <c r="AB225" i="1" s="1"/>
  <c r="AA61" i="1"/>
  <c r="AA166" i="1" s="1"/>
  <c r="AA57" i="1"/>
  <c r="AB48" i="1"/>
  <c r="AB60" i="1" s="1"/>
  <c r="AB82" i="1" s="1"/>
  <c r="AB93" i="1" s="1"/>
  <c r="AA48" i="1"/>
  <c r="AA60" i="1" s="1"/>
  <c r="AA82" i="1" s="1"/>
  <c r="AA93" i="1" s="1"/>
  <c r="AB38" i="1"/>
  <c r="AA38" i="1"/>
  <c r="AB37" i="1"/>
  <c r="AA37" i="1"/>
  <c r="AB36" i="1"/>
  <c r="AA36" i="1"/>
  <c r="AB10" i="1"/>
  <c r="AA10" i="1"/>
  <c r="AB8" i="1"/>
  <c r="AA8" i="1"/>
  <c r="Z127" i="1"/>
  <c r="Z245" i="1" s="1"/>
  <c r="Z122" i="1"/>
  <c r="Z152" i="1" s="1"/>
  <c r="Z209" i="1" s="1"/>
  <c r="Z113" i="1"/>
  <c r="Z249" i="1" s="1"/>
  <c r="Z112" i="1"/>
  <c r="Z248" i="1" s="1"/>
  <c r="Z108" i="1"/>
  <c r="Z107" i="1"/>
  <c r="Z98" i="1"/>
  <c r="Z97" i="1"/>
  <c r="Z96" i="1"/>
  <c r="Z50" i="1"/>
  <c r="Z28" i="1"/>
  <c r="Z27" i="1"/>
  <c r="Z25" i="1"/>
  <c r="AC42" i="1" s="1"/>
  <c r="Z22" i="1"/>
  <c r="Z21" i="1"/>
  <c r="Z20" i="1"/>
  <c r="Z19" i="1"/>
  <c r="Z18" i="1"/>
  <c r="Z17" i="1"/>
  <c r="Z16" i="1"/>
  <c r="Z15" i="1"/>
  <c r="Z12" i="1"/>
  <c r="Z9" i="1"/>
  <c r="Z7" i="1"/>
  <c r="AD8" i="1" s="1"/>
  <c r="Z204" i="1"/>
  <c r="Z216" i="1" s="1"/>
  <c r="Z203" i="1"/>
  <c r="Z215" i="1" s="1"/>
  <c r="Z158" i="1"/>
  <c r="Z157" i="1"/>
  <c r="Z147" i="1"/>
  <c r="Z146" i="1"/>
  <c r="Z131" i="1"/>
  <c r="Z48" i="1"/>
  <c r="Z60" i="1" s="1"/>
  <c r="Z82" i="1" s="1"/>
  <c r="Z93" i="1" s="1"/>
  <c r="G204" i="1"/>
  <c r="G216" i="1" s="1"/>
  <c r="G203" i="1"/>
  <c r="G215" i="1" s="1"/>
  <c r="G179" i="1"/>
  <c r="G237" i="1" s="1"/>
  <c r="G177" i="1"/>
  <c r="G235" i="1" s="1"/>
  <c r="G169" i="1"/>
  <c r="G227" i="1" s="1"/>
  <c r="G168" i="1"/>
  <c r="G226" i="1" s="1"/>
  <c r="G162" i="1"/>
  <c r="H163" i="1" s="1"/>
  <c r="G158" i="1"/>
  <c r="G157" i="1"/>
  <c r="G152" i="1"/>
  <c r="G209" i="1" s="1"/>
  <c r="G147" i="1"/>
  <c r="G146" i="1"/>
  <c r="G131" i="1"/>
  <c r="G118" i="1"/>
  <c r="Z118" i="1" s="1"/>
  <c r="G117" i="1"/>
  <c r="Z117" i="1" s="1"/>
  <c r="G114" i="1"/>
  <c r="G109" i="1"/>
  <c r="G80" i="1" s="1"/>
  <c r="G99" i="1"/>
  <c r="Z95" i="1"/>
  <c r="G88" i="1"/>
  <c r="G87" i="1"/>
  <c r="G149" i="1" s="1"/>
  <c r="G176" i="1"/>
  <c r="G234" i="1" s="1"/>
  <c r="G175" i="1"/>
  <c r="G233" i="1" s="1"/>
  <c r="G174" i="1"/>
  <c r="G232" i="1" s="1"/>
  <c r="G172" i="1"/>
  <c r="G230" i="1" s="1"/>
  <c r="G171" i="1"/>
  <c r="G229" i="1" s="1"/>
  <c r="G167" i="1"/>
  <c r="G225" i="1" s="1"/>
  <c r="G61" i="1"/>
  <c r="G57" i="1"/>
  <c r="G48" i="1"/>
  <c r="G60" i="1" s="1"/>
  <c r="G82" i="1" s="1"/>
  <c r="G93" i="1" s="1"/>
  <c r="G38" i="1"/>
  <c r="G37" i="1"/>
  <c r="G36" i="1"/>
  <c r="G10" i="1"/>
  <c r="G103" i="1" s="1"/>
  <c r="G8" i="1"/>
  <c r="AC9" i="2" l="1"/>
  <c r="AC45" i="2" s="1"/>
  <c r="Z250" i="1"/>
  <c r="AG221" i="1"/>
  <c r="AD136" i="1"/>
  <c r="AD47" i="2"/>
  <c r="AF11" i="1"/>
  <c r="AB103" i="1"/>
  <c r="AE11" i="1"/>
  <c r="AA103" i="1"/>
  <c r="Z102" i="1"/>
  <c r="AC222" i="1"/>
  <c r="C887" i="3"/>
  <c r="E884" i="3" s="1"/>
  <c r="AD133" i="1"/>
  <c r="AD189" i="1" s="1"/>
  <c r="AD149" i="1"/>
  <c r="AD206" i="1" s="1"/>
  <c r="AD142" i="1"/>
  <c r="AD196" i="1" s="1"/>
  <c r="D753" i="3"/>
  <c r="K742" i="3"/>
  <c r="E748" i="3"/>
  <c r="E750" i="3"/>
  <c r="AF141" i="1"/>
  <c r="AF195" i="1" s="1"/>
  <c r="AD134" i="1"/>
  <c r="AD190" i="1" s="1"/>
  <c r="AD137" i="1"/>
  <c r="AD154" i="1" s="1"/>
  <c r="AG141" i="1"/>
  <c r="AG195" i="1" s="1"/>
  <c r="AG142" i="1"/>
  <c r="AG196" i="1" s="1"/>
  <c r="AG187" i="1"/>
  <c r="AG149" i="1"/>
  <c r="AG133" i="1"/>
  <c r="AG189" i="1" s="1"/>
  <c r="AG134" i="1"/>
  <c r="AG190" i="1" s="1"/>
  <c r="AG136" i="1"/>
  <c r="AG137" i="1"/>
  <c r="AF142" i="1"/>
  <c r="AF196" i="1" s="1"/>
  <c r="C799" i="3"/>
  <c r="E794" i="3" s="1"/>
  <c r="AF134" i="1"/>
  <c r="AF190" i="1" s="1"/>
  <c r="AF187" i="1"/>
  <c r="AF133" i="1"/>
  <c r="AF189" i="1" s="1"/>
  <c r="AF149" i="1"/>
  <c r="AF136" i="1"/>
  <c r="AF137" i="1"/>
  <c r="AE149" i="1"/>
  <c r="C843" i="3"/>
  <c r="K834" i="3" s="1"/>
  <c r="AE142" i="1"/>
  <c r="AE196" i="1" s="1"/>
  <c r="AE133" i="1"/>
  <c r="AE189" i="1" s="1"/>
  <c r="AE187" i="1"/>
  <c r="AE134" i="1"/>
  <c r="AE190" i="1" s="1"/>
  <c r="AE136" i="1"/>
  <c r="AE137" i="1"/>
  <c r="AD9" i="2"/>
  <c r="AB28" i="2"/>
  <c r="AB48" i="2" s="1"/>
  <c r="AD21" i="2"/>
  <c r="AD17" i="2" s="1"/>
  <c r="AB23" i="1"/>
  <c r="AB39" i="1" s="1"/>
  <c r="AE84" i="1"/>
  <c r="AE141" i="1"/>
  <c r="AE195" i="1" s="1"/>
  <c r="AD141" i="1"/>
  <c r="AD195" i="1" s="1"/>
  <c r="AA23" i="1"/>
  <c r="AA24" i="1" s="1"/>
  <c r="AD84" i="1"/>
  <c r="G58" i="1"/>
  <c r="H11" i="1"/>
  <c r="AD220" i="1"/>
  <c r="AD164" i="1"/>
  <c r="AC224" i="1"/>
  <c r="AA48" i="2"/>
  <c r="AC17" i="2"/>
  <c r="AC72" i="1"/>
  <c r="Z114" i="1"/>
  <c r="Z38" i="1"/>
  <c r="Z109" i="1"/>
  <c r="AB177" i="1"/>
  <c r="AB235" i="1" s="1"/>
  <c r="Z37" i="1"/>
  <c r="A966" i="3"/>
  <c r="Z36" i="1"/>
  <c r="Z10" i="1"/>
  <c r="Z103" i="1" s="1"/>
  <c r="A970" i="3"/>
  <c r="A963" i="3"/>
  <c r="C974" i="3"/>
  <c r="C976" i="3" s="1"/>
  <c r="AB120" i="1"/>
  <c r="AB160" i="1"/>
  <c r="AF161" i="1" s="1"/>
  <c r="AA120" i="1"/>
  <c r="AB42" i="2"/>
  <c r="AB162" i="1"/>
  <c r="AF163" i="1" s="1"/>
  <c r="AA33" i="2"/>
  <c r="AA32" i="2"/>
  <c r="AA29" i="2"/>
  <c r="Z120" i="1"/>
  <c r="G120" i="1"/>
  <c r="Z99" i="1"/>
  <c r="G187" i="1"/>
  <c r="G65" i="1"/>
  <c r="G68" i="1" s="1"/>
  <c r="G173" i="1" s="1"/>
  <c r="G231" i="1" s="1"/>
  <c r="G29" i="2"/>
  <c r="G34" i="2"/>
  <c r="G32" i="2"/>
  <c r="G33" i="2"/>
  <c r="G48" i="2"/>
  <c r="AA58" i="1"/>
  <c r="AA224" i="1"/>
  <c r="AA170" i="1"/>
  <c r="AA228" i="1" s="1"/>
  <c r="AB174" i="1"/>
  <c r="AB232" i="1" s="1"/>
  <c r="AB176" i="1"/>
  <c r="AB234" i="1" s="1"/>
  <c r="AA220" i="1"/>
  <c r="AA65" i="1"/>
  <c r="AA68" i="1" s="1"/>
  <c r="AB172" i="1"/>
  <c r="AB230" i="1" s="1"/>
  <c r="AA160" i="1"/>
  <c r="AB58" i="1"/>
  <c r="AB61" i="1"/>
  <c r="AD61" i="1" s="1"/>
  <c r="G206" i="1"/>
  <c r="G43" i="1"/>
  <c r="G45" i="1"/>
  <c r="G133" i="1"/>
  <c r="G189" i="1" s="1"/>
  <c r="G166" i="1"/>
  <c r="G90" i="1"/>
  <c r="G141" i="1" s="1"/>
  <c r="G195" i="1" s="1"/>
  <c r="G134" i="1"/>
  <c r="G190" i="1" s="1"/>
  <c r="G142" i="1"/>
  <c r="G196" i="1" s="1"/>
  <c r="G220" i="1"/>
  <c r="H221" i="1" s="1"/>
  <c r="G84" i="1"/>
  <c r="G160" i="1"/>
  <c r="H161" i="1" s="1"/>
  <c r="G23" i="1"/>
  <c r="G46" i="1"/>
  <c r="Y117" i="1"/>
  <c r="AD155" i="1" l="1"/>
  <c r="AD192" i="1"/>
  <c r="AC28" i="2"/>
  <c r="AA151" i="1"/>
  <c r="AA208" i="1" s="1"/>
  <c r="AA42" i="1"/>
  <c r="G128" i="1"/>
  <c r="G42" i="1"/>
  <c r="AB151" i="1"/>
  <c r="AB208" i="1" s="1"/>
  <c r="AB42" i="1"/>
  <c r="Z124" i="1"/>
  <c r="Z184" i="1" s="1"/>
  <c r="Z242" i="1" s="1"/>
  <c r="Z42" i="1"/>
  <c r="M739" i="3"/>
  <c r="M741" i="3"/>
  <c r="M831" i="3"/>
  <c r="M833" i="3"/>
  <c r="AE221" i="1"/>
  <c r="AH221" i="1"/>
  <c r="E882" i="3"/>
  <c r="D887" i="3"/>
  <c r="F882" i="3" s="1"/>
  <c r="AD193" i="1"/>
  <c r="L742" i="3"/>
  <c r="F750" i="3"/>
  <c r="F748" i="3"/>
  <c r="AG192" i="1"/>
  <c r="AG155" i="1"/>
  <c r="AG206" i="1"/>
  <c r="AG150" i="1"/>
  <c r="AG193" i="1"/>
  <c r="AG154" i="1"/>
  <c r="AD72" i="1"/>
  <c r="D799" i="3"/>
  <c r="F794" i="3" s="1"/>
  <c r="K788" i="3"/>
  <c r="E796" i="3"/>
  <c r="AB49" i="1"/>
  <c r="AB51" i="1" s="1"/>
  <c r="AF52" i="1" s="1"/>
  <c r="AF154" i="1"/>
  <c r="AF193" i="1"/>
  <c r="AF206" i="1"/>
  <c r="AF150" i="1"/>
  <c r="AF155" i="1"/>
  <c r="AF192" i="1"/>
  <c r="AD85" i="1"/>
  <c r="AD46" i="2"/>
  <c r="E838" i="3"/>
  <c r="E840" i="3"/>
  <c r="D843" i="3"/>
  <c r="L834" i="3" s="1"/>
  <c r="AB32" i="2"/>
  <c r="AE85" i="1"/>
  <c r="AD28" i="2"/>
  <c r="AD33" i="2" s="1"/>
  <c r="AD45" i="2"/>
  <c r="AE206" i="1"/>
  <c r="AA164" i="1"/>
  <c r="AE161" i="1"/>
  <c r="AB34" i="2"/>
  <c r="AB24" i="1"/>
  <c r="AE193" i="1"/>
  <c r="AE154" i="1"/>
  <c r="AE148" i="1"/>
  <c r="AE205" i="1" s="1"/>
  <c r="AE100" i="1"/>
  <c r="AE43" i="1"/>
  <c r="AA35" i="2"/>
  <c r="AB26" i="1"/>
  <c r="AB33" i="2"/>
  <c r="AB29" i="2"/>
  <c r="AE192" i="1"/>
  <c r="AE155" i="1"/>
  <c r="AA49" i="1"/>
  <c r="AA51" i="1" s="1"/>
  <c r="AE52" i="1" s="1"/>
  <c r="AA39" i="1"/>
  <c r="AA26" i="1"/>
  <c r="AD222" i="1"/>
  <c r="AD166" i="1"/>
  <c r="AD65" i="1"/>
  <c r="AD68" i="1" s="1"/>
  <c r="AC84" i="1"/>
  <c r="AC100" i="1" s="1"/>
  <c r="AD11" i="1"/>
  <c r="AD212" i="1"/>
  <c r="AD211" i="1"/>
  <c r="AD43" i="1"/>
  <c r="AD148" i="1"/>
  <c r="AD100" i="1"/>
  <c r="AC46" i="2"/>
  <c r="AC73" i="1"/>
  <c r="AC178" i="1" s="1"/>
  <c r="AC236" i="1" s="1"/>
  <c r="AC177" i="1"/>
  <c r="AC235" i="1" s="1"/>
  <c r="AA128" i="1"/>
  <c r="AA124" i="1"/>
  <c r="AA184" i="1" s="1"/>
  <c r="AA242" i="1" s="1"/>
  <c r="C978" i="3"/>
  <c r="G124" i="1"/>
  <c r="G184" i="1" s="1"/>
  <c r="G242" i="1" s="1"/>
  <c r="Z123" i="1"/>
  <c r="Z185" i="1" s="1"/>
  <c r="Z243" i="1" s="1"/>
  <c r="Z128" i="1"/>
  <c r="G91" i="1"/>
  <c r="Z151" i="1"/>
  <c r="Z208" i="1" s="1"/>
  <c r="AA123" i="1"/>
  <c r="AA144" i="1" s="1"/>
  <c r="AA198" i="1" s="1"/>
  <c r="G151" i="1"/>
  <c r="G208" i="1" s="1"/>
  <c r="G211" i="1" s="1"/>
  <c r="Z160" i="1"/>
  <c r="AD161" i="1" s="1"/>
  <c r="Z23" i="1"/>
  <c r="Z24" i="1" s="1"/>
  <c r="AB124" i="1"/>
  <c r="AB123" i="1"/>
  <c r="AB153" i="1" s="1"/>
  <c r="AB210" i="1" s="1"/>
  <c r="AB128" i="1"/>
  <c r="AB220" i="1"/>
  <c r="AB218" i="1"/>
  <c r="AF219" i="1" s="1"/>
  <c r="AB164" i="1"/>
  <c r="G123" i="1"/>
  <c r="G144" i="1" s="1"/>
  <c r="G198" i="1" s="1"/>
  <c r="G73" i="1"/>
  <c r="G74" i="1" s="1"/>
  <c r="G35" i="2"/>
  <c r="AA73" i="1"/>
  <c r="AA74" i="1" s="1"/>
  <c r="AA173" i="1"/>
  <c r="AA231" i="1" s="1"/>
  <c r="AB166" i="1"/>
  <c r="AB65" i="1"/>
  <c r="AB68" i="1" s="1"/>
  <c r="AA218" i="1"/>
  <c r="AE219" i="1" s="1"/>
  <c r="G24" i="1"/>
  <c r="G49" i="1"/>
  <c r="G51" i="1" s="1"/>
  <c r="H52" i="1" s="1"/>
  <c r="G39" i="1"/>
  <c r="G26" i="1"/>
  <c r="G85" i="1"/>
  <c r="G218" i="1"/>
  <c r="H219" i="1" s="1"/>
  <c r="G164" i="1"/>
  <c r="G100" i="1"/>
  <c r="G148" i="1"/>
  <c r="G224" i="1"/>
  <c r="G252" i="1" s="1"/>
  <c r="G170" i="1"/>
  <c r="G228" i="1" s="1"/>
  <c r="AC32" i="2" l="1"/>
  <c r="AC29" i="2"/>
  <c r="AC48" i="2"/>
  <c r="AC33" i="2"/>
  <c r="AC34" i="2"/>
  <c r="AC35" i="2" s="1"/>
  <c r="AB41" i="1"/>
  <c r="AB32" i="1"/>
  <c r="AB33" i="1"/>
  <c r="AA41" i="1"/>
  <c r="AA32" i="1"/>
  <c r="AA33" i="1"/>
  <c r="G260" i="1"/>
  <c r="G261" i="1"/>
  <c r="Z263" i="1"/>
  <c r="N831" i="3"/>
  <c r="N833" i="3"/>
  <c r="M785" i="3"/>
  <c r="M787" i="3"/>
  <c r="N739" i="3"/>
  <c r="N741" i="3"/>
  <c r="G258" i="1"/>
  <c r="G255" i="1"/>
  <c r="AF221" i="1"/>
  <c r="AB35" i="2"/>
  <c r="F884" i="3"/>
  <c r="AB29" i="1"/>
  <c r="AE89" i="1" s="1"/>
  <c r="AB40" i="1"/>
  <c r="AD177" i="1"/>
  <c r="AD235" i="1" s="1"/>
  <c r="AF91" i="1"/>
  <c r="AG91" i="1"/>
  <c r="AG211" i="1"/>
  <c r="AG212" i="1"/>
  <c r="AG207" i="1"/>
  <c r="AB53" i="1"/>
  <c r="AE86" i="1"/>
  <c r="AD86" i="1"/>
  <c r="AB55" i="1"/>
  <c r="AD32" i="2"/>
  <c r="AF207" i="1"/>
  <c r="AF211" i="1"/>
  <c r="AF212" i="1"/>
  <c r="L788" i="3"/>
  <c r="F796" i="3"/>
  <c r="F840" i="3"/>
  <c r="F838" i="3"/>
  <c r="AE150" i="1"/>
  <c r="AE207" i="1"/>
  <c r="AE211" i="1"/>
  <c r="AE212" i="1"/>
  <c r="AA29" i="1"/>
  <c r="AA30" i="1" s="1"/>
  <c r="AA40" i="1"/>
  <c r="AE91" i="1"/>
  <c r="AD29" i="2"/>
  <c r="AD48" i="2"/>
  <c r="AD34" i="2"/>
  <c r="AA55" i="1"/>
  <c r="AA53" i="1"/>
  <c r="AC43" i="1"/>
  <c r="AD91" i="1"/>
  <c r="AC148" i="1"/>
  <c r="AC205" i="1" s="1"/>
  <c r="AD205" i="1"/>
  <c r="AD207" i="1" s="1"/>
  <c r="AD150" i="1"/>
  <c r="AD73" i="1"/>
  <c r="AD173" i="1"/>
  <c r="AD231" i="1" s="1"/>
  <c r="AD224" i="1"/>
  <c r="AD170" i="1"/>
  <c r="AD228" i="1" s="1"/>
  <c r="AA153" i="1"/>
  <c r="AA210" i="1" s="1"/>
  <c r="G137" i="1"/>
  <c r="G193" i="1" s="1"/>
  <c r="G185" i="1"/>
  <c r="G243" i="1" s="1"/>
  <c r="G263" i="1" s="1"/>
  <c r="AA185" i="1"/>
  <c r="AA243" i="1" s="1"/>
  <c r="Z144" i="1"/>
  <c r="Z198" i="1" s="1"/>
  <c r="Z49" i="1"/>
  <c r="Z51" i="1" s="1"/>
  <c r="Z153" i="1"/>
  <c r="Z210" i="1" s="1"/>
  <c r="Z26" i="1"/>
  <c r="AB184" i="1"/>
  <c r="AB242" i="1" s="1"/>
  <c r="G153" i="1"/>
  <c r="G210" i="1" s="1"/>
  <c r="G212" i="1" s="1"/>
  <c r="AC85" i="1"/>
  <c r="Z39" i="1"/>
  <c r="Z218" i="1"/>
  <c r="AD219" i="1" s="1"/>
  <c r="AB185" i="1"/>
  <c r="AB243" i="1" s="1"/>
  <c r="AB144" i="1"/>
  <c r="AB198" i="1" s="1"/>
  <c r="AB222" i="1"/>
  <c r="G136" i="1"/>
  <c r="G192" i="1" s="1"/>
  <c r="G178" i="1"/>
  <c r="G236" i="1" s="1"/>
  <c r="G180" i="1"/>
  <c r="G238" i="1" s="1"/>
  <c r="AA178" i="1"/>
  <c r="AA236" i="1" s="1"/>
  <c r="AA180" i="1"/>
  <c r="AA238" i="1" s="1"/>
  <c r="AB173" i="1"/>
  <c r="AB231" i="1" s="1"/>
  <c r="AB73" i="1"/>
  <c r="AB74" i="1" s="1"/>
  <c r="AB224" i="1"/>
  <c r="AB170" i="1"/>
  <c r="AB228" i="1" s="1"/>
  <c r="AA222" i="1"/>
  <c r="G32" i="1"/>
  <c r="G41" i="1"/>
  <c r="G40" i="1"/>
  <c r="G29" i="1"/>
  <c r="G33" i="1"/>
  <c r="G205" i="1"/>
  <c r="G207" i="1" s="1"/>
  <c r="G150" i="1"/>
  <c r="G53" i="1"/>
  <c r="G86" i="1"/>
  <c r="G55" i="1"/>
  <c r="G222" i="1"/>
  <c r="G76" i="1"/>
  <c r="Z40" i="1" l="1"/>
  <c r="Z33" i="1"/>
  <c r="Z32" i="1"/>
  <c r="AG252" i="1"/>
  <c r="AF252" i="1"/>
  <c r="AE252" i="1"/>
  <c r="AD252" i="1"/>
  <c r="AA263" i="1"/>
  <c r="AB263" i="1"/>
  <c r="N785" i="3"/>
  <c r="N787" i="3"/>
  <c r="AD35" i="2"/>
  <c r="G257" i="1"/>
  <c r="G254" i="1"/>
  <c r="AB30" i="1"/>
  <c r="AD89" i="1"/>
  <c r="G154" i="1"/>
  <c r="AD178" i="1"/>
  <c r="AD236" i="1" s="1"/>
  <c r="AC86" i="1"/>
  <c r="AD52" i="1"/>
  <c r="AC74" i="1"/>
  <c r="Z53" i="1"/>
  <c r="Z41" i="1"/>
  <c r="Z29" i="1"/>
  <c r="AC89" i="1" s="1"/>
  <c r="G155" i="1"/>
  <c r="AB178" i="1"/>
  <c r="AB236" i="1" s="1"/>
  <c r="AB180" i="1"/>
  <c r="AB238" i="1" s="1"/>
  <c r="AA76" i="1"/>
  <c r="G30" i="1"/>
  <c r="G89" i="1"/>
  <c r="G181" i="1"/>
  <c r="G239" i="1" s="1"/>
  <c r="AG254" i="1" l="1"/>
  <c r="AG257" i="1"/>
  <c r="AG255" i="1"/>
  <c r="AG258" i="1"/>
  <c r="AG260" i="1"/>
  <c r="AG261" i="1"/>
  <c r="AF254" i="1"/>
  <c r="AF257" i="1"/>
  <c r="AF255" i="1"/>
  <c r="AF258" i="1"/>
  <c r="AF260" i="1"/>
  <c r="AF261" i="1"/>
  <c r="AE257" i="1"/>
  <c r="AE254" i="1"/>
  <c r="AE255" i="1"/>
  <c r="AE258" i="1"/>
  <c r="AE261" i="1"/>
  <c r="AE260" i="1"/>
  <c r="AD260" i="1"/>
  <c r="AD261" i="1"/>
  <c r="AD254" i="1"/>
  <c r="AD257" i="1"/>
  <c r="AD258" i="1"/>
  <c r="AD255" i="1"/>
  <c r="AD74" i="1"/>
  <c r="AC76" i="1"/>
  <c r="AC181" i="1" s="1"/>
  <c r="AC239" i="1" s="1"/>
  <c r="AC180" i="1"/>
  <c r="AC238" i="1" s="1"/>
  <c r="Z30" i="1"/>
  <c r="AB76" i="1"/>
  <c r="AB181" i="1" s="1"/>
  <c r="AB239" i="1" s="1"/>
  <c r="AA181" i="1"/>
  <c r="AA239" i="1" s="1"/>
  <c r="D1042" i="3"/>
  <c r="D1040" i="3"/>
  <c r="D1039" i="3"/>
  <c r="D1038" i="3"/>
  <c r="D1037" i="3"/>
  <c r="D1036" i="3"/>
  <c r="C1027" i="3"/>
  <c r="D1026" i="3"/>
  <c r="D1029" i="3"/>
  <c r="D1015" i="3"/>
  <c r="D1014" i="3"/>
  <c r="D1012" i="3"/>
  <c r="D1011" i="3"/>
  <c r="D1009" i="3"/>
  <c r="D1008" i="3"/>
  <c r="C1019" i="3"/>
  <c r="C1017" i="3"/>
  <c r="C1030" i="3" s="1"/>
  <c r="D1030" i="3" s="1"/>
  <c r="C1013" i="3"/>
  <c r="C1016" i="3" s="1"/>
  <c r="A1010" i="3" s="1"/>
  <c r="C1041" i="3"/>
  <c r="C1043" i="3" s="1"/>
  <c r="Y118" i="1"/>
  <c r="Y95" i="1"/>
  <c r="AD180" i="1" l="1"/>
  <c r="AD238" i="1" s="1"/>
  <c r="AD76" i="1"/>
  <c r="A1007" i="3"/>
  <c r="D1013" i="3"/>
  <c r="D1017" i="3"/>
  <c r="A1014" i="3"/>
  <c r="C1044" i="3"/>
  <c r="C1018" i="3"/>
  <c r="Y152" i="1"/>
  <c r="Y209" i="1" s="1"/>
  <c r="Y120" i="1"/>
  <c r="Y114" i="1"/>
  <c r="Y109" i="1"/>
  <c r="Y99" i="1"/>
  <c r="Y38" i="1"/>
  <c r="Y37" i="1"/>
  <c r="Y36" i="1"/>
  <c r="Y10" i="1"/>
  <c r="Y204" i="1"/>
  <c r="Y216" i="1" s="1"/>
  <c r="Y203" i="1"/>
  <c r="Y215" i="1" s="1"/>
  <c r="Y158" i="1"/>
  <c r="Y157" i="1"/>
  <c r="Y147" i="1"/>
  <c r="Y146" i="1"/>
  <c r="Y131" i="1"/>
  <c r="Y48" i="1"/>
  <c r="Y60" i="1" s="1"/>
  <c r="Y82" i="1" s="1"/>
  <c r="Y93" i="1" s="1"/>
  <c r="Y8" i="1"/>
  <c r="Y76" i="2"/>
  <c r="Y74" i="2" s="1"/>
  <c r="Y70" i="2"/>
  <c r="Y68" i="2" s="1"/>
  <c r="Y65" i="2"/>
  <c r="Y60" i="2"/>
  <c r="Y54" i="2"/>
  <c r="Y128" i="1" l="1"/>
  <c r="AC11" i="1"/>
  <c r="Y103" i="1"/>
  <c r="AD181" i="1"/>
  <c r="AD239" i="1" s="1"/>
  <c r="Y160" i="1"/>
  <c r="AC161" i="1" s="1"/>
  <c r="AB84" i="1"/>
  <c r="Y23" i="1"/>
  <c r="C1022" i="3"/>
  <c r="C1020" i="3"/>
  <c r="Y124" i="1"/>
  <c r="Y123" i="1"/>
  <c r="Y151" i="1"/>
  <c r="Y208" i="1" s="1"/>
  <c r="T75" i="1"/>
  <c r="X72" i="1"/>
  <c r="Y72" i="1" s="1"/>
  <c r="X63" i="1"/>
  <c r="Y63" i="1" s="1"/>
  <c r="X8" i="1"/>
  <c r="Y218" i="1" l="1"/>
  <c r="AC219" i="1" s="1"/>
  <c r="Y24" i="1"/>
  <c r="AB85" i="1"/>
  <c r="Y168" i="1"/>
  <c r="Y226" i="1" s="1"/>
  <c r="Z63" i="1"/>
  <c r="Y177" i="1"/>
  <c r="Y235" i="1" s="1"/>
  <c r="Z72" i="1"/>
  <c r="AB148" i="1"/>
  <c r="AB205" i="1" s="1"/>
  <c r="AB43" i="1"/>
  <c r="AB100" i="1"/>
  <c r="Y39" i="1"/>
  <c r="Y26" i="1"/>
  <c r="Y184" i="1"/>
  <c r="Y242" i="1" s="1"/>
  <c r="Y49" i="1"/>
  <c r="Y51" i="1" s="1"/>
  <c r="AC52" i="1" s="1"/>
  <c r="Y185" i="1"/>
  <c r="Y243" i="1" s="1"/>
  <c r="Y144" i="1"/>
  <c r="Y198" i="1" s="1"/>
  <c r="Y153" i="1"/>
  <c r="Y210" i="1" s="1"/>
  <c r="C1062" i="3"/>
  <c r="C1060" i="3"/>
  <c r="L1048" i="3"/>
  <c r="L1047" i="3"/>
  <c r="C1084" i="3"/>
  <c r="C1086" i="3" s="1"/>
  <c r="C1056" i="3"/>
  <c r="C1059" i="3" s="1"/>
  <c r="A1055" i="3" s="1"/>
  <c r="T56" i="1"/>
  <c r="T10" i="1"/>
  <c r="T103" i="1" s="1"/>
  <c r="T11" i="2"/>
  <c r="X70" i="2"/>
  <c r="X68" i="2" s="1"/>
  <c r="X60" i="2"/>
  <c r="X40" i="2"/>
  <c r="X39" i="2"/>
  <c r="X38" i="2"/>
  <c r="X27" i="2"/>
  <c r="X26" i="2"/>
  <c r="X24" i="2"/>
  <c r="X22" i="2"/>
  <c r="X20" i="2"/>
  <c r="X19" i="2"/>
  <c r="X16" i="2"/>
  <c r="X13" i="2"/>
  <c r="X12" i="2"/>
  <c r="X11" i="2"/>
  <c r="X76" i="2"/>
  <c r="X74" i="2" s="1"/>
  <c r="X65" i="2"/>
  <c r="X54" i="2"/>
  <c r="X23" i="2"/>
  <c r="X21" i="2"/>
  <c r="X15" i="2"/>
  <c r="X14" i="2"/>
  <c r="Y40" i="1" l="1"/>
  <c r="Y32" i="1"/>
  <c r="Y33" i="1"/>
  <c r="Y263" i="1"/>
  <c r="X17" i="2"/>
  <c r="X46" i="2" s="1"/>
  <c r="Y19" i="2"/>
  <c r="Y21" i="2"/>
  <c r="Z21" i="2" s="1"/>
  <c r="Y24" i="2"/>
  <c r="Y27" i="2"/>
  <c r="Y53" i="1"/>
  <c r="AB86" i="1"/>
  <c r="Y38" i="2"/>
  <c r="Y39" i="2"/>
  <c r="Z39" i="2" s="1"/>
  <c r="Y11" i="2"/>
  <c r="Y40" i="2"/>
  <c r="Y12" i="2"/>
  <c r="Z12" i="2" s="1"/>
  <c r="X41" i="2"/>
  <c r="Y13" i="2"/>
  <c r="Z13" i="2" s="1"/>
  <c r="Y16" i="2"/>
  <c r="Z177" i="1"/>
  <c r="Z235" i="1" s="1"/>
  <c r="Y14" i="2"/>
  <c r="Y20" i="2"/>
  <c r="Y15" i="2"/>
  <c r="Y22" i="2"/>
  <c r="Z22" i="2" s="1"/>
  <c r="Z168" i="1"/>
  <c r="Z226" i="1" s="1"/>
  <c r="Y23" i="2"/>
  <c r="Z23" i="2" s="1"/>
  <c r="Y26" i="2"/>
  <c r="Z26" i="2" s="1"/>
  <c r="Y41" i="1"/>
  <c r="Y29" i="1"/>
  <c r="C1031" i="3"/>
  <c r="C1087" i="3"/>
  <c r="D1053" i="3"/>
  <c r="D1054" i="3"/>
  <c r="X9" i="2"/>
  <c r="X45" i="2" s="1"/>
  <c r="X25" i="2"/>
  <c r="X47" i="2" s="1"/>
  <c r="D1055" i="3"/>
  <c r="A1052" i="3"/>
  <c r="A1057" i="3"/>
  <c r="C1061" i="3"/>
  <c r="C1063" i="3" s="1"/>
  <c r="C1073" i="3"/>
  <c r="Z40" i="2" l="1"/>
  <c r="Z14" i="2"/>
  <c r="Y9" i="2"/>
  <c r="Z24" i="2"/>
  <c r="Z11" i="2"/>
  <c r="Y17" i="2"/>
  <c r="Z15" i="2"/>
  <c r="Z20" i="2"/>
  <c r="Z27" i="2"/>
  <c r="Y25" i="2"/>
  <c r="Z16" i="2"/>
  <c r="Y41" i="2"/>
  <c r="Z19" i="2"/>
  <c r="Z38" i="2"/>
  <c r="Y30" i="1"/>
  <c r="AB89" i="1"/>
  <c r="D1016" i="3"/>
  <c r="D1018" i="3" s="1"/>
  <c r="D1031" i="3"/>
  <c r="D1041" i="3"/>
  <c r="D1043" i="3" s="1"/>
  <c r="X28" i="2"/>
  <c r="Z9" i="2" l="1"/>
  <c r="Z45" i="2" s="1"/>
  <c r="Z25" i="2"/>
  <c r="Z47" i="2" s="1"/>
  <c r="Z17" i="2"/>
  <c r="Y45" i="2"/>
  <c r="Y28" i="2"/>
  <c r="Z41" i="2"/>
  <c r="Y47" i="2"/>
  <c r="Y46" i="2"/>
  <c r="X32" i="2"/>
  <c r="X33" i="2"/>
  <c r="X48" i="2"/>
  <c r="X34" i="2"/>
  <c r="Z28" i="2" l="1"/>
  <c r="Z29" i="2" s="1"/>
  <c r="Y32" i="2"/>
  <c r="Y29" i="2"/>
  <c r="Y34" i="2"/>
  <c r="Y33" i="2"/>
  <c r="Y48" i="2"/>
  <c r="Z46" i="2"/>
  <c r="Z34" i="2"/>
  <c r="X35" i="2"/>
  <c r="X118" i="1"/>
  <c r="X117" i="1"/>
  <c r="X109" i="1"/>
  <c r="X95" i="1"/>
  <c r="X75" i="1"/>
  <c r="X64" i="1"/>
  <c r="X168" i="1"/>
  <c r="X226" i="1" s="1"/>
  <c r="U56" i="1"/>
  <c r="V56" i="1" s="1"/>
  <c r="X56" i="1"/>
  <c r="X36" i="1"/>
  <c r="X204" i="1"/>
  <c r="X216" i="1" s="1"/>
  <c r="X203" i="1"/>
  <c r="X215" i="1" s="1"/>
  <c r="X158" i="1"/>
  <c r="X157" i="1"/>
  <c r="X152" i="1"/>
  <c r="X209" i="1" s="1"/>
  <c r="X147" i="1"/>
  <c r="X146" i="1"/>
  <c r="X131" i="1"/>
  <c r="X114" i="1"/>
  <c r="X99" i="1"/>
  <c r="X177" i="1"/>
  <c r="X235" i="1" s="1"/>
  <c r="X48" i="1"/>
  <c r="X60" i="1" s="1"/>
  <c r="X82" i="1" s="1"/>
  <c r="X93" i="1" s="1"/>
  <c r="X38" i="1"/>
  <c r="X37" i="1"/>
  <c r="X10" i="1"/>
  <c r="X103" i="1" s="1"/>
  <c r="X169" i="1" l="1"/>
  <c r="X227" i="1" s="1"/>
  <c r="Z33" i="2"/>
  <c r="Z48" i="2"/>
  <c r="Z32" i="2"/>
  <c r="Z35" i="2" s="1"/>
  <c r="Y64" i="1"/>
  <c r="Y35" i="2"/>
  <c r="X57" i="1"/>
  <c r="AB57" i="1"/>
  <c r="X29" i="2"/>
  <c r="AB11" i="1"/>
  <c r="AA84" i="1"/>
  <c r="X162" i="1"/>
  <c r="X120" i="1"/>
  <c r="X61" i="1"/>
  <c r="X166" i="1" s="1"/>
  <c r="X224" i="1" s="1"/>
  <c r="X87" i="1"/>
  <c r="X133" i="1" s="1"/>
  <c r="X189" i="1" s="1"/>
  <c r="X42" i="2"/>
  <c r="Y56" i="1"/>
  <c r="AC57" i="1" s="1"/>
  <c r="X179" i="1"/>
  <c r="X237" i="1" s="1"/>
  <c r="Y75" i="1"/>
  <c r="X58" i="1"/>
  <c r="X23" i="1"/>
  <c r="X160" i="1"/>
  <c r="AB161" i="1" s="1"/>
  <c r="C1137" i="3"/>
  <c r="C1136" i="3"/>
  <c r="D1136" i="3" s="1"/>
  <c r="C36" i="1"/>
  <c r="AT10" i="1" l="1"/>
  <c r="AT8" i="1"/>
  <c r="AT171" i="1"/>
  <c r="AT229" i="1" s="1"/>
  <c r="AT90" i="1"/>
  <c r="X124" i="1"/>
  <c r="X184" i="1" s="1"/>
  <c r="X242" i="1" s="1"/>
  <c r="AT37" i="1"/>
  <c r="C1065" i="3"/>
  <c r="X128" i="1"/>
  <c r="X151" i="1"/>
  <c r="X208" i="1" s="1"/>
  <c r="C1064" i="3"/>
  <c r="E1061" i="3" s="1"/>
  <c r="X149" i="1"/>
  <c r="X206" i="1" s="1"/>
  <c r="X134" i="1"/>
  <c r="X190" i="1" s="1"/>
  <c r="X123" i="1"/>
  <c r="X144" i="1" s="1"/>
  <c r="X198" i="1" s="1"/>
  <c r="X187" i="1"/>
  <c r="X220" i="1"/>
  <c r="AB163" i="1"/>
  <c r="Y179" i="1"/>
  <c r="Y237" i="1" s="1"/>
  <c r="Z75" i="1"/>
  <c r="Z56" i="1"/>
  <c r="AD57" i="1" s="1"/>
  <c r="AA100" i="1"/>
  <c r="AA148" i="1"/>
  <c r="AA205" i="1" s="1"/>
  <c r="AA43" i="1"/>
  <c r="X24" i="1"/>
  <c r="AA85" i="1"/>
  <c r="Y169" i="1"/>
  <c r="Y227" i="1" s="1"/>
  <c r="Z64" i="1"/>
  <c r="Y87" i="1"/>
  <c r="Y58" i="1"/>
  <c r="Y42" i="2"/>
  <c r="Y162" i="1"/>
  <c r="AC163" i="1" s="1"/>
  <c r="Y61" i="1"/>
  <c r="Y57" i="1"/>
  <c r="Y55" i="1"/>
  <c r="AT38" i="1"/>
  <c r="X39" i="1"/>
  <c r="C1138" i="3"/>
  <c r="D1137" i="3"/>
  <c r="D1138" i="3" s="1"/>
  <c r="X218" i="1"/>
  <c r="AB219" i="1" s="1"/>
  <c r="X164" i="1"/>
  <c r="X49" i="1"/>
  <c r="X51" i="1" s="1"/>
  <c r="X26" i="1"/>
  <c r="E1104" i="3"/>
  <c r="E1103" i="3"/>
  <c r="E1099" i="3"/>
  <c r="E1100" i="3"/>
  <c r="E1098" i="3"/>
  <c r="J18" i="4"/>
  <c r="I18" i="4"/>
  <c r="AA80" i="1" l="1"/>
  <c r="Z80" i="1"/>
  <c r="AB80" i="1"/>
  <c r="AC80" i="1"/>
  <c r="X29" i="1"/>
  <c r="X30" i="1" s="1"/>
  <c r="X32" i="1"/>
  <c r="X33" i="1"/>
  <c r="AU84" i="1"/>
  <c r="AT29" i="2"/>
  <c r="X137" i="1"/>
  <c r="AT103" i="1"/>
  <c r="AT23" i="1"/>
  <c r="AT160" i="1"/>
  <c r="AT84" i="1"/>
  <c r="AT58" i="1"/>
  <c r="AB221" i="1"/>
  <c r="AP38" i="1"/>
  <c r="AP10" i="1"/>
  <c r="AT11" i="1" s="1"/>
  <c r="AP8" i="1"/>
  <c r="AP37" i="1"/>
  <c r="AP166" i="1"/>
  <c r="AP171" i="1"/>
  <c r="AP229" i="1" s="1"/>
  <c r="AP90" i="1"/>
  <c r="X136" i="1"/>
  <c r="X192" i="1" s="1"/>
  <c r="AB88" i="1"/>
  <c r="E1059" i="3"/>
  <c r="X211" i="1"/>
  <c r="AA87" i="1"/>
  <c r="AA133" i="1" s="1"/>
  <c r="AA189" i="1" s="1"/>
  <c r="X185" i="1"/>
  <c r="X243" i="1" s="1"/>
  <c r="AB87" i="1"/>
  <c r="X153" i="1"/>
  <c r="X210" i="1" s="1"/>
  <c r="X212" i="1" s="1"/>
  <c r="AB52" i="1"/>
  <c r="AA86" i="1"/>
  <c r="Z179" i="1"/>
  <c r="Z237" i="1" s="1"/>
  <c r="AC87" i="1"/>
  <c r="C932" i="3" s="1"/>
  <c r="Z162" i="1"/>
  <c r="AD163" i="1" s="1"/>
  <c r="Z57" i="1"/>
  <c r="Z58" i="1"/>
  <c r="Z55" i="1"/>
  <c r="Z42" i="2"/>
  <c r="Z87" i="1"/>
  <c r="Z169" i="1"/>
  <c r="Z227" i="1" s="1"/>
  <c r="AC88" i="1"/>
  <c r="AA88" i="1"/>
  <c r="Z88" i="1"/>
  <c r="Y164" i="1"/>
  <c r="Y220" i="1"/>
  <c r="C1021" i="3"/>
  <c r="Y187" i="1"/>
  <c r="Y149" i="1"/>
  <c r="Y133" i="1"/>
  <c r="Y189" i="1" s="1"/>
  <c r="Y134" i="1"/>
  <c r="Y190" i="1" s="1"/>
  <c r="Y137" i="1"/>
  <c r="Y136" i="1"/>
  <c r="Y166" i="1"/>
  <c r="X55" i="1"/>
  <c r="X53" i="1"/>
  <c r="X222" i="1"/>
  <c r="X41" i="1"/>
  <c r="X40" i="1"/>
  <c r="R50" i="1"/>
  <c r="C25" i="2"/>
  <c r="AA89" i="1" l="1"/>
  <c r="AU85" i="1"/>
  <c r="AU43" i="1"/>
  <c r="AU148" i="1"/>
  <c r="AU100" i="1"/>
  <c r="X193" i="1"/>
  <c r="X154" i="1"/>
  <c r="AT148" i="1"/>
  <c r="AT43" i="1"/>
  <c r="AT100" i="1"/>
  <c r="AT218" i="1"/>
  <c r="AT164" i="1"/>
  <c r="AT49" i="1"/>
  <c r="AT51" i="1" s="1"/>
  <c r="AT39" i="1"/>
  <c r="AT24" i="1"/>
  <c r="AT85" i="1"/>
  <c r="AT167" i="1"/>
  <c r="AT117" i="1"/>
  <c r="AT36" i="1"/>
  <c r="AT102" i="1"/>
  <c r="AR84" i="1"/>
  <c r="AR148" i="1" s="1"/>
  <c r="AS84" i="1"/>
  <c r="X263" i="1"/>
  <c r="AC221" i="1"/>
  <c r="AQ84" i="1"/>
  <c r="AP29" i="2"/>
  <c r="AP36" i="1"/>
  <c r="AP102" i="1"/>
  <c r="AP224" i="1"/>
  <c r="AP11" i="1"/>
  <c r="AP160" i="1"/>
  <c r="AT161" i="1" s="1"/>
  <c r="AP23" i="1"/>
  <c r="AS85" i="1" s="1"/>
  <c r="AP103" i="1"/>
  <c r="AP58" i="1"/>
  <c r="AP84" i="1"/>
  <c r="AB133" i="1"/>
  <c r="AB189" i="1" s="1"/>
  <c r="C977" i="3"/>
  <c r="E972" i="3" s="1"/>
  <c r="D932" i="3"/>
  <c r="E927" i="3"/>
  <c r="E929" i="3"/>
  <c r="X155" i="1"/>
  <c r="AA136" i="1"/>
  <c r="AA192" i="1" s="1"/>
  <c r="AA137" i="1"/>
  <c r="AA193" i="1" s="1"/>
  <c r="AA187" i="1"/>
  <c r="AA134" i="1"/>
  <c r="AA190" i="1" s="1"/>
  <c r="AA149" i="1"/>
  <c r="AA150" i="1" s="1"/>
  <c r="AA142" i="1"/>
  <c r="AA196" i="1" s="1"/>
  <c r="AB134" i="1"/>
  <c r="AB190" i="1" s="1"/>
  <c r="AB187" i="1"/>
  <c r="AB136" i="1"/>
  <c r="AB192" i="1" s="1"/>
  <c r="AB142" i="1"/>
  <c r="AB196" i="1" s="1"/>
  <c r="AB137" i="1"/>
  <c r="AB154" i="1" s="1"/>
  <c r="AB149" i="1"/>
  <c r="AB150" i="1" s="1"/>
  <c r="Z220" i="1"/>
  <c r="Z164" i="1"/>
  <c r="AC149" i="1"/>
  <c r="AC142" i="1"/>
  <c r="AC196" i="1" s="1"/>
  <c r="AC134" i="1"/>
  <c r="AC190" i="1" s="1"/>
  <c r="AC187" i="1"/>
  <c r="AC133" i="1"/>
  <c r="AC189" i="1" s="1"/>
  <c r="AC136" i="1"/>
  <c r="AC137" i="1"/>
  <c r="Z149" i="1"/>
  <c r="Z187" i="1"/>
  <c r="Z134" i="1"/>
  <c r="Z190" i="1" s="1"/>
  <c r="Z133" i="1"/>
  <c r="Z189" i="1" s="1"/>
  <c r="Z142" i="1"/>
  <c r="Z196" i="1" s="1"/>
  <c r="Z137" i="1"/>
  <c r="Z136" i="1"/>
  <c r="Y155" i="1"/>
  <c r="Y192" i="1"/>
  <c r="Y193" i="1"/>
  <c r="Y154" i="1"/>
  <c r="Y206" i="1"/>
  <c r="Y224" i="1"/>
  <c r="Y222" i="1"/>
  <c r="D1021" i="3"/>
  <c r="E1016" i="3"/>
  <c r="E1018" i="3"/>
  <c r="T23" i="2"/>
  <c r="U23" i="2" s="1"/>
  <c r="T21" i="2"/>
  <c r="U21" i="2" s="1"/>
  <c r="T15" i="2"/>
  <c r="U15" i="2" s="1"/>
  <c r="T14" i="2"/>
  <c r="U14" i="2" s="1"/>
  <c r="P15" i="2"/>
  <c r="Q15" i="2" s="1"/>
  <c r="P14" i="2"/>
  <c r="Q14" i="2" s="1"/>
  <c r="P21" i="2"/>
  <c r="Q21" i="2" s="1"/>
  <c r="P27" i="2"/>
  <c r="Q27" i="2" s="1"/>
  <c r="P26" i="2"/>
  <c r="Q26" i="2" s="1"/>
  <c r="P23" i="2"/>
  <c r="Q23" i="2" s="1"/>
  <c r="T27" i="2"/>
  <c r="U27" i="2" s="1"/>
  <c r="P59" i="2"/>
  <c r="Q59" i="2" s="1"/>
  <c r="P58" i="2"/>
  <c r="Q58" i="2" s="1"/>
  <c r="P57" i="2"/>
  <c r="Q57" i="2" s="1"/>
  <c r="P53" i="2"/>
  <c r="Q53" i="2" s="1"/>
  <c r="P52" i="2"/>
  <c r="Q52" i="2" s="1"/>
  <c r="P51" i="2"/>
  <c r="Q51" i="2" s="1"/>
  <c r="T40" i="2"/>
  <c r="T26" i="2"/>
  <c r="U26" i="2" s="1"/>
  <c r="F76" i="2"/>
  <c r="F74" i="2" s="1"/>
  <c r="E76" i="2"/>
  <c r="E74" i="2" s="1"/>
  <c r="F70" i="2"/>
  <c r="F68" i="2" s="1"/>
  <c r="E70" i="2"/>
  <c r="E68" i="2" s="1"/>
  <c r="F25" i="2"/>
  <c r="E25" i="2"/>
  <c r="D25" i="2"/>
  <c r="T39" i="2"/>
  <c r="U39" i="2" s="1"/>
  <c r="T38" i="2"/>
  <c r="U38" i="2" s="1"/>
  <c r="P39" i="2"/>
  <c r="Q39" i="2" s="1"/>
  <c r="P38" i="2"/>
  <c r="Q38" i="2" s="1"/>
  <c r="T24" i="2"/>
  <c r="U24" i="2" s="1"/>
  <c r="T22" i="2"/>
  <c r="U22" i="2" s="1"/>
  <c r="T20" i="2"/>
  <c r="U20" i="2" s="1"/>
  <c r="T19" i="2"/>
  <c r="U19" i="2" s="1"/>
  <c r="P24" i="2"/>
  <c r="Q24" i="2" s="1"/>
  <c r="P22" i="2"/>
  <c r="Q22" i="2" s="1"/>
  <c r="P20" i="2"/>
  <c r="Q20" i="2" s="1"/>
  <c r="P19" i="2"/>
  <c r="Q19" i="2" s="1"/>
  <c r="T16" i="2"/>
  <c r="U16" i="2" s="1"/>
  <c r="T13" i="2"/>
  <c r="U13" i="2" s="1"/>
  <c r="T12" i="2"/>
  <c r="U11" i="2"/>
  <c r="P16" i="2"/>
  <c r="Q16" i="2" s="1"/>
  <c r="P13" i="2"/>
  <c r="Q13" i="2" s="1"/>
  <c r="P12" i="2"/>
  <c r="Q12" i="2" s="1"/>
  <c r="P11" i="2"/>
  <c r="Q11" i="2" s="1"/>
  <c r="AU86" i="1" l="1"/>
  <c r="AU150" i="1"/>
  <c r="AU205" i="1"/>
  <c r="AU207" i="1" s="1"/>
  <c r="AS252" i="1"/>
  <c r="AR252" i="1"/>
  <c r="AQ252" i="1"/>
  <c r="AP252" i="1"/>
  <c r="AT225" i="1"/>
  <c r="AT222" i="1"/>
  <c r="AT53" i="1"/>
  <c r="AT55" i="1"/>
  <c r="AT86" i="1"/>
  <c r="AT205" i="1"/>
  <c r="AT207" i="1" s="1"/>
  <c r="AT150" i="1"/>
  <c r="AR43" i="1"/>
  <c r="AR100" i="1"/>
  <c r="AS148" i="1"/>
  <c r="AS43" i="1"/>
  <c r="AS100" i="1"/>
  <c r="AQ85" i="1"/>
  <c r="AR85" i="1"/>
  <c r="AR205" i="1"/>
  <c r="AR207" i="1" s="1"/>
  <c r="AR150" i="1"/>
  <c r="AD221" i="1"/>
  <c r="AQ148" i="1"/>
  <c r="AQ100" i="1"/>
  <c r="AQ43" i="1"/>
  <c r="AP167" i="1"/>
  <c r="AP100" i="1"/>
  <c r="AP148" i="1"/>
  <c r="AP43" i="1"/>
  <c r="AP39" i="1"/>
  <c r="AP49" i="1"/>
  <c r="AP51" i="1" s="1"/>
  <c r="AS86" i="1" s="1"/>
  <c r="AP24" i="1"/>
  <c r="AP85" i="1"/>
  <c r="AP161" i="1"/>
  <c r="AP218" i="1"/>
  <c r="AT219" i="1" s="1"/>
  <c r="AP164" i="1"/>
  <c r="AA155" i="1"/>
  <c r="F927" i="3"/>
  <c r="F929" i="3"/>
  <c r="AA206" i="1"/>
  <c r="AA211" i="1" s="1"/>
  <c r="AA154" i="1"/>
  <c r="AB155" i="1"/>
  <c r="D977" i="3"/>
  <c r="F972" i="3" s="1"/>
  <c r="E974" i="3"/>
  <c r="AB193" i="1"/>
  <c r="AB206" i="1"/>
  <c r="AB207" i="1" s="1"/>
  <c r="Z193" i="1"/>
  <c r="Z154" i="1"/>
  <c r="AC150" i="1"/>
  <c r="AC206" i="1"/>
  <c r="AC193" i="1"/>
  <c r="AC154" i="1"/>
  <c r="AC192" i="1"/>
  <c r="AC155" i="1"/>
  <c r="Z192" i="1"/>
  <c r="Z155" i="1"/>
  <c r="Z206" i="1"/>
  <c r="Z222" i="1"/>
  <c r="F1018" i="3"/>
  <c r="F1016" i="3"/>
  <c r="Y211" i="1"/>
  <c r="Y212" i="1"/>
  <c r="U12" i="2"/>
  <c r="T9" i="2"/>
  <c r="W38" i="1"/>
  <c r="U38" i="1"/>
  <c r="T38" i="1"/>
  <c r="S38" i="1"/>
  <c r="Q38" i="1"/>
  <c r="P38" i="1"/>
  <c r="O38" i="1"/>
  <c r="F38" i="1"/>
  <c r="E38" i="1"/>
  <c r="D38" i="1"/>
  <c r="C38" i="1"/>
  <c r="W37" i="1"/>
  <c r="U37" i="1"/>
  <c r="T37" i="1"/>
  <c r="S37" i="1"/>
  <c r="Q37" i="1"/>
  <c r="P37" i="1"/>
  <c r="O37" i="1"/>
  <c r="F37" i="1"/>
  <c r="E37" i="1"/>
  <c r="D37" i="1"/>
  <c r="C37" i="1"/>
  <c r="W36" i="1"/>
  <c r="U36" i="1"/>
  <c r="T36" i="1"/>
  <c r="S36" i="1"/>
  <c r="Q36" i="1"/>
  <c r="P36" i="1"/>
  <c r="O36" i="1"/>
  <c r="F36" i="1"/>
  <c r="E36" i="1"/>
  <c r="D36" i="1"/>
  <c r="F95" i="1"/>
  <c r="E95" i="1"/>
  <c r="F71" i="1"/>
  <c r="E71" i="1"/>
  <c r="F70" i="1"/>
  <c r="E70" i="1"/>
  <c r="F69" i="1"/>
  <c r="E69" i="1"/>
  <c r="F67" i="1"/>
  <c r="E67" i="1"/>
  <c r="F66" i="1"/>
  <c r="E66" i="1"/>
  <c r="F62" i="1"/>
  <c r="E62" i="1"/>
  <c r="F61" i="1"/>
  <c r="E61" i="1"/>
  <c r="F10" i="1"/>
  <c r="E10" i="1"/>
  <c r="F8" i="1"/>
  <c r="E8" i="1"/>
  <c r="AS255" i="1" l="1"/>
  <c r="AS254" i="1"/>
  <c r="AS258" i="1"/>
  <c r="AS257" i="1"/>
  <c r="AR257" i="1"/>
  <c r="AR258" i="1"/>
  <c r="AR255" i="1"/>
  <c r="AR254" i="1"/>
  <c r="AQ258" i="1"/>
  <c r="AQ257" i="1"/>
  <c r="AQ254" i="1"/>
  <c r="AQ255" i="1"/>
  <c r="AT52" i="1"/>
  <c r="AS205" i="1"/>
  <c r="AS207" i="1" s="1"/>
  <c r="AS150" i="1"/>
  <c r="AQ86" i="1"/>
  <c r="AR86" i="1"/>
  <c r="AQ205" i="1"/>
  <c r="AQ207" i="1" s="1"/>
  <c r="AQ150" i="1"/>
  <c r="AP219" i="1"/>
  <c r="AP222" i="1"/>
  <c r="AP205" i="1"/>
  <c r="AP207" i="1" s="1"/>
  <c r="AP150" i="1"/>
  <c r="AP53" i="1"/>
  <c r="AP52" i="1"/>
  <c r="AP55" i="1"/>
  <c r="AP86" i="1"/>
  <c r="AP225" i="1"/>
  <c r="G11" i="1"/>
  <c r="F103" i="1"/>
  <c r="E23" i="1"/>
  <c r="E24" i="1" s="1"/>
  <c r="E103" i="1"/>
  <c r="F974" i="3"/>
  <c r="AA212" i="1"/>
  <c r="AA207" i="1"/>
  <c r="AB211" i="1"/>
  <c r="AB212" i="1"/>
  <c r="Z211" i="1"/>
  <c r="Z212" i="1"/>
  <c r="AC207" i="1"/>
  <c r="AC211" i="1"/>
  <c r="AC212" i="1"/>
  <c r="E43" i="1"/>
  <c r="F43" i="1"/>
  <c r="E65" i="1"/>
  <c r="E68" i="1" s="1"/>
  <c r="E73" i="1" s="1"/>
  <c r="E74" i="1" s="1"/>
  <c r="E76" i="1" s="1"/>
  <c r="E77" i="1" s="1"/>
  <c r="E46" i="1"/>
  <c r="E45" i="1"/>
  <c r="F65" i="1"/>
  <c r="F68" i="1" s="1"/>
  <c r="F73" i="1" s="1"/>
  <c r="F74" i="1" s="1"/>
  <c r="F76" i="1" s="1"/>
  <c r="F77" i="1" s="1"/>
  <c r="F46" i="1"/>
  <c r="F45" i="1"/>
  <c r="F11" i="1"/>
  <c r="F23" i="1"/>
  <c r="E26" i="1" l="1"/>
  <c r="E33" i="1" s="1"/>
  <c r="F79" i="1"/>
  <c r="G77" i="1"/>
  <c r="F24" i="1"/>
  <c r="F26" i="1"/>
  <c r="E32" i="1" l="1"/>
  <c r="E41" i="1"/>
  <c r="E29" i="1"/>
  <c r="E30" i="1" s="1"/>
  <c r="H77" i="1"/>
  <c r="G182" i="1"/>
  <c r="G240" i="1" s="1"/>
  <c r="G79" i="1"/>
  <c r="F32" i="1"/>
  <c r="F33" i="1"/>
  <c r="F29" i="1"/>
  <c r="F30" i="1" s="1"/>
  <c r="F41" i="1"/>
  <c r="I77" i="1" l="1"/>
  <c r="J77" i="1" s="1"/>
  <c r="K77" i="1" s="1"/>
  <c r="L77" i="1" s="1"/>
  <c r="H79" i="1"/>
  <c r="H182" i="1"/>
  <c r="H240" i="1" s="1"/>
  <c r="T95" i="1"/>
  <c r="Q95" i="1"/>
  <c r="P56" i="1"/>
  <c r="Q56" i="1" s="1"/>
  <c r="Q61" i="1" s="1"/>
  <c r="Q10" i="1"/>
  <c r="T8" i="1"/>
  <c r="P10" i="1"/>
  <c r="O10" i="1"/>
  <c r="T72" i="1"/>
  <c r="T67" i="1"/>
  <c r="T64" i="1"/>
  <c r="T63" i="1"/>
  <c r="T61" i="1"/>
  <c r="P75" i="1"/>
  <c r="Q75" i="1" s="1"/>
  <c r="P72" i="1"/>
  <c r="Q72" i="1" s="1"/>
  <c r="P64" i="1"/>
  <c r="Q64" i="1" s="1"/>
  <c r="P63" i="1"/>
  <c r="Q63" i="1" s="1"/>
  <c r="O71" i="1"/>
  <c r="P71" i="1" s="1"/>
  <c r="Q71" i="1" s="1"/>
  <c r="O70" i="1"/>
  <c r="P70" i="1" s="1"/>
  <c r="Q70" i="1" s="1"/>
  <c r="O69" i="1"/>
  <c r="P69" i="1" s="1"/>
  <c r="Q69" i="1" s="1"/>
  <c r="O67" i="1"/>
  <c r="P67" i="1" s="1"/>
  <c r="Q67" i="1" s="1"/>
  <c r="O66" i="1"/>
  <c r="O62" i="1"/>
  <c r="P62" i="1" s="1"/>
  <c r="Q62" i="1" s="1"/>
  <c r="P66" i="1" l="1"/>
  <c r="O46" i="1"/>
  <c r="O45" i="1"/>
  <c r="L182" i="1"/>
  <c r="L240" i="1" s="1"/>
  <c r="L79" i="1"/>
  <c r="K79" i="1"/>
  <c r="K182" i="1"/>
  <c r="K240" i="1" s="1"/>
  <c r="J79" i="1"/>
  <c r="J182" i="1"/>
  <c r="J240" i="1" s="1"/>
  <c r="Q23" i="1"/>
  <c r="Q26" i="1" s="1"/>
  <c r="Q103" i="1"/>
  <c r="O23" i="1"/>
  <c r="O24" i="1" s="1"/>
  <c r="O103" i="1"/>
  <c r="P23" i="1"/>
  <c r="P26" i="1" s="1"/>
  <c r="P103" i="1"/>
  <c r="I182" i="1"/>
  <c r="I240" i="1" s="1"/>
  <c r="I79" i="1"/>
  <c r="T23" i="1"/>
  <c r="T26" i="1" s="1"/>
  <c r="X11" i="1"/>
  <c r="Q65" i="1"/>
  <c r="T11" i="1"/>
  <c r="Q32" i="1" l="1"/>
  <c r="Q33" i="1"/>
  <c r="P32" i="1"/>
  <c r="P33" i="1"/>
  <c r="T32" i="1"/>
  <c r="T33" i="1"/>
  <c r="P45" i="1"/>
  <c r="P46" i="1"/>
  <c r="Q66" i="1"/>
  <c r="Q68" i="1" s="1"/>
  <c r="Q73" i="1" s="1"/>
  <c r="P24" i="1"/>
  <c r="Q24" i="1"/>
  <c r="O26" i="1"/>
  <c r="T24" i="1"/>
  <c r="P29" i="1"/>
  <c r="P30" i="1" s="1"/>
  <c r="P41" i="1"/>
  <c r="T29" i="1"/>
  <c r="T30" i="1" s="1"/>
  <c r="T41" i="1"/>
  <c r="Q29" i="1"/>
  <c r="Q30" i="1" s="1"/>
  <c r="Q41" i="1"/>
  <c r="O29" i="1" l="1"/>
  <c r="O30" i="1" s="1"/>
  <c r="O32" i="1"/>
  <c r="O33" i="1"/>
  <c r="Q45" i="1"/>
  <c r="Q46" i="1"/>
  <c r="O41" i="1"/>
  <c r="U75" i="1"/>
  <c r="U72" i="1"/>
  <c r="U67" i="1"/>
  <c r="U64" i="1"/>
  <c r="U63" i="1"/>
  <c r="U118" i="1"/>
  <c r="U117" i="1"/>
  <c r="U114" i="1"/>
  <c r="U109" i="1"/>
  <c r="U99" i="1"/>
  <c r="U95" i="1"/>
  <c r="S118" i="1"/>
  <c r="S117" i="1"/>
  <c r="S114" i="1"/>
  <c r="S109" i="1"/>
  <c r="S95" i="1"/>
  <c r="S62" i="1"/>
  <c r="U120" i="1" l="1"/>
  <c r="S120" i="1"/>
  <c r="T62" i="1"/>
  <c r="T65" i="1" s="1"/>
  <c r="S123" i="1" l="1"/>
  <c r="U123" i="1"/>
  <c r="S128" i="1"/>
  <c r="S124" i="1"/>
  <c r="U124" i="1"/>
  <c r="U128" i="1"/>
  <c r="U62" i="1"/>
  <c r="S71" i="1"/>
  <c r="T71" i="1" s="1"/>
  <c r="U71" i="1" s="1"/>
  <c r="S70" i="1"/>
  <c r="T70" i="1" s="1"/>
  <c r="U70" i="1" s="1"/>
  <c r="S69" i="1"/>
  <c r="T69" i="1" s="1"/>
  <c r="U69" i="1" s="1"/>
  <c r="S66" i="1"/>
  <c r="S10" i="1"/>
  <c r="S8" i="1"/>
  <c r="U10" i="1"/>
  <c r="U103" i="1" s="1"/>
  <c r="U8" i="1"/>
  <c r="T66" i="1" l="1"/>
  <c r="U66" i="1" s="1"/>
  <c r="S46" i="1"/>
  <c r="S45" i="1"/>
  <c r="S11" i="1"/>
  <c r="S103" i="1"/>
  <c r="U11" i="1"/>
  <c r="Y11" i="1"/>
  <c r="S23" i="1"/>
  <c r="S26" i="1" s="1"/>
  <c r="T68" i="1"/>
  <c r="T73" i="1" s="1"/>
  <c r="U23" i="1"/>
  <c r="U24" i="1" s="1"/>
  <c r="S32" i="1" l="1"/>
  <c r="S33" i="1"/>
  <c r="T45" i="1"/>
  <c r="T46" i="1"/>
  <c r="U46" i="1"/>
  <c r="U45" i="1"/>
  <c r="U26" i="1"/>
  <c r="S24" i="1"/>
  <c r="S29" i="1"/>
  <c r="S41" i="1"/>
  <c r="C62" i="1"/>
  <c r="C71" i="1"/>
  <c r="C70" i="1"/>
  <c r="C69" i="1"/>
  <c r="C66" i="1"/>
  <c r="D69" i="1"/>
  <c r="D66" i="1"/>
  <c r="D72" i="1"/>
  <c r="D70" i="1"/>
  <c r="D71" i="1"/>
  <c r="D62" i="1"/>
  <c r="D17" i="1"/>
  <c r="C1108" i="3"/>
  <c r="C1106" i="3"/>
  <c r="C1102" i="3"/>
  <c r="C1105" i="3" s="1"/>
  <c r="C1141" i="3" s="1"/>
  <c r="C1130" i="3"/>
  <c r="C1132" i="3" s="1"/>
  <c r="D1064" i="3"/>
  <c r="U29" i="1" l="1"/>
  <c r="U32" i="1"/>
  <c r="U33" i="1"/>
  <c r="C1133" i="3"/>
  <c r="D45" i="1"/>
  <c r="D46" i="1"/>
  <c r="U41" i="1"/>
  <c r="C45" i="1"/>
  <c r="C46" i="1"/>
  <c r="E1101" i="3"/>
  <c r="E1102" i="3" s="1"/>
  <c r="E1105" i="3" s="1"/>
  <c r="D1085" i="3"/>
  <c r="D1057" i="3"/>
  <c r="D1058" i="3"/>
  <c r="D1083" i="3"/>
  <c r="D1072" i="3"/>
  <c r="D1069" i="3"/>
  <c r="D1080" i="3"/>
  <c r="C1070" i="3"/>
  <c r="C1074" i="3" s="1"/>
  <c r="D1082" i="3"/>
  <c r="D1081" i="3"/>
  <c r="D1079" i="3"/>
  <c r="D1060" i="3"/>
  <c r="D1073" i="3"/>
  <c r="A1103" i="3"/>
  <c r="A1100" i="3"/>
  <c r="A1097" i="3"/>
  <c r="C1119" i="3"/>
  <c r="D1119" i="3" s="1"/>
  <c r="D1131" i="3"/>
  <c r="C1116" i="3"/>
  <c r="D1118" i="3"/>
  <c r="D1115" i="3"/>
  <c r="D1103" i="3"/>
  <c r="F1103" i="3" s="1"/>
  <c r="D1106" i="3"/>
  <c r="F1106" i="3" s="1"/>
  <c r="D1098" i="3"/>
  <c r="F1098" i="3" s="1"/>
  <c r="D1104" i="3"/>
  <c r="F1104" i="3" s="1"/>
  <c r="D1099" i="3"/>
  <c r="F1099" i="3" s="1"/>
  <c r="D1100" i="3"/>
  <c r="F1100" i="3" s="1"/>
  <c r="D1125" i="3"/>
  <c r="D1129" i="3"/>
  <c r="D1126" i="3"/>
  <c r="D1127" i="3"/>
  <c r="D1128" i="3"/>
  <c r="E1106" i="3" l="1"/>
  <c r="E1107" i="3" s="1"/>
  <c r="C1120" i="3"/>
  <c r="D1084" i="3"/>
  <c r="D1086" i="3" s="1"/>
  <c r="D1056" i="3"/>
  <c r="D1059" i="3" s="1"/>
  <c r="D1074" i="3"/>
  <c r="F1102" i="3"/>
  <c r="F1105" i="3" s="1"/>
  <c r="D1120" i="3"/>
  <c r="D1102" i="3"/>
  <c r="D1105" i="3" s="1"/>
  <c r="D1107" i="3" s="1"/>
  <c r="D1130" i="3"/>
  <c r="D1132" i="3" s="1"/>
  <c r="C1107" i="3"/>
  <c r="F1059" i="3" l="1"/>
  <c r="D1061" i="3"/>
  <c r="F1061" i="3" s="1"/>
  <c r="A1101" i="3"/>
  <c r="F1107" i="3"/>
  <c r="C1109" i="3"/>
  <c r="R63" i="2" l="1"/>
  <c r="V63" i="2"/>
  <c r="V59" i="2"/>
  <c r="V58" i="2"/>
  <c r="V57" i="2"/>
  <c r="R59" i="2"/>
  <c r="R58" i="2"/>
  <c r="R57" i="2"/>
  <c r="R53" i="2"/>
  <c r="R52" i="2"/>
  <c r="R51" i="2"/>
  <c r="V53" i="2"/>
  <c r="V52" i="2"/>
  <c r="V51" i="2"/>
  <c r="R27" i="2"/>
  <c r="R26" i="2"/>
  <c r="R24" i="2"/>
  <c r="R23" i="2"/>
  <c r="R22" i="2"/>
  <c r="R21" i="2"/>
  <c r="R20" i="2"/>
  <c r="R19" i="2"/>
  <c r="R16" i="2"/>
  <c r="R15" i="2"/>
  <c r="R14" i="2"/>
  <c r="R13" i="2"/>
  <c r="R12" i="2"/>
  <c r="R11" i="2"/>
  <c r="R10" i="2"/>
  <c r="V27" i="2"/>
  <c r="V26" i="2"/>
  <c r="V24" i="2"/>
  <c r="V23" i="2"/>
  <c r="V22" i="2"/>
  <c r="V21" i="2"/>
  <c r="V20" i="2"/>
  <c r="V19" i="2"/>
  <c r="V16" i="2"/>
  <c r="V15" i="2"/>
  <c r="V14" i="2"/>
  <c r="V13" i="2"/>
  <c r="V12" i="2"/>
  <c r="V11" i="2"/>
  <c r="W60" i="2" l="1"/>
  <c r="V60" i="2"/>
  <c r="U60" i="2"/>
  <c r="T60" i="2"/>
  <c r="S60" i="2"/>
  <c r="R60" i="2"/>
  <c r="Q60" i="2"/>
  <c r="P60" i="2"/>
  <c r="O60" i="2"/>
  <c r="F60" i="2"/>
  <c r="E60" i="2"/>
  <c r="D60" i="2"/>
  <c r="C54" i="2"/>
  <c r="D54" i="2"/>
  <c r="E54" i="2"/>
  <c r="F54" i="2"/>
  <c r="O54" i="2"/>
  <c r="P54" i="2"/>
  <c r="Q54" i="2"/>
  <c r="R54" i="2"/>
  <c r="S54" i="2"/>
  <c r="T54" i="2"/>
  <c r="U54" i="2"/>
  <c r="V54" i="2"/>
  <c r="W54" i="2"/>
  <c r="W65" i="2"/>
  <c r="U65" i="2"/>
  <c r="T65" i="2"/>
  <c r="S65" i="2"/>
  <c r="Q65" i="2"/>
  <c r="P65" i="2"/>
  <c r="O65" i="2"/>
  <c r="F65" i="2"/>
  <c r="E65" i="2"/>
  <c r="D65" i="2"/>
  <c r="C60" i="2"/>
  <c r="W41" i="2" l="1"/>
  <c r="W42" i="2" s="1"/>
  <c r="U41" i="2"/>
  <c r="U42" i="2" s="1"/>
  <c r="T41" i="2"/>
  <c r="T42" i="2" s="1"/>
  <c r="S41" i="2"/>
  <c r="S42" i="2" s="1"/>
  <c r="Q41" i="2"/>
  <c r="Q42" i="2" s="1"/>
  <c r="P41" i="2"/>
  <c r="P42" i="2" s="1"/>
  <c r="O41" i="2"/>
  <c r="O42" i="2" s="1"/>
  <c r="F41" i="2"/>
  <c r="F42" i="2" s="1"/>
  <c r="E41" i="2"/>
  <c r="E42" i="2" s="1"/>
  <c r="D41" i="2"/>
  <c r="D42" i="2" s="1"/>
  <c r="C41" i="2"/>
  <c r="C42" i="2" s="1"/>
  <c r="B40" i="2"/>
  <c r="B47" i="2" s="1"/>
  <c r="B39" i="2"/>
  <c r="B46" i="2" s="1"/>
  <c r="B38" i="2"/>
  <c r="B45" i="2" s="1"/>
  <c r="B32" i="2"/>
  <c r="B33" i="2"/>
  <c r="B34" i="2"/>
  <c r="V25" i="2"/>
  <c r="U25" i="2"/>
  <c r="T25" i="2"/>
  <c r="T47" i="2" s="1"/>
  <c r="S25" i="2"/>
  <c r="S47" i="2" s="1"/>
  <c r="R25" i="2"/>
  <c r="Q25" i="2"/>
  <c r="P25" i="2"/>
  <c r="O25" i="2"/>
  <c r="W25" i="2"/>
  <c r="W47" i="2" s="1"/>
  <c r="F17" i="2"/>
  <c r="F46" i="2" s="1"/>
  <c r="E17" i="2"/>
  <c r="E46" i="2" s="1"/>
  <c r="D17" i="2"/>
  <c r="D46" i="2" s="1"/>
  <c r="C17" i="2"/>
  <c r="C46" i="2" s="1"/>
  <c r="V17" i="2"/>
  <c r="U17" i="2"/>
  <c r="U46" i="2" s="1"/>
  <c r="T17" i="2"/>
  <c r="T46" i="2" s="1"/>
  <c r="S17" i="2"/>
  <c r="S46" i="2" s="1"/>
  <c r="R17" i="2"/>
  <c r="Q17" i="2"/>
  <c r="Q46" i="2" s="1"/>
  <c r="P17" i="2"/>
  <c r="P46" i="2" s="1"/>
  <c r="O17" i="2"/>
  <c r="O46" i="2" s="1"/>
  <c r="W17" i="2"/>
  <c r="W46" i="2" s="1"/>
  <c r="F9" i="2"/>
  <c r="F45" i="2" s="1"/>
  <c r="E9" i="2"/>
  <c r="E45" i="2" s="1"/>
  <c r="D9" i="2"/>
  <c r="D45" i="2" s="1"/>
  <c r="C9" i="2"/>
  <c r="C45" i="2" s="1"/>
  <c r="V9" i="2"/>
  <c r="U9" i="2"/>
  <c r="U45" i="2" s="1"/>
  <c r="T45" i="2"/>
  <c r="S9" i="2"/>
  <c r="S45" i="2" s="1"/>
  <c r="R9" i="2"/>
  <c r="Q9" i="2"/>
  <c r="Q45" i="2" s="1"/>
  <c r="P9" i="2"/>
  <c r="P45" i="2" s="1"/>
  <c r="O9" i="2"/>
  <c r="O45" i="2" s="1"/>
  <c r="W9" i="2"/>
  <c r="W45" i="2" s="1"/>
  <c r="V78" i="2"/>
  <c r="R78" i="2"/>
  <c r="V77" i="2"/>
  <c r="R77" i="2"/>
  <c r="W76" i="2"/>
  <c r="W74" i="2" s="1"/>
  <c r="U76" i="2"/>
  <c r="U74" i="2" s="1"/>
  <c r="T76" i="2"/>
  <c r="T74" i="2" s="1"/>
  <c r="S76" i="2"/>
  <c r="S74" i="2" s="1"/>
  <c r="Q76" i="2"/>
  <c r="Q74" i="2" s="1"/>
  <c r="P76" i="2"/>
  <c r="P74" i="2" s="1"/>
  <c r="O76" i="2"/>
  <c r="O74" i="2" s="1"/>
  <c r="D76" i="2"/>
  <c r="D74" i="2" s="1"/>
  <c r="C76" i="2"/>
  <c r="C74" i="2" s="1"/>
  <c r="V75" i="2"/>
  <c r="R75" i="2"/>
  <c r="V72" i="2"/>
  <c r="R72" i="2"/>
  <c r="V71" i="2"/>
  <c r="R71" i="2"/>
  <c r="W70" i="2"/>
  <c r="W68" i="2" s="1"/>
  <c r="U70" i="2"/>
  <c r="U68" i="2" s="1"/>
  <c r="T70" i="2"/>
  <c r="T68" i="2" s="1"/>
  <c r="S70" i="2"/>
  <c r="S68" i="2" s="1"/>
  <c r="Q70" i="2"/>
  <c r="Q68" i="2" s="1"/>
  <c r="P70" i="2"/>
  <c r="P68" i="2" s="1"/>
  <c r="O70" i="2"/>
  <c r="O68" i="2" s="1"/>
  <c r="D70" i="2"/>
  <c r="D68" i="2" s="1"/>
  <c r="C70" i="2"/>
  <c r="C68" i="2" s="1"/>
  <c r="V69" i="2"/>
  <c r="R69" i="2"/>
  <c r="V64" i="2"/>
  <c r="R64" i="2"/>
  <c r="R65" i="2" s="1"/>
  <c r="V40" i="2"/>
  <c r="D3" i="2"/>
  <c r="E3" i="2" s="1"/>
  <c r="F3" i="2" s="1"/>
  <c r="G3" i="2" s="1"/>
  <c r="H3" i="2" s="1"/>
  <c r="I3" i="2" s="1"/>
  <c r="J3" i="2" s="1"/>
  <c r="K3" i="2" s="1"/>
  <c r="L3" i="2" s="1"/>
  <c r="V65" i="2" l="1"/>
  <c r="Q28" i="2"/>
  <c r="Q29" i="2" s="1"/>
  <c r="C28" i="2"/>
  <c r="C48" i="2" s="1"/>
  <c r="D28" i="2"/>
  <c r="D48" i="2" s="1"/>
  <c r="P28" i="2"/>
  <c r="P33" i="2" s="1"/>
  <c r="V76" i="2"/>
  <c r="V74" i="2" s="1"/>
  <c r="U28" i="2"/>
  <c r="U29" i="2" s="1"/>
  <c r="O28" i="2"/>
  <c r="O48" i="2" s="1"/>
  <c r="T28" i="2"/>
  <c r="F28" i="2"/>
  <c r="F34" i="2" s="1"/>
  <c r="E28" i="2"/>
  <c r="E34" i="2" s="1"/>
  <c r="S28" i="2"/>
  <c r="S48" i="2" s="1"/>
  <c r="W28" i="2"/>
  <c r="W32" i="2" s="1"/>
  <c r="R76" i="2"/>
  <c r="R74" i="2" s="1"/>
  <c r="V70" i="2"/>
  <c r="V68" i="2" s="1"/>
  <c r="R70" i="2"/>
  <c r="R68" i="2" s="1"/>
  <c r="R38" i="2"/>
  <c r="R45" i="2" s="1"/>
  <c r="R40" i="2"/>
  <c r="V38" i="2"/>
  <c r="R39" i="2"/>
  <c r="R46" i="2" s="1"/>
  <c r="R28" i="2"/>
  <c r="W95" i="1"/>
  <c r="W69" i="1"/>
  <c r="W67" i="1"/>
  <c r="X67" i="1" s="1"/>
  <c r="W66" i="1"/>
  <c r="W71" i="1"/>
  <c r="W70" i="1"/>
  <c r="W175" i="1" s="1"/>
  <c r="W233" i="1" s="1"/>
  <c r="W62" i="1"/>
  <c r="V27" i="1"/>
  <c r="R27" i="1"/>
  <c r="R17" i="1"/>
  <c r="R16" i="1"/>
  <c r="R15" i="1"/>
  <c r="R12" i="1"/>
  <c r="V17" i="1"/>
  <c r="V16" i="1"/>
  <c r="V15" i="1"/>
  <c r="V12" i="1"/>
  <c r="B252" i="1"/>
  <c r="B219" i="1"/>
  <c r="B218" i="1"/>
  <c r="W204" i="1"/>
  <c r="W216" i="1" s="1"/>
  <c r="V204" i="1"/>
  <c r="V216" i="1" s="1"/>
  <c r="U204" i="1"/>
  <c r="U216" i="1" s="1"/>
  <c r="T204" i="1"/>
  <c r="T216" i="1" s="1"/>
  <c r="S204" i="1"/>
  <c r="S216" i="1" s="1"/>
  <c r="R204" i="1"/>
  <c r="R216" i="1" s="1"/>
  <c r="Q204" i="1"/>
  <c r="Q216" i="1" s="1"/>
  <c r="P204" i="1"/>
  <c r="P216" i="1" s="1"/>
  <c r="O204" i="1"/>
  <c r="O216" i="1" s="1"/>
  <c r="F204" i="1"/>
  <c r="F216" i="1" s="1"/>
  <c r="E204" i="1"/>
  <c r="E216" i="1" s="1"/>
  <c r="D204" i="1"/>
  <c r="D216" i="1" s="1"/>
  <c r="C204" i="1"/>
  <c r="C216" i="1" s="1"/>
  <c r="W203" i="1"/>
  <c r="W215" i="1" s="1"/>
  <c r="V203" i="1"/>
  <c r="V215" i="1" s="1"/>
  <c r="U203" i="1"/>
  <c r="U215" i="1" s="1"/>
  <c r="T203" i="1"/>
  <c r="T215" i="1" s="1"/>
  <c r="S203" i="1"/>
  <c r="S215" i="1" s="1"/>
  <c r="R203" i="1"/>
  <c r="R215" i="1" s="1"/>
  <c r="Q203" i="1"/>
  <c r="Q215" i="1" s="1"/>
  <c r="P203" i="1"/>
  <c r="P215" i="1" s="1"/>
  <c r="O203" i="1"/>
  <c r="O215" i="1" s="1"/>
  <c r="F203" i="1"/>
  <c r="F215" i="1" s="1"/>
  <c r="E203" i="1"/>
  <c r="E215" i="1" s="1"/>
  <c r="D203" i="1"/>
  <c r="D215" i="1" s="1"/>
  <c r="C203" i="1"/>
  <c r="C215" i="1" s="1"/>
  <c r="B198" i="1"/>
  <c r="B263" i="1" s="1"/>
  <c r="B196" i="1"/>
  <c r="B261" i="1" s="1"/>
  <c r="B195" i="1"/>
  <c r="B260" i="1" s="1"/>
  <c r="B193" i="1"/>
  <c r="B258" i="1" s="1"/>
  <c r="B192" i="1"/>
  <c r="B257" i="1" s="1"/>
  <c r="B190" i="1"/>
  <c r="B255" i="1" s="1"/>
  <c r="B189" i="1"/>
  <c r="B254" i="1" s="1"/>
  <c r="B182" i="1"/>
  <c r="B240" i="1" s="1"/>
  <c r="B181" i="1"/>
  <c r="B239" i="1" s="1"/>
  <c r="B180" i="1"/>
  <c r="B238" i="1" s="1"/>
  <c r="W179" i="1"/>
  <c r="W237" i="1" s="1"/>
  <c r="S179" i="1"/>
  <c r="S237" i="1" s="1"/>
  <c r="O179" i="1"/>
  <c r="O237" i="1" s="1"/>
  <c r="F179" i="1"/>
  <c r="F237" i="1" s="1"/>
  <c r="E179" i="1"/>
  <c r="E237" i="1" s="1"/>
  <c r="D179" i="1"/>
  <c r="D237" i="1" s="1"/>
  <c r="C179" i="1"/>
  <c r="C237" i="1" s="1"/>
  <c r="B179" i="1"/>
  <c r="B237" i="1" s="1"/>
  <c r="B178" i="1"/>
  <c r="B236" i="1" s="1"/>
  <c r="B177" i="1"/>
  <c r="B235" i="1" s="1"/>
  <c r="B176" i="1"/>
  <c r="B234" i="1" s="1"/>
  <c r="S175" i="1"/>
  <c r="S233" i="1" s="1"/>
  <c r="P175" i="1"/>
  <c r="P233" i="1" s="1"/>
  <c r="O175" i="1"/>
  <c r="O233" i="1" s="1"/>
  <c r="D175" i="1"/>
  <c r="D233" i="1" s="1"/>
  <c r="B175" i="1"/>
  <c r="B233" i="1" s="1"/>
  <c r="B174" i="1"/>
  <c r="B232" i="1" s="1"/>
  <c r="B173" i="1"/>
  <c r="B231" i="1" s="1"/>
  <c r="S172" i="1"/>
  <c r="S230" i="1" s="1"/>
  <c r="O172" i="1"/>
  <c r="O230" i="1" s="1"/>
  <c r="B172" i="1"/>
  <c r="B230" i="1" s="1"/>
  <c r="B171" i="1"/>
  <c r="B229" i="1" s="1"/>
  <c r="B170" i="1"/>
  <c r="B228" i="1" s="1"/>
  <c r="W169" i="1"/>
  <c r="W227" i="1" s="1"/>
  <c r="T169" i="1"/>
  <c r="T227" i="1" s="1"/>
  <c r="S169" i="1"/>
  <c r="S227" i="1" s="1"/>
  <c r="O169" i="1"/>
  <c r="O227" i="1" s="1"/>
  <c r="F169" i="1"/>
  <c r="F227" i="1" s="1"/>
  <c r="E169" i="1"/>
  <c r="E227" i="1" s="1"/>
  <c r="D169" i="1"/>
  <c r="D227" i="1" s="1"/>
  <c r="C169" i="1"/>
  <c r="C227" i="1" s="1"/>
  <c r="B169" i="1"/>
  <c r="B227" i="1" s="1"/>
  <c r="W168" i="1"/>
  <c r="W226" i="1" s="1"/>
  <c r="S168" i="1"/>
  <c r="S226" i="1" s="1"/>
  <c r="O168" i="1"/>
  <c r="O226" i="1" s="1"/>
  <c r="F168" i="1"/>
  <c r="F226" i="1" s="1"/>
  <c r="E168" i="1"/>
  <c r="E226" i="1" s="1"/>
  <c r="D168" i="1"/>
  <c r="D226" i="1" s="1"/>
  <c r="C168" i="1"/>
  <c r="C226" i="1" s="1"/>
  <c r="B168" i="1"/>
  <c r="B226" i="1" s="1"/>
  <c r="O167" i="1"/>
  <c r="O225" i="1" s="1"/>
  <c r="F167" i="1"/>
  <c r="F225" i="1" s="1"/>
  <c r="D167" i="1"/>
  <c r="D225" i="1" s="1"/>
  <c r="B167" i="1"/>
  <c r="B225" i="1" s="1"/>
  <c r="B166" i="1"/>
  <c r="B224" i="1" s="1"/>
  <c r="B164" i="1"/>
  <c r="B222" i="1" s="1"/>
  <c r="B163" i="1"/>
  <c r="B221" i="1" s="1"/>
  <c r="S162" i="1"/>
  <c r="O162" i="1"/>
  <c r="O220" i="1" s="1"/>
  <c r="F162" i="1"/>
  <c r="B162" i="1"/>
  <c r="B220" i="1" s="1"/>
  <c r="W158" i="1"/>
  <c r="V158" i="1"/>
  <c r="U158" i="1"/>
  <c r="T158" i="1"/>
  <c r="S158" i="1"/>
  <c r="R158" i="1"/>
  <c r="Q158" i="1"/>
  <c r="P158" i="1"/>
  <c r="O158" i="1"/>
  <c r="F158" i="1"/>
  <c r="E158" i="1"/>
  <c r="D158" i="1"/>
  <c r="C158" i="1"/>
  <c r="B158" i="1"/>
  <c r="W157" i="1"/>
  <c r="V157" i="1"/>
  <c r="U157" i="1"/>
  <c r="T157" i="1"/>
  <c r="S157" i="1"/>
  <c r="R157" i="1"/>
  <c r="Q157" i="1"/>
  <c r="P157" i="1"/>
  <c r="O157" i="1"/>
  <c r="F157" i="1"/>
  <c r="E157" i="1"/>
  <c r="D157" i="1"/>
  <c r="C157" i="1"/>
  <c r="W152" i="1"/>
  <c r="W209" i="1" s="1"/>
  <c r="U152" i="1"/>
  <c r="U209" i="1" s="1"/>
  <c r="T152" i="1"/>
  <c r="T209" i="1" s="1"/>
  <c r="S152" i="1"/>
  <c r="S209" i="1" s="1"/>
  <c r="Q152" i="1"/>
  <c r="Q209" i="1" s="1"/>
  <c r="P152" i="1"/>
  <c r="P209" i="1" s="1"/>
  <c r="O152" i="1"/>
  <c r="O209" i="1" s="1"/>
  <c r="F152" i="1"/>
  <c r="F209" i="1" s="1"/>
  <c r="E152" i="1"/>
  <c r="E209" i="1" s="1"/>
  <c r="D152" i="1"/>
  <c r="D209" i="1" s="1"/>
  <c r="C152" i="1"/>
  <c r="C209" i="1" s="1"/>
  <c r="W147" i="1"/>
  <c r="V147" i="1"/>
  <c r="U147" i="1"/>
  <c r="T147" i="1"/>
  <c r="S147" i="1"/>
  <c r="R147" i="1"/>
  <c r="Q147" i="1"/>
  <c r="P147" i="1"/>
  <c r="O147" i="1"/>
  <c r="F147" i="1"/>
  <c r="E147" i="1"/>
  <c r="D147" i="1"/>
  <c r="C147" i="1"/>
  <c r="W146" i="1"/>
  <c r="V146" i="1"/>
  <c r="U146" i="1"/>
  <c r="T146" i="1"/>
  <c r="S146" i="1"/>
  <c r="R146" i="1"/>
  <c r="Q146" i="1"/>
  <c r="P146" i="1"/>
  <c r="O146" i="1"/>
  <c r="F146" i="1"/>
  <c r="E146" i="1"/>
  <c r="D146" i="1"/>
  <c r="C146" i="1"/>
  <c r="W131" i="1"/>
  <c r="V131" i="1"/>
  <c r="U131" i="1"/>
  <c r="T131" i="1"/>
  <c r="S131" i="1"/>
  <c r="R131" i="1"/>
  <c r="Q131" i="1"/>
  <c r="P131" i="1"/>
  <c r="O131" i="1"/>
  <c r="F131" i="1"/>
  <c r="E131" i="1"/>
  <c r="D131" i="1"/>
  <c r="C131" i="1"/>
  <c r="V127" i="1"/>
  <c r="V245" i="1" s="1"/>
  <c r="R127" i="1"/>
  <c r="R245" i="1" s="1"/>
  <c r="V122" i="1"/>
  <c r="V152" i="1" s="1"/>
  <c r="V209" i="1" s="1"/>
  <c r="R122" i="1"/>
  <c r="R152" i="1" s="1"/>
  <c r="R209" i="1" s="1"/>
  <c r="W118" i="1"/>
  <c r="T118" i="1"/>
  <c r="Q118" i="1"/>
  <c r="P118" i="1"/>
  <c r="O118" i="1"/>
  <c r="F118" i="1"/>
  <c r="V118" i="1" s="1"/>
  <c r="E118" i="1"/>
  <c r="R118" i="1" s="1"/>
  <c r="D118" i="1"/>
  <c r="C118" i="1"/>
  <c r="W117" i="1"/>
  <c r="U151" i="1"/>
  <c r="U208" i="1" s="1"/>
  <c r="T117" i="1"/>
  <c r="Q117" i="1"/>
  <c r="P117" i="1"/>
  <c r="O117" i="1"/>
  <c r="F117" i="1"/>
  <c r="E117" i="1"/>
  <c r="R117" i="1" s="1"/>
  <c r="D117" i="1"/>
  <c r="C117" i="1"/>
  <c r="W114" i="1"/>
  <c r="T114" i="1"/>
  <c r="Q114" i="1"/>
  <c r="P114" i="1"/>
  <c r="O114" i="1"/>
  <c r="F114" i="1"/>
  <c r="E114" i="1"/>
  <c r="D114" i="1"/>
  <c r="C114" i="1"/>
  <c r="V113" i="1"/>
  <c r="V249" i="1" s="1"/>
  <c r="R113" i="1"/>
  <c r="R249" i="1" s="1"/>
  <c r="V112" i="1"/>
  <c r="V248" i="1" s="1"/>
  <c r="R112" i="1"/>
  <c r="R248" i="1" s="1"/>
  <c r="W109" i="1"/>
  <c r="T109" i="1"/>
  <c r="Q109" i="1"/>
  <c r="P109" i="1"/>
  <c r="O109" i="1"/>
  <c r="F109" i="1"/>
  <c r="E109" i="1"/>
  <c r="D109" i="1"/>
  <c r="C109" i="1"/>
  <c r="V108" i="1"/>
  <c r="R108" i="1"/>
  <c r="V107" i="1"/>
  <c r="R107" i="1"/>
  <c r="W99" i="1"/>
  <c r="T99" i="1"/>
  <c r="S99" i="1"/>
  <c r="Q99" i="1"/>
  <c r="P99" i="1"/>
  <c r="O99" i="1"/>
  <c r="F99" i="1"/>
  <c r="E99" i="1"/>
  <c r="D99" i="1"/>
  <c r="C99" i="1"/>
  <c r="V98" i="1"/>
  <c r="R98" i="1"/>
  <c r="V97" i="1"/>
  <c r="R97" i="1"/>
  <c r="V96" i="1"/>
  <c r="R96" i="1"/>
  <c r="V95" i="1"/>
  <c r="R95" i="1"/>
  <c r="E90" i="1"/>
  <c r="D90" i="1"/>
  <c r="F88" i="1"/>
  <c r="E88" i="1"/>
  <c r="D88" i="1"/>
  <c r="C88" i="1"/>
  <c r="F87" i="1"/>
  <c r="D87" i="1"/>
  <c r="D187" i="1" s="1"/>
  <c r="T179" i="1"/>
  <c r="T237" i="1" s="1"/>
  <c r="W177" i="1"/>
  <c r="W235" i="1" s="1"/>
  <c r="S177" i="1"/>
  <c r="S235" i="1" s="1"/>
  <c r="D177" i="1"/>
  <c r="D235" i="1" s="1"/>
  <c r="C177" i="1"/>
  <c r="C235" i="1" s="1"/>
  <c r="F176" i="1"/>
  <c r="F234" i="1" s="1"/>
  <c r="E176" i="1"/>
  <c r="E234" i="1" s="1"/>
  <c r="D176" i="1"/>
  <c r="D234" i="1" s="1"/>
  <c r="C176" i="1"/>
  <c r="C234" i="1" s="1"/>
  <c r="Q175" i="1"/>
  <c r="Q233" i="1" s="1"/>
  <c r="F175" i="1"/>
  <c r="F233" i="1" s="1"/>
  <c r="C175" i="1"/>
  <c r="C233" i="1" s="1"/>
  <c r="E174" i="1"/>
  <c r="E232" i="1" s="1"/>
  <c r="D174" i="1"/>
  <c r="D232" i="1" s="1"/>
  <c r="C174" i="1"/>
  <c r="C232" i="1" s="1"/>
  <c r="U172" i="1"/>
  <c r="U230" i="1" s="1"/>
  <c r="T172" i="1"/>
  <c r="T230" i="1" s="1"/>
  <c r="P172" i="1"/>
  <c r="P230" i="1" s="1"/>
  <c r="F172" i="1"/>
  <c r="F230" i="1" s="1"/>
  <c r="E172" i="1"/>
  <c r="E230" i="1" s="1"/>
  <c r="D172" i="1"/>
  <c r="D230" i="1" s="1"/>
  <c r="C172" i="1"/>
  <c r="C230" i="1" s="1"/>
  <c r="O171" i="1"/>
  <c r="O229" i="1" s="1"/>
  <c r="F171" i="1"/>
  <c r="F229" i="1" s="1"/>
  <c r="D171" i="1"/>
  <c r="D229" i="1" s="1"/>
  <c r="U168" i="1"/>
  <c r="U226" i="1" s="1"/>
  <c r="T168" i="1"/>
  <c r="T226" i="1" s="1"/>
  <c r="P168" i="1"/>
  <c r="P226" i="1" s="1"/>
  <c r="T167" i="1"/>
  <c r="T225" i="1" s="1"/>
  <c r="S167" i="1"/>
  <c r="S225" i="1" s="1"/>
  <c r="P167" i="1"/>
  <c r="P225" i="1" s="1"/>
  <c r="E167" i="1"/>
  <c r="E225" i="1" s="1"/>
  <c r="C167" i="1"/>
  <c r="C225" i="1" s="1"/>
  <c r="S61" i="1"/>
  <c r="D61" i="1"/>
  <c r="D57" i="1"/>
  <c r="F166" i="1"/>
  <c r="V50" i="1"/>
  <c r="B49" i="1"/>
  <c r="W48" i="1"/>
  <c r="W60" i="1" s="1"/>
  <c r="W82" i="1" s="1"/>
  <c r="W93" i="1" s="1"/>
  <c r="V48" i="1"/>
  <c r="V60" i="1" s="1"/>
  <c r="V82" i="1" s="1"/>
  <c r="V93" i="1" s="1"/>
  <c r="U48" i="1"/>
  <c r="U60" i="1" s="1"/>
  <c r="U82" i="1" s="1"/>
  <c r="U93" i="1" s="1"/>
  <c r="T48" i="1"/>
  <c r="T60" i="1" s="1"/>
  <c r="T82" i="1" s="1"/>
  <c r="T93" i="1" s="1"/>
  <c r="S48" i="1"/>
  <c r="S60" i="1" s="1"/>
  <c r="S82" i="1" s="1"/>
  <c r="S93" i="1" s="1"/>
  <c r="R48" i="1"/>
  <c r="R60" i="1" s="1"/>
  <c r="R82" i="1" s="1"/>
  <c r="R93" i="1" s="1"/>
  <c r="Q48" i="1"/>
  <c r="Q60" i="1" s="1"/>
  <c r="Q82" i="1" s="1"/>
  <c r="Q93" i="1" s="1"/>
  <c r="P48" i="1"/>
  <c r="P60" i="1" s="1"/>
  <c r="P82" i="1" s="1"/>
  <c r="P93" i="1" s="1"/>
  <c r="O48" i="1"/>
  <c r="O60" i="1" s="1"/>
  <c r="O82" i="1" s="1"/>
  <c r="O93" i="1" s="1"/>
  <c r="F48" i="1"/>
  <c r="F60" i="1" s="1"/>
  <c r="F82" i="1" s="1"/>
  <c r="F93" i="1" s="1"/>
  <c r="E48" i="1"/>
  <c r="E60" i="1" s="1"/>
  <c r="E82" i="1" s="1"/>
  <c r="E93" i="1" s="1"/>
  <c r="D48" i="1"/>
  <c r="D60" i="1" s="1"/>
  <c r="D82" i="1" s="1"/>
  <c r="D93" i="1" s="1"/>
  <c r="C48" i="1"/>
  <c r="C60" i="1" s="1"/>
  <c r="C82" i="1" s="1"/>
  <c r="C93" i="1" s="1"/>
  <c r="B39" i="1"/>
  <c r="B38" i="1"/>
  <c r="B37" i="1"/>
  <c r="B36" i="1"/>
  <c r="V28" i="1"/>
  <c r="R28" i="1"/>
  <c r="V25" i="1"/>
  <c r="R25" i="1"/>
  <c r="V22" i="1"/>
  <c r="R22" i="1"/>
  <c r="V21" i="1"/>
  <c r="R21" i="1"/>
  <c r="V20" i="1"/>
  <c r="R20" i="1"/>
  <c r="V19" i="1"/>
  <c r="R19" i="1"/>
  <c r="V18" i="1"/>
  <c r="R18" i="1"/>
  <c r="W10" i="1"/>
  <c r="W103" i="1" s="1"/>
  <c r="T160" i="1"/>
  <c r="X161" i="1" s="1"/>
  <c r="P160" i="1"/>
  <c r="P218" i="1" s="1"/>
  <c r="E160" i="1"/>
  <c r="D10" i="1"/>
  <c r="C10" i="1"/>
  <c r="C103" i="1" s="1"/>
  <c r="V9" i="1"/>
  <c r="R9" i="1"/>
  <c r="W8" i="1"/>
  <c r="D8" i="1"/>
  <c r="V7" i="1"/>
  <c r="Z8" i="1" s="1"/>
  <c r="R7" i="1"/>
  <c r="W46" i="1" l="1"/>
  <c r="W45" i="1"/>
  <c r="X69" i="1"/>
  <c r="X174" i="1" s="1"/>
  <c r="X232" i="1" s="1"/>
  <c r="W174" i="1"/>
  <c r="W232" i="1" s="1"/>
  <c r="V250" i="1"/>
  <c r="S42" i="1"/>
  <c r="U42" i="1"/>
  <c r="Y42" i="1"/>
  <c r="X42" i="1"/>
  <c r="R250" i="1"/>
  <c r="V102" i="1"/>
  <c r="D43" i="1"/>
  <c r="D103" i="1"/>
  <c r="R102" i="1"/>
  <c r="W172" i="1"/>
  <c r="W230" i="1" s="1"/>
  <c r="F220" i="1"/>
  <c r="G221" i="1" s="1"/>
  <c r="G163" i="1"/>
  <c r="W23" i="1"/>
  <c r="W49" i="1" s="1"/>
  <c r="W51" i="1" s="1"/>
  <c r="AA11" i="1"/>
  <c r="Z84" i="1"/>
  <c r="X71" i="1"/>
  <c r="Y71" i="1" s="1"/>
  <c r="X172" i="1"/>
  <c r="X230" i="1" s="1"/>
  <c r="Y67" i="1"/>
  <c r="R37" i="1"/>
  <c r="X70" i="1"/>
  <c r="Y70" i="1" s="1"/>
  <c r="Y69" i="1"/>
  <c r="R120" i="1"/>
  <c r="V45" i="2"/>
  <c r="D134" i="1"/>
  <c r="D80" i="1"/>
  <c r="D133" i="1"/>
  <c r="W171" i="1"/>
  <c r="W229" i="1" s="1"/>
  <c r="X66" i="1"/>
  <c r="C160" i="1"/>
  <c r="C218" i="1" s="1"/>
  <c r="C43" i="1"/>
  <c r="C80" i="1"/>
  <c r="W176" i="1"/>
  <c r="W234" i="1" s="1"/>
  <c r="E80" i="1"/>
  <c r="V114" i="1"/>
  <c r="W167" i="1"/>
  <c r="W225" i="1" s="1"/>
  <c r="X62" i="1"/>
  <c r="Y62" i="1" s="1"/>
  <c r="Z62" i="1" s="1"/>
  <c r="T48" i="2"/>
  <c r="T29" i="2"/>
  <c r="V109" i="1"/>
  <c r="F134" i="1"/>
  <c r="F80" i="1"/>
  <c r="F133" i="1"/>
  <c r="W120" i="1"/>
  <c r="V37" i="1"/>
  <c r="V36" i="1"/>
  <c r="V38" i="1"/>
  <c r="R114" i="1"/>
  <c r="D23" i="1"/>
  <c r="D26" i="1" s="1"/>
  <c r="E11" i="1"/>
  <c r="R38" i="1"/>
  <c r="R36" i="1"/>
  <c r="D120" i="1"/>
  <c r="C23" i="1"/>
  <c r="C26" i="1" s="1"/>
  <c r="F48" i="2"/>
  <c r="Q48" i="2"/>
  <c r="U48" i="2"/>
  <c r="E48" i="2"/>
  <c r="P48" i="2"/>
  <c r="W48" i="2"/>
  <c r="E29" i="2"/>
  <c r="R41" i="2"/>
  <c r="Q33" i="2"/>
  <c r="O29" i="2"/>
  <c r="F32" i="2"/>
  <c r="D34" i="2"/>
  <c r="D33" i="2"/>
  <c r="S34" i="2"/>
  <c r="U33" i="2"/>
  <c r="R34" i="2"/>
  <c r="R32" i="2"/>
  <c r="W29" i="2"/>
  <c r="W33" i="2"/>
  <c r="F29" i="2"/>
  <c r="F33" i="2"/>
  <c r="C29" i="2"/>
  <c r="C32" i="2"/>
  <c r="W34" i="2"/>
  <c r="E33" i="2"/>
  <c r="E32" i="2"/>
  <c r="O33" i="2"/>
  <c r="R33" i="2"/>
  <c r="S32" i="2"/>
  <c r="C33" i="2"/>
  <c r="T32" i="2"/>
  <c r="T34" i="2"/>
  <c r="S33" i="2"/>
  <c r="D32" i="2"/>
  <c r="U34" i="2"/>
  <c r="U32" i="2"/>
  <c r="D29" i="2"/>
  <c r="P29" i="2"/>
  <c r="P32" i="2"/>
  <c r="P34" i="2"/>
  <c r="O34" i="2"/>
  <c r="O32" i="2"/>
  <c r="T33" i="2"/>
  <c r="C34" i="2"/>
  <c r="Q34" i="2"/>
  <c r="Q32" i="2"/>
  <c r="S29" i="2"/>
  <c r="V28" i="2"/>
  <c r="V39" i="2"/>
  <c r="O120" i="1"/>
  <c r="O151" i="1" s="1"/>
  <c r="O208" i="1" s="1"/>
  <c r="P120" i="1"/>
  <c r="P151" i="1" s="1"/>
  <c r="P208" i="1" s="1"/>
  <c r="Q120" i="1"/>
  <c r="Q124" i="1" s="1"/>
  <c r="Q184" i="1" s="1"/>
  <c r="Q242" i="1" s="1"/>
  <c r="U153" i="1"/>
  <c r="U210" i="1" s="1"/>
  <c r="U184" i="1"/>
  <c r="U242" i="1" s="1"/>
  <c r="F120" i="1"/>
  <c r="F42" i="1" s="1"/>
  <c r="C120" i="1"/>
  <c r="V117" i="1"/>
  <c r="V120" i="1" s="1"/>
  <c r="D142" i="1"/>
  <c r="D196" i="1" s="1"/>
  <c r="S160" i="1"/>
  <c r="S218" i="1" s="1"/>
  <c r="T39" i="1"/>
  <c r="E84" i="1"/>
  <c r="E100" i="1" s="1"/>
  <c r="R10" i="1"/>
  <c r="R29" i="2" s="1"/>
  <c r="C58" i="1"/>
  <c r="E49" i="1"/>
  <c r="E51" i="1" s="1"/>
  <c r="C84" i="1"/>
  <c r="C148" i="1" s="1"/>
  <c r="C205" i="1" s="1"/>
  <c r="R66" i="1"/>
  <c r="S220" i="1"/>
  <c r="S163" i="1"/>
  <c r="E171" i="1"/>
  <c r="E229" i="1" s="1"/>
  <c r="S39" i="1"/>
  <c r="S49" i="1"/>
  <c r="S51" i="1" s="1"/>
  <c r="S55" i="1" s="1"/>
  <c r="E162" i="1"/>
  <c r="E57" i="1"/>
  <c r="E87" i="1"/>
  <c r="E133" i="1" s="1"/>
  <c r="F57" i="1"/>
  <c r="P162" i="1"/>
  <c r="R56" i="1"/>
  <c r="P58" i="1"/>
  <c r="S166" i="1"/>
  <c r="S65" i="1"/>
  <c r="S68" i="1" s="1"/>
  <c r="S176" i="1"/>
  <c r="S234" i="1" s="1"/>
  <c r="U179" i="1"/>
  <c r="U237" i="1" s="1"/>
  <c r="V75" i="1"/>
  <c r="F187" i="1"/>
  <c r="F149" i="1"/>
  <c r="U144" i="1"/>
  <c r="U198" i="1" s="1"/>
  <c r="E218" i="1"/>
  <c r="F224" i="1"/>
  <c r="F252" i="1" s="1"/>
  <c r="F170" i="1"/>
  <c r="F228" i="1" s="1"/>
  <c r="Q172" i="1"/>
  <c r="Q230" i="1" s="1"/>
  <c r="F174" i="1"/>
  <c r="F232" i="1" s="1"/>
  <c r="E177" i="1"/>
  <c r="E235" i="1" s="1"/>
  <c r="D84" i="1"/>
  <c r="D11" i="1"/>
  <c r="D160" i="1"/>
  <c r="U160" i="1"/>
  <c r="Y161" i="1" s="1"/>
  <c r="W58" i="1"/>
  <c r="W162" i="1"/>
  <c r="AA163" i="1" s="1"/>
  <c r="W57" i="1"/>
  <c r="Q160" i="1"/>
  <c r="Q218" i="1" s="1"/>
  <c r="P171" i="1"/>
  <c r="P229" i="1" s="1"/>
  <c r="V67" i="1"/>
  <c r="S174" i="1"/>
  <c r="S232" i="1" s="1"/>
  <c r="E175" i="1"/>
  <c r="E233" i="1" s="1"/>
  <c r="R70" i="1"/>
  <c r="R175" i="1" s="1"/>
  <c r="R233" i="1" s="1"/>
  <c r="R99" i="1"/>
  <c r="W160" i="1"/>
  <c r="AA161" i="1" s="1"/>
  <c r="V8" i="1"/>
  <c r="F160" i="1"/>
  <c r="G161" i="1" s="1"/>
  <c r="F84" i="1"/>
  <c r="F148" i="1" s="1"/>
  <c r="F205" i="1" s="1"/>
  <c r="W11" i="1"/>
  <c r="P49" i="1"/>
  <c r="P51" i="1" s="1"/>
  <c r="P39" i="1"/>
  <c r="C162" i="1"/>
  <c r="C87" i="1"/>
  <c r="C133" i="1" s="1"/>
  <c r="C61" i="1"/>
  <c r="S58" i="1"/>
  <c r="S57" i="1"/>
  <c r="E58" i="1"/>
  <c r="P61" i="1"/>
  <c r="P65" i="1" s="1"/>
  <c r="P68" i="1" s="1"/>
  <c r="P73" i="1" s="1"/>
  <c r="W61" i="1"/>
  <c r="Z61" i="1" s="1"/>
  <c r="Q167" i="1"/>
  <c r="Q225" i="1" s="1"/>
  <c r="U167" i="1"/>
  <c r="U225" i="1" s="1"/>
  <c r="V63" i="1"/>
  <c r="U169" i="1"/>
  <c r="U227" i="1" s="1"/>
  <c r="V64" i="1"/>
  <c r="T175" i="1"/>
  <c r="T233" i="1" s="1"/>
  <c r="F177" i="1"/>
  <c r="F235" i="1" s="1"/>
  <c r="R109" i="1"/>
  <c r="E120" i="1"/>
  <c r="E42" i="1" s="1"/>
  <c r="T120" i="1"/>
  <c r="T42" i="1" s="1"/>
  <c r="F142" i="1"/>
  <c r="F196" i="1" s="1"/>
  <c r="T161" i="1"/>
  <c r="T218" i="1"/>
  <c r="F58" i="1"/>
  <c r="D166" i="1"/>
  <c r="D65" i="1"/>
  <c r="D68" i="1" s="1"/>
  <c r="R62" i="1"/>
  <c r="R167" i="1" s="1"/>
  <c r="R225" i="1" s="1"/>
  <c r="P169" i="1"/>
  <c r="P227" i="1" s="1"/>
  <c r="C171" i="1"/>
  <c r="C229" i="1" s="1"/>
  <c r="C90" i="1"/>
  <c r="S171" i="1"/>
  <c r="S229" i="1" s="1"/>
  <c r="O174" i="1"/>
  <c r="O232" i="1" s="1"/>
  <c r="O177" i="1"/>
  <c r="O235" i="1" s="1"/>
  <c r="D149" i="1"/>
  <c r="D141" i="1"/>
  <c r="D195" i="1" s="1"/>
  <c r="O160" i="1"/>
  <c r="V10" i="1"/>
  <c r="V103" i="1" s="1"/>
  <c r="D58" i="1"/>
  <c r="O58" i="1"/>
  <c r="O61" i="1"/>
  <c r="O65" i="1" s="1"/>
  <c r="O68" i="1" s="1"/>
  <c r="O73" i="1" s="1"/>
  <c r="O74" i="1" s="1"/>
  <c r="O76" i="1" s="1"/>
  <c r="O77" i="1" s="1"/>
  <c r="O176" i="1"/>
  <c r="O234" i="1" s="1"/>
  <c r="P179" i="1"/>
  <c r="P237" i="1" s="1"/>
  <c r="V99" i="1"/>
  <c r="D162" i="1"/>
  <c r="F90" i="1"/>
  <c r="F141" i="1" s="1"/>
  <c r="F195" i="1" s="1"/>
  <c r="V80" i="1" l="1"/>
  <c r="Y80" i="1"/>
  <c r="X80" i="1"/>
  <c r="W80" i="1"/>
  <c r="X46" i="1"/>
  <c r="X45" i="1"/>
  <c r="W151" i="1"/>
  <c r="W208" i="1" s="1"/>
  <c r="W42" i="1"/>
  <c r="D151" i="1"/>
  <c r="D208" i="1" s="1"/>
  <c r="D42" i="1"/>
  <c r="C123" i="1"/>
  <c r="C42" i="1"/>
  <c r="F261" i="1"/>
  <c r="F260" i="1"/>
  <c r="V123" i="1"/>
  <c r="V42" i="1"/>
  <c r="R151" i="1"/>
  <c r="R208" i="1" s="1"/>
  <c r="R42" i="1"/>
  <c r="R103" i="1"/>
  <c r="R124" i="1"/>
  <c r="R184" i="1" s="1"/>
  <c r="R242" i="1" s="1"/>
  <c r="R123" i="1"/>
  <c r="R185" i="1" s="1"/>
  <c r="R243" i="1" s="1"/>
  <c r="Y175" i="1"/>
  <c r="Y233" i="1" s="1"/>
  <c r="Z70" i="1"/>
  <c r="Z166" i="1"/>
  <c r="Z65" i="1"/>
  <c r="Y176" i="1"/>
  <c r="Y234" i="1" s="1"/>
  <c r="Z71" i="1"/>
  <c r="Z148" i="1"/>
  <c r="Z100" i="1"/>
  <c r="Z43" i="1"/>
  <c r="Z167" i="1"/>
  <c r="Z225" i="1" s="1"/>
  <c r="Y84" i="1"/>
  <c r="Y148" i="1" s="1"/>
  <c r="Z11" i="1"/>
  <c r="Y172" i="1"/>
  <c r="Y230" i="1" s="1"/>
  <c r="Z67" i="1"/>
  <c r="W26" i="1"/>
  <c r="Z85" i="1"/>
  <c r="W24" i="1"/>
  <c r="W55" i="1"/>
  <c r="AA52" i="1"/>
  <c r="Z86" i="1"/>
  <c r="W39" i="1"/>
  <c r="Y174" i="1"/>
  <c r="Y232" i="1" s="1"/>
  <c r="Z69" i="1"/>
  <c r="Y88" i="1"/>
  <c r="Y142" i="1" s="1"/>
  <c r="Y196" i="1" s="1"/>
  <c r="X175" i="1"/>
  <c r="X233" i="1" s="1"/>
  <c r="R128" i="1"/>
  <c r="Y167" i="1"/>
  <c r="Y65" i="1"/>
  <c r="X171" i="1"/>
  <c r="X229" i="1" s="1"/>
  <c r="Y66" i="1"/>
  <c r="X176" i="1"/>
  <c r="X234" i="1" s="1"/>
  <c r="X88" i="1"/>
  <c r="X142" i="1" s="1"/>
  <c r="X196" i="1" s="1"/>
  <c r="V172" i="1"/>
  <c r="V230" i="1" s="1"/>
  <c r="C124" i="1"/>
  <c r="C137" i="1" s="1"/>
  <c r="W128" i="1"/>
  <c r="C1111" i="3"/>
  <c r="X167" i="1"/>
  <c r="X65" i="1"/>
  <c r="X68" i="1" s="1"/>
  <c r="E134" i="1"/>
  <c r="C134" i="1"/>
  <c r="C190" i="1" s="1"/>
  <c r="W123" i="1"/>
  <c r="W185" i="1" s="1"/>
  <c r="W243" i="1" s="1"/>
  <c r="W124" i="1"/>
  <c r="W184" i="1" s="1"/>
  <c r="W242" i="1" s="1"/>
  <c r="V46" i="2"/>
  <c r="T219" i="1"/>
  <c r="X219" i="1"/>
  <c r="V23" i="1"/>
  <c r="Y85" i="1" s="1"/>
  <c r="X84" i="1"/>
  <c r="C33" i="1"/>
  <c r="C32" i="1"/>
  <c r="D33" i="1"/>
  <c r="D32" i="1"/>
  <c r="P124" i="1"/>
  <c r="P184" i="1" s="1"/>
  <c r="P242" i="1" s="1"/>
  <c r="P128" i="1"/>
  <c r="P74" i="1"/>
  <c r="P76" i="1" s="1"/>
  <c r="P77" i="1" s="1"/>
  <c r="D124" i="1"/>
  <c r="D184" i="1" s="1"/>
  <c r="D242" i="1" s="1"/>
  <c r="D29" i="1"/>
  <c r="D41" i="1"/>
  <c r="O128" i="1"/>
  <c r="D128" i="1"/>
  <c r="D123" i="1"/>
  <c r="D144" i="1" s="1"/>
  <c r="D198" i="1" s="1"/>
  <c r="C29" i="1"/>
  <c r="C41" i="1"/>
  <c r="O35" i="2"/>
  <c r="V151" i="1"/>
  <c r="V208" i="1" s="1"/>
  <c r="V128" i="1"/>
  <c r="Q128" i="1"/>
  <c r="P123" i="1"/>
  <c r="P185" i="1" s="1"/>
  <c r="P243" i="1" s="1"/>
  <c r="P263" i="1" s="1"/>
  <c r="O124" i="1"/>
  <c r="O184" i="1" s="1"/>
  <c r="O242" i="1" s="1"/>
  <c r="Q123" i="1"/>
  <c r="Q153" i="1" s="1"/>
  <c r="Q210" i="1" s="1"/>
  <c r="O123" i="1"/>
  <c r="O185" i="1" s="1"/>
  <c r="O243" i="1" s="1"/>
  <c r="O263" i="1" s="1"/>
  <c r="T84" i="1"/>
  <c r="T100" i="1" s="1"/>
  <c r="R23" i="1"/>
  <c r="R26" i="1" s="1"/>
  <c r="S164" i="1"/>
  <c r="S161" i="1"/>
  <c r="C128" i="1"/>
  <c r="C151" i="1"/>
  <c r="C208" i="1" s="1"/>
  <c r="C100" i="1"/>
  <c r="R42" i="2"/>
  <c r="R48" i="2"/>
  <c r="V41" i="2"/>
  <c r="P35" i="2"/>
  <c r="C35" i="2"/>
  <c r="S35" i="2"/>
  <c r="F35" i="2"/>
  <c r="V29" i="2"/>
  <c r="V34" i="2"/>
  <c r="V32" i="2"/>
  <c r="V33" i="2"/>
  <c r="D35" i="2"/>
  <c r="E35" i="2"/>
  <c r="W35" i="2"/>
  <c r="T35" i="2"/>
  <c r="U185" i="1"/>
  <c r="U243" i="1" s="1"/>
  <c r="V124" i="1"/>
  <c r="V184" i="1" s="1"/>
  <c r="V242" i="1" s="1"/>
  <c r="Q151" i="1"/>
  <c r="Q208" i="1" s="1"/>
  <c r="S151" i="1"/>
  <c r="S208" i="1" s="1"/>
  <c r="D189" i="1"/>
  <c r="F151" i="1"/>
  <c r="F208" i="1" s="1"/>
  <c r="F123" i="1"/>
  <c r="F136" i="1" s="1"/>
  <c r="F128" i="1"/>
  <c r="F124" i="1"/>
  <c r="T49" i="1"/>
  <c r="T51" i="1" s="1"/>
  <c r="X52" i="1" s="1"/>
  <c r="U84" i="1"/>
  <c r="S84" i="1"/>
  <c r="S148" i="1" s="1"/>
  <c r="S205" i="1" s="1"/>
  <c r="R160" i="1"/>
  <c r="R218" i="1" s="1"/>
  <c r="E148" i="1"/>
  <c r="E205" i="1" s="1"/>
  <c r="R84" i="1"/>
  <c r="R148" i="1" s="1"/>
  <c r="R205" i="1" s="1"/>
  <c r="E39" i="1"/>
  <c r="E85" i="1"/>
  <c r="R162" i="1"/>
  <c r="U87" i="1"/>
  <c r="R61" i="1"/>
  <c r="R58" i="1"/>
  <c r="S87" i="1"/>
  <c r="R87" i="1"/>
  <c r="R133" i="1" s="1"/>
  <c r="V160" i="1"/>
  <c r="Z161" i="1" s="1"/>
  <c r="V11" i="1"/>
  <c r="Q169" i="1"/>
  <c r="Q227" i="1" s="1"/>
  <c r="R64" i="1"/>
  <c r="D39" i="1"/>
  <c r="D24" i="1"/>
  <c r="D85" i="1"/>
  <c r="D49" i="1"/>
  <c r="D51" i="1" s="1"/>
  <c r="E52" i="1" s="1"/>
  <c r="V169" i="1"/>
  <c r="V227" i="1" s="1"/>
  <c r="W88" i="1"/>
  <c r="D148" i="1"/>
  <c r="D205" i="1" s="1"/>
  <c r="D100" i="1"/>
  <c r="F206" i="1"/>
  <c r="F150" i="1"/>
  <c r="E187" i="1"/>
  <c r="E142" i="1"/>
  <c r="E196" i="1" s="1"/>
  <c r="E141" i="1"/>
  <c r="E195" i="1" s="1"/>
  <c r="E149" i="1"/>
  <c r="P174" i="1"/>
  <c r="P232" i="1" s="1"/>
  <c r="P177" i="1"/>
  <c r="P235" i="1" s="1"/>
  <c r="R67" i="1"/>
  <c r="W166" i="1"/>
  <c r="W65" i="1"/>
  <c r="W68" i="1" s="1"/>
  <c r="T162" i="1"/>
  <c r="X163" i="1" s="1"/>
  <c r="T58" i="1"/>
  <c r="T57" i="1"/>
  <c r="E40" i="1"/>
  <c r="F85" i="1"/>
  <c r="F49" i="1"/>
  <c r="F51" i="1" s="1"/>
  <c r="G52" i="1" s="1"/>
  <c r="F39" i="1"/>
  <c r="W218" i="1"/>
  <c r="W161" i="1"/>
  <c r="T90" i="1"/>
  <c r="Q171" i="1"/>
  <c r="Q229" i="1" s="1"/>
  <c r="D218" i="1"/>
  <c r="D219" i="1" s="1"/>
  <c r="D161" i="1"/>
  <c r="F100" i="1"/>
  <c r="F173" i="1"/>
  <c r="F231" i="1" s="1"/>
  <c r="F91" i="1"/>
  <c r="E161" i="1"/>
  <c r="V179" i="1"/>
  <c r="V237" i="1" s="1"/>
  <c r="S173" i="1"/>
  <c r="S231" i="1" s="1"/>
  <c r="S73" i="1"/>
  <c r="S74" i="1" s="1"/>
  <c r="T74" i="1" s="1"/>
  <c r="T76" i="1" s="1"/>
  <c r="P164" i="1"/>
  <c r="P220" i="1"/>
  <c r="E220" i="1"/>
  <c r="E164" i="1"/>
  <c r="E163" i="1"/>
  <c r="F163" i="1"/>
  <c r="C189" i="1"/>
  <c r="D190" i="1"/>
  <c r="P176" i="1"/>
  <c r="P234" i="1" s="1"/>
  <c r="R63" i="1"/>
  <c r="R168" i="1" s="1"/>
  <c r="R226" i="1" s="1"/>
  <c r="Q168" i="1"/>
  <c r="Q226" i="1" s="1"/>
  <c r="D224" i="1"/>
  <c r="D252" i="1" s="1"/>
  <c r="D170" i="1"/>
  <c r="D228" i="1" s="1"/>
  <c r="O39" i="1"/>
  <c r="O49" i="1"/>
  <c r="O51" i="1" s="1"/>
  <c r="S52" i="1" s="1"/>
  <c r="E123" i="1"/>
  <c r="E136" i="1" s="1"/>
  <c r="E128" i="1"/>
  <c r="E124" i="1"/>
  <c r="E151" i="1"/>
  <c r="E208" i="1" s="1"/>
  <c r="U175" i="1"/>
  <c r="U233" i="1" s="1"/>
  <c r="V70" i="1"/>
  <c r="C220" i="1"/>
  <c r="C222" i="1" s="1"/>
  <c r="C164" i="1"/>
  <c r="V88" i="1"/>
  <c r="U218" i="1"/>
  <c r="U161" i="1"/>
  <c r="T176" i="1"/>
  <c r="T234" i="1" s="1"/>
  <c r="S222" i="1"/>
  <c r="S221" i="1"/>
  <c r="W52" i="1"/>
  <c r="W53" i="1"/>
  <c r="R171" i="1"/>
  <c r="R229" i="1" s="1"/>
  <c r="D220" i="1"/>
  <c r="D163" i="1"/>
  <c r="D164" i="1"/>
  <c r="R90" i="1"/>
  <c r="T177" i="1"/>
  <c r="T235" i="1" s="1"/>
  <c r="C166" i="1"/>
  <c r="C65" i="1"/>
  <c r="C68" i="1" s="1"/>
  <c r="S40" i="1"/>
  <c r="P53" i="1"/>
  <c r="F218" i="1"/>
  <c r="G219" i="1" s="1"/>
  <c r="F161" i="1"/>
  <c r="W220" i="1"/>
  <c r="W163" i="1"/>
  <c r="W164" i="1"/>
  <c r="E86" i="1"/>
  <c r="E53" i="1"/>
  <c r="U39" i="1"/>
  <c r="U49" i="1"/>
  <c r="U51" i="1" s="1"/>
  <c r="Y52" i="1" s="1"/>
  <c r="Q162" i="1"/>
  <c r="T87" i="1"/>
  <c r="Q58" i="1"/>
  <c r="V62" i="1"/>
  <c r="Q179" i="1"/>
  <c r="Q237" i="1" s="1"/>
  <c r="R75" i="1"/>
  <c r="R179" i="1" s="1"/>
  <c r="R237" i="1" s="1"/>
  <c r="O166" i="1"/>
  <c r="C39" i="1"/>
  <c r="C49" i="1"/>
  <c r="C51" i="1" s="1"/>
  <c r="C85" i="1"/>
  <c r="C24" i="1"/>
  <c r="E55" i="1"/>
  <c r="F164" i="1"/>
  <c r="S184" i="1"/>
  <c r="S242" i="1" s="1"/>
  <c r="O218" i="1"/>
  <c r="O222" i="1" s="1"/>
  <c r="O164" i="1"/>
  <c r="D206" i="1"/>
  <c r="T171" i="1"/>
  <c r="T229" i="1" s="1"/>
  <c r="D173" i="1"/>
  <c r="D231" i="1" s="1"/>
  <c r="D91" i="1"/>
  <c r="D73" i="1"/>
  <c r="D74" i="1" s="1"/>
  <c r="T123" i="1"/>
  <c r="T128" i="1"/>
  <c r="T124" i="1"/>
  <c r="T151" i="1"/>
  <c r="T208" i="1" s="1"/>
  <c r="S90" i="1"/>
  <c r="V168" i="1"/>
  <c r="V226" i="1" s="1"/>
  <c r="P166" i="1"/>
  <c r="C187" i="1"/>
  <c r="C142" i="1"/>
  <c r="C196" i="1" s="1"/>
  <c r="C141" i="1"/>
  <c r="C195" i="1" s="1"/>
  <c r="C149" i="1"/>
  <c r="P40" i="1"/>
  <c r="V84" i="1"/>
  <c r="V148" i="1" s="1"/>
  <c r="V205" i="1" s="1"/>
  <c r="T174" i="1"/>
  <c r="T232" i="1" s="1"/>
  <c r="Q49" i="1"/>
  <c r="Q51" i="1" s="1"/>
  <c r="Q39" i="1"/>
  <c r="E166" i="1"/>
  <c r="P55" i="1"/>
  <c r="S224" i="1"/>
  <c r="S170" i="1"/>
  <c r="S228" i="1" s="1"/>
  <c r="S53" i="1"/>
  <c r="W84" i="1"/>
  <c r="S80" i="1" l="1"/>
  <c r="U80" i="1"/>
  <c r="T80" i="1"/>
  <c r="R80" i="1"/>
  <c r="W40" i="1"/>
  <c r="W32" i="1"/>
  <c r="W33" i="1"/>
  <c r="R33" i="1"/>
  <c r="R32" i="1"/>
  <c r="R172" i="1"/>
  <c r="R230" i="1" s="1"/>
  <c r="R46" i="1"/>
  <c r="R45" i="1"/>
  <c r="Y46" i="1"/>
  <c r="Y45" i="1"/>
  <c r="C136" i="1"/>
  <c r="C153" i="1"/>
  <c r="C210" i="1" s="1"/>
  <c r="C144" i="1"/>
  <c r="C198" i="1" s="1"/>
  <c r="V185" i="1"/>
  <c r="V243" i="1" s="1"/>
  <c r="V144" i="1"/>
  <c r="V198" i="1" s="1"/>
  <c r="V153" i="1"/>
  <c r="V210" i="1" s="1"/>
  <c r="D261" i="1"/>
  <c r="D260" i="1"/>
  <c r="C185" i="1"/>
  <c r="C243" i="1" s="1"/>
  <c r="C263" i="1" s="1"/>
  <c r="R153" i="1"/>
  <c r="R210" i="1" s="1"/>
  <c r="R144" i="1"/>
  <c r="R198" i="1" s="1"/>
  <c r="R263" i="1"/>
  <c r="W263" i="1"/>
  <c r="V263" i="1"/>
  <c r="U263" i="1"/>
  <c r="AA221" i="1"/>
  <c r="P222" i="1"/>
  <c r="D258" i="1"/>
  <c r="D255" i="1"/>
  <c r="C184" i="1"/>
  <c r="C242" i="1" s="1"/>
  <c r="Q74" i="1"/>
  <c r="Q76" i="1" s="1"/>
  <c r="Q77" i="1" s="1"/>
  <c r="Y43" i="1"/>
  <c r="Y100" i="1"/>
  <c r="D137" i="1"/>
  <c r="D193" i="1" s="1"/>
  <c r="Z205" i="1"/>
  <c r="Z207" i="1" s="1"/>
  <c r="Z150" i="1"/>
  <c r="Z176" i="1"/>
  <c r="Z234" i="1" s="1"/>
  <c r="Z172" i="1"/>
  <c r="Z230" i="1" s="1"/>
  <c r="Z224" i="1"/>
  <c r="Z170" i="1"/>
  <c r="Z228" i="1" s="1"/>
  <c r="W219" i="1"/>
  <c r="AA219" i="1"/>
  <c r="W41" i="1"/>
  <c r="W29" i="1"/>
  <c r="Z89" i="1" s="1"/>
  <c r="Z174" i="1"/>
  <c r="Z232" i="1" s="1"/>
  <c r="Z175" i="1"/>
  <c r="Z233" i="1" s="1"/>
  <c r="Y171" i="1"/>
  <c r="Y229" i="1" s="1"/>
  <c r="Z66" i="1"/>
  <c r="P153" i="1"/>
  <c r="P210" i="1" s="1"/>
  <c r="U219" i="1"/>
  <c r="Y219" i="1"/>
  <c r="Y68" i="1"/>
  <c r="Y225" i="1"/>
  <c r="Y170" i="1"/>
  <c r="Y228" i="1" s="1"/>
  <c r="Y205" i="1"/>
  <c r="Y207" i="1" s="1"/>
  <c r="Y150" i="1"/>
  <c r="X85" i="1"/>
  <c r="V26" i="1"/>
  <c r="R134" i="1"/>
  <c r="R190" i="1" s="1"/>
  <c r="V167" i="1"/>
  <c r="V225" i="1" s="1"/>
  <c r="S133" i="1"/>
  <c r="S189" i="1" s="1"/>
  <c r="S134" i="1"/>
  <c r="S190" i="1" s="1"/>
  <c r="D185" i="1"/>
  <c r="D243" i="1" s="1"/>
  <c r="D263" i="1" s="1"/>
  <c r="D136" i="1"/>
  <c r="D192" i="1" s="1"/>
  <c r="X225" i="1"/>
  <c r="X170" i="1"/>
  <c r="X228" i="1" s="1"/>
  <c r="D153" i="1"/>
  <c r="D210" i="1" s="1"/>
  <c r="D212" i="1" s="1"/>
  <c r="T133" i="1"/>
  <c r="T189" i="1" s="1"/>
  <c r="T134" i="1"/>
  <c r="T190" i="1" s="1"/>
  <c r="R189" i="1"/>
  <c r="U134" i="1"/>
  <c r="U190" i="1" s="1"/>
  <c r="U133" i="1"/>
  <c r="U189" i="1" s="1"/>
  <c r="W144" i="1"/>
  <c r="W198" i="1" s="1"/>
  <c r="W153" i="1"/>
  <c r="W210" i="1" s="1"/>
  <c r="X73" i="1"/>
  <c r="X173" i="1"/>
  <c r="X231" i="1" s="1"/>
  <c r="X100" i="1"/>
  <c r="X43" i="1"/>
  <c r="X148" i="1"/>
  <c r="T52" i="1"/>
  <c r="R29" i="1"/>
  <c r="R41" i="1"/>
  <c r="T53" i="1"/>
  <c r="Q185" i="1"/>
  <c r="Q243" i="1" s="1"/>
  <c r="Q263" i="1" s="1"/>
  <c r="O153" i="1"/>
  <c r="O210" i="1" s="1"/>
  <c r="S85" i="1"/>
  <c r="S43" i="1"/>
  <c r="S219" i="1"/>
  <c r="U148" i="1"/>
  <c r="U205" i="1" s="1"/>
  <c r="U100" i="1"/>
  <c r="R43" i="1"/>
  <c r="S100" i="1"/>
  <c r="R100" i="1"/>
  <c r="T148" i="1"/>
  <c r="T205" i="1" s="1"/>
  <c r="T43" i="1"/>
  <c r="S137" i="1"/>
  <c r="S193" i="1" s="1"/>
  <c r="V48" i="2"/>
  <c r="U35" i="2"/>
  <c r="Q35" i="2"/>
  <c r="V35" i="2"/>
  <c r="T40" i="1"/>
  <c r="T55" i="1"/>
  <c r="S185" i="1"/>
  <c r="S243" i="1" s="1"/>
  <c r="S153" i="1"/>
  <c r="S210" i="1" s="1"/>
  <c r="S144" i="1"/>
  <c r="S198" i="1" s="1"/>
  <c r="F137" i="1"/>
  <c r="F184" i="1"/>
  <c r="F242" i="1" s="1"/>
  <c r="F190" i="1"/>
  <c r="F189" i="1"/>
  <c r="F153" i="1"/>
  <c r="F210" i="1" s="1"/>
  <c r="F212" i="1" s="1"/>
  <c r="F144" i="1"/>
  <c r="F198" i="1" s="1"/>
  <c r="F185" i="1"/>
  <c r="F243" i="1" s="1"/>
  <c r="F263" i="1" s="1"/>
  <c r="U43" i="1"/>
  <c r="V100" i="1"/>
  <c r="R24" i="1"/>
  <c r="T85" i="1"/>
  <c r="R39" i="1"/>
  <c r="E219" i="1"/>
  <c r="U85" i="1"/>
  <c r="R49" i="1"/>
  <c r="R51" i="1" s="1"/>
  <c r="R86" i="1" s="1"/>
  <c r="R85" i="1"/>
  <c r="D178" i="1"/>
  <c r="D236" i="1" s="1"/>
  <c r="D180" i="1"/>
  <c r="D238" i="1" s="1"/>
  <c r="C55" i="1"/>
  <c r="C53" i="1"/>
  <c r="C86" i="1"/>
  <c r="O224" i="1"/>
  <c r="O170" i="1"/>
  <c r="O228" i="1" s="1"/>
  <c r="T187" i="1"/>
  <c r="T149" i="1"/>
  <c r="C173" i="1"/>
  <c r="C231" i="1" s="1"/>
  <c r="C91" i="1"/>
  <c r="C73" i="1"/>
  <c r="C74" i="1" s="1"/>
  <c r="U176" i="1"/>
  <c r="U234" i="1" s="1"/>
  <c r="V71" i="1"/>
  <c r="Q176" i="1"/>
  <c r="Q234" i="1" s="1"/>
  <c r="R71" i="1"/>
  <c r="R176" i="1" s="1"/>
  <c r="R234" i="1" s="1"/>
  <c r="F86" i="1"/>
  <c r="F53" i="1"/>
  <c r="F52" i="1"/>
  <c r="F55" i="1"/>
  <c r="W173" i="1"/>
  <c r="W231" i="1" s="1"/>
  <c r="W73" i="1"/>
  <c r="W74" i="1" s="1"/>
  <c r="E206" i="1"/>
  <c r="E207" i="1" s="1"/>
  <c r="E150" i="1"/>
  <c r="W148" i="1"/>
  <c r="W205" i="1" s="1"/>
  <c r="W43" i="1"/>
  <c r="W100" i="1"/>
  <c r="E224" i="1"/>
  <c r="E252" i="1" s="1"/>
  <c r="E170" i="1"/>
  <c r="E228" i="1" s="1"/>
  <c r="Q53" i="1"/>
  <c r="P173" i="1"/>
  <c r="P231" i="1" s="1"/>
  <c r="U171" i="1"/>
  <c r="U229" i="1" s="1"/>
  <c r="V66" i="1"/>
  <c r="C40" i="1"/>
  <c r="Q55" i="1"/>
  <c r="Q166" i="1"/>
  <c r="F219" i="1"/>
  <c r="F222" i="1"/>
  <c r="S30" i="1"/>
  <c r="U177" i="1"/>
  <c r="U235" i="1" s="1"/>
  <c r="V72" i="1"/>
  <c r="U90" i="1"/>
  <c r="E185" i="1"/>
  <c r="E243" i="1" s="1"/>
  <c r="E263" i="1" s="1"/>
  <c r="E189" i="1"/>
  <c r="E144" i="1"/>
  <c r="E198" i="1" s="1"/>
  <c r="E153" i="1"/>
  <c r="E210" i="1" s="1"/>
  <c r="F178" i="1"/>
  <c r="F236" i="1" s="1"/>
  <c r="F181" i="1"/>
  <c r="F239" i="1" s="1"/>
  <c r="F40" i="1"/>
  <c r="U61" i="1"/>
  <c r="U57" i="1"/>
  <c r="U162" i="1"/>
  <c r="Y163" i="1" s="1"/>
  <c r="U58" i="1"/>
  <c r="V42" i="2"/>
  <c r="U55" i="1"/>
  <c r="Q174" i="1"/>
  <c r="Q232" i="1" s="1"/>
  <c r="R69" i="1"/>
  <c r="R174" i="1" s="1"/>
  <c r="R232" i="1" s="1"/>
  <c r="F207" i="1"/>
  <c r="F211" i="1"/>
  <c r="V24" i="1"/>
  <c r="V49" i="1"/>
  <c r="V51" i="1" s="1"/>
  <c r="Z52" i="1" s="1"/>
  <c r="V39" i="1"/>
  <c r="V85" i="1"/>
  <c r="W85" i="1"/>
  <c r="R149" i="1"/>
  <c r="R187" i="1"/>
  <c r="R166" i="1"/>
  <c r="R65" i="1"/>
  <c r="R68" i="1" s="1"/>
  <c r="S91" i="1" s="1"/>
  <c r="C193" i="1"/>
  <c r="C154" i="1"/>
  <c r="R136" i="1"/>
  <c r="Q40" i="1"/>
  <c r="P224" i="1"/>
  <c r="P170" i="1"/>
  <c r="P228" i="1" s="1"/>
  <c r="T184" i="1"/>
  <c r="T242" i="1" s="1"/>
  <c r="T137" i="1"/>
  <c r="D150" i="1"/>
  <c r="O173" i="1"/>
  <c r="O231" i="1" s="1"/>
  <c r="U53" i="1"/>
  <c r="U52" i="1"/>
  <c r="O40" i="1"/>
  <c r="S178" i="1"/>
  <c r="S236" i="1" s="1"/>
  <c r="S180" i="1"/>
  <c r="S238" i="1" s="1"/>
  <c r="W87" i="1"/>
  <c r="T220" i="1"/>
  <c r="T164" i="1"/>
  <c r="T163" i="1"/>
  <c r="Q177" i="1"/>
  <c r="Q235" i="1" s="1"/>
  <c r="R72" i="1"/>
  <c r="R177" i="1" s="1"/>
  <c r="R235" i="1" s="1"/>
  <c r="D52" i="1"/>
  <c r="D53" i="1"/>
  <c r="D86" i="1"/>
  <c r="D55" i="1"/>
  <c r="V218" i="1"/>
  <c r="V161" i="1"/>
  <c r="S187" i="1"/>
  <c r="S149" i="1"/>
  <c r="S136" i="1"/>
  <c r="D207" i="1"/>
  <c r="D211" i="1"/>
  <c r="W222" i="1"/>
  <c r="W221" i="1"/>
  <c r="E184" i="1"/>
  <c r="E242" i="1" s="1"/>
  <c r="E137" i="1"/>
  <c r="E190" i="1"/>
  <c r="E222" i="1"/>
  <c r="E221" i="1"/>
  <c r="F221" i="1"/>
  <c r="E89" i="1"/>
  <c r="R169" i="1"/>
  <c r="R227" i="1" s="1"/>
  <c r="U88" i="1"/>
  <c r="U142" i="1" s="1"/>
  <c r="U196" i="1" s="1"/>
  <c r="U187" i="1"/>
  <c r="U149" i="1"/>
  <c r="U137" i="1"/>
  <c r="U136" i="1"/>
  <c r="E91" i="1"/>
  <c r="E173" i="1"/>
  <c r="E231" i="1" s="1"/>
  <c r="U174" i="1"/>
  <c r="U232" i="1" s="1"/>
  <c r="V69" i="1"/>
  <c r="C206" i="1"/>
  <c r="C150" i="1"/>
  <c r="T185" i="1"/>
  <c r="T243" i="1" s="1"/>
  <c r="T144" i="1"/>
  <c r="T198" i="1" s="1"/>
  <c r="T153" i="1"/>
  <c r="T210" i="1" s="1"/>
  <c r="T136" i="1"/>
  <c r="R88" i="1"/>
  <c r="R141" i="1" s="1"/>
  <c r="R195" i="1" s="1"/>
  <c r="Q220" i="1"/>
  <c r="Q164" i="1"/>
  <c r="U40" i="1"/>
  <c r="C224" i="1"/>
  <c r="C170" i="1"/>
  <c r="C228" i="1" s="1"/>
  <c r="S88" i="1"/>
  <c r="S142" i="1" s="1"/>
  <c r="S196" i="1" s="1"/>
  <c r="D222" i="1"/>
  <c r="D221" i="1"/>
  <c r="R137" i="1"/>
  <c r="V175" i="1"/>
  <c r="V233" i="1" s="1"/>
  <c r="O53" i="1"/>
  <c r="O55" i="1"/>
  <c r="T166" i="1"/>
  <c r="W224" i="1"/>
  <c r="W170" i="1"/>
  <c r="W228" i="1" s="1"/>
  <c r="D40" i="1"/>
  <c r="T88" i="1"/>
  <c r="T142" i="1" s="1"/>
  <c r="T196" i="1" s="1"/>
  <c r="V43" i="1"/>
  <c r="R220" i="1"/>
  <c r="R164" i="1"/>
  <c r="V29" i="1" l="1"/>
  <c r="V33" i="1"/>
  <c r="V32" i="1"/>
  <c r="C192" i="1"/>
  <c r="C155" i="1"/>
  <c r="Z46" i="1"/>
  <c r="Z45" i="1"/>
  <c r="V46" i="1"/>
  <c r="V45" i="1"/>
  <c r="C212" i="1"/>
  <c r="Z252" i="1"/>
  <c r="Z255" i="1" s="1"/>
  <c r="AC252" i="1"/>
  <c r="AB252" i="1"/>
  <c r="AA252" i="1"/>
  <c r="E261" i="1"/>
  <c r="E260" i="1"/>
  <c r="C254" i="1"/>
  <c r="C252" i="1"/>
  <c r="Z261" i="1"/>
  <c r="Z258" i="1"/>
  <c r="Z257" i="1"/>
  <c r="Z254" i="1"/>
  <c r="AP109" i="1"/>
  <c r="S263" i="1"/>
  <c r="T263" i="1"/>
  <c r="Q222" i="1"/>
  <c r="F258" i="1"/>
  <c r="F255" i="1"/>
  <c r="E258" i="1"/>
  <c r="E255" i="1"/>
  <c r="X221" i="1"/>
  <c r="F257" i="1"/>
  <c r="F254" i="1"/>
  <c r="R222" i="1"/>
  <c r="D257" i="1"/>
  <c r="D254" i="1"/>
  <c r="E257" i="1"/>
  <c r="E254" i="1"/>
  <c r="C255" i="1"/>
  <c r="D154" i="1"/>
  <c r="X89" i="1"/>
  <c r="AC90" i="1"/>
  <c r="AC141" i="1" s="1"/>
  <c r="AC195" i="1" s="1"/>
  <c r="Z171" i="1"/>
  <c r="Z229" i="1" s="1"/>
  <c r="Z90" i="1"/>
  <c r="Z141" i="1" s="1"/>
  <c r="Z195" i="1" s="1"/>
  <c r="AB90" i="1"/>
  <c r="AB141" i="1" s="1"/>
  <c r="AB195" i="1" s="1"/>
  <c r="V219" i="1"/>
  <c r="Z219" i="1"/>
  <c r="Z68" i="1"/>
  <c r="AB91" i="1" s="1"/>
  <c r="W30" i="1"/>
  <c r="AA90" i="1"/>
  <c r="AA141" i="1" s="1"/>
  <c r="AA195" i="1" s="1"/>
  <c r="V41" i="1"/>
  <c r="Y173" i="1"/>
  <c r="Y231" i="1" s="1"/>
  <c r="Y73" i="1"/>
  <c r="Y90" i="1"/>
  <c r="Y141" i="1" s="1"/>
  <c r="Y195" i="1" s="1"/>
  <c r="D155" i="1"/>
  <c r="Y89" i="1"/>
  <c r="W86" i="1"/>
  <c r="Y86" i="1"/>
  <c r="V90" i="1"/>
  <c r="X90" i="1"/>
  <c r="X141" i="1" s="1"/>
  <c r="X195" i="1" s="1"/>
  <c r="C1110" i="3"/>
  <c r="I1105" i="3" s="1"/>
  <c r="W134" i="1"/>
  <c r="W190" i="1" s="1"/>
  <c r="W133" i="1"/>
  <c r="W189" i="1" s="1"/>
  <c r="X74" i="1"/>
  <c r="X180" i="1" s="1"/>
  <c r="X238" i="1" s="1"/>
  <c r="X178" i="1"/>
  <c r="X236" i="1" s="1"/>
  <c r="V176" i="1"/>
  <c r="V234" i="1" s="1"/>
  <c r="X205" i="1"/>
  <c r="X207" i="1" s="1"/>
  <c r="X150" i="1"/>
  <c r="X86" i="1"/>
  <c r="E212" i="1"/>
  <c r="S154" i="1"/>
  <c r="S141" i="1"/>
  <c r="S195" i="1" s="1"/>
  <c r="R35" i="2"/>
  <c r="R40" i="1"/>
  <c r="U89" i="1"/>
  <c r="F192" i="1"/>
  <c r="F155" i="1"/>
  <c r="F193" i="1"/>
  <c r="F154" i="1"/>
  <c r="W90" i="1"/>
  <c r="W141" i="1" s="1"/>
  <c r="W195" i="1" s="1"/>
  <c r="D76" i="1"/>
  <c r="D181" i="1" s="1"/>
  <c r="D239" i="1" s="1"/>
  <c r="E211" i="1"/>
  <c r="R55" i="1"/>
  <c r="R53" i="1"/>
  <c r="U86" i="1"/>
  <c r="T86" i="1"/>
  <c r="S86" i="1"/>
  <c r="R192" i="1"/>
  <c r="R155" i="1"/>
  <c r="R142" i="1"/>
  <c r="R196" i="1" s="1"/>
  <c r="U220" i="1"/>
  <c r="U163" i="1"/>
  <c r="U164" i="1"/>
  <c r="F89" i="1"/>
  <c r="V177" i="1"/>
  <c r="V235" i="1" s="1"/>
  <c r="Q224" i="1"/>
  <c r="Q170" i="1"/>
  <c r="Q228" i="1" s="1"/>
  <c r="T141" i="1"/>
  <c r="T195" i="1" s="1"/>
  <c r="D30" i="1"/>
  <c r="D89" i="1"/>
  <c r="U206" i="1"/>
  <c r="U150" i="1"/>
  <c r="R173" i="1"/>
  <c r="R231" i="1" s="1"/>
  <c r="R73" i="1"/>
  <c r="S206" i="1"/>
  <c r="S150" i="1"/>
  <c r="S76" i="1"/>
  <c r="R91" i="1"/>
  <c r="R224" i="1"/>
  <c r="R170" i="1"/>
  <c r="R228" i="1" s="1"/>
  <c r="V162" i="1"/>
  <c r="Z163" i="1" s="1"/>
  <c r="V55" i="1"/>
  <c r="V61" i="1"/>
  <c r="V58" i="1"/>
  <c r="V57" i="1"/>
  <c r="U166" i="1"/>
  <c r="U65" i="1"/>
  <c r="U68" i="1" s="1"/>
  <c r="F180" i="1"/>
  <c r="F238" i="1" s="1"/>
  <c r="C89" i="1"/>
  <c r="C30" i="1"/>
  <c r="T224" i="1"/>
  <c r="T170" i="1"/>
  <c r="T228" i="1" s="1"/>
  <c r="W187" i="1"/>
  <c r="W142" i="1"/>
  <c r="W196" i="1" s="1"/>
  <c r="W149" i="1"/>
  <c r="W137" i="1"/>
  <c r="W136" i="1"/>
  <c r="T192" i="1"/>
  <c r="T155" i="1"/>
  <c r="C207" i="1"/>
  <c r="C211" i="1"/>
  <c r="E178" i="1"/>
  <c r="E236" i="1" s="1"/>
  <c r="E181" i="1"/>
  <c r="E239" i="1" s="1"/>
  <c r="U192" i="1"/>
  <c r="U155" i="1"/>
  <c r="T193" i="1"/>
  <c r="T154" i="1"/>
  <c r="W89" i="1"/>
  <c r="V40" i="1"/>
  <c r="E192" i="1"/>
  <c r="E155" i="1"/>
  <c r="T206" i="1"/>
  <c r="T212" i="1" s="1"/>
  <c r="T150" i="1"/>
  <c r="U30" i="1"/>
  <c r="V174" i="1"/>
  <c r="V232" i="1" s="1"/>
  <c r="U193" i="1"/>
  <c r="U154" i="1"/>
  <c r="U141" i="1"/>
  <c r="U195" i="1" s="1"/>
  <c r="T173" i="1"/>
  <c r="T231" i="1" s="1"/>
  <c r="R154" i="1"/>
  <c r="R193" i="1"/>
  <c r="E193" i="1"/>
  <c r="E154" i="1"/>
  <c r="S192" i="1"/>
  <c r="S155" i="1"/>
  <c r="T222" i="1"/>
  <c r="T221" i="1"/>
  <c r="O178" i="1"/>
  <c r="O236" i="1" s="1"/>
  <c r="O180" i="1"/>
  <c r="O238" i="1" s="1"/>
  <c r="R206" i="1"/>
  <c r="R150" i="1"/>
  <c r="V53" i="1"/>
  <c r="V52" i="1"/>
  <c r="V86" i="1"/>
  <c r="V87" i="1"/>
  <c r="Q173" i="1"/>
  <c r="Q231" i="1" s="1"/>
  <c r="T91" i="1"/>
  <c r="V171" i="1"/>
  <c r="V229" i="1" s="1"/>
  <c r="P178" i="1"/>
  <c r="P236" i="1" s="1"/>
  <c r="P180" i="1"/>
  <c r="P238" i="1" s="1"/>
  <c r="P181" i="1"/>
  <c r="P239" i="1" s="1"/>
  <c r="W178" i="1"/>
  <c r="W236" i="1" s="1"/>
  <c r="W180" i="1"/>
  <c r="W238" i="1" s="1"/>
  <c r="C178" i="1"/>
  <c r="C236" i="1" s="1"/>
  <c r="C180" i="1"/>
  <c r="C238" i="1" s="1"/>
  <c r="AP134" i="1" l="1"/>
  <c r="AP190" i="1" s="1"/>
  <c r="AP80" i="1"/>
  <c r="AC257" i="1"/>
  <c r="AC261" i="1"/>
  <c r="AC255" i="1"/>
  <c r="AC258" i="1"/>
  <c r="AC254" i="1"/>
  <c r="AB258" i="1"/>
  <c r="AB254" i="1"/>
  <c r="AB261" i="1"/>
  <c r="AB255" i="1"/>
  <c r="AB257" i="1"/>
  <c r="AA261" i="1"/>
  <c r="AA254" i="1"/>
  <c r="AA257" i="1"/>
  <c r="AA258" i="1"/>
  <c r="AA255" i="1"/>
  <c r="C257" i="1"/>
  <c r="C258" i="1"/>
  <c r="C260" i="1"/>
  <c r="C261" i="1"/>
  <c r="T252" i="1"/>
  <c r="R252" i="1"/>
  <c r="S252" i="1"/>
  <c r="AT118" i="1"/>
  <c r="AT120" i="1" s="1"/>
  <c r="C140" i="3" s="1"/>
  <c r="AT109" i="1"/>
  <c r="AT80" i="1" s="1"/>
  <c r="AC260" i="1"/>
  <c r="Z260" i="1"/>
  <c r="AB260" i="1"/>
  <c r="AA260" i="1"/>
  <c r="Y221" i="1"/>
  <c r="AP120" i="1"/>
  <c r="Z73" i="1"/>
  <c r="AC91" i="1"/>
  <c r="Z173" i="1"/>
  <c r="Z231" i="1" s="1"/>
  <c r="Z91" i="1"/>
  <c r="AA91" i="1"/>
  <c r="Y74" i="1"/>
  <c r="Y178" i="1"/>
  <c r="Y236" i="1" s="1"/>
  <c r="G1105" i="3"/>
  <c r="V133" i="1"/>
  <c r="V189" i="1" s="1"/>
  <c r="V134" i="1"/>
  <c r="V190" i="1" s="1"/>
  <c r="D1110" i="3"/>
  <c r="J1105" i="3" s="1"/>
  <c r="I1107" i="3"/>
  <c r="G1107" i="3"/>
  <c r="X76" i="1"/>
  <c r="X181" i="1" s="1"/>
  <c r="X239" i="1" s="1"/>
  <c r="U91" i="1"/>
  <c r="S181" i="1"/>
  <c r="S239" i="1" s="1"/>
  <c r="S77" i="1"/>
  <c r="T77" i="1" s="1"/>
  <c r="T89" i="1"/>
  <c r="R89" i="1"/>
  <c r="W76" i="1"/>
  <c r="S89" i="1"/>
  <c r="R30" i="1"/>
  <c r="W192" i="1"/>
  <c r="W155" i="1"/>
  <c r="W206" i="1"/>
  <c r="W150" i="1"/>
  <c r="V149" i="1"/>
  <c r="V141" i="1"/>
  <c r="V195" i="1" s="1"/>
  <c r="V187" i="1"/>
  <c r="V142" i="1"/>
  <c r="V196" i="1" s="1"/>
  <c r="V136" i="1"/>
  <c r="V137" i="1"/>
  <c r="U224" i="1"/>
  <c r="U170" i="1"/>
  <c r="U228" i="1" s="1"/>
  <c r="V166" i="1"/>
  <c r="V65" i="1"/>
  <c r="V68" i="1" s="1"/>
  <c r="R178" i="1"/>
  <c r="R236" i="1" s="1"/>
  <c r="U207" i="1"/>
  <c r="U211" i="1"/>
  <c r="U212" i="1"/>
  <c r="C76" i="1"/>
  <c r="Q181" i="1"/>
  <c r="Q239" i="1" s="1"/>
  <c r="Q178" i="1"/>
  <c r="Q236" i="1" s="1"/>
  <c r="Q180" i="1"/>
  <c r="Q238" i="1" s="1"/>
  <c r="R207" i="1"/>
  <c r="R211" i="1"/>
  <c r="R212" i="1"/>
  <c r="T178" i="1"/>
  <c r="T236" i="1" s="1"/>
  <c r="V30" i="1"/>
  <c r="T207" i="1"/>
  <c r="T211" i="1"/>
  <c r="E180" i="1"/>
  <c r="E238" i="1" s="1"/>
  <c r="W193" i="1"/>
  <c r="W154" i="1"/>
  <c r="U173" i="1"/>
  <c r="U231" i="1" s="1"/>
  <c r="U73" i="1"/>
  <c r="U74" i="1" s="1"/>
  <c r="V220" i="1"/>
  <c r="V164" i="1"/>
  <c r="V163" i="1"/>
  <c r="S207" i="1"/>
  <c r="S211" i="1"/>
  <c r="S212" i="1"/>
  <c r="U221" i="1"/>
  <c r="U222" i="1"/>
  <c r="V89" i="1"/>
  <c r="T258" i="1" l="1"/>
  <c r="T255" i="1"/>
  <c r="T260" i="1"/>
  <c r="T261" i="1"/>
  <c r="T257" i="1"/>
  <c r="T254" i="1"/>
  <c r="R255" i="1"/>
  <c r="R260" i="1"/>
  <c r="R261" i="1"/>
  <c r="R257" i="1"/>
  <c r="R254" i="1"/>
  <c r="R258" i="1"/>
  <c r="S254" i="1"/>
  <c r="S257" i="1"/>
  <c r="S261" i="1"/>
  <c r="S260" i="1"/>
  <c r="S258" i="1"/>
  <c r="S255" i="1"/>
  <c r="U252" i="1"/>
  <c r="AT169" i="1"/>
  <c r="AT227" i="1" s="1"/>
  <c r="AT88" i="1"/>
  <c r="AT134" i="1"/>
  <c r="AT190" i="1" s="1"/>
  <c r="AT151" i="1"/>
  <c r="AT208" i="1" s="1"/>
  <c r="AT211" i="1" s="1"/>
  <c r="AT124" i="1"/>
  <c r="AT128" i="1"/>
  <c r="C345" i="3"/>
  <c r="AP42" i="1"/>
  <c r="Z221" i="1"/>
  <c r="AP169" i="1"/>
  <c r="AP227" i="1" s="1"/>
  <c r="AP88" i="1"/>
  <c r="AP128" i="1"/>
  <c r="AP151" i="1"/>
  <c r="AP208" i="1" s="1"/>
  <c r="AP211" i="1" s="1"/>
  <c r="AP124" i="1"/>
  <c r="Y180" i="1"/>
  <c r="Y238" i="1" s="1"/>
  <c r="Z74" i="1"/>
  <c r="Z178" i="1"/>
  <c r="Z236" i="1" s="1"/>
  <c r="Y76" i="1"/>
  <c r="Y181" i="1" s="1"/>
  <c r="Y239" i="1" s="1"/>
  <c r="X91" i="1"/>
  <c r="Y91" i="1"/>
  <c r="H1107" i="3"/>
  <c r="J1107" i="3"/>
  <c r="H1105" i="3"/>
  <c r="W181" i="1"/>
  <c r="W239" i="1" s="1"/>
  <c r="W77" i="1"/>
  <c r="X77" i="1" s="1"/>
  <c r="C181" i="1"/>
  <c r="C239" i="1" s="1"/>
  <c r="C77" i="1"/>
  <c r="V221" i="1"/>
  <c r="V222" i="1"/>
  <c r="T180" i="1"/>
  <c r="T238" i="1" s="1"/>
  <c r="V192" i="1"/>
  <c r="V155" i="1"/>
  <c r="V173" i="1"/>
  <c r="V231" i="1" s="1"/>
  <c r="V73" i="1"/>
  <c r="V91" i="1"/>
  <c r="W91" i="1"/>
  <c r="W207" i="1"/>
  <c r="W211" i="1"/>
  <c r="W212" i="1"/>
  <c r="V170" i="1"/>
  <c r="V228" i="1" s="1"/>
  <c r="V224" i="1"/>
  <c r="Y252" i="1" s="1"/>
  <c r="U178" i="1"/>
  <c r="U236" i="1" s="1"/>
  <c r="U76" i="1"/>
  <c r="U77" i="1" s="1"/>
  <c r="R74" i="1"/>
  <c r="O181" i="1"/>
  <c r="O239" i="1" s="1"/>
  <c r="T181" i="1"/>
  <c r="T239" i="1" s="1"/>
  <c r="V154" i="1"/>
  <c r="V193" i="1"/>
  <c r="V206" i="1"/>
  <c r="V150" i="1"/>
  <c r="X252" i="1" l="1"/>
  <c r="X260" i="1" s="1"/>
  <c r="V252" i="1"/>
  <c r="V260" i="1" s="1"/>
  <c r="W252" i="1"/>
  <c r="W255" i="1" s="1"/>
  <c r="V258" i="1"/>
  <c r="V255" i="1"/>
  <c r="V254" i="1"/>
  <c r="W260" i="1"/>
  <c r="X258" i="1"/>
  <c r="U261" i="1"/>
  <c r="U260" i="1"/>
  <c r="U255" i="1"/>
  <c r="U258" i="1"/>
  <c r="U257" i="1"/>
  <c r="U254" i="1"/>
  <c r="AU261" i="1"/>
  <c r="AU260" i="1"/>
  <c r="Y260" i="1"/>
  <c r="Y261" i="1"/>
  <c r="Y257" i="1"/>
  <c r="Y255" i="1"/>
  <c r="Y254" i="1"/>
  <c r="Y258" i="1"/>
  <c r="AT142" i="1"/>
  <c r="AT196" i="1" s="1"/>
  <c r="AT141" i="1"/>
  <c r="AT195" i="1" s="1"/>
  <c r="AT184" i="1"/>
  <c r="AT242" i="1" s="1"/>
  <c r="AT137" i="1"/>
  <c r="AT261" i="1"/>
  <c r="AT260" i="1"/>
  <c r="AQ261" i="1"/>
  <c r="AR261" i="1"/>
  <c r="AP261" i="1"/>
  <c r="AS261" i="1"/>
  <c r="AQ260" i="1"/>
  <c r="AR260" i="1"/>
  <c r="AP260" i="1"/>
  <c r="AS260" i="1"/>
  <c r="AP137" i="1"/>
  <c r="AP184" i="1"/>
  <c r="AP242" i="1" s="1"/>
  <c r="AP26" i="1"/>
  <c r="AP142" i="1"/>
  <c r="AP196" i="1" s="1"/>
  <c r="AP141" i="1"/>
  <c r="AP195" i="1" s="1"/>
  <c r="Z76" i="1"/>
  <c r="Z181" i="1" s="1"/>
  <c r="Z239" i="1" s="1"/>
  <c r="Y77" i="1"/>
  <c r="Y182" i="1" s="1"/>
  <c r="Y240" i="1" s="1"/>
  <c r="Z180" i="1"/>
  <c r="Z238" i="1" s="1"/>
  <c r="X79" i="1"/>
  <c r="X182" i="1"/>
  <c r="X240" i="1" s="1"/>
  <c r="U181" i="1"/>
  <c r="U239" i="1" s="1"/>
  <c r="C182" i="1"/>
  <c r="C240" i="1" s="1"/>
  <c r="C79" i="1"/>
  <c r="D77" i="1"/>
  <c r="R180" i="1"/>
  <c r="R238" i="1" s="1"/>
  <c r="R76" i="1"/>
  <c r="R181" i="1" s="1"/>
  <c r="R239" i="1" s="1"/>
  <c r="U180" i="1"/>
  <c r="U238" i="1" s="1"/>
  <c r="V74" i="1"/>
  <c r="V207" i="1"/>
  <c r="V211" i="1"/>
  <c r="V212" i="1"/>
  <c r="O182" i="1"/>
  <c r="O240" i="1" s="1"/>
  <c r="O79" i="1"/>
  <c r="V178" i="1"/>
  <c r="V236" i="1" s="1"/>
  <c r="X261" i="1" l="1"/>
  <c r="W261" i="1"/>
  <c r="W254" i="1"/>
  <c r="W257" i="1"/>
  <c r="W258" i="1"/>
  <c r="X254" i="1"/>
  <c r="V261" i="1"/>
  <c r="X255" i="1"/>
  <c r="V257" i="1"/>
  <c r="X257" i="1"/>
  <c r="AT193" i="1"/>
  <c r="AT154" i="1"/>
  <c r="AT258" i="1"/>
  <c r="AT255" i="1"/>
  <c r="AT26" i="1"/>
  <c r="AT42" i="1"/>
  <c r="AP32" i="1"/>
  <c r="AP33" i="1"/>
  <c r="AP255" i="1"/>
  <c r="AP258" i="1"/>
  <c r="AP40" i="1"/>
  <c r="Y79" i="1"/>
  <c r="AP193" i="1"/>
  <c r="AP154" i="1"/>
  <c r="Z77" i="1"/>
  <c r="AA77" i="1" s="1"/>
  <c r="V76" i="1"/>
  <c r="V181" i="1" s="1"/>
  <c r="V239" i="1" s="1"/>
  <c r="D79" i="1"/>
  <c r="D182" i="1"/>
  <c r="D240" i="1" s="1"/>
  <c r="V180" i="1"/>
  <c r="V238" i="1" s="1"/>
  <c r="W182" i="1"/>
  <c r="W240" i="1" s="1"/>
  <c r="W79" i="1"/>
  <c r="P182" i="1"/>
  <c r="P240" i="1" s="1"/>
  <c r="P79" i="1"/>
  <c r="AT29" i="1" l="1"/>
  <c r="AT40" i="1"/>
  <c r="AT33" i="1"/>
  <c r="AT41" i="1"/>
  <c r="AT32" i="1"/>
  <c r="AP29" i="1"/>
  <c r="AS89" i="1" s="1"/>
  <c r="Z182" i="1"/>
  <c r="Z240" i="1" s="1"/>
  <c r="Z79" i="1"/>
  <c r="AB77" i="1"/>
  <c r="AA182" i="1"/>
  <c r="AA240" i="1" s="1"/>
  <c r="AA79" i="1"/>
  <c r="E182" i="1"/>
  <c r="E240" i="1" s="1"/>
  <c r="E79" i="1"/>
  <c r="Q182" i="1"/>
  <c r="Q240" i="1" s="1"/>
  <c r="R77" i="1"/>
  <c r="Q79" i="1"/>
  <c r="AU89" i="1" l="1"/>
  <c r="AT168" i="1"/>
  <c r="AT65" i="1"/>
  <c r="AT68" i="1" s="1"/>
  <c r="AT30" i="1"/>
  <c r="AT89" i="1"/>
  <c r="AQ89" i="1"/>
  <c r="AR89" i="1"/>
  <c r="AP41" i="1"/>
  <c r="AP30" i="1"/>
  <c r="AP89" i="1"/>
  <c r="AP175" i="1"/>
  <c r="AP233" i="1" s="1"/>
  <c r="AP168" i="1"/>
  <c r="AP65" i="1"/>
  <c r="AP68" i="1" s="1"/>
  <c r="AS91" i="1" s="1"/>
  <c r="AC77" i="1"/>
  <c r="AB182" i="1"/>
  <c r="AB240" i="1" s="1"/>
  <c r="AB79" i="1"/>
  <c r="S79" i="1"/>
  <c r="S182" i="1"/>
  <c r="S240" i="1" s="1"/>
  <c r="F182" i="1"/>
  <c r="F240" i="1" s="1"/>
  <c r="R182" i="1"/>
  <c r="R240" i="1" s="1"/>
  <c r="R79" i="1"/>
  <c r="C65" i="2"/>
  <c r="AT73" i="1" l="1"/>
  <c r="AU91" i="1"/>
  <c r="AT173" i="1"/>
  <c r="AT231" i="1" s="1"/>
  <c r="AT91" i="1"/>
  <c r="AT226" i="1"/>
  <c r="AT170" i="1"/>
  <c r="AT228" i="1" s="1"/>
  <c r="AQ91" i="1"/>
  <c r="AR91" i="1"/>
  <c r="AP226" i="1"/>
  <c r="AP170" i="1"/>
  <c r="AP228" i="1" s="1"/>
  <c r="AP173" i="1"/>
  <c r="AP231" i="1" s="1"/>
  <c r="AP73" i="1"/>
  <c r="AP91" i="1"/>
  <c r="AC79" i="1"/>
  <c r="AD77" i="1"/>
  <c r="AC182" i="1"/>
  <c r="AC240" i="1" s="1"/>
  <c r="T182" i="1"/>
  <c r="T240" i="1" s="1"/>
  <c r="T79" i="1"/>
  <c r="AT178" i="1" l="1"/>
  <c r="AT236" i="1" s="1"/>
  <c r="AT76" i="1"/>
  <c r="AT181" i="1" s="1"/>
  <c r="AT239" i="1" s="1"/>
  <c r="AP178" i="1"/>
  <c r="AP236" i="1" s="1"/>
  <c r="AP76" i="1"/>
  <c r="AP181" i="1" s="1"/>
  <c r="AP239" i="1" s="1"/>
  <c r="AE77" i="1"/>
  <c r="AD182" i="1"/>
  <c r="AD240" i="1" s="1"/>
  <c r="AD79" i="1"/>
  <c r="V77" i="1"/>
  <c r="U79" i="1"/>
  <c r="U182" i="1"/>
  <c r="U240" i="1" s="1"/>
  <c r="AT152" i="1" l="1"/>
  <c r="AT209" i="1" s="1"/>
  <c r="AT123" i="1"/>
  <c r="AT133" i="1"/>
  <c r="AT189" i="1" s="1"/>
  <c r="AP152" i="1"/>
  <c r="AP209" i="1" s="1"/>
  <c r="AP133" i="1"/>
  <c r="AP189" i="1" s="1"/>
  <c r="AP123" i="1"/>
  <c r="AF77" i="1"/>
  <c r="AE79" i="1"/>
  <c r="AE182" i="1"/>
  <c r="AE240" i="1" s="1"/>
  <c r="V79" i="1"/>
  <c r="V182" i="1"/>
  <c r="V240" i="1" s="1"/>
  <c r="AT185" i="1" l="1"/>
  <c r="AT243" i="1" s="1"/>
  <c r="AT136" i="1"/>
  <c r="AT153" i="1"/>
  <c r="AT210" i="1" s="1"/>
  <c r="AT212" i="1" s="1"/>
  <c r="AT144" i="1"/>
  <c r="AT198" i="1" s="1"/>
  <c r="AP153" i="1"/>
  <c r="AP210" i="1" s="1"/>
  <c r="AP212" i="1" s="1"/>
  <c r="AP144" i="1"/>
  <c r="AP185" i="1"/>
  <c r="AP243" i="1" s="1"/>
  <c r="AP136" i="1"/>
  <c r="AG77" i="1"/>
  <c r="AF182" i="1"/>
  <c r="AF240" i="1" s="1"/>
  <c r="AF79" i="1"/>
  <c r="AT155" i="1" l="1"/>
  <c r="AT192" i="1"/>
  <c r="AT263" i="1"/>
  <c r="AT254" i="1"/>
  <c r="AT257" i="1"/>
  <c r="AP263" i="1"/>
  <c r="AP257" i="1"/>
  <c r="AP254" i="1"/>
  <c r="AP198" i="1"/>
  <c r="AP192" i="1"/>
  <c r="AP155" i="1"/>
  <c r="AH77" i="1"/>
  <c r="AG79" i="1"/>
  <c r="AG182" i="1"/>
  <c r="AG240" i="1" s="1"/>
  <c r="AI77" i="1" l="1"/>
  <c r="AH182" i="1"/>
  <c r="AH240" i="1" s="1"/>
  <c r="AH79" i="1"/>
  <c r="C1000" i="3"/>
  <c r="C998" i="3"/>
  <c r="D998" i="3" s="1"/>
  <c r="D999" i="3" s="1"/>
  <c r="AI182" i="1" l="1"/>
  <c r="AI240" i="1" s="1"/>
  <c r="AJ77" i="1"/>
  <c r="AJ79" i="1" s="1"/>
  <c r="AI79" i="1"/>
  <c r="AJ182" i="1" l="1"/>
  <c r="AJ240" i="1" s="1"/>
  <c r="AK77" i="1"/>
  <c r="AL77" i="1" s="1"/>
  <c r="AK182" i="1" l="1"/>
  <c r="AK240" i="1" s="1"/>
  <c r="AK79" i="1"/>
  <c r="AM77" i="1"/>
  <c r="AL79" i="1"/>
  <c r="AL182" i="1"/>
  <c r="AL240" i="1" s="1"/>
  <c r="AM79" i="1" l="1"/>
  <c r="AM182" i="1"/>
  <c r="AM240" i="1" s="1"/>
  <c r="AN77" i="1"/>
  <c r="AO77" i="1" l="1"/>
  <c r="AN182" i="1"/>
  <c r="AN240" i="1" s="1"/>
  <c r="AN79" i="1"/>
  <c r="AP77" i="1" l="1"/>
  <c r="AO79" i="1"/>
  <c r="AO182" i="1"/>
  <c r="AO240" i="1" s="1"/>
  <c r="AQ77" i="1" l="1"/>
  <c r="AP79" i="1"/>
  <c r="AP182" i="1"/>
  <c r="AP240" i="1" s="1"/>
  <c r="AR77" i="1" l="1"/>
  <c r="AQ182" i="1"/>
  <c r="AQ240" i="1" s="1"/>
  <c r="AQ79" i="1"/>
  <c r="AS77" i="1" l="1"/>
  <c r="AT77" i="1" s="1"/>
  <c r="AU79" i="1"/>
  <c r="AU182" i="1"/>
  <c r="AU240" i="1" s="1"/>
  <c r="AR182" i="1"/>
  <c r="AR240" i="1" s="1"/>
  <c r="AR79" i="1"/>
  <c r="AS182" i="1" l="1"/>
  <c r="AS240" i="1" s="1"/>
  <c r="AS79" i="1"/>
  <c r="AT182" i="1"/>
  <c r="AT240" i="1" s="1"/>
  <c r="AT79" i="1"/>
  <c r="AT175" i="1" l="1"/>
  <c r="AT233" i="1" s="1"/>
  <c r="C24" i="3" l="1"/>
  <c r="K12" i="3" l="1"/>
  <c r="E21" i="3"/>
  <c r="D24" i="3"/>
  <c r="E19" i="3"/>
  <c r="F19" i="3" l="1"/>
  <c r="F21" i="3"/>
  <c r="M9" i="3"/>
  <c r="M11" i="3"/>
  <c r="L12" i="3"/>
  <c r="N9" i="3" l="1"/>
  <c r="N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Kshitij Manish Garg</author>
    <author>GR&amp;RS</author>
    <author>Roshni Arunkumar</author>
  </authors>
  <commentList>
    <comment ref="K7" authorId="0" shapeId="0" xr:uid="{ED820265-AB95-4BCE-8850-A44EBB32F5E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excluding leases FS: pg 40/122</t>
        </r>
      </text>
    </comment>
    <comment ref="K15" authorId="0" shapeId="0" xr:uid="{2A7640DA-C46F-4C8E-B1D5-DCCDE83C786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
</t>
        </r>
      </text>
    </comment>
    <comment ref="K16" authorId="0" shapeId="0" xr:uid="{285836FC-E343-4CD0-A618-00D342AD1D3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Companny excludes lease liabilities and perpetuals</t>
        </r>
      </text>
    </comment>
    <comment ref="K17" authorId="0" shapeId="0" xr:uid="{89E0ADF1-68CE-443F-8286-B9604DC8467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Companny excludes lease liabilities and perpetuals</t>
        </r>
      </text>
    </comment>
    <comment ref="C18" authorId="1" shapeId="0" xr:uid="{B97BDA72-65DA-4FFD-AECF-108BCA1C325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B35" authorId="0" shapeId="0" xr:uid="{CFF2CBF4-3270-4F79-898D-610B000D055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K64" authorId="0" shapeId="0" xr:uid="{927A13DB-074D-45AE-9BA8-DF008E1F22D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excluding leases</t>
        </r>
      </text>
    </comment>
    <comment ref="K72" authorId="0" shapeId="0" xr:uid="{3FBEC46D-109E-4099-952C-B2B3A3DE1EC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
</t>
        </r>
      </text>
    </comment>
    <comment ref="K73" authorId="0" shapeId="0" xr:uid="{8DF3C909-5626-4805-8B46-074D8BA668F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Companny excludes lease liabilities and perpetuals</t>
        </r>
      </text>
    </comment>
    <comment ref="K74" authorId="0" shapeId="0" xr:uid="{4A45B303-80E1-45A6-A166-8062C4B75EF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Companny excludes lease liabilities and perpetuals</t>
        </r>
      </text>
    </comment>
    <comment ref="C75" authorId="1" shapeId="0" xr:uid="{41EA0CD0-F092-47B9-97C0-0B2E06C6DBA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B92" authorId="0" shapeId="0" xr:uid="{5729C8FD-7C9D-4FD5-B716-41153F0E0FD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K122" authorId="0" shapeId="0" xr:uid="{4BCCFD09-C0CE-42E5-83BB-29012577684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excluding leases</t>
        </r>
      </text>
    </comment>
    <comment ref="K129" authorId="0" shapeId="0" xr:uid="{E980DD4B-A4CB-478D-AC2D-60E0717BE56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PR
</t>
        </r>
      </text>
    </comment>
    <comment ref="K130" authorId="0" shapeId="0" xr:uid="{66243C08-BFD3-4D09-B7D9-2D115C6D7F6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Companny excludes lease liabilities and perpetuals</t>
        </r>
      </text>
    </comment>
    <comment ref="K131" authorId="0" shapeId="0" xr:uid="{70968BA3-02A1-40CB-9420-4D222B4CC41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Companny excludes lease liabilities and perpetuals</t>
        </r>
      </text>
    </comment>
    <comment ref="C133" authorId="1" shapeId="0" xr:uid="{A1F87F52-2CBA-48E5-B448-B5767707793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B149" authorId="0" shapeId="0" xr:uid="{D7F0D2F2-7A28-4DA0-9CA5-E341A6AC890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K186" authorId="0" shapeId="0" xr:uid="{0C6FFE45-DA4E-45B1-AA0D-796107FCE56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K187" authorId="0" shapeId="0" xr:uid="{506FD07A-FC91-4D87-A844-11D58386F2F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Companny excludes lease liabilities and perpetuals</t>
        </r>
      </text>
    </comment>
    <comment ref="K188" authorId="0" shapeId="0" xr:uid="{B9920C12-8AC2-4285-A8D2-9276F4949B0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Companny excludes lease liabilities and perpetuals</t>
        </r>
      </text>
    </comment>
    <comment ref="C189" authorId="1" shapeId="0" xr:uid="{ED3D7C57-F46B-4D39-A613-31EBFF1687C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K241" authorId="0" shapeId="0" xr:uid="{331442FF-7BD0-4603-9949-60009D33E6F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Companny excludes lease liabilities and perpetuals</t>
        </r>
      </text>
    </comment>
    <comment ref="K242" authorId="0" shapeId="0" xr:uid="{A64CE868-800D-4C73-9B38-A11343201F4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Companny excludes lease liabilities and perpetuals</t>
        </r>
      </text>
    </comment>
    <comment ref="C243" authorId="1" shapeId="0" xr:uid="{4F0721C8-EE7D-4E99-AABA-DAFA6C4DE4DE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K292" authorId="0" shapeId="0" xr:uid="{3E743EDE-463D-4832-A99C-85BA77BB3AA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Companny excludes lease liabilities and perpetuals</t>
        </r>
      </text>
    </comment>
    <comment ref="C293" authorId="1" shapeId="0" xr:uid="{64A95B91-E1CC-43E2-9098-98A266ACB1C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K293" authorId="0" shapeId="0" xr:uid="{D6ACCF71-90A3-4813-BF26-079B2200C1A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Companny excludes lease liabilities and perpetuals</t>
        </r>
      </text>
    </comment>
    <comment ref="K337" authorId="0" shapeId="0" xr:uid="{EEDFB904-C938-4EDB-9041-3FC25596DB4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Companny excludes lease liabilities and perpetuals</t>
        </r>
      </text>
    </comment>
    <comment ref="C338" authorId="1" shapeId="0" xr:uid="{29E64EA2-73B9-425B-9096-F016E0941B2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K338" authorId="0" shapeId="0" xr:uid="{664FF6D5-0B53-42A2-979F-CDB71162B24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Companny excludes lease liabilities and perpetuals</t>
        </r>
      </text>
    </comment>
    <comment ref="C383" authorId="1" shapeId="0" xr:uid="{B1D0B911-DE24-4718-B454-011539FD4E6C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C428" authorId="1" shapeId="0" xr:uid="{73EBD27C-0B98-4F6F-94BF-3F9463C2D59C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C473" authorId="1" shapeId="0" xr:uid="{9EA4EFF2-C7CA-4AE1-8D87-68FD7D0F012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C518" authorId="1" shapeId="0" xr:uid="{F1DA3322-C076-470B-A819-EB9A451340C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C563" authorId="1" shapeId="0" xr:uid="{4505031C-F01C-4BEE-AE29-3CBDFCC18B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C609" authorId="1" shapeId="0" xr:uid="{CF6BDACE-C470-48D2-B62F-236B886F72D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C655" authorId="1" shapeId="0" xr:uid="{9CDC78CC-5024-4577-872D-3AA4F213110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C701" authorId="1" shapeId="0" xr:uid="{C68823B4-CC8A-4BDD-8C57-E6DB69CB163C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C747" authorId="1" shapeId="0" xr:uid="{8CA864BB-6EF9-4A92-99E3-43B2A0AE38E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C793" authorId="1" shapeId="0" xr:uid="{6F641F4B-3D5D-4192-BF7A-9E3942DF391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L830" authorId="2" shapeId="0" xr:uid="{00000000-0006-0000-0000-000002000000}">
      <text>
        <r>
          <rPr>
            <b/>
            <sz val="9"/>
            <color indexed="81"/>
            <rFont val="Tahoma"/>
            <family val="2"/>
          </rPr>
          <t>GR&amp;RS:</t>
        </r>
        <r>
          <rPr>
            <sz val="9"/>
            <color indexed="81"/>
            <rFont val="Tahoma"/>
            <family val="2"/>
          </rPr>
          <t xml:space="preserve">
Source: Bloomberg</t>
        </r>
      </text>
    </comment>
    <comment ref="C1041" authorId="3" shapeId="0" xr:uid="{00000000-0006-0000-0000-000003000000}">
      <text>
        <r>
          <rPr>
            <sz val="9"/>
            <color indexed="81"/>
            <rFont val="Tahoma"/>
            <family val="2"/>
          </rPr>
          <t>Principal amount before debt issuance costs.</t>
        </r>
      </text>
    </comment>
    <comment ref="C1084" authorId="3" shapeId="0" xr:uid="{00000000-0006-0000-0000-000004000000}">
      <text>
        <r>
          <rPr>
            <sz val="9"/>
            <color indexed="81"/>
            <rFont val="Tahoma"/>
            <family val="2"/>
          </rPr>
          <t>Principal amount before debt issuance costs.</t>
        </r>
      </text>
    </comment>
    <comment ref="C1130" authorId="3" shapeId="0" xr:uid="{00000000-0006-0000-0000-000005000000}">
      <text>
        <r>
          <rPr>
            <sz val="9"/>
            <color indexed="81"/>
            <rFont val="Tahoma"/>
            <family val="2"/>
          </rPr>
          <t>Principal amount before debt issuance costs.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 GR&amp;RS</author>
    <author>Vandana Shivani</author>
    <author>Vivek Panchal</author>
    <author>Meghana Ramesh Gollapudi</author>
    <author>Anvin Varghese</author>
    <author>Onabule, Yejide</author>
    <author>CRISIL</author>
    <author>Roshni Arunkumar</author>
    <author>CRISIL GR&amp;A</author>
    <author>PradeepG</author>
  </authors>
  <commentList>
    <comment ref="AE13" authorId="0" shapeId="0" xr:uid="{ED347FD1-D6AD-4754-A885-679C82F0538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Notes</t>
        </r>
      </text>
    </comment>
    <comment ref="AE17" authorId="0" shapeId="0" xr:uid="{0CCCFE64-6C16-410D-B02D-3501BE073824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Without incl Gain on sale of controlling interest on data center business</t>
        </r>
      </text>
    </comment>
    <comment ref="AI17" authorId="0" shapeId="0" xr:uid="{BA90CA24-68BB-4110-99F1-7AFABDE941D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Without incl Gain on sale of controlling interest on data center business</t>
        </r>
      </text>
    </comment>
    <comment ref="AM17" authorId="0" shapeId="0" xr:uid="{8F938EE6-C692-435C-A212-E1119552FBD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Without incl Gain on sale of controlling interest on data center business</t>
        </r>
      </text>
    </comment>
    <comment ref="H18" authorId="1" shapeId="0" xr:uid="{AD298029-191B-4875-ACB9-78AC5B8D1AF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I18" authorId="1" shapeId="0" xr:uid="{F154BE20-E26F-453D-9057-F9CDE988607C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AG18" authorId="2" shapeId="0" xr:uid="{0570677B-5716-47FD-8832-CC22579E9F5F}">
      <text>
        <r>
          <rPr>
            <b/>
            <sz val="9"/>
            <color indexed="81"/>
            <rFont val="Tahoma"/>
            <family val="2"/>
          </rPr>
          <t>Restated</t>
        </r>
      </text>
    </comment>
    <comment ref="B19" authorId="3" shapeId="0" xr:uid="{00000000-0006-0000-0100-000001000000}">
      <text>
        <r>
          <rPr>
            <sz val="9"/>
            <color indexed="81"/>
            <rFont val="Tahoma"/>
            <family val="2"/>
          </rPr>
          <t xml:space="preserve">less rent
</t>
        </r>
      </text>
    </comment>
    <comment ref="H19" authorId="1" shapeId="0" xr:uid="{0F642E1A-6A10-4035-9BB0-652DC13A2A3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I19" authorId="1" shapeId="0" xr:uid="{A50F8469-FD52-4A98-B37D-7DFB62878BF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AG19" authorId="2" shapeId="0" xr:uid="{46DB2C89-6B63-4874-8C97-6F8ECE557CC5}">
      <text>
        <r>
          <rPr>
            <b/>
            <sz val="9"/>
            <color indexed="81"/>
            <rFont val="Tahoma"/>
            <family val="2"/>
          </rPr>
          <t>Restated</t>
        </r>
      </text>
    </comment>
    <comment ref="AG27" authorId="2" shapeId="0" xr:uid="{7C5C892D-077B-4948-84D2-415BE40E9470}">
      <text>
        <r>
          <rPr>
            <b/>
            <sz val="9"/>
            <color indexed="81"/>
            <rFont val="Tahoma"/>
            <family val="2"/>
          </rPr>
          <t>Restated</t>
        </r>
      </text>
    </comment>
    <comment ref="AK27" authorId="0" shapeId="0" xr:uid="{007C1361-2F68-4CDB-877A-296FA571840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PROVISIONS FOR INCOME TAX</t>
        </r>
      </text>
    </comment>
    <comment ref="P29" authorId="4" shapeId="0" xr:uid="{00000000-0006-0000-0100-000002000000}">
      <text>
        <r>
          <rPr>
            <sz val="9"/>
            <color indexed="81"/>
            <rFont val="Tahoma"/>
            <family val="2"/>
          </rPr>
          <t>Mismatch due to error in company reporting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56" authorId="5" shapeId="0" xr:uid="{00000000-0006-0000-0100-000003000000}">
      <text>
        <r>
          <rPr>
            <sz val="9"/>
            <color indexed="81"/>
            <rFont val="Tahoma"/>
            <family val="2"/>
          </rPr>
          <t xml:space="preserve"> EBITDA reported by the  company
</t>
        </r>
      </text>
    </comment>
    <comment ref="B62" authorId="6" shapeId="0" xr:uid="{6FCDB061-B266-43BA-B242-D40E0676E84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Reported by company: Changes in operating assets and liabilities (working capital changes) which includes:
* Trade receivables
* Inventories and supplies
* Contract assets
* Prepayments and other current assets
* Other noncurrent assets
* Trade payables and accrued expenses
* Other long-term liabilities
* Deferred revenues</t>
        </r>
      </text>
    </comment>
    <comment ref="I62" authorId="1" shapeId="0" xr:uid="{CCB60754-5A28-4E6C-B614-8878646502B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I63" authorId="1" shapeId="0" xr:uid="{EE4641A5-D245-45DE-A36D-97DA244D933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AU67" authorId="6" shapeId="0" xr:uid="{7E26D4ED-4B9F-4051-847D-09733579423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Net cash outflow from deconsolidation of subsidiary</t>
        </r>
      </text>
    </comment>
    <comment ref="I69" authorId="1" shapeId="0" xr:uid="{D4DB5DF2-690A-4DBD-86F3-58B2C10EC08E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J69" authorId="0" shapeId="0" xr:uid="{15B2A0EC-2F1F-4862-8F2A-78485F4E244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includes Proceeds from sale and leaseback of telecom towers - 30,005,000</t>
        </r>
      </text>
    </comment>
    <comment ref="K69" authorId="0" shapeId="0" xr:uid="{2CF59020-811B-4B76-AD26-49AF4703A61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includes Proceeds from sale and leaseback of telecom towers - 27,821,162</t>
        </r>
      </text>
    </comment>
    <comment ref="L69" authorId="0" shapeId="0" xr:uid="{AE23EC4B-4D0F-440F-BB87-D512974F047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FY includes:
* Intangible assets: (97.942)
* Proceeds from sale and leaseback of telecom towers - net: 3,222.201
* Collections of loans receivable from related parties: 3,023.935
* Interest received: 747.897
* Dividends received: 654.500
* Proceeds from redemption of investments: 600.000
* Proceeds from sale of investments: 200.595</t>
        </r>
      </text>
    </comment>
    <comment ref="AR69" authorId="6" shapeId="0" xr:uid="{E1821C54-D1C1-43F3-BB26-84CA38F6AD4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 
1. Intangible assets: 10.966
2. Proceeds from sale and leaseback of telecom towers - net: 2,002.147
3. Proceeds from sale of investments: 200.595
4. Interest received: 306.440
5. Dividends received: 308.000</t>
        </r>
      </text>
    </comment>
    <comment ref="AS69" authorId="6" shapeId="0" xr:uid="{415C71F7-334D-45EF-877F-F0FB2E33E81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9M Includes: 
1. Intangible assets: (18.496)
2. Proceeds from sale and leaseback of telecom towers - net: 3,177.259
3. Proceeds from sale of investments: 200.595
4. Interest received: 457.705
5. Dividends received: 654.500
6. Proceeds from redemption of investments: 600.000
7. Collections of loans receivable from related parties: 476.000</t>
        </r>
      </text>
    </comment>
    <comment ref="AU69" authorId="6" shapeId="0" xr:uid="{5A887D85-FB12-4B19-8071-5DCEE5F81E9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3M Includes:
* Investment in joint venture and associate: (101.880) 
* Intangible assets: (22.937)
* Interest received: 158.971
</t>
        </r>
      </text>
    </comment>
    <comment ref="L70" authorId="6" shapeId="0" xr:uid="{9FB0AF50-D6F9-4970-8C4F-9A99E847A61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dividends</t>
        </r>
      </text>
    </comment>
    <comment ref="AU70" authorId="6" shapeId="0" xr:uid="{5122FD7B-0E93-4150-9734-5B90C1A1FB4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3M includes:
* Payments of dividends to common stockholders: (3,611.712)
* Proceeds from the reissuance of treasury shares: 24,837.406</t>
        </r>
      </text>
    </comment>
    <comment ref="I74" authorId="0" shapeId="0" xr:uid="{631073D1-A592-4402-85DA-0E978EAC0CF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Due to Gain on sale of controlling interest on data center business</t>
        </r>
      </text>
    </comment>
    <comment ref="K74" authorId="6" shapeId="0" xr:uid="{ED5C8879-794B-4191-90FD-0B5D9009913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Difference is due to reported cash flow and calculated cash flow from operating activites.</t>
        </r>
      </text>
    </comment>
    <comment ref="L74" authorId="6" shapeId="0" xr:uid="{0CB4444B-CFBF-4AAF-9A41-194C7062226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instead of PBT to calculate CFO, and other adjustments apart from working capital, majorly:
* Equity share in net (income) in joint ventures: (6,392.043)
* Foreign exchange losses (gains) – net: 369.803
* Loss (gain) on derivative instruments: (772.855)
* Pension expense: 947.838
* Share-based compensation: 467.704
* Gain on deemed sale of Investment in Mynt: (2,560.357)
* Gain on sale and leaseback of telecom towers - net: (380.717)
* Gain on disposal of property and equipment: (283.559)
* Gain on sale of investments: (21.093)</t>
        </r>
      </text>
    </comment>
    <comment ref="AQ74" authorId="6" shapeId="0" xr:uid="{735C2836-2754-4D38-9D03-4BAEC326662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1 time cash from assets held for sale</t>
        </r>
      </text>
    </comment>
    <comment ref="AR74" authorId="6" shapeId="0" xr:uid="{99795538-9909-4F93-A7EF-3CC2D6A9248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1 time cash from assets held for sale</t>
        </r>
      </text>
    </comment>
    <comment ref="AS74" authorId="6" shapeId="0" xr:uid="{0DCB78F2-8AE8-428A-AA87-F5A3EEF6F90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1 time cash from assets held for sale</t>
        </r>
      </text>
    </comment>
    <comment ref="AU74" authorId="6" shapeId="0" xr:uid="{9283EC08-EADE-4B6B-818F-59728BF4CAB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instead of PBT to calculate CFO and other adjustments apart from working capital, majorly:
* Impairment and other losses: 791.380
* Equity share in net income of joint ventures and associate: (1,950.344)
* Foreign exchange losses (gains) – net: 2,010.008
* (Gain) Loss on derivative instruments –net: (2,837.058)</t>
        </r>
      </text>
    </comment>
    <comment ref="L77" authorId="6" shapeId="0" xr:uid="{6AA13751-D76F-42B0-81E2-C8D1735C2E2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Adjusted with "Cash And Cash Equivalents Reclassified To Assets Held-For-Sale": (529.762)</t>
        </r>
      </text>
    </comment>
    <comment ref="AT77" authorId="6" shapeId="0" xr:uid="{5FA148B2-BE21-4FB1-8D34-0BD39295AAC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Adjusted with "Cash And Cash Equivalents Reclassified To Assets Held-For-Sale": (529.762)</t>
        </r>
      </text>
    </comment>
    <comment ref="AU77" authorId="6" shapeId="0" xr:uid="{D388D77E-84FB-42A4-BD74-6664FE98BFF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Hardcoded cash and cash equivalents at the beginning of year as there is a difference between opening of current year and closing of previous year</t>
        </r>
      </text>
    </comment>
    <comment ref="B95" authorId="6" shapeId="0" xr:uid="{4EEB8CF5-2158-4DB5-A253-08F3DC3F630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Property and equipment – net
* Right of use assets – net </t>
        </r>
      </text>
    </comment>
    <comment ref="F95" authorId="7" shapeId="0" xr:uid="{00000000-0006-0000-0100-000004000000}">
      <text>
        <r>
          <rPr>
            <b/>
            <sz val="9"/>
            <color indexed="81"/>
            <rFont val="Tahoma"/>
            <family val="2"/>
          </rPr>
          <t>Includes right of use assets</t>
        </r>
      </text>
    </comment>
    <comment ref="G95" authorId="7" shapeId="0" xr:uid="{00000000-0006-0000-0100-000005000000}">
      <text>
        <r>
          <rPr>
            <b/>
            <sz val="9"/>
            <color indexed="81"/>
            <rFont val="Tahoma"/>
            <family val="2"/>
          </rPr>
          <t>Includes right of use assets</t>
        </r>
      </text>
    </comment>
    <comment ref="H95" authorId="7" shapeId="0" xr:uid="{00000000-0006-0000-0100-000006000000}">
      <text>
        <r>
          <rPr>
            <b/>
            <sz val="9"/>
            <color indexed="81"/>
            <rFont val="Tahoma"/>
            <family val="2"/>
          </rPr>
          <t>Includes right of use assets</t>
        </r>
      </text>
    </comment>
    <comment ref="I95" authorId="7" shapeId="0" xr:uid="{B5800B70-37FB-48D5-804D-71ACB62CD805}">
      <text>
        <r>
          <rPr>
            <b/>
            <sz val="9"/>
            <color indexed="81"/>
            <rFont val="Tahoma"/>
            <family val="2"/>
          </rPr>
          <t>Includes right of use assets</t>
        </r>
      </text>
    </comment>
    <comment ref="AK119" authorId="2" shapeId="0" xr:uid="{68EEEBCB-3719-41E2-AA04-6B28F91EB4B3}">
      <text>
        <r>
          <rPr>
            <b/>
            <sz val="9"/>
            <color indexed="81"/>
            <rFont val="Tahoma"/>
            <family val="2"/>
          </rPr>
          <t>BBG</t>
        </r>
      </text>
    </comment>
    <comment ref="AO119" authorId="2" shapeId="0" xr:uid="{15C7087E-57DD-4FC9-BDA7-3F7AEDEB9121}">
      <text>
        <r>
          <rPr>
            <b/>
            <sz val="9"/>
            <color indexed="81"/>
            <rFont val="Tahoma"/>
            <family val="2"/>
          </rPr>
          <t>BBG</t>
        </r>
      </text>
    </comment>
    <comment ref="AP119" authorId="2" shapeId="0" xr:uid="{7514B265-1F49-4DCE-B689-1353D3387C89}">
      <text>
        <r>
          <rPr>
            <b/>
            <sz val="9"/>
            <color indexed="81"/>
            <rFont val="Tahoma"/>
            <family val="2"/>
          </rPr>
          <t>BBG</t>
        </r>
      </text>
    </comment>
    <comment ref="AR119" authorId="2" shapeId="0" xr:uid="{02E1086F-D5F2-4134-A169-8BD476D87526}">
      <text>
        <r>
          <rPr>
            <b/>
            <sz val="9"/>
            <color indexed="81"/>
            <rFont val="Tahoma"/>
            <family val="2"/>
          </rPr>
          <t>BBG</t>
        </r>
      </text>
    </comment>
    <comment ref="AS119" authorId="2" shapeId="0" xr:uid="{66C5FC8C-E872-4EEC-A708-834FA4783242}">
      <text>
        <r>
          <rPr>
            <b/>
            <sz val="9"/>
            <color indexed="81"/>
            <rFont val="Tahoma"/>
            <family val="2"/>
          </rPr>
          <t>BBG</t>
        </r>
      </text>
    </comment>
    <comment ref="AT119" authorId="2" shapeId="0" xr:uid="{349C96E5-56E8-44F6-9CD3-0FD6AEC03488}">
      <text>
        <r>
          <rPr>
            <b/>
            <sz val="9"/>
            <color indexed="81"/>
            <rFont val="Tahoma"/>
            <family val="2"/>
          </rPr>
          <t>BBG</t>
        </r>
      </text>
    </comment>
    <comment ref="AU119" authorId="2" shapeId="0" xr:uid="{5EBDD709-82E4-4594-929F-A030E10EF903}">
      <text>
        <r>
          <rPr>
            <b/>
            <sz val="9"/>
            <color indexed="81"/>
            <rFont val="Tahoma"/>
            <family val="2"/>
          </rPr>
          <t>BBG</t>
        </r>
      </text>
    </comment>
    <comment ref="H201" authorId="8" shapeId="0" xr:uid="{00000000-0006-0000-0100-000015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xe</t>
        </r>
      </text>
    </comment>
    <comment ref="AF201" authorId="9" shapeId="0" xr:uid="{00000000-0006-0000-0100-000016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xe.com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CRISIL GR&amp;RS</author>
    <author>Vandana Shivani</author>
  </authors>
  <commentList>
    <comment ref="L9" authorId="0" shapeId="0" xr:uid="{52B58CE5-8AA6-470F-83E6-5E8545CB910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AS9" authorId="0" shapeId="0" xr:uid="{5A228353-0478-4BB6-BB3A-FE523EC0124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AU9" authorId="0" shapeId="0" xr:uid="{CCCD57BB-6CE5-49B2-95E6-9A2F7FAF474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AV9" authorId="0" shapeId="0" xr:uid="{376E52BF-C98D-40DD-8E8E-066403E86E4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AB29" authorId="1" shapeId="0" xr:uid="{145912A4-533E-4D2F-818E-DFAE396E165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Difference in company reported numbers</t>
        </r>
      </text>
    </comment>
    <comment ref="AD29" authorId="1" shapeId="0" xr:uid="{A1EBAAE3-E073-4E01-9B11-9FADBC3D5B7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Difference in company reported numbers</t>
        </r>
      </text>
    </comment>
    <comment ref="AJ42" authorId="0" shapeId="0" xr:uid="{FC980E07-0761-4F92-AE27-38ED7943ADA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rounding error</t>
        </r>
      </text>
    </comment>
    <comment ref="AN42" authorId="0" shapeId="0" xr:uid="{008F11B0-8F28-493C-BAB7-EF8C71B1E8B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rounding error</t>
        </r>
      </text>
    </comment>
    <comment ref="L51" authorId="0" shapeId="0" xr:uid="{3CD9E777-7BC8-4EC0-81E4-46B0C67D777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PR</t>
        </r>
      </text>
    </comment>
    <comment ref="AU51" authorId="0" shapeId="0" xr:uid="{A18115C1-57C0-4ED8-8F4E-9AC7D6E2A19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AV51" authorId="0" shapeId="0" xr:uid="{0FF3352D-C7F2-46BD-9543-46A6E9936FA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I63" authorId="2" shapeId="0" xr:uid="{68B591AF-A66E-4FE8-9CC9-4E1FD339E869}">
      <text>
        <r>
          <rPr>
            <b/>
            <sz val="9"/>
            <color indexed="81"/>
            <rFont val="Tahoma"/>
            <family val="2"/>
          </rPr>
          <t xml:space="preserve">Crisil Gr&amp;RS: </t>
        </r>
        <r>
          <rPr>
            <sz val="9"/>
            <color indexed="81"/>
            <rFont val="Tahoma"/>
            <family val="2"/>
          </rPr>
          <t xml:space="preserve">Updated based on recent fillings
</t>
        </r>
      </text>
    </comment>
    <comment ref="I64" authorId="2" shapeId="0" xr:uid="{2C35F289-2B49-4F19-BA11-3956DBCE94A7}">
      <text>
        <r>
          <rPr>
            <b/>
            <sz val="9"/>
            <color indexed="81"/>
            <rFont val="Tahoma"/>
            <family val="2"/>
          </rPr>
          <t xml:space="preserve">Crisil Gr&amp;RS: </t>
        </r>
        <r>
          <rPr>
            <sz val="9"/>
            <color indexed="81"/>
            <rFont val="Tahoma"/>
            <family val="2"/>
          </rPr>
          <t xml:space="preserve">Updated based on recent fillings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</authors>
  <commentList>
    <comment ref="B8" authorId="0" shapeId="0" xr:uid="{4DBFCF16-6556-460C-83BD-D2944358A11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Reconcilation disclosed only on annual basis</t>
        </r>
      </text>
    </comment>
  </commentList>
</comments>
</file>

<file path=xl/sharedStrings.xml><?xml version="1.0" encoding="utf-8"?>
<sst xmlns="http://schemas.openxmlformats.org/spreadsheetml/2006/main" count="1806" uniqueCount="467">
  <si>
    <t>2Q26</t>
  </si>
  <si>
    <t>Exchange rate as at end</t>
  </si>
  <si>
    <t xml:space="preserve">LTM Average exchange rate </t>
  </si>
  <si>
    <t>Debt Breakdown as on 30-Jun-2026</t>
  </si>
  <si>
    <t>Php (in million)</t>
  </si>
  <si>
    <t>USD (mn)</t>
  </si>
  <si>
    <t>Leverage (PHP)</t>
  </si>
  <si>
    <t>Leverage (USD)</t>
  </si>
  <si>
    <t>Term Loans:</t>
  </si>
  <si>
    <t>Total debt (company reported)</t>
  </si>
  <si>
    <t>Peso</t>
  </si>
  <si>
    <t>Perpetuals</t>
  </si>
  <si>
    <t>Dollar</t>
  </si>
  <si>
    <t>Total Debt (including perpetuals)</t>
  </si>
  <si>
    <t>Yen</t>
  </si>
  <si>
    <t>Cash and Short-Term Investments</t>
  </si>
  <si>
    <t>Retail bonds</t>
  </si>
  <si>
    <t xml:space="preserve">Net debt </t>
  </si>
  <si>
    <t>LTM Adjusted EBITDA</t>
  </si>
  <si>
    <t>Total Debt (excluding lease liabilities)</t>
  </si>
  <si>
    <t>Current portion of lease liabilities</t>
  </si>
  <si>
    <t>Company reported</t>
  </si>
  <si>
    <t>Non-current portion of lease liabilities</t>
  </si>
  <si>
    <t>Gross debt to EBITDA</t>
  </si>
  <si>
    <t>Total Debt (including lease liabilities)</t>
  </si>
  <si>
    <t>Net debt to EBITDA</t>
  </si>
  <si>
    <t>Total debt (including perpetuals &amp; lease liabilities)</t>
  </si>
  <si>
    <t>Equity</t>
  </si>
  <si>
    <t xml:space="preserve">Total Capitalisation </t>
  </si>
  <si>
    <t>check</t>
  </si>
  <si>
    <t>Liquidity Table at end-2Q26</t>
  </si>
  <si>
    <t>Cash on hand and in banks</t>
  </si>
  <si>
    <t>Short-term money market placements</t>
  </si>
  <si>
    <t>Total</t>
  </si>
  <si>
    <t>Globe’s short term credit facilities at end-2Q26</t>
  </si>
  <si>
    <t>Uncommitted credit facilty</t>
  </si>
  <si>
    <t>Committed</t>
  </si>
  <si>
    <t>Total Liquidity</t>
  </si>
  <si>
    <t>Debt maturity 2Q26</t>
  </si>
  <si>
    <t>2030 and thereafter</t>
  </si>
  <si>
    <t>Total Debt</t>
  </si>
  <si>
    <t xml:space="preserve">Less: Unamortized debt issuance costs </t>
  </si>
  <si>
    <t>Total debt after unamortized debt issuance costs</t>
  </si>
  <si>
    <t>Check</t>
  </si>
  <si>
    <t>1Q26</t>
  </si>
  <si>
    <t>Debt Breakdown as on 31-Mar-2026</t>
  </si>
  <si>
    <t>Noncurrent portion of lease liabilities</t>
  </si>
  <si>
    <t>Liquidity Table at end-1Q26</t>
  </si>
  <si>
    <t>Globe’s short term credit facilities at end-1Q26</t>
  </si>
  <si>
    <t>Debt maturity 1Q26</t>
  </si>
  <si>
    <t>FY25</t>
  </si>
  <si>
    <t>Debt Breakdown as on 31-Dec-2025</t>
  </si>
  <si>
    <t>2.63x</t>
  </si>
  <si>
    <t>2.38x</t>
  </si>
  <si>
    <t>Liquidity Table at end-FY25</t>
  </si>
  <si>
    <t>Globe’s short term credit facilities at end-FY25</t>
  </si>
  <si>
    <t>Debt maturity FY25</t>
  </si>
  <si>
    <t>3Q25</t>
  </si>
  <si>
    <t>Exchange rate as at end 3Q25</t>
  </si>
  <si>
    <t>Average exchange rate for LTM 3Q25</t>
  </si>
  <si>
    <t>Debt Breakdown as on 30-Sep-2025</t>
  </si>
  <si>
    <t>2.69x</t>
  </si>
  <si>
    <t>2.40x</t>
  </si>
  <si>
    <t>Liquidity Table at end-3Q25</t>
  </si>
  <si>
    <t>Cash equivalents</t>
  </si>
  <si>
    <t>Globe’s short term credit facilities at end-3Q25</t>
  </si>
  <si>
    <t>Debt maturity 3Q25</t>
  </si>
  <si>
    <t>2029 and thereafter</t>
  </si>
  <si>
    <t>2Q25</t>
  </si>
  <si>
    <t>Exchange rate as at end 2Q25</t>
  </si>
  <si>
    <t>Average exchange rate for LTM 2Q25</t>
  </si>
  <si>
    <t>Debt Breakdown as on 30-Jun-2025</t>
  </si>
  <si>
    <t>2.65x</t>
  </si>
  <si>
    <t>2.44x</t>
  </si>
  <si>
    <t>Liquidity Table at end-2Q25</t>
  </si>
  <si>
    <t>Globe’s short term credit facilities at end-2Q25</t>
  </si>
  <si>
    <t>Debt maturity 2Q25</t>
  </si>
  <si>
    <t>1Q25</t>
  </si>
  <si>
    <t>Exchange rate as at end 1Q25</t>
  </si>
  <si>
    <t>Average exchange rate for LTM 1Q25</t>
  </si>
  <si>
    <t>Debt Breakdown as on 31-Mar-2025</t>
  </si>
  <si>
    <t xml:space="preserve">Leverage </t>
  </si>
  <si>
    <t>Total debt</t>
  </si>
  <si>
    <t>Company rerported</t>
  </si>
  <si>
    <t>Liquidity Table at end-1Q25</t>
  </si>
  <si>
    <t>Debt Maturity for 1Q25</t>
  </si>
  <si>
    <t>in Php mn</t>
  </si>
  <si>
    <t>in USD mn</t>
  </si>
  <si>
    <t>FY24</t>
  </si>
  <si>
    <t>Exchange rate as at end FY24</t>
  </si>
  <si>
    <t>Average exchange rate for LTM FY24</t>
  </si>
  <si>
    <t>Debt Breakdown as on 31-Dec-2024</t>
  </si>
  <si>
    <t>2.66x</t>
  </si>
  <si>
    <t>2.43x</t>
  </si>
  <si>
    <t>Liquidity Table at end-FY24</t>
  </si>
  <si>
    <t>Debt Maturity for FY24</t>
  </si>
  <si>
    <t>3Q24</t>
  </si>
  <si>
    <t>Exchange rate as at end 3Q24</t>
  </si>
  <si>
    <t>Average exchange rate for LTM 3Q24</t>
  </si>
  <si>
    <t>Debt Breakdown as on 30-Sept-2024</t>
  </si>
  <si>
    <t>Liquidity Table at end-3Q24</t>
  </si>
  <si>
    <t>Debt Maturity for 3Q24</t>
  </si>
  <si>
    <t>2028 and thereafter</t>
  </si>
  <si>
    <t>2Q24</t>
  </si>
  <si>
    <t>Exchange rate as at end 2Q24</t>
  </si>
  <si>
    <t>Average exchange rate for LTM 2Q24</t>
  </si>
  <si>
    <t>Debt Breakdown as on 30-Jun-2024</t>
  </si>
  <si>
    <t>Liquidity Table at end-2Q24</t>
  </si>
  <si>
    <t>Debt Maturity for 2Q24</t>
  </si>
  <si>
    <t>1Q24</t>
  </si>
  <si>
    <t>Exchange rate as at end 1Q24</t>
  </si>
  <si>
    <t>Average exchange rate for LTM 1Q24</t>
  </si>
  <si>
    <t>Debt Breakdown as on 31-Mar-2024</t>
  </si>
  <si>
    <t>Liquidity Table at end-1Q24</t>
  </si>
  <si>
    <t>Debt Maturity for 1Q24</t>
  </si>
  <si>
    <t>FY23</t>
  </si>
  <si>
    <t>Exchange rate as at end FY23</t>
  </si>
  <si>
    <t>Average exchange rate for LTM FY23</t>
  </si>
  <si>
    <t>Debt Breakdown as on 31-Dec-2023</t>
  </si>
  <si>
    <t>Liquidity Table at end-FY23</t>
  </si>
  <si>
    <t>Debt Maturity for FY23</t>
  </si>
  <si>
    <t>3Q23</t>
  </si>
  <si>
    <t>Exchange rate as at end 3Q23</t>
  </si>
  <si>
    <t>Average exchange rate for LTM 3Q23</t>
  </si>
  <si>
    <t>Debt Breakdown as on 30-Sept-2023</t>
  </si>
  <si>
    <t>Liquidity Table at end-3Q23</t>
  </si>
  <si>
    <t>Debt Maturity for 3Q23</t>
  </si>
  <si>
    <t>2027 and thereafter</t>
  </si>
  <si>
    <t>2Q23</t>
  </si>
  <si>
    <t>Exchange rate as at end 2Q23</t>
  </si>
  <si>
    <t>Average exchange rate for LTM 2Q23</t>
  </si>
  <si>
    <t>Debt Breakdown as on 30-June-2023</t>
  </si>
  <si>
    <t>Liquidity Table at end-2Q23</t>
  </si>
  <si>
    <t>Debt Maturity for 2Q23</t>
  </si>
  <si>
    <t>1Q23</t>
  </si>
  <si>
    <t>Exchange rate as at end 1Q23</t>
  </si>
  <si>
    <t>Average exchange rate for LTM 1Q23</t>
  </si>
  <si>
    <t>Debt Breakdown as on 31-March-2023</t>
  </si>
  <si>
    <t>Liquidity Table at end-1Q23</t>
  </si>
  <si>
    <t>Debt Maturity for 1Q23</t>
  </si>
  <si>
    <t>FY22</t>
  </si>
  <si>
    <t>Exchange rate as at end FY22</t>
  </si>
  <si>
    <t>Average exchange rate for LTM FY22</t>
  </si>
  <si>
    <t>Debt Breakdown as on 31-Dec-2022</t>
  </si>
  <si>
    <t>Liquidity Table at end-FY22</t>
  </si>
  <si>
    <t>Debt Maturity for FY22</t>
  </si>
  <si>
    <t>3Q22</t>
  </si>
  <si>
    <t>Exchange rate as at end 3Q22</t>
  </si>
  <si>
    <t>Average exchange rate for LTM 3Q22</t>
  </si>
  <si>
    <t>Debt Breakdown as on 30-Sept-2022</t>
  </si>
  <si>
    <t>Liquidity Table at end-3Q22</t>
  </si>
  <si>
    <t>Debt Maturity for 3Q22</t>
  </si>
  <si>
    <t>2026 and thereafter</t>
  </si>
  <si>
    <t>2Q22</t>
  </si>
  <si>
    <t>Exchange rate as at end 2Q22</t>
  </si>
  <si>
    <t>Average exchange rate for LTM 2Q22</t>
  </si>
  <si>
    <t>Debt Breakdown as on 30-Jun-2022</t>
  </si>
  <si>
    <t>Liquidity Table at end-2Q22</t>
  </si>
  <si>
    <t>Debt Maturity for 2Q22</t>
  </si>
  <si>
    <t>1Q22</t>
  </si>
  <si>
    <t>Exchange rate as at end 1Q22</t>
  </si>
  <si>
    <t>Average exchange rate for LTM 1Q22</t>
  </si>
  <si>
    <t>Debt Breakdown as on 31-Mar-2022</t>
  </si>
  <si>
    <t>Total Debt (excluding perpetuals)</t>
  </si>
  <si>
    <t>Liquidity Table at end-1Q22</t>
  </si>
  <si>
    <t>Debt Maturity for 1Q22</t>
  </si>
  <si>
    <t>4Q21</t>
  </si>
  <si>
    <t>Exchange rate as at end 4Q21</t>
  </si>
  <si>
    <t>Average exchange rate for LTM 4Q21</t>
  </si>
  <si>
    <t>Debt Breakdown as on 31-Dec-2021</t>
  </si>
  <si>
    <t>Liquidity Table at end-4Q21</t>
  </si>
  <si>
    <t>Debt Maturity for 4Q21</t>
  </si>
  <si>
    <t>2025 and thereafter</t>
  </si>
  <si>
    <t>3Q21</t>
  </si>
  <si>
    <t>Exchange rate as at end 3Q21</t>
  </si>
  <si>
    <t>Average exchange rate for LTM 3Q21</t>
  </si>
  <si>
    <t>Debt Breakdown as on 30-Sept-2021</t>
  </si>
  <si>
    <t>Liquidity Table at end-3Q21</t>
  </si>
  <si>
    <t>Debt Maturity for 3Q21</t>
  </si>
  <si>
    <t>2Q21</t>
  </si>
  <si>
    <t>Exchange rate as at end 2Q21</t>
  </si>
  <si>
    <t>Average exchange rate for LTM 2Q21</t>
  </si>
  <si>
    <t>Debt Breakdown as on 30-Jun-2021</t>
  </si>
  <si>
    <t>Liquidity Table at end-2Q21</t>
  </si>
  <si>
    <t>Debt Maturity for 2Q21</t>
  </si>
  <si>
    <t>3Q20</t>
  </si>
  <si>
    <t>Exchange rate as at end 3Q20</t>
  </si>
  <si>
    <t>Average exchange rate for LTM 3Q20</t>
  </si>
  <si>
    <t>Debt Breakdown as on 30-Sep-2020</t>
  </si>
  <si>
    <t>Liquidity Table at end-3Q20</t>
  </si>
  <si>
    <t>Debt Maturity for 3Q20</t>
  </si>
  <si>
    <t>2024 and thereafter</t>
  </si>
  <si>
    <t>2Q20</t>
  </si>
  <si>
    <t>Exchange rate as at end 2Q20</t>
  </si>
  <si>
    <t>Average exchange rate for LTM 2Q20</t>
  </si>
  <si>
    <t>Debt Breakdown as on 30-Jun-2020</t>
  </si>
  <si>
    <t>Liquidity Table at end-2Q20</t>
  </si>
  <si>
    <t>Debt Maturity for 2Q20</t>
  </si>
  <si>
    <t>1Q20</t>
  </si>
  <si>
    <t>Exchange rate as at end 1Q20</t>
  </si>
  <si>
    <t>Average exchange rate for LTM 1Q20</t>
  </si>
  <si>
    <t>Debt Breakdown as on 31-Mar-2020</t>
  </si>
  <si>
    <t xml:space="preserve">PF Leverage </t>
  </si>
  <si>
    <t>PF Leverage (USD)</t>
  </si>
  <si>
    <t xml:space="preserve">New bonds </t>
  </si>
  <si>
    <t>Liquidity Table at end-1Q20</t>
  </si>
  <si>
    <t>Debt Maturity for 1Q20</t>
  </si>
  <si>
    <t>New bonds</t>
  </si>
  <si>
    <t>Debt repayment</t>
  </si>
  <si>
    <t>Incremental debt</t>
  </si>
  <si>
    <t>Average cost of debt</t>
  </si>
  <si>
    <t>Globe Telecom Philippines</t>
  </si>
  <si>
    <t>Annual</t>
  </si>
  <si>
    <t>LTM</t>
  </si>
  <si>
    <t>Quarter</t>
  </si>
  <si>
    <t>(PHP millions)</t>
  </si>
  <si>
    <t>Act</t>
  </si>
  <si>
    <t>FY 16</t>
  </si>
  <si>
    <t>FY 17</t>
  </si>
  <si>
    <t>FY 18</t>
  </si>
  <si>
    <t>FY 19</t>
  </si>
  <si>
    <t>FY 20</t>
  </si>
  <si>
    <t>FY 21</t>
  </si>
  <si>
    <t>FY 22</t>
  </si>
  <si>
    <t>FY 23</t>
  </si>
  <si>
    <t>FY 24</t>
  </si>
  <si>
    <t>FY 25</t>
  </si>
  <si>
    <t>Q1 18</t>
  </si>
  <si>
    <t>Q2 18</t>
  </si>
  <si>
    <t>Q3 18</t>
  </si>
  <si>
    <t>Q4 18</t>
  </si>
  <si>
    <t>Q1 19</t>
  </si>
  <si>
    <t>Q2 19</t>
  </si>
  <si>
    <t>Q3 19</t>
  </si>
  <si>
    <t>Q4 19</t>
  </si>
  <si>
    <t>Q1 20</t>
  </si>
  <si>
    <t>Q2 20</t>
  </si>
  <si>
    <t>Q3 20</t>
  </si>
  <si>
    <t>Q4 20</t>
  </si>
  <si>
    <t>Q1 21</t>
  </si>
  <si>
    <t>Q2 21</t>
  </si>
  <si>
    <t>Q3 21</t>
  </si>
  <si>
    <t>Q4 21</t>
  </si>
  <si>
    <t>Q1 22</t>
  </si>
  <si>
    <t>Q2 22</t>
  </si>
  <si>
    <t>Q3 22</t>
  </si>
  <si>
    <t>Q4 22</t>
  </si>
  <si>
    <t>Q1 23</t>
  </si>
  <si>
    <t>Q2 23</t>
  </si>
  <si>
    <t>Q3 23</t>
  </si>
  <si>
    <t>Q4 23</t>
  </si>
  <si>
    <t>Q1 24</t>
  </si>
  <si>
    <t>Q2 24</t>
  </si>
  <si>
    <t>Q3 24</t>
  </si>
  <si>
    <t>Q4 24</t>
  </si>
  <si>
    <t>Q1 25</t>
  </si>
  <si>
    <t>Q4 25</t>
  </si>
  <si>
    <t>Q1 26</t>
  </si>
  <si>
    <t>INCOME STATEMENT</t>
  </si>
  <si>
    <t>Service revenues</t>
  </si>
  <si>
    <t xml:space="preserve">% growth </t>
  </si>
  <si>
    <t>Non-service revenues</t>
  </si>
  <si>
    <t>Total revenue</t>
  </si>
  <si>
    <t>Equity in net losses of associates and joint ventures</t>
  </si>
  <si>
    <t>Gain on sale of controlling interest on data center business</t>
  </si>
  <si>
    <t>Gain on sale and leaseback of telecom towers - net</t>
  </si>
  <si>
    <t>Interest income</t>
  </si>
  <si>
    <t>Gain on disposal of property and equipment – net</t>
  </si>
  <si>
    <t>Other income – net</t>
  </si>
  <si>
    <t>Cost of inventories sold</t>
  </si>
  <si>
    <t>General, selling and administrative expenses</t>
  </si>
  <si>
    <t>Interconnect costs</t>
  </si>
  <si>
    <t>Depreciation and amortisation</t>
  </si>
  <si>
    <t xml:space="preserve">Impairment and other losses </t>
  </si>
  <si>
    <t>Operating profit</t>
  </si>
  <si>
    <t>% margin</t>
  </si>
  <si>
    <t xml:space="preserve">Finance costs </t>
  </si>
  <si>
    <t>Profit before tax</t>
  </si>
  <si>
    <t>Current tax</t>
  </si>
  <si>
    <t>Deferred tax</t>
  </si>
  <si>
    <t>Net profit/loss</t>
  </si>
  <si>
    <t>Marginal tax rate</t>
  </si>
  <si>
    <t>Defered tax rate</t>
  </si>
  <si>
    <t>As % of Net sales unless stated otherwise</t>
  </si>
  <si>
    <t>PBT</t>
  </si>
  <si>
    <t xml:space="preserve">Income  Tax Expense as a % PBT </t>
  </si>
  <si>
    <t>Finance costs as % of debt</t>
  </si>
  <si>
    <t>Working capital/sales</t>
  </si>
  <si>
    <t>depreciation/capex</t>
  </si>
  <si>
    <t>impairment/capex</t>
  </si>
  <si>
    <t xml:space="preserve">EBITDA </t>
  </si>
  <si>
    <t>Depreciation &amp; amortisation</t>
  </si>
  <si>
    <t>Adjustment</t>
  </si>
  <si>
    <t xml:space="preserve">Adj. EBITDA </t>
  </si>
  <si>
    <t>CASH FLOW</t>
  </si>
  <si>
    <t xml:space="preserve">Adj EBITDA </t>
  </si>
  <si>
    <t>Working Capital</t>
  </si>
  <si>
    <t>Taxes</t>
  </si>
  <si>
    <t>Cash interest paid</t>
  </si>
  <si>
    <t xml:space="preserve">Net cash from operations </t>
  </si>
  <si>
    <t>Net Capex</t>
  </si>
  <si>
    <t>Acquisitions / sales of subsidiaries, JVs</t>
  </si>
  <si>
    <t xml:space="preserve">Free cash flow </t>
  </si>
  <si>
    <t>Other investing activities</t>
  </si>
  <si>
    <t>Dividends / Equity movements</t>
  </si>
  <si>
    <t>Principal Repayments</t>
  </si>
  <si>
    <t>Other financing activities</t>
  </si>
  <si>
    <t>Cash flow after financing activities</t>
  </si>
  <si>
    <t>Balancing figure</t>
  </si>
  <si>
    <t xml:space="preserve">FX </t>
  </si>
  <si>
    <t xml:space="preserve">Net change in cash </t>
  </si>
  <si>
    <t>Cash and cash equivalents</t>
  </si>
  <si>
    <t>cost of debt</t>
  </si>
  <si>
    <t>LTM  METRICS</t>
  </si>
  <si>
    <t>Revenue</t>
  </si>
  <si>
    <t xml:space="preserve">Operating profit </t>
  </si>
  <si>
    <t>EBITDA</t>
  </si>
  <si>
    <t>Adjusted EBITDA</t>
  </si>
  <si>
    <t>Net Income</t>
  </si>
  <si>
    <t>Capex</t>
  </si>
  <si>
    <t xml:space="preserve">BALANCE SHEET </t>
  </si>
  <si>
    <t>Tangible fixed assets</t>
  </si>
  <si>
    <t>Inventory</t>
  </si>
  <si>
    <t>Trade debtors</t>
  </si>
  <si>
    <t xml:space="preserve">Trade creditors </t>
  </si>
  <si>
    <t>Net working capital</t>
  </si>
  <si>
    <t>% of revenues</t>
  </si>
  <si>
    <t>Inventory Days</t>
  </si>
  <si>
    <t>Receivable Days</t>
  </si>
  <si>
    <t>Payable Days</t>
  </si>
  <si>
    <t xml:space="preserve">Debt  Breakdown </t>
  </si>
  <si>
    <t>Short-term debt</t>
  </si>
  <si>
    <t>Long-term debt</t>
  </si>
  <si>
    <t>Lease Obligations</t>
  </si>
  <si>
    <t>Total Lease</t>
  </si>
  <si>
    <t>Debt  Including Lease and perpetuals</t>
  </si>
  <si>
    <t>Cash &amp; cash equivalents</t>
  </si>
  <si>
    <t>Net Debt</t>
  </si>
  <si>
    <t xml:space="preserve">Gross Debt </t>
  </si>
  <si>
    <t>Equity (as reported on balance sheet)</t>
  </si>
  <si>
    <t>Total debt + Equity</t>
  </si>
  <si>
    <t>CREDIT RATIOS</t>
  </si>
  <si>
    <t>Total Net Leverage exc lease</t>
  </si>
  <si>
    <t>Total Gross Leverage  exc lease</t>
  </si>
  <si>
    <t>Total Net Leverage including leases and perpetuals</t>
  </si>
  <si>
    <t>Total Gross Leverage including leases and perpetuals</t>
  </si>
  <si>
    <t>EBITDA - Capex / Interest</t>
  </si>
  <si>
    <t>EBITDA/Interest</t>
  </si>
  <si>
    <t xml:space="preserve">Gearing (Net debt / Equity) </t>
  </si>
  <si>
    <t>Key  Credit Metrics (PHP Mn where applicable)</t>
  </si>
  <si>
    <t xml:space="preserve">Revenues </t>
  </si>
  <si>
    <t>Adj. EBITDA</t>
  </si>
  <si>
    <t>Adj. EBITDA Margin</t>
  </si>
  <si>
    <t>Cash</t>
  </si>
  <si>
    <t>Gross Leverage</t>
  </si>
  <si>
    <t xml:space="preserve">Net Leverage </t>
  </si>
  <si>
    <t xml:space="preserve">Model Summary </t>
  </si>
  <si>
    <t xml:space="preserve">Sales </t>
  </si>
  <si>
    <t>Gross Debt</t>
  </si>
  <si>
    <t>FX rate average - USD/PHP</t>
  </si>
  <si>
    <t>FX rate  - USD/PHP (as at end of period)</t>
  </si>
  <si>
    <t>Key  Credit Metrics (USD Mn where applicable)</t>
  </si>
  <si>
    <t>(USD millions)</t>
  </si>
  <si>
    <t>Gross Total Debt</t>
  </si>
  <si>
    <t>Net Total Debt</t>
  </si>
  <si>
    <t>Quarterly</t>
  </si>
  <si>
    <t>FY</t>
  </si>
  <si>
    <t>Q1</t>
  </si>
  <si>
    <t>Q2</t>
  </si>
  <si>
    <t>Q3</t>
  </si>
  <si>
    <t>Q4</t>
  </si>
  <si>
    <t>Revenue by business segment</t>
  </si>
  <si>
    <t>Mobile Communications</t>
  </si>
  <si>
    <t>Service revenues:</t>
  </si>
  <si>
    <t>Data</t>
  </si>
  <si>
    <t>Voice</t>
  </si>
  <si>
    <t>SMS</t>
  </si>
  <si>
    <t>Broadband</t>
  </si>
  <si>
    <t>Other</t>
  </si>
  <si>
    <t>Nonservice revenues</t>
  </si>
  <si>
    <t>Wireline Communications</t>
  </si>
  <si>
    <t>% of Revenue by business segment</t>
  </si>
  <si>
    <t>EBITDA by business segment</t>
  </si>
  <si>
    <t xml:space="preserve">Mobile Service Revenue </t>
  </si>
  <si>
    <t xml:space="preserve">Mobile Voice </t>
  </si>
  <si>
    <t>Mobile SMS</t>
  </si>
  <si>
    <t>Mobile Data</t>
  </si>
  <si>
    <t>Fixed Line and home broadband Business</t>
  </si>
  <si>
    <t>Home Broadband</t>
  </si>
  <si>
    <t>Corporate Data</t>
  </si>
  <si>
    <t xml:space="preserve">Fixed line Voice </t>
  </si>
  <si>
    <t>Cumulative Broadband Subscribers</t>
  </si>
  <si>
    <t>Fixed Wireless</t>
  </si>
  <si>
    <t>Wired</t>
  </si>
  <si>
    <t>Total (end of period)</t>
  </si>
  <si>
    <t>Cumulative Subscribers (or SIMs) - Net</t>
  </si>
  <si>
    <t>Globe Postpaid</t>
  </si>
  <si>
    <t xml:space="preserve">Prepaid </t>
  </si>
  <si>
    <t xml:space="preserve">Globe Prepaid </t>
  </si>
  <si>
    <t xml:space="preserve">TM </t>
  </si>
  <si>
    <t>Net Subscriber (or SIM) Additions</t>
  </si>
  <si>
    <t>ARPU</t>
  </si>
  <si>
    <t xml:space="preserve">Globe Postpaid </t>
  </si>
  <si>
    <t>Prepaid</t>
  </si>
  <si>
    <t>Globe Prepaid</t>
  </si>
  <si>
    <t>TM</t>
  </si>
  <si>
    <t>Average Monthly Churn Rate (%)</t>
  </si>
  <si>
    <t>Depreciation and amortization</t>
  </si>
  <si>
    <t>Financing costs</t>
  </si>
  <si>
    <t>Impairment of property and equipment</t>
  </si>
  <si>
    <t>Equity in net income (losses) of joint ventures</t>
  </si>
  <si>
    <t>Foreign exchange gain (loss) - net</t>
  </si>
  <si>
    <t>Gain (loss) on derivative instruments</t>
  </si>
  <si>
    <t>Gain on disposal of property and equipment - net</t>
  </si>
  <si>
    <t>Gain on sale of investments</t>
  </si>
  <si>
    <t>Impairment and other losses</t>
  </si>
  <si>
    <t>Pension expense</t>
  </si>
  <si>
    <t>Share-based compensation</t>
  </si>
  <si>
    <t>Gain on deemed sale of Investment in Mynt</t>
  </si>
  <si>
    <t>Loss on settlement and remeasurement of ARO</t>
  </si>
  <si>
    <t>Other items</t>
  </si>
  <si>
    <t>Income before income tax</t>
  </si>
  <si>
    <t>Globe Telecom (GLO)</t>
  </si>
  <si>
    <t>PLDT (TELPM)</t>
  </si>
  <si>
    <t xml:space="preserve">Market Cap </t>
  </si>
  <si>
    <t xml:space="preserve">5.4bn </t>
  </si>
  <si>
    <t xml:space="preserve">5.9bn </t>
  </si>
  <si>
    <t>LTM Revenues (USD)</t>
  </si>
  <si>
    <t>3.25bn</t>
  </si>
  <si>
    <t>3.3bn</t>
  </si>
  <si>
    <t>Data % of revenues</t>
  </si>
  <si>
    <t>LTM EBITDA (USD)</t>
  </si>
  <si>
    <t>1.46bn</t>
  </si>
  <si>
    <t xml:space="preserve">1.69bn </t>
  </si>
  <si>
    <t>LTM EBITDA Margin</t>
  </si>
  <si>
    <t>2.9bn</t>
  </si>
  <si>
    <t xml:space="preserve">4.9bn </t>
  </si>
  <si>
    <t>2020 (Est) Net Leverage</t>
  </si>
  <si>
    <t>2.0x</t>
  </si>
  <si>
    <t>2.7x</t>
  </si>
  <si>
    <t>2020 (Est) Gross Leverage</t>
  </si>
  <si>
    <t>2.6x</t>
  </si>
  <si>
    <t>3.1x</t>
  </si>
  <si>
    <t>Ratings</t>
  </si>
  <si>
    <t>BBB-</t>
  </si>
  <si>
    <t>BBB+</t>
  </si>
  <si>
    <t>Capex/sales ratio</t>
  </si>
  <si>
    <t xml:space="preserve">33% to 35% </t>
  </si>
  <si>
    <t>less than 40%</t>
  </si>
  <si>
    <t>Mobile % of total revenues</t>
  </si>
  <si>
    <t>Fixed  % of total revenues</t>
  </si>
  <si>
    <t>Mobile Marketshare</t>
  </si>
  <si>
    <t xml:space="preserve">Fixed Line  Marketshare </t>
  </si>
  <si>
    <t>Home Broadband marketshare</t>
  </si>
  <si>
    <t>No of Mobile subscribers</t>
  </si>
  <si>
    <t xml:space="preserve">89.3m </t>
  </si>
  <si>
    <t>78.2m</t>
  </si>
  <si>
    <t>No of Fixed subscribers</t>
  </si>
  <si>
    <t xml:space="preserve">2.3m </t>
  </si>
  <si>
    <t>3.2m</t>
  </si>
  <si>
    <t xml:space="preserve">Fixed BB technology </t>
  </si>
  <si>
    <t>Predominnatly Fixed Wireless Technology (FWA- low end subcribers)</t>
  </si>
  <si>
    <t>Predominnatly Fixed Wireless Technology (Fibre high end subcribers)</t>
  </si>
  <si>
    <t>Dividend Policy</t>
  </si>
  <si>
    <t>Ownership</t>
  </si>
  <si>
    <t>Singtel (20.1%), Ayala(13.2%), Asiacom (50.9% JV Singtel+Ayala), Public 15.7%</t>
  </si>
  <si>
    <t>First Pacific 25.6%, NTT Docomo 20.3%, IG Summit Holdings 11.3%, Public 42.8%.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</si>
</sst>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mmm\ yyyy"/>
    <numFmt numFmtId="166" formatCode="#,##0.0_);\(#,##0.0\)"/>
    <numFmt numFmtId="167" formatCode="0.0%"/>
    <numFmt numFmtId="168" formatCode="_(* #,##0.0_);_(* \(#,##0.0\);_(* &quot;-&quot;??_);_(@_)"/>
    <numFmt numFmtId="169" formatCode="_(* #,##0_);_(* \(#,##0\);_(* &quot;-&quot;??_);_(@_)"/>
    <numFmt numFmtId="170" formatCode="#0.0\x"/>
    <numFmt numFmtId="171" formatCode="#0.0%_);\(#0.0%\)"/>
    <numFmt numFmtId="172" formatCode="0.0\x"/>
    <numFmt numFmtId="173" formatCode="_(* #,##0.000_);_(* \(#,##0.000\);_(* &quot;-&quot;??_);_(@_)"/>
    <numFmt numFmtId="174" formatCode="#,##0.0"/>
    <numFmt numFmtId="175" formatCode="#,##0.000_);\(#,##0.000\)"/>
    <numFmt numFmtId="176" formatCode="#,##0.000"/>
    <numFmt numFmtId="177" formatCode="0.000"/>
    <numFmt numFmtId="178" formatCode="#,##0.00000000000_);\(#,##0.00000000000\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name val="Calibri"/>
      <family val="2"/>
      <scheme val="minor"/>
    </font>
    <font>
      <i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</cellStyleXfs>
  <cellXfs count="43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2" borderId="1" xfId="0" applyFont="1" applyFill="1" applyBorder="1" applyAlignment="1">
      <alignment horizontal="centerContinuous"/>
    </xf>
    <xf numFmtId="165" fontId="5" fillId="2" borderId="0" xfId="0" applyNumberFormat="1" applyFont="1" applyFill="1" applyAlignment="1">
      <alignment horizontal="center"/>
    </xf>
    <xf numFmtId="0" fontId="5" fillId="0" borderId="0" xfId="0" applyFont="1"/>
    <xf numFmtId="0" fontId="5" fillId="2" borderId="0" xfId="0" applyFont="1" applyFill="1"/>
    <xf numFmtId="0" fontId="6" fillId="0" borderId="0" xfId="0" applyFont="1"/>
    <xf numFmtId="164" fontId="6" fillId="0" borderId="0" xfId="1" applyFont="1" applyFill="1" applyBorder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166" fontId="6" fillId="0" borderId="0" xfId="0" applyNumberFormat="1" applyFont="1"/>
    <xf numFmtId="166" fontId="5" fillId="0" borderId="0" xfId="0" applyNumberFormat="1" applyFont="1"/>
    <xf numFmtId="0" fontId="7" fillId="0" borderId="0" xfId="0" applyFont="1"/>
    <xf numFmtId="0" fontId="7" fillId="3" borderId="0" xfId="0" applyFont="1" applyFill="1" applyAlignment="1">
      <alignment horizontal="left" indent="1"/>
    </xf>
    <xf numFmtId="167" fontId="8" fillId="3" borderId="0" xfId="2" applyNumberFormat="1" applyFont="1" applyFill="1"/>
    <xf numFmtId="166" fontId="9" fillId="0" borderId="0" xfId="0" applyNumberFormat="1" applyFont="1"/>
    <xf numFmtId="166" fontId="4" fillId="0" borderId="0" xfId="0" applyNumberFormat="1" applyFont="1"/>
    <xf numFmtId="166" fontId="10" fillId="0" borderId="0" xfId="0" applyNumberFormat="1" applyFont="1"/>
    <xf numFmtId="167" fontId="8" fillId="0" borderId="0" xfId="2" applyNumberFormat="1" applyFont="1" applyFill="1"/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 indent="1"/>
    </xf>
    <xf numFmtId="0" fontId="4" fillId="0" borderId="0" xfId="3" applyFont="1" applyAlignment="1">
      <alignment horizontal="left"/>
    </xf>
    <xf numFmtId="0" fontId="5" fillId="0" borderId="0" xfId="3" applyFont="1"/>
    <xf numFmtId="0" fontId="13" fillId="0" borderId="0" xfId="0" applyFont="1" applyAlignment="1">
      <alignment horizontal="left" indent="1"/>
    </xf>
    <xf numFmtId="0" fontId="13" fillId="0" borderId="0" xfId="0" applyFont="1"/>
    <xf numFmtId="0" fontId="4" fillId="3" borderId="0" xfId="0" applyFont="1" applyFill="1"/>
    <xf numFmtId="167" fontId="7" fillId="3" borderId="0" xfId="2" applyNumberFormat="1" applyFont="1" applyFill="1"/>
    <xf numFmtId="0" fontId="7" fillId="3" borderId="0" xfId="0" applyFont="1" applyFill="1"/>
    <xf numFmtId="167" fontId="7" fillId="0" borderId="0" xfId="2" applyNumberFormat="1" applyFont="1" applyFill="1"/>
    <xf numFmtId="165" fontId="5" fillId="2" borderId="2" xfId="0" applyNumberFormat="1" applyFont="1" applyFill="1" applyBorder="1"/>
    <xf numFmtId="166" fontId="15" fillId="0" borderId="0" xfId="0" applyNumberFormat="1" applyFont="1"/>
    <xf numFmtId="166" fontId="14" fillId="0" borderId="0" xfId="0" applyNumberFormat="1" applyFont="1"/>
    <xf numFmtId="168" fontId="10" fillId="0" borderId="0" xfId="1" applyNumberFormat="1" applyFont="1" applyFill="1" applyBorder="1"/>
    <xf numFmtId="166" fontId="16" fillId="0" borderId="0" xfId="0" applyNumberFormat="1" applyFont="1"/>
    <xf numFmtId="0" fontId="5" fillId="0" borderId="0" xfId="0" applyFont="1" applyAlignment="1">
      <alignment horizontal="left"/>
    </xf>
    <xf numFmtId="166" fontId="9" fillId="0" borderId="0" xfId="0" applyNumberFormat="1" applyFont="1" applyAlignment="1">
      <alignment horizontal="right"/>
    </xf>
    <xf numFmtId="0" fontId="17" fillId="0" borderId="0" xfId="0" applyFont="1"/>
    <xf numFmtId="169" fontId="17" fillId="0" borderId="0" xfId="1" applyNumberFormat="1" applyFont="1" applyFill="1"/>
    <xf numFmtId="166" fontId="4" fillId="5" borderId="0" xfId="0" applyNumberFormat="1" applyFont="1" applyFill="1"/>
    <xf numFmtId="0" fontId="7" fillId="3" borderId="0" xfId="0" applyFont="1" applyFill="1" applyAlignment="1">
      <alignment horizontal="left"/>
    </xf>
    <xf numFmtId="167" fontId="7" fillId="3" borderId="0" xfId="0" applyNumberFormat="1" applyFont="1" applyFill="1"/>
    <xf numFmtId="0" fontId="4" fillId="0" borderId="0" xfId="3" applyFont="1"/>
    <xf numFmtId="166" fontId="4" fillId="0" borderId="0" xfId="3" applyNumberFormat="1" applyFont="1"/>
    <xf numFmtId="166" fontId="5" fillId="0" borderId="0" xfId="3" applyNumberFormat="1" applyFont="1"/>
    <xf numFmtId="166" fontId="10" fillId="0" borderId="0" xfId="2" applyNumberFormat="1" applyFont="1" applyFill="1"/>
    <xf numFmtId="166" fontId="10" fillId="0" borderId="0" xfId="4" applyNumberFormat="1" applyFont="1" applyFill="1"/>
    <xf numFmtId="169" fontId="4" fillId="0" borderId="0" xfId="1" applyNumberFormat="1" applyFont="1" applyFill="1"/>
    <xf numFmtId="170" fontId="4" fillId="0" borderId="0" xfId="0" applyNumberFormat="1" applyFont="1"/>
    <xf numFmtId="170" fontId="4" fillId="0" borderId="0" xfId="3" applyNumberFormat="1" applyFont="1"/>
    <xf numFmtId="170" fontId="4" fillId="5" borderId="0" xfId="3" applyNumberFormat="1" applyFont="1" applyFill="1"/>
    <xf numFmtId="170" fontId="4" fillId="5" borderId="0" xfId="0" applyNumberFormat="1" applyFont="1" applyFill="1"/>
    <xf numFmtId="170" fontId="4" fillId="0" borderId="0" xfId="0" applyNumberFormat="1" applyFont="1" applyAlignment="1">
      <alignment horizontal="right"/>
    </xf>
    <xf numFmtId="170" fontId="4" fillId="5" borderId="0" xfId="0" applyNumberFormat="1" applyFont="1" applyFill="1" applyAlignment="1">
      <alignment horizontal="right"/>
    </xf>
    <xf numFmtId="171" fontId="5" fillId="0" borderId="0" xfId="0" applyNumberFormat="1" applyFont="1"/>
    <xf numFmtId="171" fontId="5" fillId="5" borderId="0" xfId="0" applyNumberFormat="1" applyFont="1" applyFill="1"/>
    <xf numFmtId="9" fontId="5" fillId="0" borderId="0" xfId="2" applyFont="1" applyFill="1" applyBorder="1"/>
    <xf numFmtId="9" fontId="5" fillId="5" borderId="0" xfId="2" applyFont="1" applyFill="1" applyBorder="1"/>
    <xf numFmtId="0" fontId="5" fillId="2" borderId="3" xfId="0" applyFont="1" applyFill="1" applyBorder="1"/>
    <xf numFmtId="165" fontId="5" fillId="2" borderId="3" xfId="0" applyNumberFormat="1" applyFont="1" applyFill="1" applyBorder="1" applyAlignment="1">
      <alignment horizontal="center"/>
    </xf>
    <xf numFmtId="165" fontId="5" fillId="2" borderId="2" xfId="0" applyNumberFormat="1" applyFont="1" applyFill="1" applyBorder="1" applyAlignment="1">
      <alignment horizontal="center"/>
    </xf>
    <xf numFmtId="167" fontId="4" fillId="0" borderId="0" xfId="2" applyNumberFormat="1" applyFont="1" applyFill="1" applyBorder="1"/>
    <xf numFmtId="167" fontId="4" fillId="5" borderId="0" xfId="2" applyNumberFormat="1" applyFont="1" applyFill="1" applyBorder="1"/>
    <xf numFmtId="172" fontId="4" fillId="0" borderId="0" xfId="0" applyNumberFormat="1" applyFont="1"/>
    <xf numFmtId="172" fontId="4" fillId="5" borderId="0" xfId="0" applyNumberFormat="1" applyFont="1" applyFill="1"/>
    <xf numFmtId="172" fontId="4" fillId="0" borderId="0" xfId="0" applyNumberFormat="1" applyFont="1" applyAlignment="1">
      <alignment horizontal="right"/>
    </xf>
    <xf numFmtId="172" fontId="4" fillId="5" borderId="0" xfId="0" applyNumberFormat="1" applyFont="1" applyFill="1" applyAlignment="1">
      <alignment horizontal="right"/>
    </xf>
    <xf numFmtId="0" fontId="3" fillId="2" borderId="3" xfId="0" applyFont="1" applyFill="1" applyBorder="1" applyAlignment="1">
      <alignment horizontal="left"/>
    </xf>
    <xf numFmtId="166" fontId="5" fillId="0" borderId="0" xfId="0" applyNumberFormat="1" applyFont="1" applyAlignment="1">
      <alignment horizontal="right"/>
    </xf>
    <xf numFmtId="167" fontId="7" fillId="3" borderId="0" xfId="2" applyNumberFormat="1" applyFont="1" applyFill="1" applyAlignment="1">
      <alignment horizontal="right"/>
    </xf>
    <xf numFmtId="0" fontId="5" fillId="0" borderId="4" xfId="0" applyFont="1" applyBorder="1"/>
    <xf numFmtId="166" fontId="5" fillId="0" borderId="4" xfId="0" applyNumberFormat="1" applyFont="1" applyBorder="1" applyAlignment="1">
      <alignment horizontal="right"/>
    </xf>
    <xf numFmtId="37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4" fillId="5" borderId="0" xfId="0" applyNumberFormat="1" applyFont="1" applyFill="1" applyAlignment="1">
      <alignment horizontal="right"/>
    </xf>
    <xf numFmtId="172" fontId="5" fillId="0" borderId="0" xfId="0" applyNumberFormat="1" applyFont="1" applyAlignment="1">
      <alignment horizontal="right"/>
    </xf>
    <xf numFmtId="172" fontId="5" fillId="5" borderId="0" xfId="0" applyNumberFormat="1" applyFont="1" applyFill="1" applyAlignment="1">
      <alignment horizontal="right"/>
    </xf>
    <xf numFmtId="167" fontId="4" fillId="0" borderId="0" xfId="2" applyNumberFormat="1" applyFont="1"/>
    <xf numFmtId="167" fontId="4" fillId="5" borderId="0" xfId="2" applyNumberFormat="1" applyFont="1" applyFill="1"/>
    <xf numFmtId="164" fontId="10" fillId="0" borderId="0" xfId="1" applyFont="1" applyFill="1"/>
    <xf numFmtId="164" fontId="4" fillId="0" borderId="0" xfId="1" applyFont="1" applyFill="1"/>
    <xf numFmtId="165" fontId="4" fillId="2" borderId="2" xfId="0" applyNumberFormat="1" applyFont="1" applyFill="1" applyBorder="1" applyAlignment="1">
      <alignment horizontal="center"/>
    </xf>
    <xf numFmtId="166" fontId="10" fillId="0" borderId="0" xfId="1" applyNumberFormat="1" applyFont="1" applyFill="1" applyBorder="1"/>
    <xf numFmtId="173" fontId="10" fillId="0" borderId="0" xfId="1" applyNumberFormat="1" applyFont="1" applyFill="1" applyBorder="1"/>
    <xf numFmtId="0" fontId="15" fillId="0" borderId="0" xfId="0" applyFont="1" applyAlignment="1">
      <alignment horizontal="center"/>
    </xf>
    <xf numFmtId="164" fontId="20" fillId="0" borderId="0" xfId="1" applyFont="1" applyFill="1" applyBorder="1" applyAlignment="1">
      <alignment horizontal="left"/>
    </xf>
    <xf numFmtId="164" fontId="12" fillId="0" borderId="0" xfId="1" applyFont="1" applyFill="1" applyBorder="1" applyAlignment="1">
      <alignment horizontal="left"/>
    </xf>
    <xf numFmtId="3" fontId="10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169" fontId="5" fillId="0" borderId="0" xfId="1" applyNumberFormat="1" applyFont="1" applyFill="1" applyBorder="1" applyAlignment="1">
      <alignment horizontal="left"/>
    </xf>
    <xf numFmtId="169" fontId="5" fillId="0" borderId="0" xfId="1" applyNumberFormat="1" applyFont="1" applyFill="1" applyBorder="1" applyAlignment="1">
      <alignment horizontal="center"/>
    </xf>
    <xf numFmtId="169" fontId="4" fillId="0" borderId="0" xfId="1" applyNumberFormat="1" applyFont="1" applyFill="1" applyBorder="1"/>
    <xf numFmtId="169" fontId="6" fillId="0" borderId="0" xfId="1" applyNumberFormat="1" applyFont="1" applyFill="1" applyBorder="1" applyAlignment="1">
      <alignment horizontal="center"/>
    </xf>
    <xf numFmtId="169" fontId="15" fillId="0" borderId="0" xfId="0" applyNumberFormat="1" applyFont="1" applyAlignment="1">
      <alignment horizontal="center"/>
    </xf>
    <xf numFmtId="9" fontId="4" fillId="0" borderId="0" xfId="2" applyFont="1" applyFill="1" applyBorder="1" applyAlignment="1"/>
    <xf numFmtId="9" fontId="10" fillId="0" borderId="0" xfId="2" applyFont="1" applyFill="1" applyBorder="1" applyAlignment="1"/>
    <xf numFmtId="9" fontId="5" fillId="0" borderId="0" xfId="2" applyFont="1" applyFill="1" applyBorder="1" applyAlignment="1"/>
    <xf numFmtId="3" fontId="5" fillId="0" borderId="0" xfId="0" applyNumberFormat="1" applyFont="1"/>
    <xf numFmtId="169" fontId="4" fillId="0" borderId="0" xfId="1" applyNumberFormat="1" applyFont="1" applyFill="1" applyAlignment="1">
      <alignment horizontal="left" indent="1"/>
    </xf>
    <xf numFmtId="3" fontId="12" fillId="0" borderId="0" xfId="1" applyNumberFormat="1" applyFont="1"/>
    <xf numFmtId="3" fontId="12" fillId="0" borderId="0" xfId="1" applyNumberFormat="1" applyFont="1" applyFill="1"/>
    <xf numFmtId="0" fontId="4" fillId="0" borderId="0" xfId="0" applyFont="1" applyAlignment="1">
      <alignment horizontal="left" indent="3"/>
    </xf>
    <xf numFmtId="3" fontId="10" fillId="0" borderId="0" xfId="0" applyNumberFormat="1" applyFont="1"/>
    <xf numFmtId="3" fontId="12" fillId="0" borderId="0" xfId="0" applyNumberFormat="1" applyFont="1"/>
    <xf numFmtId="3" fontId="4" fillId="0" borderId="0" xfId="0" applyNumberFormat="1" applyFont="1"/>
    <xf numFmtId="0" fontId="4" fillId="0" borderId="0" xfId="0" applyFont="1" applyAlignment="1">
      <alignment horizontal="left" indent="1"/>
    </xf>
    <xf numFmtId="174" fontId="10" fillId="0" borderId="0" xfId="0" applyNumberFormat="1" applyFont="1"/>
    <xf numFmtId="169" fontId="12" fillId="0" borderId="0" xfId="0" applyNumberFormat="1" applyFont="1"/>
    <xf numFmtId="174" fontId="12" fillId="0" borderId="0" xfId="0" applyNumberFormat="1" applyFont="1"/>
    <xf numFmtId="174" fontId="4" fillId="0" borderId="0" xfId="0" applyNumberFormat="1" applyFont="1"/>
    <xf numFmtId="9" fontId="10" fillId="0" borderId="0" xfId="2" applyFont="1" applyFill="1"/>
    <xf numFmtId="167" fontId="10" fillId="0" borderId="0" xfId="2" applyNumberFormat="1" applyFont="1" applyFill="1"/>
    <xf numFmtId="164" fontId="12" fillId="0" borderId="0" xfId="1" applyFont="1" applyFill="1" applyBorder="1" applyAlignment="1">
      <alignment horizontal="left" indent="1"/>
    </xf>
    <xf numFmtId="164" fontId="12" fillId="0" borderId="0" xfId="1" applyFont="1" applyFill="1" applyBorder="1" applyAlignment="1">
      <alignment horizontal="left" indent="2"/>
    </xf>
    <xf numFmtId="164" fontId="12" fillId="0" borderId="0" xfId="1" applyFont="1" applyFill="1" applyBorder="1" applyAlignment="1">
      <alignment horizontal="left" indent="3"/>
    </xf>
    <xf numFmtId="168" fontId="5" fillId="0" borderId="0" xfId="1" applyNumberFormat="1" applyFont="1" applyFill="1" applyBorder="1" applyAlignment="1">
      <alignment horizontal="center"/>
    </xf>
    <xf numFmtId="169" fontId="5" fillId="0" borderId="0" xfId="1" applyNumberFormat="1" applyFont="1" applyFill="1" applyBorder="1" applyAlignment="1"/>
    <xf numFmtId="0" fontId="21" fillId="0" borderId="0" xfId="0" applyFont="1" applyAlignment="1">
      <alignment horizontal="left"/>
    </xf>
    <xf numFmtId="0" fontId="22" fillId="0" borderId="0" xfId="0" applyFont="1"/>
    <xf numFmtId="0" fontId="5" fillId="0" borderId="0" xfId="5" applyFont="1"/>
    <xf numFmtId="175" fontId="5" fillId="0" borderId="0" xfId="0" applyNumberFormat="1" applyFont="1" applyAlignment="1">
      <alignment horizontal="right"/>
    </xf>
    <xf numFmtId="0" fontId="5" fillId="0" borderId="0" xfId="5" applyFont="1" applyAlignment="1">
      <alignment wrapText="1"/>
    </xf>
    <xf numFmtId="0" fontId="14" fillId="0" borderId="0" xfId="5" applyFont="1" applyAlignment="1">
      <alignment wrapText="1"/>
    </xf>
    <xf numFmtId="17" fontId="5" fillId="3" borderId="6" xfId="5" applyNumberFormat="1" applyFont="1" applyFill="1" applyBorder="1" applyAlignment="1">
      <alignment horizontal="left" vertical="center" wrapText="1"/>
    </xf>
    <xf numFmtId="17" fontId="5" fillId="3" borderId="6" xfId="5" applyNumberFormat="1" applyFont="1" applyFill="1" applyBorder="1" applyAlignment="1">
      <alignment horizontal="center" vertical="center" wrapText="1"/>
    </xf>
    <xf numFmtId="0" fontId="5" fillId="3" borderId="6" xfId="5" applyFont="1" applyFill="1" applyBorder="1" applyAlignment="1">
      <alignment horizontal="right" wrapText="1"/>
    </xf>
    <xf numFmtId="0" fontId="4" fillId="3" borderId="0" xfId="5" applyFont="1" applyFill="1" applyAlignment="1">
      <alignment horizontal="left"/>
    </xf>
    <xf numFmtId="169" fontId="10" fillId="3" borderId="0" xfId="1" applyNumberFormat="1" applyFont="1" applyFill="1" applyBorder="1" applyAlignment="1">
      <alignment horizontal="center" wrapText="1"/>
    </xf>
    <xf numFmtId="169" fontId="4" fillId="3" borderId="0" xfId="1" applyNumberFormat="1" applyFont="1" applyFill="1" applyBorder="1" applyAlignment="1">
      <alignment horizontal="center" wrapText="1"/>
    </xf>
    <xf numFmtId="0" fontId="4" fillId="3" borderId="0" xfId="5" applyFont="1" applyFill="1" applyAlignment="1">
      <alignment horizontal="right" wrapText="1"/>
    </xf>
    <xf numFmtId="0" fontId="4" fillId="3" borderId="0" xfId="5" applyFont="1" applyFill="1" applyAlignment="1">
      <alignment horizontal="left" indent="2"/>
    </xf>
    <xf numFmtId="0" fontId="4" fillId="3" borderId="0" xfId="5" applyFont="1" applyFill="1"/>
    <xf numFmtId="0" fontId="5" fillId="3" borderId="0" xfId="5" applyFont="1" applyFill="1"/>
    <xf numFmtId="169" fontId="5" fillId="3" borderId="0" xfId="1" applyNumberFormat="1" applyFont="1" applyFill="1" applyBorder="1" applyAlignment="1">
      <alignment horizontal="center" wrapText="1"/>
    </xf>
    <xf numFmtId="0" fontId="5" fillId="3" borderId="0" xfId="5" applyFont="1" applyFill="1" applyAlignment="1">
      <alignment horizontal="right" wrapText="1"/>
    </xf>
    <xf numFmtId="169" fontId="5" fillId="3" borderId="0" xfId="5" applyNumberFormat="1" applyFont="1" applyFill="1" applyAlignment="1">
      <alignment horizontal="right" wrapText="1"/>
    </xf>
    <xf numFmtId="0" fontId="5" fillId="3" borderId="6" xfId="5" applyFont="1" applyFill="1" applyBorder="1"/>
    <xf numFmtId="169" fontId="5" fillId="3" borderId="6" xfId="1" applyNumberFormat="1" applyFont="1" applyFill="1" applyBorder="1"/>
    <xf numFmtId="172" fontId="5" fillId="3" borderId="6" xfId="5" applyNumberFormat="1" applyFont="1" applyFill="1" applyBorder="1"/>
    <xf numFmtId="172" fontId="4" fillId="3" borderId="0" xfId="5" applyNumberFormat="1" applyFont="1" applyFill="1"/>
    <xf numFmtId="169" fontId="5" fillId="3" borderId="3" xfId="1" applyNumberFormat="1" applyFont="1" applyFill="1" applyBorder="1"/>
    <xf numFmtId="169" fontId="4" fillId="3" borderId="0" xfId="5" applyNumberFormat="1" applyFont="1" applyFill="1"/>
    <xf numFmtId="172" fontId="5" fillId="3" borderId="0" xfId="5" applyNumberFormat="1" applyFont="1" applyFill="1"/>
    <xf numFmtId="169" fontId="5" fillId="3" borderId="0" xfId="1" applyNumberFormat="1" applyFont="1" applyFill="1" applyBorder="1"/>
    <xf numFmtId="169" fontId="4" fillId="3" borderId="0" xfId="0" applyNumberFormat="1" applyFont="1" applyFill="1"/>
    <xf numFmtId="0" fontId="17" fillId="0" borderId="0" xfId="5" applyFont="1"/>
    <xf numFmtId="0" fontId="5" fillId="3" borderId="0" xfId="5" applyFont="1" applyFill="1" applyAlignment="1">
      <alignment wrapText="1"/>
    </xf>
    <xf numFmtId="0" fontId="5" fillId="3" borderId="0" xfId="5" applyFont="1" applyFill="1" applyAlignment="1">
      <alignment horizontal="center" wrapText="1"/>
    </xf>
    <xf numFmtId="0" fontId="4" fillId="6" borderId="0" xfId="5" applyFont="1" applyFill="1" applyAlignment="1">
      <alignment horizontal="left"/>
    </xf>
    <xf numFmtId="37" fontId="10" fillId="6" borderId="0" xfId="5" applyNumberFormat="1" applyFont="1" applyFill="1"/>
    <xf numFmtId="37" fontId="4" fillId="6" borderId="0" xfId="5" applyNumberFormat="1" applyFont="1" applyFill="1"/>
    <xf numFmtId="0" fontId="5" fillId="6" borderId="0" xfId="5" applyFont="1" applyFill="1" applyAlignment="1">
      <alignment horizontal="left"/>
    </xf>
    <xf numFmtId="37" fontId="5" fillId="6" borderId="0" xfId="5" applyNumberFormat="1" applyFont="1" applyFill="1"/>
    <xf numFmtId="39" fontId="9" fillId="0" borderId="0" xfId="0" applyNumberFormat="1" applyFont="1" applyAlignment="1">
      <alignment horizontal="right"/>
    </xf>
    <xf numFmtId="175" fontId="10" fillId="0" borderId="0" xfId="0" applyNumberFormat="1" applyFont="1"/>
    <xf numFmtId="0" fontId="5" fillId="0" borderId="7" xfId="3" applyFont="1" applyBorder="1" applyAlignment="1">
      <alignment horizontal="left" wrapText="1"/>
    </xf>
    <xf numFmtId="0" fontId="5" fillId="0" borderId="7" xfId="3" applyFont="1" applyBorder="1" applyAlignment="1">
      <alignment horizontal="right"/>
    </xf>
    <xf numFmtId="0" fontId="4" fillId="0" borderId="7" xfId="3" applyFont="1" applyBorder="1" applyAlignment="1">
      <alignment horizontal="left" wrapText="1"/>
    </xf>
    <xf numFmtId="168" fontId="10" fillId="0" borderId="7" xfId="1" applyNumberFormat="1" applyFont="1" applyFill="1" applyBorder="1" applyAlignment="1">
      <alignment horizontal="right" wrapText="1"/>
    </xf>
    <xf numFmtId="168" fontId="4" fillId="0" borderId="7" xfId="1" applyNumberFormat="1" applyFont="1" applyFill="1" applyBorder="1" applyAlignment="1">
      <alignment horizontal="left" wrapText="1"/>
    </xf>
    <xf numFmtId="0" fontId="5" fillId="0" borderId="7" xfId="3" applyFont="1" applyBorder="1"/>
    <xf numFmtId="168" fontId="5" fillId="0" borderId="7" xfId="1" applyNumberFormat="1" applyFont="1" applyFill="1" applyBorder="1" applyAlignment="1">
      <alignment horizontal="left" wrapText="1"/>
    </xf>
    <xf numFmtId="0" fontId="4" fillId="0" borderId="7" xfId="3" applyFont="1" applyBorder="1" applyAlignment="1">
      <alignment horizontal="left" wrapText="1" indent="2"/>
    </xf>
    <xf numFmtId="168" fontId="4" fillId="0" borderId="7" xfId="1" applyNumberFormat="1" applyFont="1" applyFill="1" applyBorder="1" applyAlignment="1">
      <alignment horizontal="right" wrapText="1"/>
    </xf>
    <xf numFmtId="9" fontId="4" fillId="5" borderId="0" xfId="2" applyFont="1" applyFill="1" applyBorder="1" applyAlignment="1"/>
    <xf numFmtId="1" fontId="17" fillId="0" borderId="0" xfId="5" applyNumberFormat="1" applyFont="1"/>
    <xf numFmtId="0" fontId="0" fillId="0" borderId="0" xfId="0" applyAlignment="1">
      <alignment horizontal="center"/>
    </xf>
    <xf numFmtId="0" fontId="0" fillId="5" borderId="8" xfId="0" applyFill="1" applyBorder="1"/>
    <xf numFmtId="0" fontId="0" fillId="0" borderId="12" xfId="0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12" xfId="2" applyFont="1" applyBorder="1" applyAlignment="1">
      <alignment horizontal="center"/>
    </xf>
    <xf numFmtId="0" fontId="5" fillId="4" borderId="6" xfId="5" applyFont="1" applyFill="1" applyBorder="1" applyAlignment="1">
      <alignment horizontal="right" wrapText="1"/>
    </xf>
    <xf numFmtId="0" fontId="4" fillId="4" borderId="0" xfId="5" applyFont="1" applyFill="1" applyAlignment="1">
      <alignment horizontal="left"/>
    </xf>
    <xf numFmtId="169" fontId="10" fillId="4" borderId="0" xfId="1" applyNumberFormat="1" applyFont="1" applyFill="1" applyBorder="1" applyAlignment="1">
      <alignment horizontal="center" wrapText="1"/>
    </xf>
    <xf numFmtId="169" fontId="4" fillId="4" borderId="0" xfId="1" applyNumberFormat="1" applyFont="1" applyFill="1" applyBorder="1" applyAlignment="1">
      <alignment horizontal="center" wrapText="1"/>
    </xf>
    <xf numFmtId="0" fontId="5" fillId="0" borderId="0" xfId="3" applyFont="1" applyAlignment="1">
      <alignment horizontal="right"/>
    </xf>
    <xf numFmtId="168" fontId="10" fillId="0" borderId="0" xfId="1" applyNumberFormat="1" applyFont="1" applyFill="1" applyBorder="1" applyAlignment="1">
      <alignment horizontal="right" wrapText="1"/>
    </xf>
    <xf numFmtId="168" fontId="4" fillId="0" borderId="0" xfId="1" applyNumberFormat="1" applyFont="1" applyFill="1" applyBorder="1" applyAlignment="1">
      <alignment horizontal="right" wrapText="1"/>
    </xf>
    <xf numFmtId="168" fontId="4" fillId="0" borderId="0" xfId="1" applyNumberFormat="1" applyFont="1" applyFill="1" applyBorder="1" applyAlignment="1">
      <alignment horizontal="left" wrapText="1"/>
    </xf>
    <xf numFmtId="168" fontId="5" fillId="0" borderId="0" xfId="1" applyNumberFormat="1" applyFont="1" applyFill="1" applyBorder="1" applyAlignment="1">
      <alignment horizontal="left" wrapText="1"/>
    </xf>
    <xf numFmtId="172" fontId="5" fillId="4" borderId="6" xfId="5" applyNumberFormat="1" applyFont="1" applyFill="1" applyBorder="1"/>
    <xf numFmtId="172" fontId="4" fillId="4" borderId="0" xfId="5" applyNumberFormat="1" applyFont="1" applyFill="1"/>
    <xf numFmtId="9" fontId="0" fillId="0" borderId="0" xfId="2" applyFont="1"/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center" wrapText="1"/>
    </xf>
    <xf numFmtId="9" fontId="0" fillId="0" borderId="0" xfId="0" applyNumberFormat="1" applyAlignment="1">
      <alignment horizontal="center"/>
    </xf>
    <xf numFmtId="9" fontId="0" fillId="0" borderId="12" xfId="0" applyNumberFormat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24" fillId="0" borderId="0" xfId="0" applyFont="1" applyAlignment="1">
      <alignment horizontal="center"/>
    </xf>
    <xf numFmtId="0" fontId="25" fillId="5" borderId="9" xfId="0" applyFont="1" applyFill="1" applyBorder="1" applyAlignment="1">
      <alignment horizontal="center"/>
    </xf>
    <xf numFmtId="0" fontId="25" fillId="5" borderId="10" xfId="0" applyFont="1" applyFill="1" applyBorder="1" applyAlignment="1">
      <alignment horizontal="center"/>
    </xf>
    <xf numFmtId="0" fontId="25" fillId="0" borderId="11" xfId="0" applyFont="1" applyBorder="1"/>
    <xf numFmtId="0" fontId="25" fillId="0" borderId="13" xfId="0" applyFont="1" applyBorder="1"/>
    <xf numFmtId="9" fontId="10" fillId="0" borderId="0" xfId="2" applyFont="1" applyFill="1" applyBorder="1" applyAlignment="1">
      <alignment horizontal="right"/>
    </xf>
    <xf numFmtId="0" fontId="25" fillId="4" borderId="11" xfId="0" applyFont="1" applyFill="1" applyBorder="1"/>
    <xf numFmtId="9" fontId="0" fillId="4" borderId="0" xfId="0" applyNumberFormat="1" applyFill="1" applyAlignment="1">
      <alignment horizontal="center"/>
    </xf>
    <xf numFmtId="9" fontId="0" fillId="4" borderId="12" xfId="0" applyNumberFormat="1" applyFill="1" applyBorder="1" applyAlignment="1">
      <alignment horizontal="center"/>
    </xf>
    <xf numFmtId="167" fontId="13" fillId="0" borderId="0" xfId="2" applyNumberFormat="1" applyFont="1" applyFill="1"/>
    <xf numFmtId="0" fontId="0" fillId="0" borderId="2" xfId="0" applyBorder="1"/>
    <xf numFmtId="37" fontId="0" fillId="0" borderId="0" xfId="0" applyNumberFormat="1"/>
    <xf numFmtId="167" fontId="0" fillId="0" borderId="0" xfId="2" applyNumberFormat="1" applyFont="1"/>
    <xf numFmtId="176" fontId="10" fillId="0" borderId="0" xfId="0" applyNumberFormat="1" applyFont="1" applyAlignment="1">
      <alignment horizontal="right"/>
    </xf>
    <xf numFmtId="169" fontId="17" fillId="0" borderId="0" xfId="5" applyNumberFormat="1" applyFont="1"/>
    <xf numFmtId="174" fontId="10" fillId="0" borderId="0" xfId="0" applyNumberFormat="1" applyFont="1" applyAlignment="1">
      <alignment horizontal="right"/>
    </xf>
    <xf numFmtId="37" fontId="5" fillId="0" borderId="0" xfId="0" applyNumberFormat="1" applyFont="1"/>
    <xf numFmtId="0" fontId="4" fillId="3" borderId="0" xfId="1" applyNumberFormat="1" applyFont="1" applyFill="1" applyBorder="1" applyAlignment="1">
      <alignment horizontal="center" wrapText="1"/>
    </xf>
    <xf numFmtId="0" fontId="4" fillId="0" borderId="7" xfId="1" applyNumberFormat="1" applyFont="1" applyFill="1" applyBorder="1" applyAlignment="1">
      <alignment horizontal="right" wrapText="1"/>
    </xf>
    <xf numFmtId="177" fontId="4" fillId="3" borderId="0" xfId="1" applyNumberFormat="1" applyFont="1" applyFill="1" applyBorder="1" applyAlignment="1">
      <alignment horizontal="center" wrapText="1"/>
    </xf>
    <xf numFmtId="167" fontId="4" fillId="0" borderId="0" xfId="2" applyNumberFormat="1" applyFont="1" applyFill="1"/>
    <xf numFmtId="169" fontId="5" fillId="0" borderId="0" xfId="1" applyNumberFormat="1" applyFont="1" applyFill="1"/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 indent="1"/>
    </xf>
    <xf numFmtId="4" fontId="10" fillId="0" borderId="0" xfId="0" applyNumberFormat="1" applyFont="1" applyAlignment="1">
      <alignment horizontal="right"/>
    </xf>
    <xf numFmtId="164" fontId="4" fillId="3" borderId="0" xfId="1" applyFont="1" applyFill="1" applyBorder="1" applyAlignment="1">
      <alignment horizontal="center" wrapText="1"/>
    </xf>
    <xf numFmtId="164" fontId="4" fillId="0" borderId="7" xfId="1" applyFont="1" applyFill="1" applyBorder="1" applyAlignment="1">
      <alignment horizontal="right" wrapText="1"/>
    </xf>
    <xf numFmtId="169" fontId="0" fillId="0" borderId="0" xfId="0" applyNumberFormat="1"/>
    <xf numFmtId="37" fontId="10" fillId="0" borderId="0" xfId="5" applyNumberFormat="1" applyFont="1"/>
    <xf numFmtId="166" fontId="9" fillId="6" borderId="0" xfId="0" applyNumberFormat="1" applyFont="1" applyFill="1"/>
    <xf numFmtId="166" fontId="10" fillId="6" borderId="0" xfId="0" applyNumberFormat="1" applyFont="1" applyFill="1"/>
    <xf numFmtId="166" fontId="15" fillId="6" borderId="0" xfId="0" applyNumberFormat="1" applyFont="1" applyFill="1"/>
    <xf numFmtId="168" fontId="10" fillId="6" borderId="0" xfId="1" applyNumberFormat="1" applyFont="1" applyFill="1" applyBorder="1"/>
    <xf numFmtId="166" fontId="10" fillId="6" borderId="0" xfId="1" applyNumberFormat="1" applyFont="1" applyFill="1" applyBorder="1"/>
    <xf numFmtId="166" fontId="9" fillId="6" borderId="0" xfId="0" applyNumberFormat="1" applyFont="1" applyFill="1" applyAlignment="1">
      <alignment horizontal="right"/>
    </xf>
    <xf numFmtId="3" fontId="10" fillId="6" borderId="0" xfId="0" applyNumberFormat="1" applyFont="1" applyFill="1" applyAlignment="1">
      <alignment horizontal="right"/>
    </xf>
    <xf numFmtId="0" fontId="10" fillId="6" borderId="0" xfId="0" applyFont="1" applyFill="1" applyAlignment="1">
      <alignment horizontal="right"/>
    </xf>
    <xf numFmtId="3" fontId="10" fillId="6" borderId="0" xfId="0" applyNumberFormat="1" applyFont="1" applyFill="1"/>
    <xf numFmtId="174" fontId="10" fillId="6" borderId="0" xfId="0" applyNumberFormat="1" applyFont="1" applyFill="1"/>
    <xf numFmtId="167" fontId="10" fillId="6" borderId="0" xfId="2" applyNumberFormat="1" applyFont="1" applyFill="1"/>
    <xf numFmtId="168" fontId="10" fillId="6" borderId="7" xfId="1" applyNumberFormat="1" applyFont="1" applyFill="1" applyBorder="1" applyAlignment="1">
      <alignment horizontal="right" wrapText="1"/>
    </xf>
    <xf numFmtId="169" fontId="26" fillId="0" borderId="0" xfId="0" applyNumberFormat="1" applyFont="1"/>
    <xf numFmtId="167" fontId="8" fillId="0" borderId="0" xfId="2" applyNumberFormat="1" applyFont="1" applyFill="1" applyBorder="1"/>
    <xf numFmtId="169" fontId="5" fillId="0" borderId="0" xfId="1" applyNumberFormat="1" applyFont="1" applyFill="1" applyBorder="1"/>
    <xf numFmtId="167" fontId="7" fillId="0" borderId="0" xfId="2" applyNumberFormat="1" applyFont="1" applyFill="1" applyBorder="1" applyAlignment="1">
      <alignment horizontal="right"/>
    </xf>
    <xf numFmtId="167" fontId="4" fillId="0" borderId="0" xfId="2" applyNumberFormat="1" applyFont="1" applyFill="1" applyBorder="1" applyAlignment="1">
      <alignment horizontal="right"/>
    </xf>
    <xf numFmtId="164" fontId="4" fillId="0" borderId="0" xfId="1" applyFont="1" applyFill="1" applyBorder="1"/>
    <xf numFmtId="166" fontId="4" fillId="5" borderId="0" xfId="3" applyNumberFormat="1" applyFont="1" applyFill="1"/>
    <xf numFmtId="169" fontId="5" fillId="3" borderId="6" xfId="5" applyNumberFormat="1" applyFont="1" applyFill="1" applyBorder="1"/>
    <xf numFmtId="1" fontId="5" fillId="3" borderId="6" xfId="5" applyNumberFormat="1" applyFont="1" applyFill="1" applyBorder="1"/>
    <xf numFmtId="174" fontId="14" fillId="0" borderId="0" xfId="0" applyNumberFormat="1" applyFont="1"/>
    <xf numFmtId="0" fontId="24" fillId="0" borderId="0" xfId="0" applyFont="1"/>
    <xf numFmtId="3" fontId="20" fillId="0" borderId="0" xfId="0" applyNumberFormat="1" applyFont="1"/>
    <xf numFmtId="164" fontId="0" fillId="0" borderId="0" xfId="0" applyNumberFormat="1"/>
    <xf numFmtId="2" fontId="10" fillId="0" borderId="0" xfId="2" applyNumberFormat="1" applyFont="1" applyFill="1" applyBorder="1" applyAlignment="1">
      <alignment horizontal="right"/>
    </xf>
    <xf numFmtId="0" fontId="5" fillId="0" borderId="0" xfId="5" applyFont="1" applyAlignment="1">
      <alignment horizontal="center" wrapText="1"/>
    </xf>
    <xf numFmtId="0" fontId="25" fillId="0" borderId="0" xfId="0" applyFont="1"/>
    <xf numFmtId="0" fontId="0" fillId="0" borderId="0" xfId="0" applyAlignment="1">
      <alignment horizontal="left" indent="1"/>
    </xf>
    <xf numFmtId="4" fontId="25" fillId="0" borderId="0" xfId="0" applyNumberFormat="1" applyFont="1"/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5" xfId="0" applyBorder="1" applyAlignment="1">
      <alignment horizontal="right"/>
    </xf>
    <xf numFmtId="0" fontId="25" fillId="3" borderId="16" xfId="0" applyFont="1" applyFill="1" applyBorder="1"/>
    <xf numFmtId="0" fontId="0" fillId="3" borderId="17" xfId="0" applyFill="1" applyBorder="1"/>
    <xf numFmtId="39" fontId="6" fillId="0" borderId="0" xfId="0" applyNumberFormat="1" applyFont="1"/>
    <xf numFmtId="39" fontId="9" fillId="0" borderId="0" xfId="0" applyNumberFormat="1" applyFont="1"/>
    <xf numFmtId="168" fontId="10" fillId="0" borderId="0" xfId="0" applyNumberFormat="1" applyFont="1"/>
    <xf numFmtId="4" fontId="5" fillId="0" borderId="0" xfId="0" applyNumberFormat="1" applyFont="1"/>
    <xf numFmtId="178" fontId="5" fillId="0" borderId="0" xfId="0" applyNumberFormat="1" applyFont="1"/>
    <xf numFmtId="17" fontId="5" fillId="2" borderId="6" xfId="5" applyNumberFormat="1" applyFont="1" applyFill="1" applyBorder="1" applyAlignment="1">
      <alignment horizontal="left" vertical="center" wrapText="1"/>
    </xf>
    <xf numFmtId="17" fontId="5" fillId="2" borderId="6" xfId="5" applyNumberFormat="1" applyFont="1" applyFill="1" applyBorder="1" applyAlignment="1">
      <alignment horizontal="center" vertical="center" wrapText="1"/>
    </xf>
    <xf numFmtId="0" fontId="5" fillId="2" borderId="6" xfId="5" applyFont="1" applyFill="1" applyBorder="1" applyAlignment="1">
      <alignment horizontal="center" vertical="center" wrapText="1"/>
    </xf>
    <xf numFmtId="0" fontId="4" fillId="6" borderId="11" xfId="5" applyFont="1" applyFill="1" applyBorder="1" applyAlignment="1">
      <alignment horizontal="left"/>
    </xf>
    <xf numFmtId="37" fontId="4" fillId="6" borderId="12" xfId="5" applyNumberFormat="1" applyFont="1" applyFill="1" applyBorder="1"/>
    <xf numFmtId="168" fontId="10" fillId="6" borderId="0" xfId="1" applyNumberFormat="1" applyFont="1" applyFill="1" applyBorder="1" applyAlignment="1">
      <alignment horizontal="right" wrapText="1"/>
    </xf>
    <xf numFmtId="0" fontId="4" fillId="0" borderId="0" xfId="5" applyFont="1" applyAlignment="1">
      <alignment horizontal="left"/>
    </xf>
    <xf numFmtId="169" fontId="10" fillId="0" borderId="0" xfId="1" applyNumberFormat="1" applyFont="1" applyFill="1" applyBorder="1" applyAlignment="1">
      <alignment horizontal="center" wrapText="1"/>
    </xf>
    <xf numFmtId="169" fontId="4" fillId="0" borderId="0" xfId="1" applyNumberFormat="1" applyFont="1" applyFill="1" applyBorder="1" applyAlignment="1">
      <alignment horizontal="center" wrapText="1"/>
    </xf>
    <xf numFmtId="0" fontId="4" fillId="0" borderId="0" xfId="5" applyFont="1" applyAlignment="1">
      <alignment horizontal="right" wrapText="1"/>
    </xf>
    <xf numFmtId="0" fontId="4" fillId="0" borderId="0" xfId="5" applyFont="1" applyAlignment="1">
      <alignment horizontal="left" indent="2"/>
    </xf>
    <xf numFmtId="169" fontId="5" fillId="0" borderId="0" xfId="1" applyNumberFormat="1" applyFont="1" applyFill="1" applyBorder="1" applyAlignment="1">
      <alignment horizontal="center" wrapText="1"/>
    </xf>
    <xf numFmtId="0" fontId="5" fillId="0" borderId="0" xfId="5" applyFont="1" applyAlignment="1">
      <alignment horizontal="right" wrapText="1"/>
    </xf>
    <xf numFmtId="169" fontId="5" fillId="0" borderId="0" xfId="5" applyNumberFormat="1" applyFont="1" applyAlignment="1">
      <alignment horizontal="right" wrapText="1"/>
    </xf>
    <xf numFmtId="0" fontId="4" fillId="0" borderId="0" xfId="5" applyFont="1"/>
    <xf numFmtId="0" fontId="5" fillId="0" borderId="6" xfId="5" applyFont="1" applyBorder="1"/>
    <xf numFmtId="169" fontId="5" fillId="0" borderId="6" xfId="1" applyNumberFormat="1" applyFont="1" applyFill="1" applyBorder="1"/>
    <xf numFmtId="172" fontId="5" fillId="0" borderId="6" xfId="5" applyNumberFormat="1" applyFont="1" applyBorder="1"/>
    <xf numFmtId="172" fontId="5" fillId="0" borderId="0" xfId="5" applyNumberFormat="1" applyFont="1"/>
    <xf numFmtId="169" fontId="5" fillId="0" borderId="6" xfId="5" applyNumberFormat="1" applyFont="1" applyBorder="1"/>
    <xf numFmtId="172" fontId="4" fillId="0" borderId="0" xfId="5" applyNumberFormat="1" applyFont="1"/>
    <xf numFmtId="169" fontId="5" fillId="0" borderId="3" xfId="1" applyNumberFormat="1" applyFont="1" applyFill="1" applyBorder="1"/>
    <xf numFmtId="169" fontId="4" fillId="0" borderId="0" xfId="0" applyNumberFormat="1" applyFont="1"/>
    <xf numFmtId="0" fontId="4" fillId="0" borderId="11" xfId="3" applyFont="1" applyBorder="1" applyAlignment="1">
      <alignment horizontal="left" wrapText="1"/>
    </xf>
    <xf numFmtId="168" fontId="4" fillId="0" borderId="12" xfId="1" applyNumberFormat="1" applyFont="1" applyFill="1" applyBorder="1" applyAlignment="1">
      <alignment horizontal="right" wrapText="1"/>
    </xf>
    <xf numFmtId="0" fontId="5" fillId="2" borderId="18" xfId="3" applyFont="1" applyFill="1" applyBorder="1" applyAlignment="1">
      <alignment vertical="center" wrapText="1"/>
    </xf>
    <xf numFmtId="17" fontId="5" fillId="2" borderId="19" xfId="3" applyNumberFormat="1" applyFont="1" applyFill="1" applyBorder="1" applyAlignment="1">
      <alignment horizontal="center" vertical="center"/>
    </xf>
    <xf numFmtId="17" fontId="5" fillId="2" borderId="20" xfId="3" applyNumberFormat="1" applyFont="1" applyFill="1" applyBorder="1" applyAlignment="1">
      <alignment horizontal="center" vertical="center"/>
    </xf>
    <xf numFmtId="0" fontId="5" fillId="0" borderId="18" xfId="3" applyFont="1" applyBorder="1" applyAlignment="1">
      <alignment horizontal="left" wrapText="1"/>
    </xf>
    <xf numFmtId="168" fontId="5" fillId="0" borderId="19" xfId="1" applyNumberFormat="1" applyFont="1" applyFill="1" applyBorder="1" applyAlignment="1">
      <alignment horizontal="right" wrapText="1"/>
    </xf>
    <xf numFmtId="168" fontId="10" fillId="0" borderId="12" xfId="1" applyNumberFormat="1" applyFont="1" applyFill="1" applyBorder="1" applyAlignment="1">
      <alignment horizontal="right" wrapText="1"/>
    </xf>
    <xf numFmtId="0" fontId="4" fillId="0" borderId="11" xfId="3" applyFont="1" applyBorder="1" applyAlignment="1">
      <alignment horizontal="left" wrapText="1" indent="2"/>
    </xf>
    <xf numFmtId="164" fontId="4" fillId="0" borderId="12" xfId="1" applyFont="1" applyFill="1" applyBorder="1" applyAlignment="1">
      <alignment horizontal="right" wrapText="1"/>
    </xf>
    <xf numFmtId="0" fontId="5" fillId="2" borderId="18" xfId="3" applyFont="1" applyFill="1" applyBorder="1" applyAlignment="1">
      <alignment horizontal="left" wrapText="1"/>
    </xf>
    <xf numFmtId="0" fontId="5" fillId="0" borderId="18" xfId="3" applyFont="1" applyBorder="1"/>
    <xf numFmtId="168" fontId="5" fillId="0" borderId="19" xfId="1" applyNumberFormat="1" applyFont="1" applyFill="1" applyBorder="1" applyAlignment="1">
      <alignment horizontal="left" wrapText="1"/>
    </xf>
    <xf numFmtId="168" fontId="5" fillId="0" borderId="20" xfId="1" applyNumberFormat="1" applyFont="1" applyFill="1" applyBorder="1" applyAlignment="1">
      <alignment horizontal="left" wrapText="1"/>
    </xf>
    <xf numFmtId="0" fontId="5" fillId="2" borderId="21" xfId="3" applyFont="1" applyFill="1" applyBorder="1" applyAlignment="1">
      <alignment horizontal="left" wrapText="1"/>
    </xf>
    <xf numFmtId="17" fontId="5" fillId="2" borderId="22" xfId="3" applyNumberFormat="1" applyFont="1" applyFill="1" applyBorder="1" applyAlignment="1">
      <alignment horizontal="center" vertical="center"/>
    </xf>
    <xf numFmtId="17" fontId="5" fillId="2" borderId="23" xfId="3" applyNumberFormat="1" applyFont="1" applyFill="1" applyBorder="1" applyAlignment="1">
      <alignment horizontal="center" vertical="center"/>
    </xf>
    <xf numFmtId="0" fontId="5" fillId="6" borderId="18" xfId="5" applyFont="1" applyFill="1" applyBorder="1" applyAlignment="1">
      <alignment horizontal="left"/>
    </xf>
    <xf numFmtId="37" fontId="5" fillId="6" borderId="19" xfId="5" applyNumberFormat="1" applyFont="1" applyFill="1" applyBorder="1"/>
    <xf numFmtId="37" fontId="5" fillId="6" borderId="20" xfId="5" applyNumberFormat="1" applyFont="1" applyFill="1" applyBorder="1"/>
    <xf numFmtId="169" fontId="5" fillId="3" borderId="6" xfId="1" applyNumberFormat="1" applyFont="1" applyFill="1" applyBorder="1" applyAlignment="1">
      <alignment horizontal="center"/>
    </xf>
    <xf numFmtId="172" fontId="5" fillId="3" borderId="6" xfId="5" applyNumberFormat="1" applyFont="1" applyFill="1" applyBorder="1" applyAlignment="1">
      <alignment horizontal="center"/>
    </xf>
    <xf numFmtId="172" fontId="4" fillId="3" borderId="0" xfId="5" applyNumberFormat="1" applyFont="1" applyFill="1" applyAlignment="1">
      <alignment horizontal="center"/>
    </xf>
    <xf numFmtId="169" fontId="4" fillId="3" borderId="0" xfId="0" applyNumberFormat="1" applyFont="1" applyFill="1" applyAlignment="1">
      <alignment horizontal="center"/>
    </xf>
    <xf numFmtId="0" fontId="4" fillId="3" borderId="0" xfId="5" applyFont="1" applyFill="1" applyAlignment="1">
      <alignment horizontal="center"/>
    </xf>
    <xf numFmtId="0" fontId="12" fillId="0" borderId="0" xfId="0" applyFont="1"/>
    <xf numFmtId="169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9" fontId="10" fillId="0" borderId="0" xfId="0" applyNumberFormat="1" applyFont="1" applyAlignment="1">
      <alignment horizontal="center"/>
    </xf>
    <xf numFmtId="9" fontId="12" fillId="0" borderId="0" xfId="2" applyFont="1"/>
    <xf numFmtId="0" fontId="20" fillId="2" borderId="16" xfId="0" applyFont="1" applyFill="1" applyBorder="1"/>
    <xf numFmtId="0" fontId="12" fillId="2" borderId="17" xfId="0" applyFont="1" applyFill="1" applyBorder="1"/>
    <xf numFmtId="0" fontId="12" fillId="0" borderId="11" xfId="0" applyFont="1" applyBorder="1"/>
    <xf numFmtId="0" fontId="10" fillId="0" borderId="12" xfId="0" applyFont="1" applyBorder="1" applyAlignment="1">
      <alignment horizontal="right"/>
    </xf>
    <xf numFmtId="0" fontId="12" fillId="0" borderId="13" xfId="0" applyFont="1" applyBorder="1"/>
    <xf numFmtId="0" fontId="10" fillId="0" borderId="15" xfId="0" applyFont="1" applyBorder="1" applyAlignment="1">
      <alignment horizontal="right"/>
    </xf>
    <xf numFmtId="164" fontId="12" fillId="0" borderId="0" xfId="0" applyNumberFormat="1" applyFont="1"/>
    <xf numFmtId="0" fontId="13" fillId="0" borderId="0" xfId="5" applyFont="1"/>
    <xf numFmtId="169" fontId="13" fillId="0" borderId="0" xfId="5" applyNumberFormat="1" applyFont="1"/>
    <xf numFmtId="1" fontId="13" fillId="0" borderId="0" xfId="5" applyNumberFormat="1" applyFont="1"/>
    <xf numFmtId="3" fontId="0" fillId="0" borderId="0" xfId="0" applyNumberFormat="1"/>
    <xf numFmtId="166" fontId="9" fillId="7" borderId="0" xfId="0" applyNumberFormat="1" applyFont="1" applyFill="1"/>
    <xf numFmtId="168" fontId="5" fillId="0" borderId="0" xfId="1" applyNumberFormat="1" applyFont="1" applyFill="1"/>
    <xf numFmtId="168" fontId="5" fillId="0" borderId="0" xfId="0" applyNumberFormat="1" applyFont="1"/>
    <xf numFmtId="168" fontId="5" fillId="0" borderId="0" xfId="1" applyNumberFormat="1" applyFont="1" applyFill="1" applyBorder="1"/>
    <xf numFmtId="164" fontId="10" fillId="8" borderId="0" xfId="1" applyFont="1" applyFill="1"/>
    <xf numFmtId="3" fontId="12" fillId="0" borderId="0" xfId="1" applyNumberFormat="1" applyFont="1" applyFill="1" applyBorder="1"/>
    <xf numFmtId="9" fontId="4" fillId="0" borderId="0" xfId="2" applyFont="1" applyFill="1" applyBorder="1"/>
    <xf numFmtId="3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27" fillId="0" borderId="0" xfId="0" applyFont="1"/>
    <xf numFmtId="9" fontId="12" fillId="9" borderId="0" xfId="2" applyFont="1" applyFill="1"/>
    <xf numFmtId="0" fontId="18" fillId="2" borderId="16" xfId="0" applyFont="1" applyFill="1" applyBorder="1"/>
    <xf numFmtId="0" fontId="14" fillId="7" borderId="0" xfId="0" applyFont="1" applyFill="1" applyAlignment="1">
      <alignment horizontal="left"/>
    </xf>
    <xf numFmtId="166" fontId="4" fillId="7" borderId="0" xfId="0" applyNumberFormat="1" applyFont="1" applyFill="1"/>
    <xf numFmtId="3" fontId="0" fillId="0" borderId="0" xfId="0" applyNumberFormat="1" applyAlignment="1">
      <alignment wrapText="1"/>
    </xf>
    <xf numFmtId="0" fontId="7" fillId="0" borderId="0" xfId="0" applyFont="1" applyAlignment="1">
      <alignment horizontal="left"/>
    </xf>
    <xf numFmtId="37" fontId="7" fillId="0" borderId="0" xfId="0" applyNumberFormat="1" applyFont="1"/>
    <xf numFmtId="37" fontId="7" fillId="5" borderId="0" xfId="3" applyNumberFormat="1" applyFont="1" applyFill="1"/>
    <xf numFmtId="37" fontId="7" fillId="3" borderId="0" xfId="3" applyNumberFormat="1" applyFont="1" applyFill="1"/>
    <xf numFmtId="170" fontId="5" fillId="0" borderId="0" xfId="3" applyNumberFormat="1" applyFont="1" applyAlignment="1">
      <alignment horizontal="left" indent="3"/>
    </xf>
    <xf numFmtId="170" fontId="5" fillId="5" borderId="0" xfId="3" applyNumberFormat="1" applyFont="1" applyFill="1" applyAlignment="1">
      <alignment horizontal="left" indent="3"/>
    </xf>
    <xf numFmtId="0" fontId="4" fillId="8" borderId="0" xfId="0" applyFont="1" applyFill="1"/>
    <xf numFmtId="166" fontId="4" fillId="3" borderId="0" xfId="0" applyNumberFormat="1" applyFont="1" applyFill="1" applyAlignment="1">
      <alignment horizontal="right"/>
    </xf>
    <xf numFmtId="0" fontId="5" fillId="0" borderId="0" xfId="3" applyFont="1" applyAlignment="1">
      <alignment horizontal="left" wrapText="1"/>
    </xf>
    <xf numFmtId="168" fontId="5" fillId="0" borderId="0" xfId="1" applyNumberFormat="1" applyFont="1" applyFill="1" applyBorder="1" applyAlignment="1">
      <alignment horizontal="right" wrapText="1"/>
    </xf>
    <xf numFmtId="169" fontId="4" fillId="0" borderId="3" xfId="1" applyNumberFormat="1" applyFont="1" applyFill="1" applyBorder="1"/>
    <xf numFmtId="169" fontId="4" fillId="0" borderId="0" xfId="0" applyNumberFormat="1" applyFont="1" applyAlignment="1">
      <alignment horizontal="center"/>
    </xf>
    <xf numFmtId="169" fontId="5" fillId="0" borderId="6" xfId="1" applyNumberFormat="1" applyFont="1" applyFill="1" applyBorder="1" applyAlignment="1">
      <alignment horizontal="center"/>
    </xf>
    <xf numFmtId="172" fontId="5" fillId="0" borderId="6" xfId="5" applyNumberFormat="1" applyFont="1" applyBorder="1" applyAlignment="1">
      <alignment horizontal="center"/>
    </xf>
    <xf numFmtId="172" fontId="4" fillId="0" borderId="0" xfId="5" applyNumberFormat="1" applyFont="1" applyAlignment="1">
      <alignment horizontal="center"/>
    </xf>
    <xf numFmtId="0" fontId="4" fillId="0" borderId="0" xfId="5" applyFont="1" applyAlignment="1">
      <alignment horizontal="center"/>
    </xf>
    <xf numFmtId="0" fontId="5" fillId="7" borderId="0" xfId="3" applyFont="1" applyFill="1" applyAlignment="1">
      <alignment horizontal="left"/>
    </xf>
    <xf numFmtId="0" fontId="17" fillId="0" borderId="0" xfId="0" applyFont="1" applyAlignment="1">
      <alignment horizontal="left" indent="1"/>
    </xf>
    <xf numFmtId="167" fontId="5" fillId="0" borderId="0" xfId="2" applyNumberFormat="1" applyFont="1"/>
    <xf numFmtId="167" fontId="5" fillId="5" borderId="0" xfId="2" applyNumberFormat="1" applyFont="1" applyFill="1"/>
    <xf numFmtId="164" fontId="4" fillId="8" borderId="0" xfId="1" applyFont="1" applyFill="1"/>
    <xf numFmtId="167" fontId="5" fillId="0" borderId="5" xfId="0" applyNumberFormat="1" applyFont="1" applyBorder="1"/>
    <xf numFmtId="167" fontId="5" fillId="0" borderId="5" xfId="2" applyNumberFormat="1" applyFont="1" applyFill="1" applyBorder="1" applyAlignment="1">
      <alignment horizontal="right"/>
    </xf>
    <xf numFmtId="167" fontId="5" fillId="0" borderId="0" xfId="0" applyNumberFormat="1" applyFont="1"/>
    <xf numFmtId="164" fontId="17" fillId="0" borderId="0" xfId="1" applyFont="1" applyFill="1" applyBorder="1" applyAlignment="1">
      <alignment horizontal="left"/>
    </xf>
    <xf numFmtId="169" fontId="17" fillId="0" borderId="0" xfId="1" applyNumberFormat="1" applyFont="1" applyFill="1" applyBorder="1" applyAlignment="1">
      <alignment horizontal="left"/>
    </xf>
    <xf numFmtId="168" fontId="17" fillId="0" borderId="0" xfId="1" applyNumberFormat="1" applyFont="1" applyFill="1" applyBorder="1" applyAlignment="1">
      <alignment horizontal="left"/>
    </xf>
    <xf numFmtId="0" fontId="28" fillId="0" borderId="0" xfId="0" applyFont="1"/>
    <xf numFmtId="173" fontId="17" fillId="0" borderId="0" xfId="1" applyNumberFormat="1" applyFont="1" applyFill="1" applyBorder="1" applyAlignment="1">
      <alignment horizontal="left"/>
    </xf>
    <xf numFmtId="169" fontId="4" fillId="0" borderId="0" xfId="1" applyNumberFormat="1" applyFont="1" applyFill="1" applyBorder="1" applyAlignment="1">
      <alignment horizontal="left" indent="1"/>
    </xf>
    <xf numFmtId="169" fontId="5" fillId="0" borderId="0" xfId="1" applyNumberFormat="1" applyFont="1" applyFill="1" applyBorder="1" applyAlignment="1">
      <alignment horizontal="left" indent="1"/>
    </xf>
    <xf numFmtId="0" fontId="20" fillId="0" borderId="0" xfId="0" applyFont="1"/>
    <xf numFmtId="164" fontId="20" fillId="0" borderId="0" xfId="0" applyNumberFormat="1" applyFont="1"/>
    <xf numFmtId="175" fontId="4" fillId="0" borderId="0" xfId="0" applyNumberFormat="1" applyFont="1" applyAlignment="1">
      <alignment horizontal="right"/>
    </xf>
    <xf numFmtId="0" fontId="29" fillId="0" borderId="0" xfId="0" applyFont="1"/>
    <xf numFmtId="168" fontId="30" fillId="0" borderId="0" xfId="1" applyNumberFormat="1" applyFont="1" applyFill="1" applyBorder="1" applyAlignment="1">
      <alignment horizontal="right" wrapText="1"/>
    </xf>
    <xf numFmtId="168" fontId="5" fillId="0" borderId="20" xfId="1" applyNumberFormat="1" applyFont="1" applyFill="1" applyBorder="1" applyAlignment="1">
      <alignment horizontal="right" wrapText="1"/>
    </xf>
    <xf numFmtId="166" fontId="10" fillId="6" borderId="0" xfId="5" applyNumberFormat="1" applyFont="1" applyFill="1"/>
    <xf numFmtId="166" fontId="4" fillId="6" borderId="12" xfId="5" applyNumberFormat="1" applyFont="1" applyFill="1" applyBorder="1"/>
    <xf numFmtId="166" fontId="5" fillId="6" borderId="19" xfId="5" applyNumberFormat="1" applyFont="1" applyFill="1" applyBorder="1"/>
    <xf numFmtId="166" fontId="5" fillId="6" borderId="20" xfId="5" applyNumberFormat="1" applyFont="1" applyFill="1" applyBorder="1"/>
    <xf numFmtId="166" fontId="10" fillId="0" borderId="0" xfId="5" applyNumberFormat="1" applyFont="1"/>
    <xf numFmtId="164" fontId="10" fillId="6" borderId="0" xfId="1" applyFont="1" applyFill="1" applyBorder="1" applyAlignment="1">
      <alignment horizontal="right" wrapText="1"/>
    </xf>
    <xf numFmtId="164" fontId="4" fillId="0" borderId="0" xfId="1" applyFont="1" applyFill="1" applyBorder="1" applyAlignment="1">
      <alignment horizontal="right" wrapText="1"/>
    </xf>
    <xf numFmtId="164" fontId="10" fillId="0" borderId="12" xfId="1" applyFont="1" applyFill="1" applyBorder="1" applyAlignment="1">
      <alignment horizontal="right" wrapText="1"/>
    </xf>
    <xf numFmtId="164" fontId="10" fillId="0" borderId="0" xfId="1" applyFont="1" applyFill="1" applyBorder="1" applyAlignment="1">
      <alignment horizontal="right" wrapText="1"/>
    </xf>
    <xf numFmtId="164" fontId="4" fillId="0" borderId="0" xfId="1" applyFont="1" applyFill="1" applyBorder="1" applyAlignment="1">
      <alignment horizontal="left" wrapText="1"/>
    </xf>
    <xf numFmtId="164" fontId="5" fillId="0" borderId="19" xfId="1" applyFont="1" applyFill="1" applyBorder="1" applyAlignment="1">
      <alignment horizontal="left" wrapText="1"/>
    </xf>
    <xf numFmtId="164" fontId="5" fillId="0" borderId="20" xfId="1" applyFont="1" applyFill="1" applyBorder="1" applyAlignment="1">
      <alignment horizontal="left" wrapText="1"/>
    </xf>
    <xf numFmtId="168" fontId="10" fillId="0" borderId="0" xfId="1" applyNumberFormat="1" applyFont="1" applyFill="1" applyBorder="1" applyAlignment="1">
      <alignment horizontal="center" wrapText="1"/>
    </xf>
    <xf numFmtId="168" fontId="4" fillId="0" borderId="0" xfId="1" applyNumberFormat="1" applyFont="1" applyFill="1" applyBorder="1" applyAlignment="1">
      <alignment horizontal="center" wrapText="1"/>
    </xf>
    <xf numFmtId="168" fontId="5" fillId="0" borderId="0" xfId="1" applyNumberFormat="1" applyFont="1" applyFill="1" applyBorder="1" applyAlignment="1">
      <alignment horizontal="center" wrapText="1"/>
    </xf>
    <xf numFmtId="168" fontId="5" fillId="0" borderId="6" xfId="1" applyNumberFormat="1" applyFont="1" applyFill="1" applyBorder="1"/>
    <xf numFmtId="168" fontId="5" fillId="0" borderId="6" xfId="5" applyNumberFormat="1" applyFont="1" applyBorder="1"/>
    <xf numFmtId="168" fontId="4" fillId="0" borderId="3" xfId="1" applyNumberFormat="1" applyFont="1" applyFill="1" applyBorder="1"/>
    <xf numFmtId="0" fontId="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Continuous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165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164" fontId="6" fillId="0" borderId="0" xfId="1" applyFont="1" applyFill="1" applyBorder="1" applyAlignment="1">
      <alignment horizontal="center" vertical="center"/>
    </xf>
    <xf numFmtId="164" fontId="5" fillId="0" borderId="0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166" fontId="18" fillId="0" borderId="0" xfId="0" applyNumberFormat="1" applyFont="1"/>
    <xf numFmtId="170" fontId="4" fillId="0" borderId="0" xfId="0" applyNumberFormat="1" applyFont="1" applyAlignment="1">
      <alignment horizontal="left" indent="3"/>
    </xf>
    <xf numFmtId="170" fontId="5" fillId="0" borderId="0" xfId="0" applyNumberFormat="1" applyFont="1"/>
    <xf numFmtId="171" fontId="4" fillId="0" borderId="0" xfId="0" applyNumberFormat="1" applyFont="1"/>
    <xf numFmtId="165" fontId="5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7" fontId="5" fillId="0" borderId="0" xfId="0" applyNumberFormat="1" applyFont="1" applyAlignment="1">
      <alignment horizontal="right"/>
    </xf>
    <xf numFmtId="165" fontId="5" fillId="2" borderId="0" xfId="0" applyNumberFormat="1" applyFont="1" applyFill="1" applyAlignment="1">
      <alignment horizontal="centerContinuous" vertical="center"/>
    </xf>
    <xf numFmtId="165" fontId="5" fillId="0" borderId="0" xfId="0" applyNumberFormat="1" applyFont="1" applyAlignment="1">
      <alignment horizontal="centerContinuous" vertic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6" fillId="2" borderId="0" xfId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5" fontId="5" fillId="9" borderId="0" xfId="0" applyNumberFormat="1" applyFont="1" applyFill="1" applyAlignment="1">
      <alignment horizontal="center" vertical="center"/>
    </xf>
    <xf numFmtId="165" fontId="5" fillId="9" borderId="0" xfId="0" applyNumberFormat="1" applyFont="1" applyFill="1" applyAlignment="1">
      <alignment horizontal="centerContinuous" vertical="center"/>
    </xf>
    <xf numFmtId="0" fontId="5" fillId="9" borderId="0" xfId="0" applyFont="1" applyFill="1"/>
    <xf numFmtId="0" fontId="12" fillId="9" borderId="0" xfId="0" applyFont="1" applyFill="1"/>
    <xf numFmtId="17" fontId="5" fillId="2" borderId="6" xfId="5" applyNumberFormat="1" applyFont="1" applyFill="1" applyBorder="1" applyAlignment="1">
      <alignment horizontal="left" vertical="center"/>
    </xf>
    <xf numFmtId="17" fontId="5" fillId="2" borderId="6" xfId="5" applyNumberFormat="1" applyFont="1" applyFill="1" applyBorder="1" applyAlignment="1">
      <alignment horizontal="center" vertical="center"/>
    </xf>
    <xf numFmtId="0" fontId="5" fillId="2" borderId="6" xfId="5" applyFont="1" applyFill="1" applyBorder="1" applyAlignment="1">
      <alignment horizontal="center" vertical="center"/>
    </xf>
    <xf numFmtId="168" fontId="4" fillId="0" borderId="12" xfId="1" applyNumberFormat="1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Continuous" vertical="center"/>
    </xf>
    <xf numFmtId="0" fontId="5" fillId="3" borderId="3" xfId="5" applyFont="1" applyFill="1" applyBorder="1" applyAlignment="1">
      <alignment horizontal="center" wrapText="1"/>
    </xf>
    <xf numFmtId="0" fontId="5" fillId="3" borderId="0" xfId="5" applyFont="1" applyFill="1" applyAlignment="1">
      <alignment horizontal="center" wrapText="1"/>
    </xf>
  </cellXfs>
  <cellStyles count="6">
    <cellStyle name="Comma" xfId="1" builtinId="3"/>
    <cellStyle name="Normal" xfId="0" builtinId="0"/>
    <cellStyle name="Normal 2" xfId="3" xr:uid="{00000000-0005-0000-0000-000002000000}"/>
    <cellStyle name="Normal 2 2" xfId="5" xr:uid="{00000000-0005-0000-0000-000003000000}"/>
    <cellStyle name="Percent" xfId="2" builtinId="5"/>
    <cellStyle name="Percent 101" xfId="4" xr:uid="{00000000-0005-0000-0000-000005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87">
          <cell r="A87">
            <v>22701.339</v>
          </cell>
        </row>
        <row r="119">
          <cell r="A119">
            <v>35702.800000000003</v>
          </cell>
        </row>
        <row r="120">
          <cell r="A120">
            <v>435899.88199999998</v>
          </cell>
        </row>
        <row r="122">
          <cell r="A122">
            <v>19700.518</v>
          </cell>
        </row>
        <row r="127">
          <cell r="A127">
            <v>177784.864</v>
          </cell>
        </row>
        <row r="201">
          <cell r="A201">
            <v>60.295000000000002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141"/>
  <sheetViews>
    <sheetView showGridLines="0" zoomScaleNormal="100" workbookViewId="0">
      <selection activeCell="S1" sqref="S1"/>
    </sheetView>
  </sheetViews>
  <sheetFormatPr defaultRowHeight="14.5" x14ac:dyDescent="0.35"/>
  <cols>
    <col min="1" max="1" width="18.54296875" customWidth="1"/>
    <col min="2" max="2" width="50.7265625" customWidth="1"/>
    <col min="3" max="6" width="12.7265625" customWidth="1"/>
    <col min="7" max="9" width="5.26953125" customWidth="1"/>
    <col min="10" max="10" width="36.54296875" customWidth="1"/>
    <col min="11" max="11" width="12.81640625" customWidth="1"/>
    <col min="12" max="12" width="14.7265625" customWidth="1"/>
    <col min="13" max="14" width="13.81640625" customWidth="1"/>
  </cols>
  <sheetData>
    <row r="2" spans="1:15" x14ac:dyDescent="0.35">
      <c r="A2" s="424" t="s">
        <v>0</v>
      </c>
      <c r="B2" s="425"/>
      <c r="C2" s="425"/>
      <c r="D2" s="425"/>
      <c r="E2" s="425"/>
      <c r="F2" s="425"/>
      <c r="G2" s="311"/>
      <c r="H2" s="311"/>
      <c r="I2" s="311"/>
      <c r="J2" s="311"/>
      <c r="K2" s="311"/>
      <c r="L2" s="311"/>
      <c r="M2" s="311"/>
      <c r="N2" s="311"/>
      <c r="O2" s="311"/>
    </row>
    <row r="3" spans="1:15" x14ac:dyDescent="0.35">
      <c r="A3" s="6"/>
      <c r="B3" s="311"/>
      <c r="C3" s="311"/>
      <c r="D3" s="311"/>
      <c r="E3" s="311"/>
      <c r="F3" s="311"/>
      <c r="G3" s="311"/>
      <c r="H3" s="311"/>
      <c r="I3" s="311"/>
      <c r="J3" s="277" t="s">
        <v>1</v>
      </c>
      <c r="K3" s="375">
        <f>[1]Sheet1!$A$201</f>
        <v>60.295000000000002</v>
      </c>
      <c r="L3" s="124"/>
      <c r="M3" s="311"/>
      <c r="N3" s="311"/>
      <c r="O3" s="311"/>
    </row>
    <row r="4" spans="1:15" x14ac:dyDescent="0.35">
      <c r="A4" s="311"/>
      <c r="B4" s="311"/>
      <c r="C4" s="311"/>
      <c r="D4" s="111"/>
      <c r="E4" s="311"/>
      <c r="F4" s="311"/>
      <c r="G4" s="311"/>
      <c r="H4" s="311"/>
      <c r="I4" s="311"/>
      <c r="J4" s="277" t="s">
        <v>2</v>
      </c>
      <c r="K4" s="375">
        <f>AVERAGE(Model!$AS$200:$AU$200)</f>
        <v>58.079666666666668</v>
      </c>
      <c r="L4" s="311"/>
      <c r="M4" s="311"/>
      <c r="N4" s="311"/>
      <c r="O4" s="311"/>
    </row>
    <row r="5" spans="1:15" x14ac:dyDescent="0.35">
      <c r="A5" s="311"/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</row>
    <row r="6" spans="1:15" ht="18" customHeight="1" x14ac:dyDescent="0.35">
      <c r="A6" s="311"/>
      <c r="B6" s="426" t="s">
        <v>3</v>
      </c>
      <c r="C6" s="427" t="s">
        <v>4</v>
      </c>
      <c r="D6" s="427" t="s">
        <v>5</v>
      </c>
      <c r="E6" s="428" t="s">
        <v>6</v>
      </c>
      <c r="F6" s="428" t="s">
        <v>7</v>
      </c>
      <c r="G6" s="311"/>
      <c r="H6" s="311"/>
      <c r="I6" s="311"/>
      <c r="J6" s="263" t="str">
        <f>B6</f>
        <v>Debt Breakdown as on 30-Jun-2026</v>
      </c>
      <c r="K6" s="265" t="str">
        <f>C6</f>
        <v>Php (in million)</v>
      </c>
      <c r="L6" s="265" t="str">
        <f>D6</f>
        <v>USD (mn)</v>
      </c>
      <c r="M6" s="265" t="str">
        <f>E6</f>
        <v>Leverage (PHP)</v>
      </c>
      <c r="N6" s="265" t="str">
        <f>F6</f>
        <v>Leverage (USD)</v>
      </c>
      <c r="O6" s="311"/>
    </row>
    <row r="7" spans="1:15" x14ac:dyDescent="0.35">
      <c r="A7" s="337">
        <f>SUM(C8:C10)/C17</f>
        <v>0.5626065534380883</v>
      </c>
      <c r="B7" s="269" t="s">
        <v>8</v>
      </c>
      <c r="C7" s="270"/>
      <c r="D7" s="271"/>
      <c r="E7" s="272"/>
      <c r="F7" s="272"/>
      <c r="G7" s="311"/>
      <c r="H7" s="311"/>
      <c r="I7" s="311"/>
      <c r="J7" s="311" t="s">
        <v>9</v>
      </c>
      <c r="K7" s="314">
        <v>261670</v>
      </c>
      <c r="L7" s="312">
        <f>K7/K3</f>
        <v>4339.8291732316111</v>
      </c>
      <c r="M7" s="313"/>
      <c r="N7" s="313"/>
      <c r="O7" s="311"/>
    </row>
    <row r="8" spans="1:15" x14ac:dyDescent="0.35">
      <c r="A8" s="315"/>
      <c r="B8" s="273" t="s">
        <v>10</v>
      </c>
      <c r="C8" s="391">
        <v>202864.66200000001</v>
      </c>
      <c r="D8" s="392">
        <f>C8/$K3</f>
        <v>3364.5354009453522</v>
      </c>
      <c r="E8" s="272"/>
      <c r="F8" s="272"/>
      <c r="G8" s="311"/>
      <c r="H8" s="311"/>
      <c r="I8" s="311"/>
      <c r="J8" s="311" t="s">
        <v>11</v>
      </c>
      <c r="K8" s="353">
        <f>C18</f>
        <v>35702.800000000003</v>
      </c>
      <c r="L8" s="312">
        <f>K8/K3</f>
        <v>592.13533460485951</v>
      </c>
      <c r="M8" s="313"/>
      <c r="N8" s="313"/>
      <c r="O8" s="311"/>
    </row>
    <row r="9" spans="1:15" x14ac:dyDescent="0.35">
      <c r="A9" s="315"/>
      <c r="B9" s="273" t="s">
        <v>12</v>
      </c>
      <c r="C9" s="391">
        <v>14854.689</v>
      </c>
      <c r="D9" s="392">
        <f>C9/$K3</f>
        <v>246.36684633883405</v>
      </c>
      <c r="E9" s="272"/>
      <c r="F9" s="272"/>
      <c r="G9" s="311"/>
      <c r="H9" s="311"/>
      <c r="I9" s="311"/>
      <c r="J9" s="278" t="s">
        <v>13</v>
      </c>
      <c r="K9" s="354">
        <f>K7+K8</f>
        <v>297372.79999999999</v>
      </c>
      <c r="L9" s="354">
        <f>L7+L8</f>
        <v>4931.9645078364701</v>
      </c>
      <c r="M9" s="355">
        <f>K9/K12</f>
        <v>13.099350659447884</v>
      </c>
      <c r="N9" s="355">
        <f>L9/L12</f>
        <v>13.099350659447886</v>
      </c>
      <c r="O9" s="311"/>
    </row>
    <row r="10" spans="1:15" x14ac:dyDescent="0.35">
      <c r="A10" s="315"/>
      <c r="B10" s="273" t="s">
        <v>14</v>
      </c>
      <c r="C10" s="391">
        <v>7434.15</v>
      </c>
      <c r="D10" s="392">
        <f>C10/$K3</f>
        <v>123.29629322497719</v>
      </c>
      <c r="E10" s="272"/>
      <c r="F10" s="272"/>
      <c r="G10" s="311"/>
      <c r="H10" s="311"/>
      <c r="I10" s="311"/>
      <c r="J10" s="277" t="s">
        <v>15</v>
      </c>
      <c r="K10" s="271">
        <f>C20</f>
        <v>19700.518</v>
      </c>
      <c r="L10" s="271">
        <f>K10/K3</f>
        <v>326.735517041214</v>
      </c>
      <c r="M10" s="356"/>
      <c r="N10" s="356"/>
      <c r="O10" s="311"/>
    </row>
    <row r="11" spans="1:15" x14ac:dyDescent="0.35">
      <c r="A11" s="337">
        <f>SUM(C12:C13)/C17</f>
        <v>9.1246512387114301E-2</v>
      </c>
      <c r="B11" s="269" t="s">
        <v>16</v>
      </c>
      <c r="C11" s="391"/>
      <c r="D11" s="392"/>
      <c r="E11" s="272"/>
      <c r="F11" s="272"/>
      <c r="G11" s="311"/>
      <c r="H11" s="311"/>
      <c r="I11" s="311"/>
      <c r="J11" s="278" t="s">
        <v>17</v>
      </c>
      <c r="K11" s="354">
        <f>K9-K10</f>
        <v>277672.28200000001</v>
      </c>
      <c r="L11" s="354">
        <f>L9-L10</f>
        <v>4605.2289907952563</v>
      </c>
      <c r="M11" s="355">
        <f>K11/K12</f>
        <v>12.231537619873436</v>
      </c>
      <c r="N11" s="355">
        <f>L11/L12</f>
        <v>12.231537619873436</v>
      </c>
      <c r="O11" s="311"/>
    </row>
    <row r="12" spans="1:15" x14ac:dyDescent="0.35">
      <c r="A12" s="315"/>
      <c r="B12" s="273" t="s">
        <v>10</v>
      </c>
      <c r="C12" s="391">
        <v>0</v>
      </c>
      <c r="D12" s="392">
        <f>C12/$K3</f>
        <v>0</v>
      </c>
      <c r="E12" s="272"/>
      <c r="F12" s="272"/>
      <c r="G12" s="311"/>
      <c r="H12" s="311"/>
      <c r="I12" s="311"/>
      <c r="J12" s="277" t="s">
        <v>18</v>
      </c>
      <c r="K12" s="353">
        <f>C24</f>
        <v>22701.339</v>
      </c>
      <c r="L12" s="353">
        <f>K12/K3</f>
        <v>376.50450286093371</v>
      </c>
      <c r="M12" s="357"/>
      <c r="N12" s="357"/>
      <c r="O12" s="311"/>
    </row>
    <row r="13" spans="1:15" x14ac:dyDescent="0.35">
      <c r="A13" s="315"/>
      <c r="B13" s="273" t="s">
        <v>12</v>
      </c>
      <c r="C13" s="391">
        <v>36516.588000000003</v>
      </c>
      <c r="D13" s="392">
        <f>C13/$K3</f>
        <v>605.6321087984079</v>
      </c>
      <c r="E13" s="272"/>
      <c r="F13" s="272"/>
      <c r="G13" s="311"/>
      <c r="H13" s="311"/>
      <c r="I13" s="311"/>
      <c r="J13" s="311"/>
      <c r="K13" s="311"/>
      <c r="L13" s="311"/>
      <c r="M13" s="311"/>
      <c r="N13" s="311"/>
      <c r="O13" s="311"/>
    </row>
    <row r="14" spans="1:15" ht="15" thickBot="1" x14ac:dyDescent="0.4">
      <c r="A14" s="315"/>
      <c r="B14" s="123" t="s">
        <v>19</v>
      </c>
      <c r="C14" s="393">
        <f>+C8+C9+C12+C13+C10</f>
        <v>261670.08900000001</v>
      </c>
      <c r="D14" s="393">
        <f>+D8+D9+D12+D13</f>
        <v>4216.5343560825941</v>
      </c>
      <c r="E14" s="275"/>
      <c r="F14" s="276"/>
      <c r="G14" s="311"/>
      <c r="H14" s="311"/>
      <c r="I14" s="311"/>
      <c r="L14" s="311"/>
      <c r="M14" s="311"/>
      <c r="N14" s="311"/>
      <c r="O14" s="311"/>
    </row>
    <row r="15" spans="1:15" x14ac:dyDescent="0.35">
      <c r="A15" s="337">
        <f>SUM(C15:C16)/C17</f>
        <v>0.3461469341747973</v>
      </c>
      <c r="B15" s="277" t="s">
        <v>20</v>
      </c>
      <c r="C15" s="391">
        <v>8335.8320000000003</v>
      </c>
      <c r="D15" s="392">
        <f>C15/$K3</f>
        <v>138.25080023219172</v>
      </c>
      <c r="E15" s="275"/>
      <c r="F15" s="276"/>
      <c r="G15" s="311"/>
      <c r="H15" s="311"/>
      <c r="I15" s="311"/>
      <c r="J15" s="338" t="s">
        <v>21</v>
      </c>
      <c r="K15" s="317"/>
      <c r="L15" s="311"/>
      <c r="M15" s="311"/>
      <c r="N15" s="311"/>
      <c r="O15" s="311"/>
    </row>
    <row r="16" spans="1:15" x14ac:dyDescent="0.35">
      <c r="A16" s="311"/>
      <c r="B16" s="277" t="s">
        <v>22</v>
      </c>
      <c r="C16" s="391">
        <v>130191.16099999999</v>
      </c>
      <c r="D16" s="392">
        <f>C16/$K3</f>
        <v>2159.2364375155485</v>
      </c>
      <c r="E16" s="275"/>
      <c r="F16" s="276"/>
      <c r="G16" s="311"/>
      <c r="H16" s="311"/>
      <c r="I16" s="311"/>
      <c r="J16" s="318" t="s">
        <v>23</v>
      </c>
      <c r="K16" s="319">
        <v>2.68</v>
      </c>
      <c r="L16" s="311"/>
      <c r="M16" s="311"/>
      <c r="N16" s="311"/>
      <c r="O16" s="311"/>
    </row>
    <row r="17" spans="1:15" ht="15" thickBot="1" x14ac:dyDescent="0.4">
      <c r="A17" s="311"/>
      <c r="B17" s="278" t="s">
        <v>24</v>
      </c>
      <c r="C17" s="394">
        <f>C14+C15+C16</f>
        <v>400197.08200000005</v>
      </c>
      <c r="D17" s="394">
        <f>D14+D15+D16</f>
        <v>6514.0215938303345</v>
      </c>
      <c r="E17" s="280"/>
      <c r="F17" s="280"/>
      <c r="G17" s="311"/>
      <c r="H17" s="311"/>
      <c r="I17" s="311"/>
      <c r="J17" s="320" t="s">
        <v>25</v>
      </c>
      <c r="K17" s="321">
        <v>2.48</v>
      </c>
      <c r="O17" s="311"/>
    </row>
    <row r="18" spans="1:15" x14ac:dyDescent="0.35">
      <c r="A18" s="311"/>
      <c r="B18" s="277" t="s">
        <v>11</v>
      </c>
      <c r="C18" s="392">
        <f>[1]Sheet1!A$119</f>
        <v>35702.800000000003</v>
      </c>
      <c r="D18" s="392">
        <f>C18/$K3</f>
        <v>592.13533460485951</v>
      </c>
      <c r="E18" s="281"/>
      <c r="F18" s="281"/>
      <c r="G18" s="311"/>
      <c r="H18" s="311"/>
      <c r="I18" s="311"/>
      <c r="J18" s="311"/>
      <c r="K18" s="311"/>
      <c r="L18" s="311"/>
      <c r="M18" s="311"/>
      <c r="N18" s="311"/>
      <c r="O18" s="311"/>
    </row>
    <row r="19" spans="1:15" x14ac:dyDescent="0.35">
      <c r="A19" s="311"/>
      <c r="B19" s="278" t="s">
        <v>26</v>
      </c>
      <c r="C19" s="395">
        <f>C17+C18</f>
        <v>435899.88200000004</v>
      </c>
      <c r="D19" s="395">
        <f>D17+D18</f>
        <v>7106.1569284351935</v>
      </c>
      <c r="E19" s="280">
        <f>C19/C24</f>
        <v>19.201505338517698</v>
      </c>
      <c r="F19" s="280">
        <f>D19/D24</f>
        <v>18.18056748478757</v>
      </c>
      <c r="G19" s="311"/>
      <c r="H19" s="311"/>
      <c r="I19" s="311"/>
      <c r="J19" s="311"/>
      <c r="K19" s="311"/>
      <c r="L19" s="311"/>
      <c r="M19" s="311"/>
      <c r="N19" s="311"/>
      <c r="O19" s="311"/>
    </row>
    <row r="20" spans="1:15" x14ac:dyDescent="0.35">
      <c r="A20" s="311"/>
      <c r="B20" s="277" t="s">
        <v>15</v>
      </c>
      <c r="C20" s="392">
        <f>[1]Sheet1!A$122</f>
        <v>19700.518</v>
      </c>
      <c r="D20" s="392">
        <f>C20/$K3</f>
        <v>326.735517041214</v>
      </c>
      <c r="E20" s="283"/>
      <c r="F20" s="283"/>
      <c r="G20" s="311"/>
      <c r="H20" s="311"/>
      <c r="I20" s="311"/>
      <c r="J20" s="311"/>
      <c r="K20" s="311"/>
      <c r="L20" s="311"/>
      <c r="M20" s="311"/>
      <c r="N20" s="311"/>
      <c r="O20" s="311"/>
    </row>
    <row r="21" spans="1:15" x14ac:dyDescent="0.35">
      <c r="A21" s="311"/>
      <c r="B21" s="278" t="s">
        <v>17</v>
      </c>
      <c r="C21" s="394">
        <f>C19-C20</f>
        <v>416199.36400000006</v>
      </c>
      <c r="D21" s="394">
        <f>D19-D20</f>
        <v>6779.4214113939797</v>
      </c>
      <c r="E21" s="280">
        <f>C21/C24</f>
        <v>18.333692298943252</v>
      </c>
      <c r="F21" s="280">
        <f>D21/D24</f>
        <v>17.344639264081525</v>
      </c>
      <c r="G21" s="311"/>
      <c r="H21" s="111"/>
      <c r="I21" s="311"/>
      <c r="J21" s="111"/>
      <c r="K21" s="311"/>
      <c r="L21" s="311"/>
      <c r="M21" s="311"/>
      <c r="N21" s="311"/>
      <c r="O21" s="311"/>
    </row>
    <row r="22" spans="1:15" x14ac:dyDescent="0.35">
      <c r="A22" s="311"/>
      <c r="B22" s="277" t="s">
        <v>27</v>
      </c>
      <c r="C22" s="396">
        <f>[1]Sheet1!A$127</f>
        <v>177784.864</v>
      </c>
      <c r="D22" s="392">
        <f>C22/$K3</f>
        <v>2948.5838626751802</v>
      </c>
      <c r="E22" s="283"/>
      <c r="F22" s="277"/>
      <c r="G22" s="311"/>
      <c r="H22" s="311"/>
      <c r="I22" s="311"/>
      <c r="O22" s="311"/>
    </row>
    <row r="23" spans="1:15" x14ac:dyDescent="0.35">
      <c r="A23" s="311"/>
      <c r="B23" s="123" t="s">
        <v>28</v>
      </c>
      <c r="C23" s="330">
        <f>C21+C22</f>
        <v>593984.22800000012</v>
      </c>
      <c r="D23" s="392">
        <f>C23/$K3</f>
        <v>9851.3015672941383</v>
      </c>
      <c r="E23" s="281"/>
      <c r="F23" s="277"/>
      <c r="G23" s="311"/>
      <c r="H23" s="311"/>
      <c r="I23" s="311"/>
      <c r="O23" s="311"/>
    </row>
    <row r="24" spans="1:15" s="249" customFormat="1" x14ac:dyDescent="0.35">
      <c r="A24" s="373"/>
      <c r="B24" s="123" t="s">
        <v>18</v>
      </c>
      <c r="C24" s="329">
        <f>[1]Sheet1!A$87</f>
        <v>22701.339</v>
      </c>
      <c r="D24" s="393">
        <f>C24/$K4</f>
        <v>390.86551805278953</v>
      </c>
      <c r="E24" s="123"/>
      <c r="F24" s="123"/>
      <c r="G24" s="373"/>
      <c r="H24" s="374"/>
      <c r="I24" s="373"/>
      <c r="O24" s="373"/>
    </row>
    <row r="25" spans="1:15" x14ac:dyDescent="0.35">
      <c r="A25" s="311"/>
      <c r="B25" s="149" t="s">
        <v>29</v>
      </c>
      <c r="C25" s="207">
        <f>C19-[1]Sheet1!A$120</f>
        <v>0</v>
      </c>
      <c r="D25" s="376"/>
      <c r="E25" s="311"/>
      <c r="F25" s="311"/>
      <c r="G25" s="311"/>
      <c r="H25" s="311"/>
      <c r="I25" s="311"/>
      <c r="O25" s="311"/>
    </row>
    <row r="26" spans="1:15" x14ac:dyDescent="0.35">
      <c r="A26" s="311"/>
      <c r="B26" s="323"/>
      <c r="C26" s="324"/>
      <c r="D26" s="311"/>
      <c r="E26" s="311"/>
      <c r="F26" s="311"/>
      <c r="G26" s="311"/>
      <c r="H26" s="311"/>
      <c r="I26" s="311"/>
      <c r="O26" s="311"/>
    </row>
    <row r="27" spans="1:15" ht="15" thickBot="1" x14ac:dyDescent="0.4">
      <c r="A27" s="311"/>
      <c r="B27" s="311"/>
      <c r="C27" s="311"/>
      <c r="D27" s="311"/>
      <c r="E27" s="311"/>
      <c r="F27" s="311"/>
      <c r="G27" s="311"/>
      <c r="H27" s="311"/>
      <c r="I27" s="311"/>
      <c r="O27" s="311"/>
    </row>
    <row r="28" spans="1:15" ht="15" thickBot="1" x14ac:dyDescent="0.4">
      <c r="A28" s="311"/>
      <c r="B28" s="288" t="s">
        <v>30</v>
      </c>
      <c r="C28" s="289" t="str">
        <f>C6</f>
        <v>Php (in million)</v>
      </c>
      <c r="D28" s="290" t="str">
        <f>D6</f>
        <v>USD (mn)</v>
      </c>
      <c r="E28" s="311"/>
      <c r="F28" s="311"/>
      <c r="G28" s="311"/>
      <c r="H28" s="311"/>
      <c r="I28" s="311"/>
      <c r="O28" s="311"/>
    </row>
    <row r="29" spans="1:15" x14ac:dyDescent="0.35">
      <c r="A29" s="311"/>
      <c r="B29" s="286" t="s">
        <v>31</v>
      </c>
      <c r="C29" s="180">
        <v>5014.4110000000001</v>
      </c>
      <c r="D29" s="429">
        <f>C29/$K$3</f>
        <v>83.164623932332702</v>
      </c>
      <c r="E29" s="311"/>
      <c r="F29" s="311"/>
      <c r="G29" s="311"/>
      <c r="H29" s="311"/>
      <c r="I29" s="311"/>
      <c r="O29" s="311"/>
    </row>
    <row r="30" spans="1:15" ht="15" thickBot="1" x14ac:dyDescent="0.4">
      <c r="A30" s="311"/>
      <c r="B30" s="286" t="s">
        <v>32</v>
      </c>
      <c r="C30" s="268">
        <v>14686.107</v>
      </c>
      <c r="D30" s="429">
        <f>C30/$K$3</f>
        <v>243.57089310888134</v>
      </c>
      <c r="E30" s="311"/>
      <c r="F30" s="311"/>
      <c r="G30" s="311"/>
      <c r="H30" s="311"/>
      <c r="I30" s="311"/>
      <c r="O30" s="311"/>
    </row>
    <row r="31" spans="1:15" ht="15" thickBot="1" x14ac:dyDescent="0.4">
      <c r="A31" s="311"/>
      <c r="B31" s="291" t="s">
        <v>33</v>
      </c>
      <c r="C31" s="292">
        <f>SUM(C29:C30)</f>
        <v>19700.518</v>
      </c>
      <c r="D31" s="378">
        <f>SUM(D29:D30)</f>
        <v>326.73551704121405</v>
      </c>
      <c r="E31" s="311"/>
      <c r="F31" s="311"/>
      <c r="G31" s="311"/>
      <c r="H31" s="311"/>
      <c r="I31" s="311"/>
      <c r="O31" s="311"/>
    </row>
    <row r="32" spans="1:15" s="376" customFormat="1" ht="10.5" x14ac:dyDescent="0.25">
      <c r="B32" s="149" t="s">
        <v>29</v>
      </c>
      <c r="C32" s="207">
        <f>C31-C20</f>
        <v>0</v>
      </c>
      <c r="D32" s="377"/>
    </row>
    <row r="33" spans="1:15" x14ac:dyDescent="0.35">
      <c r="A33" s="311"/>
      <c r="B33" s="350"/>
      <c r="C33" s="351"/>
      <c r="D33" s="351"/>
      <c r="E33" s="311"/>
      <c r="F33" s="311"/>
      <c r="G33" s="311"/>
      <c r="H33" s="311"/>
      <c r="I33" s="311"/>
      <c r="O33" s="311"/>
    </row>
    <row r="34" spans="1:15" ht="15" thickBot="1" x14ac:dyDescent="0.4">
      <c r="A34" s="311"/>
      <c r="B34" s="311"/>
      <c r="C34" s="311"/>
      <c r="D34" s="311"/>
      <c r="E34" s="311"/>
      <c r="F34" s="311"/>
      <c r="G34" s="311"/>
      <c r="H34" s="311"/>
      <c r="I34" s="311"/>
      <c r="O34" s="311"/>
    </row>
    <row r="35" spans="1:15" ht="15" thickBot="1" x14ac:dyDescent="0.4">
      <c r="A35" s="311"/>
      <c r="B35" s="296" t="s">
        <v>34</v>
      </c>
      <c r="C35" s="289" t="str">
        <f>C6</f>
        <v>Php (in million)</v>
      </c>
      <c r="D35" s="290" t="str">
        <f>D6</f>
        <v>USD (mn)</v>
      </c>
      <c r="E35" s="179"/>
      <c r="F35" s="179"/>
      <c r="G35" s="322"/>
      <c r="H35" s="311"/>
      <c r="I35" s="311"/>
      <c r="O35" s="311"/>
    </row>
    <row r="36" spans="1:15" x14ac:dyDescent="0.35">
      <c r="A36" s="311"/>
      <c r="B36" s="286" t="s">
        <v>35</v>
      </c>
      <c r="C36" s="180"/>
      <c r="D36" s="293"/>
      <c r="E36" s="180"/>
      <c r="F36" s="180"/>
      <c r="G36" s="311"/>
      <c r="H36" s="311"/>
      <c r="I36" s="311"/>
      <c r="J36" s="311"/>
      <c r="K36" s="311"/>
      <c r="L36" s="311"/>
      <c r="M36" s="311"/>
      <c r="N36" s="311"/>
      <c r="O36" s="311"/>
    </row>
    <row r="37" spans="1:15" x14ac:dyDescent="0.35">
      <c r="A37" s="311"/>
      <c r="B37" s="294" t="s">
        <v>10</v>
      </c>
      <c r="C37" s="384">
        <v>85249</v>
      </c>
      <c r="D37" s="295">
        <f>C37/$K3</f>
        <v>1413.8651629488349</v>
      </c>
      <c r="E37" s="181"/>
      <c r="F37" s="181"/>
      <c r="G37" s="311"/>
      <c r="H37" s="311"/>
      <c r="I37" s="311"/>
      <c r="J37" s="311"/>
      <c r="K37" s="311"/>
      <c r="L37" s="311"/>
      <c r="M37" s="311"/>
      <c r="N37" s="311"/>
      <c r="O37" s="311"/>
    </row>
    <row r="38" spans="1:15" x14ac:dyDescent="0.35">
      <c r="A38" s="311"/>
      <c r="B38" s="294" t="s">
        <v>12</v>
      </c>
      <c r="C38" s="385">
        <f>+D38*$K3</f>
        <v>1205.9000000000001</v>
      </c>
      <c r="D38" s="386">
        <v>20</v>
      </c>
      <c r="E38" s="180"/>
      <c r="F38" s="180"/>
      <c r="G38" s="311"/>
      <c r="H38" s="311"/>
      <c r="I38" s="311"/>
      <c r="J38" s="311"/>
      <c r="K38" s="311"/>
      <c r="L38" s="311"/>
      <c r="M38" s="311"/>
      <c r="N38" s="311"/>
      <c r="O38" s="311"/>
    </row>
    <row r="39" spans="1:15" x14ac:dyDescent="0.35">
      <c r="A39" s="311"/>
      <c r="B39" s="286" t="s">
        <v>36</v>
      </c>
      <c r="C39" s="387"/>
      <c r="D39" s="386"/>
      <c r="E39" s="180"/>
      <c r="F39" s="180"/>
      <c r="G39" s="311"/>
      <c r="H39" s="311"/>
      <c r="I39" s="311"/>
      <c r="J39" s="311"/>
      <c r="K39" s="311"/>
      <c r="L39" s="311"/>
      <c r="M39" s="311"/>
      <c r="N39" s="311"/>
      <c r="O39" s="311"/>
    </row>
    <row r="40" spans="1:15" x14ac:dyDescent="0.35">
      <c r="A40" s="311"/>
      <c r="B40" s="294" t="s">
        <v>10</v>
      </c>
      <c r="C40" s="387">
        <v>3000</v>
      </c>
      <c r="D40" s="295">
        <f>C40/$K3</f>
        <v>49.755369433618043</v>
      </c>
      <c r="E40" s="180"/>
      <c r="F40" s="180"/>
      <c r="G40" s="311"/>
      <c r="H40" s="311"/>
      <c r="I40" s="311"/>
      <c r="J40" s="311"/>
      <c r="K40" s="311"/>
      <c r="L40" s="311"/>
      <c r="M40" s="311"/>
      <c r="N40" s="311"/>
      <c r="O40" s="311"/>
    </row>
    <row r="41" spans="1:15" x14ac:dyDescent="0.35">
      <c r="A41" s="311"/>
      <c r="B41" s="294" t="s">
        <v>12</v>
      </c>
      <c r="C41" s="385">
        <f>+D41*$K3</f>
        <v>3014.75</v>
      </c>
      <c r="D41" s="386">
        <v>50</v>
      </c>
      <c r="E41" s="181"/>
      <c r="F41" s="181"/>
      <c r="G41" s="311"/>
      <c r="H41" s="311"/>
      <c r="I41" s="311"/>
      <c r="J41" s="311"/>
      <c r="K41" s="311"/>
      <c r="L41" s="311"/>
      <c r="M41" s="311"/>
      <c r="N41" s="311"/>
      <c r="O41" s="311"/>
    </row>
    <row r="42" spans="1:15" ht="15" thickBot="1" x14ac:dyDescent="0.4">
      <c r="A42" s="311"/>
      <c r="B42" s="286" t="s">
        <v>15</v>
      </c>
      <c r="C42" s="388">
        <f>C31</f>
        <v>19700.518</v>
      </c>
      <c r="D42" s="295">
        <f>C42/$K3</f>
        <v>326.735517041214</v>
      </c>
      <c r="E42" s="182"/>
      <c r="F42" s="182"/>
      <c r="G42" s="311"/>
      <c r="H42" s="311"/>
      <c r="I42" s="311"/>
      <c r="J42" s="311"/>
      <c r="K42" s="311"/>
      <c r="L42" s="311"/>
      <c r="M42" s="311"/>
      <c r="N42" s="311"/>
      <c r="O42" s="311"/>
    </row>
    <row r="43" spans="1:15" ht="15" thickBot="1" x14ac:dyDescent="0.4">
      <c r="A43" s="311"/>
      <c r="B43" s="297" t="s">
        <v>37</v>
      </c>
      <c r="C43" s="389">
        <f>+C37+C38+C41+C42</f>
        <v>109170.16799999999</v>
      </c>
      <c r="D43" s="390">
        <f>+D37+D38+D41+D42</f>
        <v>1810.600679990049</v>
      </c>
      <c r="E43" s="183"/>
      <c r="F43" s="183"/>
      <c r="G43" s="311"/>
      <c r="H43" s="311"/>
      <c r="I43" s="311"/>
      <c r="J43" s="311"/>
      <c r="K43" s="311"/>
      <c r="L43" s="311"/>
      <c r="M43" s="311"/>
      <c r="N43" s="311"/>
      <c r="O43" s="311"/>
    </row>
    <row r="44" spans="1:15" x14ac:dyDescent="0.35">
      <c r="A44" s="311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</row>
    <row r="45" spans="1:15" ht="15" thickBot="1" x14ac:dyDescent="0.4">
      <c r="A45" s="311"/>
      <c r="B45" s="311"/>
      <c r="C45" s="311"/>
      <c r="D45" s="311"/>
      <c r="E45" s="311"/>
      <c r="F45" s="311"/>
      <c r="G45" s="311"/>
      <c r="H45" s="311"/>
      <c r="I45" s="311"/>
      <c r="J45" s="311"/>
      <c r="K45" s="311"/>
      <c r="L45" s="311"/>
      <c r="M45" s="311"/>
      <c r="N45" s="311"/>
      <c r="O45" s="311"/>
    </row>
    <row r="46" spans="1:15" ht="15" thickBot="1" x14ac:dyDescent="0.4">
      <c r="A46" s="311"/>
      <c r="B46" s="300" t="s">
        <v>38</v>
      </c>
      <c r="C46" s="301" t="str">
        <f>C6</f>
        <v>Php (in million)</v>
      </c>
      <c r="D46" s="302" t="str">
        <f>D6</f>
        <v>USD (mn)</v>
      </c>
      <c r="E46" s="248"/>
      <c r="F46" s="248"/>
      <c r="G46" s="311"/>
      <c r="H46" s="311"/>
      <c r="I46" s="311"/>
      <c r="J46" s="311"/>
      <c r="K46" s="311"/>
      <c r="L46" s="311"/>
      <c r="M46" s="311"/>
      <c r="N46" s="311"/>
      <c r="O46" s="311"/>
    </row>
    <row r="47" spans="1:15" x14ac:dyDescent="0.35">
      <c r="A47" s="311"/>
      <c r="B47" s="266">
        <v>2026</v>
      </c>
      <c r="C47" s="379">
        <v>20238.5</v>
      </c>
      <c r="D47" s="380">
        <f>C47/$K3</f>
        <v>335.65801476075961</v>
      </c>
      <c r="E47" s="154"/>
      <c r="F47" s="154"/>
      <c r="G47" s="311"/>
      <c r="H47" s="311"/>
      <c r="I47" s="311"/>
      <c r="J47" s="311"/>
      <c r="K47" s="311"/>
      <c r="L47" s="311"/>
      <c r="M47" s="311"/>
      <c r="N47" s="311"/>
      <c r="O47" s="311"/>
    </row>
    <row r="48" spans="1:15" x14ac:dyDescent="0.35">
      <c r="A48" s="311"/>
      <c r="B48" s="266">
        <v>2027</v>
      </c>
      <c r="C48" s="379">
        <v>24226.6</v>
      </c>
      <c r="D48" s="380">
        <f>C48/$K3</f>
        <v>401.80114437349692</v>
      </c>
      <c r="E48" s="154"/>
      <c r="F48" s="154"/>
      <c r="G48" s="311"/>
      <c r="H48" s="311"/>
      <c r="I48" s="311"/>
      <c r="J48" s="311"/>
      <c r="K48" s="311"/>
      <c r="L48" s="311"/>
      <c r="M48" s="311"/>
      <c r="N48" s="311"/>
      <c r="O48" s="311"/>
    </row>
    <row r="49" spans="1:15" x14ac:dyDescent="0.35">
      <c r="A49" s="311"/>
      <c r="B49" s="266">
        <v>2028</v>
      </c>
      <c r="C49" s="379">
        <v>23652.736000000001</v>
      </c>
      <c r="D49" s="380">
        <f>C49/$K3</f>
        <v>392.28353926527905</v>
      </c>
      <c r="E49" s="154"/>
      <c r="F49" s="154"/>
      <c r="G49" s="311"/>
      <c r="H49" s="311"/>
      <c r="I49" s="311"/>
      <c r="J49" s="311"/>
      <c r="K49" s="311"/>
      <c r="L49" s="311"/>
      <c r="M49" s="311"/>
      <c r="N49" s="311"/>
      <c r="O49" s="311"/>
    </row>
    <row r="50" spans="1:15" x14ac:dyDescent="0.35">
      <c r="A50" s="311"/>
      <c r="B50" s="266">
        <v>2029</v>
      </c>
      <c r="C50" s="379">
        <v>24211.471000000001</v>
      </c>
      <c r="D50" s="380">
        <f>C50/$K3</f>
        <v>401.55022804544325</v>
      </c>
      <c r="E50" s="154"/>
      <c r="F50" s="154"/>
      <c r="G50" s="311"/>
      <c r="H50" s="311"/>
      <c r="I50" s="311"/>
      <c r="J50" s="311"/>
      <c r="K50" s="311"/>
      <c r="L50" s="311"/>
      <c r="M50" s="311"/>
      <c r="N50" s="311"/>
      <c r="O50" s="311"/>
    </row>
    <row r="51" spans="1:15" ht="15" thickBot="1" x14ac:dyDescent="0.4">
      <c r="A51" s="311"/>
      <c r="B51" s="266" t="s">
        <v>39</v>
      </c>
      <c r="C51" s="379">
        <v>170615.98699999999</v>
      </c>
      <c r="D51" s="380">
        <f>C51/$K3</f>
        <v>2829.6871548221243</v>
      </c>
      <c r="E51" s="154"/>
      <c r="F51" s="154"/>
      <c r="G51" s="311"/>
      <c r="H51" s="311"/>
      <c r="I51" s="311"/>
      <c r="J51" s="311"/>
      <c r="K51" s="311"/>
      <c r="L51" s="311"/>
      <c r="M51" s="311"/>
      <c r="N51" s="311"/>
      <c r="O51" s="311"/>
    </row>
    <row r="52" spans="1:15" ht="15" thickBot="1" x14ac:dyDescent="0.4">
      <c r="A52" s="311"/>
      <c r="B52" s="303" t="s">
        <v>40</v>
      </c>
      <c r="C52" s="381">
        <f>+SUM(C47:C51)</f>
        <v>262945.29399999999</v>
      </c>
      <c r="D52" s="382">
        <f>+SUM(D47:D50)</f>
        <v>1531.2929264449788</v>
      </c>
      <c r="E52" s="156"/>
      <c r="F52" s="156"/>
      <c r="G52" s="311"/>
      <c r="H52" s="311"/>
      <c r="I52" s="311"/>
      <c r="J52" s="311"/>
      <c r="K52" s="311"/>
      <c r="L52" s="311"/>
      <c r="M52" s="311"/>
      <c r="N52" s="311"/>
      <c r="O52" s="311"/>
    </row>
    <row r="53" spans="1:15" ht="15" thickBot="1" x14ac:dyDescent="0.4">
      <c r="A53" s="311"/>
      <c r="B53" s="266" t="s">
        <v>41</v>
      </c>
      <c r="C53" s="383">
        <f>C54-C52</f>
        <v>-1275.2049999999872</v>
      </c>
      <c r="D53" s="380">
        <f>C53/$K3</f>
        <v>-21.149431959532087</v>
      </c>
      <c r="E53" s="154"/>
      <c r="F53" s="154"/>
      <c r="G53" s="311"/>
      <c r="H53" s="311"/>
      <c r="I53" s="311"/>
      <c r="J53" s="311"/>
      <c r="K53" s="311"/>
      <c r="L53" s="311"/>
      <c r="M53" s="311"/>
      <c r="N53" s="311"/>
      <c r="O53" s="311"/>
    </row>
    <row r="54" spans="1:15" ht="15" thickBot="1" x14ac:dyDescent="0.4">
      <c r="A54" s="311"/>
      <c r="B54" s="303" t="s">
        <v>42</v>
      </c>
      <c r="C54" s="381">
        <f>C14</f>
        <v>261670.08900000001</v>
      </c>
      <c r="D54" s="382">
        <f>+D52+D53</f>
        <v>1510.1434944854466</v>
      </c>
      <c r="E54" s="156"/>
      <c r="F54" s="156"/>
      <c r="G54" s="311"/>
      <c r="H54" s="311"/>
      <c r="I54" s="311"/>
      <c r="J54" s="311"/>
      <c r="K54" s="311"/>
      <c r="L54" s="311"/>
      <c r="M54" s="311"/>
      <c r="N54" s="311"/>
      <c r="O54" s="311"/>
    </row>
    <row r="55" spans="1:15" s="376" customFormat="1" ht="10.5" x14ac:dyDescent="0.25">
      <c r="B55" s="149" t="s">
        <v>43</v>
      </c>
      <c r="C55" s="169">
        <f>+C54-C14</f>
        <v>0</v>
      </c>
    </row>
    <row r="56" spans="1:15" x14ac:dyDescent="0.35">
      <c r="A56" s="311"/>
      <c r="B56" s="311"/>
      <c r="C56" s="311"/>
      <c r="D56" s="311"/>
      <c r="E56" s="311"/>
      <c r="F56" s="311"/>
      <c r="G56" s="311"/>
      <c r="H56" s="311"/>
      <c r="I56" s="311"/>
      <c r="J56" s="311"/>
      <c r="K56" s="311"/>
      <c r="L56" s="311"/>
      <c r="M56" s="311"/>
      <c r="N56" s="311"/>
      <c r="O56" s="311"/>
    </row>
    <row r="59" spans="1:15" x14ac:dyDescent="0.35">
      <c r="A59" s="424" t="s">
        <v>44</v>
      </c>
      <c r="B59" s="425"/>
      <c r="C59" s="425"/>
      <c r="D59" s="425"/>
      <c r="E59" s="425"/>
      <c r="F59" s="425"/>
      <c r="G59" s="311"/>
      <c r="H59" s="311"/>
      <c r="I59" s="311"/>
      <c r="J59" s="311"/>
      <c r="K59" s="311"/>
      <c r="L59" s="311"/>
      <c r="M59" s="311"/>
      <c r="N59" s="311"/>
      <c r="O59" s="311"/>
    </row>
    <row r="60" spans="1:15" x14ac:dyDescent="0.35">
      <c r="A60" s="6"/>
      <c r="B60" s="311"/>
      <c r="C60" s="311"/>
      <c r="D60" s="311"/>
      <c r="E60" s="311"/>
      <c r="F60" s="311"/>
      <c r="G60" s="311"/>
      <c r="H60" s="311"/>
      <c r="I60" s="311"/>
      <c r="J60" s="277" t="s">
        <v>1</v>
      </c>
      <c r="K60" s="375">
        <f>Model!$M$201</f>
        <v>0</v>
      </c>
      <c r="L60" s="124"/>
      <c r="M60" s="311"/>
      <c r="N60" s="311"/>
      <c r="O60" s="311"/>
    </row>
    <row r="61" spans="1:15" x14ac:dyDescent="0.35">
      <c r="A61" s="311"/>
      <c r="B61" s="311"/>
      <c r="C61" s="311"/>
      <c r="D61" s="111"/>
      <c r="E61" s="311"/>
      <c r="F61" s="311"/>
      <c r="G61" s="311"/>
      <c r="H61" s="311"/>
      <c r="I61" s="311"/>
      <c r="J61" s="277" t="s">
        <v>2</v>
      </c>
      <c r="K61" s="375">
        <f>Model!$M$200</f>
        <v>0</v>
      </c>
      <c r="L61" s="311"/>
      <c r="M61" s="311"/>
      <c r="N61" s="311"/>
      <c r="O61" s="311"/>
    </row>
    <row r="62" spans="1:15" x14ac:dyDescent="0.35">
      <c r="A62" s="311"/>
      <c r="B62" s="311"/>
      <c r="C62" s="311"/>
      <c r="D62" s="311"/>
      <c r="E62" s="311"/>
      <c r="F62" s="311"/>
      <c r="G62" s="311"/>
      <c r="H62" s="311"/>
      <c r="I62" s="311"/>
      <c r="J62" s="311"/>
      <c r="K62" s="311"/>
      <c r="L62" s="311"/>
      <c r="M62" s="311"/>
      <c r="N62" s="311"/>
      <c r="O62" s="311"/>
    </row>
    <row r="63" spans="1:15" ht="18" customHeight="1" x14ac:dyDescent="0.35">
      <c r="A63" s="311"/>
      <c r="B63" s="263" t="s">
        <v>45</v>
      </c>
      <c r="C63" s="264" t="s">
        <v>4</v>
      </c>
      <c r="D63" s="264" t="s">
        <v>5</v>
      </c>
      <c r="E63" s="265" t="s">
        <v>6</v>
      </c>
      <c r="F63" s="265" t="s">
        <v>7</v>
      </c>
      <c r="G63" s="311"/>
      <c r="H63" s="311"/>
      <c r="I63" s="311"/>
      <c r="J63" s="263" t="str">
        <f>B63</f>
        <v>Debt Breakdown as on 31-Mar-2026</v>
      </c>
      <c r="K63" s="265" t="str">
        <f>C63</f>
        <v>Php (in million)</v>
      </c>
      <c r="L63" s="265" t="str">
        <f>D63</f>
        <v>USD (mn)</v>
      </c>
      <c r="M63" s="265" t="str">
        <f>E63</f>
        <v>Leverage (PHP)</v>
      </c>
      <c r="N63" s="265" t="str">
        <f>F63</f>
        <v>Leverage (USD)</v>
      </c>
      <c r="O63" s="311"/>
    </row>
    <row r="64" spans="1:15" x14ac:dyDescent="0.35">
      <c r="A64" s="337">
        <f>SUM(C65:C67)/C74</f>
        <v>0.55686815625977504</v>
      </c>
      <c r="B64" s="269" t="s">
        <v>8</v>
      </c>
      <c r="C64" s="270"/>
      <c r="D64" s="271"/>
      <c r="E64" s="272"/>
      <c r="F64" s="272"/>
      <c r="G64" s="311"/>
      <c r="H64" s="311"/>
      <c r="I64" s="311"/>
      <c r="J64" s="311" t="s">
        <v>9</v>
      </c>
      <c r="K64" s="314">
        <v>251237</v>
      </c>
      <c r="L64" s="312" t="e">
        <f>K64/K60</f>
        <v>#DIV/0!</v>
      </c>
      <c r="M64" s="313"/>
      <c r="N64" s="313"/>
      <c r="O64" s="311"/>
    </row>
    <row r="65" spans="1:15" x14ac:dyDescent="0.35">
      <c r="A65" s="315"/>
      <c r="B65" s="273" t="s">
        <v>10</v>
      </c>
      <c r="C65" s="391">
        <v>192961.23</v>
      </c>
      <c r="D65" s="392" t="e">
        <f>C65/$K60</f>
        <v>#DIV/0!</v>
      </c>
      <c r="E65" s="272"/>
      <c r="F65" s="272"/>
      <c r="G65" s="311"/>
      <c r="H65" s="311"/>
      <c r="I65" s="311"/>
      <c r="J65" s="311" t="s">
        <v>11</v>
      </c>
      <c r="K65" s="353">
        <f>C75</f>
        <v>46283.78</v>
      </c>
      <c r="L65" s="312" t="e">
        <f>K65/K60</f>
        <v>#DIV/0!</v>
      </c>
      <c r="M65" s="313"/>
      <c r="N65" s="313"/>
      <c r="O65" s="311"/>
    </row>
    <row r="66" spans="1:15" x14ac:dyDescent="0.35">
      <c r="A66" s="315"/>
      <c r="B66" s="273" t="s">
        <v>12</v>
      </c>
      <c r="C66" s="391">
        <v>14700.696</v>
      </c>
      <c r="D66" s="392" t="e">
        <f>C66/$K60</f>
        <v>#DIV/0!</v>
      </c>
      <c r="E66" s="272"/>
      <c r="F66" s="272"/>
      <c r="G66" s="311"/>
      <c r="H66" s="311"/>
      <c r="I66" s="311"/>
      <c r="J66" s="278" t="s">
        <v>13</v>
      </c>
      <c r="K66" s="354">
        <f>K64+K65</f>
        <v>297520.78000000003</v>
      </c>
      <c r="L66" s="354" t="e">
        <f>L64+L65</f>
        <v>#DIV/0!</v>
      </c>
      <c r="M66" s="355">
        <f>K66/K69</f>
        <v>3.3415984290664924</v>
      </c>
      <c r="N66" s="355" t="e">
        <f>L66/L69</f>
        <v>#DIV/0!</v>
      </c>
      <c r="O66" s="311"/>
    </row>
    <row r="67" spans="1:15" x14ac:dyDescent="0.35">
      <c r="A67" s="315"/>
      <c r="B67" s="273" t="s">
        <v>14</v>
      </c>
      <c r="C67" s="391">
        <v>7438.2420000000002</v>
      </c>
      <c r="D67" s="392" t="e">
        <f>C67/$K60</f>
        <v>#DIV/0!</v>
      </c>
      <c r="E67" s="272"/>
      <c r="F67" s="272"/>
      <c r="G67" s="311"/>
      <c r="H67" s="311"/>
      <c r="I67" s="311"/>
      <c r="J67" s="277" t="s">
        <v>15</v>
      </c>
      <c r="K67" s="271">
        <f>C77</f>
        <v>42352.875999999997</v>
      </c>
      <c r="L67" s="271" t="e">
        <f>K67/K60</f>
        <v>#DIV/0!</v>
      </c>
      <c r="M67" s="356"/>
      <c r="N67" s="356"/>
      <c r="O67" s="311"/>
    </row>
    <row r="68" spans="1:15" x14ac:dyDescent="0.35">
      <c r="A68" s="337">
        <f>SUM(C69:C70)/C74</f>
        <v>9.355459009092594E-2</v>
      </c>
      <c r="B68" s="269" t="s">
        <v>16</v>
      </c>
      <c r="C68" s="391"/>
      <c r="D68" s="392"/>
      <c r="E68" s="272"/>
      <c r="F68" s="272"/>
      <c r="G68" s="311"/>
      <c r="H68" s="311"/>
      <c r="I68" s="311"/>
      <c r="J68" s="278" t="s">
        <v>17</v>
      </c>
      <c r="K68" s="354">
        <f>K66-K67</f>
        <v>255167.90400000004</v>
      </c>
      <c r="L68" s="354" t="e">
        <f>L66-L67</f>
        <v>#DIV/0!</v>
      </c>
      <c r="M68" s="355">
        <f>K68/K69</f>
        <v>2.8659129864965722</v>
      </c>
      <c r="N68" s="355" t="e">
        <f>L68/L69</f>
        <v>#DIV/0!</v>
      </c>
      <c r="O68" s="311"/>
    </row>
    <row r="69" spans="1:15" x14ac:dyDescent="0.35">
      <c r="A69" s="315"/>
      <c r="B69" s="273" t="s">
        <v>10</v>
      </c>
      <c r="C69" s="391">
        <v>0</v>
      </c>
      <c r="D69" s="392" t="e">
        <f>C69/$K60</f>
        <v>#DIV/0!</v>
      </c>
      <c r="E69" s="272"/>
      <c r="F69" s="272"/>
      <c r="G69" s="311"/>
      <c r="H69" s="311"/>
      <c r="I69" s="311"/>
      <c r="J69" s="277" t="s">
        <v>18</v>
      </c>
      <c r="K69" s="353">
        <f>C81</f>
        <v>89035.468000000023</v>
      </c>
      <c r="L69" s="353" t="e">
        <f>K69/K60</f>
        <v>#DIV/0!</v>
      </c>
      <c r="M69" s="357"/>
      <c r="N69" s="357"/>
      <c r="O69" s="311"/>
    </row>
    <row r="70" spans="1:15" x14ac:dyDescent="0.35">
      <c r="A70" s="315"/>
      <c r="B70" s="273" t="s">
        <v>12</v>
      </c>
      <c r="C70" s="391">
        <v>36137.114000000001</v>
      </c>
      <c r="D70" s="392" t="e">
        <f>C70/$K60</f>
        <v>#DIV/0!</v>
      </c>
      <c r="E70" s="272"/>
      <c r="F70" s="272"/>
      <c r="G70" s="311"/>
      <c r="H70" s="311"/>
      <c r="I70" s="311"/>
      <c r="J70" s="311"/>
      <c r="K70" s="311"/>
      <c r="L70" s="311"/>
      <c r="M70" s="311"/>
      <c r="N70" s="311"/>
      <c r="O70" s="311"/>
    </row>
    <row r="71" spans="1:15" ht="15" thickBot="1" x14ac:dyDescent="0.4">
      <c r="A71" s="315"/>
      <c r="B71" s="123" t="s">
        <v>19</v>
      </c>
      <c r="C71" s="393">
        <f>+C65+C66+C69+C70+C67</f>
        <v>251237.28200000001</v>
      </c>
      <c r="D71" s="393" t="e">
        <f>+D65+D66+D69+D70</f>
        <v>#DIV/0!</v>
      </c>
      <c r="E71" s="275"/>
      <c r="F71" s="276"/>
      <c r="G71" s="311"/>
      <c r="H71" s="311"/>
      <c r="I71" s="311"/>
      <c r="L71" s="311"/>
      <c r="M71" s="311"/>
      <c r="N71" s="311"/>
      <c r="O71" s="311"/>
    </row>
    <row r="72" spans="1:15" x14ac:dyDescent="0.35">
      <c r="A72" s="337">
        <f>SUM(C72:C73)/C74</f>
        <v>0.34957725364929909</v>
      </c>
      <c r="B72" s="277" t="s">
        <v>20</v>
      </c>
      <c r="C72" s="391">
        <v>8668.2369999999992</v>
      </c>
      <c r="D72" s="392" t="e">
        <f>C72/$K60</f>
        <v>#DIV/0!</v>
      </c>
      <c r="E72" s="275"/>
      <c r="F72" s="276"/>
      <c r="G72" s="311"/>
      <c r="H72" s="311"/>
      <c r="I72" s="311"/>
      <c r="J72" s="338" t="s">
        <v>21</v>
      </c>
      <c r="K72" s="317"/>
      <c r="L72" s="311"/>
      <c r="M72" s="311"/>
      <c r="N72" s="311"/>
      <c r="O72" s="311"/>
    </row>
    <row r="73" spans="1:15" x14ac:dyDescent="0.35">
      <c r="A73" s="311"/>
      <c r="B73" s="277" t="s">
        <v>46</v>
      </c>
      <c r="C73" s="391">
        <v>126362.156</v>
      </c>
      <c r="D73" s="392" t="e">
        <f>C73/$K60</f>
        <v>#DIV/0!</v>
      </c>
      <c r="E73" s="275"/>
      <c r="F73" s="276"/>
      <c r="G73" s="311"/>
      <c r="H73" s="311"/>
      <c r="I73" s="311"/>
      <c r="J73" s="318" t="s">
        <v>23</v>
      </c>
      <c r="K73" s="319">
        <v>2.61</v>
      </c>
      <c r="L73" s="311"/>
      <c r="M73" s="311"/>
      <c r="N73" s="311"/>
      <c r="O73" s="311"/>
    </row>
    <row r="74" spans="1:15" ht="15" thickBot="1" x14ac:dyDescent="0.4">
      <c r="A74" s="311"/>
      <c r="B74" s="278" t="s">
        <v>24</v>
      </c>
      <c r="C74" s="394">
        <f>C71+C72+C73</f>
        <v>386267.67499999999</v>
      </c>
      <c r="D74" s="394" t="e">
        <f>D71+D72+D73</f>
        <v>#DIV/0!</v>
      </c>
      <c r="E74" s="280"/>
      <c r="F74" s="280"/>
      <c r="G74" s="311"/>
      <c r="H74" s="311"/>
      <c r="I74" s="311"/>
      <c r="J74" s="320" t="s">
        <v>25</v>
      </c>
      <c r="K74" s="321">
        <v>2.17</v>
      </c>
      <c r="O74" s="311"/>
    </row>
    <row r="75" spans="1:15" x14ac:dyDescent="0.35">
      <c r="A75" s="311"/>
      <c r="B75" s="277" t="s">
        <v>11</v>
      </c>
      <c r="C75" s="392">
        <f>Model!AU$119</f>
        <v>46283.78</v>
      </c>
      <c r="D75" s="392" t="e">
        <f>C75/$K60</f>
        <v>#DIV/0!</v>
      </c>
      <c r="E75" s="281"/>
      <c r="F75" s="281"/>
      <c r="G75" s="311"/>
      <c r="H75" s="311"/>
      <c r="I75" s="311"/>
      <c r="J75" s="311"/>
      <c r="K75" s="311"/>
      <c r="L75" s="311"/>
      <c r="M75" s="311"/>
      <c r="N75" s="311"/>
      <c r="O75" s="311"/>
    </row>
    <row r="76" spans="1:15" x14ac:dyDescent="0.35">
      <c r="A76" s="311"/>
      <c r="B76" s="278" t="s">
        <v>26</v>
      </c>
      <c r="C76" s="395">
        <f>C74+C75</f>
        <v>432551.45499999996</v>
      </c>
      <c r="D76" s="395" t="e">
        <f>D74+D75</f>
        <v>#DIV/0!</v>
      </c>
      <c r="E76" s="280">
        <f>C76/C81</f>
        <v>4.8581926362199823</v>
      </c>
      <c r="F76" s="280" t="e">
        <f>D76/D81</f>
        <v>#DIV/0!</v>
      </c>
      <c r="G76" s="311"/>
      <c r="H76" s="311"/>
      <c r="I76" s="311"/>
      <c r="J76" s="311"/>
      <c r="K76" s="311"/>
      <c r="L76" s="311"/>
      <c r="M76" s="311"/>
      <c r="N76" s="311"/>
      <c r="O76" s="311"/>
    </row>
    <row r="77" spans="1:15" x14ac:dyDescent="0.35">
      <c r="A77" s="311"/>
      <c r="B77" s="277" t="s">
        <v>15</v>
      </c>
      <c r="C77" s="392">
        <f>Model!AU$122</f>
        <v>42352.875999999997</v>
      </c>
      <c r="D77" s="392" t="e">
        <f>C77/$K60</f>
        <v>#DIV/0!</v>
      </c>
      <c r="E77" s="283"/>
      <c r="F77" s="283"/>
      <c r="G77" s="311"/>
      <c r="H77" s="311"/>
      <c r="I77" s="311"/>
      <c r="J77" s="311"/>
      <c r="K77" s="311"/>
      <c r="L77" s="311"/>
      <c r="M77" s="311"/>
      <c r="N77" s="311"/>
      <c r="O77" s="311"/>
    </row>
    <row r="78" spans="1:15" x14ac:dyDescent="0.35">
      <c r="A78" s="311"/>
      <c r="B78" s="278" t="s">
        <v>17</v>
      </c>
      <c r="C78" s="394">
        <f>C76-C77</f>
        <v>390198.57899999997</v>
      </c>
      <c r="D78" s="394" t="e">
        <f>D76-D77</f>
        <v>#DIV/0!</v>
      </c>
      <c r="E78" s="280">
        <f>C78/C81</f>
        <v>4.3825071936500617</v>
      </c>
      <c r="F78" s="280" t="e">
        <f>D78/D81</f>
        <v>#DIV/0!</v>
      </c>
      <c r="G78" s="311"/>
      <c r="H78" s="111"/>
      <c r="I78" s="311"/>
      <c r="J78" s="111"/>
      <c r="K78" s="311"/>
      <c r="L78" s="311"/>
      <c r="M78" s="311"/>
      <c r="N78" s="311"/>
      <c r="O78" s="311"/>
    </row>
    <row r="79" spans="1:15" x14ac:dyDescent="0.35">
      <c r="A79" s="311"/>
      <c r="B79" s="277" t="s">
        <v>27</v>
      </c>
      <c r="C79" s="396">
        <f>Model!AU$127</f>
        <v>202371.76699999999</v>
      </c>
      <c r="D79" s="392" t="e">
        <f>C79/$K60</f>
        <v>#DIV/0!</v>
      </c>
      <c r="E79" s="283"/>
      <c r="F79" s="277"/>
      <c r="G79" s="311"/>
      <c r="H79" s="311"/>
      <c r="I79" s="311"/>
      <c r="O79" s="311"/>
    </row>
    <row r="80" spans="1:15" x14ac:dyDescent="0.35">
      <c r="A80" s="311"/>
      <c r="B80" s="123" t="s">
        <v>28</v>
      </c>
      <c r="C80" s="330">
        <f>C78+C79</f>
        <v>592570.3459999999</v>
      </c>
      <c r="D80" s="392" t="e">
        <f>C80/$K60</f>
        <v>#DIV/0!</v>
      </c>
      <c r="E80" s="281"/>
      <c r="F80" s="277"/>
      <c r="G80" s="311"/>
      <c r="H80" s="311"/>
      <c r="I80" s="311"/>
      <c r="O80" s="311"/>
    </row>
    <row r="81" spans="1:15" s="249" customFormat="1" x14ac:dyDescent="0.35">
      <c r="A81" s="373"/>
      <c r="B81" s="123" t="s">
        <v>18</v>
      </c>
      <c r="C81" s="329">
        <f>Model!AU$87</f>
        <v>89035.468000000023</v>
      </c>
      <c r="D81" s="393" t="e">
        <f>C81/$K61</f>
        <v>#DIV/0!</v>
      </c>
      <c r="E81" s="123"/>
      <c r="F81" s="123"/>
      <c r="G81" s="373"/>
      <c r="H81" s="374"/>
      <c r="I81" s="373"/>
      <c r="O81" s="373"/>
    </row>
    <row r="82" spans="1:15" x14ac:dyDescent="0.35">
      <c r="A82" s="311"/>
      <c r="B82" s="149" t="s">
        <v>29</v>
      </c>
      <c r="C82" s="207">
        <f>C76-Model!AU$120</f>
        <v>0</v>
      </c>
      <c r="D82" s="376"/>
      <c r="E82" s="311"/>
      <c r="F82" s="311"/>
      <c r="G82" s="311"/>
      <c r="H82" s="311"/>
      <c r="I82" s="311"/>
      <c r="O82" s="311"/>
    </row>
    <row r="83" spans="1:15" x14ac:dyDescent="0.35">
      <c r="A83" s="311"/>
      <c r="B83" s="323"/>
      <c r="C83" s="324"/>
      <c r="D83" s="311"/>
      <c r="E83" s="311"/>
      <c r="F83" s="311"/>
      <c r="G83" s="311"/>
      <c r="H83" s="311"/>
      <c r="I83" s="311"/>
      <c r="O83" s="311"/>
    </row>
    <row r="84" spans="1:15" ht="15" thickBot="1" x14ac:dyDescent="0.4">
      <c r="A84" s="311"/>
      <c r="B84" s="311"/>
      <c r="C84" s="311"/>
      <c r="D84" s="311"/>
      <c r="E84" s="311"/>
      <c r="F84" s="311"/>
      <c r="G84" s="311"/>
      <c r="H84" s="311"/>
      <c r="I84" s="311"/>
      <c r="O84" s="311"/>
    </row>
    <row r="85" spans="1:15" ht="15" thickBot="1" x14ac:dyDescent="0.4">
      <c r="A85" s="311"/>
      <c r="B85" s="288" t="s">
        <v>47</v>
      </c>
      <c r="C85" s="289" t="str">
        <f>C63</f>
        <v>Php (in million)</v>
      </c>
      <c r="D85" s="290" t="str">
        <f>D63</f>
        <v>USD (mn)</v>
      </c>
      <c r="E85" s="311"/>
      <c r="F85" s="311"/>
      <c r="G85" s="311"/>
      <c r="H85" s="311"/>
      <c r="I85" s="311"/>
      <c r="O85" s="311"/>
    </row>
    <row r="86" spans="1:15" x14ac:dyDescent="0.35">
      <c r="A86" s="311"/>
      <c r="B86" s="286" t="s">
        <v>31</v>
      </c>
      <c r="C86" s="180">
        <v>10191.931</v>
      </c>
      <c r="D86" s="287" t="e">
        <f>C86/$K$60</f>
        <v>#DIV/0!</v>
      </c>
      <c r="E86" s="311"/>
      <c r="F86" s="311"/>
      <c r="G86" s="311"/>
      <c r="H86" s="311"/>
      <c r="I86" s="311"/>
      <c r="O86" s="311"/>
    </row>
    <row r="87" spans="1:15" ht="15" thickBot="1" x14ac:dyDescent="0.4">
      <c r="A87" s="311"/>
      <c r="B87" s="286" t="s">
        <v>32</v>
      </c>
      <c r="C87" s="268">
        <v>32160.945</v>
      </c>
      <c r="D87" s="287" t="e">
        <f>C87/$K$60</f>
        <v>#DIV/0!</v>
      </c>
      <c r="E87" s="311"/>
      <c r="F87" s="311"/>
      <c r="G87" s="311"/>
      <c r="H87" s="311"/>
      <c r="I87" s="311"/>
      <c r="O87" s="311"/>
    </row>
    <row r="88" spans="1:15" ht="15" thickBot="1" x14ac:dyDescent="0.4">
      <c r="A88" s="311"/>
      <c r="B88" s="291" t="s">
        <v>33</v>
      </c>
      <c r="C88" s="292">
        <f>SUM(C86:C87)</f>
        <v>42352.876000000004</v>
      </c>
      <c r="D88" s="378" t="e">
        <f>SUM(D86:D87)</f>
        <v>#DIV/0!</v>
      </c>
      <c r="E88" s="311"/>
      <c r="F88" s="311"/>
      <c r="G88" s="311"/>
      <c r="H88" s="311"/>
      <c r="I88" s="311"/>
      <c r="O88" s="311"/>
    </row>
    <row r="89" spans="1:15" s="376" customFormat="1" ht="10.5" x14ac:dyDescent="0.25">
      <c r="B89" s="149" t="s">
        <v>29</v>
      </c>
      <c r="C89" s="207">
        <f>C88-C77</f>
        <v>0</v>
      </c>
      <c r="D89" s="377"/>
    </row>
    <row r="90" spans="1:15" x14ac:dyDescent="0.35">
      <c r="A90" s="311"/>
      <c r="B90" s="350"/>
      <c r="C90" s="351"/>
      <c r="D90" s="351"/>
      <c r="E90" s="311"/>
      <c r="F90" s="311"/>
      <c r="G90" s="311"/>
      <c r="H90" s="311"/>
      <c r="I90" s="311"/>
      <c r="O90" s="311"/>
    </row>
    <row r="91" spans="1:15" ht="15" thickBot="1" x14ac:dyDescent="0.4">
      <c r="A91" s="311"/>
      <c r="B91" s="311"/>
      <c r="C91" s="311"/>
      <c r="D91" s="311"/>
      <c r="E91" s="311"/>
      <c r="F91" s="311"/>
      <c r="G91" s="311"/>
      <c r="H91" s="311"/>
      <c r="I91" s="311"/>
      <c r="O91" s="311"/>
    </row>
    <row r="92" spans="1:15" ht="15" thickBot="1" x14ac:dyDescent="0.4">
      <c r="A92" s="311"/>
      <c r="B92" s="296" t="s">
        <v>48</v>
      </c>
      <c r="C92" s="289" t="str">
        <f>C63</f>
        <v>Php (in million)</v>
      </c>
      <c r="D92" s="290" t="str">
        <f>D63</f>
        <v>USD (mn)</v>
      </c>
      <c r="E92" s="179"/>
      <c r="F92" s="179"/>
      <c r="G92" s="322"/>
      <c r="H92" s="311"/>
      <c r="I92" s="311"/>
      <c r="O92" s="311"/>
    </row>
    <row r="93" spans="1:15" x14ac:dyDescent="0.35">
      <c r="A93" s="311"/>
      <c r="B93" s="286" t="s">
        <v>35</v>
      </c>
      <c r="C93" s="180"/>
      <c r="D93" s="293"/>
      <c r="E93" s="180"/>
      <c r="F93" s="180"/>
      <c r="G93" s="311"/>
      <c r="H93" s="311"/>
      <c r="I93" s="311"/>
      <c r="J93" s="311"/>
      <c r="K93" s="311"/>
      <c r="L93" s="311"/>
      <c r="M93" s="311"/>
      <c r="N93" s="311"/>
      <c r="O93" s="311"/>
    </row>
    <row r="94" spans="1:15" x14ac:dyDescent="0.35">
      <c r="A94" s="311"/>
      <c r="B94" s="294" t="s">
        <v>10</v>
      </c>
      <c r="C94" s="384">
        <v>84318</v>
      </c>
      <c r="D94" s="295" t="e">
        <f>C94/$K60</f>
        <v>#DIV/0!</v>
      </c>
      <c r="E94" s="181"/>
      <c r="F94" s="181"/>
      <c r="G94" s="311"/>
      <c r="H94" s="311"/>
      <c r="I94" s="311"/>
      <c r="J94" s="311"/>
      <c r="K94" s="311"/>
      <c r="L94" s="311"/>
      <c r="M94" s="311"/>
      <c r="N94" s="311"/>
      <c r="O94" s="311"/>
    </row>
    <row r="95" spans="1:15" x14ac:dyDescent="0.35">
      <c r="A95" s="311"/>
      <c r="B95" s="294" t="s">
        <v>12</v>
      </c>
      <c r="C95" s="385">
        <f>+D95*$K60</f>
        <v>0</v>
      </c>
      <c r="D95" s="386">
        <v>20</v>
      </c>
      <c r="E95" s="180"/>
      <c r="F95" s="180"/>
      <c r="G95" s="311"/>
      <c r="H95" s="311"/>
      <c r="I95" s="311"/>
      <c r="J95" s="311"/>
      <c r="K95" s="311"/>
      <c r="L95" s="311"/>
      <c r="M95" s="311"/>
      <c r="N95" s="311"/>
      <c r="O95" s="311"/>
    </row>
    <row r="96" spans="1:15" x14ac:dyDescent="0.35">
      <c r="A96" s="311"/>
      <c r="B96" s="286" t="s">
        <v>36</v>
      </c>
      <c r="C96" s="387"/>
      <c r="D96" s="386"/>
      <c r="E96" s="180"/>
      <c r="F96" s="180"/>
      <c r="G96" s="311"/>
      <c r="H96" s="311"/>
      <c r="I96" s="311"/>
      <c r="J96" s="311"/>
      <c r="K96" s="311"/>
      <c r="L96" s="311"/>
      <c r="M96" s="311"/>
      <c r="N96" s="311"/>
      <c r="O96" s="311"/>
    </row>
    <row r="97" spans="1:15" x14ac:dyDescent="0.35">
      <c r="A97" s="311"/>
      <c r="B97" s="294" t="s">
        <v>10</v>
      </c>
      <c r="C97" s="387">
        <v>3000</v>
      </c>
      <c r="D97" s="295" t="e">
        <f>C97/$K60</f>
        <v>#DIV/0!</v>
      </c>
      <c r="E97" s="180"/>
      <c r="F97" s="180"/>
      <c r="G97" s="311"/>
      <c r="H97" s="311"/>
      <c r="I97" s="311"/>
      <c r="J97" s="311"/>
      <c r="K97" s="311"/>
      <c r="L97" s="311"/>
      <c r="M97" s="311"/>
      <c r="N97" s="311"/>
      <c r="O97" s="311"/>
    </row>
    <row r="98" spans="1:15" x14ac:dyDescent="0.35">
      <c r="A98" s="311"/>
      <c r="B98" s="294" t="s">
        <v>12</v>
      </c>
      <c r="C98" s="385">
        <f>+D98*$K60</f>
        <v>0</v>
      </c>
      <c r="D98" s="386">
        <v>50</v>
      </c>
      <c r="E98" s="181"/>
      <c r="F98" s="181"/>
      <c r="G98" s="311"/>
      <c r="H98" s="311"/>
      <c r="I98" s="311"/>
      <c r="J98" s="311"/>
      <c r="K98" s="311"/>
      <c r="L98" s="311"/>
      <c r="M98" s="311"/>
      <c r="N98" s="311"/>
      <c r="O98" s="311"/>
    </row>
    <row r="99" spans="1:15" ht="15" thickBot="1" x14ac:dyDescent="0.4">
      <c r="A99" s="311"/>
      <c r="B99" s="286" t="s">
        <v>15</v>
      </c>
      <c r="C99" s="388">
        <f>C88</f>
        <v>42352.876000000004</v>
      </c>
      <c r="D99" s="295" t="e">
        <f>C99/$K60</f>
        <v>#DIV/0!</v>
      </c>
      <c r="E99" s="182"/>
      <c r="F99" s="182"/>
      <c r="G99" s="311"/>
      <c r="H99" s="311"/>
      <c r="I99" s="311"/>
      <c r="J99" s="311"/>
      <c r="K99" s="311"/>
      <c r="L99" s="311"/>
      <c r="M99" s="311"/>
      <c r="N99" s="311"/>
      <c r="O99" s="311"/>
    </row>
    <row r="100" spans="1:15" ht="15" thickBot="1" x14ac:dyDescent="0.4">
      <c r="A100" s="311"/>
      <c r="B100" s="297" t="s">
        <v>37</v>
      </c>
      <c r="C100" s="389">
        <f>+C94+C95+C98+C99</f>
        <v>126670.876</v>
      </c>
      <c r="D100" s="390" t="e">
        <f>+D94+D95+D98+D99</f>
        <v>#DIV/0!</v>
      </c>
      <c r="E100" s="183"/>
      <c r="F100" s="183"/>
      <c r="G100" s="311"/>
      <c r="H100" s="311"/>
      <c r="I100" s="311"/>
      <c r="J100" s="311"/>
      <c r="K100" s="311"/>
      <c r="L100" s="311"/>
      <c r="M100" s="311"/>
      <c r="N100" s="311"/>
      <c r="O100" s="311"/>
    </row>
    <row r="101" spans="1:15" x14ac:dyDescent="0.35">
      <c r="A101" s="311"/>
      <c r="B101" s="311"/>
      <c r="C101" s="311"/>
      <c r="D101" s="311"/>
      <c r="E101" s="311"/>
      <c r="F101" s="311"/>
      <c r="G101" s="311"/>
      <c r="H101" s="311"/>
      <c r="I101" s="311"/>
      <c r="J101" s="311"/>
      <c r="K101" s="311"/>
      <c r="L101" s="311"/>
      <c r="M101" s="311"/>
      <c r="N101" s="311"/>
      <c r="O101" s="311"/>
    </row>
    <row r="102" spans="1:15" ht="15" thickBot="1" x14ac:dyDescent="0.4">
      <c r="A102" s="311"/>
      <c r="B102" s="311"/>
      <c r="C102" s="311"/>
      <c r="D102" s="311"/>
      <c r="E102" s="311"/>
      <c r="F102" s="311"/>
      <c r="G102" s="311"/>
      <c r="H102" s="311"/>
      <c r="I102" s="311"/>
      <c r="J102" s="311"/>
      <c r="K102" s="311"/>
      <c r="L102" s="311"/>
      <c r="M102" s="311"/>
      <c r="N102" s="311"/>
      <c r="O102" s="311"/>
    </row>
    <row r="103" spans="1:15" ht="15" thickBot="1" x14ac:dyDescent="0.4">
      <c r="A103" s="311"/>
      <c r="B103" s="300" t="s">
        <v>49</v>
      </c>
      <c r="C103" s="301" t="str">
        <f>C63</f>
        <v>Php (in million)</v>
      </c>
      <c r="D103" s="302" t="str">
        <f>D63</f>
        <v>USD (mn)</v>
      </c>
      <c r="E103" s="248"/>
      <c r="F103" s="248"/>
      <c r="G103" s="311"/>
      <c r="H103" s="311"/>
      <c r="I103" s="311"/>
      <c r="J103" s="311"/>
      <c r="K103" s="311"/>
      <c r="L103" s="311"/>
      <c r="M103" s="311"/>
      <c r="N103" s="311"/>
      <c r="O103" s="311"/>
    </row>
    <row r="104" spans="1:15" x14ac:dyDescent="0.35">
      <c r="A104" s="311"/>
      <c r="B104" s="266">
        <v>2026</v>
      </c>
      <c r="C104" s="379">
        <v>15483.525</v>
      </c>
      <c r="D104" s="380" t="e">
        <f>C104/$K60</f>
        <v>#DIV/0!</v>
      </c>
      <c r="E104" s="154"/>
      <c r="F104" s="154"/>
      <c r="G104" s="311"/>
      <c r="H104" s="311"/>
      <c r="I104" s="311"/>
      <c r="J104" s="311"/>
      <c r="K104" s="311"/>
      <c r="L104" s="311"/>
      <c r="M104" s="311"/>
      <c r="N104" s="311"/>
      <c r="O104" s="311"/>
    </row>
    <row r="105" spans="1:15" x14ac:dyDescent="0.35">
      <c r="A105" s="311"/>
      <c r="B105" s="266">
        <v>2027</v>
      </c>
      <c r="C105" s="379">
        <v>24018.771000000001</v>
      </c>
      <c r="D105" s="380" t="e">
        <f>C105/$K60</f>
        <v>#DIV/0!</v>
      </c>
      <c r="E105" s="154"/>
      <c r="F105" s="154"/>
      <c r="G105" s="311"/>
      <c r="H105" s="311"/>
      <c r="I105" s="311"/>
      <c r="J105" s="311"/>
      <c r="K105" s="311"/>
      <c r="L105" s="311"/>
      <c r="M105" s="311"/>
      <c r="N105" s="311"/>
      <c r="O105" s="311"/>
    </row>
    <row r="106" spans="1:15" x14ac:dyDescent="0.35">
      <c r="A106" s="311"/>
      <c r="B106" s="266">
        <v>2028</v>
      </c>
      <c r="C106" s="379">
        <v>23593.502</v>
      </c>
      <c r="D106" s="380" t="e">
        <f>C106/$K60</f>
        <v>#DIV/0!</v>
      </c>
      <c r="E106" s="154"/>
      <c r="F106" s="154"/>
      <c r="G106" s="311"/>
      <c r="H106" s="311"/>
      <c r="I106" s="311"/>
      <c r="J106" s="311"/>
      <c r="K106" s="311"/>
      <c r="L106" s="311"/>
      <c r="M106" s="311"/>
      <c r="N106" s="311"/>
      <c r="O106" s="311"/>
    </row>
    <row r="107" spans="1:15" x14ac:dyDescent="0.35">
      <c r="A107" s="311"/>
      <c r="B107" s="266">
        <v>2029</v>
      </c>
      <c r="C107" s="379">
        <v>24183.005000000001</v>
      </c>
      <c r="D107" s="380" t="e">
        <f>C107/$K60</f>
        <v>#DIV/0!</v>
      </c>
      <c r="E107" s="154"/>
      <c r="F107" s="154"/>
      <c r="G107" s="311"/>
      <c r="H107" s="311"/>
      <c r="I107" s="311"/>
      <c r="J107" s="311"/>
      <c r="K107" s="311"/>
      <c r="L107" s="311"/>
      <c r="M107" s="311"/>
      <c r="N107" s="311"/>
      <c r="O107" s="311"/>
    </row>
    <row r="108" spans="1:15" ht="15" thickBot="1" x14ac:dyDescent="0.4">
      <c r="A108" s="311"/>
      <c r="B108" s="266" t="s">
        <v>39</v>
      </c>
      <c r="C108" s="379">
        <v>165253.39499999999</v>
      </c>
      <c r="D108" s="380" t="e">
        <f>C108/$K60</f>
        <v>#DIV/0!</v>
      </c>
      <c r="E108" s="154"/>
      <c r="F108" s="154"/>
      <c r="G108" s="311"/>
      <c r="H108" s="311"/>
      <c r="I108" s="311"/>
      <c r="J108" s="311"/>
      <c r="K108" s="311"/>
      <c r="L108" s="311"/>
      <c r="M108" s="311"/>
      <c r="N108" s="311"/>
      <c r="O108" s="311"/>
    </row>
    <row r="109" spans="1:15" ht="15" thickBot="1" x14ac:dyDescent="0.4">
      <c r="A109" s="311"/>
      <c r="B109" s="303" t="s">
        <v>40</v>
      </c>
      <c r="C109" s="381">
        <f>+SUM(C104:C108)</f>
        <v>252532.19799999997</v>
      </c>
      <c r="D109" s="382" t="e">
        <f>+SUM(D104:D107)</f>
        <v>#DIV/0!</v>
      </c>
      <c r="E109" s="156"/>
      <c r="F109" s="156"/>
      <c r="G109" s="311"/>
      <c r="H109" s="311"/>
      <c r="I109" s="311"/>
      <c r="J109" s="311"/>
      <c r="K109" s="311"/>
      <c r="L109" s="311"/>
      <c r="M109" s="311"/>
      <c r="N109" s="311"/>
      <c r="O109" s="311"/>
    </row>
    <row r="110" spans="1:15" ht="15" thickBot="1" x14ac:dyDescent="0.4">
      <c r="A110" s="311"/>
      <c r="B110" s="266" t="s">
        <v>41</v>
      </c>
      <c r="C110" s="383">
        <f>C111-C109</f>
        <v>-1294.9159999999683</v>
      </c>
      <c r="D110" s="380" t="e">
        <f>C110/$K60</f>
        <v>#DIV/0!</v>
      </c>
      <c r="E110" s="154"/>
      <c r="F110" s="154"/>
      <c r="G110" s="311"/>
      <c r="H110" s="311"/>
      <c r="I110" s="311"/>
      <c r="J110" s="311"/>
      <c r="K110" s="311"/>
      <c r="L110" s="311"/>
      <c r="M110" s="311"/>
      <c r="N110" s="311"/>
      <c r="O110" s="311"/>
    </row>
    <row r="111" spans="1:15" ht="15" thickBot="1" x14ac:dyDescent="0.4">
      <c r="A111" s="311"/>
      <c r="B111" s="303" t="s">
        <v>42</v>
      </c>
      <c r="C111" s="381">
        <f>C71</f>
        <v>251237.28200000001</v>
      </c>
      <c r="D111" s="382" t="e">
        <f>+D109+D110</f>
        <v>#DIV/0!</v>
      </c>
      <c r="E111" s="156"/>
      <c r="F111" s="156"/>
      <c r="G111" s="311"/>
      <c r="H111" s="311"/>
      <c r="I111" s="311"/>
      <c r="J111" s="311"/>
      <c r="K111" s="311"/>
      <c r="L111" s="311"/>
      <c r="M111" s="311"/>
      <c r="N111" s="311"/>
      <c r="O111" s="311"/>
    </row>
    <row r="112" spans="1:15" s="376" customFormat="1" ht="10.5" x14ac:dyDescent="0.25">
      <c r="B112" s="149" t="s">
        <v>43</v>
      </c>
      <c r="C112" s="169">
        <f>+C111-C71</f>
        <v>0</v>
      </c>
    </row>
    <row r="113" spans="1:15" x14ac:dyDescent="0.35">
      <c r="A113" s="311"/>
      <c r="B113" s="311"/>
      <c r="C113" s="311"/>
      <c r="D113" s="311"/>
      <c r="E113" s="311"/>
      <c r="F113" s="311"/>
      <c r="G113" s="311"/>
      <c r="H113" s="311"/>
      <c r="I113" s="311"/>
      <c r="J113" s="311"/>
      <c r="K113" s="311"/>
      <c r="L113" s="311"/>
      <c r="M113" s="311"/>
      <c r="N113" s="311"/>
      <c r="O113" s="311"/>
    </row>
    <row r="117" spans="1:15" ht="18.5" x14ac:dyDescent="0.45">
      <c r="A117" s="336" t="s">
        <v>50</v>
      </c>
      <c r="B117" s="311"/>
      <c r="C117" s="311"/>
      <c r="D117" s="311"/>
      <c r="E117" s="311"/>
      <c r="F117" s="311"/>
      <c r="G117" s="311"/>
      <c r="H117" s="311"/>
      <c r="I117" s="311"/>
      <c r="J117" s="311"/>
      <c r="K117" s="311"/>
      <c r="L117" s="311"/>
      <c r="M117" s="311"/>
      <c r="N117" s="311"/>
      <c r="O117" s="311"/>
    </row>
    <row r="118" spans="1:15" x14ac:dyDescent="0.35">
      <c r="A118" s="6"/>
      <c r="B118" s="311"/>
      <c r="C118" s="311"/>
      <c r="D118" s="311"/>
      <c r="E118" s="311"/>
      <c r="F118" s="311"/>
      <c r="G118" s="311"/>
      <c r="H118" s="311"/>
      <c r="I118" s="311"/>
      <c r="J118" s="123" t="s">
        <v>1</v>
      </c>
      <c r="K118" s="124">
        <f>Model!$M$201</f>
        <v>0</v>
      </c>
      <c r="L118" s="124"/>
      <c r="M118" s="311"/>
      <c r="N118" s="311"/>
      <c r="O118" s="311"/>
    </row>
    <row r="119" spans="1:15" x14ac:dyDescent="0.35">
      <c r="A119" s="311"/>
      <c r="B119" s="311"/>
      <c r="C119" s="311"/>
      <c r="D119" s="111"/>
      <c r="E119" s="311"/>
      <c r="F119" s="311"/>
      <c r="G119" s="311"/>
      <c r="H119" s="311"/>
      <c r="I119" s="311"/>
      <c r="J119" s="123" t="s">
        <v>2</v>
      </c>
      <c r="K119" s="124">
        <f>Model!$M$200</f>
        <v>0</v>
      </c>
      <c r="L119" s="311"/>
      <c r="M119" s="311"/>
      <c r="N119" s="311"/>
      <c r="O119" s="311"/>
    </row>
    <row r="120" spans="1:15" x14ac:dyDescent="0.35">
      <c r="A120" s="311"/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</row>
    <row r="121" spans="1:15" ht="18" customHeight="1" x14ac:dyDescent="0.35">
      <c r="A121" s="311"/>
      <c r="B121" s="263" t="s">
        <v>51</v>
      </c>
      <c r="C121" s="264" t="s">
        <v>4</v>
      </c>
      <c r="D121" s="264" t="s">
        <v>5</v>
      </c>
      <c r="E121" s="265" t="s">
        <v>6</v>
      </c>
      <c r="F121" s="265" t="s">
        <v>7</v>
      </c>
      <c r="G121" s="311"/>
      <c r="H121" s="311"/>
      <c r="I121" s="311"/>
      <c r="J121" s="263" t="str">
        <f>B121</f>
        <v>Debt Breakdown as on 31-Dec-2025</v>
      </c>
      <c r="K121" s="265" t="str">
        <f>C121</f>
        <v>Php (in million)</v>
      </c>
      <c r="L121" s="265" t="str">
        <f>D121</f>
        <v>USD (mn)</v>
      </c>
      <c r="M121" s="265" t="str">
        <f>E121</f>
        <v>Leverage (PHP)</v>
      </c>
      <c r="N121" s="265" t="str">
        <f>F121</f>
        <v>Leverage (USD)</v>
      </c>
      <c r="O121" s="311"/>
    </row>
    <row r="122" spans="1:15" x14ac:dyDescent="0.35">
      <c r="A122" s="337">
        <f>SUM(C123:C125)/C132</f>
        <v>0.57402560277872805</v>
      </c>
      <c r="B122" s="269" t="s">
        <v>8</v>
      </c>
      <c r="C122" s="270"/>
      <c r="D122" s="271"/>
      <c r="E122" s="272"/>
      <c r="F122" s="272"/>
      <c r="G122" s="311"/>
      <c r="H122" s="311"/>
      <c r="I122" s="311"/>
      <c r="J122" s="311" t="s">
        <v>9</v>
      </c>
      <c r="K122" s="314">
        <v>256313</v>
      </c>
      <c r="L122" s="312" t="e">
        <f>K122/K118</f>
        <v>#DIV/0!</v>
      </c>
      <c r="M122" s="313"/>
      <c r="N122" s="313"/>
      <c r="O122" s="311"/>
    </row>
    <row r="123" spans="1:15" x14ac:dyDescent="0.35">
      <c r="A123" s="315"/>
      <c r="B123" s="273" t="s">
        <v>10</v>
      </c>
      <c r="C123" s="270">
        <v>199627.533</v>
      </c>
      <c r="D123" s="271" t="e">
        <f>C123/$K118</f>
        <v>#DIV/0!</v>
      </c>
      <c r="E123" s="272"/>
      <c r="F123" s="272"/>
      <c r="G123" s="311"/>
      <c r="H123" s="311"/>
      <c r="I123" s="311"/>
      <c r="J123" s="311" t="s">
        <v>11</v>
      </c>
      <c r="K123" s="353">
        <f>C133</f>
        <v>45412.62</v>
      </c>
      <c r="L123" s="312" t="e">
        <f>K123/K118</f>
        <v>#DIV/0!</v>
      </c>
      <c r="M123" s="313"/>
      <c r="N123" s="313"/>
      <c r="O123" s="311"/>
    </row>
    <row r="124" spans="1:15" x14ac:dyDescent="0.35">
      <c r="A124" s="315"/>
      <c r="B124" s="273" t="s">
        <v>12</v>
      </c>
      <c r="C124" s="270">
        <v>14293.662</v>
      </c>
      <c r="D124" s="271" t="e">
        <f>C124/$K118</f>
        <v>#DIV/0!</v>
      </c>
      <c r="E124" s="272"/>
      <c r="F124" s="272"/>
      <c r="G124" s="311"/>
      <c r="H124" s="311"/>
      <c r="I124" s="311"/>
      <c r="J124" s="278" t="s">
        <v>13</v>
      </c>
      <c r="K124" s="354">
        <f>K122+K123</f>
        <v>301725.62</v>
      </c>
      <c r="L124" s="354" t="e">
        <f>L122+L123</f>
        <v>#DIV/0!</v>
      </c>
      <c r="M124" s="355">
        <f>K124/K127</f>
        <v>3.443400573877232</v>
      </c>
      <c r="N124" s="355" t="e">
        <f>L124/L127</f>
        <v>#DIV/0!</v>
      </c>
      <c r="O124" s="311"/>
    </row>
    <row r="125" spans="1:15" x14ac:dyDescent="0.35">
      <c r="A125" s="315"/>
      <c r="B125" s="273" t="s">
        <v>14</v>
      </c>
      <c r="C125" s="270">
        <v>7399.4579999999996</v>
      </c>
      <c r="D125" s="271" t="e">
        <f>C125/$K118</f>
        <v>#DIV/0!</v>
      </c>
      <c r="E125" s="272"/>
      <c r="F125" s="272"/>
      <c r="G125" s="311"/>
      <c r="H125" s="311"/>
      <c r="I125" s="311"/>
      <c r="J125" s="277" t="s">
        <v>15</v>
      </c>
      <c r="K125" s="271">
        <f>C135</f>
        <v>25029.857</v>
      </c>
      <c r="L125" s="271" t="e">
        <f>K125/K118</f>
        <v>#DIV/0!</v>
      </c>
      <c r="M125" s="356"/>
      <c r="N125" s="356"/>
      <c r="O125" s="311"/>
    </row>
    <row r="126" spans="1:15" x14ac:dyDescent="0.35">
      <c r="A126" s="337">
        <f>SUM(C127:C128)/C132</f>
        <v>9.0758502178654402E-2</v>
      </c>
      <c r="B126" s="269" t="s">
        <v>16</v>
      </c>
      <c r="C126" s="270"/>
      <c r="D126" s="271"/>
      <c r="E126" s="272"/>
      <c r="F126" s="272"/>
      <c r="G126" s="311"/>
      <c r="H126" s="311"/>
      <c r="I126" s="311"/>
      <c r="J126" s="278" t="s">
        <v>17</v>
      </c>
      <c r="K126" s="354">
        <f>K124-K125</f>
        <v>276695.76299999998</v>
      </c>
      <c r="L126" s="354" t="e">
        <f>L124-L125</f>
        <v>#DIV/0!</v>
      </c>
      <c r="M126" s="355">
        <f>K126/K127</f>
        <v>3.1577509032994895</v>
      </c>
      <c r="N126" s="355" t="e">
        <f>L126/L127</f>
        <v>#DIV/0!</v>
      </c>
      <c r="O126" s="311"/>
    </row>
    <row r="127" spans="1:15" x14ac:dyDescent="0.35">
      <c r="A127" s="315"/>
      <c r="B127" s="273" t="s">
        <v>10</v>
      </c>
      <c r="C127" s="270"/>
      <c r="D127" s="271" t="e">
        <f>C127/$K118</f>
        <v>#DIV/0!</v>
      </c>
      <c r="E127" s="272"/>
      <c r="F127" s="272"/>
      <c r="G127" s="311"/>
      <c r="H127" s="311"/>
      <c r="I127" s="311"/>
      <c r="J127" s="277" t="s">
        <v>18</v>
      </c>
      <c r="K127" s="353">
        <f>C139</f>
        <v>87624.316000000021</v>
      </c>
      <c r="L127" s="353" t="e">
        <f>K127/K118</f>
        <v>#DIV/0!</v>
      </c>
      <c r="M127" s="357"/>
      <c r="N127" s="357"/>
      <c r="O127" s="311"/>
    </row>
    <row r="128" spans="1:15" ht="15" thickBot="1" x14ac:dyDescent="0.4">
      <c r="A128" s="315"/>
      <c r="B128" s="273" t="s">
        <v>12</v>
      </c>
      <c r="C128" s="270">
        <v>34992.743999999999</v>
      </c>
      <c r="D128" s="271" t="e">
        <f>C128/$K118</f>
        <v>#DIV/0!</v>
      </c>
      <c r="E128" s="272"/>
      <c r="F128" s="272"/>
      <c r="G128" s="311"/>
      <c r="H128" s="311"/>
      <c r="I128" s="311"/>
      <c r="J128" s="311"/>
      <c r="K128" s="311"/>
      <c r="L128" s="311"/>
      <c r="M128" s="311"/>
      <c r="N128" s="311"/>
      <c r="O128" s="311"/>
    </row>
    <row r="129" spans="1:15" x14ac:dyDescent="0.35">
      <c r="A129" s="315"/>
      <c r="B129" s="123" t="s">
        <v>19</v>
      </c>
      <c r="C129" s="274">
        <f>+C123+C124+C127+C128+C125</f>
        <v>256313.39700000003</v>
      </c>
      <c r="D129" s="274" t="e">
        <f>+D123+D124+D127+D128</f>
        <v>#DIV/0!</v>
      </c>
      <c r="E129" s="275"/>
      <c r="F129" s="276"/>
      <c r="G129" s="311"/>
      <c r="H129" s="311"/>
      <c r="I129" s="311"/>
      <c r="J129" s="338" t="s">
        <v>21</v>
      </c>
      <c r="K129" s="317"/>
      <c r="L129" s="311"/>
      <c r="M129" s="311"/>
      <c r="N129" s="311"/>
      <c r="O129" s="311"/>
    </row>
    <row r="130" spans="1:15" x14ac:dyDescent="0.35">
      <c r="A130" s="337">
        <f>SUM(C130:C131)/C132</f>
        <v>0.33521589504261751</v>
      </c>
      <c r="B130" s="277" t="s">
        <v>20</v>
      </c>
      <c r="C130" s="270">
        <v>9067.5930000000008</v>
      </c>
      <c r="D130" s="271" t="e">
        <f>C130/$K118</f>
        <v>#DIV/0!</v>
      </c>
      <c r="E130" s="275"/>
      <c r="F130" s="276"/>
      <c r="G130" s="311"/>
      <c r="H130" s="311"/>
      <c r="I130" s="311"/>
      <c r="J130" s="318" t="s">
        <v>23</v>
      </c>
      <c r="K130" s="319" t="s">
        <v>52</v>
      </c>
      <c r="L130" s="311"/>
      <c r="M130" s="311"/>
      <c r="N130" s="311"/>
      <c r="O130" s="311"/>
    </row>
    <row r="131" spans="1:15" ht="15" thickBot="1" x14ac:dyDescent="0.4">
      <c r="A131" s="311"/>
      <c r="B131" s="277" t="s">
        <v>46</v>
      </c>
      <c r="C131" s="270">
        <v>120177.863</v>
      </c>
      <c r="D131" s="271" t="e">
        <f>C131/$K118</f>
        <v>#DIV/0!</v>
      </c>
      <c r="E131" s="275"/>
      <c r="F131" s="276"/>
      <c r="G131" s="311"/>
      <c r="H131" s="311"/>
      <c r="I131" s="311"/>
      <c r="J131" s="320" t="s">
        <v>25</v>
      </c>
      <c r="K131" s="321" t="s">
        <v>53</v>
      </c>
      <c r="L131" s="311"/>
      <c r="M131" s="311"/>
      <c r="N131" s="311"/>
      <c r="O131" s="311"/>
    </row>
    <row r="132" spans="1:15" x14ac:dyDescent="0.35">
      <c r="A132" s="311"/>
      <c r="B132" s="278" t="s">
        <v>24</v>
      </c>
      <c r="C132" s="279">
        <f>C129+C130+C131</f>
        <v>385558.85300000006</v>
      </c>
      <c r="D132" s="279" t="e">
        <f>D129+D130+D131</f>
        <v>#DIV/0!</v>
      </c>
      <c r="E132" s="280"/>
      <c r="F132" s="280"/>
      <c r="G132" s="311"/>
      <c r="H132" s="311"/>
      <c r="I132" s="311"/>
      <c r="O132" s="311"/>
    </row>
    <row r="133" spans="1:15" x14ac:dyDescent="0.35">
      <c r="A133" s="311"/>
      <c r="B133" s="277" t="s">
        <v>11</v>
      </c>
      <c r="C133" s="271">
        <f>Model!AT$119</f>
        <v>45412.62</v>
      </c>
      <c r="D133" s="271" t="e">
        <f>C133/$K118</f>
        <v>#DIV/0!</v>
      </c>
      <c r="E133" s="281"/>
      <c r="F133" s="281"/>
      <c r="G133" s="311"/>
      <c r="H133" s="311"/>
      <c r="I133" s="311"/>
      <c r="J133" s="311"/>
      <c r="K133" s="311"/>
      <c r="L133" s="311"/>
      <c r="M133" s="311"/>
      <c r="N133" s="311"/>
      <c r="O133" s="311"/>
    </row>
    <row r="134" spans="1:15" x14ac:dyDescent="0.35">
      <c r="A134" s="311"/>
      <c r="B134" s="278" t="s">
        <v>26</v>
      </c>
      <c r="C134" s="282">
        <f>C132+C133</f>
        <v>430971.47300000006</v>
      </c>
      <c r="D134" s="282" t="e">
        <f>D132+D133</f>
        <v>#DIV/0!</v>
      </c>
      <c r="E134" s="280">
        <f>C134/C139</f>
        <v>4.9184004243753519</v>
      </c>
      <c r="F134" s="280" t="e">
        <f>D134/D139</f>
        <v>#DIV/0!</v>
      </c>
      <c r="G134" s="311"/>
      <c r="H134" s="311"/>
      <c r="I134" s="311"/>
      <c r="J134" s="311"/>
      <c r="K134" s="311"/>
      <c r="L134" s="311"/>
      <c r="M134" s="311"/>
      <c r="N134" s="311"/>
      <c r="O134" s="311"/>
    </row>
    <row r="135" spans="1:15" x14ac:dyDescent="0.35">
      <c r="A135" s="311"/>
      <c r="B135" s="277" t="s">
        <v>15</v>
      </c>
      <c r="C135" s="271">
        <f>Model!AT$122</f>
        <v>25029.857</v>
      </c>
      <c r="D135" s="271" t="e">
        <f>C135/$K118</f>
        <v>#DIV/0!</v>
      </c>
      <c r="E135" s="283"/>
      <c r="F135" s="283"/>
      <c r="G135" s="311"/>
      <c r="H135" s="311"/>
      <c r="I135" s="311"/>
      <c r="J135" s="311"/>
      <c r="K135" s="311"/>
      <c r="L135" s="311"/>
      <c r="M135" s="311"/>
      <c r="N135" s="311"/>
      <c r="O135" s="311"/>
    </row>
    <row r="136" spans="1:15" x14ac:dyDescent="0.35">
      <c r="A136" s="311"/>
      <c r="B136" s="278" t="s">
        <v>17</v>
      </c>
      <c r="C136" s="279">
        <f>C134-C135</f>
        <v>405941.61600000004</v>
      </c>
      <c r="D136" s="279" t="e">
        <f>D134-D135</f>
        <v>#DIV/0!</v>
      </c>
      <c r="E136" s="280">
        <f>C136/C139</f>
        <v>4.6327507537976098</v>
      </c>
      <c r="F136" s="280" t="e">
        <f>D136/D139</f>
        <v>#DIV/0!</v>
      </c>
      <c r="G136" s="311"/>
      <c r="H136" s="111"/>
      <c r="I136" s="311"/>
      <c r="J136" s="111"/>
      <c r="K136" s="311"/>
      <c r="L136" s="311"/>
      <c r="M136" s="311"/>
      <c r="N136" s="311"/>
      <c r="O136" s="311"/>
    </row>
    <row r="137" spans="1:15" x14ac:dyDescent="0.35">
      <c r="A137" s="311"/>
      <c r="B137" s="277" t="s">
        <v>27</v>
      </c>
      <c r="C137" s="352">
        <f>Model!AT$127</f>
        <v>174469.74400000001</v>
      </c>
      <c r="D137" s="271" t="e">
        <f>C137/$K118</f>
        <v>#DIV/0!</v>
      </c>
      <c r="E137" s="283"/>
      <c r="F137" s="277"/>
      <c r="G137" s="311"/>
      <c r="H137" s="311"/>
      <c r="I137" s="311"/>
      <c r="O137" s="311"/>
    </row>
    <row r="138" spans="1:15" x14ac:dyDescent="0.35">
      <c r="A138" s="311"/>
      <c r="B138" s="123" t="s">
        <v>28</v>
      </c>
      <c r="C138" s="236">
        <f>C136+C137</f>
        <v>580411.3600000001</v>
      </c>
      <c r="D138" s="271" t="e">
        <f>C138/$K118</f>
        <v>#DIV/0!</v>
      </c>
      <c r="E138" s="281"/>
      <c r="F138" s="277"/>
      <c r="G138" s="311"/>
      <c r="H138" s="311"/>
      <c r="I138" s="311"/>
      <c r="O138" s="311"/>
    </row>
    <row r="139" spans="1:15" x14ac:dyDescent="0.35">
      <c r="A139" s="311"/>
      <c r="B139" s="277" t="s">
        <v>18</v>
      </c>
      <c r="C139" s="285">
        <f>Model!AT$87</f>
        <v>87624.316000000021</v>
      </c>
      <c r="D139" s="271" t="e">
        <f>C139/$K119</f>
        <v>#DIV/0!</v>
      </c>
      <c r="E139" s="277"/>
      <c r="F139" s="277"/>
      <c r="G139" s="311"/>
      <c r="H139" s="322"/>
      <c r="I139" s="311"/>
      <c r="O139" s="311"/>
    </row>
    <row r="140" spans="1:15" x14ac:dyDescent="0.35">
      <c r="A140" s="311"/>
      <c r="B140" s="323" t="s">
        <v>29</v>
      </c>
      <c r="C140" s="324">
        <f>C134-Model!AT$120</f>
        <v>0</v>
      </c>
      <c r="D140" s="311"/>
      <c r="E140" s="311"/>
      <c r="F140" s="311"/>
      <c r="G140" s="311"/>
      <c r="H140" s="311"/>
      <c r="I140" s="311"/>
      <c r="O140" s="311"/>
    </row>
    <row r="141" spans="1:15" ht="15" thickBot="1" x14ac:dyDescent="0.4">
      <c r="A141" s="311"/>
      <c r="B141" s="311"/>
      <c r="C141" s="311"/>
      <c r="D141" s="311"/>
      <c r="E141" s="311"/>
      <c r="F141" s="311"/>
      <c r="G141" s="311"/>
      <c r="H141" s="311"/>
      <c r="I141" s="311"/>
      <c r="O141" s="311"/>
    </row>
    <row r="142" spans="1:15" ht="15" thickBot="1" x14ac:dyDescent="0.4">
      <c r="A142" s="311"/>
      <c r="B142" s="288" t="s">
        <v>54</v>
      </c>
      <c r="C142" s="289" t="str">
        <f>C121</f>
        <v>Php (in million)</v>
      </c>
      <c r="D142" s="290" t="str">
        <f>D121</f>
        <v>USD (mn)</v>
      </c>
      <c r="E142" s="311"/>
      <c r="F142" s="311"/>
      <c r="G142" s="311"/>
      <c r="H142" s="311"/>
      <c r="I142" s="311"/>
      <c r="O142" s="311"/>
    </row>
    <row r="143" spans="1:15" x14ac:dyDescent="0.35">
      <c r="A143" s="311"/>
      <c r="B143" s="286" t="s">
        <v>31</v>
      </c>
      <c r="C143" s="180">
        <v>8234.5540000000001</v>
      </c>
      <c r="D143" s="287" t="e">
        <f>C143/$K$175</f>
        <v>#DIV/0!</v>
      </c>
      <c r="E143" s="311"/>
      <c r="F143" s="311"/>
      <c r="G143" s="311"/>
      <c r="H143" s="311"/>
      <c r="I143" s="311"/>
      <c r="O143" s="311"/>
    </row>
    <row r="144" spans="1:15" ht="15" thickBot="1" x14ac:dyDescent="0.4">
      <c r="A144" s="311"/>
      <c r="B144" s="286" t="s">
        <v>32</v>
      </c>
      <c r="C144" s="268">
        <v>16795.303</v>
      </c>
      <c r="D144" s="287" t="e">
        <f>C144/$K$175</f>
        <v>#DIV/0!</v>
      </c>
      <c r="E144" s="311"/>
      <c r="F144" s="311"/>
      <c r="G144" s="311"/>
      <c r="H144" s="311"/>
      <c r="I144" s="311"/>
      <c r="O144" s="311"/>
    </row>
    <row r="145" spans="1:15" ht="15" thickBot="1" x14ac:dyDescent="0.4">
      <c r="A145" s="311"/>
      <c r="B145" s="291" t="s">
        <v>33</v>
      </c>
      <c r="C145" s="292">
        <f>SUM(C143:C144)</f>
        <v>25029.857</v>
      </c>
      <c r="D145" s="292" t="e">
        <f>SUM(D143:D144)</f>
        <v>#DIV/0!</v>
      </c>
      <c r="E145" s="311"/>
      <c r="F145" s="311"/>
      <c r="G145" s="311"/>
      <c r="H145" s="311"/>
      <c r="I145" s="311"/>
      <c r="O145" s="311"/>
    </row>
    <row r="146" spans="1:15" x14ac:dyDescent="0.35">
      <c r="A146" s="311"/>
      <c r="B146" s="323" t="s">
        <v>29</v>
      </c>
      <c r="C146" s="324">
        <f>C145-C135</f>
        <v>0</v>
      </c>
      <c r="D146" s="351"/>
      <c r="E146" s="311"/>
      <c r="F146" s="311"/>
      <c r="G146" s="311"/>
      <c r="H146" s="311"/>
      <c r="I146" s="311"/>
      <c r="O146" s="311"/>
    </row>
    <row r="147" spans="1:15" x14ac:dyDescent="0.35">
      <c r="A147" s="311"/>
      <c r="B147" s="350"/>
      <c r="C147" s="351"/>
      <c r="D147" s="351"/>
      <c r="E147" s="311"/>
      <c r="F147" s="311"/>
      <c r="G147" s="311"/>
      <c r="H147" s="311"/>
      <c r="I147" s="311"/>
      <c r="O147" s="311"/>
    </row>
    <row r="148" spans="1:15" ht="15" thickBot="1" x14ac:dyDescent="0.4">
      <c r="A148" s="311"/>
      <c r="B148" s="311"/>
      <c r="C148" s="311"/>
      <c r="D148" s="311"/>
      <c r="E148" s="311"/>
      <c r="F148" s="311"/>
      <c r="G148" s="311"/>
      <c r="H148" s="311"/>
      <c r="I148" s="311"/>
      <c r="O148" s="311"/>
    </row>
    <row r="149" spans="1:15" ht="15" thickBot="1" x14ac:dyDescent="0.4">
      <c r="A149" s="311"/>
      <c r="B149" s="296" t="s">
        <v>55</v>
      </c>
      <c r="C149" s="289" t="str">
        <f>C121</f>
        <v>Php (in million)</v>
      </c>
      <c r="D149" s="290" t="str">
        <f>D121</f>
        <v>USD (mn)</v>
      </c>
      <c r="E149" s="179"/>
      <c r="F149" s="179"/>
      <c r="G149" s="322"/>
      <c r="H149" s="311"/>
      <c r="I149" s="311"/>
      <c r="O149" s="311"/>
    </row>
    <row r="150" spans="1:15" x14ac:dyDescent="0.35">
      <c r="A150" s="311"/>
      <c r="B150" s="286" t="s">
        <v>35</v>
      </c>
      <c r="C150" s="180"/>
      <c r="D150" s="293"/>
      <c r="E150" s="180"/>
      <c r="F150" s="180"/>
      <c r="G150" s="311"/>
      <c r="H150" s="311"/>
      <c r="I150" s="311"/>
      <c r="J150" s="311"/>
      <c r="K150" s="311"/>
      <c r="L150" s="311"/>
      <c r="M150" s="311"/>
      <c r="N150" s="311"/>
      <c r="O150" s="311"/>
    </row>
    <row r="151" spans="1:15" x14ac:dyDescent="0.35">
      <c r="A151" s="311"/>
      <c r="B151" s="294" t="s">
        <v>10</v>
      </c>
      <c r="C151" s="268">
        <v>83949</v>
      </c>
      <c r="D151" s="295" t="e">
        <f>C151/$K118</f>
        <v>#DIV/0!</v>
      </c>
      <c r="E151" s="181"/>
      <c r="F151" s="181"/>
      <c r="G151" s="311"/>
      <c r="H151" s="311"/>
      <c r="I151" s="311"/>
      <c r="J151" s="311"/>
      <c r="K151" s="311"/>
      <c r="L151" s="311"/>
      <c r="M151" s="311"/>
      <c r="N151" s="311"/>
      <c r="O151" s="311"/>
    </row>
    <row r="152" spans="1:15" x14ac:dyDescent="0.35">
      <c r="A152" s="311"/>
      <c r="B152" s="294" t="s">
        <v>12</v>
      </c>
      <c r="C152" s="181">
        <f>+D152*$K118</f>
        <v>0</v>
      </c>
      <c r="D152" s="293">
        <v>114</v>
      </c>
      <c r="E152" s="180"/>
      <c r="F152" s="180"/>
      <c r="G152" s="311"/>
      <c r="H152" s="311"/>
      <c r="I152" s="311"/>
      <c r="J152" s="311"/>
      <c r="K152" s="311"/>
      <c r="L152" s="311"/>
      <c r="M152" s="311"/>
      <c r="N152" s="311"/>
      <c r="O152" s="311"/>
    </row>
    <row r="153" spans="1:15" x14ac:dyDescent="0.35">
      <c r="A153" s="311"/>
      <c r="B153" s="286" t="s">
        <v>36</v>
      </c>
      <c r="C153" s="180"/>
      <c r="D153" s="293"/>
      <c r="E153" s="180"/>
      <c r="F153" s="180"/>
      <c r="G153" s="311"/>
      <c r="H153" s="311"/>
      <c r="I153" s="311"/>
      <c r="J153" s="311"/>
      <c r="K153" s="311"/>
      <c r="L153" s="311"/>
      <c r="M153" s="311"/>
      <c r="N153" s="311"/>
      <c r="O153" s="311"/>
    </row>
    <row r="154" spans="1:15" x14ac:dyDescent="0.35">
      <c r="A154" s="311"/>
      <c r="B154" s="294" t="s">
        <v>10</v>
      </c>
      <c r="C154" s="180">
        <v>3000</v>
      </c>
      <c r="D154" s="295" t="e">
        <f>C154/$K118</f>
        <v>#DIV/0!</v>
      </c>
      <c r="E154" s="180"/>
      <c r="F154" s="180"/>
      <c r="G154" s="311"/>
      <c r="H154" s="311"/>
      <c r="I154" s="311"/>
      <c r="J154" s="311"/>
      <c r="K154" s="311"/>
      <c r="L154" s="311"/>
      <c r="M154" s="311"/>
      <c r="N154" s="311"/>
      <c r="O154" s="311"/>
    </row>
    <row r="155" spans="1:15" x14ac:dyDescent="0.35">
      <c r="A155" s="311"/>
      <c r="B155" s="294" t="s">
        <v>12</v>
      </c>
      <c r="C155" s="181">
        <f>+D155*$K118</f>
        <v>0</v>
      </c>
      <c r="D155" s="293">
        <v>50</v>
      </c>
      <c r="E155" s="181"/>
      <c r="F155" s="181"/>
      <c r="G155" s="311"/>
      <c r="H155" s="311"/>
      <c r="I155" s="311"/>
      <c r="J155" s="311"/>
      <c r="K155" s="311"/>
      <c r="L155" s="311"/>
      <c r="M155" s="311"/>
      <c r="N155" s="311"/>
      <c r="O155" s="311"/>
    </row>
    <row r="156" spans="1:15" ht="15" thickBot="1" x14ac:dyDescent="0.4">
      <c r="A156" s="311"/>
      <c r="B156" s="286" t="s">
        <v>15</v>
      </c>
      <c r="C156" s="182">
        <f>C145</f>
        <v>25029.857</v>
      </c>
      <c r="D156" s="295" t="e">
        <f>C156/$K118</f>
        <v>#DIV/0!</v>
      </c>
      <c r="E156" s="182"/>
      <c r="F156" s="182"/>
      <c r="G156" s="311"/>
      <c r="H156" s="311"/>
      <c r="I156" s="311"/>
      <c r="J156" s="311"/>
      <c r="K156" s="311"/>
      <c r="L156" s="311"/>
      <c r="M156" s="311"/>
      <c r="N156" s="311"/>
      <c r="O156" s="311"/>
    </row>
    <row r="157" spans="1:15" ht="15" thickBot="1" x14ac:dyDescent="0.4">
      <c r="A157" s="311"/>
      <c r="B157" s="297" t="s">
        <v>37</v>
      </c>
      <c r="C157" s="298">
        <f>+C151+C152+C155+C156</f>
        <v>108978.857</v>
      </c>
      <c r="D157" s="299" t="e">
        <f>+D151+D152+D155+D156</f>
        <v>#DIV/0!</v>
      </c>
      <c r="E157" s="183"/>
      <c r="F157" s="183"/>
      <c r="G157" s="311"/>
      <c r="H157" s="311"/>
      <c r="I157" s="311"/>
      <c r="J157" s="311"/>
      <c r="K157" s="311"/>
      <c r="L157" s="311"/>
      <c r="M157" s="311"/>
      <c r="N157" s="311"/>
      <c r="O157" s="311"/>
    </row>
    <row r="158" spans="1:15" x14ac:dyDescent="0.35">
      <c r="A158" s="311"/>
      <c r="B158" s="311"/>
      <c r="C158" s="311"/>
      <c r="D158" s="311"/>
      <c r="E158" s="311"/>
      <c r="F158" s="311"/>
      <c r="G158" s="311"/>
      <c r="H158" s="311"/>
      <c r="I158" s="311"/>
      <c r="J158" s="311"/>
      <c r="K158" s="311"/>
      <c r="L158" s="311"/>
      <c r="M158" s="311"/>
      <c r="N158" s="311"/>
      <c r="O158" s="311"/>
    </row>
    <row r="159" spans="1:15" ht="15" thickBot="1" x14ac:dyDescent="0.4">
      <c r="A159" s="311"/>
      <c r="B159" s="311"/>
      <c r="C159" s="311"/>
      <c r="D159" s="311"/>
      <c r="E159" s="311"/>
      <c r="F159" s="311"/>
      <c r="G159" s="311"/>
      <c r="H159" s="311"/>
      <c r="I159" s="311"/>
      <c r="J159" s="311"/>
      <c r="K159" s="311"/>
      <c r="L159" s="311"/>
      <c r="M159" s="311"/>
      <c r="N159" s="311"/>
      <c r="O159" s="311"/>
    </row>
    <row r="160" spans="1:15" ht="15" thickBot="1" x14ac:dyDescent="0.4">
      <c r="A160" s="311"/>
      <c r="B160" s="300" t="s">
        <v>56</v>
      </c>
      <c r="C160" s="301" t="str">
        <f>C121</f>
        <v>Php (in million)</v>
      </c>
      <c r="D160" s="302" t="str">
        <f>D121</f>
        <v>USD (mn)</v>
      </c>
      <c r="E160" s="248"/>
      <c r="F160" s="248"/>
      <c r="G160" s="311"/>
      <c r="H160" s="311"/>
      <c r="I160" s="311"/>
      <c r="J160" s="311"/>
      <c r="K160" s="311"/>
      <c r="L160" s="311"/>
      <c r="M160" s="311"/>
      <c r="N160" s="311"/>
      <c r="O160" s="311"/>
    </row>
    <row r="161" spans="1:15" x14ac:dyDescent="0.35">
      <c r="A161" s="311"/>
      <c r="B161" s="266">
        <v>2026</v>
      </c>
      <c r="C161" s="153">
        <v>22240.913</v>
      </c>
      <c r="D161" s="267" t="e">
        <f>C161/$K118</f>
        <v>#DIV/0!</v>
      </c>
      <c r="E161" s="154"/>
      <c r="F161" s="154"/>
      <c r="G161" s="311"/>
      <c r="H161" s="311"/>
      <c r="I161" s="311"/>
      <c r="J161" s="311"/>
      <c r="K161" s="311"/>
      <c r="L161" s="311"/>
      <c r="M161" s="311"/>
      <c r="N161" s="311"/>
      <c r="O161" s="311"/>
    </row>
    <row r="162" spans="1:15" x14ac:dyDescent="0.35">
      <c r="A162" s="311"/>
      <c r="B162" s="266">
        <v>2027</v>
      </c>
      <c r="C162" s="153">
        <v>23562.724999999999</v>
      </c>
      <c r="D162" s="267" t="e">
        <f>C162/$K118</f>
        <v>#DIV/0!</v>
      </c>
      <c r="E162" s="154"/>
      <c r="F162" s="154"/>
      <c r="G162" s="311"/>
      <c r="H162" s="311"/>
      <c r="I162" s="311"/>
      <c r="J162" s="311"/>
      <c r="K162" s="311"/>
      <c r="L162" s="311"/>
      <c r="M162" s="311"/>
      <c r="N162" s="311"/>
      <c r="O162" s="311"/>
    </row>
    <row r="163" spans="1:15" x14ac:dyDescent="0.35">
      <c r="A163" s="311"/>
      <c r="B163" s="266">
        <v>2028</v>
      </c>
      <c r="C163" s="153">
        <v>23589.764999999999</v>
      </c>
      <c r="D163" s="267" t="e">
        <f>C163/$K118</f>
        <v>#DIV/0!</v>
      </c>
      <c r="E163" s="154"/>
      <c r="F163" s="154"/>
      <c r="G163" s="311"/>
      <c r="H163" s="311"/>
      <c r="I163" s="311"/>
      <c r="J163" s="311"/>
      <c r="K163" s="311"/>
      <c r="L163" s="311"/>
      <c r="M163" s="311"/>
      <c r="N163" s="311"/>
      <c r="O163" s="311"/>
    </row>
    <row r="164" spans="1:15" x14ac:dyDescent="0.35">
      <c r="A164" s="311"/>
      <c r="B164" s="266">
        <v>2029</v>
      </c>
      <c r="C164" s="153">
        <v>24175.530999999999</v>
      </c>
      <c r="D164" s="267" t="e">
        <f>C164/$K118</f>
        <v>#DIV/0!</v>
      </c>
      <c r="E164" s="154"/>
      <c r="F164" s="154"/>
      <c r="G164" s="311"/>
      <c r="H164" s="311"/>
      <c r="I164" s="311"/>
      <c r="J164" s="311"/>
      <c r="K164" s="311"/>
      <c r="L164" s="311"/>
      <c r="M164" s="311"/>
      <c r="N164" s="311"/>
      <c r="O164" s="311"/>
    </row>
    <row r="165" spans="1:15" ht="15" thickBot="1" x14ac:dyDescent="0.4">
      <c r="A165" s="311"/>
      <c r="B165" s="266" t="s">
        <v>39</v>
      </c>
      <c r="C165" s="153">
        <v>164098.14000000001</v>
      </c>
      <c r="D165" s="267" t="e">
        <f>C165/$K118</f>
        <v>#DIV/0!</v>
      </c>
      <c r="E165" s="154"/>
      <c r="F165" s="154"/>
      <c r="G165" s="311"/>
      <c r="H165" s="311"/>
      <c r="I165" s="311"/>
      <c r="J165" s="311"/>
      <c r="K165" s="311"/>
      <c r="L165" s="311"/>
      <c r="M165" s="311"/>
      <c r="N165" s="311"/>
      <c r="O165" s="311"/>
    </row>
    <row r="166" spans="1:15" ht="15" thickBot="1" x14ac:dyDescent="0.4">
      <c r="A166" s="311"/>
      <c r="B166" s="303" t="s">
        <v>40</v>
      </c>
      <c r="C166" s="304">
        <f>+SUM(C161:C165)</f>
        <v>257667.07400000002</v>
      </c>
      <c r="D166" s="305" t="e">
        <f>+SUM(D161:D164)</f>
        <v>#DIV/0!</v>
      </c>
      <c r="E166" s="156"/>
      <c r="F166" s="156"/>
      <c r="G166" s="311"/>
      <c r="H166" s="311"/>
      <c r="I166" s="311"/>
      <c r="J166" s="311"/>
      <c r="K166" s="311"/>
      <c r="L166" s="311"/>
      <c r="M166" s="311"/>
      <c r="N166" s="311"/>
      <c r="O166" s="311"/>
    </row>
    <row r="167" spans="1:15" ht="15" thickBot="1" x14ac:dyDescent="0.4">
      <c r="A167" s="311"/>
      <c r="B167" s="266" t="s">
        <v>41</v>
      </c>
      <c r="C167" s="221">
        <f>C168-C166</f>
        <v>-1353.676999999996</v>
      </c>
      <c r="D167" s="267" t="e">
        <f>C167/$K118</f>
        <v>#DIV/0!</v>
      </c>
      <c r="E167" s="154"/>
      <c r="F167" s="154"/>
      <c r="G167" s="311"/>
      <c r="H167" s="311"/>
      <c r="I167" s="311"/>
      <c r="J167" s="311"/>
      <c r="K167" s="311"/>
      <c r="L167" s="311"/>
      <c r="M167" s="311"/>
      <c r="N167" s="311"/>
      <c r="O167" s="311"/>
    </row>
    <row r="168" spans="1:15" ht="15" thickBot="1" x14ac:dyDescent="0.4">
      <c r="A168" s="311"/>
      <c r="B168" s="303" t="s">
        <v>42</v>
      </c>
      <c r="C168" s="304">
        <f>C129</f>
        <v>256313.39700000003</v>
      </c>
      <c r="D168" s="305" t="e">
        <f>+D166+D167</f>
        <v>#DIV/0!</v>
      </c>
      <c r="E168" s="156"/>
      <c r="F168" s="156"/>
      <c r="G168" s="311"/>
      <c r="H168" s="311"/>
      <c r="I168" s="311"/>
      <c r="J168" s="311"/>
      <c r="K168" s="311"/>
      <c r="L168" s="311"/>
      <c r="M168" s="311"/>
      <c r="N168" s="311"/>
      <c r="O168" s="311"/>
    </row>
    <row r="169" spans="1:15" x14ac:dyDescent="0.35">
      <c r="A169" s="311"/>
      <c r="B169" s="323" t="s">
        <v>43</v>
      </c>
      <c r="C169" s="325">
        <f>+C168-C129</f>
        <v>0</v>
      </c>
      <c r="D169" s="311"/>
      <c r="E169" s="311"/>
      <c r="F169" s="311"/>
      <c r="G169" s="311"/>
      <c r="H169" s="311"/>
      <c r="I169" s="311"/>
      <c r="J169" s="311"/>
      <c r="K169" s="311"/>
      <c r="L169" s="311"/>
      <c r="M169" s="311"/>
      <c r="N169" s="311"/>
      <c r="O169" s="311"/>
    </row>
    <row r="170" spans="1:15" x14ac:dyDescent="0.35">
      <c r="A170" s="311"/>
      <c r="B170" s="311"/>
      <c r="C170" s="311"/>
      <c r="D170" s="311"/>
      <c r="E170" s="311"/>
      <c r="F170" s="311"/>
      <c r="G170" s="311"/>
      <c r="H170" s="311"/>
      <c r="I170" s="311"/>
      <c r="J170" s="311"/>
      <c r="K170" s="311"/>
      <c r="L170" s="311"/>
      <c r="M170" s="311"/>
      <c r="N170" s="311"/>
      <c r="O170" s="311"/>
    </row>
    <row r="174" spans="1:15" ht="18.5" x14ac:dyDescent="0.45">
      <c r="A174" s="336" t="s">
        <v>57</v>
      </c>
      <c r="B174" s="311"/>
      <c r="C174" s="311"/>
      <c r="D174" s="311"/>
      <c r="E174" s="311"/>
      <c r="F174" s="311"/>
      <c r="G174" s="311"/>
      <c r="H174" s="311"/>
      <c r="I174" s="311"/>
      <c r="J174" s="311"/>
      <c r="K174" s="311"/>
      <c r="L174" s="311"/>
      <c r="M174" s="311"/>
      <c r="N174" s="311"/>
      <c r="O174" s="311"/>
    </row>
    <row r="175" spans="1:15" x14ac:dyDescent="0.35">
      <c r="A175" s="6"/>
      <c r="B175" s="311"/>
      <c r="C175" s="311"/>
      <c r="D175" s="311"/>
      <c r="E175" s="311"/>
      <c r="F175" s="311"/>
      <c r="G175" s="311"/>
      <c r="H175" s="311"/>
      <c r="I175" s="311"/>
      <c r="J175" s="123" t="s">
        <v>58</v>
      </c>
      <c r="K175" s="124">
        <f>Model!$M$201</f>
        <v>0</v>
      </c>
      <c r="L175" s="124"/>
      <c r="M175" s="311"/>
      <c r="N175" s="311"/>
      <c r="O175" s="311"/>
    </row>
    <row r="176" spans="1:15" x14ac:dyDescent="0.35">
      <c r="A176" s="311"/>
      <c r="B176" s="311"/>
      <c r="C176" s="311"/>
      <c r="D176" s="111"/>
      <c r="E176" s="311"/>
      <c r="F176" s="311"/>
      <c r="G176" s="311"/>
      <c r="H176" s="311"/>
      <c r="I176" s="311"/>
      <c r="J176" s="123" t="s">
        <v>59</v>
      </c>
      <c r="K176" s="124">
        <f>Model!$M$200</f>
        <v>0</v>
      </c>
      <c r="L176" s="311"/>
      <c r="M176" s="311"/>
      <c r="N176" s="311"/>
      <c r="O176" s="311"/>
    </row>
    <row r="177" spans="1:15" x14ac:dyDescent="0.35">
      <c r="A177" s="311"/>
      <c r="B177" s="311"/>
      <c r="C177" s="311"/>
      <c r="D177" s="311"/>
      <c r="E177" s="311"/>
      <c r="F177" s="311"/>
      <c r="G177" s="311"/>
      <c r="H177" s="311"/>
      <c r="I177" s="311"/>
      <c r="J177" s="311"/>
      <c r="K177" s="311"/>
      <c r="L177" s="311"/>
      <c r="M177" s="311"/>
      <c r="N177" s="311"/>
      <c r="O177" s="311"/>
    </row>
    <row r="178" spans="1:15" ht="18" customHeight="1" x14ac:dyDescent="0.35">
      <c r="A178" s="311"/>
      <c r="B178" s="263" t="s">
        <v>60</v>
      </c>
      <c r="C178" s="264" t="s">
        <v>4</v>
      </c>
      <c r="D178" s="264" t="s">
        <v>5</v>
      </c>
      <c r="E178" s="265" t="s">
        <v>6</v>
      </c>
      <c r="F178" s="265" t="s">
        <v>7</v>
      </c>
      <c r="G178" s="311"/>
      <c r="H178" s="311"/>
      <c r="I178" s="311"/>
      <c r="J178" s="263" t="str">
        <f>B178</f>
        <v>Debt Breakdown as on 30-Sep-2025</v>
      </c>
      <c r="K178" s="265" t="str">
        <f t="shared" ref="K178" si="0">C178</f>
        <v>Php (in million)</v>
      </c>
      <c r="L178" s="265" t="str">
        <f t="shared" ref="L178" si="1">D178</f>
        <v>USD (mn)</v>
      </c>
      <c r="M178" s="265" t="str">
        <f>E178</f>
        <v>Leverage (PHP)</v>
      </c>
      <c r="N178" s="265" t="str">
        <f>F178</f>
        <v>Leverage (USD)</v>
      </c>
      <c r="O178" s="311"/>
    </row>
    <row r="179" spans="1:15" x14ac:dyDescent="0.35">
      <c r="A179" s="337">
        <f>SUM(C180:C181)/C188</f>
        <v>0.57525883614740492</v>
      </c>
      <c r="B179" s="269" t="s">
        <v>8</v>
      </c>
      <c r="C179" s="270"/>
      <c r="D179" s="271"/>
      <c r="E179" s="272"/>
      <c r="F179" s="272"/>
      <c r="G179" s="311"/>
      <c r="H179" s="311"/>
      <c r="I179" s="311"/>
      <c r="J179" s="311" t="s">
        <v>9</v>
      </c>
      <c r="K179" s="312">
        <v>253491</v>
      </c>
      <c r="L179" s="312" t="e">
        <f>K179/K175</f>
        <v>#DIV/0!</v>
      </c>
      <c r="M179" s="313"/>
      <c r="N179" s="313"/>
      <c r="O179" s="311"/>
    </row>
    <row r="180" spans="1:15" x14ac:dyDescent="0.35">
      <c r="A180" s="315"/>
      <c r="B180" s="273" t="s">
        <v>10</v>
      </c>
      <c r="C180" s="270">
        <v>204762.55300000001</v>
      </c>
      <c r="D180" s="271" t="e">
        <f>C180/$K175</f>
        <v>#DIV/0!</v>
      </c>
      <c r="E180" s="272"/>
      <c r="F180" s="272"/>
      <c r="G180" s="311"/>
      <c r="H180" s="311"/>
      <c r="I180" s="311"/>
      <c r="J180" s="311" t="s">
        <v>11</v>
      </c>
      <c r="K180" s="314">
        <f>C189</f>
        <v>46224.25</v>
      </c>
      <c r="L180" s="312" t="e">
        <f>K180/K175</f>
        <v>#DIV/0!</v>
      </c>
      <c r="M180" s="313"/>
      <c r="N180" s="313"/>
      <c r="O180" s="311"/>
    </row>
    <row r="181" spans="1:15" x14ac:dyDescent="0.35">
      <c r="A181" s="315"/>
      <c r="B181" s="273" t="s">
        <v>12</v>
      </c>
      <c r="C181" s="270">
        <v>14132.315000000001</v>
      </c>
      <c r="D181" s="271" t="e">
        <f>C181/$K175</f>
        <v>#DIV/0!</v>
      </c>
      <c r="E181" s="272"/>
      <c r="F181" s="272"/>
      <c r="G181" s="311"/>
      <c r="H181" s="311"/>
      <c r="I181" s="311"/>
      <c r="J181" s="140" t="s">
        <v>13</v>
      </c>
      <c r="K181" s="306">
        <f>K179+K180</f>
        <v>299715.25</v>
      </c>
      <c r="L181" s="306" t="e">
        <f>L179+L180</f>
        <v>#DIV/0!</v>
      </c>
      <c r="M181" s="307">
        <f>K181/K184</f>
        <v>3.4796202960324711</v>
      </c>
      <c r="N181" s="307" t="e">
        <f>L181/L184</f>
        <v>#DIV/0!</v>
      </c>
      <c r="O181" s="311"/>
    </row>
    <row r="182" spans="1:15" x14ac:dyDescent="0.35">
      <c r="A182" s="337">
        <f>SUM(C183:C184)/C188</f>
        <v>9.0920316352578578E-2</v>
      </c>
      <c r="B182" s="269" t="s">
        <v>16</v>
      </c>
      <c r="C182" s="270"/>
      <c r="D182" s="271"/>
      <c r="E182" s="272"/>
      <c r="F182" s="272"/>
      <c r="G182" s="311"/>
      <c r="H182" s="311"/>
      <c r="I182" s="311"/>
      <c r="J182" s="135" t="s">
        <v>15</v>
      </c>
      <c r="K182" s="132">
        <f>C191</f>
        <v>27728.379000000001</v>
      </c>
      <c r="L182" s="132" t="e">
        <f>K182/K175</f>
        <v>#DIV/0!</v>
      </c>
      <c r="M182" s="308"/>
      <c r="N182" s="308"/>
      <c r="O182" s="311"/>
    </row>
    <row r="183" spans="1:15" x14ac:dyDescent="0.35">
      <c r="A183" s="315"/>
      <c r="B183" s="273" t="s">
        <v>10</v>
      </c>
      <c r="C183" s="270"/>
      <c r="D183" s="271" t="e">
        <f>C183/$K175</f>
        <v>#DIV/0!</v>
      </c>
      <c r="E183" s="272"/>
      <c r="F183" s="272"/>
      <c r="G183" s="311"/>
      <c r="H183" s="311"/>
      <c r="I183" s="311"/>
      <c r="J183" s="140" t="s">
        <v>17</v>
      </c>
      <c r="K183" s="306">
        <f>K181-K182</f>
        <v>271986.87099999998</v>
      </c>
      <c r="L183" s="306" t="e">
        <f>L181-L182</f>
        <v>#DIV/0!</v>
      </c>
      <c r="M183" s="307">
        <f>K183/K184</f>
        <v>3.1577006394768552</v>
      </c>
      <c r="N183" s="307" t="e">
        <f>L183/L184</f>
        <v>#DIV/0!</v>
      </c>
      <c r="O183" s="311"/>
    </row>
    <row r="184" spans="1:15" x14ac:dyDescent="0.35">
      <c r="A184" s="315"/>
      <c r="B184" s="273" t="s">
        <v>12</v>
      </c>
      <c r="C184" s="270">
        <v>34596.584000000003</v>
      </c>
      <c r="D184" s="271" t="e">
        <f>C184/$K175</f>
        <v>#DIV/0!</v>
      </c>
      <c r="E184" s="272"/>
      <c r="F184" s="272"/>
      <c r="G184" s="311"/>
      <c r="H184" s="311"/>
      <c r="I184" s="311"/>
      <c r="J184" s="135" t="s">
        <v>18</v>
      </c>
      <c r="K184" s="309">
        <f>C195</f>
        <v>86134.47</v>
      </c>
      <c r="L184" s="309" t="e">
        <f>K184/K175</f>
        <v>#DIV/0!</v>
      </c>
      <c r="M184" s="310"/>
      <c r="N184" s="310"/>
      <c r="O184" s="311"/>
    </row>
    <row r="185" spans="1:15" ht="15" thickBot="1" x14ac:dyDescent="0.4">
      <c r="A185" s="315"/>
      <c r="B185" s="123" t="s">
        <v>19</v>
      </c>
      <c r="C185" s="274">
        <f>+C180+C181+C183+C184</f>
        <v>253491.45200000002</v>
      </c>
      <c r="D185" s="274" t="e">
        <f>+D180+D181+D183+D184</f>
        <v>#DIV/0!</v>
      </c>
      <c r="E185" s="275"/>
      <c r="F185" s="276"/>
      <c r="G185" s="311"/>
      <c r="H185" s="311"/>
      <c r="I185" s="311"/>
      <c r="J185" s="311"/>
      <c r="K185" s="311"/>
      <c r="L185" s="311"/>
      <c r="M185" s="311"/>
      <c r="N185" s="311"/>
      <c r="O185" s="311"/>
    </row>
    <row r="186" spans="1:15" x14ac:dyDescent="0.35">
      <c r="A186" s="337">
        <f>SUM(C186:C187)/C188</f>
        <v>0.33382084750001656</v>
      </c>
      <c r="B186" s="277" t="s">
        <v>20</v>
      </c>
      <c r="C186" s="270">
        <v>8575.7909999999993</v>
      </c>
      <c r="D186" s="271" t="e">
        <f>C186/$K175</f>
        <v>#DIV/0!</v>
      </c>
      <c r="E186" s="275"/>
      <c r="F186" s="276"/>
      <c r="G186" s="311"/>
      <c r="H186" s="311"/>
      <c r="I186" s="311"/>
      <c r="J186" s="338" t="s">
        <v>21</v>
      </c>
      <c r="K186" s="317"/>
      <c r="L186" s="311"/>
      <c r="M186" s="311"/>
      <c r="N186" s="311"/>
      <c r="O186" s="311"/>
    </row>
    <row r="187" spans="1:15" x14ac:dyDescent="0.35">
      <c r="A187" s="311"/>
      <c r="B187" s="277" t="s">
        <v>46</v>
      </c>
      <c r="C187" s="270">
        <v>118448.19500000001</v>
      </c>
      <c r="D187" s="271" t="e">
        <f>C187/$K175</f>
        <v>#DIV/0!</v>
      </c>
      <c r="E187" s="275"/>
      <c r="F187" s="276"/>
      <c r="G187" s="311"/>
      <c r="H187" s="311"/>
      <c r="I187" s="311"/>
      <c r="J187" s="318" t="s">
        <v>23</v>
      </c>
      <c r="K187" s="319" t="s">
        <v>61</v>
      </c>
      <c r="L187" s="311"/>
      <c r="M187" s="311"/>
      <c r="N187" s="311"/>
      <c r="O187" s="311"/>
    </row>
    <row r="188" spans="1:15" ht="15" thickBot="1" x14ac:dyDescent="0.4">
      <c r="A188" s="311"/>
      <c r="B188" s="278" t="s">
        <v>24</v>
      </c>
      <c r="C188" s="279">
        <f>C185+C186+C187</f>
        <v>380515.43800000002</v>
      </c>
      <c r="D188" s="279" t="e">
        <f>D185+D186+D187</f>
        <v>#DIV/0!</v>
      </c>
      <c r="E188" s="280"/>
      <c r="F188" s="280"/>
      <c r="G188" s="311"/>
      <c r="H188" s="311"/>
      <c r="I188" s="311"/>
      <c r="J188" s="320" t="s">
        <v>25</v>
      </c>
      <c r="K188" s="321" t="s">
        <v>62</v>
      </c>
      <c r="L188" s="311"/>
      <c r="M188" s="311"/>
      <c r="N188" s="311"/>
      <c r="O188" s="311"/>
    </row>
    <row r="189" spans="1:15" x14ac:dyDescent="0.35">
      <c r="A189" s="311"/>
      <c r="B189" s="277" t="s">
        <v>11</v>
      </c>
      <c r="C189" s="271">
        <f>Model!AS$119</f>
        <v>46224.25</v>
      </c>
      <c r="D189" s="271" t="e">
        <f>C189/$K175</f>
        <v>#DIV/0!</v>
      </c>
      <c r="E189" s="281"/>
      <c r="F189" s="281"/>
      <c r="G189" s="311"/>
      <c r="H189" s="311"/>
      <c r="I189" s="311"/>
      <c r="J189" s="311"/>
      <c r="K189" s="311"/>
      <c r="L189" s="311"/>
      <c r="M189" s="311"/>
      <c r="N189" s="311"/>
      <c r="O189" s="311"/>
    </row>
    <row r="190" spans="1:15" x14ac:dyDescent="0.35">
      <c r="A190" s="311"/>
      <c r="B190" s="278" t="s">
        <v>26</v>
      </c>
      <c r="C190" s="282">
        <f>C188+C189</f>
        <v>426739.68800000002</v>
      </c>
      <c r="D190" s="282" t="e">
        <f>D188+D189</f>
        <v>#DIV/0!</v>
      </c>
      <c r="E190" s="280">
        <f>C190/C195</f>
        <v>4.9543427619627778</v>
      </c>
      <c r="F190" s="280" t="e">
        <f>D190/D195</f>
        <v>#DIV/0!</v>
      </c>
      <c r="G190" s="311"/>
      <c r="H190" s="311"/>
      <c r="I190" s="311"/>
      <c r="J190" s="311"/>
      <c r="K190" s="311"/>
      <c r="L190" s="311"/>
      <c r="M190" s="311"/>
      <c r="N190" s="311"/>
      <c r="O190" s="311"/>
    </row>
    <row r="191" spans="1:15" x14ac:dyDescent="0.35">
      <c r="A191" s="311"/>
      <c r="B191" s="277" t="s">
        <v>15</v>
      </c>
      <c r="C191" s="271">
        <f>Model!AS$122</f>
        <v>27728.379000000001</v>
      </c>
      <c r="D191" s="271" t="e">
        <f>C191/$K175</f>
        <v>#DIV/0!</v>
      </c>
      <c r="E191" s="283"/>
      <c r="F191" s="283"/>
      <c r="G191" s="311"/>
      <c r="H191" s="311"/>
      <c r="I191" s="311"/>
      <c r="J191" s="311"/>
      <c r="K191" s="311"/>
      <c r="L191" s="311"/>
      <c r="M191" s="311"/>
      <c r="N191" s="311"/>
      <c r="O191" s="311"/>
    </row>
    <row r="192" spans="1:15" x14ac:dyDescent="0.35">
      <c r="A192" s="311"/>
      <c r="B192" s="278" t="s">
        <v>17</v>
      </c>
      <c r="C192" s="279">
        <f>C190-C191</f>
        <v>399011.30900000001</v>
      </c>
      <c r="D192" s="279" t="e">
        <f>D190-D191</f>
        <v>#DIV/0!</v>
      </c>
      <c r="E192" s="280">
        <f>C192/C195</f>
        <v>4.6324231054071614</v>
      </c>
      <c r="F192" s="280" t="e">
        <f>D192/D195</f>
        <v>#DIV/0!</v>
      </c>
      <c r="G192" s="311"/>
      <c r="H192" s="111"/>
      <c r="I192" s="311"/>
      <c r="J192" s="111"/>
      <c r="K192" s="311"/>
      <c r="L192" s="311"/>
      <c r="M192" s="311"/>
      <c r="N192" s="311"/>
      <c r="O192" s="311"/>
    </row>
    <row r="193" spans="1:15" x14ac:dyDescent="0.35">
      <c r="A193" s="311"/>
      <c r="B193" s="123" t="s">
        <v>27</v>
      </c>
      <c r="C193" s="284">
        <f>Model!AS$127</f>
        <v>174394.5</v>
      </c>
      <c r="D193" s="271" t="e">
        <f>C193/$K175</f>
        <v>#DIV/0!</v>
      </c>
      <c r="E193" s="281"/>
      <c r="F193" s="277"/>
      <c r="G193" s="311"/>
      <c r="H193" s="311"/>
      <c r="I193" s="311"/>
      <c r="J193" s="111"/>
      <c r="K193" s="311"/>
      <c r="L193" s="311"/>
      <c r="M193" s="311"/>
      <c r="N193" s="311"/>
      <c r="O193" s="311"/>
    </row>
    <row r="194" spans="1:15" x14ac:dyDescent="0.35">
      <c r="A194" s="311"/>
      <c r="B194" s="123" t="s">
        <v>28</v>
      </c>
      <c r="C194" s="236">
        <f>C192+C193</f>
        <v>573405.80900000001</v>
      </c>
      <c r="D194" s="271" t="e">
        <f>C194/$K175</f>
        <v>#DIV/0!</v>
      </c>
      <c r="E194" s="281"/>
      <c r="F194" s="277"/>
      <c r="G194" s="311"/>
      <c r="H194" s="311"/>
      <c r="I194" s="311"/>
      <c r="J194" s="311"/>
      <c r="K194" s="311"/>
      <c r="L194" s="311"/>
      <c r="M194" s="311"/>
      <c r="N194" s="311"/>
      <c r="O194" s="311"/>
    </row>
    <row r="195" spans="1:15" x14ac:dyDescent="0.35">
      <c r="A195" s="311"/>
      <c r="B195" s="277" t="s">
        <v>18</v>
      </c>
      <c r="C195" s="285">
        <f>Model!AS$87</f>
        <v>86134.47</v>
      </c>
      <c r="D195" s="271" t="e">
        <f>C195/$K176</f>
        <v>#DIV/0!</v>
      </c>
      <c r="E195" s="277"/>
      <c r="F195" s="277"/>
      <c r="G195" s="311"/>
      <c r="H195" s="322"/>
      <c r="I195" s="311"/>
      <c r="J195" s="311"/>
      <c r="K195" s="311"/>
      <c r="L195" s="311"/>
      <c r="M195" s="311"/>
      <c r="N195" s="311"/>
      <c r="O195" s="311"/>
    </row>
    <row r="196" spans="1:15" x14ac:dyDescent="0.35">
      <c r="A196" s="311"/>
      <c r="B196" s="323" t="s">
        <v>29</v>
      </c>
      <c r="C196" s="324">
        <f>C190-Model!AS$120</f>
        <v>0</v>
      </c>
      <c r="D196" s="311"/>
      <c r="E196" s="311"/>
      <c r="F196" s="311"/>
      <c r="G196" s="311"/>
      <c r="H196" s="311"/>
      <c r="I196" s="311"/>
      <c r="J196" s="311"/>
      <c r="K196" s="311"/>
      <c r="L196" s="311"/>
      <c r="M196" s="311"/>
      <c r="N196" s="311"/>
      <c r="O196" s="311"/>
    </row>
    <row r="197" spans="1:15" ht="15" thickBot="1" x14ac:dyDescent="0.4">
      <c r="A197" s="311"/>
      <c r="B197" s="311"/>
      <c r="C197" s="311"/>
      <c r="D197" s="311"/>
      <c r="E197" s="311"/>
      <c r="F197" s="311"/>
      <c r="G197" s="311"/>
      <c r="H197" s="311"/>
      <c r="I197" s="311"/>
      <c r="J197" s="311"/>
      <c r="K197" s="311"/>
      <c r="L197" s="311"/>
      <c r="M197" s="311"/>
      <c r="N197" s="311"/>
      <c r="O197" s="311"/>
    </row>
    <row r="198" spans="1:15" ht="15" thickBot="1" x14ac:dyDescent="0.4">
      <c r="A198" s="311"/>
      <c r="B198" s="288" t="s">
        <v>63</v>
      </c>
      <c r="C198" s="289" t="str">
        <f>C178</f>
        <v>Php (in million)</v>
      </c>
      <c r="D198" s="290" t="str">
        <f>D178</f>
        <v>USD (mn)</v>
      </c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</row>
    <row r="199" spans="1:15" x14ac:dyDescent="0.35">
      <c r="A199" s="311"/>
      <c r="B199" s="286" t="s">
        <v>31</v>
      </c>
      <c r="C199" s="180">
        <v>8511.0339999999997</v>
      </c>
      <c r="D199" s="287" t="e">
        <f>C199/$K$175</f>
        <v>#DIV/0!</v>
      </c>
      <c r="E199" s="311"/>
      <c r="F199" s="311"/>
      <c r="G199" s="311"/>
      <c r="H199" s="311"/>
      <c r="I199" s="311"/>
      <c r="J199" s="311"/>
      <c r="K199" s="311"/>
      <c r="L199" s="311"/>
      <c r="M199" s="311"/>
      <c r="N199" s="311"/>
      <c r="O199" s="311"/>
    </row>
    <row r="200" spans="1:15" ht="15" thickBot="1" x14ac:dyDescent="0.4">
      <c r="A200" s="311"/>
      <c r="B200" s="286" t="s">
        <v>64</v>
      </c>
      <c r="C200" s="268">
        <v>19217.345000000001</v>
      </c>
      <c r="D200" s="287" t="e">
        <f>C200/$K$175</f>
        <v>#DIV/0!</v>
      </c>
      <c r="E200" s="311"/>
      <c r="F200" s="311"/>
      <c r="G200" s="311"/>
      <c r="H200" s="311"/>
      <c r="I200" s="311"/>
      <c r="J200" s="311"/>
      <c r="K200" s="311"/>
      <c r="L200" s="311"/>
      <c r="M200" s="311"/>
      <c r="N200" s="311"/>
      <c r="O200" s="311"/>
    </row>
    <row r="201" spans="1:15" ht="15" thickBot="1" x14ac:dyDescent="0.4">
      <c r="A201" s="311"/>
      <c r="B201" s="291" t="s">
        <v>33</v>
      </c>
      <c r="C201" s="292">
        <f>SUM(C199:C200)</f>
        <v>27728.379000000001</v>
      </c>
      <c r="D201" s="292" t="e">
        <f>SUM(D199:D200)</f>
        <v>#DIV/0!</v>
      </c>
      <c r="E201" s="311"/>
      <c r="F201" s="311"/>
      <c r="G201" s="311"/>
      <c r="H201" s="311"/>
      <c r="I201" s="311"/>
      <c r="J201" s="311"/>
      <c r="K201" s="311"/>
      <c r="L201" s="311"/>
      <c r="M201" s="311"/>
      <c r="N201" s="311"/>
      <c r="O201" s="311"/>
    </row>
    <row r="202" spans="1:15" ht="15" thickBot="1" x14ac:dyDescent="0.4">
      <c r="A202" s="311"/>
      <c r="B202" s="311"/>
      <c r="C202" s="311"/>
      <c r="D202" s="311"/>
      <c r="E202" s="311"/>
      <c r="F202" s="311"/>
      <c r="G202" s="311"/>
      <c r="H202" s="311"/>
      <c r="I202" s="311"/>
      <c r="J202" s="311"/>
      <c r="K202" s="311"/>
      <c r="L202" s="311"/>
      <c r="M202" s="311"/>
      <c r="N202" s="311"/>
      <c r="O202" s="311"/>
    </row>
    <row r="203" spans="1:15" ht="15" thickBot="1" x14ac:dyDescent="0.4">
      <c r="A203" s="311"/>
      <c r="B203" s="296" t="s">
        <v>65</v>
      </c>
      <c r="C203" s="289" t="str">
        <f>C178</f>
        <v>Php (in million)</v>
      </c>
      <c r="D203" s="290" t="str">
        <f>D178</f>
        <v>USD (mn)</v>
      </c>
      <c r="E203" s="179"/>
      <c r="F203" s="179"/>
      <c r="G203" s="322"/>
      <c r="H203" s="311"/>
      <c r="I203" s="311"/>
      <c r="J203" s="311"/>
      <c r="K203" s="311"/>
      <c r="L203" s="311"/>
      <c r="M203" s="311"/>
      <c r="N203" s="311"/>
      <c r="O203" s="311"/>
    </row>
    <row r="204" spans="1:15" x14ac:dyDescent="0.35">
      <c r="A204" s="311"/>
      <c r="B204" s="286" t="s">
        <v>35</v>
      </c>
      <c r="C204" s="180"/>
      <c r="D204" s="293"/>
      <c r="E204" s="180"/>
      <c r="F204" s="180"/>
      <c r="G204" s="311"/>
      <c r="H204" s="311"/>
      <c r="I204" s="311"/>
      <c r="J204" s="311"/>
      <c r="K204" s="311"/>
      <c r="L204" s="311"/>
      <c r="M204" s="311"/>
      <c r="N204" s="311"/>
      <c r="O204" s="311"/>
    </row>
    <row r="205" spans="1:15" x14ac:dyDescent="0.35">
      <c r="A205" s="311"/>
      <c r="B205" s="294" t="s">
        <v>10</v>
      </c>
      <c r="C205" s="268">
        <v>84151</v>
      </c>
      <c r="D205" s="295" t="e">
        <f>C205/$K175</f>
        <v>#DIV/0!</v>
      </c>
      <c r="E205" s="181"/>
      <c r="F205" s="181"/>
      <c r="G205" s="311"/>
      <c r="H205" s="311"/>
      <c r="I205" s="311"/>
      <c r="J205" s="311"/>
      <c r="K205" s="311"/>
      <c r="L205" s="311"/>
      <c r="M205" s="311"/>
      <c r="N205" s="311"/>
      <c r="O205" s="311"/>
    </row>
    <row r="206" spans="1:15" x14ac:dyDescent="0.35">
      <c r="A206" s="311"/>
      <c r="B206" s="294" t="s">
        <v>12</v>
      </c>
      <c r="C206" s="181">
        <f>+D206*$K175</f>
        <v>0</v>
      </c>
      <c r="D206" s="293">
        <v>114</v>
      </c>
      <c r="E206" s="180"/>
      <c r="F206" s="180"/>
      <c r="G206" s="311"/>
      <c r="H206" s="311"/>
      <c r="I206" s="311"/>
      <c r="J206" s="311"/>
      <c r="K206" s="311"/>
      <c r="L206" s="311"/>
      <c r="M206" s="311"/>
      <c r="N206" s="311"/>
      <c r="O206" s="311"/>
    </row>
    <row r="207" spans="1:15" x14ac:dyDescent="0.35">
      <c r="A207" s="311"/>
      <c r="B207" s="286" t="s">
        <v>36</v>
      </c>
      <c r="C207" s="180"/>
      <c r="D207" s="293"/>
      <c r="E207" s="180"/>
      <c r="F207" s="180"/>
      <c r="G207" s="311"/>
      <c r="H207" s="311"/>
      <c r="I207" s="311"/>
      <c r="J207" s="311"/>
      <c r="K207" s="311"/>
      <c r="L207" s="311"/>
      <c r="M207" s="311"/>
      <c r="N207" s="311"/>
      <c r="O207" s="311"/>
    </row>
    <row r="208" spans="1:15" x14ac:dyDescent="0.35">
      <c r="A208" s="311"/>
      <c r="B208" s="294" t="s">
        <v>10</v>
      </c>
      <c r="C208" s="180">
        <v>3000</v>
      </c>
      <c r="D208" s="295" t="e">
        <f>C208/$K175</f>
        <v>#DIV/0!</v>
      </c>
      <c r="E208" s="180"/>
      <c r="F208" s="180"/>
      <c r="G208" s="311"/>
      <c r="H208" s="311"/>
      <c r="I208" s="311"/>
      <c r="J208" s="311"/>
      <c r="K208" s="311"/>
      <c r="L208" s="311"/>
      <c r="M208" s="311"/>
      <c r="N208" s="311"/>
      <c r="O208" s="311"/>
    </row>
    <row r="209" spans="1:15" x14ac:dyDescent="0.35">
      <c r="A209" s="311"/>
      <c r="B209" s="294" t="s">
        <v>12</v>
      </c>
      <c r="C209" s="181">
        <f>+D209*$K175</f>
        <v>0</v>
      </c>
      <c r="D209" s="293">
        <v>50</v>
      </c>
      <c r="E209" s="181"/>
      <c r="F209" s="181"/>
      <c r="G209" s="311"/>
      <c r="H209" s="311"/>
      <c r="I209" s="311"/>
      <c r="J209" s="311"/>
      <c r="K209" s="311"/>
      <c r="L209" s="311"/>
      <c r="M209" s="311"/>
      <c r="N209" s="311"/>
      <c r="O209" s="311"/>
    </row>
    <row r="210" spans="1:15" ht="15" thickBot="1" x14ac:dyDescent="0.4">
      <c r="A210" s="311"/>
      <c r="B210" s="286" t="s">
        <v>15</v>
      </c>
      <c r="C210" s="182">
        <f>C201</f>
        <v>27728.379000000001</v>
      </c>
      <c r="D210" s="295" t="e">
        <f>C210/$K175</f>
        <v>#DIV/0!</v>
      </c>
      <c r="E210" s="182"/>
      <c r="F210" s="182"/>
      <c r="G210" s="311"/>
      <c r="H210" s="311"/>
      <c r="I210" s="311"/>
      <c r="J210" s="311"/>
      <c r="K210" s="311"/>
      <c r="L210" s="311"/>
      <c r="M210" s="311"/>
      <c r="N210" s="311"/>
      <c r="O210" s="311"/>
    </row>
    <row r="211" spans="1:15" ht="15" thickBot="1" x14ac:dyDescent="0.4">
      <c r="A211" s="311"/>
      <c r="B211" s="297" t="s">
        <v>37</v>
      </c>
      <c r="C211" s="298">
        <f>+C205+C206+C209+C210</f>
        <v>111879.379</v>
      </c>
      <c r="D211" s="299" t="e">
        <f>+D205+D206+D209+D210</f>
        <v>#DIV/0!</v>
      </c>
      <c r="E211" s="183"/>
      <c r="F211" s="183"/>
      <c r="G211" s="311"/>
      <c r="H211" s="311"/>
      <c r="I211" s="311"/>
      <c r="J211" s="311"/>
      <c r="K211" s="311"/>
      <c r="L211" s="311"/>
      <c r="M211" s="311"/>
      <c r="N211" s="311"/>
      <c r="O211" s="311"/>
    </row>
    <row r="212" spans="1:15" x14ac:dyDescent="0.35">
      <c r="A212" s="311"/>
      <c r="B212" s="311"/>
      <c r="C212" s="311"/>
      <c r="D212" s="311"/>
      <c r="E212" s="311"/>
      <c r="F212" s="311"/>
      <c r="G212" s="311"/>
      <c r="H212" s="311"/>
      <c r="I212" s="311"/>
      <c r="J212" s="311"/>
      <c r="K212" s="311"/>
      <c r="L212" s="311"/>
      <c r="M212" s="311"/>
      <c r="N212" s="311"/>
      <c r="O212" s="311"/>
    </row>
    <row r="213" spans="1:15" ht="15" thickBot="1" x14ac:dyDescent="0.4">
      <c r="A213" s="311"/>
      <c r="B213" s="311"/>
      <c r="C213" s="311"/>
      <c r="D213" s="311"/>
      <c r="E213" s="311"/>
      <c r="F213" s="311"/>
      <c r="G213" s="311"/>
      <c r="H213" s="311"/>
      <c r="I213" s="311"/>
      <c r="J213" s="311"/>
      <c r="K213" s="311"/>
      <c r="L213" s="311"/>
      <c r="M213" s="311"/>
      <c r="N213" s="311"/>
      <c r="O213" s="311"/>
    </row>
    <row r="214" spans="1:15" ht="15" thickBot="1" x14ac:dyDescent="0.4">
      <c r="A214" s="311"/>
      <c r="B214" s="300" t="s">
        <v>66</v>
      </c>
      <c r="C214" s="301" t="str">
        <f>C178</f>
        <v>Php (in million)</v>
      </c>
      <c r="D214" s="302" t="str">
        <f>D178</f>
        <v>USD (mn)</v>
      </c>
      <c r="E214" s="248"/>
      <c r="F214" s="248"/>
      <c r="G214" s="311"/>
      <c r="H214" s="311"/>
      <c r="I214" s="311"/>
      <c r="J214" s="311"/>
      <c r="K214" s="311"/>
      <c r="L214" s="311"/>
      <c r="M214" s="311"/>
      <c r="N214" s="311"/>
      <c r="O214" s="311"/>
    </row>
    <row r="215" spans="1:15" x14ac:dyDescent="0.35">
      <c r="A215" s="311"/>
      <c r="B215" s="266">
        <v>2025</v>
      </c>
      <c r="C215" s="153">
        <v>5173</v>
      </c>
      <c r="D215" s="267" t="e">
        <f>C215/$K175</f>
        <v>#DIV/0!</v>
      </c>
      <c r="E215" s="154"/>
      <c r="F215" s="154"/>
      <c r="G215" s="311"/>
      <c r="H215" s="311"/>
      <c r="I215" s="311"/>
      <c r="J215" s="311"/>
      <c r="K215" s="311"/>
      <c r="L215" s="311"/>
      <c r="M215" s="311"/>
      <c r="N215" s="311"/>
      <c r="O215" s="311"/>
    </row>
    <row r="216" spans="1:15" x14ac:dyDescent="0.35">
      <c r="A216" s="311"/>
      <c r="B216" s="266">
        <v>2026</v>
      </c>
      <c r="C216" s="153">
        <v>22239.807000000001</v>
      </c>
      <c r="D216" s="267" t="e">
        <f>C216/$K175</f>
        <v>#DIV/0!</v>
      </c>
      <c r="E216" s="154"/>
      <c r="F216" s="154"/>
      <c r="G216" s="311"/>
      <c r="H216" s="311"/>
      <c r="I216" s="311"/>
      <c r="J216" s="311"/>
      <c r="K216" s="311"/>
      <c r="L216" s="311"/>
      <c r="M216" s="311"/>
      <c r="N216" s="311"/>
      <c r="O216" s="311"/>
    </row>
    <row r="217" spans="1:15" x14ac:dyDescent="0.35">
      <c r="A217" s="311"/>
      <c r="B217" s="266">
        <v>2027</v>
      </c>
      <c r="C217" s="153">
        <v>23407.891</v>
      </c>
      <c r="D217" s="267" t="e">
        <f>C217/$K175</f>
        <v>#DIV/0!</v>
      </c>
      <c r="E217" s="154"/>
      <c r="F217" s="154"/>
      <c r="G217" s="311"/>
      <c r="H217" s="311"/>
      <c r="I217" s="311"/>
      <c r="J217" s="311"/>
      <c r="K217" s="311"/>
      <c r="L217" s="311"/>
      <c r="M217" s="311"/>
      <c r="N217" s="311"/>
      <c r="O217" s="311"/>
    </row>
    <row r="218" spans="1:15" x14ac:dyDescent="0.35">
      <c r="A218" s="311"/>
      <c r="B218" s="266">
        <v>2028</v>
      </c>
      <c r="C218" s="153">
        <v>22752</v>
      </c>
      <c r="D218" s="267" t="e">
        <f>C218/$K175</f>
        <v>#DIV/0!</v>
      </c>
      <c r="E218" s="154"/>
      <c r="F218" s="154"/>
      <c r="G218" s="311"/>
      <c r="H218" s="311"/>
      <c r="I218" s="311"/>
      <c r="J218" s="311"/>
      <c r="K218" s="311"/>
      <c r="L218" s="311"/>
      <c r="M218" s="311"/>
      <c r="N218" s="311"/>
      <c r="O218" s="311"/>
    </row>
    <row r="219" spans="1:15" ht="15" thickBot="1" x14ac:dyDescent="0.4">
      <c r="A219" s="311"/>
      <c r="B219" s="266" t="s">
        <v>67</v>
      </c>
      <c r="C219" s="153">
        <v>181179.4</v>
      </c>
      <c r="D219" s="267" t="e">
        <f>C219/$K175</f>
        <v>#DIV/0!</v>
      </c>
      <c r="E219" s="154"/>
      <c r="F219" s="154"/>
      <c r="G219" s="311"/>
      <c r="H219" s="311"/>
      <c r="I219" s="311"/>
      <c r="J219" s="311"/>
      <c r="K219" s="311"/>
      <c r="L219" s="311"/>
      <c r="M219" s="311"/>
      <c r="N219" s="311"/>
      <c r="O219" s="311"/>
    </row>
    <row r="220" spans="1:15" ht="15" thickBot="1" x14ac:dyDescent="0.4">
      <c r="A220" s="311"/>
      <c r="B220" s="303" t="s">
        <v>40</v>
      </c>
      <c r="C220" s="304">
        <f>+SUM(C215:C219)</f>
        <v>254752.098</v>
      </c>
      <c r="D220" s="305" t="e">
        <f>+SUM(D215:D218)</f>
        <v>#DIV/0!</v>
      </c>
      <c r="E220" s="156"/>
      <c r="F220" s="156"/>
      <c r="G220" s="311"/>
      <c r="H220" s="311"/>
      <c r="I220" s="311"/>
      <c r="J220" s="311"/>
      <c r="K220" s="311"/>
      <c r="L220" s="311"/>
      <c r="M220" s="311"/>
      <c r="N220" s="311"/>
      <c r="O220" s="311"/>
    </row>
    <row r="221" spans="1:15" ht="15" thickBot="1" x14ac:dyDescent="0.4">
      <c r="A221" s="311"/>
      <c r="B221" s="266" t="s">
        <v>41</v>
      </c>
      <c r="C221" s="221">
        <f>C222-C220</f>
        <v>-1260.6459999999788</v>
      </c>
      <c r="D221" s="267" t="e">
        <f>C221/$K175</f>
        <v>#DIV/0!</v>
      </c>
      <c r="E221" s="154"/>
      <c r="F221" s="154"/>
      <c r="G221" s="311"/>
      <c r="H221" s="311"/>
      <c r="I221" s="311"/>
      <c r="J221" s="311"/>
      <c r="K221" s="311"/>
      <c r="L221" s="311"/>
      <c r="M221" s="311"/>
      <c r="N221" s="311"/>
      <c r="O221" s="311"/>
    </row>
    <row r="222" spans="1:15" ht="15" thickBot="1" x14ac:dyDescent="0.4">
      <c r="A222" s="311"/>
      <c r="B222" s="303" t="s">
        <v>42</v>
      </c>
      <c r="C222" s="304">
        <f>C185</f>
        <v>253491.45200000002</v>
      </c>
      <c r="D222" s="305" t="e">
        <f>+D220+D221</f>
        <v>#DIV/0!</v>
      </c>
      <c r="E222" s="156"/>
      <c r="F222" s="156"/>
      <c r="G222" s="311"/>
      <c r="H222" s="311"/>
      <c r="I222" s="311"/>
      <c r="J222" s="311"/>
      <c r="K222" s="311"/>
      <c r="L222" s="311"/>
      <c r="M222" s="311"/>
      <c r="N222" s="311"/>
      <c r="O222" s="311"/>
    </row>
    <row r="223" spans="1:15" x14ac:dyDescent="0.35">
      <c r="A223" s="311"/>
      <c r="B223" s="323" t="s">
        <v>43</v>
      </c>
      <c r="C223" s="325">
        <f>+C222-C185</f>
        <v>0</v>
      </c>
      <c r="D223" s="311"/>
      <c r="E223" s="311"/>
      <c r="F223" s="311"/>
      <c r="G223" s="311"/>
      <c r="H223" s="311"/>
      <c r="I223" s="311"/>
      <c r="J223" s="311"/>
      <c r="K223" s="311"/>
      <c r="L223" s="311"/>
      <c r="M223" s="311"/>
      <c r="N223" s="311"/>
      <c r="O223" s="311"/>
    </row>
    <row r="224" spans="1:15" x14ac:dyDescent="0.35">
      <c r="A224" s="311"/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</row>
    <row r="227" spans="1:15" x14ac:dyDescent="0.35">
      <c r="A227" s="6" t="s">
        <v>68</v>
      </c>
      <c r="B227" s="311"/>
      <c r="C227" s="311"/>
      <c r="D227" s="311"/>
      <c r="E227" s="311"/>
      <c r="F227" s="311"/>
      <c r="G227" s="311"/>
      <c r="H227" s="311"/>
      <c r="I227" s="311"/>
      <c r="J227" s="311"/>
      <c r="K227" s="311"/>
      <c r="L227" s="311"/>
      <c r="M227" s="311"/>
      <c r="N227" s="311"/>
      <c r="O227" s="311"/>
    </row>
    <row r="228" spans="1:15" x14ac:dyDescent="0.35">
      <c r="A228" s="6"/>
      <c r="B228" s="311"/>
      <c r="C228" s="311"/>
      <c r="D228" s="311"/>
      <c r="E228" s="311"/>
      <c r="F228" s="311"/>
      <c r="G228" s="311"/>
      <c r="H228" s="311"/>
      <c r="I228" s="311"/>
      <c r="J228" s="123" t="s">
        <v>69</v>
      </c>
      <c r="K228" s="124">
        <f>Model!$M$201</f>
        <v>0</v>
      </c>
      <c r="L228" s="124"/>
      <c r="M228" s="311"/>
      <c r="N228" s="311"/>
      <c r="O228" s="311"/>
    </row>
    <row r="229" spans="1:15" x14ac:dyDescent="0.35">
      <c r="A229" s="311"/>
      <c r="B229" s="311"/>
      <c r="C229" s="311"/>
      <c r="D229" s="111"/>
      <c r="E229" s="311"/>
      <c r="F229" s="311"/>
      <c r="G229" s="311"/>
      <c r="H229" s="311"/>
      <c r="I229" s="311"/>
      <c r="J229" s="123" t="s">
        <v>70</v>
      </c>
      <c r="K229" s="124">
        <f>Model!$M$200</f>
        <v>0</v>
      </c>
      <c r="L229" s="311"/>
      <c r="M229" s="311"/>
      <c r="N229" s="311"/>
      <c r="O229" s="311"/>
    </row>
    <row r="230" spans="1:15" x14ac:dyDescent="0.35">
      <c r="A230" s="311"/>
      <c r="B230" s="311"/>
      <c r="C230" s="311"/>
      <c r="D230" s="111"/>
      <c r="E230" s="311"/>
      <c r="F230" s="311"/>
      <c r="G230" s="311"/>
      <c r="H230" s="311"/>
      <c r="I230" s="311"/>
      <c r="J230" s="123"/>
      <c r="K230" s="124"/>
      <c r="L230" s="311"/>
      <c r="M230" s="311"/>
      <c r="N230" s="311"/>
      <c r="O230" s="311"/>
    </row>
    <row r="231" spans="1:15" x14ac:dyDescent="0.35">
      <c r="A231" s="311"/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</row>
    <row r="232" spans="1:15" ht="18" customHeight="1" x14ac:dyDescent="0.35">
      <c r="A232" s="311"/>
      <c r="B232" s="263" t="s">
        <v>71</v>
      </c>
      <c r="C232" s="264" t="s">
        <v>4</v>
      </c>
      <c r="D232" s="264" t="s">
        <v>5</v>
      </c>
      <c r="E232" s="265" t="s">
        <v>6</v>
      </c>
      <c r="F232" s="265" t="s">
        <v>7</v>
      </c>
      <c r="G232" s="311"/>
      <c r="H232" s="311"/>
      <c r="I232" s="311"/>
      <c r="J232" s="263" t="str">
        <f>B232</f>
        <v>Debt Breakdown as on 30-Jun-2025</v>
      </c>
      <c r="K232" s="265" t="str">
        <f t="shared" ref="K232:L232" si="2">C232</f>
        <v>Php (in million)</v>
      </c>
      <c r="L232" s="265" t="str">
        <f t="shared" si="2"/>
        <v>USD (mn)</v>
      </c>
      <c r="M232" s="265" t="str">
        <f>E232</f>
        <v>Leverage (PHP)</v>
      </c>
      <c r="N232" s="265" t="str">
        <f>F232</f>
        <v>Leverage (USD)</v>
      </c>
      <c r="O232" s="311"/>
    </row>
    <row r="233" spans="1:15" x14ac:dyDescent="0.35">
      <c r="A233" s="315">
        <f>SUM(C234:C235)/C242</f>
        <v>0.57775495418618905</v>
      </c>
      <c r="B233" s="269" t="s">
        <v>8</v>
      </c>
      <c r="C233" s="270"/>
      <c r="D233" s="271"/>
      <c r="E233" s="272"/>
      <c r="F233" s="272"/>
      <c r="G233" s="311"/>
      <c r="H233" s="311"/>
      <c r="I233" s="311"/>
      <c r="J233" s="311" t="s">
        <v>9</v>
      </c>
      <c r="K233" s="312">
        <v>247899</v>
      </c>
      <c r="L233" s="312" t="e">
        <f>K233/K228</f>
        <v>#DIV/0!</v>
      </c>
      <c r="M233" s="313"/>
      <c r="N233" s="313"/>
      <c r="O233" s="311"/>
    </row>
    <row r="234" spans="1:15" x14ac:dyDescent="0.35">
      <c r="A234" s="315"/>
      <c r="B234" s="273" t="s">
        <v>10</v>
      </c>
      <c r="C234" s="270">
        <v>200635.962</v>
      </c>
      <c r="D234" s="271" t="e">
        <f>C234/$K228</f>
        <v>#DIV/0!</v>
      </c>
      <c r="E234" s="272"/>
      <c r="F234" s="272"/>
      <c r="G234" s="311"/>
      <c r="H234" s="311"/>
      <c r="I234" s="311"/>
      <c r="J234" s="311" t="s">
        <v>11</v>
      </c>
      <c r="K234" s="314">
        <f>C243</f>
        <v>45192.3</v>
      </c>
      <c r="L234" s="312" t="e">
        <f>K234/K228</f>
        <v>#DIV/0!</v>
      </c>
      <c r="M234" s="313"/>
      <c r="N234" s="313"/>
      <c r="O234" s="311"/>
    </row>
    <row r="235" spans="1:15" x14ac:dyDescent="0.35">
      <c r="A235" s="315"/>
      <c r="B235" s="273" t="s">
        <v>12</v>
      </c>
      <c r="C235" s="270">
        <v>13739.893</v>
      </c>
      <c r="D235" s="271" t="e">
        <f>C235/$K228</f>
        <v>#DIV/0!</v>
      </c>
      <c r="E235" s="272"/>
      <c r="F235" s="272"/>
      <c r="G235" s="311"/>
      <c r="H235" s="311"/>
      <c r="I235" s="311"/>
      <c r="J235" s="140" t="s">
        <v>13</v>
      </c>
      <c r="K235" s="306">
        <f>K233+K234</f>
        <v>293091.3</v>
      </c>
      <c r="L235" s="306" t="e">
        <f>L233+L234</f>
        <v>#DIV/0!</v>
      </c>
      <c r="M235" s="307">
        <f>K235/K238</f>
        <v>3.4084489316567792</v>
      </c>
      <c r="N235" s="307" t="e">
        <f>L235/L238</f>
        <v>#DIV/0!</v>
      </c>
      <c r="O235" s="311"/>
    </row>
    <row r="236" spans="1:15" x14ac:dyDescent="0.35">
      <c r="A236" s="315">
        <f>SUM(C237:C238)/C242</f>
        <v>9.0345559580169668E-2</v>
      </c>
      <c r="B236" s="269" t="s">
        <v>16</v>
      </c>
      <c r="C236" s="270"/>
      <c r="D236" s="271"/>
      <c r="E236" s="272"/>
      <c r="F236" s="272"/>
      <c r="G236" s="311"/>
      <c r="H236" s="311"/>
      <c r="I236" s="311"/>
      <c r="J236" s="135" t="s">
        <v>15</v>
      </c>
      <c r="K236" s="132">
        <f>C245</f>
        <v>19315.486000000001</v>
      </c>
      <c r="L236" s="132" t="e">
        <f>K236/K228</f>
        <v>#DIV/0!</v>
      </c>
      <c r="M236" s="308"/>
      <c r="N236" s="308"/>
      <c r="O236" s="311"/>
    </row>
    <row r="237" spans="1:15" x14ac:dyDescent="0.35">
      <c r="A237" s="315"/>
      <c r="B237" s="273" t="s">
        <v>10</v>
      </c>
      <c r="C237" s="270"/>
      <c r="D237" s="271" t="e">
        <f>C237/$K228</f>
        <v>#DIV/0!</v>
      </c>
      <c r="E237" s="272"/>
      <c r="F237" s="272"/>
      <c r="G237" s="311"/>
      <c r="H237" s="311"/>
      <c r="I237" s="311"/>
      <c r="J237" s="140" t="s">
        <v>17</v>
      </c>
      <c r="K237" s="306">
        <f>K235-K236</f>
        <v>273775.81400000001</v>
      </c>
      <c r="L237" s="306" t="e">
        <f>L235-L236</f>
        <v>#DIV/0!</v>
      </c>
      <c r="M237" s="307">
        <f>K237/K238</f>
        <v>3.1838232002852531</v>
      </c>
      <c r="N237" s="307" t="e">
        <f>L237/L238</f>
        <v>#DIV/0!</v>
      </c>
      <c r="O237" s="311"/>
    </row>
    <row r="238" spans="1:15" x14ac:dyDescent="0.35">
      <c r="A238" s="315"/>
      <c r="B238" s="273" t="s">
        <v>12</v>
      </c>
      <c r="C238" s="270">
        <v>33522.701000000001</v>
      </c>
      <c r="D238" s="271" t="e">
        <f>C238/$K228</f>
        <v>#DIV/0!</v>
      </c>
      <c r="E238" s="272"/>
      <c r="F238" s="272"/>
      <c r="G238" s="311"/>
      <c r="H238" s="311"/>
      <c r="I238" s="311"/>
      <c r="J238" s="135" t="s">
        <v>18</v>
      </c>
      <c r="K238" s="309">
        <f>C249</f>
        <v>85989.641000000003</v>
      </c>
      <c r="L238" s="309" t="e">
        <f>K238/K228</f>
        <v>#DIV/0!</v>
      </c>
      <c r="M238" s="310"/>
      <c r="N238" s="310"/>
      <c r="O238" s="311"/>
    </row>
    <row r="239" spans="1:15" ht="15" thickBot="1" x14ac:dyDescent="0.4">
      <c r="A239" s="315"/>
      <c r="B239" s="123" t="s">
        <v>19</v>
      </c>
      <c r="C239" s="274">
        <f>+C234+C235+C237+C238</f>
        <v>247898.55600000001</v>
      </c>
      <c r="D239" s="274" t="e">
        <f>+D234+D235+D237+D238</f>
        <v>#DIV/0!</v>
      </c>
      <c r="E239" s="275"/>
      <c r="F239" s="276"/>
      <c r="G239" s="311"/>
      <c r="H239" s="311"/>
      <c r="I239" s="311"/>
      <c r="J239" s="311"/>
      <c r="K239" s="311"/>
      <c r="L239" s="311"/>
      <c r="M239" s="311"/>
      <c r="N239" s="311"/>
      <c r="O239" s="311"/>
    </row>
    <row r="240" spans="1:15" x14ac:dyDescent="0.35">
      <c r="A240" s="315">
        <f>SUM(C240:C241)/C242</f>
        <v>0.33189948623364141</v>
      </c>
      <c r="B240" s="277" t="s">
        <v>20</v>
      </c>
      <c r="C240" s="270">
        <v>8721.9359999999997</v>
      </c>
      <c r="D240" s="271" t="e">
        <f>C240/$K228</f>
        <v>#DIV/0!</v>
      </c>
      <c r="E240" s="275"/>
      <c r="F240" s="276"/>
      <c r="G240" s="311"/>
      <c r="H240" s="311"/>
      <c r="I240" s="311"/>
      <c r="J240" s="316" t="s">
        <v>21</v>
      </c>
      <c r="K240" s="317"/>
      <c r="L240" s="311"/>
      <c r="M240" s="311"/>
      <c r="N240" s="311"/>
      <c r="O240" s="311"/>
    </row>
    <row r="241" spans="1:15" x14ac:dyDescent="0.35">
      <c r="A241" s="311"/>
      <c r="B241" s="277" t="s">
        <v>46</v>
      </c>
      <c r="C241" s="270">
        <v>114429.299</v>
      </c>
      <c r="D241" s="271" t="e">
        <f>C241/$K228</f>
        <v>#DIV/0!</v>
      </c>
      <c r="E241" s="275"/>
      <c r="F241" s="276"/>
      <c r="G241" s="311"/>
      <c r="H241" s="311"/>
      <c r="I241" s="311"/>
      <c r="J241" s="318" t="s">
        <v>23</v>
      </c>
      <c r="K241" s="319" t="s">
        <v>72</v>
      </c>
      <c r="L241" s="311"/>
      <c r="M241" s="311"/>
      <c r="N241" s="311"/>
      <c r="O241" s="311"/>
    </row>
    <row r="242" spans="1:15" ht="15" thickBot="1" x14ac:dyDescent="0.4">
      <c r="A242" s="311"/>
      <c r="B242" s="278" t="s">
        <v>24</v>
      </c>
      <c r="C242" s="279">
        <f>C239+C240+C241</f>
        <v>371049.79099999997</v>
      </c>
      <c r="D242" s="279" t="e">
        <f>D239+D240+D241</f>
        <v>#DIV/0!</v>
      </c>
      <c r="E242" s="280"/>
      <c r="F242" s="280"/>
      <c r="G242" s="311"/>
      <c r="H242" s="311"/>
      <c r="I242" s="311"/>
      <c r="J242" s="320" t="s">
        <v>25</v>
      </c>
      <c r="K242" s="321" t="s">
        <v>73</v>
      </c>
      <c r="L242" s="311"/>
      <c r="M242" s="311"/>
      <c r="N242" s="311"/>
      <c r="O242" s="311"/>
    </row>
    <row r="243" spans="1:15" x14ac:dyDescent="0.35">
      <c r="A243" s="311"/>
      <c r="B243" s="277" t="s">
        <v>11</v>
      </c>
      <c r="C243" s="271">
        <f>Model!AR$119</f>
        <v>45192.3</v>
      </c>
      <c r="D243" s="271" t="e">
        <f>C243/$K228</f>
        <v>#DIV/0!</v>
      </c>
      <c r="E243" s="281"/>
      <c r="F243" s="281"/>
      <c r="G243" s="311"/>
      <c r="H243" s="311"/>
      <c r="I243" s="311"/>
      <c r="J243" s="311"/>
      <c r="K243" s="311"/>
      <c r="L243" s="311"/>
      <c r="M243" s="311"/>
      <c r="N243" s="311"/>
      <c r="O243" s="311"/>
    </row>
    <row r="244" spans="1:15" x14ac:dyDescent="0.35">
      <c r="A244" s="311"/>
      <c r="B244" s="278" t="s">
        <v>26</v>
      </c>
      <c r="C244" s="282">
        <f>C242+C243</f>
        <v>416242.09099999996</v>
      </c>
      <c r="D244" s="282" t="e">
        <f>D242+D243</f>
        <v>#DIV/0!</v>
      </c>
      <c r="E244" s="280">
        <f>C244/C249</f>
        <v>4.8406073819984892</v>
      </c>
      <c r="F244" s="280" t="e">
        <f>D244/D249</f>
        <v>#DIV/0!</v>
      </c>
      <c r="G244" s="311"/>
      <c r="H244" s="311"/>
      <c r="I244" s="311"/>
      <c r="J244" s="311"/>
      <c r="K244" s="311"/>
      <c r="L244" s="311"/>
      <c r="M244" s="311"/>
      <c r="N244" s="311"/>
      <c r="O244" s="311"/>
    </row>
    <row r="245" spans="1:15" x14ac:dyDescent="0.35">
      <c r="A245" s="311"/>
      <c r="B245" s="277" t="s">
        <v>15</v>
      </c>
      <c r="C245" s="271">
        <f>Model!AR$122</f>
        <v>19315.486000000001</v>
      </c>
      <c r="D245" s="271" t="e">
        <f>C245/$K228</f>
        <v>#DIV/0!</v>
      </c>
      <c r="E245" s="283"/>
      <c r="F245" s="283"/>
      <c r="G245" s="311"/>
      <c r="H245" s="311"/>
      <c r="I245" s="311"/>
      <c r="J245" s="311"/>
      <c r="K245" s="311"/>
      <c r="L245" s="311"/>
      <c r="M245" s="311"/>
      <c r="N245" s="311"/>
      <c r="O245" s="311"/>
    </row>
    <row r="246" spans="1:15" x14ac:dyDescent="0.35">
      <c r="A246" s="311"/>
      <c r="B246" s="278" t="s">
        <v>17</v>
      </c>
      <c r="C246" s="279">
        <f>C244-C245</f>
        <v>396926.60499999998</v>
      </c>
      <c r="D246" s="279" t="e">
        <f>D244-D245</f>
        <v>#DIV/0!</v>
      </c>
      <c r="E246" s="280">
        <f>C246/C249</f>
        <v>4.6159816506269626</v>
      </c>
      <c r="F246" s="280" t="e">
        <f>D246/D249</f>
        <v>#DIV/0!</v>
      </c>
      <c r="G246" s="311"/>
      <c r="H246" s="111"/>
      <c r="I246" s="311"/>
      <c r="J246" s="111"/>
      <c r="K246" s="311"/>
      <c r="L246" s="311"/>
      <c r="M246" s="311"/>
      <c r="N246" s="311"/>
      <c r="O246" s="311"/>
    </row>
    <row r="247" spans="1:15" x14ac:dyDescent="0.35">
      <c r="A247" s="311"/>
      <c r="B247" s="123" t="s">
        <v>27</v>
      </c>
      <c r="C247" s="284">
        <f>Model!AR$127</f>
        <v>172629.86300000001</v>
      </c>
      <c r="D247" s="271" t="e">
        <f>C247/$K228</f>
        <v>#DIV/0!</v>
      </c>
      <c r="E247" s="281"/>
      <c r="F247" s="277"/>
      <c r="G247" s="311"/>
      <c r="H247" s="311"/>
      <c r="I247" s="311"/>
      <c r="J247" s="111"/>
      <c r="K247" s="311"/>
      <c r="L247" s="311"/>
      <c r="M247" s="311"/>
      <c r="N247" s="311"/>
      <c r="O247" s="311"/>
    </row>
    <row r="248" spans="1:15" x14ac:dyDescent="0.35">
      <c r="A248" s="311"/>
      <c r="B248" s="123" t="s">
        <v>28</v>
      </c>
      <c r="C248" s="236">
        <f>C246+C247</f>
        <v>569556.46799999999</v>
      </c>
      <c r="D248" s="271" t="e">
        <f>C248/$K228</f>
        <v>#DIV/0!</v>
      </c>
      <c r="E248" s="281"/>
      <c r="F248" s="277"/>
      <c r="G248" s="311"/>
      <c r="H248" s="311"/>
      <c r="I248" s="311"/>
      <c r="J248" s="311"/>
      <c r="K248" s="311"/>
      <c r="L248" s="311"/>
      <c r="M248" s="311"/>
      <c r="N248" s="311"/>
      <c r="O248" s="311"/>
    </row>
    <row r="249" spans="1:15" x14ac:dyDescent="0.35">
      <c r="A249" s="311"/>
      <c r="B249" s="277" t="s">
        <v>18</v>
      </c>
      <c r="C249" s="285">
        <f>Model!AR$87</f>
        <v>85989.641000000003</v>
      </c>
      <c r="D249" s="271" t="e">
        <f>C249/$K229</f>
        <v>#DIV/0!</v>
      </c>
      <c r="E249" s="277"/>
      <c r="F249" s="277"/>
      <c r="G249" s="311"/>
      <c r="H249" s="322"/>
      <c r="I249" s="311"/>
      <c r="J249" s="311"/>
      <c r="K249" s="311"/>
      <c r="L249" s="311"/>
      <c r="M249" s="311"/>
      <c r="N249" s="311"/>
      <c r="O249" s="311"/>
    </row>
    <row r="250" spans="1:15" x14ac:dyDescent="0.35">
      <c r="A250" s="311"/>
      <c r="B250" s="323" t="s">
        <v>29</v>
      </c>
      <c r="C250" s="324">
        <f>C244-Model!AR$120</f>
        <v>0</v>
      </c>
      <c r="D250" s="311"/>
      <c r="E250" s="311"/>
      <c r="F250" s="311"/>
      <c r="G250" s="311"/>
      <c r="H250" s="311"/>
      <c r="I250" s="311"/>
      <c r="J250" s="311"/>
      <c r="K250" s="311"/>
      <c r="L250" s="311"/>
      <c r="M250" s="311"/>
      <c r="N250" s="311"/>
      <c r="O250" s="311"/>
    </row>
    <row r="251" spans="1:15" ht="15" thickBot="1" x14ac:dyDescent="0.4">
      <c r="A251" s="311"/>
      <c r="B251" s="311"/>
      <c r="C251" s="311"/>
      <c r="D251" s="311"/>
      <c r="E251" s="311"/>
      <c r="F251" s="311"/>
      <c r="G251" s="311"/>
      <c r="H251" s="311"/>
      <c r="I251" s="311"/>
      <c r="J251" s="311"/>
      <c r="K251" s="311"/>
      <c r="L251" s="311"/>
      <c r="M251" s="311"/>
      <c r="N251" s="311"/>
      <c r="O251" s="311"/>
    </row>
    <row r="252" spans="1:15" ht="15" thickBot="1" x14ac:dyDescent="0.4">
      <c r="A252" s="311"/>
      <c r="B252" s="288" t="s">
        <v>74</v>
      </c>
      <c r="C252" s="289" t="str">
        <f>C232</f>
        <v>Php (in million)</v>
      </c>
      <c r="D252" s="290" t="str">
        <f>D232</f>
        <v>USD (mn)</v>
      </c>
      <c r="E252" s="311"/>
      <c r="F252" s="311"/>
      <c r="G252" s="311"/>
      <c r="H252" s="311"/>
      <c r="I252" s="311"/>
      <c r="J252" s="311"/>
      <c r="K252" s="311"/>
      <c r="L252" s="311"/>
      <c r="M252" s="311"/>
      <c r="N252" s="311"/>
      <c r="O252" s="311"/>
    </row>
    <row r="253" spans="1:15" x14ac:dyDescent="0.35">
      <c r="A253" s="311"/>
      <c r="B253" s="286" t="s">
        <v>31</v>
      </c>
      <c r="C253" s="180">
        <v>4396.5630000000001</v>
      </c>
      <c r="D253" s="287" t="e">
        <f>C253/$K$228</f>
        <v>#DIV/0!</v>
      </c>
      <c r="E253" s="311"/>
      <c r="F253" s="311"/>
      <c r="G253" s="311"/>
      <c r="H253" s="311"/>
      <c r="I253" s="311"/>
      <c r="J253" s="311"/>
      <c r="K253" s="311"/>
      <c r="L253" s="311"/>
      <c r="M253" s="311"/>
      <c r="N253" s="311"/>
      <c r="O253" s="311"/>
    </row>
    <row r="254" spans="1:15" ht="15" thickBot="1" x14ac:dyDescent="0.4">
      <c r="A254" s="311"/>
      <c r="B254" s="286" t="s">
        <v>64</v>
      </c>
      <c r="C254" s="268">
        <v>14918.923000000001</v>
      </c>
      <c r="D254" s="287" t="e">
        <f>C254/$K$228</f>
        <v>#DIV/0!</v>
      </c>
      <c r="E254" s="311"/>
      <c r="F254" s="311"/>
      <c r="G254" s="311"/>
      <c r="H254" s="311"/>
      <c r="I254" s="311"/>
      <c r="J254" s="311"/>
      <c r="K254" s="311"/>
      <c r="L254" s="311"/>
      <c r="M254" s="311"/>
      <c r="N254" s="311"/>
      <c r="O254" s="311"/>
    </row>
    <row r="255" spans="1:15" ht="15" thickBot="1" x14ac:dyDescent="0.4">
      <c r="A255" s="311"/>
      <c r="B255" s="291" t="s">
        <v>33</v>
      </c>
      <c r="C255" s="292">
        <f>SUM(C253:C254)</f>
        <v>19315.486000000001</v>
      </c>
      <c r="D255" s="292" t="e">
        <f>SUM(D253:D254)</f>
        <v>#DIV/0!</v>
      </c>
      <c r="E255" s="311"/>
      <c r="F255" s="311"/>
      <c r="G255" s="311"/>
      <c r="H255" s="311"/>
      <c r="I255" s="311"/>
      <c r="J255" s="311"/>
      <c r="K255" s="311"/>
      <c r="L255" s="311"/>
      <c r="M255" s="311"/>
      <c r="N255" s="311"/>
      <c r="O255" s="311"/>
    </row>
    <row r="256" spans="1:15" ht="15" thickBot="1" x14ac:dyDescent="0.4">
      <c r="A256" s="311"/>
      <c r="B256" s="311"/>
      <c r="C256" s="311"/>
      <c r="D256" s="311"/>
      <c r="E256" s="311"/>
      <c r="F256" s="311"/>
      <c r="G256" s="311"/>
      <c r="H256" s="311"/>
      <c r="I256" s="311"/>
      <c r="J256" s="311"/>
      <c r="K256" s="311"/>
      <c r="L256" s="311"/>
      <c r="M256" s="311"/>
      <c r="N256" s="311"/>
      <c r="O256" s="311"/>
    </row>
    <row r="257" spans="1:15" ht="15" thickBot="1" x14ac:dyDescent="0.4">
      <c r="A257" s="311"/>
      <c r="B257" s="296" t="s">
        <v>75</v>
      </c>
      <c r="C257" s="289" t="str">
        <f>C232</f>
        <v>Php (in million)</v>
      </c>
      <c r="D257" s="290" t="str">
        <f>D232</f>
        <v>USD (mn)</v>
      </c>
      <c r="E257" s="179"/>
      <c r="F257" s="179"/>
      <c r="G257" s="322"/>
      <c r="H257" s="311"/>
      <c r="I257" s="311"/>
      <c r="J257" s="311"/>
      <c r="K257" s="311"/>
      <c r="L257" s="311"/>
      <c r="M257" s="311"/>
      <c r="N257" s="311"/>
      <c r="O257" s="311"/>
    </row>
    <row r="258" spans="1:15" x14ac:dyDescent="0.35">
      <c r="A258" s="311"/>
      <c r="B258" s="286" t="s">
        <v>35</v>
      </c>
      <c r="C258" s="180"/>
      <c r="D258" s="293"/>
      <c r="E258" s="180"/>
      <c r="F258" s="180"/>
      <c r="G258" s="311"/>
      <c r="H258" s="311"/>
      <c r="I258" s="311"/>
      <c r="J258" s="311"/>
      <c r="K258" s="311"/>
      <c r="L258" s="311"/>
      <c r="M258" s="311"/>
      <c r="N258" s="311"/>
      <c r="O258" s="311"/>
    </row>
    <row r="259" spans="1:15" x14ac:dyDescent="0.35">
      <c r="A259" s="311"/>
      <c r="B259" s="294" t="s">
        <v>10</v>
      </c>
      <c r="C259" s="268">
        <v>84407</v>
      </c>
      <c r="D259" s="295" t="e">
        <f>C259/$K228</f>
        <v>#DIV/0!</v>
      </c>
      <c r="E259" s="181"/>
      <c r="F259" s="181"/>
      <c r="G259" s="311"/>
      <c r="H259" s="311"/>
      <c r="I259" s="311"/>
      <c r="J259" s="311"/>
      <c r="K259" s="311"/>
      <c r="L259" s="311"/>
      <c r="M259" s="311"/>
      <c r="N259" s="311"/>
      <c r="O259" s="311"/>
    </row>
    <row r="260" spans="1:15" x14ac:dyDescent="0.35">
      <c r="A260" s="311"/>
      <c r="B260" s="294" t="s">
        <v>12</v>
      </c>
      <c r="C260" s="181">
        <f>+D260*$K228</f>
        <v>0</v>
      </c>
      <c r="D260" s="293">
        <v>114</v>
      </c>
      <c r="E260" s="180"/>
      <c r="F260" s="180"/>
      <c r="G260" s="311"/>
      <c r="H260" s="311"/>
      <c r="I260" s="311"/>
      <c r="J260" s="311"/>
      <c r="K260" s="311"/>
      <c r="L260" s="311"/>
      <c r="M260" s="311"/>
      <c r="N260" s="311"/>
      <c r="O260" s="311"/>
    </row>
    <row r="261" spans="1:15" x14ac:dyDescent="0.35">
      <c r="A261" s="311"/>
      <c r="B261" s="286" t="s">
        <v>36</v>
      </c>
      <c r="C261" s="180"/>
      <c r="D261" s="293"/>
      <c r="E261" s="180"/>
      <c r="F261" s="180"/>
      <c r="G261" s="311"/>
      <c r="H261" s="311"/>
      <c r="I261" s="311"/>
      <c r="J261" s="311"/>
      <c r="K261" s="311"/>
      <c r="L261" s="311"/>
      <c r="M261" s="311"/>
      <c r="N261" s="311"/>
      <c r="O261" s="311"/>
    </row>
    <row r="262" spans="1:15" x14ac:dyDescent="0.35">
      <c r="A262" s="311"/>
      <c r="B262" s="294" t="s">
        <v>10</v>
      </c>
      <c r="C262" s="180">
        <v>3000</v>
      </c>
      <c r="D262" s="295" t="e">
        <f>C262/$K228</f>
        <v>#DIV/0!</v>
      </c>
      <c r="E262" s="180"/>
      <c r="F262" s="180"/>
      <c r="G262" s="311"/>
      <c r="H262" s="311"/>
      <c r="I262" s="311"/>
      <c r="J262" s="311"/>
      <c r="K262" s="311"/>
      <c r="L262" s="311"/>
      <c r="M262" s="311"/>
      <c r="N262" s="311"/>
      <c r="O262" s="311"/>
    </row>
    <row r="263" spans="1:15" x14ac:dyDescent="0.35">
      <c r="A263" s="311"/>
      <c r="B263" s="294" t="s">
        <v>12</v>
      </c>
      <c r="C263" s="181">
        <f>+D263*$K228</f>
        <v>0</v>
      </c>
      <c r="D263" s="293">
        <v>50</v>
      </c>
      <c r="E263" s="181"/>
      <c r="F263" s="181"/>
      <c r="G263" s="311"/>
      <c r="H263" s="311"/>
      <c r="I263" s="311"/>
      <c r="J263" s="311"/>
      <c r="K263" s="311"/>
      <c r="L263" s="311"/>
      <c r="M263" s="311"/>
      <c r="N263" s="311"/>
      <c r="O263" s="311"/>
    </row>
    <row r="264" spans="1:15" ht="15" thickBot="1" x14ac:dyDescent="0.4">
      <c r="A264" s="311"/>
      <c r="B264" s="286" t="s">
        <v>15</v>
      </c>
      <c r="C264" s="182">
        <f>C255</f>
        <v>19315.486000000001</v>
      </c>
      <c r="D264" s="295" t="e">
        <f>C264/$K228</f>
        <v>#DIV/0!</v>
      </c>
      <c r="E264" s="182"/>
      <c r="F264" s="182"/>
      <c r="G264" s="311"/>
      <c r="H264" s="311"/>
      <c r="I264" s="311"/>
      <c r="J264" s="311"/>
      <c r="K264" s="311"/>
      <c r="L264" s="311"/>
      <c r="M264" s="311"/>
      <c r="N264" s="311"/>
      <c r="O264" s="311"/>
    </row>
    <row r="265" spans="1:15" ht="15" thickBot="1" x14ac:dyDescent="0.4">
      <c r="A265" s="311"/>
      <c r="B265" s="297" t="s">
        <v>37</v>
      </c>
      <c r="C265" s="298">
        <f>+C259+C260+C263+C264</f>
        <v>103722.486</v>
      </c>
      <c r="D265" s="299" t="e">
        <f>+D259+D260+D263+D264</f>
        <v>#DIV/0!</v>
      </c>
      <c r="E265" s="183"/>
      <c r="F265" s="183"/>
      <c r="G265" s="311"/>
      <c r="H265" s="311"/>
      <c r="I265" s="311"/>
      <c r="J265" s="311"/>
      <c r="K265" s="311"/>
      <c r="L265" s="311"/>
      <c r="M265" s="311"/>
      <c r="N265" s="311"/>
      <c r="O265" s="311"/>
    </row>
    <row r="266" spans="1:15" x14ac:dyDescent="0.35">
      <c r="A266" s="311"/>
      <c r="B266" s="311"/>
      <c r="C266" s="311"/>
      <c r="D266" s="311"/>
      <c r="E266" s="311"/>
      <c r="F266" s="311"/>
      <c r="G266" s="311"/>
      <c r="H266" s="311"/>
      <c r="I266" s="311"/>
      <c r="J266" s="311"/>
      <c r="K266" s="311"/>
      <c r="L266" s="311"/>
      <c r="M266" s="311"/>
      <c r="N266" s="311"/>
      <c r="O266" s="311"/>
    </row>
    <row r="267" spans="1:15" ht="15" thickBot="1" x14ac:dyDescent="0.4">
      <c r="A267" s="311"/>
      <c r="B267" s="311"/>
      <c r="C267" s="311"/>
      <c r="D267" s="311"/>
      <c r="E267" s="311"/>
      <c r="F267" s="311"/>
      <c r="G267" s="311"/>
      <c r="H267" s="311"/>
      <c r="I267" s="311"/>
      <c r="J267" s="311"/>
      <c r="K267" s="311"/>
      <c r="L267" s="311"/>
      <c r="M267" s="311"/>
      <c r="N267" s="311"/>
      <c r="O267" s="311"/>
    </row>
    <row r="268" spans="1:15" ht="15" thickBot="1" x14ac:dyDescent="0.4">
      <c r="A268" s="311"/>
      <c r="B268" s="300" t="s">
        <v>76</v>
      </c>
      <c r="C268" s="301" t="str">
        <f>C232</f>
        <v>Php (in million)</v>
      </c>
      <c r="D268" s="302" t="str">
        <f>D232</f>
        <v>USD (mn)</v>
      </c>
      <c r="E268" s="248"/>
      <c r="F268" s="248"/>
      <c r="G268" s="311"/>
      <c r="H268" s="311"/>
      <c r="I268" s="311"/>
      <c r="J268" s="311"/>
      <c r="K268" s="311"/>
      <c r="L268" s="311"/>
      <c r="M268" s="311"/>
      <c r="N268" s="311"/>
      <c r="O268" s="311"/>
    </row>
    <row r="269" spans="1:15" x14ac:dyDescent="0.35">
      <c r="A269" s="311"/>
      <c r="B269" s="266">
        <v>2025</v>
      </c>
      <c r="C269" s="153">
        <v>6089.6930000000002</v>
      </c>
      <c r="D269" s="267" t="e">
        <f>C269/$K228</f>
        <v>#DIV/0!</v>
      </c>
      <c r="E269" s="154"/>
      <c r="F269" s="154"/>
      <c r="G269" s="311"/>
      <c r="H269" s="311"/>
      <c r="I269" s="311"/>
      <c r="J269" s="311"/>
      <c r="K269" s="311"/>
      <c r="L269" s="311"/>
      <c r="M269" s="311"/>
      <c r="N269" s="311"/>
      <c r="O269" s="311"/>
    </row>
    <row r="270" spans="1:15" x14ac:dyDescent="0.35">
      <c r="A270" s="311"/>
      <c r="B270" s="266">
        <v>2026</v>
      </c>
      <c r="C270" s="153">
        <v>22236.752</v>
      </c>
      <c r="D270" s="267" t="e">
        <f>C270/$K228</f>
        <v>#DIV/0!</v>
      </c>
      <c r="E270" s="154"/>
      <c r="F270" s="154"/>
      <c r="G270" s="311"/>
      <c r="H270" s="311"/>
      <c r="I270" s="311"/>
      <c r="J270" s="311"/>
      <c r="K270" s="311"/>
      <c r="L270" s="311"/>
      <c r="M270" s="311"/>
      <c r="N270" s="311"/>
      <c r="O270" s="311"/>
    </row>
    <row r="271" spans="1:15" x14ac:dyDescent="0.35">
      <c r="A271" s="311"/>
      <c r="B271" s="266">
        <v>2027</v>
      </c>
      <c r="C271" s="153">
        <v>22930.106</v>
      </c>
      <c r="D271" s="267" t="e">
        <f>C271/$K228</f>
        <v>#DIV/0!</v>
      </c>
      <c r="E271" s="154"/>
      <c r="F271" s="154"/>
      <c r="G271" s="311"/>
      <c r="H271" s="311"/>
      <c r="I271" s="311"/>
      <c r="J271" s="311"/>
      <c r="K271" s="311"/>
      <c r="L271" s="311"/>
      <c r="M271" s="311"/>
      <c r="N271" s="311"/>
      <c r="O271" s="311"/>
    </row>
    <row r="272" spans="1:15" x14ac:dyDescent="0.35">
      <c r="A272" s="311"/>
      <c r="B272" s="266">
        <v>2028</v>
      </c>
      <c r="C272" s="153">
        <v>22702</v>
      </c>
      <c r="D272" s="267" t="e">
        <f>C272/$K228</f>
        <v>#DIV/0!</v>
      </c>
      <c r="E272" s="154"/>
      <c r="F272" s="154"/>
      <c r="G272" s="311"/>
      <c r="H272" s="311"/>
      <c r="I272" s="311"/>
      <c r="J272" s="311"/>
      <c r="K272" s="311"/>
      <c r="L272" s="311"/>
      <c r="M272" s="311"/>
      <c r="N272" s="311"/>
      <c r="O272" s="311"/>
    </row>
    <row r="273" spans="1:15" ht="15" thickBot="1" x14ac:dyDescent="0.4">
      <c r="A273" s="311"/>
      <c r="B273" s="266" t="s">
        <v>67</v>
      </c>
      <c r="C273" s="153">
        <v>175216.8</v>
      </c>
      <c r="D273" s="267" t="e">
        <f>C273/$K228</f>
        <v>#DIV/0!</v>
      </c>
      <c r="E273" s="154"/>
      <c r="F273" s="154"/>
      <c r="G273" s="311"/>
      <c r="H273" s="311"/>
      <c r="I273" s="311"/>
      <c r="J273" s="311"/>
      <c r="K273" s="311"/>
      <c r="L273" s="311"/>
      <c r="M273" s="311"/>
      <c r="N273" s="311"/>
      <c r="O273" s="311"/>
    </row>
    <row r="274" spans="1:15" ht="15" thickBot="1" x14ac:dyDescent="0.4">
      <c r="A274" s="311"/>
      <c r="B274" s="303" t="s">
        <v>40</v>
      </c>
      <c r="C274" s="304">
        <f>+SUM(C269:C273)</f>
        <v>249175.351</v>
      </c>
      <c r="D274" s="305" t="e">
        <f>+SUM(D269:D272)</f>
        <v>#DIV/0!</v>
      </c>
      <c r="E274" s="156"/>
      <c r="F274" s="156"/>
      <c r="G274" s="311"/>
      <c r="H274" s="311"/>
      <c r="I274" s="311"/>
      <c r="J274" s="311"/>
      <c r="K274" s="311"/>
      <c r="L274" s="311"/>
      <c r="M274" s="311"/>
      <c r="N274" s="311"/>
      <c r="O274" s="311"/>
    </row>
    <row r="275" spans="1:15" ht="15" thickBot="1" x14ac:dyDescent="0.4">
      <c r="A275" s="311"/>
      <c r="B275" s="266" t="s">
        <v>41</v>
      </c>
      <c r="C275" s="221">
        <f>C276-C274</f>
        <v>-1276.7949999999837</v>
      </c>
      <c r="D275" s="267" t="e">
        <f>C275/$K228</f>
        <v>#DIV/0!</v>
      </c>
      <c r="E275" s="154"/>
      <c r="F275" s="154"/>
      <c r="G275" s="311"/>
      <c r="H275" s="311"/>
      <c r="I275" s="311"/>
      <c r="J275" s="311"/>
      <c r="K275" s="311"/>
      <c r="L275" s="311"/>
      <c r="M275" s="311"/>
      <c r="N275" s="311"/>
      <c r="O275" s="311"/>
    </row>
    <row r="276" spans="1:15" ht="15" thickBot="1" x14ac:dyDescent="0.4">
      <c r="A276" s="311"/>
      <c r="B276" s="303" t="s">
        <v>42</v>
      </c>
      <c r="C276" s="304">
        <f>C239</f>
        <v>247898.55600000001</v>
      </c>
      <c r="D276" s="305" t="e">
        <f>+D274+D275</f>
        <v>#DIV/0!</v>
      </c>
      <c r="E276" s="156"/>
      <c r="F276" s="156"/>
      <c r="G276" s="311"/>
      <c r="H276" s="311"/>
      <c r="I276" s="311"/>
      <c r="J276" s="311"/>
      <c r="K276" s="311"/>
      <c r="L276" s="311"/>
      <c r="M276" s="311"/>
      <c r="N276" s="311"/>
      <c r="O276" s="311"/>
    </row>
    <row r="277" spans="1:15" x14ac:dyDescent="0.35">
      <c r="A277" s="311"/>
      <c r="B277" s="323" t="s">
        <v>43</v>
      </c>
      <c r="C277" s="325">
        <f>+C276-C239</f>
        <v>0</v>
      </c>
      <c r="D277" s="311"/>
      <c r="E277" s="311"/>
      <c r="F277" s="311"/>
      <c r="G277" s="311"/>
      <c r="H277" s="311"/>
      <c r="I277" s="311"/>
      <c r="J277" s="311"/>
      <c r="K277" s="311"/>
      <c r="L277" s="311"/>
      <c r="M277" s="311"/>
      <c r="N277" s="311"/>
      <c r="O277" s="311"/>
    </row>
    <row r="278" spans="1:15" x14ac:dyDescent="0.35">
      <c r="A278" s="311"/>
      <c r="B278" s="311"/>
      <c r="C278" s="311"/>
      <c r="D278" s="311"/>
      <c r="E278" s="311"/>
      <c r="F278" s="311"/>
      <c r="G278" s="311"/>
      <c r="H278" s="311"/>
      <c r="I278" s="311"/>
      <c r="J278" s="311"/>
      <c r="K278" s="311"/>
      <c r="L278" s="311"/>
      <c r="M278" s="311"/>
      <c r="N278" s="311"/>
      <c r="O278" s="311"/>
    </row>
    <row r="279" spans="1:15" x14ac:dyDescent="0.35">
      <c r="A279" s="122" t="s">
        <v>77</v>
      </c>
      <c r="K279" s="123" t="s">
        <v>78</v>
      </c>
      <c r="L279" s="124">
        <f>Model!AQ$201</f>
        <v>57.250815824125496</v>
      </c>
    </row>
    <row r="280" spans="1:15" ht="39.5" x14ac:dyDescent="0.35">
      <c r="D280" s="220"/>
      <c r="K280" s="125" t="s">
        <v>79</v>
      </c>
      <c r="L280" s="124">
        <f>Model!AQ$200</f>
        <v>57.663407912062752</v>
      </c>
    </row>
    <row r="282" spans="1:15" x14ac:dyDescent="0.35">
      <c r="B282" s="127" t="s">
        <v>80</v>
      </c>
      <c r="C282" s="128" t="s">
        <v>4</v>
      </c>
      <c r="D282" s="128" t="s">
        <v>5</v>
      </c>
      <c r="E282" s="129" t="s">
        <v>81</v>
      </c>
      <c r="F282" s="129" t="s">
        <v>7</v>
      </c>
      <c r="J282" s="127" t="s">
        <v>80</v>
      </c>
      <c r="K282" s="128" t="s">
        <v>4</v>
      </c>
      <c r="L282" s="128" t="s">
        <v>5</v>
      </c>
      <c r="M282" s="129" t="s">
        <v>81</v>
      </c>
      <c r="N282" s="129" t="s">
        <v>7</v>
      </c>
    </row>
    <row r="283" spans="1:15" x14ac:dyDescent="0.35">
      <c r="A283" s="186">
        <f>SUM(C284:C285)/C292</f>
        <v>0.57690430145351379</v>
      </c>
      <c r="B283" s="130" t="s">
        <v>8</v>
      </c>
      <c r="C283" s="131"/>
      <c r="D283" s="132"/>
      <c r="E283" s="133"/>
      <c r="F283" s="133"/>
      <c r="J283" t="s">
        <v>82</v>
      </c>
      <c r="K283" s="220">
        <f>C292</f>
        <v>360410.93900000001</v>
      </c>
      <c r="L283" s="220">
        <f>D292</f>
        <v>6295.2978715129993</v>
      </c>
    </row>
    <row r="284" spans="1:15" x14ac:dyDescent="0.35">
      <c r="A284" s="186"/>
      <c r="B284" s="134" t="s">
        <v>10</v>
      </c>
      <c r="C284" s="131">
        <v>193967.58799999999</v>
      </c>
      <c r="D284" s="132">
        <f>C284/$L279</f>
        <v>3388.0318595959998</v>
      </c>
      <c r="E284" s="133"/>
      <c r="F284" s="133"/>
      <c r="J284" t="s">
        <v>11</v>
      </c>
      <c r="K284" s="234">
        <f>C293</f>
        <v>44265.38</v>
      </c>
      <c r="L284" s="220">
        <f>K284/L279</f>
        <v>773.18339245999994</v>
      </c>
    </row>
    <row r="285" spans="1:15" x14ac:dyDescent="0.35">
      <c r="A285" s="186"/>
      <c r="B285" s="134" t="s">
        <v>12</v>
      </c>
      <c r="C285" s="131">
        <v>13955.032999999999</v>
      </c>
      <c r="D285" s="132">
        <f>C285/$L279</f>
        <v>243.75256141099999</v>
      </c>
      <c r="E285" s="133"/>
      <c r="F285" s="133"/>
      <c r="J285" s="140" t="s">
        <v>13</v>
      </c>
      <c r="K285" s="141">
        <f>K283+K284</f>
        <v>404676.31900000002</v>
      </c>
      <c r="L285" s="141">
        <f>L283+L284</f>
        <v>7068.4812639729989</v>
      </c>
      <c r="M285" s="142">
        <f>K285/K288</f>
        <v>4.6932271667167793</v>
      </c>
      <c r="N285" s="142">
        <f>L285/L288</f>
        <v>4.7270500628276073</v>
      </c>
    </row>
    <row r="286" spans="1:15" x14ac:dyDescent="0.35">
      <c r="A286" s="186">
        <f>SUM(C287:C288)/C292</f>
        <v>9.4484127186827693E-2</v>
      </c>
      <c r="B286" s="130" t="s">
        <v>16</v>
      </c>
      <c r="C286" s="131"/>
      <c r="D286" s="132"/>
      <c r="E286" s="133"/>
      <c r="F286" s="133"/>
      <c r="J286" s="135" t="s">
        <v>15</v>
      </c>
      <c r="K286" s="132">
        <f>C295</f>
        <v>18726.847000000002</v>
      </c>
      <c r="L286" s="132">
        <f>D295</f>
        <v>327.10183654900004</v>
      </c>
      <c r="M286" s="143"/>
      <c r="N286" s="143"/>
    </row>
    <row r="287" spans="1:15" x14ac:dyDescent="0.35">
      <c r="A287" s="186"/>
      <c r="B287" s="134" t="s">
        <v>10</v>
      </c>
      <c r="C287" s="131"/>
      <c r="D287" s="132">
        <f>C287/$L279</f>
        <v>0</v>
      </c>
      <c r="E287" s="133"/>
      <c r="F287" s="133"/>
      <c r="J287" s="140" t="s">
        <v>17</v>
      </c>
      <c r="K287" s="141">
        <f>K285-K286</f>
        <v>385949.47200000001</v>
      </c>
      <c r="L287" s="141">
        <f>L285-L286</f>
        <v>6741.379427423999</v>
      </c>
      <c r="M287" s="142">
        <f>K287/K288</f>
        <v>4.4760428567859858</v>
      </c>
      <c r="N287" s="142">
        <f>L287/L288</f>
        <v>4.5083005607399569</v>
      </c>
    </row>
    <row r="288" spans="1:15" x14ac:dyDescent="0.35">
      <c r="A288" s="186"/>
      <c r="B288" s="134" t="s">
        <v>12</v>
      </c>
      <c r="C288" s="131">
        <v>34053.112999999998</v>
      </c>
      <c r="D288" s="132">
        <f>C288/$L279</f>
        <v>594.80572477099997</v>
      </c>
      <c r="E288" s="133"/>
      <c r="F288" s="133"/>
      <c r="J288" s="135" t="s">
        <v>18</v>
      </c>
      <c r="K288" s="148">
        <f>C299</f>
        <v>86225.597999999998</v>
      </c>
      <c r="L288" s="148">
        <f>D299</f>
        <v>1495.3260849843432</v>
      </c>
      <c r="M288" s="135"/>
      <c r="N288" s="135"/>
    </row>
    <row r="289" spans="1:11" x14ac:dyDescent="0.35">
      <c r="A289" s="186"/>
      <c r="B289" s="136" t="s">
        <v>19</v>
      </c>
      <c r="C289" s="137">
        <f>+C284+C285+C287+C288</f>
        <v>241975.734</v>
      </c>
      <c r="D289" s="137">
        <f>+D284+D285+D287+D288</f>
        <v>4226.5901457780001</v>
      </c>
      <c r="E289" s="138"/>
      <c r="F289" s="139"/>
    </row>
    <row r="290" spans="1:11" ht="15" thickBot="1" x14ac:dyDescent="0.4">
      <c r="A290" s="186">
        <f>SUM(C290:C291)/C292</f>
        <v>0.32861157135965841</v>
      </c>
      <c r="B290" s="135" t="s">
        <v>20</v>
      </c>
      <c r="C290" s="131">
        <v>8971.2099999999991</v>
      </c>
      <c r="D290" s="132">
        <f>C290/$L279</f>
        <v>156.70012506999998</v>
      </c>
      <c r="E290" s="138"/>
      <c r="F290" s="139"/>
    </row>
    <row r="291" spans="1:11" x14ac:dyDescent="0.35">
      <c r="B291" s="135" t="s">
        <v>46</v>
      </c>
      <c r="C291" s="131">
        <v>109463.995</v>
      </c>
      <c r="D291" s="132">
        <f>C291/$L279</f>
        <v>1912.0076006649999</v>
      </c>
      <c r="E291" s="138"/>
      <c r="F291" s="139"/>
      <c r="J291" s="256" t="s">
        <v>83</v>
      </c>
      <c r="K291" s="257"/>
    </row>
    <row r="292" spans="1:11" x14ac:dyDescent="0.35">
      <c r="B292" s="140" t="s">
        <v>24</v>
      </c>
      <c r="C292" s="141">
        <f>C289+C290+C291</f>
        <v>360410.93900000001</v>
      </c>
      <c r="D292" s="141">
        <f>D289+D290+D291</f>
        <v>6295.2978715129993</v>
      </c>
      <c r="E292" s="142"/>
      <c r="F292" s="142"/>
      <c r="J292" s="252" t="s">
        <v>23</v>
      </c>
      <c r="K292" s="253">
        <v>2.54</v>
      </c>
    </row>
    <row r="293" spans="1:11" ht="15" thickBot="1" x14ac:dyDescent="0.4">
      <c r="B293" s="135" t="s">
        <v>11</v>
      </c>
      <c r="C293" s="132">
        <f>Model!AQ$119</f>
        <v>44265.38</v>
      </c>
      <c r="D293" s="132">
        <f>C293/$L279</f>
        <v>773.18339245999994</v>
      </c>
      <c r="E293" s="146"/>
      <c r="F293" s="146"/>
      <c r="J293" s="254" t="s">
        <v>25</v>
      </c>
      <c r="K293" s="255">
        <v>2.34</v>
      </c>
    </row>
    <row r="294" spans="1:11" x14ac:dyDescent="0.35">
      <c r="B294" s="140" t="s">
        <v>26</v>
      </c>
      <c r="C294" s="241">
        <f>C292+C293</f>
        <v>404676.31900000002</v>
      </c>
      <c r="D294" s="241">
        <f>D292+D293</f>
        <v>7068.4812639729989</v>
      </c>
      <c r="E294" s="142">
        <f>C294/C299</f>
        <v>4.6932271667167793</v>
      </c>
      <c r="F294" s="142">
        <f>D294/D299</f>
        <v>4.7270500628276073</v>
      </c>
    </row>
    <row r="295" spans="1:11" x14ac:dyDescent="0.35">
      <c r="B295" s="135" t="s">
        <v>15</v>
      </c>
      <c r="C295" s="132">
        <f>Model!AQ$122</f>
        <v>18726.847000000002</v>
      </c>
      <c r="D295" s="132">
        <f>C295/$L279</f>
        <v>327.10183654900004</v>
      </c>
      <c r="E295" s="143"/>
      <c r="F295" s="143"/>
    </row>
    <row r="296" spans="1:11" x14ac:dyDescent="0.35">
      <c r="B296" s="140" t="s">
        <v>17</v>
      </c>
      <c r="C296" s="141">
        <f>C294-C295</f>
        <v>385949.47200000001</v>
      </c>
      <c r="D296" s="141">
        <f>D294-D295</f>
        <v>6741.379427423999</v>
      </c>
      <c r="E296" s="142">
        <f>C296/C299</f>
        <v>4.4760428567859858</v>
      </c>
      <c r="F296" s="142">
        <f>D296/D299</f>
        <v>4.5083005607399569</v>
      </c>
      <c r="H296" s="220"/>
      <c r="J296" s="220"/>
    </row>
    <row r="297" spans="1:11" x14ac:dyDescent="0.35">
      <c r="B297" s="136" t="s">
        <v>27</v>
      </c>
      <c r="C297" s="144">
        <f>Model!AQ$127</f>
        <v>171303.23499999999</v>
      </c>
      <c r="D297" s="132">
        <f>C297/$L279</f>
        <v>2992.1536057449998</v>
      </c>
      <c r="E297" s="146"/>
      <c r="F297" s="135"/>
    </row>
    <row r="298" spans="1:11" x14ac:dyDescent="0.35">
      <c r="B298" s="136" t="s">
        <v>28</v>
      </c>
      <c r="C298" s="147">
        <f>C296+C297</f>
        <v>557252.70699999994</v>
      </c>
      <c r="D298" s="132">
        <f>C298/$L279</f>
        <v>9733.5330331689984</v>
      </c>
      <c r="E298" s="146"/>
      <c r="F298" s="135"/>
    </row>
    <row r="299" spans="1:11" x14ac:dyDescent="0.35">
      <c r="B299" s="135" t="s">
        <v>18</v>
      </c>
      <c r="C299" s="148">
        <f>Model!AQ$87</f>
        <v>86225.597999999998</v>
      </c>
      <c r="D299" s="132">
        <f>C299/$L280</f>
        <v>1495.3260849843432</v>
      </c>
      <c r="E299" s="135"/>
      <c r="F299" s="135"/>
      <c r="H299" s="246"/>
    </row>
    <row r="300" spans="1:11" x14ac:dyDescent="0.35">
      <c r="B300" s="149" t="s">
        <v>29</v>
      </c>
      <c r="C300" s="207">
        <f>C294-Model!AQ$120</f>
        <v>0</v>
      </c>
    </row>
    <row r="302" spans="1:11" x14ac:dyDescent="0.35">
      <c r="B302" s="159" t="s">
        <v>84</v>
      </c>
      <c r="C302" s="160" t="s">
        <v>4</v>
      </c>
      <c r="D302" s="160" t="s">
        <v>5</v>
      </c>
      <c r="E302" s="179"/>
      <c r="F302" s="179"/>
      <c r="G302" s="246"/>
    </row>
    <row r="303" spans="1:11" x14ac:dyDescent="0.35">
      <c r="B303" s="161" t="s">
        <v>35</v>
      </c>
      <c r="C303" s="162"/>
      <c r="D303" s="162"/>
      <c r="E303" s="180"/>
      <c r="F303" s="180"/>
    </row>
    <row r="304" spans="1:11" x14ac:dyDescent="0.35">
      <c r="B304" s="166" t="s">
        <v>10</v>
      </c>
      <c r="C304" s="233">
        <v>85447</v>
      </c>
      <c r="D304" s="219">
        <f>C304/$L279</f>
        <v>1492.502749</v>
      </c>
      <c r="E304" s="181"/>
      <c r="F304" s="181"/>
    </row>
    <row r="305" spans="2:6" x14ac:dyDescent="0.35">
      <c r="B305" s="166" t="s">
        <v>12</v>
      </c>
      <c r="C305" s="167">
        <f>+D305*$L279</f>
        <v>6541.4782160645791</v>
      </c>
      <c r="D305" s="162">
        <v>114.26</v>
      </c>
      <c r="E305" s="180"/>
      <c r="F305" s="180"/>
    </row>
    <row r="306" spans="2:6" x14ac:dyDescent="0.35">
      <c r="B306" s="161" t="s">
        <v>36</v>
      </c>
      <c r="C306" s="162"/>
      <c r="D306" s="162"/>
      <c r="E306" s="180"/>
      <c r="F306" s="180"/>
    </row>
    <row r="307" spans="2:6" x14ac:dyDescent="0.35">
      <c r="B307" s="166" t="s">
        <v>10</v>
      </c>
      <c r="C307" s="162">
        <f>3000+10000</f>
        <v>13000</v>
      </c>
      <c r="D307" s="219">
        <f>C307/$L279</f>
        <v>227.071</v>
      </c>
      <c r="E307" s="181"/>
      <c r="F307" s="181"/>
    </row>
    <row r="308" spans="2:6" x14ac:dyDescent="0.35">
      <c r="B308" s="161" t="s">
        <v>15</v>
      </c>
      <c r="C308" s="163">
        <f>+C295</f>
        <v>18726.847000000002</v>
      </c>
      <c r="D308" s="219">
        <f>C308/$L279</f>
        <v>327.10183654900004</v>
      </c>
      <c r="E308" s="182"/>
      <c r="F308" s="182"/>
    </row>
    <row r="309" spans="2:6" x14ac:dyDescent="0.35">
      <c r="B309" s="164" t="s">
        <v>37</v>
      </c>
      <c r="C309" s="165">
        <f>+C304+C305+C307+C308</f>
        <v>123715.32521606458</v>
      </c>
      <c r="D309" s="165">
        <f>+D304+D305+D307+D308</f>
        <v>2160.9355855489998</v>
      </c>
      <c r="E309" s="183"/>
      <c r="F309" s="183"/>
    </row>
    <row r="312" spans="2:6" x14ac:dyDescent="0.35">
      <c r="B312" s="431" t="s">
        <v>85</v>
      </c>
      <c r="C312" s="431"/>
      <c r="D312" s="431"/>
      <c r="E312" s="248"/>
      <c r="F312" s="248"/>
    </row>
    <row r="313" spans="2:6" x14ac:dyDescent="0.35">
      <c r="B313" s="432"/>
      <c r="C313" s="150" t="s">
        <v>86</v>
      </c>
      <c r="D313" s="151" t="s">
        <v>87</v>
      </c>
      <c r="E313" s="248"/>
      <c r="F313" s="248"/>
    </row>
    <row r="314" spans="2:6" x14ac:dyDescent="0.35">
      <c r="B314" s="152">
        <v>2025</v>
      </c>
      <c r="C314" s="153">
        <v>26369.562000000002</v>
      </c>
      <c r="D314" s="154">
        <f>C314/$L279</f>
        <v>460.597139454</v>
      </c>
      <c r="E314" s="154"/>
      <c r="F314" s="154"/>
    </row>
    <row r="315" spans="2:6" x14ac:dyDescent="0.35">
      <c r="B315" s="152">
        <v>2026</v>
      </c>
      <c r="C315" s="153">
        <v>22239.286</v>
      </c>
      <c r="D315" s="154">
        <f>C315/$L279</f>
        <v>388.453608562</v>
      </c>
      <c r="E315" s="154"/>
      <c r="F315" s="154"/>
    </row>
    <row r="316" spans="2:6" x14ac:dyDescent="0.35">
      <c r="B316" s="152">
        <v>2027</v>
      </c>
      <c r="C316" s="153">
        <v>23184.942999999999</v>
      </c>
      <c r="D316" s="154">
        <f>C316/$L279</f>
        <v>404.97139938099997</v>
      </c>
      <c r="E316" s="154"/>
      <c r="F316" s="154"/>
    </row>
    <row r="317" spans="2:6" x14ac:dyDescent="0.35">
      <c r="B317" s="152">
        <v>2028</v>
      </c>
      <c r="C317" s="153">
        <v>22602</v>
      </c>
      <c r="D317" s="154">
        <f>C317/$L279</f>
        <v>394.78913399999999</v>
      </c>
      <c r="E317" s="154"/>
      <c r="F317" s="154"/>
    </row>
    <row r="318" spans="2:6" x14ac:dyDescent="0.35">
      <c r="B318" s="152" t="s">
        <v>67</v>
      </c>
      <c r="C318" s="153">
        <v>156298.20000000001</v>
      </c>
      <c r="D318" s="154">
        <f>C318/$L279</f>
        <v>2730.0606594000001</v>
      </c>
      <c r="E318" s="154"/>
      <c r="F318" s="154"/>
    </row>
    <row r="319" spans="2:6" x14ac:dyDescent="0.35">
      <c r="B319" s="155" t="s">
        <v>40</v>
      </c>
      <c r="C319" s="156">
        <f>+SUM(C314:C317)</f>
        <v>94395.790999999997</v>
      </c>
      <c r="D319" s="156">
        <f>+SUM(D314:D317)</f>
        <v>1648.8112813970001</v>
      </c>
      <c r="E319" s="156"/>
      <c r="F319" s="156"/>
    </row>
    <row r="320" spans="2:6" x14ac:dyDescent="0.35">
      <c r="B320" s="152" t="s">
        <v>41</v>
      </c>
      <c r="C320" s="221">
        <f>C321-C319</f>
        <v>147579.943</v>
      </c>
      <c r="D320" s="154">
        <f>C320/$L279</f>
        <v>2577.7788643809999</v>
      </c>
      <c r="E320" s="154"/>
      <c r="F320" s="154"/>
    </row>
    <row r="321" spans="1:14" x14ac:dyDescent="0.35">
      <c r="B321" s="155" t="s">
        <v>42</v>
      </c>
      <c r="C321" s="156">
        <f>C289</f>
        <v>241975.734</v>
      </c>
      <c r="D321" s="156">
        <f>+D319+D320</f>
        <v>4226.5901457780001</v>
      </c>
      <c r="E321" s="156"/>
      <c r="F321" s="156"/>
    </row>
    <row r="322" spans="1:14" x14ac:dyDescent="0.35">
      <c r="B322" s="149" t="s">
        <v>43</v>
      </c>
      <c r="C322" s="169">
        <f>+C321-C289</f>
        <v>0</v>
      </c>
    </row>
    <row r="324" spans="1:14" x14ac:dyDescent="0.35">
      <c r="A324" s="122" t="s">
        <v>88</v>
      </c>
      <c r="K324" s="123" t="s">
        <v>89</v>
      </c>
      <c r="L324" s="124">
        <f>Model!AP$201</f>
        <v>58.076000000000001</v>
      </c>
    </row>
    <row r="325" spans="1:14" ht="39.5" x14ac:dyDescent="0.35">
      <c r="K325" s="125" t="s">
        <v>90</v>
      </c>
      <c r="L325" s="124">
        <f>Model!AP$200</f>
        <v>58.164999999999999</v>
      </c>
    </row>
    <row r="327" spans="1:14" x14ac:dyDescent="0.35">
      <c r="B327" s="127" t="s">
        <v>91</v>
      </c>
      <c r="C327" s="128" t="s">
        <v>4</v>
      </c>
      <c r="D327" s="128" t="s">
        <v>5</v>
      </c>
      <c r="E327" s="129" t="s">
        <v>81</v>
      </c>
      <c r="F327" s="129" t="s">
        <v>7</v>
      </c>
      <c r="J327" s="127" t="s">
        <v>91</v>
      </c>
      <c r="K327" s="128" t="s">
        <v>4</v>
      </c>
      <c r="L327" s="128" t="s">
        <v>5</v>
      </c>
      <c r="M327" s="129" t="s">
        <v>81</v>
      </c>
      <c r="N327" s="129" t="s">
        <v>7</v>
      </c>
    </row>
    <row r="328" spans="1:14" x14ac:dyDescent="0.35">
      <c r="A328" s="186">
        <f>SUM(C329:C330)/C337</f>
        <v>0.58833804290680614</v>
      </c>
      <c r="B328" s="130" t="s">
        <v>8</v>
      </c>
      <c r="C328" s="131"/>
      <c r="D328" s="132"/>
      <c r="E328" s="133"/>
      <c r="F328" s="133"/>
      <c r="J328" t="s">
        <v>82</v>
      </c>
      <c r="K328" s="220">
        <f>C337</f>
        <v>365567.783</v>
      </c>
      <c r="L328" s="220">
        <f>D337</f>
        <v>6294.6446552792886</v>
      </c>
    </row>
    <row r="329" spans="1:14" x14ac:dyDescent="0.35">
      <c r="A329" s="186"/>
      <c r="B329" s="134" t="s">
        <v>10</v>
      </c>
      <c r="C329" s="131">
        <v>200472.33</v>
      </c>
      <c r="D329" s="132">
        <f>C329/$L324</f>
        <v>3451.8963082856944</v>
      </c>
      <c r="E329" s="133"/>
      <c r="F329" s="133"/>
      <c r="J329" t="s">
        <v>11</v>
      </c>
      <c r="K329" s="234">
        <f>C338</f>
        <v>45129.3</v>
      </c>
      <c r="L329" s="220">
        <f>K329/L324</f>
        <v>777.07314553343895</v>
      </c>
    </row>
    <row r="330" spans="1:14" x14ac:dyDescent="0.35">
      <c r="A330" s="186"/>
      <c r="B330" s="134" t="s">
        <v>12</v>
      </c>
      <c r="C330" s="131">
        <v>14605.103999999999</v>
      </c>
      <c r="D330" s="132">
        <f>C330/$L324</f>
        <v>251.48260899510984</v>
      </c>
      <c r="E330" s="133"/>
      <c r="F330" s="133"/>
      <c r="J330" s="140" t="s">
        <v>13</v>
      </c>
      <c r="K330" s="141">
        <f>K328+K329</f>
        <v>410697.08299999998</v>
      </c>
      <c r="L330" s="141">
        <f>L328+L329</f>
        <v>7071.7178008127275</v>
      </c>
      <c r="M330" s="142">
        <f>K330/K333</f>
        <v>4.7307878426896695</v>
      </c>
      <c r="N330" s="142">
        <f>L330/L333</f>
        <v>4.7380376553144954</v>
      </c>
    </row>
    <row r="331" spans="1:14" x14ac:dyDescent="0.35">
      <c r="A331" s="186">
        <f>SUM(C332:C333)/C337</f>
        <v>9.4052256787628352E-2</v>
      </c>
      <c r="B331" s="130" t="s">
        <v>16</v>
      </c>
      <c r="C331" s="131"/>
      <c r="D331" s="132"/>
      <c r="E331" s="133"/>
      <c r="F331" s="133"/>
      <c r="J331" s="135" t="s">
        <v>15</v>
      </c>
      <c r="K331" s="132">
        <f>C340</f>
        <v>21353.659</v>
      </c>
      <c r="L331" s="132">
        <f>D340</f>
        <v>367.68474068462012</v>
      </c>
      <c r="M331" s="143"/>
      <c r="N331" s="143"/>
    </row>
    <row r="332" spans="1:14" x14ac:dyDescent="0.35">
      <c r="A332" s="186"/>
      <c r="B332" s="134" t="s">
        <v>10</v>
      </c>
      <c r="C332" s="131"/>
      <c r="D332" s="132">
        <f>C332/$L324</f>
        <v>0</v>
      </c>
      <c r="E332" s="133"/>
      <c r="F332" s="133"/>
      <c r="J332" s="140" t="s">
        <v>17</v>
      </c>
      <c r="K332" s="141">
        <f>K330-K331</f>
        <v>389343.424</v>
      </c>
      <c r="L332" s="141">
        <f>L330-L331</f>
        <v>6704.0330601281075</v>
      </c>
      <c r="M332" s="142">
        <f>K332/K333</f>
        <v>4.4848167009999669</v>
      </c>
      <c r="N332" s="142">
        <f>L332/L333</f>
        <v>4.4916895690760903</v>
      </c>
    </row>
    <row r="333" spans="1:14" x14ac:dyDescent="0.35">
      <c r="A333" s="186"/>
      <c r="B333" s="134" t="s">
        <v>12</v>
      </c>
      <c r="C333" s="131">
        <v>34382.474999999999</v>
      </c>
      <c r="D333" s="132">
        <f>C333/$L324</f>
        <v>592.02553550520008</v>
      </c>
      <c r="E333" s="133"/>
      <c r="F333" s="133"/>
      <c r="J333" s="135" t="s">
        <v>18</v>
      </c>
      <c r="K333" s="148">
        <f>C344</f>
        <v>86813.676000000007</v>
      </c>
      <c r="L333" s="148">
        <f>D344</f>
        <v>1492.5414940256169</v>
      </c>
      <c r="M333" s="135"/>
      <c r="N333" s="135"/>
    </row>
    <row r="334" spans="1:14" x14ac:dyDescent="0.35">
      <c r="A334" s="186"/>
      <c r="B334" s="136" t="s">
        <v>19</v>
      </c>
      <c r="C334" s="137">
        <f>+C329+C330+C332+C333</f>
        <v>249459.90899999999</v>
      </c>
      <c r="D334" s="137">
        <f>+D329+D330+D332+D333</f>
        <v>4295.4044527860042</v>
      </c>
      <c r="E334" s="138"/>
      <c r="F334" s="139"/>
    </row>
    <row r="335" spans="1:14" ht="15" thickBot="1" x14ac:dyDescent="0.4">
      <c r="A335" s="186">
        <f>SUM(C335:C336)/C337</f>
        <v>0.31760970030556551</v>
      </c>
      <c r="B335" s="135" t="s">
        <v>20</v>
      </c>
      <c r="C335" s="131">
        <v>8175.643</v>
      </c>
      <c r="D335" s="132">
        <f>C335/$L324</f>
        <v>140.77489840898133</v>
      </c>
      <c r="E335" s="138"/>
      <c r="F335" s="139"/>
    </row>
    <row r="336" spans="1:14" x14ac:dyDescent="0.35">
      <c r="B336" s="135" t="s">
        <v>46</v>
      </c>
      <c r="C336" s="131">
        <v>107932.231</v>
      </c>
      <c r="D336" s="132">
        <f>C336/$L324</f>
        <v>1858.4653040843034</v>
      </c>
      <c r="E336" s="138"/>
      <c r="F336" s="139"/>
      <c r="J336" s="256" t="s">
        <v>83</v>
      </c>
      <c r="K336" s="257"/>
    </row>
    <row r="337" spans="2:11" x14ac:dyDescent="0.35">
      <c r="B337" s="140" t="s">
        <v>24</v>
      </c>
      <c r="C337" s="141">
        <f>C334+C335+C336</f>
        <v>365567.783</v>
      </c>
      <c r="D337" s="141">
        <f>D334+D335+D336</f>
        <v>6294.6446552792886</v>
      </c>
      <c r="E337" s="142"/>
      <c r="F337" s="142"/>
      <c r="J337" s="252" t="s">
        <v>23</v>
      </c>
      <c r="K337" s="253" t="s">
        <v>92</v>
      </c>
    </row>
    <row r="338" spans="2:11" ht="15" thickBot="1" x14ac:dyDescent="0.4">
      <c r="B338" s="135" t="s">
        <v>11</v>
      </c>
      <c r="C338" s="132">
        <f>Model!AP$119</f>
        <v>45129.3</v>
      </c>
      <c r="D338" s="132">
        <f>C338/$L324</f>
        <v>777.07314553343895</v>
      </c>
      <c r="E338" s="146"/>
      <c r="F338" s="146"/>
      <c r="J338" s="254" t="s">
        <v>25</v>
      </c>
      <c r="K338" s="255" t="s">
        <v>93</v>
      </c>
    </row>
    <row r="339" spans="2:11" x14ac:dyDescent="0.35">
      <c r="B339" s="140" t="s">
        <v>26</v>
      </c>
      <c r="C339" s="241">
        <f>C337+C338</f>
        <v>410697.08299999998</v>
      </c>
      <c r="D339" s="241">
        <f>D337+D338</f>
        <v>7071.7178008127275</v>
      </c>
      <c r="E339" s="142">
        <f>C339/C344</f>
        <v>4.7307878426896695</v>
      </c>
      <c r="F339" s="142">
        <f>D339/D344</f>
        <v>4.7380376553144954</v>
      </c>
    </row>
    <row r="340" spans="2:11" x14ac:dyDescent="0.35">
      <c r="B340" s="135" t="s">
        <v>15</v>
      </c>
      <c r="C340" s="132">
        <f>Model!AP$122</f>
        <v>21353.659</v>
      </c>
      <c r="D340" s="132">
        <f>C340/$L324</f>
        <v>367.68474068462012</v>
      </c>
      <c r="E340" s="143"/>
      <c r="F340" s="143"/>
    </row>
    <row r="341" spans="2:11" x14ac:dyDescent="0.35">
      <c r="B341" s="140" t="s">
        <v>17</v>
      </c>
      <c r="C341" s="141">
        <f>C339-C340</f>
        <v>389343.424</v>
      </c>
      <c r="D341" s="141">
        <f>D339-D340</f>
        <v>6704.0330601281075</v>
      </c>
      <c r="E341" s="142">
        <f>C341/C344</f>
        <v>4.4848167009999669</v>
      </c>
      <c r="F341" s="142">
        <f>D341/D344</f>
        <v>4.4916895690760903</v>
      </c>
      <c r="H341" s="220"/>
      <c r="J341" s="220"/>
    </row>
    <row r="342" spans="2:11" x14ac:dyDescent="0.35">
      <c r="B342" s="136" t="s">
        <v>27</v>
      </c>
      <c r="C342" s="144">
        <f>Model!AP$127</f>
        <v>167779.22899999999</v>
      </c>
      <c r="D342" s="132">
        <f>C342/$L324</f>
        <v>2888.9597940629519</v>
      </c>
      <c r="E342" s="146"/>
      <c r="F342" s="135"/>
    </row>
    <row r="343" spans="2:11" x14ac:dyDescent="0.35">
      <c r="B343" s="136" t="s">
        <v>28</v>
      </c>
      <c r="C343" s="147">
        <f>C341+C342</f>
        <v>557122.65299999993</v>
      </c>
      <c r="D343" s="132">
        <f>C343/$L324</f>
        <v>9592.9928541910595</v>
      </c>
      <c r="E343" s="146"/>
      <c r="F343" s="135"/>
    </row>
    <row r="344" spans="2:11" x14ac:dyDescent="0.35">
      <c r="B344" s="135" t="s">
        <v>18</v>
      </c>
      <c r="C344" s="148">
        <f>Model!AP$87</f>
        <v>86813.676000000007</v>
      </c>
      <c r="D344" s="132">
        <f>C344/$L325</f>
        <v>1492.5414940256169</v>
      </c>
      <c r="E344" s="135"/>
      <c r="F344" s="135"/>
      <c r="H344" s="246"/>
    </row>
    <row r="345" spans="2:11" x14ac:dyDescent="0.35">
      <c r="B345" s="149" t="s">
        <v>29</v>
      </c>
      <c r="C345" s="207">
        <f>C339-Model!AP$120</f>
        <v>0</v>
      </c>
    </row>
    <row r="347" spans="2:11" x14ac:dyDescent="0.35">
      <c r="B347" s="159" t="s">
        <v>94</v>
      </c>
      <c r="C347" s="160" t="s">
        <v>4</v>
      </c>
      <c r="D347" s="160" t="s">
        <v>5</v>
      </c>
      <c r="E347" s="179"/>
      <c r="F347" s="179"/>
    </row>
    <row r="348" spans="2:11" x14ac:dyDescent="0.35">
      <c r="B348" s="161" t="s">
        <v>35</v>
      </c>
      <c r="C348" s="162"/>
      <c r="D348" s="162"/>
      <c r="E348" s="180"/>
      <c r="F348" s="180"/>
    </row>
    <row r="349" spans="2:11" x14ac:dyDescent="0.35">
      <c r="B349" s="166" t="s">
        <v>10</v>
      </c>
      <c r="C349" s="233">
        <v>85788.32</v>
      </c>
      <c r="D349" s="219">
        <f>C349/$L324</f>
        <v>1477.1733590467663</v>
      </c>
      <c r="E349" s="181"/>
      <c r="F349" s="181"/>
    </row>
    <row r="350" spans="2:11" x14ac:dyDescent="0.35">
      <c r="B350" s="166" t="s">
        <v>12</v>
      </c>
      <c r="C350" s="167">
        <f>+D350*$L324</f>
        <v>6635.7637600000007</v>
      </c>
      <c r="D350" s="162">
        <v>114.26</v>
      </c>
      <c r="E350" s="180"/>
      <c r="F350" s="180"/>
    </row>
    <row r="351" spans="2:11" x14ac:dyDescent="0.35">
      <c r="B351" s="161" t="s">
        <v>36</v>
      </c>
      <c r="C351" s="162"/>
      <c r="D351" s="162"/>
      <c r="E351" s="180"/>
      <c r="F351" s="180"/>
    </row>
    <row r="352" spans="2:11" x14ac:dyDescent="0.35">
      <c r="B352" s="166" t="s">
        <v>10</v>
      </c>
      <c r="C352" s="162">
        <v>3000</v>
      </c>
      <c r="D352" s="219">
        <f>C352/$L324</f>
        <v>51.656450168744406</v>
      </c>
      <c r="E352" s="181"/>
      <c r="F352" s="181"/>
    </row>
    <row r="353" spans="2:6" x14ac:dyDescent="0.35">
      <c r="B353" s="161" t="s">
        <v>15</v>
      </c>
      <c r="C353" s="163">
        <f>+C340</f>
        <v>21353.659</v>
      </c>
      <c r="D353" s="219">
        <f>C353/$L324</f>
        <v>367.68474068462012</v>
      </c>
      <c r="E353" s="182"/>
      <c r="F353" s="182"/>
    </row>
    <row r="354" spans="2:6" x14ac:dyDescent="0.35">
      <c r="B354" s="164" t="s">
        <v>37</v>
      </c>
      <c r="C354" s="165">
        <f>+C349+C350+C352+C353</f>
        <v>116777.74276000001</v>
      </c>
      <c r="D354" s="165">
        <f>+D349+D350+D352+D353</f>
        <v>2010.7745499001308</v>
      </c>
      <c r="E354" s="183"/>
      <c r="F354" s="183"/>
    </row>
    <row r="357" spans="2:6" x14ac:dyDescent="0.35">
      <c r="B357" s="431" t="s">
        <v>95</v>
      </c>
      <c r="C357" s="431"/>
      <c r="D357" s="431"/>
      <c r="E357" s="248"/>
      <c r="F357" s="248"/>
    </row>
    <row r="358" spans="2:6" x14ac:dyDescent="0.35">
      <c r="B358" s="432"/>
      <c r="C358" s="150" t="s">
        <v>86</v>
      </c>
      <c r="D358" s="151" t="s">
        <v>87</v>
      </c>
      <c r="E358" s="248"/>
      <c r="F358" s="248"/>
    </row>
    <row r="359" spans="2:6" x14ac:dyDescent="0.35">
      <c r="B359" s="152">
        <v>2025</v>
      </c>
      <c r="C359" s="153">
        <v>9383.3919999999998</v>
      </c>
      <c r="D359" s="154">
        <f>C359/$L324</f>
        <v>161.57090708726497</v>
      </c>
      <c r="E359" s="154"/>
      <c r="F359" s="154"/>
    </row>
    <row r="360" spans="2:6" x14ac:dyDescent="0.35">
      <c r="B360" s="152">
        <v>2026</v>
      </c>
      <c r="C360" s="153">
        <v>22238.308000000001</v>
      </c>
      <c r="D360" s="154">
        <f>C360/$L324</f>
        <v>382.91734967973002</v>
      </c>
      <c r="E360" s="154"/>
      <c r="F360" s="154"/>
    </row>
    <row r="361" spans="2:6" x14ac:dyDescent="0.35">
      <c r="B361" s="152">
        <v>2027</v>
      </c>
      <c r="C361" s="153">
        <v>23117.984</v>
      </c>
      <c r="D361" s="154">
        <f>C361/$L324</f>
        <v>398.06432949927682</v>
      </c>
      <c r="E361" s="154"/>
      <c r="F361" s="154"/>
    </row>
    <row r="362" spans="2:6" x14ac:dyDescent="0.35">
      <c r="B362" s="152">
        <v>2028</v>
      </c>
      <c r="C362" s="153">
        <v>22672</v>
      </c>
      <c r="D362" s="154">
        <f>C362/$L324</f>
        <v>390.38501274192436</v>
      </c>
      <c r="E362" s="154"/>
      <c r="F362" s="154"/>
    </row>
    <row r="363" spans="2:6" x14ac:dyDescent="0.35">
      <c r="B363" s="152" t="s">
        <v>67</v>
      </c>
      <c r="C363" s="153">
        <v>165818</v>
      </c>
      <c r="D363" s="154">
        <f>C363/$L324</f>
        <v>2855.1897513602867</v>
      </c>
      <c r="E363" s="154"/>
      <c r="F363" s="154"/>
    </row>
    <row r="364" spans="2:6" x14ac:dyDescent="0.35">
      <c r="B364" s="155" t="s">
        <v>40</v>
      </c>
      <c r="C364" s="156">
        <f>+SUM(C359:C362)</f>
        <v>77411.684000000008</v>
      </c>
      <c r="D364" s="156">
        <f>+SUM(D359:D362)</f>
        <v>1332.9375990081962</v>
      </c>
      <c r="E364" s="156"/>
      <c r="F364" s="156"/>
    </row>
    <row r="365" spans="2:6" x14ac:dyDescent="0.35">
      <c r="B365" s="152" t="s">
        <v>41</v>
      </c>
      <c r="C365" s="221">
        <f>C366-C364</f>
        <v>172048.22499999998</v>
      </c>
      <c r="D365" s="154">
        <f>C365/$L324</f>
        <v>2962.466853777808</v>
      </c>
      <c r="E365" s="154"/>
      <c r="F365" s="154"/>
    </row>
    <row r="366" spans="2:6" x14ac:dyDescent="0.35">
      <c r="B366" s="155" t="s">
        <v>42</v>
      </c>
      <c r="C366" s="156">
        <f>C334</f>
        <v>249459.90899999999</v>
      </c>
      <c r="D366" s="156">
        <f>+D364+D365</f>
        <v>4295.4044527860042</v>
      </c>
      <c r="E366" s="156"/>
      <c r="F366" s="156"/>
    </row>
    <row r="367" spans="2:6" x14ac:dyDescent="0.35">
      <c r="B367" s="149" t="s">
        <v>43</v>
      </c>
      <c r="C367" s="169">
        <f>+C366-C334</f>
        <v>0</v>
      </c>
    </row>
    <row r="369" spans="1:14" x14ac:dyDescent="0.35">
      <c r="A369" s="122" t="s">
        <v>96</v>
      </c>
      <c r="K369" s="123" t="s">
        <v>97</v>
      </c>
      <c r="L369" s="124">
        <f>Model!AO$201</f>
        <v>55.98</v>
      </c>
    </row>
    <row r="370" spans="1:14" ht="39.5" x14ac:dyDescent="0.35">
      <c r="K370" s="125" t="s">
        <v>98</v>
      </c>
      <c r="L370" s="124">
        <f>Model!AO$200</f>
        <v>57.186</v>
      </c>
    </row>
    <row r="372" spans="1:14" x14ac:dyDescent="0.35">
      <c r="B372" s="127" t="s">
        <v>99</v>
      </c>
      <c r="C372" s="128" t="s">
        <v>4</v>
      </c>
      <c r="D372" s="128" t="s">
        <v>5</v>
      </c>
      <c r="E372" s="129" t="s">
        <v>81</v>
      </c>
      <c r="F372" s="129" t="s">
        <v>7</v>
      </c>
      <c r="J372" s="127" t="s">
        <v>99</v>
      </c>
      <c r="K372" s="128" t="s">
        <v>4</v>
      </c>
      <c r="L372" s="128" t="s">
        <v>5</v>
      </c>
      <c r="M372" s="129" t="s">
        <v>81</v>
      </c>
      <c r="N372" s="129" t="s">
        <v>7</v>
      </c>
    </row>
    <row r="373" spans="1:14" x14ac:dyDescent="0.35">
      <c r="A373" s="186">
        <f>SUM(C374:C375)/C382</f>
        <v>0.5857037808285005</v>
      </c>
      <c r="B373" s="130" t="s">
        <v>8</v>
      </c>
      <c r="C373" s="131"/>
      <c r="D373" s="132"/>
      <c r="E373" s="133"/>
      <c r="F373" s="133"/>
      <c r="J373" t="s">
        <v>82</v>
      </c>
      <c r="K373" s="220">
        <f>C382</f>
        <v>354554.74900000001</v>
      </c>
      <c r="L373" s="220">
        <f>D382</f>
        <v>6333.5968024294398</v>
      </c>
    </row>
    <row r="374" spans="1:14" x14ac:dyDescent="0.35">
      <c r="A374" s="186"/>
      <c r="B374" s="134" t="s">
        <v>10</v>
      </c>
      <c r="C374" s="131">
        <v>193528.13699999999</v>
      </c>
      <c r="D374" s="132">
        <f>C374/$L$369</f>
        <v>3457.0942658092176</v>
      </c>
      <c r="E374" s="133"/>
      <c r="F374" s="133"/>
      <c r="J374" t="s">
        <v>11</v>
      </c>
      <c r="K374" s="234">
        <f>C383</f>
        <v>45888.5</v>
      </c>
      <c r="L374" s="220">
        <f>K374/L369</f>
        <v>819.73026080743125</v>
      </c>
    </row>
    <row r="375" spans="1:14" x14ac:dyDescent="0.35">
      <c r="A375" s="186"/>
      <c r="B375" s="134" t="s">
        <v>12</v>
      </c>
      <c r="C375" s="131">
        <v>14135.92</v>
      </c>
      <c r="D375" s="132">
        <f>C375/$L$369</f>
        <v>252.51732761700609</v>
      </c>
      <c r="E375" s="133"/>
      <c r="F375" s="133"/>
      <c r="J375" s="140" t="s">
        <v>13</v>
      </c>
      <c r="K375" s="141">
        <f>K373+K374</f>
        <v>400443.24900000001</v>
      </c>
      <c r="L375" s="141">
        <f>L373+L374</f>
        <v>7153.3270632368713</v>
      </c>
      <c r="M375" s="142">
        <f>K375/K378</f>
        <v>4.6783505197998503</v>
      </c>
      <c r="N375" s="142">
        <f>L375/L378</f>
        <v>4.7791381354997196</v>
      </c>
    </row>
    <row r="376" spans="1:14" x14ac:dyDescent="0.35">
      <c r="A376" s="186">
        <f>SUM(C377:C378)/C382</f>
        <v>9.3845464188099206E-2</v>
      </c>
      <c r="B376" s="130" t="s">
        <v>16</v>
      </c>
      <c r="C376" s="131"/>
      <c r="D376" s="132"/>
      <c r="E376" s="133"/>
      <c r="F376" s="133"/>
      <c r="J376" s="135" t="s">
        <v>15</v>
      </c>
      <c r="K376" s="132">
        <f>C385</f>
        <v>22256.024000000001</v>
      </c>
      <c r="L376" s="132">
        <f>D385</f>
        <v>397.57098963915689</v>
      </c>
      <c r="M376" s="143"/>
      <c r="N376" s="143"/>
    </row>
    <row r="377" spans="1:14" x14ac:dyDescent="0.35">
      <c r="A377" s="186"/>
      <c r="B377" s="134" t="s">
        <v>10</v>
      </c>
      <c r="C377" s="131"/>
      <c r="D377" s="132">
        <f>C377/$L$369</f>
        <v>0</v>
      </c>
      <c r="E377" s="133"/>
      <c r="F377" s="133"/>
      <c r="J377" s="140" t="s">
        <v>17</v>
      </c>
      <c r="K377" s="141">
        <f>K375-K376</f>
        <v>378187.22500000003</v>
      </c>
      <c r="L377" s="141">
        <f>L375-L376</f>
        <v>6755.756073597714</v>
      </c>
      <c r="M377" s="142">
        <f>K377/K378</f>
        <v>4.4183349452856255</v>
      </c>
      <c r="N377" s="142">
        <f>L377/L378</f>
        <v>4.5135209392837403</v>
      </c>
    </row>
    <row r="378" spans="1:14" x14ac:dyDescent="0.35">
      <c r="A378" s="186"/>
      <c r="B378" s="134" t="s">
        <v>12</v>
      </c>
      <c r="C378" s="131">
        <v>33273.355000000003</v>
      </c>
      <c r="D378" s="132">
        <f>C378/$L$369</f>
        <v>594.37933190425156</v>
      </c>
      <c r="E378" s="133"/>
      <c r="F378" s="133"/>
      <c r="J378" s="135" t="s">
        <v>18</v>
      </c>
      <c r="K378" s="148">
        <f>C389</f>
        <v>85594.964999999997</v>
      </c>
      <c r="L378" s="148">
        <f>D389</f>
        <v>1496.7818172279929</v>
      </c>
      <c r="M378" s="135"/>
      <c r="N378" s="135"/>
    </row>
    <row r="379" spans="1:14" x14ac:dyDescent="0.35">
      <c r="A379" s="186"/>
      <c r="B379" s="136" t="s">
        <v>19</v>
      </c>
      <c r="C379" s="137">
        <f>+C374+C375+C377+C378</f>
        <v>240937.41200000001</v>
      </c>
      <c r="D379" s="137">
        <f>+D374+D375+D377+D378</f>
        <v>4303.9909253304759</v>
      </c>
      <c r="E379" s="138"/>
      <c r="F379" s="139"/>
    </row>
    <row r="380" spans="1:14" x14ac:dyDescent="0.35">
      <c r="A380" s="186">
        <f>SUM(C380:C381)/C382</f>
        <v>0.32045075498340031</v>
      </c>
      <c r="B380" s="135" t="s">
        <v>20</v>
      </c>
      <c r="C380" s="131">
        <v>7201.6790000000001</v>
      </c>
      <c r="D380" s="132">
        <f>C380/$L$369</f>
        <v>128.64735619864237</v>
      </c>
      <c r="E380" s="138"/>
      <c r="F380" s="139"/>
    </row>
    <row r="381" spans="1:14" x14ac:dyDescent="0.35">
      <c r="B381" s="135" t="s">
        <v>46</v>
      </c>
      <c r="C381" s="131">
        <v>106415.658</v>
      </c>
      <c r="D381" s="132">
        <f>C381/$L$369</f>
        <v>1900.9585209003217</v>
      </c>
      <c r="E381" s="138"/>
      <c r="F381" s="139"/>
    </row>
    <row r="382" spans="1:14" x14ac:dyDescent="0.35">
      <c r="B382" s="140" t="s">
        <v>24</v>
      </c>
      <c r="C382" s="141">
        <f>C379+C380+C381</f>
        <v>354554.74900000001</v>
      </c>
      <c r="D382" s="141">
        <f>D379+D380+D381</f>
        <v>6333.5968024294398</v>
      </c>
      <c r="E382" s="142"/>
      <c r="F382" s="142"/>
    </row>
    <row r="383" spans="1:14" x14ac:dyDescent="0.35">
      <c r="B383" s="135" t="s">
        <v>11</v>
      </c>
      <c r="C383" s="132">
        <f>Model!AO$119</f>
        <v>45888.5</v>
      </c>
      <c r="D383" s="132">
        <f>C383/$L$369</f>
        <v>819.73026080743125</v>
      </c>
      <c r="E383" s="146"/>
      <c r="F383" s="146"/>
    </row>
    <row r="384" spans="1:14" x14ac:dyDescent="0.35">
      <c r="B384" s="140" t="s">
        <v>26</v>
      </c>
      <c r="C384" s="241">
        <f>C382+C383</f>
        <v>400443.24900000001</v>
      </c>
      <c r="D384" s="241">
        <f>D382+D383</f>
        <v>7153.3270632368713</v>
      </c>
      <c r="E384" s="142">
        <f>C384/C389</f>
        <v>4.6783505197998503</v>
      </c>
      <c r="F384" s="142">
        <f>D384/D389</f>
        <v>4.7791381354997196</v>
      </c>
    </row>
    <row r="385" spans="2:8" x14ac:dyDescent="0.35">
      <c r="B385" s="135" t="s">
        <v>15</v>
      </c>
      <c r="C385" s="132">
        <f>Model!AO$122</f>
        <v>22256.024000000001</v>
      </c>
      <c r="D385" s="132">
        <f>C385/$L$369</f>
        <v>397.57098963915689</v>
      </c>
      <c r="E385" s="143"/>
      <c r="F385" s="143"/>
    </row>
    <row r="386" spans="2:8" x14ac:dyDescent="0.35">
      <c r="B386" s="140" t="s">
        <v>17</v>
      </c>
      <c r="C386" s="141">
        <f>C384-C385</f>
        <v>378187.22500000003</v>
      </c>
      <c r="D386" s="141">
        <f>D384-D385</f>
        <v>6755.756073597714</v>
      </c>
      <c r="E386" s="142">
        <f>C386/C389</f>
        <v>4.4183349452856255</v>
      </c>
      <c r="F386" s="142">
        <f>D386/D389</f>
        <v>4.5135209392837403</v>
      </c>
      <c r="H386" s="220"/>
    </row>
    <row r="387" spans="2:8" x14ac:dyDescent="0.35">
      <c r="B387" s="136" t="s">
        <v>27</v>
      </c>
      <c r="C387" s="144">
        <f>Model!AO$127</f>
        <v>169078.90100000001</v>
      </c>
      <c r="D387" s="132">
        <f>C387/$L$369</f>
        <v>3020.3447838513757</v>
      </c>
      <c r="E387" s="146"/>
      <c r="F387" s="135"/>
    </row>
    <row r="388" spans="2:8" x14ac:dyDescent="0.35">
      <c r="B388" s="136" t="s">
        <v>28</v>
      </c>
      <c r="C388" s="147">
        <f>C386+C387</f>
        <v>547266.12600000005</v>
      </c>
      <c r="D388" s="132">
        <f>C388/$L$369</f>
        <v>9776.1008574490897</v>
      </c>
      <c r="E388" s="146"/>
      <c r="F388" s="135"/>
    </row>
    <row r="389" spans="2:8" x14ac:dyDescent="0.35">
      <c r="B389" s="135" t="s">
        <v>18</v>
      </c>
      <c r="C389" s="148">
        <f>Model!AO$87</f>
        <v>85594.964999999997</v>
      </c>
      <c r="D389" s="132">
        <f>C389/$L$370</f>
        <v>1496.7818172279929</v>
      </c>
      <c r="E389" s="135"/>
      <c r="F389" s="135"/>
      <c r="H389" s="246"/>
    </row>
    <row r="390" spans="2:8" x14ac:dyDescent="0.35">
      <c r="B390" s="149" t="s">
        <v>29</v>
      </c>
      <c r="C390" s="207">
        <f>C384-Model!AO$120</f>
        <v>0</v>
      </c>
    </row>
    <row r="392" spans="2:8" x14ac:dyDescent="0.35">
      <c r="B392" s="159" t="s">
        <v>100</v>
      </c>
      <c r="C392" s="160" t="s">
        <v>4</v>
      </c>
      <c r="D392" s="160" t="s">
        <v>5</v>
      </c>
      <c r="E392" s="179"/>
      <c r="F392" s="179"/>
    </row>
    <row r="393" spans="2:8" x14ac:dyDescent="0.35">
      <c r="B393" s="161" t="s">
        <v>35</v>
      </c>
      <c r="C393" s="162"/>
      <c r="D393" s="162"/>
      <c r="E393" s="180"/>
      <c r="F393" s="180"/>
    </row>
    <row r="394" spans="2:8" x14ac:dyDescent="0.35">
      <c r="B394" s="166" t="s">
        <v>10</v>
      </c>
      <c r="C394" s="233">
        <v>84347</v>
      </c>
      <c r="D394" s="219">
        <f>C394/$L$369</f>
        <v>1506.7345480528761</v>
      </c>
      <c r="E394" s="181"/>
      <c r="F394" s="181"/>
    </row>
    <row r="395" spans="2:8" x14ac:dyDescent="0.35">
      <c r="B395" s="166" t="s">
        <v>12</v>
      </c>
      <c r="C395" s="167">
        <f>+D395*$L$369</f>
        <v>6396.2748000000001</v>
      </c>
      <c r="D395" s="162">
        <v>114.26</v>
      </c>
      <c r="E395" s="180"/>
      <c r="F395" s="180"/>
    </row>
    <row r="396" spans="2:8" x14ac:dyDescent="0.35">
      <c r="B396" s="161" t="s">
        <v>36</v>
      </c>
      <c r="C396" s="162"/>
      <c r="D396" s="162"/>
      <c r="E396" s="180"/>
      <c r="F396" s="180"/>
    </row>
    <row r="397" spans="2:8" x14ac:dyDescent="0.35">
      <c r="B397" s="166" t="s">
        <v>10</v>
      </c>
      <c r="C397" s="162">
        <v>3000</v>
      </c>
      <c r="D397" s="219">
        <f>C397/$L$369</f>
        <v>53.59056806002144</v>
      </c>
      <c r="E397" s="181"/>
      <c r="F397" s="181"/>
    </row>
    <row r="398" spans="2:8" x14ac:dyDescent="0.35">
      <c r="B398" s="161" t="s">
        <v>15</v>
      </c>
      <c r="C398" s="163">
        <f>+C385</f>
        <v>22256.024000000001</v>
      </c>
      <c r="D398" s="219">
        <f>C398/$L$369</f>
        <v>397.57098963915689</v>
      </c>
      <c r="E398" s="182"/>
      <c r="F398" s="182"/>
    </row>
    <row r="399" spans="2:8" x14ac:dyDescent="0.35">
      <c r="B399" s="164" t="s">
        <v>37</v>
      </c>
      <c r="C399" s="165">
        <f>+C394+C395+C397+C398</f>
        <v>115999.2988</v>
      </c>
      <c r="D399" s="165">
        <f>+D394+D395+D397+D398</f>
        <v>2072.1561057520544</v>
      </c>
      <c r="E399" s="183"/>
      <c r="F399" s="183"/>
    </row>
    <row r="402" spans="1:12" x14ac:dyDescent="0.35">
      <c r="B402" s="431" t="s">
        <v>101</v>
      </c>
      <c r="C402" s="431"/>
      <c r="D402" s="431"/>
      <c r="E402" s="248"/>
      <c r="F402" s="248"/>
    </row>
    <row r="403" spans="1:12" x14ac:dyDescent="0.35">
      <c r="B403" s="432"/>
      <c r="C403" s="150" t="s">
        <v>86</v>
      </c>
      <c r="D403" s="151" t="s">
        <v>87</v>
      </c>
      <c r="E403" s="248"/>
      <c r="F403" s="248"/>
    </row>
    <row r="404" spans="1:12" x14ac:dyDescent="0.35">
      <c r="B404" s="152">
        <v>2024</v>
      </c>
      <c r="C404" s="153">
        <v>12270</v>
      </c>
      <c r="D404" s="154">
        <f>C404/$L$369</f>
        <v>219.18542336548768</v>
      </c>
      <c r="E404" s="154"/>
      <c r="F404" s="154"/>
    </row>
    <row r="405" spans="1:12" x14ac:dyDescent="0.35">
      <c r="B405" s="152">
        <v>2025</v>
      </c>
      <c r="C405" s="153">
        <v>19089.264999999999</v>
      </c>
      <c r="D405" s="154">
        <f>C405/$L$369</f>
        <v>341.00151839942839</v>
      </c>
      <c r="E405" s="154"/>
      <c r="F405" s="154"/>
    </row>
    <row r="406" spans="1:12" x14ac:dyDescent="0.35">
      <c r="B406" s="152">
        <v>2026</v>
      </c>
      <c r="C406" s="153">
        <v>22236.129000000001</v>
      </c>
      <c r="D406" s="154">
        <f>C406/$L$369</f>
        <v>397.21559485530548</v>
      </c>
      <c r="E406" s="154"/>
      <c r="F406" s="154"/>
    </row>
    <row r="407" spans="1:12" x14ac:dyDescent="0.35">
      <c r="B407" s="152">
        <v>2027</v>
      </c>
      <c r="C407" s="153">
        <v>22662.905999999999</v>
      </c>
      <c r="D407" s="154">
        <f>C407/$L$369</f>
        <v>404.83933547695608</v>
      </c>
      <c r="E407" s="154"/>
      <c r="F407" s="154"/>
    </row>
    <row r="408" spans="1:12" x14ac:dyDescent="0.35">
      <c r="B408" s="152" t="s">
        <v>102</v>
      </c>
      <c r="C408" s="153">
        <v>165882.20000000001</v>
      </c>
      <c r="D408" s="154">
        <f>C408/$L$369</f>
        <v>2963.2404430153629</v>
      </c>
      <c r="E408" s="154"/>
      <c r="F408" s="154"/>
    </row>
    <row r="409" spans="1:12" x14ac:dyDescent="0.35">
      <c r="B409" s="155" t="s">
        <v>40</v>
      </c>
      <c r="C409" s="156">
        <f>+SUM(C404:C408)</f>
        <v>242140.5</v>
      </c>
      <c r="D409" s="156">
        <f>+SUM(D404:D408)</f>
        <v>4325.4823151125402</v>
      </c>
      <c r="E409" s="156"/>
      <c r="F409" s="156"/>
    </row>
    <row r="410" spans="1:12" x14ac:dyDescent="0.35">
      <c r="B410" s="152" t="s">
        <v>41</v>
      </c>
      <c r="C410" s="221">
        <f>C411-C409</f>
        <v>-1203.0879999999888</v>
      </c>
      <c r="D410" s="154">
        <f>C410/$L$369</f>
        <v>-21.491389782064825</v>
      </c>
      <c r="E410" s="154"/>
      <c r="F410" s="154"/>
    </row>
    <row r="411" spans="1:12" x14ac:dyDescent="0.35">
      <c r="B411" s="155" t="s">
        <v>42</v>
      </c>
      <c r="C411" s="156">
        <f>C379</f>
        <v>240937.41200000001</v>
      </c>
      <c r="D411" s="156">
        <f>+D409+D410</f>
        <v>4303.990925330475</v>
      </c>
      <c r="E411" s="156"/>
      <c r="F411" s="156"/>
    </row>
    <row r="412" spans="1:12" x14ac:dyDescent="0.35">
      <c r="B412" s="149" t="s">
        <v>43</v>
      </c>
      <c r="C412" s="169">
        <f>+C411-C379</f>
        <v>0</v>
      </c>
    </row>
    <row r="414" spans="1:12" x14ac:dyDescent="0.35">
      <c r="A414" s="122" t="s">
        <v>103</v>
      </c>
      <c r="K414" s="123" t="s">
        <v>104</v>
      </c>
      <c r="L414" s="124">
        <f>Model!AN$201</f>
        <v>58.48</v>
      </c>
    </row>
    <row r="415" spans="1:12" ht="39.5" x14ac:dyDescent="0.35">
      <c r="K415" s="125" t="s">
        <v>105</v>
      </c>
      <c r="L415" s="124">
        <f>Model!AN$200</f>
        <v>57.808999999999997</v>
      </c>
    </row>
    <row r="417" spans="1:14" x14ac:dyDescent="0.35">
      <c r="B417" s="127" t="s">
        <v>106</v>
      </c>
      <c r="C417" s="128" t="s">
        <v>4</v>
      </c>
      <c r="D417" s="128" t="s">
        <v>5</v>
      </c>
      <c r="E417" s="129" t="s">
        <v>81</v>
      </c>
      <c r="F417" s="129" t="s">
        <v>7</v>
      </c>
      <c r="J417" s="127" t="s">
        <v>106</v>
      </c>
      <c r="K417" s="128" t="s">
        <v>4</v>
      </c>
      <c r="L417" s="128" t="s">
        <v>5</v>
      </c>
      <c r="M417" s="129" t="s">
        <v>81</v>
      </c>
      <c r="N417" s="129" t="s">
        <v>7</v>
      </c>
    </row>
    <row r="418" spans="1:14" x14ac:dyDescent="0.35">
      <c r="A418" s="186">
        <f>SUM(C419:C420)/C427</f>
        <v>0.61254089040171678</v>
      </c>
      <c r="B418" s="130" t="s">
        <v>8</v>
      </c>
      <c r="C418" s="131"/>
      <c r="D418" s="132"/>
      <c r="E418" s="133"/>
      <c r="F418" s="133"/>
      <c r="J418" t="s">
        <v>82</v>
      </c>
      <c r="K418" s="220">
        <f>C427</f>
        <v>349180.66099999996</v>
      </c>
      <c r="L418" s="220">
        <f>D427</f>
        <v>5970.9415355677156</v>
      </c>
    </row>
    <row r="419" spans="1:14" x14ac:dyDescent="0.35">
      <c r="A419" s="186"/>
      <c r="B419" s="134" t="s">
        <v>10</v>
      </c>
      <c r="C419" s="131">
        <v>194726.08499999999</v>
      </c>
      <c r="D419" s="132">
        <f>C419/$L$414</f>
        <v>3329.7894151846785</v>
      </c>
      <c r="E419" s="133"/>
      <c r="F419" s="133"/>
      <c r="J419" t="s">
        <v>11</v>
      </c>
      <c r="K419" s="234">
        <f>C428</f>
        <v>45557.25</v>
      </c>
      <c r="L419" s="220">
        <f>K419/L414</f>
        <v>779.02274281805751</v>
      </c>
    </row>
    <row r="420" spans="1:14" x14ac:dyDescent="0.35">
      <c r="A420" s="186"/>
      <c r="B420" s="134" t="s">
        <v>12</v>
      </c>
      <c r="C420" s="131">
        <v>19161.348000000002</v>
      </c>
      <c r="D420" s="132">
        <f>C420/$L$414</f>
        <v>327.65642954856366</v>
      </c>
      <c r="E420" s="133"/>
      <c r="F420" s="133"/>
      <c r="J420" s="140" t="s">
        <v>13</v>
      </c>
      <c r="K420" s="141">
        <f>K418+K419</f>
        <v>394737.91099999996</v>
      </c>
      <c r="L420" s="141">
        <f>L418+L419</f>
        <v>6749.9642783857735</v>
      </c>
      <c r="M420" s="142">
        <f>K420/K423</f>
        <v>4.70500554498458</v>
      </c>
      <c r="N420" s="142">
        <f>L420/L423</f>
        <v>4.6510202727430503</v>
      </c>
    </row>
    <row r="421" spans="1:14" x14ac:dyDescent="0.35">
      <c r="A421" s="186">
        <f>SUM(C422:C423)/C427</f>
        <v>9.9796950095125694E-2</v>
      </c>
      <c r="B421" s="130" t="s">
        <v>16</v>
      </c>
      <c r="C421" s="131"/>
      <c r="D421" s="132"/>
      <c r="E421" s="133"/>
      <c r="F421" s="133"/>
      <c r="J421" s="135" t="s">
        <v>15</v>
      </c>
      <c r="K421" s="132">
        <f>C430</f>
        <v>18634.038</v>
      </c>
      <c r="L421" s="132">
        <f>D430</f>
        <v>318.63950068399453</v>
      </c>
      <c r="M421" s="143"/>
      <c r="N421" s="143"/>
    </row>
    <row r="422" spans="1:14" x14ac:dyDescent="0.35">
      <c r="A422" s="186"/>
      <c r="B422" s="134" t="s">
        <v>10</v>
      </c>
      <c r="C422" s="131"/>
      <c r="D422" s="132">
        <f>C422/$L$414</f>
        <v>0</v>
      </c>
      <c r="E422" s="133"/>
      <c r="F422" s="133"/>
      <c r="J422" s="140" t="s">
        <v>17</v>
      </c>
      <c r="K422" s="141">
        <f>K420-K421</f>
        <v>376103.87299999996</v>
      </c>
      <c r="L422" s="141">
        <f>L420-L421</f>
        <v>6431.3247777017787</v>
      </c>
      <c r="M422" s="142">
        <f>K422/K423</f>
        <v>4.4829005743894106</v>
      </c>
      <c r="N422" s="142">
        <f>L422/L423</f>
        <v>4.4314637364035132</v>
      </c>
    </row>
    <row r="423" spans="1:14" x14ac:dyDescent="0.35">
      <c r="A423" s="186"/>
      <c r="B423" s="134" t="s">
        <v>12</v>
      </c>
      <c r="C423" s="131">
        <v>34847.165000000001</v>
      </c>
      <c r="D423" s="132">
        <f>C423/$L$414</f>
        <v>595.88175444596448</v>
      </c>
      <c r="E423" s="133"/>
      <c r="F423" s="133"/>
      <c r="J423" s="135" t="s">
        <v>18</v>
      </c>
      <c r="K423" s="148">
        <f>C434</f>
        <v>83897.437999999995</v>
      </c>
      <c r="L423" s="148">
        <f>D434</f>
        <v>1451.2867892542683</v>
      </c>
      <c r="M423" s="135"/>
      <c r="N423" s="135"/>
    </row>
    <row r="424" spans="1:14" x14ac:dyDescent="0.35">
      <c r="A424" s="186"/>
      <c r="B424" s="136" t="s">
        <v>19</v>
      </c>
      <c r="C424" s="137">
        <f>+C419+C420+C422+C423</f>
        <v>248734.598</v>
      </c>
      <c r="D424" s="137">
        <f>+D419+D420+D422+D423</f>
        <v>4253.327599179207</v>
      </c>
      <c r="E424" s="138"/>
      <c r="F424" s="139"/>
    </row>
    <row r="425" spans="1:14" x14ac:dyDescent="0.35">
      <c r="A425" s="186">
        <f>SUM(C425:C426)/C427</f>
        <v>0.2876621595031576</v>
      </c>
      <c r="B425" s="135" t="s">
        <v>20</v>
      </c>
      <c r="C425" s="131">
        <v>6422.1610000000001</v>
      </c>
      <c r="D425" s="132">
        <f>C425/$L$414</f>
        <v>109.81807455540357</v>
      </c>
      <c r="E425" s="138"/>
      <c r="F425" s="139"/>
    </row>
    <row r="426" spans="1:14" x14ac:dyDescent="0.35">
      <c r="B426" s="135" t="s">
        <v>46</v>
      </c>
      <c r="C426" s="131">
        <v>94023.902000000002</v>
      </c>
      <c r="D426" s="132">
        <f>C426/$L$414</f>
        <v>1607.7958618331054</v>
      </c>
      <c r="E426" s="138"/>
      <c r="F426" s="139"/>
    </row>
    <row r="427" spans="1:14" x14ac:dyDescent="0.35">
      <c r="B427" s="140" t="s">
        <v>24</v>
      </c>
      <c r="C427" s="141">
        <f>C424+C425+C426</f>
        <v>349180.66099999996</v>
      </c>
      <c r="D427" s="141">
        <f>D424+D425+D426</f>
        <v>5970.9415355677156</v>
      </c>
      <c r="E427" s="142"/>
      <c r="F427" s="142"/>
    </row>
    <row r="428" spans="1:14" x14ac:dyDescent="0.35">
      <c r="B428" s="135" t="s">
        <v>11</v>
      </c>
      <c r="C428" s="132">
        <f>Model!AN$119</f>
        <v>45557.25</v>
      </c>
      <c r="D428" s="132">
        <f>C428/$L$414</f>
        <v>779.02274281805751</v>
      </c>
      <c r="E428" s="146"/>
      <c r="F428" s="146"/>
    </row>
    <row r="429" spans="1:14" x14ac:dyDescent="0.35">
      <c r="B429" s="140" t="s">
        <v>26</v>
      </c>
      <c r="C429" s="241">
        <f>C427+C428</f>
        <v>394737.91099999996</v>
      </c>
      <c r="D429" s="241">
        <f>D427+D428</f>
        <v>6749.9642783857735</v>
      </c>
      <c r="E429" s="142">
        <f>C429/C434</f>
        <v>4.70500554498458</v>
      </c>
      <c r="F429" s="142">
        <f>D429/D434</f>
        <v>4.6510202727430503</v>
      </c>
    </row>
    <row r="430" spans="1:14" x14ac:dyDescent="0.35">
      <c r="B430" s="135" t="s">
        <v>15</v>
      </c>
      <c r="C430" s="132">
        <f>Model!AN$122</f>
        <v>18634.038</v>
      </c>
      <c r="D430" s="132">
        <f>C430/$L$414</f>
        <v>318.63950068399453</v>
      </c>
      <c r="E430" s="143"/>
      <c r="F430" s="143"/>
    </row>
    <row r="431" spans="1:14" x14ac:dyDescent="0.35">
      <c r="B431" s="140" t="s">
        <v>17</v>
      </c>
      <c r="C431" s="141">
        <f>C429-C430</f>
        <v>376103.87299999996</v>
      </c>
      <c r="D431" s="141">
        <f>D429-D430</f>
        <v>6431.3247777017787</v>
      </c>
      <c r="E431" s="142">
        <f>C431/C434</f>
        <v>4.4829005743894106</v>
      </c>
      <c r="F431" s="142">
        <f>D431/D434</f>
        <v>4.4314637364035132</v>
      </c>
      <c r="H431" s="220"/>
    </row>
    <row r="432" spans="1:14" x14ac:dyDescent="0.35">
      <c r="B432" s="136" t="s">
        <v>27</v>
      </c>
      <c r="C432" s="144">
        <f>Model!AN$127</f>
        <v>166583.38399999999</v>
      </c>
      <c r="D432" s="132">
        <f t="shared" ref="D432:D433" si="3">C432/$L$414</f>
        <v>2848.5530779753763</v>
      </c>
      <c r="E432" s="146"/>
      <c r="F432" s="135"/>
    </row>
    <row r="433" spans="2:8" x14ac:dyDescent="0.35">
      <c r="B433" s="136" t="s">
        <v>28</v>
      </c>
      <c r="C433" s="147">
        <f>C431+C432</f>
        <v>542687.25699999998</v>
      </c>
      <c r="D433" s="132">
        <f t="shared" si="3"/>
        <v>9279.877855677154</v>
      </c>
      <c r="E433" s="146"/>
      <c r="F433" s="135"/>
    </row>
    <row r="434" spans="2:8" x14ac:dyDescent="0.35">
      <c r="B434" s="135" t="s">
        <v>18</v>
      </c>
      <c r="C434" s="148">
        <f>Model!AN$87</f>
        <v>83897.437999999995</v>
      </c>
      <c r="D434" s="132">
        <f>C434/$L$415</f>
        <v>1451.2867892542683</v>
      </c>
      <c r="E434" s="135"/>
      <c r="F434" s="135"/>
      <c r="H434" s="246"/>
    </row>
    <row r="435" spans="2:8" x14ac:dyDescent="0.35">
      <c r="B435" s="149" t="s">
        <v>29</v>
      </c>
      <c r="C435" s="207">
        <f>C429-Model!AN$120</f>
        <v>0</v>
      </c>
    </row>
    <row r="437" spans="2:8" x14ac:dyDescent="0.35">
      <c r="B437" s="159" t="s">
        <v>107</v>
      </c>
      <c r="C437" s="160" t="s">
        <v>4</v>
      </c>
      <c r="D437" s="160" t="s">
        <v>5</v>
      </c>
      <c r="E437" s="179"/>
      <c r="F437" s="179"/>
    </row>
    <row r="438" spans="2:8" x14ac:dyDescent="0.35">
      <c r="B438" s="161" t="s">
        <v>35</v>
      </c>
      <c r="C438" s="162"/>
      <c r="D438" s="162"/>
      <c r="E438" s="180"/>
      <c r="F438" s="180"/>
    </row>
    <row r="439" spans="2:8" x14ac:dyDescent="0.35">
      <c r="B439" s="166" t="s">
        <v>10</v>
      </c>
      <c r="C439" s="233">
        <v>72861</v>
      </c>
      <c r="D439" s="219">
        <f>C439/$L$414</f>
        <v>1245.9131326949384</v>
      </c>
      <c r="E439" s="181"/>
      <c r="F439" s="181"/>
    </row>
    <row r="440" spans="2:8" x14ac:dyDescent="0.35">
      <c r="B440" s="166" t="s">
        <v>12</v>
      </c>
      <c r="C440" s="167">
        <f>+D440*$L$414</f>
        <v>6681.9247999999998</v>
      </c>
      <c r="D440" s="162">
        <v>114.26</v>
      </c>
      <c r="E440" s="180"/>
      <c r="F440" s="180"/>
    </row>
    <row r="441" spans="2:8" x14ac:dyDescent="0.35">
      <c r="B441" s="161" t="s">
        <v>36</v>
      </c>
      <c r="C441" s="162"/>
      <c r="D441" s="162"/>
      <c r="E441" s="180"/>
      <c r="F441" s="180"/>
    </row>
    <row r="442" spans="2:8" x14ac:dyDescent="0.35">
      <c r="B442" s="166" t="s">
        <v>10</v>
      </c>
      <c r="C442" s="162">
        <v>3000</v>
      </c>
      <c r="D442" s="219">
        <f>C442/$L$414</f>
        <v>51.299589603283174</v>
      </c>
      <c r="E442" s="181"/>
      <c r="F442" s="181"/>
    </row>
    <row r="443" spans="2:8" x14ac:dyDescent="0.35">
      <c r="B443" s="161" t="s">
        <v>15</v>
      </c>
      <c r="C443" s="163">
        <f>+C430</f>
        <v>18634.038</v>
      </c>
      <c r="D443" s="219">
        <f>C443/$L$414</f>
        <v>318.63950068399453</v>
      </c>
      <c r="E443" s="182"/>
      <c r="F443" s="182"/>
    </row>
    <row r="444" spans="2:8" x14ac:dyDescent="0.35">
      <c r="B444" s="164" t="s">
        <v>37</v>
      </c>
      <c r="C444" s="165">
        <f>+C439+C440+C442+C443</f>
        <v>101176.96279999999</v>
      </c>
      <c r="D444" s="165">
        <f>+D439+D440+D442+D443</f>
        <v>1730.1122229822163</v>
      </c>
      <c r="E444" s="183"/>
      <c r="F444" s="183"/>
    </row>
    <row r="447" spans="2:8" x14ac:dyDescent="0.35">
      <c r="B447" s="431" t="s">
        <v>108</v>
      </c>
      <c r="C447" s="431"/>
      <c r="D447" s="431"/>
      <c r="E447" s="248"/>
      <c r="F447" s="248"/>
    </row>
    <row r="448" spans="2:8" x14ac:dyDescent="0.35">
      <c r="B448" s="432"/>
      <c r="C448" s="150" t="s">
        <v>86</v>
      </c>
      <c r="D448" s="151" t="s">
        <v>87</v>
      </c>
      <c r="E448" s="248"/>
      <c r="F448" s="248"/>
    </row>
    <row r="449" spans="1:14" x14ac:dyDescent="0.35">
      <c r="B449" s="152">
        <v>2024</v>
      </c>
      <c r="C449" s="153">
        <v>30775.154999999999</v>
      </c>
      <c r="D449" s="154">
        <f>C449/$L$414</f>
        <v>526.25094049247605</v>
      </c>
      <c r="E449" s="154"/>
      <c r="F449" s="154"/>
    </row>
    <row r="450" spans="1:14" x14ac:dyDescent="0.35">
      <c r="B450" s="152">
        <v>2025</v>
      </c>
      <c r="C450" s="153">
        <v>19114.949000000001</v>
      </c>
      <c r="D450" s="154">
        <f>C450/$L$414</f>
        <v>326.86301299589604</v>
      </c>
      <c r="E450" s="154"/>
      <c r="F450" s="154"/>
    </row>
    <row r="451" spans="1:14" x14ac:dyDescent="0.35">
      <c r="B451" s="152">
        <v>2026</v>
      </c>
      <c r="C451" s="153">
        <v>22170.685000000001</v>
      </c>
      <c r="D451" s="154">
        <f>C451/$L$414</f>
        <v>379.11568057455543</v>
      </c>
      <c r="E451" s="154"/>
      <c r="F451" s="154"/>
    </row>
    <row r="452" spans="1:14" x14ac:dyDescent="0.35">
      <c r="B452" s="152">
        <v>2027</v>
      </c>
      <c r="C452" s="153">
        <v>23230.84</v>
      </c>
      <c r="D452" s="154">
        <f>C452/$L$414</f>
        <v>397.24418604651163</v>
      </c>
      <c r="E452" s="154"/>
      <c r="F452" s="154"/>
    </row>
    <row r="453" spans="1:14" x14ac:dyDescent="0.35">
      <c r="B453" s="152" t="s">
        <v>102</v>
      </c>
      <c r="C453" s="153">
        <v>154606.79999999999</v>
      </c>
      <c r="D453" s="154">
        <f>C453/$L$414</f>
        <v>2643.7551299589604</v>
      </c>
      <c r="E453" s="154"/>
      <c r="F453" s="154"/>
    </row>
    <row r="454" spans="1:14" x14ac:dyDescent="0.35">
      <c r="B454" s="155" t="s">
        <v>40</v>
      </c>
      <c r="C454" s="156">
        <f>+SUM(C449:C453)</f>
        <v>249898.429</v>
      </c>
      <c r="D454" s="156">
        <f>+SUM(D449:D453)</f>
        <v>4273.2289500684001</v>
      </c>
      <c r="E454" s="156"/>
      <c r="F454" s="156"/>
    </row>
    <row r="455" spans="1:14" x14ac:dyDescent="0.35">
      <c r="B455" s="152" t="s">
        <v>41</v>
      </c>
      <c r="C455" s="221">
        <f>C456-C454</f>
        <v>-1163.8310000000056</v>
      </c>
      <c r="D455" s="154">
        <f>C455/$L$414</f>
        <v>-19.901350889192983</v>
      </c>
      <c r="E455" s="154"/>
      <c r="F455" s="154"/>
    </row>
    <row r="456" spans="1:14" x14ac:dyDescent="0.35">
      <c r="B456" s="155" t="s">
        <v>42</v>
      </c>
      <c r="C456" s="156">
        <f>C424</f>
        <v>248734.598</v>
      </c>
      <c r="D456" s="156">
        <f>+D454+D455</f>
        <v>4253.327599179207</v>
      </c>
      <c r="E456" s="156"/>
      <c r="F456" s="156"/>
    </row>
    <row r="457" spans="1:14" x14ac:dyDescent="0.35">
      <c r="B457" s="149" t="s">
        <v>43</v>
      </c>
      <c r="C457" s="169">
        <f>+C456-C424</f>
        <v>0</v>
      </c>
    </row>
    <row r="459" spans="1:14" x14ac:dyDescent="0.35">
      <c r="A459" s="122" t="s">
        <v>109</v>
      </c>
      <c r="K459" s="123" t="s">
        <v>110</v>
      </c>
      <c r="L459" s="124">
        <f>Model!AM$201</f>
        <v>56.16</v>
      </c>
    </row>
    <row r="460" spans="1:14" ht="39.5" x14ac:dyDescent="0.35">
      <c r="K460" s="125" t="s">
        <v>111</v>
      </c>
      <c r="L460" s="124">
        <f>Model!AM$200</f>
        <v>55.957000000000001</v>
      </c>
    </row>
    <row r="462" spans="1:14" x14ac:dyDescent="0.35">
      <c r="B462" s="127" t="s">
        <v>112</v>
      </c>
      <c r="C462" s="128" t="s">
        <v>4</v>
      </c>
      <c r="D462" s="128" t="s">
        <v>5</v>
      </c>
      <c r="E462" s="129" t="s">
        <v>81</v>
      </c>
      <c r="F462" s="129" t="s">
        <v>7</v>
      </c>
      <c r="J462" s="127" t="s">
        <v>112</v>
      </c>
      <c r="K462" s="128" t="s">
        <v>4</v>
      </c>
      <c r="L462" s="128" t="s">
        <v>5</v>
      </c>
      <c r="M462" s="129" t="s">
        <v>81</v>
      </c>
      <c r="N462" s="129" t="s">
        <v>7</v>
      </c>
    </row>
    <row r="463" spans="1:14" x14ac:dyDescent="0.35">
      <c r="A463" s="186">
        <f>SUM(C464:C465)/C472</f>
        <v>0.62375836034749255</v>
      </c>
      <c r="B463" s="130" t="s">
        <v>8</v>
      </c>
      <c r="C463" s="131"/>
      <c r="D463" s="132"/>
      <c r="E463" s="133"/>
      <c r="F463" s="133"/>
      <c r="J463" t="s">
        <v>82</v>
      </c>
      <c r="K463" s="220">
        <f>C472</f>
        <v>342024.95799999998</v>
      </c>
      <c r="L463" s="220">
        <f>D472</f>
        <v>6175.0732649671409</v>
      </c>
    </row>
    <row r="464" spans="1:14" x14ac:dyDescent="0.35">
      <c r="A464" s="186"/>
      <c r="B464" s="134" t="s">
        <v>10</v>
      </c>
      <c r="C464" s="131">
        <v>194971.66500000001</v>
      </c>
      <c r="D464" s="132">
        <f>C464/$L$504</f>
        <v>3520.106611540406</v>
      </c>
      <c r="E464" s="133"/>
      <c r="F464" s="133"/>
      <c r="J464" t="s">
        <v>11</v>
      </c>
      <c r="K464" s="234">
        <f>C473</f>
        <v>45349.61</v>
      </c>
      <c r="L464" s="220">
        <f>K464/L459</f>
        <v>807.50730056980058</v>
      </c>
    </row>
    <row r="465" spans="1:14" x14ac:dyDescent="0.35">
      <c r="A465" s="186"/>
      <c r="B465" s="134" t="s">
        <v>12</v>
      </c>
      <c r="C465" s="131">
        <v>18369.261999999999</v>
      </c>
      <c r="D465" s="132">
        <f>C465/$L$504</f>
        <v>331.64696324113527</v>
      </c>
      <c r="E465" s="133"/>
      <c r="F465" s="133"/>
      <c r="J465" s="140" t="s">
        <v>13</v>
      </c>
      <c r="K465" s="141">
        <f>K463+K464</f>
        <v>387374.56799999997</v>
      </c>
      <c r="L465" s="141">
        <f>L463+L464</f>
        <v>6982.5805655369413</v>
      </c>
      <c r="M465" s="142">
        <f>K465/K468</f>
        <v>4.7097533724181799</v>
      </c>
      <c r="N465" s="142">
        <f>L465/L468</f>
        <v>4.7582048589464465</v>
      </c>
    </row>
    <row r="466" spans="1:14" x14ac:dyDescent="0.35">
      <c r="A466" s="186">
        <f>SUM(C467:C468)/C472</f>
        <v>9.7646093417545279E-2</v>
      </c>
      <c r="B466" s="130" t="s">
        <v>16</v>
      </c>
      <c r="C466" s="131"/>
      <c r="D466" s="132"/>
      <c r="E466" s="133"/>
      <c r="F466" s="133"/>
      <c r="J466" s="135" t="s">
        <v>15</v>
      </c>
      <c r="K466" s="132">
        <f>C475</f>
        <v>16979.334999999999</v>
      </c>
      <c r="L466" s="132">
        <f>D475</f>
        <v>306.55259261933992</v>
      </c>
      <c r="M466" s="143"/>
      <c r="N466" s="143"/>
    </row>
    <row r="467" spans="1:14" x14ac:dyDescent="0.35">
      <c r="A467" s="186"/>
      <c r="B467" s="134" t="s">
        <v>10</v>
      </c>
      <c r="C467" s="131"/>
      <c r="D467" s="132">
        <f t="shared" ref="D467:D468" si="4">C467/$L$504</f>
        <v>0</v>
      </c>
      <c r="E467" s="133"/>
      <c r="F467" s="133"/>
      <c r="J467" s="140" t="s">
        <v>17</v>
      </c>
      <c r="K467" s="141">
        <f>K465-K466</f>
        <v>370395.23299999995</v>
      </c>
      <c r="L467" s="141">
        <f>L465-L466</f>
        <v>6676.0279729176018</v>
      </c>
      <c r="M467" s="142">
        <f>K467/K468</f>
        <v>4.5033162779787013</v>
      </c>
      <c r="N467" s="142">
        <f>L467/L468</f>
        <v>4.5493078727916147</v>
      </c>
    </row>
    <row r="468" spans="1:14" x14ac:dyDescent="0.35">
      <c r="A468" s="186"/>
      <c r="B468" s="134" t="s">
        <v>12</v>
      </c>
      <c r="C468" s="131">
        <v>33397.400999999998</v>
      </c>
      <c r="D468" s="132">
        <f t="shared" si="4"/>
        <v>602.97178089116778</v>
      </c>
      <c r="E468" s="133"/>
      <c r="F468" s="133"/>
      <c r="J468" s="135" t="s">
        <v>18</v>
      </c>
      <c r="K468" s="148">
        <f>C479</f>
        <v>82249.437999999995</v>
      </c>
      <c r="L468" s="148">
        <f>D479</f>
        <v>1467.4821224664572</v>
      </c>
      <c r="M468" s="135"/>
      <c r="N468" s="135"/>
    </row>
    <row r="469" spans="1:14" x14ac:dyDescent="0.35">
      <c r="A469" s="186"/>
      <c r="B469" s="136" t="s">
        <v>19</v>
      </c>
      <c r="C469" s="137">
        <f>+C464+C465+C467+C468</f>
        <v>246738.32799999998</v>
      </c>
      <c r="D469" s="137">
        <f>+D464+D465+D467+D468</f>
        <v>4454.7253556727092</v>
      </c>
      <c r="E469" s="138"/>
      <c r="F469" s="139"/>
    </row>
    <row r="470" spans="1:14" x14ac:dyDescent="0.35">
      <c r="A470" s="186">
        <f>SUM(C470:C471)/C472</f>
        <v>0.27859554623496219</v>
      </c>
      <c r="B470" s="135" t="s">
        <v>20</v>
      </c>
      <c r="C470" s="131">
        <v>6244.4089999999997</v>
      </c>
      <c r="D470" s="132">
        <f t="shared" ref="D470:D471" si="5">C470/$L$504</f>
        <v>112.73938398208998</v>
      </c>
      <c r="E470" s="138"/>
      <c r="F470" s="139"/>
    </row>
    <row r="471" spans="1:14" x14ac:dyDescent="0.35">
      <c r="B471" s="135" t="s">
        <v>46</v>
      </c>
      <c r="C471" s="131">
        <v>89042.221000000005</v>
      </c>
      <c r="D471" s="132">
        <f t="shared" si="5"/>
        <v>1607.6085253123422</v>
      </c>
      <c r="E471" s="138"/>
      <c r="F471" s="139"/>
    </row>
    <row r="472" spans="1:14" x14ac:dyDescent="0.35">
      <c r="B472" s="140" t="s">
        <v>24</v>
      </c>
      <c r="C472" s="141">
        <f>C469+C470+C471</f>
        <v>342024.95799999998</v>
      </c>
      <c r="D472" s="141">
        <f>D469+D470+D471</f>
        <v>6175.0732649671409</v>
      </c>
      <c r="E472" s="142"/>
      <c r="F472" s="142"/>
    </row>
    <row r="473" spans="1:14" x14ac:dyDescent="0.35">
      <c r="B473" s="135" t="s">
        <v>11</v>
      </c>
      <c r="C473" s="132">
        <f>Model!AM$119</f>
        <v>45349.61</v>
      </c>
      <c r="D473" s="132">
        <f>C473/$L$504</f>
        <v>818.7623672997762</v>
      </c>
      <c r="E473" s="146"/>
      <c r="F473" s="146"/>
    </row>
    <row r="474" spans="1:14" x14ac:dyDescent="0.35">
      <c r="B474" s="140" t="s">
        <v>26</v>
      </c>
      <c r="C474" s="241">
        <f>C472+C473</f>
        <v>387374.56799999997</v>
      </c>
      <c r="D474" s="241">
        <f>D472+D473</f>
        <v>6993.8356322669169</v>
      </c>
      <c r="E474" s="142">
        <f>C474/C479</f>
        <v>4.7097533724181799</v>
      </c>
      <c r="F474" s="142">
        <f>D474/D479</f>
        <v>4.7658745038148007</v>
      </c>
    </row>
    <row r="475" spans="1:14" x14ac:dyDescent="0.35">
      <c r="B475" s="135" t="s">
        <v>15</v>
      </c>
      <c r="C475" s="132">
        <f>Model!AM$122</f>
        <v>16979.334999999999</v>
      </c>
      <c r="D475" s="132">
        <f>C475/$L$504</f>
        <v>306.55259261933992</v>
      </c>
      <c r="E475" s="143"/>
      <c r="F475" s="143"/>
    </row>
    <row r="476" spans="1:14" x14ac:dyDescent="0.35">
      <c r="B476" s="140" t="s">
        <v>17</v>
      </c>
      <c r="C476" s="141">
        <f>C474-C475</f>
        <v>370395.23299999995</v>
      </c>
      <c r="D476" s="141">
        <f>D474-D475</f>
        <v>6687.2830396475774</v>
      </c>
      <c r="E476" s="142">
        <f>C476/C479</f>
        <v>4.5033162779787013</v>
      </c>
      <c r="F476" s="142">
        <f>D476/D479</f>
        <v>4.5569775176599681</v>
      </c>
      <c r="H476" s="220"/>
    </row>
    <row r="477" spans="1:14" x14ac:dyDescent="0.35">
      <c r="B477" s="136" t="s">
        <v>27</v>
      </c>
      <c r="C477" s="144">
        <f>Model!AM$127</f>
        <v>162351.671</v>
      </c>
      <c r="D477" s="145"/>
      <c r="E477" s="146"/>
      <c r="F477" s="135"/>
    </row>
    <row r="478" spans="1:14" x14ac:dyDescent="0.35">
      <c r="B478" s="136" t="s">
        <v>28</v>
      </c>
      <c r="C478" s="147">
        <f>C476+C477</f>
        <v>532746.90399999998</v>
      </c>
      <c r="D478" s="147"/>
      <c r="E478" s="146"/>
      <c r="F478" s="135"/>
    </row>
    <row r="479" spans="1:14" x14ac:dyDescent="0.35">
      <c r="B479" s="135" t="s">
        <v>18</v>
      </c>
      <c r="C479" s="148">
        <f>Model!AM$87</f>
        <v>82249.437999999995</v>
      </c>
      <c r="D479" s="132">
        <f>C479/$L$505</f>
        <v>1467.4821224664572</v>
      </c>
      <c r="E479" s="135"/>
      <c r="F479" s="135"/>
      <c r="H479" s="246"/>
    </row>
    <row r="480" spans="1:14" x14ac:dyDescent="0.35">
      <c r="B480" s="149" t="s">
        <v>29</v>
      </c>
      <c r="C480" s="207">
        <f>C474-Model!AM$120</f>
        <v>0</v>
      </c>
    </row>
    <row r="482" spans="2:6" x14ac:dyDescent="0.35">
      <c r="B482" s="159" t="s">
        <v>113</v>
      </c>
      <c r="C482" s="160" t="s">
        <v>4</v>
      </c>
      <c r="D482" s="160" t="s">
        <v>5</v>
      </c>
      <c r="E482" s="179"/>
      <c r="F482" s="179"/>
    </row>
    <row r="483" spans="2:6" x14ac:dyDescent="0.35">
      <c r="B483" s="161" t="s">
        <v>35</v>
      </c>
      <c r="C483" s="162"/>
      <c r="D483" s="162"/>
      <c r="E483" s="180"/>
      <c r="F483" s="180"/>
    </row>
    <row r="484" spans="2:6" x14ac:dyDescent="0.35">
      <c r="B484" s="166" t="s">
        <v>10</v>
      </c>
      <c r="C484" s="233">
        <v>69120</v>
      </c>
      <c r="D484" s="219">
        <f>C484/$L$504</f>
        <v>1247.9237379937892</v>
      </c>
      <c r="E484" s="181"/>
      <c r="F484" s="181"/>
    </row>
    <row r="485" spans="2:6" x14ac:dyDescent="0.35">
      <c r="B485" s="166" t="s">
        <v>12</v>
      </c>
      <c r="C485" s="167">
        <f>+D485*$L$504</f>
        <v>6328.6328800000001</v>
      </c>
      <c r="D485" s="162">
        <v>114.26</v>
      </c>
      <c r="E485" s="180"/>
      <c r="F485" s="180"/>
    </row>
    <row r="486" spans="2:6" x14ac:dyDescent="0.35">
      <c r="B486" s="161" t="s">
        <v>36</v>
      </c>
      <c r="C486" s="162"/>
      <c r="D486" s="162"/>
      <c r="E486" s="180"/>
      <c r="F486" s="180"/>
    </row>
    <row r="487" spans="2:6" x14ac:dyDescent="0.35">
      <c r="B487" s="166" t="s">
        <v>10</v>
      </c>
      <c r="C487" s="162">
        <v>3000</v>
      </c>
      <c r="D487" s="219">
        <f t="shared" ref="D487:D488" si="6">C487/$L$504</f>
        <v>54.163356683758217</v>
      </c>
      <c r="E487" s="181"/>
      <c r="F487" s="181"/>
    </row>
    <row r="488" spans="2:6" x14ac:dyDescent="0.35">
      <c r="B488" s="161" t="s">
        <v>15</v>
      </c>
      <c r="C488" s="163">
        <f>+C475</f>
        <v>16979.334999999999</v>
      </c>
      <c r="D488" s="219">
        <f t="shared" si="6"/>
        <v>306.55259261933992</v>
      </c>
      <c r="E488" s="182"/>
      <c r="F488" s="182"/>
    </row>
    <row r="489" spans="2:6" x14ac:dyDescent="0.35">
      <c r="B489" s="164" t="s">
        <v>37</v>
      </c>
      <c r="C489" s="165">
        <f>+C484+C485+C487+C488</f>
        <v>95427.967880000011</v>
      </c>
      <c r="D489" s="165">
        <f>+D484+D485+D487+D488</f>
        <v>1722.8996872968874</v>
      </c>
      <c r="E489" s="183"/>
      <c r="F489" s="183"/>
    </row>
    <row r="492" spans="2:6" x14ac:dyDescent="0.35">
      <c r="B492" s="431" t="s">
        <v>114</v>
      </c>
      <c r="C492" s="431"/>
      <c r="D492" s="431"/>
      <c r="E492" s="248"/>
      <c r="F492" s="248"/>
    </row>
    <row r="493" spans="2:6" x14ac:dyDescent="0.35">
      <c r="B493" s="432"/>
      <c r="C493" s="150" t="s">
        <v>86</v>
      </c>
      <c r="D493" s="151" t="s">
        <v>87</v>
      </c>
      <c r="E493" s="248"/>
      <c r="F493" s="248"/>
    </row>
    <row r="494" spans="2:6" x14ac:dyDescent="0.35">
      <c r="B494" s="152">
        <v>2024</v>
      </c>
      <c r="C494" s="153">
        <v>32865.813999999998</v>
      </c>
      <c r="D494" s="154">
        <f t="shared" ref="D494:D498" si="7">C494/$L$504</f>
        <v>593.37426879468478</v>
      </c>
      <c r="E494" s="154"/>
      <c r="F494" s="154"/>
    </row>
    <row r="495" spans="2:6" x14ac:dyDescent="0.35">
      <c r="B495" s="152">
        <v>2025</v>
      </c>
      <c r="C495" s="153">
        <v>19091.629000000001</v>
      </c>
      <c r="D495" s="154">
        <f t="shared" si="7"/>
        <v>344.68890373366077</v>
      </c>
      <c r="E495" s="154"/>
      <c r="F495" s="154"/>
    </row>
    <row r="496" spans="2:6" x14ac:dyDescent="0.35">
      <c r="B496" s="152">
        <v>2026</v>
      </c>
      <c r="C496" s="153">
        <v>22166.548999999999</v>
      </c>
      <c r="D496" s="154">
        <f t="shared" si="7"/>
        <v>400.20489997833465</v>
      </c>
      <c r="E496" s="154"/>
      <c r="F496" s="154"/>
    </row>
    <row r="497" spans="1:14" x14ac:dyDescent="0.35">
      <c r="B497" s="152">
        <v>2028</v>
      </c>
      <c r="C497" s="153">
        <v>22651.602999999999</v>
      </c>
      <c r="D497" s="154">
        <f t="shared" si="7"/>
        <v>408.96228424929586</v>
      </c>
      <c r="E497" s="154"/>
      <c r="F497" s="154"/>
    </row>
    <row r="498" spans="1:14" x14ac:dyDescent="0.35">
      <c r="B498" s="152" t="s">
        <v>102</v>
      </c>
      <c r="C498" s="153">
        <v>151168</v>
      </c>
      <c r="D498" s="154">
        <f t="shared" si="7"/>
        <v>2729.2554343901206</v>
      </c>
      <c r="E498" s="154"/>
      <c r="F498" s="154"/>
    </row>
    <row r="499" spans="1:14" x14ac:dyDescent="0.35">
      <c r="B499" s="155" t="s">
        <v>40</v>
      </c>
      <c r="C499" s="156">
        <f>+SUM(C494:C498)</f>
        <v>247943.595</v>
      </c>
      <c r="D499" s="156">
        <f>+SUM(D494:D498)</f>
        <v>4476.4857911460967</v>
      </c>
      <c r="E499" s="156"/>
      <c r="F499" s="156"/>
    </row>
    <row r="500" spans="1:14" x14ac:dyDescent="0.35">
      <c r="B500" s="152" t="s">
        <v>41</v>
      </c>
      <c r="C500" s="221">
        <f>C501-C499</f>
        <v>-1205.2670000000217</v>
      </c>
      <c r="D500" s="154">
        <f t="shared" ref="D500" si="8">C500/$L$504</f>
        <v>-21.760435473388128</v>
      </c>
      <c r="E500" s="154"/>
      <c r="F500" s="154"/>
    </row>
    <row r="501" spans="1:14" x14ac:dyDescent="0.35">
      <c r="B501" s="155" t="s">
        <v>42</v>
      </c>
      <c r="C501" s="156">
        <f>C469</f>
        <v>246738.32799999998</v>
      </c>
      <c r="D501" s="156">
        <f>+D499+D500</f>
        <v>4454.7253556727082</v>
      </c>
      <c r="E501" s="156"/>
      <c r="F501" s="156"/>
    </row>
    <row r="502" spans="1:14" x14ac:dyDescent="0.35">
      <c r="B502" s="149" t="s">
        <v>43</v>
      </c>
      <c r="C502" s="169">
        <f>+C501-C469</f>
        <v>0</v>
      </c>
    </row>
    <row r="504" spans="1:14" x14ac:dyDescent="0.35">
      <c r="A504" s="122" t="s">
        <v>115</v>
      </c>
      <c r="K504" s="123" t="s">
        <v>116</v>
      </c>
      <c r="L504" s="124">
        <f>Model!AL$201</f>
        <v>55.387999999999998</v>
      </c>
    </row>
    <row r="505" spans="1:14" ht="39.5" x14ac:dyDescent="0.35">
      <c r="K505" s="125" t="s">
        <v>117</v>
      </c>
      <c r="L505" s="124">
        <f>Model!AL$200</f>
        <v>56.048000000000002</v>
      </c>
    </row>
    <row r="507" spans="1:14" x14ac:dyDescent="0.35">
      <c r="B507" s="127" t="s">
        <v>118</v>
      </c>
      <c r="C507" s="128" t="s">
        <v>4</v>
      </c>
      <c r="D507" s="128" t="s">
        <v>5</v>
      </c>
      <c r="E507" s="129" t="s">
        <v>81</v>
      </c>
      <c r="F507" s="129" t="s">
        <v>7</v>
      </c>
      <c r="J507" s="127" t="s">
        <v>118</v>
      </c>
      <c r="K507" s="128" t="s">
        <v>4</v>
      </c>
      <c r="L507" s="128" t="s">
        <v>5</v>
      </c>
      <c r="M507" s="129" t="s">
        <v>81</v>
      </c>
      <c r="N507" s="129" t="s">
        <v>7</v>
      </c>
    </row>
    <row r="508" spans="1:14" x14ac:dyDescent="0.35">
      <c r="A508" s="186">
        <f>SUM(C509:C510)/C517</f>
        <v>0.64094030740535113</v>
      </c>
      <c r="B508" s="130" t="s">
        <v>8</v>
      </c>
      <c r="C508" s="131"/>
      <c r="D508" s="132"/>
      <c r="E508" s="133"/>
      <c r="F508" s="133"/>
      <c r="J508" t="s">
        <v>82</v>
      </c>
      <c r="K508" s="220">
        <f>C517</f>
        <v>338680.05099999998</v>
      </c>
      <c r="L508" s="220">
        <f>D517</f>
        <v>6114.6828013288077</v>
      </c>
    </row>
    <row r="509" spans="1:14" x14ac:dyDescent="0.35">
      <c r="A509" s="186"/>
      <c r="B509" s="134" t="s">
        <v>10</v>
      </c>
      <c r="C509" s="131">
        <v>198821.74</v>
      </c>
      <c r="D509" s="132">
        <f>C509/$L$504</f>
        <v>3589.6176067018127</v>
      </c>
      <c r="E509" s="133"/>
      <c r="F509" s="133"/>
      <c r="J509" t="s">
        <v>11</v>
      </c>
      <c r="K509" s="234">
        <f>C518</f>
        <v>44296.59</v>
      </c>
      <c r="L509" s="220">
        <f>K509/L504</f>
        <v>799.75066801473236</v>
      </c>
    </row>
    <row r="510" spans="1:14" x14ac:dyDescent="0.35">
      <c r="A510" s="186"/>
      <c r="B510" s="134" t="s">
        <v>12</v>
      </c>
      <c r="C510" s="131">
        <v>18251.955999999998</v>
      </c>
      <c r="D510" s="132">
        <f>C510/$L$504</f>
        <v>329.52906766808695</v>
      </c>
      <c r="E510" s="133"/>
      <c r="F510" s="133"/>
      <c r="J510" s="140" t="s">
        <v>13</v>
      </c>
      <c r="K510" s="141">
        <f>K508+K509</f>
        <v>382976.64099999995</v>
      </c>
      <c r="L510" s="141">
        <f>L508+L509</f>
        <v>6914.4334693435403</v>
      </c>
      <c r="M510" s="142">
        <f>K510/K513</f>
        <v>4.7033273440645651</v>
      </c>
      <c r="N510" s="142">
        <f>L510/L513</f>
        <v>4.7593719033027151</v>
      </c>
    </row>
    <row r="511" spans="1:14" x14ac:dyDescent="0.35">
      <c r="A511" s="186">
        <f>SUM(C512:C513)/C517</f>
        <v>9.7088307690139097E-2</v>
      </c>
      <c r="B511" s="130" t="s">
        <v>16</v>
      </c>
      <c r="C511" s="131"/>
      <c r="D511" s="132"/>
      <c r="E511" s="133"/>
      <c r="F511" s="133"/>
      <c r="J511" s="135" t="s">
        <v>15</v>
      </c>
      <c r="K511" s="132">
        <f>C520</f>
        <v>16645.077000000001</v>
      </c>
      <c r="L511" s="132">
        <f>D520</f>
        <v>300.51774752654006</v>
      </c>
      <c r="M511" s="143"/>
      <c r="N511" s="143"/>
    </row>
    <row r="512" spans="1:14" x14ac:dyDescent="0.35">
      <c r="A512" s="186"/>
      <c r="B512" s="134" t="s">
        <v>10</v>
      </c>
      <c r="C512" s="131">
        <v>0</v>
      </c>
      <c r="D512" s="132">
        <f t="shared" ref="D512:D513" si="9">C512/$L$504</f>
        <v>0</v>
      </c>
      <c r="E512" s="133"/>
      <c r="F512" s="133"/>
      <c r="J512" s="140" t="s">
        <v>17</v>
      </c>
      <c r="K512" s="141">
        <f>K510-K511</f>
        <v>366331.56399999995</v>
      </c>
      <c r="L512" s="141">
        <f>L510-L511</f>
        <v>6613.9157218170003</v>
      </c>
      <c r="M512" s="142">
        <f>K512/K513</f>
        <v>4.4989095352035795</v>
      </c>
      <c r="N512" s="142">
        <f>L512/L513</f>
        <v>4.5525182644090831</v>
      </c>
    </row>
    <row r="513" spans="1:14" x14ac:dyDescent="0.35">
      <c r="A513" s="186"/>
      <c r="B513" s="134" t="s">
        <v>12</v>
      </c>
      <c r="C513" s="131">
        <v>32881.873</v>
      </c>
      <c r="D513" s="132">
        <f t="shared" si="9"/>
        <v>593.66420524301293</v>
      </c>
      <c r="E513" s="133"/>
      <c r="F513" s="133"/>
      <c r="J513" s="135" t="s">
        <v>18</v>
      </c>
      <c r="K513" s="148">
        <f>C524</f>
        <v>81426.745999999999</v>
      </c>
      <c r="L513" s="148">
        <f>D524</f>
        <v>1452.8037753354267</v>
      </c>
      <c r="M513" s="135"/>
      <c r="N513" s="135"/>
    </row>
    <row r="514" spans="1:14" x14ac:dyDescent="0.35">
      <c r="A514" s="186"/>
      <c r="B514" s="136" t="s">
        <v>19</v>
      </c>
      <c r="C514" s="137">
        <f>+C509+C510+C512+C513</f>
        <v>249955.56899999999</v>
      </c>
      <c r="D514" s="137">
        <f>+D509+D510+D512+D513</f>
        <v>4512.8108796129127</v>
      </c>
      <c r="E514" s="138"/>
      <c r="F514" s="139"/>
    </row>
    <row r="515" spans="1:14" x14ac:dyDescent="0.35">
      <c r="A515" s="186">
        <f>SUM(C515:C516)/C517</f>
        <v>0.26197138490450977</v>
      </c>
      <c r="B515" s="135" t="s">
        <v>20</v>
      </c>
      <c r="C515" s="131">
        <f>5899.426</f>
        <v>5899.4260000000004</v>
      </c>
      <c r="D515" s="132">
        <f t="shared" ref="D515:D516" si="10">C515/$L$504</f>
        <v>106.51090488914568</v>
      </c>
      <c r="E515" s="138"/>
      <c r="F515" s="139"/>
    </row>
    <row r="516" spans="1:14" x14ac:dyDescent="0.35">
      <c r="B516" s="135" t="s">
        <v>46</v>
      </c>
      <c r="C516" s="131">
        <f>82825.056</f>
        <v>82825.055999999997</v>
      </c>
      <c r="D516" s="132">
        <f t="shared" si="10"/>
        <v>1495.3610168267494</v>
      </c>
      <c r="E516" s="138"/>
      <c r="F516" s="139"/>
    </row>
    <row r="517" spans="1:14" x14ac:dyDescent="0.35">
      <c r="B517" s="140" t="s">
        <v>24</v>
      </c>
      <c r="C517" s="141">
        <f>C514+C515+C516</f>
        <v>338680.05099999998</v>
      </c>
      <c r="D517" s="141">
        <f>D514+D515+D516</f>
        <v>6114.6828013288077</v>
      </c>
      <c r="E517" s="142"/>
      <c r="F517" s="142"/>
    </row>
    <row r="518" spans="1:14" x14ac:dyDescent="0.35">
      <c r="B518" s="135" t="s">
        <v>11</v>
      </c>
      <c r="C518" s="131">
        <f>Model!AL$119</f>
        <v>44296.59</v>
      </c>
      <c r="D518" s="132">
        <f>C518/$L$504</f>
        <v>799.75066801473236</v>
      </c>
      <c r="E518" s="146"/>
      <c r="F518" s="146"/>
    </row>
    <row r="519" spans="1:14" x14ac:dyDescent="0.35">
      <c r="B519" s="140" t="s">
        <v>26</v>
      </c>
      <c r="C519" s="241">
        <f>C517+C518</f>
        <v>382976.64099999995</v>
      </c>
      <c r="D519" s="241">
        <f>D517+D518</f>
        <v>6914.4334693435403</v>
      </c>
      <c r="E519" s="142">
        <f>C519/C524</f>
        <v>4.7033273440645651</v>
      </c>
      <c r="F519" s="142">
        <f>D519/D524</f>
        <v>4.7593719033027151</v>
      </c>
    </row>
    <row r="520" spans="1:14" x14ac:dyDescent="0.35">
      <c r="B520" s="135" t="s">
        <v>15</v>
      </c>
      <c r="C520" s="132">
        <f>Model!AL$122</f>
        <v>16645.077000000001</v>
      </c>
      <c r="D520" s="132">
        <f>C520/$L$504</f>
        <v>300.51774752654006</v>
      </c>
      <c r="E520" s="143"/>
      <c r="F520" s="143"/>
    </row>
    <row r="521" spans="1:14" x14ac:dyDescent="0.35">
      <c r="B521" s="140" t="s">
        <v>17</v>
      </c>
      <c r="C521" s="141">
        <f>C519-C520</f>
        <v>366331.56399999995</v>
      </c>
      <c r="D521" s="141">
        <f>D519-D520</f>
        <v>6613.9157218170003</v>
      </c>
      <c r="E521" s="142">
        <f>C521/C524</f>
        <v>4.4989095352035795</v>
      </c>
      <c r="F521" s="142">
        <f>D521/D524</f>
        <v>4.5525182644090831</v>
      </c>
      <c r="H521" s="220"/>
    </row>
    <row r="522" spans="1:14" x14ac:dyDescent="0.35">
      <c r="B522" s="136" t="s">
        <v>27</v>
      </c>
      <c r="C522" s="144">
        <f>Model!AL$127</f>
        <v>159926.73800000001</v>
      </c>
      <c r="D522" s="145"/>
      <c r="E522" s="146"/>
      <c r="F522" s="135"/>
    </row>
    <row r="523" spans="1:14" x14ac:dyDescent="0.35">
      <c r="B523" s="136" t="s">
        <v>28</v>
      </c>
      <c r="C523" s="147">
        <f>C521+C522</f>
        <v>526258.30199999991</v>
      </c>
      <c r="D523" s="147"/>
      <c r="E523" s="146"/>
      <c r="F523" s="135"/>
    </row>
    <row r="524" spans="1:14" x14ac:dyDescent="0.35">
      <c r="B524" s="135" t="s">
        <v>18</v>
      </c>
      <c r="C524" s="148">
        <f>Model!AL$87</f>
        <v>81426.745999999999</v>
      </c>
      <c r="D524" s="132">
        <f>C524/$L$505</f>
        <v>1452.8037753354267</v>
      </c>
      <c r="E524" s="135"/>
      <c r="F524" s="135"/>
      <c r="H524" s="246"/>
    </row>
    <row r="525" spans="1:14" x14ac:dyDescent="0.35">
      <c r="B525" s="149" t="s">
        <v>29</v>
      </c>
      <c r="C525" s="207">
        <f>C519-Model!AL$120</f>
        <v>0</v>
      </c>
    </row>
    <row r="527" spans="1:14" x14ac:dyDescent="0.35">
      <c r="B527" s="159" t="s">
        <v>119</v>
      </c>
      <c r="C527" s="160" t="s">
        <v>4</v>
      </c>
      <c r="D527" s="160" t="s">
        <v>5</v>
      </c>
      <c r="E527" s="179"/>
      <c r="F527" s="179"/>
    </row>
    <row r="528" spans="1:14" x14ac:dyDescent="0.35">
      <c r="B528" s="161" t="s">
        <v>35</v>
      </c>
      <c r="C528" s="162"/>
      <c r="D528" s="162"/>
      <c r="E528" s="180"/>
      <c r="F528" s="180"/>
    </row>
    <row r="529" spans="2:6" x14ac:dyDescent="0.35">
      <c r="B529" s="166" t="s">
        <v>10</v>
      </c>
      <c r="C529" s="233">
        <v>71379.839999999997</v>
      </c>
      <c r="D529" s="219">
        <f>C529/$L$504</f>
        <v>1288.7239113165306</v>
      </c>
      <c r="E529" s="181"/>
      <c r="F529" s="181"/>
    </row>
    <row r="530" spans="2:6" x14ac:dyDescent="0.35">
      <c r="B530" s="166" t="s">
        <v>12</v>
      </c>
      <c r="C530" s="167">
        <f>+D530*$L$504</f>
        <v>6328.6328800000001</v>
      </c>
      <c r="D530" s="162">
        <v>114.26</v>
      </c>
      <c r="E530" s="180"/>
      <c r="F530" s="180"/>
    </row>
    <row r="531" spans="2:6" x14ac:dyDescent="0.35">
      <c r="B531" s="161" t="s">
        <v>36</v>
      </c>
      <c r="C531" s="162"/>
      <c r="D531" s="162"/>
      <c r="E531" s="180"/>
      <c r="F531" s="180"/>
    </row>
    <row r="532" spans="2:6" x14ac:dyDescent="0.35">
      <c r="B532" s="166" t="s">
        <v>10</v>
      </c>
      <c r="C532" s="162">
        <v>3000</v>
      </c>
      <c r="D532" s="219">
        <f t="shared" ref="D532:D533" si="11">C532/$L$504</f>
        <v>54.163356683758217</v>
      </c>
      <c r="E532" s="181"/>
      <c r="F532" s="181"/>
    </row>
    <row r="533" spans="2:6" x14ac:dyDescent="0.35">
      <c r="B533" s="161" t="s">
        <v>15</v>
      </c>
      <c r="C533" s="163">
        <f>+C520</f>
        <v>16645.077000000001</v>
      </c>
      <c r="D533" s="219">
        <f t="shared" si="11"/>
        <v>300.51774752654006</v>
      </c>
      <c r="E533" s="182"/>
      <c r="F533" s="182"/>
    </row>
    <row r="534" spans="2:6" x14ac:dyDescent="0.35">
      <c r="B534" s="164" t="s">
        <v>37</v>
      </c>
      <c r="C534" s="165">
        <f>+C529+C530+C532+C533</f>
        <v>97353.549880000006</v>
      </c>
      <c r="D534" s="165">
        <f>+D529+D530+D532+D533</f>
        <v>1757.6650155268287</v>
      </c>
      <c r="E534" s="183"/>
      <c r="F534" s="183"/>
    </row>
    <row r="537" spans="2:6" x14ac:dyDescent="0.35">
      <c r="B537" s="431" t="s">
        <v>120</v>
      </c>
      <c r="C537" s="431"/>
      <c r="D537" s="431"/>
      <c r="E537" s="248"/>
      <c r="F537" s="248"/>
    </row>
    <row r="538" spans="2:6" x14ac:dyDescent="0.35">
      <c r="B538" s="432"/>
      <c r="C538" s="150" t="s">
        <v>86</v>
      </c>
      <c r="D538" s="151" t="s">
        <v>87</v>
      </c>
      <c r="E538" s="248"/>
      <c r="F538" s="248"/>
    </row>
    <row r="539" spans="2:6" x14ac:dyDescent="0.35">
      <c r="B539" s="152">
        <v>2024</v>
      </c>
      <c r="C539" s="153">
        <v>36855.646000000001</v>
      </c>
      <c r="D539" s="154">
        <f t="shared" ref="D539:D543" si="12">C539/$L$504</f>
        <v>665.40850003610899</v>
      </c>
      <c r="E539" s="154"/>
      <c r="F539" s="154"/>
    </row>
    <row r="540" spans="2:6" x14ac:dyDescent="0.35">
      <c r="B540" s="152">
        <v>2025</v>
      </c>
      <c r="C540" s="153">
        <v>19083.439999999999</v>
      </c>
      <c r="D540" s="154">
        <f t="shared" si="12"/>
        <v>344.54105582436625</v>
      </c>
      <c r="E540" s="154"/>
      <c r="F540" s="154"/>
    </row>
    <row r="541" spans="2:6" x14ac:dyDescent="0.35">
      <c r="B541" s="152">
        <v>2026</v>
      </c>
      <c r="C541" s="153">
        <v>22165.096000000001</v>
      </c>
      <c r="D541" s="154">
        <f t="shared" si="12"/>
        <v>400.17866685924753</v>
      </c>
      <c r="E541" s="154"/>
      <c r="F541" s="154"/>
    </row>
    <row r="542" spans="2:6" x14ac:dyDescent="0.35">
      <c r="B542" s="152">
        <v>2028</v>
      </c>
      <c r="C542" s="153">
        <v>22448.218000000001</v>
      </c>
      <c r="D542" s="154">
        <f t="shared" si="12"/>
        <v>405.29027948292054</v>
      </c>
      <c r="E542" s="154"/>
      <c r="F542" s="154"/>
    </row>
    <row r="543" spans="2:6" x14ac:dyDescent="0.35">
      <c r="B543" s="152" t="s">
        <v>102</v>
      </c>
      <c r="C543" s="153">
        <v>150662.79999999999</v>
      </c>
      <c r="D543" s="154">
        <f t="shared" si="12"/>
        <v>2720.1343251245758</v>
      </c>
      <c r="E543" s="154"/>
      <c r="F543" s="154"/>
    </row>
    <row r="544" spans="2:6" x14ac:dyDescent="0.35">
      <c r="B544" s="155" t="s">
        <v>40</v>
      </c>
      <c r="C544" s="156">
        <f>+SUM(C539:C543)</f>
        <v>251215.19999999998</v>
      </c>
      <c r="D544" s="156">
        <f>+SUM(D539:D543)</f>
        <v>4535.5528273272193</v>
      </c>
      <c r="E544" s="156"/>
      <c r="F544" s="156"/>
    </row>
    <row r="545" spans="1:14" x14ac:dyDescent="0.35">
      <c r="B545" s="152" t="s">
        <v>41</v>
      </c>
      <c r="C545" s="221">
        <f>C546-C544</f>
        <v>-1259.6309999999939</v>
      </c>
      <c r="D545" s="154">
        <f t="shared" ref="D545" si="13">C545/$L$504</f>
        <v>-22.741947714306239</v>
      </c>
      <c r="E545" s="154"/>
      <c r="F545" s="154"/>
    </row>
    <row r="546" spans="1:14" x14ac:dyDescent="0.35">
      <c r="B546" s="155" t="s">
        <v>42</v>
      </c>
      <c r="C546" s="156">
        <f>C514</f>
        <v>249955.56899999999</v>
      </c>
      <c r="D546" s="156">
        <f>+D544+D545</f>
        <v>4512.8108796129127</v>
      </c>
      <c r="E546" s="156"/>
      <c r="F546" s="156"/>
    </row>
    <row r="547" spans="1:14" x14ac:dyDescent="0.35">
      <c r="B547" s="149" t="s">
        <v>43</v>
      </c>
      <c r="C547" s="169">
        <f>+C546-C514</f>
        <v>0</v>
      </c>
    </row>
    <row r="549" spans="1:14" x14ac:dyDescent="0.35">
      <c r="A549" s="122" t="s">
        <v>121</v>
      </c>
      <c r="K549" s="123" t="s">
        <v>122</v>
      </c>
      <c r="L549" s="124">
        <f>Model!AK$201</f>
        <v>56.69</v>
      </c>
    </row>
    <row r="550" spans="1:14" ht="39.5" x14ac:dyDescent="0.35">
      <c r="K550" s="125" t="s">
        <v>123</v>
      </c>
      <c r="L550" s="124">
        <f>Model!AK$200</f>
        <v>55.984000000000002</v>
      </c>
    </row>
    <row r="552" spans="1:14" x14ac:dyDescent="0.35">
      <c r="B552" s="127" t="s">
        <v>124</v>
      </c>
      <c r="C552" s="128" t="s">
        <v>4</v>
      </c>
      <c r="D552" s="128" t="s">
        <v>5</v>
      </c>
      <c r="E552" s="129" t="s">
        <v>81</v>
      </c>
      <c r="F552" s="129" t="s">
        <v>7</v>
      </c>
      <c r="J552" s="127" t="s">
        <v>124</v>
      </c>
      <c r="K552" s="128" t="s">
        <v>4</v>
      </c>
      <c r="L552" s="128" t="s">
        <v>5</v>
      </c>
      <c r="M552" s="129" t="s">
        <v>81</v>
      </c>
      <c r="N552" s="129" t="s">
        <v>7</v>
      </c>
    </row>
    <row r="553" spans="1:14" x14ac:dyDescent="0.35">
      <c r="A553" s="186">
        <f>SUM(C554:C555)/C562</f>
        <v>0.64408851709071691</v>
      </c>
      <c r="B553" s="130" t="s">
        <v>8</v>
      </c>
      <c r="C553" s="131"/>
      <c r="D553" s="132"/>
      <c r="E553" s="133"/>
      <c r="F553" s="133"/>
      <c r="J553" t="s">
        <v>82</v>
      </c>
      <c r="K553" s="220">
        <f>C562</f>
        <v>328933.53999999998</v>
      </c>
      <c r="L553" s="220">
        <f>D562</f>
        <v>5802.3203386840714</v>
      </c>
    </row>
    <row r="554" spans="1:14" x14ac:dyDescent="0.35">
      <c r="A554" s="186"/>
      <c r="B554" s="134" t="s">
        <v>10</v>
      </c>
      <c r="C554" s="131">
        <v>190934.82399999999</v>
      </c>
      <c r="D554" s="132">
        <f>C554/$L$549</f>
        <v>3368.0512259657789</v>
      </c>
      <c r="E554" s="133"/>
      <c r="F554" s="133"/>
      <c r="J554" t="s">
        <v>11</v>
      </c>
      <c r="K554" s="234">
        <f>C563</f>
        <v>34806.6</v>
      </c>
      <c r="L554" s="220">
        <f>K554/L549</f>
        <v>613.98130181689896</v>
      </c>
    </row>
    <row r="555" spans="1:14" x14ac:dyDescent="0.35">
      <c r="A555" s="186"/>
      <c r="B555" s="134" t="s">
        <v>12</v>
      </c>
      <c r="C555" s="131">
        <v>20927.491999999998</v>
      </c>
      <c r="D555" s="132">
        <f>C555/$L$549</f>
        <v>369.15667666255069</v>
      </c>
      <c r="E555" s="133"/>
      <c r="F555" s="133"/>
      <c r="J555" s="140" t="s">
        <v>13</v>
      </c>
      <c r="K555" s="141">
        <f>K553+K554</f>
        <v>363740.13999999996</v>
      </c>
      <c r="L555" s="141">
        <f>L553+L554</f>
        <v>6416.3016405009703</v>
      </c>
      <c r="M555" s="142">
        <f>K555/K558</f>
        <v>4.5770218842313648</v>
      </c>
      <c r="N555" s="142">
        <f>L555/L558</f>
        <v>4.5200210472183588</v>
      </c>
    </row>
    <row r="556" spans="1:14" x14ac:dyDescent="0.35">
      <c r="A556" s="186">
        <f>SUM(C557:C558)/C562</f>
        <v>0.10219861738635715</v>
      </c>
      <c r="B556" s="130" t="s">
        <v>16</v>
      </c>
      <c r="C556" s="131"/>
      <c r="D556" s="132"/>
      <c r="E556" s="133"/>
      <c r="F556" s="133"/>
      <c r="J556" s="135" t="s">
        <v>15</v>
      </c>
      <c r="K556" s="132">
        <f>C565</f>
        <v>15976.834999999999</v>
      </c>
      <c r="L556" s="132">
        <f>D565</f>
        <v>281.82810019403775</v>
      </c>
      <c r="M556" s="143"/>
      <c r="N556" s="143"/>
    </row>
    <row r="557" spans="1:14" x14ac:dyDescent="0.35">
      <c r="A557" s="186"/>
      <c r="B557" s="134" t="s">
        <v>10</v>
      </c>
      <c r="C557" s="131">
        <v>0</v>
      </c>
      <c r="D557" s="132">
        <f>C557/$L$549</f>
        <v>0</v>
      </c>
      <c r="E557" s="133"/>
      <c r="F557" s="133"/>
      <c r="J557" s="140" t="s">
        <v>17</v>
      </c>
      <c r="K557" s="141">
        <f>K555-K556</f>
        <v>347763.30499999993</v>
      </c>
      <c r="L557" s="141">
        <f>L555-L556</f>
        <v>6134.4735403069326</v>
      </c>
      <c r="M557" s="142">
        <f>K557/K558</f>
        <v>4.3759818685879059</v>
      </c>
      <c r="N557" s="142">
        <f>L557/L558</f>
        <v>4.3214847227205047</v>
      </c>
    </row>
    <row r="558" spans="1:14" x14ac:dyDescent="0.35">
      <c r="A558" s="186"/>
      <c r="B558" s="134" t="s">
        <v>12</v>
      </c>
      <c r="C558" s="131">
        <v>33616.553</v>
      </c>
      <c r="D558" s="132">
        <f>C558/$L$549</f>
        <v>592.98911624625157</v>
      </c>
      <c r="E558" s="133"/>
      <c r="F558" s="133"/>
      <c r="J558" s="135" t="s">
        <v>18</v>
      </c>
      <c r="K558" s="148">
        <f>C569</f>
        <v>79470.919999999984</v>
      </c>
      <c r="L558" s="148">
        <f>D569</f>
        <v>1419.5291511860528</v>
      </c>
      <c r="M558" s="135"/>
      <c r="N558" s="135"/>
    </row>
    <row r="559" spans="1:14" x14ac:dyDescent="0.35">
      <c r="A559" s="186"/>
      <c r="B559" s="136" t="s">
        <v>19</v>
      </c>
      <c r="C559" s="137">
        <f>+C554+C555+C557+C558</f>
        <v>245478.86900000001</v>
      </c>
      <c r="D559" s="137">
        <f>+D554+D555+D557+D558</f>
        <v>4330.1970188745809</v>
      </c>
      <c r="E559" s="138"/>
      <c r="F559" s="139"/>
    </row>
    <row r="560" spans="1:14" x14ac:dyDescent="0.35">
      <c r="A560" s="186">
        <f>SUM(C560:C561)/C562</f>
        <v>0.25371286552292599</v>
      </c>
      <c r="B560" s="135" t="s">
        <v>20</v>
      </c>
      <c r="C560" s="131">
        <v>2707.4679999999998</v>
      </c>
      <c r="D560" s="132">
        <f>C560/$L$549</f>
        <v>47.75918151349444</v>
      </c>
      <c r="E560" s="138"/>
      <c r="F560" s="139"/>
    </row>
    <row r="561" spans="2:8" x14ac:dyDescent="0.35">
      <c r="B561" s="135" t="s">
        <v>46</v>
      </c>
      <c r="C561" s="131">
        <v>80747.202999999994</v>
      </c>
      <c r="D561" s="132">
        <f>C561/$L$549</f>
        <v>1424.3641382959956</v>
      </c>
      <c r="E561" s="138"/>
      <c r="F561" s="139"/>
    </row>
    <row r="562" spans="2:8" x14ac:dyDescent="0.35">
      <c r="B562" s="140" t="s">
        <v>24</v>
      </c>
      <c r="C562" s="141">
        <f>C559+C560+C561</f>
        <v>328933.53999999998</v>
      </c>
      <c r="D562" s="141">
        <f>D559+D560+D561</f>
        <v>5802.3203386840714</v>
      </c>
      <c r="E562" s="142"/>
      <c r="F562" s="142"/>
    </row>
    <row r="563" spans="2:8" x14ac:dyDescent="0.35">
      <c r="B563" s="135" t="s">
        <v>11</v>
      </c>
      <c r="C563" s="131">
        <f>Model!AK$119</f>
        <v>34806.6</v>
      </c>
      <c r="D563" s="132">
        <f>C563/$L$549</f>
        <v>613.98130181689896</v>
      </c>
      <c r="E563" s="146"/>
      <c r="F563" s="146"/>
    </row>
    <row r="564" spans="2:8" x14ac:dyDescent="0.35">
      <c r="B564" s="140" t="s">
        <v>26</v>
      </c>
      <c r="C564" s="241">
        <f>C562+C563</f>
        <v>363740.13999999996</v>
      </c>
      <c r="D564" s="241">
        <f>D562+D563</f>
        <v>6416.3016405009703</v>
      </c>
      <c r="E564" s="142">
        <f>C564/C569</f>
        <v>4.5770218842313648</v>
      </c>
      <c r="F564" s="142">
        <f>D564/D569</f>
        <v>4.5200210472183588</v>
      </c>
    </row>
    <row r="565" spans="2:8" x14ac:dyDescent="0.35">
      <c r="B565" s="135" t="s">
        <v>15</v>
      </c>
      <c r="C565" s="132">
        <f>Model!AK$122</f>
        <v>15976.834999999999</v>
      </c>
      <c r="D565" s="132">
        <f>C565/$L$549</f>
        <v>281.82810019403775</v>
      </c>
      <c r="E565" s="143"/>
      <c r="F565" s="143"/>
    </row>
    <row r="566" spans="2:8" x14ac:dyDescent="0.35">
      <c r="B566" s="140" t="s">
        <v>17</v>
      </c>
      <c r="C566" s="141">
        <f>C564-C565</f>
        <v>347763.30499999993</v>
      </c>
      <c r="D566" s="141">
        <f>D564-D565</f>
        <v>6134.4735403069326</v>
      </c>
      <c r="E566" s="142">
        <f>C566/C569</f>
        <v>4.3759818685879059</v>
      </c>
      <c r="F566" s="142">
        <f>D566/D569</f>
        <v>4.3214847227205047</v>
      </c>
      <c r="H566" s="220"/>
    </row>
    <row r="567" spans="2:8" x14ac:dyDescent="0.35">
      <c r="B567" s="136" t="s">
        <v>27</v>
      </c>
      <c r="C567" s="144">
        <f>Model!AK$127</f>
        <v>160781.20199999999</v>
      </c>
      <c r="D567" s="145"/>
      <c r="E567" s="146"/>
      <c r="F567" s="135"/>
    </row>
    <row r="568" spans="2:8" x14ac:dyDescent="0.35">
      <c r="B568" s="136" t="s">
        <v>28</v>
      </c>
      <c r="C568" s="147">
        <f>C566+C567</f>
        <v>508544.50699999993</v>
      </c>
      <c r="D568" s="147"/>
      <c r="E568" s="146"/>
      <c r="F568" s="135"/>
    </row>
    <row r="569" spans="2:8" x14ac:dyDescent="0.35">
      <c r="B569" s="135" t="s">
        <v>18</v>
      </c>
      <c r="C569" s="148">
        <f>Model!AK$87</f>
        <v>79470.919999999984</v>
      </c>
      <c r="D569" s="132">
        <f>C569/$L$550</f>
        <v>1419.5291511860528</v>
      </c>
      <c r="E569" s="135"/>
      <c r="F569" s="135"/>
      <c r="H569" s="246"/>
    </row>
    <row r="570" spans="2:8" x14ac:dyDescent="0.35">
      <c r="B570" s="149" t="s">
        <v>29</v>
      </c>
      <c r="C570" s="207">
        <f>C564-Model!AK$120</f>
        <v>0</v>
      </c>
    </row>
    <row r="572" spans="2:8" x14ac:dyDescent="0.35">
      <c r="B572" s="159" t="s">
        <v>125</v>
      </c>
      <c r="C572" s="160" t="s">
        <v>4</v>
      </c>
      <c r="D572" s="160" t="s">
        <v>5</v>
      </c>
      <c r="E572" s="179"/>
      <c r="F572" s="179"/>
    </row>
    <row r="573" spans="2:8" x14ac:dyDescent="0.35">
      <c r="B573" s="161" t="s">
        <v>35</v>
      </c>
      <c r="C573" s="162"/>
      <c r="D573" s="162"/>
      <c r="E573" s="180"/>
      <c r="F573" s="180"/>
    </row>
    <row r="574" spans="2:8" x14ac:dyDescent="0.35">
      <c r="B574" s="166" t="s">
        <v>10</v>
      </c>
      <c r="C574" s="233">
        <v>24142.67</v>
      </c>
      <c r="D574" s="219">
        <f>C574/$L$549</f>
        <v>425.8717586875992</v>
      </c>
      <c r="E574" s="181"/>
      <c r="F574" s="181"/>
    </row>
    <row r="575" spans="2:8" x14ac:dyDescent="0.35">
      <c r="B575" s="166" t="s">
        <v>12</v>
      </c>
      <c r="C575" s="167">
        <f>+D575*$L$549</f>
        <v>6477.3994000000002</v>
      </c>
      <c r="D575" s="162">
        <v>114.26</v>
      </c>
      <c r="E575" s="180"/>
      <c r="F575" s="180"/>
    </row>
    <row r="576" spans="2:8" x14ac:dyDescent="0.35">
      <c r="B576" s="161" t="s">
        <v>36</v>
      </c>
      <c r="C576" s="162"/>
      <c r="D576" s="162"/>
      <c r="E576" s="180"/>
      <c r="F576" s="180"/>
    </row>
    <row r="577" spans="2:6" x14ac:dyDescent="0.35">
      <c r="B577" s="166" t="s">
        <v>10</v>
      </c>
      <c r="C577" s="162">
        <v>3000</v>
      </c>
      <c r="D577" s="219">
        <f>C577/$L$549</f>
        <v>52.919386135120831</v>
      </c>
      <c r="E577" s="181"/>
      <c r="F577" s="181"/>
    </row>
    <row r="578" spans="2:6" x14ac:dyDescent="0.35">
      <c r="B578" s="161" t="s">
        <v>15</v>
      </c>
      <c r="C578" s="163">
        <f>+C565</f>
        <v>15976.834999999999</v>
      </c>
      <c r="D578" s="219">
        <f>C578/$L$549</f>
        <v>281.82810019403775</v>
      </c>
      <c r="E578" s="182"/>
      <c r="F578" s="182"/>
    </row>
    <row r="579" spans="2:6" x14ac:dyDescent="0.35">
      <c r="B579" s="164" t="s">
        <v>37</v>
      </c>
      <c r="C579" s="165">
        <f>+C574+C575+C577+C578</f>
        <v>49596.904399999999</v>
      </c>
      <c r="D579" s="165">
        <f>+D574+D575+D577+D578</f>
        <v>874.87924501675775</v>
      </c>
      <c r="E579" s="183"/>
      <c r="F579" s="183"/>
    </row>
    <row r="582" spans="2:6" x14ac:dyDescent="0.35">
      <c r="B582" s="431" t="s">
        <v>126</v>
      </c>
      <c r="C582" s="431"/>
      <c r="D582" s="431"/>
      <c r="E582" s="151"/>
      <c r="F582" s="151"/>
    </row>
    <row r="583" spans="2:6" x14ac:dyDescent="0.35">
      <c r="B583" s="432"/>
      <c r="C583" s="150" t="s">
        <v>86</v>
      </c>
      <c r="D583" s="151" t="s">
        <v>87</v>
      </c>
      <c r="E583" s="151"/>
      <c r="F583" s="151"/>
    </row>
    <row r="584" spans="2:6" x14ac:dyDescent="0.35">
      <c r="B584" s="152">
        <v>2023</v>
      </c>
      <c r="C584" s="153">
        <v>49359.629000000001</v>
      </c>
      <c r="D584" s="154">
        <f>+C584/$L$549</f>
        <v>870.69375551243616</v>
      </c>
      <c r="E584" s="154"/>
      <c r="F584" s="154"/>
    </row>
    <row r="585" spans="2:6" x14ac:dyDescent="0.35">
      <c r="B585" s="152">
        <v>2024</v>
      </c>
      <c r="C585" s="153">
        <v>26667.609</v>
      </c>
      <c r="D585" s="154">
        <f>+C585/$L$549</f>
        <v>470.41116599047456</v>
      </c>
      <c r="E585" s="154"/>
      <c r="F585" s="154"/>
    </row>
    <row r="586" spans="2:6" x14ac:dyDescent="0.35">
      <c r="B586" s="152">
        <v>2025</v>
      </c>
      <c r="C586" s="153">
        <v>18656.218000000001</v>
      </c>
      <c r="D586" s="154">
        <f>+C586/$L$549</f>
        <v>329.09186805433058</v>
      </c>
      <c r="E586" s="154"/>
      <c r="F586" s="154"/>
    </row>
    <row r="587" spans="2:6" x14ac:dyDescent="0.35">
      <c r="B587" s="152">
        <v>2026</v>
      </c>
      <c r="C587" s="153">
        <v>22027.501</v>
      </c>
      <c r="D587" s="154">
        <f>+C587/$L$549</f>
        <v>388.56061033692009</v>
      </c>
      <c r="E587" s="154"/>
      <c r="F587" s="154"/>
    </row>
    <row r="588" spans="2:6" x14ac:dyDescent="0.35">
      <c r="B588" s="152" t="s">
        <v>127</v>
      </c>
      <c r="C588" s="153">
        <v>129771.223</v>
      </c>
      <c r="D588" s="154">
        <f>+C588/$L$549</f>
        <v>2289.1378197212912</v>
      </c>
      <c r="E588" s="154"/>
      <c r="F588" s="154"/>
    </row>
    <row r="589" spans="2:6" x14ac:dyDescent="0.35">
      <c r="B589" s="155" t="s">
        <v>40</v>
      </c>
      <c r="C589" s="156">
        <f>+SUM(C584:C588)</f>
        <v>246482.18</v>
      </c>
      <c r="D589" s="156">
        <f>+SUM(D584:D588)</f>
        <v>4347.8952196154523</v>
      </c>
      <c r="E589" s="156"/>
      <c r="F589" s="156"/>
    </row>
    <row r="590" spans="2:6" x14ac:dyDescent="0.35">
      <c r="B590" s="152" t="s">
        <v>41</v>
      </c>
      <c r="C590" s="221">
        <f>C591-C589</f>
        <v>-1003.310999999987</v>
      </c>
      <c r="D590" s="154">
        <f>+C590/$L$549</f>
        <v>-17.698200740871176</v>
      </c>
      <c r="E590" s="154"/>
      <c r="F590" s="154"/>
    </row>
    <row r="591" spans="2:6" x14ac:dyDescent="0.35">
      <c r="B591" s="155" t="s">
        <v>42</v>
      </c>
      <c r="C591" s="156">
        <f>C559</f>
        <v>245478.86900000001</v>
      </c>
      <c r="D591" s="156">
        <f>+D589+D590</f>
        <v>4330.1970188745809</v>
      </c>
      <c r="E591" s="156"/>
      <c r="F591" s="156"/>
    </row>
    <row r="592" spans="2:6" x14ac:dyDescent="0.35">
      <c r="B592" s="149" t="s">
        <v>43</v>
      </c>
      <c r="C592" s="169">
        <f>+C591-C559</f>
        <v>0</v>
      </c>
    </row>
    <row r="595" spans="1:14" x14ac:dyDescent="0.35">
      <c r="A595" s="122" t="s">
        <v>128</v>
      </c>
      <c r="K595" s="123" t="s">
        <v>129</v>
      </c>
      <c r="L595" s="124">
        <f>Model!AJ$201</f>
        <v>55.264000000000003</v>
      </c>
    </row>
    <row r="596" spans="1:14" ht="39.5" x14ac:dyDescent="0.35">
      <c r="K596" s="125" t="s">
        <v>130</v>
      </c>
      <c r="L596" s="124">
        <f>Model!AJ$200</f>
        <v>55.628</v>
      </c>
    </row>
    <row r="598" spans="1:14" x14ac:dyDescent="0.35">
      <c r="B598" s="127" t="s">
        <v>131</v>
      </c>
      <c r="C598" s="128" t="s">
        <v>4</v>
      </c>
      <c r="D598" s="128" t="s">
        <v>5</v>
      </c>
      <c r="E598" s="129" t="s">
        <v>81</v>
      </c>
      <c r="F598" s="129" t="s">
        <v>7</v>
      </c>
      <c r="J598" s="127" t="s">
        <v>131</v>
      </c>
      <c r="K598" s="128" t="s">
        <v>4</v>
      </c>
      <c r="L598" s="128" t="s">
        <v>5</v>
      </c>
      <c r="M598" s="129" t="s">
        <v>81</v>
      </c>
      <c r="N598" s="129" t="s">
        <v>7</v>
      </c>
    </row>
    <row r="599" spans="1:14" x14ac:dyDescent="0.35">
      <c r="A599" s="186">
        <f>SUM(C600:C601)/C608</f>
        <v>0.655625090892336</v>
      </c>
      <c r="B599" s="130" t="s">
        <v>8</v>
      </c>
      <c r="C599" s="131"/>
      <c r="D599" s="132"/>
      <c r="E599" s="133"/>
      <c r="F599" s="133"/>
      <c r="J599" t="s">
        <v>82</v>
      </c>
      <c r="K599" s="220">
        <f>C608</f>
        <v>326677.70800000004</v>
      </c>
      <c r="L599" s="220">
        <f>D608</f>
        <v>5911.2208309206717</v>
      </c>
    </row>
    <row r="600" spans="1:14" x14ac:dyDescent="0.35">
      <c r="A600" s="186"/>
      <c r="B600" s="134" t="s">
        <v>10</v>
      </c>
      <c r="C600" s="131">
        <v>193654.981</v>
      </c>
      <c r="D600" s="132">
        <f>C600/$L$595</f>
        <v>3504.1795925014476</v>
      </c>
      <c r="E600" s="133"/>
      <c r="F600" s="133"/>
      <c r="J600" t="s">
        <v>11</v>
      </c>
      <c r="K600" s="234">
        <f>C609</f>
        <v>44458.65</v>
      </c>
      <c r="L600" s="220">
        <f>K600/L595</f>
        <v>804.47759843659526</v>
      </c>
    </row>
    <row r="601" spans="1:14" x14ac:dyDescent="0.35">
      <c r="A601" s="186"/>
      <c r="B601" s="134" t="s">
        <v>12</v>
      </c>
      <c r="C601" s="131">
        <v>20523.120999999999</v>
      </c>
      <c r="D601" s="132">
        <f>C601/$L$595</f>
        <v>371.36510205558767</v>
      </c>
      <c r="E601" s="133"/>
      <c r="F601" s="133"/>
      <c r="J601" s="140" t="s">
        <v>13</v>
      </c>
      <c r="K601" s="141">
        <f>K599+K600</f>
        <v>371136.35800000007</v>
      </c>
      <c r="L601" s="141">
        <f>L599+L600</f>
        <v>6715.6984293572668</v>
      </c>
      <c r="M601" s="142">
        <f>K601/K604</f>
        <v>4.6955869703255271</v>
      </c>
      <c r="N601" s="142">
        <f>L601/L604</f>
        <v>4.7265147652227197</v>
      </c>
    </row>
    <row r="602" spans="1:14" x14ac:dyDescent="0.35">
      <c r="A602" s="186">
        <f>SUM(C603:C604)/C608</f>
        <v>0.10968105910673277</v>
      </c>
      <c r="B602" s="130" t="s">
        <v>16</v>
      </c>
      <c r="C602" s="131"/>
      <c r="D602" s="132"/>
      <c r="E602" s="133"/>
      <c r="F602" s="133"/>
      <c r="J602" s="135" t="s">
        <v>15</v>
      </c>
      <c r="K602" s="132">
        <f>C611</f>
        <v>25357.659</v>
      </c>
      <c r="L602" s="132">
        <f>D611</f>
        <v>458.84588520555872</v>
      </c>
      <c r="M602" s="143"/>
      <c r="N602" s="143"/>
    </row>
    <row r="603" spans="1:14" x14ac:dyDescent="0.35">
      <c r="A603" s="186"/>
      <c r="B603" s="134" t="s">
        <v>10</v>
      </c>
      <c r="C603" s="131">
        <v>2999.4769999999999</v>
      </c>
      <c r="D603" s="132">
        <f>C603/$L$595</f>
        <v>54.275423422119275</v>
      </c>
      <c r="E603" s="133"/>
      <c r="F603" s="133"/>
      <c r="J603" s="140" t="s">
        <v>17</v>
      </c>
      <c r="K603" s="141">
        <f>K601-K602</f>
        <v>345778.69900000008</v>
      </c>
      <c r="L603" s="141">
        <f>L601-L602</f>
        <v>6256.8525441517086</v>
      </c>
      <c r="M603" s="142">
        <f>K603/K604</f>
        <v>4.3747639341778326</v>
      </c>
      <c r="N603" s="142">
        <f>L603/L604</f>
        <v>4.4035786068768896</v>
      </c>
    </row>
    <row r="604" spans="1:14" x14ac:dyDescent="0.35">
      <c r="A604" s="186"/>
      <c r="B604" s="134" t="s">
        <v>12</v>
      </c>
      <c r="C604" s="131">
        <v>32830.879999999997</v>
      </c>
      <c r="D604" s="132">
        <f>C604/$L$595</f>
        <v>594.073537927041</v>
      </c>
      <c r="E604" s="133"/>
      <c r="F604" s="133"/>
      <c r="J604" s="135" t="s">
        <v>18</v>
      </c>
      <c r="K604" s="148">
        <f>C615</f>
        <v>79039.396000000095</v>
      </c>
      <c r="L604" s="148">
        <f>D615</f>
        <v>1420.8563313439292</v>
      </c>
      <c r="M604" s="135"/>
      <c r="N604" s="135"/>
    </row>
    <row r="605" spans="1:14" x14ac:dyDescent="0.35">
      <c r="A605" s="186"/>
      <c r="B605" s="136" t="s">
        <v>19</v>
      </c>
      <c r="C605" s="137">
        <f>+C600+C601+C603+C604</f>
        <v>250008.45900000003</v>
      </c>
      <c r="D605" s="137">
        <f>+D600+D601+D603+D604</f>
        <v>4523.8936559061958</v>
      </c>
      <c r="E605" s="138"/>
      <c r="F605" s="139"/>
    </row>
    <row r="606" spans="1:14" x14ac:dyDescent="0.35">
      <c r="A606" s="186">
        <f>SUM(C606:C607)/C608</f>
        <v>0.23469385000093121</v>
      </c>
      <c r="B606" s="135" t="s">
        <v>20</v>
      </c>
      <c r="C606" s="131">
        <v>4517.9859999999999</v>
      </c>
      <c r="D606" s="132">
        <f>C606/$L$595</f>
        <v>81.752786624203821</v>
      </c>
      <c r="E606" s="138"/>
      <c r="F606" s="139"/>
    </row>
    <row r="607" spans="1:14" x14ac:dyDescent="0.35">
      <c r="B607" s="135" t="s">
        <v>46</v>
      </c>
      <c r="C607" s="131">
        <v>72151.263000000006</v>
      </c>
      <c r="D607" s="132">
        <f>C607/$L$595</f>
        <v>1305.5743883902721</v>
      </c>
      <c r="E607" s="138"/>
      <c r="F607" s="139"/>
    </row>
    <row r="608" spans="1:14" x14ac:dyDescent="0.35">
      <c r="B608" s="140" t="s">
        <v>24</v>
      </c>
      <c r="C608" s="141">
        <f>C605+C606+C607</f>
        <v>326677.70800000004</v>
      </c>
      <c r="D608" s="141">
        <f>D605+D606+D607</f>
        <v>5911.2208309206717</v>
      </c>
      <c r="E608" s="142"/>
      <c r="F608" s="142"/>
    </row>
    <row r="609" spans="2:8" x14ac:dyDescent="0.35">
      <c r="B609" s="135" t="s">
        <v>11</v>
      </c>
      <c r="C609" s="131">
        <f>Model!AJ$119</f>
        <v>44458.65</v>
      </c>
      <c r="D609" s="132">
        <f>C609/$L$595</f>
        <v>804.47759843659526</v>
      </c>
      <c r="E609" s="146"/>
      <c r="F609" s="146"/>
    </row>
    <row r="610" spans="2:8" x14ac:dyDescent="0.35">
      <c r="B610" s="140" t="s">
        <v>26</v>
      </c>
      <c r="C610" s="241">
        <f>C608+C609</f>
        <v>371136.35800000007</v>
      </c>
      <c r="D610" s="241">
        <f>D608+D609</f>
        <v>6715.6984293572668</v>
      </c>
      <c r="E610" s="142">
        <f>C610/C615</f>
        <v>4.6955869703255271</v>
      </c>
      <c r="F610" s="142">
        <f>D610/D615</f>
        <v>4.7265147652227197</v>
      </c>
    </row>
    <row r="611" spans="2:8" x14ac:dyDescent="0.35">
      <c r="B611" s="135" t="s">
        <v>15</v>
      </c>
      <c r="C611" s="132">
        <f>Model!AJ$122</f>
        <v>25357.659</v>
      </c>
      <c r="D611" s="132">
        <f>C611/$L$595</f>
        <v>458.84588520555872</v>
      </c>
      <c r="E611" s="143"/>
      <c r="F611" s="143"/>
    </row>
    <row r="612" spans="2:8" x14ac:dyDescent="0.35">
      <c r="B612" s="140" t="s">
        <v>17</v>
      </c>
      <c r="C612" s="141">
        <f>C610-C611</f>
        <v>345778.69900000008</v>
      </c>
      <c r="D612" s="141">
        <f>D610-D611</f>
        <v>6256.8525441517086</v>
      </c>
      <c r="E612" s="142">
        <f>C612/C615</f>
        <v>4.3747639341778326</v>
      </c>
      <c r="F612" s="142">
        <f>D612/D615</f>
        <v>4.4035786068768896</v>
      </c>
      <c r="H612" s="220"/>
    </row>
    <row r="613" spans="2:8" x14ac:dyDescent="0.35">
      <c r="B613" s="136" t="s">
        <v>27</v>
      </c>
      <c r="C613" s="144">
        <f>Model!AJ$127</f>
        <v>159203.35699999999</v>
      </c>
      <c r="D613" s="145"/>
      <c r="E613" s="146"/>
      <c r="F613" s="135"/>
    </row>
    <row r="614" spans="2:8" x14ac:dyDescent="0.35">
      <c r="B614" s="136" t="s">
        <v>28</v>
      </c>
      <c r="C614" s="147">
        <f>C612+C613</f>
        <v>504982.0560000001</v>
      </c>
      <c r="D614" s="147"/>
      <c r="E614" s="146"/>
      <c r="F614" s="135"/>
    </row>
    <row r="615" spans="2:8" x14ac:dyDescent="0.35">
      <c r="B615" s="135" t="s">
        <v>18</v>
      </c>
      <c r="C615" s="148">
        <f>Model!AJ$87</f>
        <v>79039.396000000095</v>
      </c>
      <c r="D615" s="132">
        <f>C615/$L$596</f>
        <v>1420.8563313439292</v>
      </c>
      <c r="E615" s="135"/>
      <c r="F615" s="135"/>
    </row>
    <row r="616" spans="2:8" x14ac:dyDescent="0.35">
      <c r="B616" s="149" t="s">
        <v>29</v>
      </c>
      <c r="C616" s="207">
        <f>C610-Model!AJ$120</f>
        <v>0</v>
      </c>
    </row>
    <row r="618" spans="2:8" x14ac:dyDescent="0.35">
      <c r="B618" s="159" t="s">
        <v>132</v>
      </c>
      <c r="C618" s="160" t="s">
        <v>4</v>
      </c>
      <c r="D618" s="160" t="s">
        <v>5</v>
      </c>
      <c r="E618" s="179"/>
      <c r="F618" s="179"/>
    </row>
    <row r="619" spans="2:8" x14ac:dyDescent="0.35">
      <c r="B619" s="161" t="s">
        <v>35</v>
      </c>
      <c r="C619" s="162"/>
      <c r="D619" s="162"/>
      <c r="E619" s="180"/>
      <c r="F619" s="180"/>
    </row>
    <row r="620" spans="2:8" x14ac:dyDescent="0.35">
      <c r="B620" s="166" t="s">
        <v>10</v>
      </c>
      <c r="C620" s="233">
        <v>24166</v>
      </c>
      <c r="D620" s="219">
        <f>C620/$L$595</f>
        <v>437.28286045165027</v>
      </c>
      <c r="E620" s="181"/>
      <c r="F620" s="181"/>
    </row>
    <row r="621" spans="2:8" x14ac:dyDescent="0.35">
      <c r="B621" s="166" t="s">
        <v>12</v>
      </c>
      <c r="C621" s="167">
        <f>+D621*$L$595</f>
        <v>6300.0960000000005</v>
      </c>
      <c r="D621" s="162">
        <v>114</v>
      </c>
      <c r="E621" s="180"/>
      <c r="F621" s="180"/>
    </row>
    <row r="622" spans="2:8" x14ac:dyDescent="0.35">
      <c r="B622" s="161" t="s">
        <v>36</v>
      </c>
      <c r="C622" s="162"/>
      <c r="D622" s="162"/>
      <c r="E622" s="180"/>
      <c r="F622" s="180"/>
    </row>
    <row r="623" spans="2:8" x14ac:dyDescent="0.35">
      <c r="B623" s="166" t="s">
        <v>10</v>
      </c>
      <c r="C623" s="162">
        <v>3000</v>
      </c>
      <c r="D623" s="219">
        <f>C623/$L$595</f>
        <v>54.284887087434853</v>
      </c>
      <c r="E623" s="181"/>
      <c r="F623" s="181"/>
    </row>
    <row r="624" spans="2:8" x14ac:dyDescent="0.35">
      <c r="B624" s="161" t="s">
        <v>15</v>
      </c>
      <c r="C624" s="163">
        <f>+C611</f>
        <v>25357.659</v>
      </c>
      <c r="D624" s="219">
        <f>C624/$L$595</f>
        <v>458.84588520555872</v>
      </c>
      <c r="E624" s="182"/>
      <c r="F624" s="182"/>
    </row>
    <row r="625" spans="2:6" x14ac:dyDescent="0.35">
      <c r="B625" s="164" t="s">
        <v>37</v>
      </c>
      <c r="C625" s="165">
        <f>+C620+C621+C623+C624</f>
        <v>58823.755000000005</v>
      </c>
      <c r="D625" s="165">
        <f>+D620+D621+D623+D624</f>
        <v>1064.413632744644</v>
      </c>
      <c r="E625" s="183"/>
      <c r="F625" s="183"/>
    </row>
    <row r="628" spans="2:6" x14ac:dyDescent="0.35">
      <c r="B628" s="431" t="s">
        <v>133</v>
      </c>
      <c r="C628" s="431"/>
      <c r="D628" s="431"/>
      <c r="E628" s="151"/>
      <c r="F628" s="151"/>
    </row>
    <row r="629" spans="2:6" x14ac:dyDescent="0.35">
      <c r="B629" s="432"/>
      <c r="C629" s="150" t="s">
        <v>86</v>
      </c>
      <c r="D629" s="151" t="s">
        <v>87</v>
      </c>
      <c r="E629" s="151"/>
      <c r="F629" s="151"/>
    </row>
    <row r="630" spans="2:6" x14ac:dyDescent="0.35">
      <c r="B630" s="152">
        <v>2023</v>
      </c>
      <c r="C630" s="153">
        <v>63450.409</v>
      </c>
      <c r="D630" s="154">
        <f>+C630/$L$595</f>
        <v>1148.1327627388534</v>
      </c>
      <c r="E630" s="154"/>
      <c r="F630" s="154"/>
    </row>
    <row r="631" spans="2:6" x14ac:dyDescent="0.35">
      <c r="B631" s="152">
        <v>2024</v>
      </c>
      <c r="C631" s="153">
        <v>18292.672999999999</v>
      </c>
      <c r="D631" s="154">
        <f>+C631/$L$595</f>
        <v>331.00522944412273</v>
      </c>
      <c r="E631" s="154"/>
      <c r="F631" s="154"/>
    </row>
    <row r="632" spans="2:6" x14ac:dyDescent="0.35">
      <c r="B632" s="152">
        <v>2025</v>
      </c>
      <c r="C632" s="153">
        <v>18643.653999999999</v>
      </c>
      <c r="D632" s="154">
        <f>+C632/$L$595</f>
        <v>337.35621742906773</v>
      </c>
      <c r="E632" s="154"/>
      <c r="F632" s="154"/>
    </row>
    <row r="633" spans="2:6" x14ac:dyDescent="0.35">
      <c r="B633" s="152">
        <v>2026</v>
      </c>
      <c r="C633" s="153">
        <v>22025.272000000001</v>
      </c>
      <c r="D633" s="154">
        <f>+C633/$L$595</f>
        <v>398.54646786334683</v>
      </c>
      <c r="E633" s="154"/>
      <c r="F633" s="154"/>
    </row>
    <row r="634" spans="2:6" x14ac:dyDescent="0.35">
      <c r="B634" s="152" t="s">
        <v>127</v>
      </c>
      <c r="C634" s="153">
        <v>128683.94</v>
      </c>
      <c r="D634" s="154">
        <f>+C634/$L$595</f>
        <v>2328.5310509554138</v>
      </c>
      <c r="E634" s="154"/>
      <c r="F634" s="154"/>
    </row>
    <row r="635" spans="2:6" x14ac:dyDescent="0.35">
      <c r="B635" s="155" t="s">
        <v>40</v>
      </c>
      <c r="C635" s="156">
        <f>+SUM(C630:C634)</f>
        <v>251095.94799999997</v>
      </c>
      <c r="D635" s="156">
        <f>+SUM(D630:D634)</f>
        <v>4543.5717284308048</v>
      </c>
      <c r="E635" s="156"/>
      <c r="F635" s="156"/>
    </row>
    <row r="636" spans="2:6" x14ac:dyDescent="0.35">
      <c r="B636" s="152" t="s">
        <v>41</v>
      </c>
      <c r="C636" s="221">
        <f>C637-C635</f>
        <v>-1087.4889999999432</v>
      </c>
      <c r="D636" s="154">
        <f>+C636/$L$595</f>
        <v>-19.678072524608119</v>
      </c>
      <c r="E636" s="154"/>
      <c r="F636" s="154"/>
    </row>
    <row r="637" spans="2:6" x14ac:dyDescent="0.35">
      <c r="B637" s="155" t="s">
        <v>42</v>
      </c>
      <c r="C637" s="156">
        <f>C605</f>
        <v>250008.45900000003</v>
      </c>
      <c r="D637" s="156">
        <f>+D635+D636</f>
        <v>4523.8936559061967</v>
      </c>
      <c r="E637" s="156"/>
      <c r="F637" s="156"/>
    </row>
    <row r="638" spans="2:6" x14ac:dyDescent="0.35">
      <c r="B638" s="149" t="s">
        <v>43</v>
      </c>
      <c r="C638" s="169">
        <f>+C637-C605</f>
        <v>0</v>
      </c>
    </row>
    <row r="641" spans="1:14" x14ac:dyDescent="0.35">
      <c r="A641" s="122" t="s">
        <v>134</v>
      </c>
      <c r="K641" s="123" t="s">
        <v>135</v>
      </c>
      <c r="L641" s="124">
        <f>Model!AI$201</f>
        <v>54.405000000000001</v>
      </c>
    </row>
    <row r="642" spans="1:14" ht="39.5" x14ac:dyDescent="0.35">
      <c r="K642" s="125" t="s">
        <v>136</v>
      </c>
      <c r="L642" s="124">
        <f>Model!AI$200</f>
        <v>54.828000000000003</v>
      </c>
    </row>
    <row r="644" spans="1:14" x14ac:dyDescent="0.35">
      <c r="B644" s="127" t="s">
        <v>137</v>
      </c>
      <c r="C644" s="128" t="s">
        <v>4</v>
      </c>
      <c r="D644" s="128" t="s">
        <v>5</v>
      </c>
      <c r="E644" s="129" t="s">
        <v>81</v>
      </c>
      <c r="F644" s="129" t="s">
        <v>7</v>
      </c>
      <c r="J644" s="127" t="s">
        <v>137</v>
      </c>
      <c r="K644" s="128" t="s">
        <v>4</v>
      </c>
      <c r="L644" s="128" t="s">
        <v>5</v>
      </c>
      <c r="M644" s="129" t="s">
        <v>81</v>
      </c>
      <c r="N644" s="129" t="s">
        <v>7</v>
      </c>
    </row>
    <row r="645" spans="1:14" x14ac:dyDescent="0.35">
      <c r="A645" s="186">
        <f>SUM(C646:C647)/C654</f>
        <v>0.66980733926002312</v>
      </c>
      <c r="B645" s="130" t="s">
        <v>8</v>
      </c>
      <c r="C645" s="131"/>
      <c r="D645" s="132"/>
      <c r="E645" s="133"/>
      <c r="F645" s="133"/>
      <c r="J645" t="s">
        <v>82</v>
      </c>
      <c r="K645" s="220">
        <f>C654</f>
        <v>297567.68299999996</v>
      </c>
      <c r="L645" s="220">
        <f>D654</f>
        <v>5469.4914621817843</v>
      </c>
    </row>
    <row r="646" spans="1:14" x14ac:dyDescent="0.35">
      <c r="A646" s="186"/>
      <c r="B646" s="134" t="s">
        <v>10</v>
      </c>
      <c r="C646" s="131">
        <v>178090.753</v>
      </c>
      <c r="D646" s="132">
        <f>C646/$L$641</f>
        <v>3273.4262108262105</v>
      </c>
      <c r="E646" s="133"/>
      <c r="F646" s="133"/>
      <c r="J646" t="s">
        <v>11</v>
      </c>
      <c r="K646" s="234">
        <f>C655</f>
        <v>10809.259999999998</v>
      </c>
      <c r="L646" s="220">
        <f>K646/L641</f>
        <v>198.6813711975002</v>
      </c>
    </row>
    <row r="647" spans="1:14" x14ac:dyDescent="0.35">
      <c r="A647" s="186"/>
      <c r="B647" s="134" t="s">
        <v>12</v>
      </c>
      <c r="C647" s="131">
        <v>21222.264999999999</v>
      </c>
      <c r="D647" s="132">
        <f>C647/$L$641</f>
        <v>390.07931256318352</v>
      </c>
      <c r="E647" s="133"/>
      <c r="F647" s="133"/>
      <c r="J647" s="140" t="s">
        <v>13</v>
      </c>
      <c r="K647" s="141">
        <f>K645+K646</f>
        <v>308376.94299999997</v>
      </c>
      <c r="L647" s="141">
        <f>L645+L646</f>
        <v>5668.1728333792844</v>
      </c>
      <c r="M647" s="142">
        <f>K647/K650</f>
        <v>3.8576156559051773</v>
      </c>
      <c r="N647" s="142">
        <f>L647/L650</f>
        <v>3.8876086973985675</v>
      </c>
    </row>
    <row r="648" spans="1:14" x14ac:dyDescent="0.35">
      <c r="A648" s="186">
        <f>SUM(C649:C650)/C654</f>
        <v>0.11824984032288212</v>
      </c>
      <c r="B648" s="130" t="s">
        <v>16</v>
      </c>
      <c r="C648" s="131"/>
      <c r="D648" s="132"/>
      <c r="E648" s="133"/>
      <c r="F648" s="133"/>
      <c r="J648" s="135" t="s">
        <v>15</v>
      </c>
      <c r="K648" s="132">
        <f>C657</f>
        <v>16243.84</v>
      </c>
      <c r="L648" s="132">
        <f>D657</f>
        <v>298.57255766933184</v>
      </c>
      <c r="M648" s="143"/>
      <c r="N648" s="143"/>
    </row>
    <row r="649" spans="1:14" x14ac:dyDescent="0.35">
      <c r="A649" s="186"/>
      <c r="B649" s="134" t="s">
        <v>10</v>
      </c>
      <c r="C649" s="131">
        <v>2996.6750000000002</v>
      </c>
      <c r="D649" s="132">
        <f t="shared" ref="D649:D657" si="14">C649/$L$641</f>
        <v>55.080874919584602</v>
      </c>
      <c r="E649" s="133"/>
      <c r="F649" s="133"/>
      <c r="J649" s="140" t="s">
        <v>17</v>
      </c>
      <c r="K649" s="141">
        <f>K647-K648</f>
        <v>292133.10299999994</v>
      </c>
      <c r="L649" s="141">
        <f>L647-L648</f>
        <v>5369.6002757099523</v>
      </c>
      <c r="M649" s="142">
        <f>K649/K650</f>
        <v>3.6544146938409714</v>
      </c>
      <c r="N649" s="142">
        <f>L649/L650</f>
        <v>3.6828278436524728</v>
      </c>
    </row>
    <row r="650" spans="1:14" x14ac:dyDescent="0.35">
      <c r="A650" s="186"/>
      <c r="B650" s="134" t="s">
        <v>12</v>
      </c>
      <c r="C650" s="131">
        <v>32190.655999999999</v>
      </c>
      <c r="D650" s="132">
        <f t="shared" si="14"/>
        <v>591.68561713077838</v>
      </c>
      <c r="E650" s="133"/>
      <c r="F650" s="133"/>
      <c r="J650" s="135" t="s">
        <v>18</v>
      </c>
      <c r="K650" s="148">
        <f>C661</f>
        <v>79939.77900000001</v>
      </c>
      <c r="L650" s="148">
        <f>D661</f>
        <v>1458.0101225651129</v>
      </c>
      <c r="M650" s="135"/>
      <c r="N650" s="135"/>
    </row>
    <row r="651" spans="1:14" x14ac:dyDescent="0.35">
      <c r="A651" s="186"/>
      <c r="B651" s="136" t="s">
        <v>19</v>
      </c>
      <c r="C651" s="137">
        <f>+C646+C647+C649+C650</f>
        <v>234500.34899999996</v>
      </c>
      <c r="D651" s="137">
        <f>+D646+D647+D649+D650</f>
        <v>4310.2720154397566</v>
      </c>
      <c r="E651" s="138"/>
      <c r="F651" s="139"/>
    </row>
    <row r="652" spans="1:14" x14ac:dyDescent="0.35">
      <c r="A652" s="186">
        <f>SUM(C652:C653)/C654</f>
        <v>0.21194282041709483</v>
      </c>
      <c r="B652" s="135" t="s">
        <v>20</v>
      </c>
      <c r="C652" s="131">
        <v>4756.8670000000002</v>
      </c>
      <c r="D652" s="132">
        <f t="shared" si="14"/>
        <v>87.434371840823459</v>
      </c>
      <c r="E652" s="138"/>
      <c r="F652" s="139"/>
    </row>
    <row r="653" spans="1:14" x14ac:dyDescent="0.35">
      <c r="B653" s="135" t="s">
        <v>46</v>
      </c>
      <c r="C653" s="131">
        <v>58310.466999999997</v>
      </c>
      <c r="D653" s="132">
        <f t="shared" si="14"/>
        <v>1071.7850749012039</v>
      </c>
      <c r="E653" s="138"/>
      <c r="F653" s="139"/>
    </row>
    <row r="654" spans="1:14" x14ac:dyDescent="0.35">
      <c r="B654" s="140" t="s">
        <v>24</v>
      </c>
      <c r="C654" s="141">
        <f>C651+C652+C653</f>
        <v>297567.68299999996</v>
      </c>
      <c r="D654" s="141">
        <f>D651+D652+D653</f>
        <v>5469.4914621817843</v>
      </c>
      <c r="E654" s="142"/>
      <c r="F654" s="142"/>
    </row>
    <row r="655" spans="1:14" x14ac:dyDescent="0.35">
      <c r="B655" s="135" t="s">
        <v>11</v>
      </c>
      <c r="C655" s="131">
        <f>Model!AI$119</f>
        <v>10809.259999999998</v>
      </c>
      <c r="D655" s="132">
        <f t="shared" si="14"/>
        <v>198.6813711975002</v>
      </c>
      <c r="E655" s="146"/>
      <c r="F655" s="146"/>
    </row>
    <row r="656" spans="1:14" x14ac:dyDescent="0.35">
      <c r="B656" s="140" t="s">
        <v>26</v>
      </c>
      <c r="C656" s="241">
        <f>C654+C655</f>
        <v>308376.94299999997</v>
      </c>
      <c r="D656" s="241">
        <f>D654+D655</f>
        <v>5668.1728333792844</v>
      </c>
      <c r="E656" s="142">
        <f>C656/C661</f>
        <v>3.8576156559051773</v>
      </c>
      <c r="F656" s="142">
        <f>D656/D661</f>
        <v>3.8876086973985675</v>
      </c>
    </row>
    <row r="657" spans="2:8" x14ac:dyDescent="0.35">
      <c r="B657" s="135" t="s">
        <v>15</v>
      </c>
      <c r="C657" s="132">
        <f>Model!AI$122</f>
        <v>16243.84</v>
      </c>
      <c r="D657" s="132">
        <f t="shared" si="14"/>
        <v>298.57255766933184</v>
      </c>
      <c r="E657" s="143"/>
      <c r="F657" s="143"/>
    </row>
    <row r="658" spans="2:8" x14ac:dyDescent="0.35">
      <c r="B658" s="140" t="s">
        <v>17</v>
      </c>
      <c r="C658" s="141">
        <f>C656-C657</f>
        <v>292133.10299999994</v>
      </c>
      <c r="D658" s="141">
        <f>D656-D657</f>
        <v>5369.6002757099523</v>
      </c>
      <c r="E658" s="142">
        <f>C658/C661</f>
        <v>3.6544146938409714</v>
      </c>
      <c r="F658" s="142">
        <f>D658/D661</f>
        <v>3.6828278436524728</v>
      </c>
      <c r="H658" s="220"/>
    </row>
    <row r="659" spans="2:8" x14ac:dyDescent="0.35">
      <c r="B659" s="136" t="s">
        <v>27</v>
      </c>
      <c r="C659" s="144">
        <f>Model!AI$127</f>
        <v>156799.04399999999</v>
      </c>
      <c r="D659" s="145"/>
      <c r="E659" s="146"/>
      <c r="F659" s="135"/>
    </row>
    <row r="660" spans="2:8" x14ac:dyDescent="0.35">
      <c r="B660" s="136" t="s">
        <v>28</v>
      </c>
      <c r="C660" s="147">
        <f>C658+C659</f>
        <v>448932.14699999994</v>
      </c>
      <c r="D660" s="147"/>
      <c r="E660" s="146"/>
      <c r="F660" s="135"/>
    </row>
    <row r="661" spans="2:8" x14ac:dyDescent="0.35">
      <c r="B661" s="135" t="s">
        <v>18</v>
      </c>
      <c r="C661" s="148">
        <f>Model!AI$87</f>
        <v>79939.77900000001</v>
      </c>
      <c r="D661" s="132">
        <f>C661/$L$642</f>
        <v>1458.0101225651129</v>
      </c>
      <c r="E661" s="135"/>
      <c r="F661" s="135"/>
    </row>
    <row r="662" spans="2:8" x14ac:dyDescent="0.35">
      <c r="B662" s="149" t="s">
        <v>29</v>
      </c>
      <c r="C662" s="207">
        <f>C656-Model!AI$120</f>
        <v>0</v>
      </c>
    </row>
    <row r="664" spans="2:8" x14ac:dyDescent="0.35">
      <c r="B664" s="159" t="s">
        <v>138</v>
      </c>
      <c r="C664" s="160" t="s">
        <v>4</v>
      </c>
      <c r="D664" s="160" t="s">
        <v>5</v>
      </c>
      <c r="E664" s="179"/>
      <c r="F664" s="179"/>
    </row>
    <row r="665" spans="2:8" x14ac:dyDescent="0.35">
      <c r="B665" s="161" t="s">
        <v>35</v>
      </c>
      <c r="C665" s="162"/>
      <c r="D665" s="162"/>
      <c r="E665" s="180"/>
      <c r="F665" s="180"/>
    </row>
    <row r="666" spans="2:8" x14ac:dyDescent="0.35">
      <c r="B666" s="166" t="s">
        <v>10</v>
      </c>
      <c r="C666" s="233">
        <v>43418.28</v>
      </c>
      <c r="D666" s="219">
        <f>C666/$L$641</f>
        <v>798.05679625034463</v>
      </c>
      <c r="E666" s="181"/>
      <c r="F666" s="181"/>
    </row>
    <row r="667" spans="2:8" x14ac:dyDescent="0.35">
      <c r="B667" s="166" t="s">
        <v>12</v>
      </c>
      <c r="C667" s="167">
        <f>+D667*$L$641</f>
        <v>4964.4562500000002</v>
      </c>
      <c r="D667" s="162">
        <v>91.25</v>
      </c>
      <c r="E667" s="180"/>
      <c r="F667" s="180"/>
    </row>
    <row r="668" spans="2:8" x14ac:dyDescent="0.35">
      <c r="B668" s="161" t="s">
        <v>36</v>
      </c>
      <c r="C668" s="162"/>
      <c r="D668" s="162"/>
      <c r="E668" s="180"/>
      <c r="F668" s="180"/>
    </row>
    <row r="669" spans="2:8" x14ac:dyDescent="0.35">
      <c r="B669" s="166" t="s">
        <v>10</v>
      </c>
      <c r="C669" s="162">
        <v>3000</v>
      </c>
      <c r="D669" s="219">
        <f>C669/$L$641</f>
        <v>55.141990625861595</v>
      </c>
      <c r="E669" s="181"/>
      <c r="F669" s="181"/>
    </row>
    <row r="670" spans="2:8" x14ac:dyDescent="0.35">
      <c r="B670" s="161" t="s">
        <v>15</v>
      </c>
      <c r="C670" s="163">
        <f>+C657</f>
        <v>16243.84</v>
      </c>
      <c r="D670" s="219">
        <f>C670/$L$641</f>
        <v>298.57255766933184</v>
      </c>
      <c r="E670" s="182"/>
      <c r="F670" s="182"/>
    </row>
    <row r="671" spans="2:8" x14ac:dyDescent="0.35">
      <c r="B671" s="164" t="s">
        <v>37</v>
      </c>
      <c r="C671" s="165">
        <f>+C666+C667+C669+C670</f>
        <v>67626.576249999998</v>
      </c>
      <c r="D671" s="165">
        <f>+D666+D667+D669+D670</f>
        <v>1243.0213445455381</v>
      </c>
      <c r="E671" s="183"/>
      <c r="F671" s="183"/>
    </row>
    <row r="674" spans="1:12" x14ac:dyDescent="0.35">
      <c r="B674" s="431" t="s">
        <v>139</v>
      </c>
      <c r="C674" s="431"/>
      <c r="D674" s="431"/>
      <c r="E674" s="151"/>
      <c r="F674" s="151"/>
    </row>
    <row r="675" spans="1:12" ht="15" customHeight="1" x14ac:dyDescent="0.35">
      <c r="B675" s="432"/>
      <c r="C675" s="150" t="s">
        <v>86</v>
      </c>
      <c r="D675" s="151" t="s">
        <v>87</v>
      </c>
      <c r="E675" s="151"/>
      <c r="F675" s="151"/>
    </row>
    <row r="676" spans="1:12" x14ac:dyDescent="0.35">
      <c r="B676" s="152">
        <v>2023</v>
      </c>
      <c r="C676" s="153">
        <v>48995.970999999998</v>
      </c>
      <c r="D676" s="154">
        <f>+C676/$L$641</f>
        <v>900.57845786232872</v>
      </c>
      <c r="E676" s="154"/>
      <c r="F676" s="154"/>
    </row>
    <row r="677" spans="1:12" x14ac:dyDescent="0.35">
      <c r="B677" s="152">
        <v>2024</v>
      </c>
      <c r="C677" s="153">
        <v>18211.455000000002</v>
      </c>
      <c r="D677" s="154">
        <f>+C677/$L$641</f>
        <v>334.73862696443342</v>
      </c>
      <c r="E677" s="154"/>
      <c r="F677" s="154"/>
    </row>
    <row r="678" spans="1:12" x14ac:dyDescent="0.35">
      <c r="B678" s="152">
        <v>2025</v>
      </c>
      <c r="C678" s="153">
        <v>18633.441999999999</v>
      </c>
      <c r="D678" s="154">
        <f>+C678/$L$641</f>
        <v>342.49502803051189</v>
      </c>
      <c r="E678" s="154"/>
      <c r="F678" s="154"/>
    </row>
    <row r="679" spans="1:12" x14ac:dyDescent="0.35">
      <c r="B679" s="152">
        <v>2026</v>
      </c>
      <c r="C679" s="153">
        <v>22023.460999999999</v>
      </c>
      <c r="D679" s="154">
        <f>+C679/$L$641</f>
        <v>404.80582667034275</v>
      </c>
      <c r="E679" s="154"/>
      <c r="F679" s="154"/>
    </row>
    <row r="680" spans="1:12" x14ac:dyDescent="0.35">
      <c r="B680" s="152" t="s">
        <v>127</v>
      </c>
      <c r="C680" s="153">
        <v>127800.31299999999</v>
      </c>
      <c r="D680" s="154">
        <f>+C680/$L$641</f>
        <v>2349.0545538093925</v>
      </c>
      <c r="E680" s="154"/>
      <c r="F680" s="154"/>
    </row>
    <row r="681" spans="1:12" x14ac:dyDescent="0.35">
      <c r="B681" s="155" t="s">
        <v>40</v>
      </c>
      <c r="C681" s="156">
        <f>+SUM(C676:C680)</f>
        <v>235664.64199999999</v>
      </c>
      <c r="D681" s="156">
        <f>+SUM(D676:D680)</f>
        <v>4331.6724933370097</v>
      </c>
      <c r="E681" s="156"/>
      <c r="F681" s="156"/>
    </row>
    <row r="682" spans="1:12" x14ac:dyDescent="0.35">
      <c r="B682" s="152" t="s">
        <v>41</v>
      </c>
      <c r="C682" s="221">
        <f>C683-C681</f>
        <v>-1164.2930000000342</v>
      </c>
      <c r="D682" s="154">
        <f>+C682/$L$641</f>
        <v>-21.400477897252721</v>
      </c>
      <c r="E682" s="154"/>
      <c r="F682" s="154"/>
    </row>
    <row r="683" spans="1:12" x14ac:dyDescent="0.35">
      <c r="B683" s="155" t="s">
        <v>42</v>
      </c>
      <c r="C683" s="156">
        <f>C651</f>
        <v>234500.34899999996</v>
      </c>
      <c r="D683" s="156">
        <f>+D681+D682</f>
        <v>4310.2720154397566</v>
      </c>
      <c r="E683" s="156"/>
      <c r="F683" s="156"/>
    </row>
    <row r="684" spans="1:12" x14ac:dyDescent="0.35">
      <c r="B684" s="149" t="s">
        <v>43</v>
      </c>
      <c r="C684" s="169">
        <f>+C683-C651</f>
        <v>0</v>
      </c>
    </row>
    <row r="687" spans="1:12" x14ac:dyDescent="0.35">
      <c r="A687" s="122" t="s">
        <v>140</v>
      </c>
      <c r="K687" s="123" t="s">
        <v>141</v>
      </c>
      <c r="L687" s="124">
        <f>Model!AH201</f>
        <v>55.67</v>
      </c>
    </row>
    <row r="688" spans="1:12" ht="39.5" x14ac:dyDescent="0.35">
      <c r="K688" s="125" t="s">
        <v>142</v>
      </c>
      <c r="L688" s="124">
        <f>+AVERAGE(Model!AE200:AH200)</f>
        <v>54.787349655815866</v>
      </c>
    </row>
    <row r="690" spans="1:14" x14ac:dyDescent="0.35">
      <c r="B690" s="127" t="s">
        <v>143</v>
      </c>
      <c r="C690" s="128" t="s">
        <v>4</v>
      </c>
      <c r="D690" s="128" t="s">
        <v>5</v>
      </c>
      <c r="E690" s="129" t="s">
        <v>81</v>
      </c>
      <c r="F690" s="129" t="s">
        <v>7</v>
      </c>
      <c r="J690" s="127" t="s">
        <v>143</v>
      </c>
      <c r="K690" s="128" t="s">
        <v>4</v>
      </c>
      <c r="L690" s="128" t="s">
        <v>5</v>
      </c>
      <c r="M690" s="129" t="s">
        <v>81</v>
      </c>
      <c r="N690" s="129" t="s">
        <v>7</v>
      </c>
    </row>
    <row r="691" spans="1:14" x14ac:dyDescent="0.35">
      <c r="A691" s="186">
        <f>SUM(C692:C693)/C700</f>
        <v>0.68582773705485511</v>
      </c>
      <c r="B691" s="130" t="s">
        <v>8</v>
      </c>
      <c r="C691" s="131"/>
      <c r="D691" s="132"/>
      <c r="E691" s="133"/>
      <c r="F691" s="133"/>
      <c r="J691" t="s">
        <v>82</v>
      </c>
      <c r="K691" s="220">
        <f>C700</f>
        <v>287436.25599999999</v>
      </c>
      <c r="L691" s="220">
        <f>D700</f>
        <v>5163.216382252559</v>
      </c>
    </row>
    <row r="692" spans="1:14" x14ac:dyDescent="0.35">
      <c r="A692" s="186"/>
      <c r="B692" s="134" t="s">
        <v>10</v>
      </c>
      <c r="C692" s="131">
        <v>175220.08100000001</v>
      </c>
      <c r="D692" s="218">
        <f>C692/$L$687</f>
        <v>3147.4776540326925</v>
      </c>
      <c r="E692" s="133"/>
      <c r="F692" s="133"/>
      <c r="J692" t="s">
        <v>11</v>
      </c>
      <c r="K692" s="234">
        <f>C701</f>
        <v>44090.14</v>
      </c>
      <c r="L692" s="220">
        <f>K692/$L$687</f>
        <v>791.99101850188606</v>
      </c>
    </row>
    <row r="693" spans="1:14" x14ac:dyDescent="0.35">
      <c r="A693" s="186"/>
      <c r="B693" s="134" t="s">
        <v>12</v>
      </c>
      <c r="C693" s="131">
        <v>21911.675999999999</v>
      </c>
      <c r="D693" s="218">
        <f>C693/$L$687</f>
        <v>393.59935333213576</v>
      </c>
      <c r="E693" s="133"/>
      <c r="F693" s="133"/>
      <c r="J693" s="140" t="s">
        <v>13</v>
      </c>
      <c r="K693" s="141">
        <f>K691+K692</f>
        <v>331526.39600000001</v>
      </c>
      <c r="L693" s="141">
        <f>L691+L692</f>
        <v>5955.2074007544452</v>
      </c>
      <c r="M693" s="142">
        <f>K693/K696</f>
        <v>4.1916542299925359</v>
      </c>
      <c r="N693" s="142">
        <f>L693/L696</f>
        <v>4.0088119136513507</v>
      </c>
    </row>
    <row r="694" spans="1:14" x14ac:dyDescent="0.35">
      <c r="A694" s="186">
        <f>SUM(C695:C696)/C700</f>
        <v>0.12549878885146626</v>
      </c>
      <c r="B694" s="130" t="s">
        <v>16</v>
      </c>
      <c r="C694" s="131"/>
      <c r="D694" s="218"/>
      <c r="E694" s="133"/>
      <c r="F694" s="133"/>
      <c r="J694" s="135" t="s">
        <v>15</v>
      </c>
      <c r="K694" s="132">
        <f>C703</f>
        <v>18033.785</v>
      </c>
      <c r="L694" s="132">
        <f>D703</f>
        <v>323.94081192742948</v>
      </c>
      <c r="M694" s="143"/>
      <c r="N694" s="143"/>
    </row>
    <row r="695" spans="1:14" x14ac:dyDescent="0.35">
      <c r="A695" s="186"/>
      <c r="B695" s="134" t="s">
        <v>10</v>
      </c>
      <c r="C695" s="131">
        <v>2993.904</v>
      </c>
      <c r="D695" s="218">
        <f>C695/$L$687</f>
        <v>53.779486258307884</v>
      </c>
      <c r="E695" s="133"/>
      <c r="F695" s="133"/>
      <c r="J695" s="140" t="s">
        <v>17</v>
      </c>
      <c r="K695" s="141">
        <f>K693-K694</f>
        <v>313492.61100000003</v>
      </c>
      <c r="L695" s="141">
        <f>L693-L694</f>
        <v>5631.2665888270158</v>
      </c>
      <c r="M695" s="142">
        <f>K695/K696</f>
        <v>3.9636440561720905</v>
      </c>
      <c r="N695" s="142">
        <f>L695/L696</f>
        <v>3.7907476719243447</v>
      </c>
    </row>
    <row r="696" spans="1:14" x14ac:dyDescent="0.35">
      <c r="A696" s="186"/>
      <c r="B696" s="134" t="s">
        <v>12</v>
      </c>
      <c r="C696" s="131">
        <v>33078.998</v>
      </c>
      <c r="D696" s="218">
        <f>C696/$L$687</f>
        <v>594.19791629243753</v>
      </c>
      <c r="E696" s="133"/>
      <c r="F696" s="133"/>
      <c r="J696" s="135" t="s">
        <v>18</v>
      </c>
      <c r="K696" s="148">
        <f>C707</f>
        <v>79092.019</v>
      </c>
      <c r="L696" s="148">
        <f>D707</f>
        <v>1485.5292612943413</v>
      </c>
      <c r="M696" s="135"/>
      <c r="N696" s="135"/>
    </row>
    <row r="697" spans="1:14" x14ac:dyDescent="0.35">
      <c r="A697" s="186"/>
      <c r="B697" s="136" t="s">
        <v>19</v>
      </c>
      <c r="C697" s="137">
        <f>+C692+C693+C695+C696</f>
        <v>233204.65900000001</v>
      </c>
      <c r="D697" s="137">
        <f>+D692+D693+D695+D696</f>
        <v>4189.0544099155732</v>
      </c>
      <c r="E697" s="138"/>
      <c r="F697" s="139"/>
    </row>
    <row r="698" spans="1:14" x14ac:dyDescent="0.35">
      <c r="A698" s="186">
        <f>SUM(C698:C699)/C700</f>
        <v>0.18867347409367871</v>
      </c>
      <c r="B698" s="135" t="s">
        <v>20</v>
      </c>
      <c r="C698" s="131">
        <v>4522.4380000000001</v>
      </c>
      <c r="D698" s="218">
        <f>C698/$L$687</f>
        <v>81.236536734327288</v>
      </c>
      <c r="E698" s="138"/>
      <c r="F698" s="139"/>
    </row>
    <row r="699" spans="1:14" x14ac:dyDescent="0.35">
      <c r="B699" s="135" t="s">
        <v>46</v>
      </c>
      <c r="C699" s="131">
        <v>49709.159</v>
      </c>
      <c r="D699" s="218">
        <f>C699/$L$687</f>
        <v>892.92543560265847</v>
      </c>
      <c r="E699" s="138"/>
      <c r="F699" s="139"/>
    </row>
    <row r="700" spans="1:14" x14ac:dyDescent="0.35">
      <c r="B700" s="140" t="s">
        <v>24</v>
      </c>
      <c r="C700" s="141">
        <f>C697+C698+C699</f>
        <v>287436.25599999999</v>
      </c>
      <c r="D700" s="141">
        <f>D697+D698+D699</f>
        <v>5163.216382252559</v>
      </c>
      <c r="E700" s="142"/>
      <c r="F700" s="142"/>
    </row>
    <row r="701" spans="1:14" x14ac:dyDescent="0.35">
      <c r="B701" s="135" t="s">
        <v>11</v>
      </c>
      <c r="C701" s="177">
        <f>Model!AH119</f>
        <v>44090.14</v>
      </c>
      <c r="D701" s="218">
        <f>C701/$L$687</f>
        <v>791.99101850188606</v>
      </c>
      <c r="E701" s="146"/>
      <c r="F701" s="146"/>
    </row>
    <row r="702" spans="1:14" x14ac:dyDescent="0.35">
      <c r="B702" s="140" t="s">
        <v>26</v>
      </c>
      <c r="C702" s="241">
        <f>C700+C701</f>
        <v>331526.39600000001</v>
      </c>
      <c r="D702" s="242">
        <f>D700+D701</f>
        <v>5955.2074007544452</v>
      </c>
      <c r="E702" s="142">
        <f>C702/C707</f>
        <v>4.1916542299925359</v>
      </c>
      <c r="F702" s="142">
        <f>D702/D707</f>
        <v>4.0088119136513507</v>
      </c>
    </row>
    <row r="703" spans="1:14" x14ac:dyDescent="0.35">
      <c r="B703" s="135" t="s">
        <v>15</v>
      </c>
      <c r="C703" s="132">
        <f>Model!AH122</f>
        <v>18033.785</v>
      </c>
      <c r="D703" s="218">
        <f>C703/$L$687</f>
        <v>323.94081192742948</v>
      </c>
      <c r="E703" s="143"/>
      <c r="F703" s="143"/>
    </row>
    <row r="704" spans="1:14" x14ac:dyDescent="0.35">
      <c r="B704" s="140" t="s">
        <v>17</v>
      </c>
      <c r="C704" s="141">
        <f>C702-C703</f>
        <v>313492.61100000003</v>
      </c>
      <c r="D704" s="141">
        <f>D702-D703</f>
        <v>5631.2665888270158</v>
      </c>
      <c r="E704" s="142">
        <f>C704/C707</f>
        <v>3.9636440561720905</v>
      </c>
      <c r="F704" s="142">
        <f>D704/D707</f>
        <v>3.7907476719243447</v>
      </c>
      <c r="H704" s="220"/>
    </row>
    <row r="705" spans="2:6" x14ac:dyDescent="0.35">
      <c r="B705" s="136" t="s">
        <v>27</v>
      </c>
      <c r="C705" s="144">
        <f>Model!AH127</f>
        <v>152532.87</v>
      </c>
      <c r="D705" s="145"/>
      <c r="E705" s="146"/>
      <c r="F705" s="135"/>
    </row>
    <row r="706" spans="2:6" x14ac:dyDescent="0.35">
      <c r="B706" s="136" t="s">
        <v>28</v>
      </c>
      <c r="C706" s="147">
        <f>C704+C705</f>
        <v>466025.48100000003</v>
      </c>
      <c r="D706" s="147"/>
      <c r="E706" s="146"/>
      <c r="F706" s="135"/>
    </row>
    <row r="707" spans="2:6" x14ac:dyDescent="0.35">
      <c r="B707" s="135" t="s">
        <v>18</v>
      </c>
      <c r="C707" s="148">
        <f>Model!AH87</f>
        <v>79092.019</v>
      </c>
      <c r="D707" s="218">
        <f>C707/$L$734</f>
        <v>1485.5292612943413</v>
      </c>
      <c r="E707" s="135"/>
      <c r="F707" s="135"/>
    </row>
    <row r="708" spans="2:6" x14ac:dyDescent="0.35">
      <c r="B708" s="149" t="s">
        <v>29</v>
      </c>
      <c r="C708" s="207">
        <f>C702-Model!AH120</f>
        <v>0</v>
      </c>
    </row>
    <row r="710" spans="2:6" x14ac:dyDescent="0.35">
      <c r="B710" s="159" t="s">
        <v>144</v>
      </c>
      <c r="C710" s="160" t="s">
        <v>4</v>
      </c>
      <c r="D710" s="160" t="s">
        <v>5</v>
      </c>
      <c r="E710" s="179"/>
      <c r="F710" s="179"/>
    </row>
    <row r="711" spans="2:6" x14ac:dyDescent="0.35">
      <c r="B711" s="161" t="s">
        <v>35</v>
      </c>
      <c r="C711" s="162"/>
      <c r="D711" s="162"/>
      <c r="E711" s="180"/>
      <c r="F711" s="180"/>
    </row>
    <row r="712" spans="2:6" x14ac:dyDescent="0.35">
      <c r="B712" s="166" t="s">
        <v>10</v>
      </c>
      <c r="C712" s="233">
        <v>44188.4</v>
      </c>
      <c r="D712" s="167">
        <f>C712/$L$687</f>
        <v>793.7560625112269</v>
      </c>
      <c r="E712" s="181"/>
      <c r="F712" s="181"/>
    </row>
    <row r="713" spans="2:6" x14ac:dyDescent="0.35">
      <c r="B713" s="166" t="s">
        <v>12</v>
      </c>
      <c r="C713" s="167">
        <f>+D713*$L$687</f>
        <v>5230.1965</v>
      </c>
      <c r="D713" s="162">
        <v>93.95</v>
      </c>
      <c r="E713" s="180"/>
      <c r="F713" s="180"/>
    </row>
    <row r="714" spans="2:6" x14ac:dyDescent="0.35">
      <c r="B714" s="161" t="s">
        <v>36</v>
      </c>
      <c r="C714" s="162"/>
      <c r="D714" s="162"/>
      <c r="E714" s="180"/>
      <c r="F714" s="180"/>
    </row>
    <row r="715" spans="2:6" x14ac:dyDescent="0.35">
      <c r="B715" s="166" t="s">
        <v>10</v>
      </c>
      <c r="C715" s="162">
        <v>3000</v>
      </c>
      <c r="D715" s="167">
        <f>C715/$L$687</f>
        <v>53.888988683312377</v>
      </c>
      <c r="E715" s="181"/>
      <c r="F715" s="181"/>
    </row>
    <row r="716" spans="2:6" x14ac:dyDescent="0.35">
      <c r="B716" s="161" t="s">
        <v>15</v>
      </c>
      <c r="C716" s="163">
        <f>+C703</f>
        <v>18033.785</v>
      </c>
      <c r="D716" s="167">
        <f>C716/$L$687</f>
        <v>323.94081192742948</v>
      </c>
      <c r="E716" s="182"/>
      <c r="F716" s="182"/>
    </row>
    <row r="717" spans="2:6" x14ac:dyDescent="0.35">
      <c r="B717" s="164" t="s">
        <v>37</v>
      </c>
      <c r="C717" s="165">
        <f>+C712+C713+C715+C716</f>
        <v>70452.381500000003</v>
      </c>
      <c r="D717" s="165">
        <f>+D712+D713+D715+D716</f>
        <v>1265.5358631219688</v>
      </c>
      <c r="E717" s="183"/>
      <c r="F717" s="183"/>
    </row>
    <row r="719" spans="2:6" ht="15" customHeight="1" x14ac:dyDescent="0.35"/>
    <row r="720" spans="2:6" x14ac:dyDescent="0.35">
      <c r="B720" s="431" t="s">
        <v>145</v>
      </c>
      <c r="C720" s="431"/>
      <c r="D720" s="431"/>
      <c r="E720" s="151"/>
      <c r="F720" s="151"/>
    </row>
    <row r="721" spans="1:14" x14ac:dyDescent="0.35">
      <c r="B721" s="432"/>
      <c r="C721" s="150" t="s">
        <v>86</v>
      </c>
      <c r="D721" s="151" t="s">
        <v>87</v>
      </c>
      <c r="E721" s="151"/>
      <c r="F721" s="151"/>
    </row>
    <row r="722" spans="1:14" x14ac:dyDescent="0.35">
      <c r="B722" s="152">
        <v>2023</v>
      </c>
      <c r="C722" s="153">
        <v>46389.521000000001</v>
      </c>
      <c r="D722" s="154">
        <f>+C722/$L$687</f>
        <v>833.29479073109394</v>
      </c>
      <c r="E722" s="154"/>
      <c r="F722" s="154"/>
    </row>
    <row r="723" spans="1:14" x14ac:dyDescent="0.35">
      <c r="B723" s="152">
        <v>2024</v>
      </c>
      <c r="C723" s="153">
        <v>18327.248</v>
      </c>
      <c r="D723" s="154">
        <f t="shared" ref="D723:D726" si="15">+C723/$L$687</f>
        <v>329.21228668941978</v>
      </c>
      <c r="E723" s="154"/>
      <c r="F723" s="154"/>
    </row>
    <row r="724" spans="1:14" x14ac:dyDescent="0.35">
      <c r="B724" s="152">
        <v>2025</v>
      </c>
      <c r="C724" s="153">
        <v>18648.001</v>
      </c>
      <c r="D724" s="154">
        <f t="shared" si="15"/>
        <v>334.97397161846595</v>
      </c>
      <c r="E724" s="154"/>
      <c r="F724" s="154"/>
    </row>
    <row r="725" spans="1:14" x14ac:dyDescent="0.35">
      <c r="B725" s="152">
        <v>2026</v>
      </c>
      <c r="C725" s="153">
        <v>22026.043000000001</v>
      </c>
      <c r="D725" s="154">
        <f t="shared" si="15"/>
        <v>395.65372732171727</v>
      </c>
      <c r="E725" s="154"/>
      <c r="F725" s="154"/>
    </row>
    <row r="726" spans="1:14" x14ac:dyDescent="0.35">
      <c r="B726" s="152" t="s">
        <v>127</v>
      </c>
      <c r="C726" s="153">
        <v>129060.113</v>
      </c>
      <c r="D726" s="154">
        <f t="shared" si="15"/>
        <v>2318.3063229746722</v>
      </c>
      <c r="E726" s="154"/>
      <c r="F726" s="154"/>
    </row>
    <row r="727" spans="1:14" x14ac:dyDescent="0.35">
      <c r="B727" s="155" t="s">
        <v>40</v>
      </c>
      <c r="C727" s="156">
        <f>+SUM(C722:C726)</f>
        <v>234450.92600000001</v>
      </c>
      <c r="D727" s="156">
        <f>+SUM(D722:D726)</f>
        <v>4211.4410993353686</v>
      </c>
      <c r="E727" s="156"/>
      <c r="F727" s="156"/>
    </row>
    <row r="728" spans="1:14" x14ac:dyDescent="0.35">
      <c r="B728" s="152" t="s">
        <v>41</v>
      </c>
      <c r="C728" s="221">
        <f>C729-C727</f>
        <v>-1246.2669999999925</v>
      </c>
      <c r="D728" s="154">
        <f>+C728/$L$687</f>
        <v>-22.386689419795086</v>
      </c>
      <c r="E728" s="154"/>
      <c r="F728" s="154"/>
    </row>
    <row r="729" spans="1:14" x14ac:dyDescent="0.35">
      <c r="B729" s="155" t="s">
        <v>42</v>
      </c>
      <c r="C729" s="156">
        <f>C697</f>
        <v>233204.65900000001</v>
      </c>
      <c r="D729" s="156">
        <f>+D727+D728</f>
        <v>4189.0544099155732</v>
      </c>
      <c r="E729" s="156"/>
      <c r="F729" s="156"/>
    </row>
    <row r="730" spans="1:14" x14ac:dyDescent="0.35">
      <c r="B730" s="149" t="s">
        <v>43</v>
      </c>
      <c r="C730" s="169">
        <f>+C729-C697</f>
        <v>0</v>
      </c>
    </row>
    <row r="733" spans="1:14" ht="27" customHeight="1" x14ac:dyDescent="0.35">
      <c r="A733" s="122" t="s">
        <v>146</v>
      </c>
      <c r="K733" s="123" t="s">
        <v>147</v>
      </c>
      <c r="L733" s="124">
        <f>Model!AG201</f>
        <v>58.75</v>
      </c>
    </row>
    <row r="734" spans="1:14" ht="39.5" x14ac:dyDescent="0.35">
      <c r="K734" s="125" t="s">
        <v>148</v>
      </c>
      <c r="L734" s="124">
        <f>+AVERAGE(Model!AD200:AG200)</f>
        <v>53.241643272032988</v>
      </c>
    </row>
    <row r="735" spans="1:14" ht="21" customHeight="1" x14ac:dyDescent="0.35"/>
    <row r="736" spans="1:14" ht="27" customHeight="1" x14ac:dyDescent="0.35">
      <c r="B736" s="127" t="s">
        <v>149</v>
      </c>
      <c r="C736" s="128" t="s">
        <v>4</v>
      </c>
      <c r="D736" s="128" t="s">
        <v>5</v>
      </c>
      <c r="E736" s="129" t="s">
        <v>81</v>
      </c>
      <c r="F736" s="129" t="s">
        <v>7</v>
      </c>
      <c r="J736" s="127" t="s">
        <v>149</v>
      </c>
      <c r="K736" s="128" t="s">
        <v>4</v>
      </c>
      <c r="L736" s="128" t="s">
        <v>5</v>
      </c>
      <c r="M736" s="129" t="s">
        <v>81</v>
      </c>
      <c r="N736" s="129" t="s">
        <v>7</v>
      </c>
    </row>
    <row r="737" spans="1:14" x14ac:dyDescent="0.35">
      <c r="A737" s="186">
        <f>SUM(C738:C739)/C746</f>
        <v>0.74255962719234603</v>
      </c>
      <c r="B737" s="130" t="s">
        <v>8</v>
      </c>
      <c r="C737" s="131"/>
      <c r="D737" s="132"/>
      <c r="E737" s="133"/>
      <c r="F737" s="133"/>
      <c r="J737" t="s">
        <v>82</v>
      </c>
      <c r="K737" s="220">
        <f>C746</f>
        <v>283619.92799999996</v>
      </c>
      <c r="L737" s="220">
        <f>D746</f>
        <v>4827.5732425531914</v>
      </c>
    </row>
    <row r="738" spans="1:14" x14ac:dyDescent="0.35">
      <c r="A738" s="186"/>
      <c r="B738" s="134" t="s">
        <v>10</v>
      </c>
      <c r="C738" s="131">
        <v>187131.68799999999</v>
      </c>
      <c r="D738" s="218">
        <f>C738/$L$733</f>
        <v>3185.2202212765956</v>
      </c>
      <c r="E738" s="133"/>
      <c r="F738" s="133"/>
      <c r="J738" t="s">
        <v>11</v>
      </c>
      <c r="K738" s="234">
        <f>C747</f>
        <v>45220.979999999996</v>
      </c>
      <c r="L738" s="220">
        <f>K738/$L$733</f>
        <v>769.71880851063827</v>
      </c>
    </row>
    <row r="739" spans="1:14" x14ac:dyDescent="0.35">
      <c r="A739" s="186"/>
      <c r="B739" s="134" t="s">
        <v>12</v>
      </c>
      <c r="C739" s="131">
        <v>23473.02</v>
      </c>
      <c r="D739" s="218">
        <f>C739/$L$733</f>
        <v>399.54076595744681</v>
      </c>
      <c r="E739" s="133"/>
      <c r="F739" s="133"/>
      <c r="J739" s="140" t="s">
        <v>13</v>
      </c>
      <c r="K739" s="141">
        <f>K737+K738</f>
        <v>328840.90799999994</v>
      </c>
      <c r="L739" s="141">
        <f>L737+L738</f>
        <v>5597.2920510638296</v>
      </c>
      <c r="M739" s="142">
        <f>K739/K742</f>
        <v>4.1984521818823595</v>
      </c>
      <c r="N739" s="142">
        <f>L739/L742</f>
        <v>3.8048083976590497</v>
      </c>
    </row>
    <row r="740" spans="1:14" x14ac:dyDescent="0.35">
      <c r="A740" s="186">
        <f>SUM(C741:C742)/C746</f>
        <v>0.13313034548122446</v>
      </c>
      <c r="B740" s="130" t="s">
        <v>16</v>
      </c>
      <c r="C740" s="131"/>
      <c r="D740" s="218">
        <f>C740/$L$733</f>
        <v>0</v>
      </c>
      <c r="E740" s="133"/>
      <c r="F740" s="133"/>
      <c r="J740" s="135" t="s">
        <v>15</v>
      </c>
      <c r="K740" s="132">
        <f>C749</f>
        <v>14390.494000000001</v>
      </c>
      <c r="L740" s="132">
        <f>D749</f>
        <v>244.94457872340428</v>
      </c>
      <c r="M740" s="143"/>
      <c r="N740" s="143"/>
    </row>
    <row r="741" spans="1:14" x14ac:dyDescent="0.35">
      <c r="A741" s="186"/>
      <c r="B741" s="134" t="s">
        <v>10</v>
      </c>
      <c r="C741" s="131">
        <v>2991.223</v>
      </c>
      <c r="D741" s="218">
        <f>C741/$L$733</f>
        <v>50.914434042553189</v>
      </c>
      <c r="E741" s="133"/>
      <c r="F741" s="133"/>
      <c r="J741" s="140" t="s">
        <v>17</v>
      </c>
      <c r="K741" s="141">
        <f>K739-K740</f>
        <v>314450.41399999993</v>
      </c>
      <c r="L741" s="141">
        <f>L739-L740</f>
        <v>5352.3474723404252</v>
      </c>
      <c r="M741" s="142">
        <f>K741/K742</f>
        <v>4.0147226048655451</v>
      </c>
      <c r="N741" s="142">
        <f>L741/L742</f>
        <v>3.6383051704581861</v>
      </c>
    </row>
    <row r="742" spans="1:14" x14ac:dyDescent="0.35">
      <c r="A742" s="186"/>
      <c r="B742" s="134" t="s">
        <v>12</v>
      </c>
      <c r="C742" s="131">
        <v>34767.196000000004</v>
      </c>
      <c r="D742" s="218">
        <f>C742/$L$733</f>
        <v>591.78205957446812</v>
      </c>
      <c r="E742" s="133"/>
      <c r="F742" s="133"/>
      <c r="J742" s="135" t="s">
        <v>18</v>
      </c>
      <c r="K742" s="148">
        <f>C753</f>
        <v>78324.319000000003</v>
      </c>
      <c r="L742" s="148">
        <f>D753</f>
        <v>1471.1100970308059</v>
      </c>
      <c r="M742" s="135"/>
      <c r="N742" s="135"/>
    </row>
    <row r="743" spans="1:14" x14ac:dyDescent="0.35">
      <c r="A743" s="186"/>
      <c r="B743" s="136" t="s">
        <v>19</v>
      </c>
      <c r="C743" s="137">
        <f>+C738+C739+C741+C742</f>
        <v>248363.12699999998</v>
      </c>
      <c r="D743" s="137">
        <f>+D738+D739+D741+D742</f>
        <v>4227.4574808510633</v>
      </c>
      <c r="E743" s="138"/>
      <c r="F743" s="139"/>
    </row>
    <row r="744" spans="1:14" x14ac:dyDescent="0.35">
      <c r="A744" s="186">
        <f>SUM(C744:C745)/C746</f>
        <v>0.12431002732642964</v>
      </c>
      <c r="B744" s="135" t="s">
        <v>20</v>
      </c>
      <c r="C744" s="131">
        <v>3976.1410000000001</v>
      </c>
      <c r="D744" s="218">
        <f>C744/$L$733</f>
        <v>67.678995744680847</v>
      </c>
      <c r="E744" s="138"/>
      <c r="F744" s="139"/>
    </row>
    <row r="745" spans="1:14" x14ac:dyDescent="0.35">
      <c r="B745" s="135" t="s">
        <v>46</v>
      </c>
      <c r="C745" s="131">
        <v>31280.66</v>
      </c>
      <c r="D745" s="218">
        <f>C745/$L$733</f>
        <v>532.43676595744682</v>
      </c>
      <c r="E745" s="138"/>
      <c r="F745" s="139"/>
    </row>
    <row r="746" spans="1:14" x14ac:dyDescent="0.35">
      <c r="B746" s="140" t="s">
        <v>24</v>
      </c>
      <c r="C746" s="141">
        <f>C743+C744+C745</f>
        <v>283619.92799999996</v>
      </c>
      <c r="D746" s="141">
        <f>D743+D744+D745</f>
        <v>4827.5732425531914</v>
      </c>
      <c r="E746" s="142"/>
      <c r="F746" s="142"/>
    </row>
    <row r="747" spans="1:14" x14ac:dyDescent="0.35">
      <c r="B747" s="135" t="s">
        <v>11</v>
      </c>
      <c r="C747" s="177">
        <f>Model!AG119</f>
        <v>45220.979999999996</v>
      </c>
      <c r="D747" s="218">
        <f>C747/$L$733</f>
        <v>769.71880851063827</v>
      </c>
      <c r="E747" s="146"/>
      <c r="F747" s="146"/>
    </row>
    <row r="748" spans="1:14" x14ac:dyDescent="0.35">
      <c r="B748" s="140" t="s">
        <v>26</v>
      </c>
      <c r="C748" s="241">
        <f>C746+C747</f>
        <v>328840.90799999994</v>
      </c>
      <c r="D748" s="242">
        <f>D746+D747</f>
        <v>5597.2920510638296</v>
      </c>
      <c r="E748" s="142">
        <f>C748/C753</f>
        <v>4.1984521818823595</v>
      </c>
      <c r="F748" s="142">
        <f>D748/D753</f>
        <v>3.8048083976590497</v>
      </c>
    </row>
    <row r="749" spans="1:14" x14ac:dyDescent="0.35">
      <c r="B749" s="135" t="s">
        <v>15</v>
      </c>
      <c r="C749" s="132">
        <f>Model!AG122</f>
        <v>14390.494000000001</v>
      </c>
      <c r="D749" s="218">
        <f>C749/$L$733</f>
        <v>244.94457872340428</v>
      </c>
      <c r="E749" s="143"/>
      <c r="F749" s="143"/>
    </row>
    <row r="750" spans="1:14" x14ac:dyDescent="0.35">
      <c r="B750" s="140" t="s">
        <v>17</v>
      </c>
      <c r="C750" s="141">
        <f>C748-C749</f>
        <v>314450.41399999993</v>
      </c>
      <c r="D750" s="141">
        <f>D748-D749</f>
        <v>5352.3474723404252</v>
      </c>
      <c r="E750" s="142">
        <f>C750/C753</f>
        <v>4.0147226048655451</v>
      </c>
      <c r="F750" s="142">
        <f>D750/D753</f>
        <v>3.6383051704581861</v>
      </c>
      <c r="H750" s="220"/>
    </row>
    <row r="751" spans="1:14" x14ac:dyDescent="0.35">
      <c r="B751" s="136" t="s">
        <v>27</v>
      </c>
      <c r="C751" s="144">
        <f>Model!AG127</f>
        <v>127817.958</v>
      </c>
      <c r="D751" s="145"/>
      <c r="E751" s="146"/>
      <c r="F751" s="135"/>
    </row>
    <row r="752" spans="1:14" x14ac:dyDescent="0.35">
      <c r="B752" s="136" t="s">
        <v>28</v>
      </c>
      <c r="C752" s="147">
        <f>C750+C751</f>
        <v>442268.37199999992</v>
      </c>
      <c r="D752" s="147"/>
      <c r="E752" s="146"/>
      <c r="F752" s="135"/>
    </row>
    <row r="753" spans="2:6" x14ac:dyDescent="0.35">
      <c r="B753" s="135" t="s">
        <v>18</v>
      </c>
      <c r="C753" s="148">
        <f>Model!AG87</f>
        <v>78324.319000000003</v>
      </c>
      <c r="D753" s="218">
        <f>C753/$L$734</f>
        <v>1471.1100970308059</v>
      </c>
      <c r="E753" s="135"/>
      <c r="F753" s="135"/>
    </row>
    <row r="754" spans="2:6" x14ac:dyDescent="0.35">
      <c r="B754" s="149" t="s">
        <v>29</v>
      </c>
      <c r="C754" s="207">
        <f>C748-Model!AG120</f>
        <v>0</v>
      </c>
    </row>
    <row r="756" spans="2:6" x14ac:dyDescent="0.35">
      <c r="B756" s="159" t="s">
        <v>150</v>
      </c>
      <c r="C756" s="160" t="s">
        <v>4</v>
      </c>
      <c r="D756" s="160" t="s">
        <v>5</v>
      </c>
      <c r="E756" s="179"/>
      <c r="F756" s="179"/>
    </row>
    <row r="757" spans="2:6" x14ac:dyDescent="0.35">
      <c r="B757" s="161" t="s">
        <v>35</v>
      </c>
      <c r="C757" s="162"/>
      <c r="D757" s="162"/>
      <c r="E757" s="180"/>
      <c r="F757" s="180"/>
    </row>
    <row r="758" spans="2:6" x14ac:dyDescent="0.35">
      <c r="B758" s="166" t="s">
        <v>10</v>
      </c>
      <c r="C758" s="233">
        <v>33456</v>
      </c>
      <c r="D758" s="219">
        <f>C758/$L$733</f>
        <v>569.46382978723409</v>
      </c>
      <c r="E758" s="181"/>
      <c r="F758" s="181"/>
    </row>
    <row r="759" spans="2:6" x14ac:dyDescent="0.35">
      <c r="B759" s="166" t="s">
        <v>12</v>
      </c>
      <c r="C759" s="167">
        <f>+D759*$L$733</f>
        <v>4381.5749999999998</v>
      </c>
      <c r="D759" s="162">
        <v>74.58</v>
      </c>
      <c r="E759" s="180"/>
      <c r="F759" s="180"/>
    </row>
    <row r="760" spans="2:6" x14ac:dyDescent="0.35">
      <c r="B760" s="161" t="s">
        <v>36</v>
      </c>
      <c r="C760" s="162"/>
      <c r="D760" s="162"/>
      <c r="E760" s="180"/>
      <c r="F760" s="180"/>
    </row>
    <row r="761" spans="2:6" x14ac:dyDescent="0.35">
      <c r="B761" s="166" t="s">
        <v>10</v>
      </c>
      <c r="C761" s="162">
        <v>3000</v>
      </c>
      <c r="D761" s="219">
        <f>C761/$L$733</f>
        <v>51.063829787234042</v>
      </c>
      <c r="E761" s="181"/>
      <c r="F761" s="181"/>
    </row>
    <row r="762" spans="2:6" ht="26.25" customHeight="1" x14ac:dyDescent="0.35">
      <c r="B762" s="161" t="s">
        <v>15</v>
      </c>
      <c r="C762" s="163">
        <f>+C749</f>
        <v>14390.494000000001</v>
      </c>
      <c r="D762" s="219">
        <f>C762/$L$733</f>
        <v>244.94457872340428</v>
      </c>
      <c r="E762" s="182"/>
      <c r="F762" s="182"/>
    </row>
    <row r="763" spans="2:6" x14ac:dyDescent="0.35">
      <c r="B763" s="164" t="s">
        <v>37</v>
      </c>
      <c r="C763" s="165">
        <f>+C758+C759+C761+C762</f>
        <v>55228.068999999996</v>
      </c>
      <c r="D763" s="165">
        <f>+D758+D759+D761+D762</f>
        <v>940.05223829787246</v>
      </c>
      <c r="E763" s="183"/>
      <c r="F763" s="183"/>
    </row>
    <row r="766" spans="2:6" x14ac:dyDescent="0.35">
      <c r="B766" s="431" t="s">
        <v>151</v>
      </c>
      <c r="C766" s="431"/>
      <c r="D766" s="431"/>
      <c r="E766" s="151"/>
      <c r="F766" s="151"/>
    </row>
    <row r="767" spans="2:6" x14ac:dyDescent="0.35">
      <c r="B767" s="432"/>
      <c r="C767" s="150" t="s">
        <v>86</v>
      </c>
      <c r="D767" s="151" t="s">
        <v>87</v>
      </c>
      <c r="E767" s="151"/>
      <c r="F767" s="151"/>
    </row>
    <row r="768" spans="2:6" x14ac:dyDescent="0.35">
      <c r="B768" s="152">
        <v>2022</v>
      </c>
      <c r="C768" s="153">
        <v>38607.870000000003</v>
      </c>
      <c r="D768" s="154">
        <f>+C768/$L$733</f>
        <v>657.15523404255327</v>
      </c>
      <c r="E768" s="154"/>
      <c r="F768" s="154"/>
    </row>
    <row r="769" spans="1:14" x14ac:dyDescent="0.35">
      <c r="B769" s="152">
        <v>2023</v>
      </c>
      <c r="C769" s="153">
        <v>20389.906999999999</v>
      </c>
      <c r="D769" s="154">
        <f>+C769/$L$733</f>
        <v>347.06224680851062</v>
      </c>
      <c r="E769" s="154"/>
      <c r="F769" s="154"/>
    </row>
    <row r="770" spans="1:14" x14ac:dyDescent="0.35">
      <c r="B770" s="152">
        <v>2024</v>
      </c>
      <c r="C770" s="153">
        <v>18546.225999999999</v>
      </c>
      <c r="D770" s="154">
        <f>+C770/$L$733</f>
        <v>315.68044255319148</v>
      </c>
      <c r="E770" s="154"/>
      <c r="F770" s="154"/>
    </row>
    <row r="771" spans="1:14" x14ac:dyDescent="0.35">
      <c r="B771" s="152">
        <v>2025</v>
      </c>
      <c r="C771" s="153">
        <v>18675.531999999999</v>
      </c>
      <c r="D771" s="154">
        <f>+C771/$L$733</f>
        <v>317.88139574468084</v>
      </c>
      <c r="E771" s="154"/>
      <c r="F771" s="154"/>
    </row>
    <row r="772" spans="1:14" x14ac:dyDescent="0.35">
      <c r="B772" s="152" t="s">
        <v>152</v>
      </c>
      <c r="C772" s="153">
        <v>153473.46799999999</v>
      </c>
      <c r="D772" s="154">
        <f>+C772/$L$733</f>
        <v>2612.3143489361701</v>
      </c>
      <c r="E772" s="154"/>
      <c r="F772" s="154"/>
    </row>
    <row r="773" spans="1:14" x14ac:dyDescent="0.35">
      <c r="B773" s="155" t="s">
        <v>40</v>
      </c>
      <c r="C773" s="156">
        <f>+SUM(C768:C772)</f>
        <v>249693.003</v>
      </c>
      <c r="D773" s="156">
        <f>+SUM(D768:D772)</f>
        <v>4250.0936680851064</v>
      </c>
      <c r="E773" s="156"/>
      <c r="F773" s="156"/>
    </row>
    <row r="774" spans="1:14" x14ac:dyDescent="0.35">
      <c r="B774" s="152" t="s">
        <v>41</v>
      </c>
      <c r="C774" s="221">
        <f>C775-C773</f>
        <v>-1329.8760000000184</v>
      </c>
      <c r="D774" s="154">
        <f>+C774/$L$733</f>
        <v>-22.636187234042865</v>
      </c>
      <c r="E774" s="154"/>
      <c r="F774" s="154"/>
    </row>
    <row r="775" spans="1:14" x14ac:dyDescent="0.35">
      <c r="B775" s="155" t="s">
        <v>42</v>
      </c>
      <c r="C775" s="156">
        <f>C743</f>
        <v>248363.12699999998</v>
      </c>
      <c r="D775" s="156">
        <f>+D773+D774</f>
        <v>4227.4574808510633</v>
      </c>
      <c r="E775" s="156"/>
      <c r="F775" s="156"/>
    </row>
    <row r="776" spans="1:14" x14ac:dyDescent="0.35">
      <c r="B776" s="149" t="s">
        <v>43</v>
      </c>
      <c r="C776" s="169">
        <f>+C775-C743</f>
        <v>0</v>
      </c>
    </row>
    <row r="779" spans="1:14" x14ac:dyDescent="0.35">
      <c r="A779" s="122" t="s">
        <v>153</v>
      </c>
      <c r="K779" s="123" t="s">
        <v>154</v>
      </c>
      <c r="L779" s="124">
        <f>Model!AF201</f>
        <v>54.997030160371345</v>
      </c>
    </row>
    <row r="780" spans="1:14" ht="39.5" x14ac:dyDescent="0.35">
      <c r="K780" s="125" t="s">
        <v>155</v>
      </c>
      <c r="L780" s="124">
        <f>+AVERAGE(Model!AC200:AF200)</f>
        <v>51.479850985502523</v>
      </c>
    </row>
    <row r="782" spans="1:14" x14ac:dyDescent="0.35">
      <c r="B782" s="127" t="s">
        <v>156</v>
      </c>
      <c r="C782" s="128" t="s">
        <v>4</v>
      </c>
      <c r="D782" s="128" t="s">
        <v>5</v>
      </c>
      <c r="E782" s="129" t="s">
        <v>81</v>
      </c>
      <c r="F782" s="129" t="s">
        <v>7</v>
      </c>
      <c r="J782" s="127" t="s">
        <v>156</v>
      </c>
      <c r="K782" s="128" t="s">
        <v>4</v>
      </c>
      <c r="L782" s="128" t="s">
        <v>5</v>
      </c>
      <c r="M782" s="129" t="s">
        <v>81</v>
      </c>
      <c r="N782" s="129" t="s">
        <v>7</v>
      </c>
    </row>
    <row r="783" spans="1:14" x14ac:dyDescent="0.35">
      <c r="A783" s="186">
        <f>SUM(C784:C785)/C792</f>
        <v>0.77359106539368439</v>
      </c>
      <c r="B783" s="130" t="s">
        <v>8</v>
      </c>
      <c r="C783" s="131"/>
      <c r="D783" s="132"/>
      <c r="E783" s="133"/>
      <c r="F783" s="133"/>
      <c r="J783" t="s">
        <v>82</v>
      </c>
      <c r="K783" s="220">
        <f>C792</f>
        <v>264358.41899999999</v>
      </c>
      <c r="L783" s="220">
        <f>D792</f>
        <v>4806.7762609931988</v>
      </c>
    </row>
    <row r="784" spans="1:14" x14ac:dyDescent="0.35">
      <c r="A784" s="186"/>
      <c r="B784" s="134" t="s">
        <v>10</v>
      </c>
      <c r="C784" s="131">
        <v>182434.804</v>
      </c>
      <c r="D784" s="218">
        <f t="shared" ref="D784:D788" si="16">C784/$L$779</f>
        <v>3317.1755541711996</v>
      </c>
      <c r="E784" s="133"/>
      <c r="F784" s="133"/>
      <c r="J784" t="s">
        <v>11</v>
      </c>
      <c r="K784" s="234">
        <f>C793</f>
        <v>44168.38</v>
      </c>
      <c r="L784" s="220">
        <f t="shared" ref="L784" si="17">K784/$L$779</f>
        <v>803.10481986399986</v>
      </c>
    </row>
    <row r="785" spans="1:14" x14ac:dyDescent="0.35">
      <c r="A785" s="186"/>
      <c r="B785" s="134" t="s">
        <v>12</v>
      </c>
      <c r="C785" s="131">
        <v>22070.507000000001</v>
      </c>
      <c r="D785" s="218">
        <f t="shared" si="16"/>
        <v>401.3036146796</v>
      </c>
      <c r="E785" s="133"/>
      <c r="F785" s="133"/>
      <c r="J785" s="140" t="s">
        <v>13</v>
      </c>
      <c r="K785" s="141">
        <f>K783+K784</f>
        <v>308526.799</v>
      </c>
      <c r="L785" s="141">
        <f>L783+L784</f>
        <v>5609.8810808571989</v>
      </c>
      <c r="M785" s="142">
        <f>K785/K788</f>
        <v>3.9506499631219385</v>
      </c>
      <c r="N785" s="142">
        <f>L785/L788</f>
        <v>3.6979973428446158</v>
      </c>
    </row>
    <row r="786" spans="1:14" x14ac:dyDescent="0.35">
      <c r="A786" s="186">
        <f>SUM(C787:C788)/C792</f>
        <v>0.13443806001881106</v>
      </c>
      <c r="B786" s="130" t="s">
        <v>16</v>
      </c>
      <c r="C786" s="131"/>
      <c r="D786" s="218">
        <f t="shared" si="16"/>
        <v>0</v>
      </c>
      <c r="E786" s="133"/>
      <c r="F786" s="133"/>
      <c r="J786" s="135" t="s">
        <v>15</v>
      </c>
      <c r="K786" s="132">
        <f>C795</f>
        <v>16075.427</v>
      </c>
      <c r="L786" s="132">
        <f>D795</f>
        <v>292.29627405559995</v>
      </c>
      <c r="M786" s="143"/>
      <c r="N786" s="143"/>
    </row>
    <row r="787" spans="1:14" x14ac:dyDescent="0.35">
      <c r="A787" s="186"/>
      <c r="B787" s="134" t="s">
        <v>10</v>
      </c>
      <c r="C787" s="131">
        <v>2988.5419999999999</v>
      </c>
      <c r="D787" s="218">
        <f t="shared" si="16"/>
        <v>54.340061477599995</v>
      </c>
      <c r="E787" s="133"/>
      <c r="F787" s="133"/>
      <c r="J787" s="140" t="s">
        <v>17</v>
      </c>
      <c r="K787" s="141">
        <f>K785-K786</f>
        <v>292451.37199999997</v>
      </c>
      <c r="L787" s="141">
        <f>L785-L786</f>
        <v>5317.5848068015985</v>
      </c>
      <c r="M787" s="142">
        <f>K787/K788</f>
        <v>3.7448059803931657</v>
      </c>
      <c r="N787" s="142">
        <f>L787/L788</f>
        <v>3.5053175285666582</v>
      </c>
    </row>
    <row r="788" spans="1:14" x14ac:dyDescent="0.35">
      <c r="A788" s="186"/>
      <c r="B788" s="134" t="s">
        <v>12</v>
      </c>
      <c r="C788" s="131">
        <v>32551.291000000001</v>
      </c>
      <c r="D788" s="218">
        <f t="shared" si="16"/>
        <v>591.87361399479994</v>
      </c>
      <c r="E788" s="133"/>
      <c r="F788" s="133"/>
      <c r="J788" s="135" t="s">
        <v>18</v>
      </c>
      <c r="K788" s="148">
        <f>C799</f>
        <v>78095.199999999895</v>
      </c>
      <c r="L788" s="148">
        <f>D799</f>
        <v>1517.0051681383584</v>
      </c>
      <c r="M788" s="135"/>
      <c r="N788" s="135"/>
    </row>
    <row r="789" spans="1:14" x14ac:dyDescent="0.35">
      <c r="A789" s="186"/>
      <c r="B789" s="136" t="s">
        <v>19</v>
      </c>
      <c r="C789" s="137">
        <f>+C784+C785+C787+C788</f>
        <v>240045.144</v>
      </c>
      <c r="D789" s="137">
        <f>+D784+D785+D787+D788</f>
        <v>4364.6928443231991</v>
      </c>
      <c r="E789" s="138"/>
      <c r="F789" s="139"/>
    </row>
    <row r="790" spans="1:14" x14ac:dyDescent="0.35">
      <c r="A790" s="186">
        <f>SUM(C790:C791)/C792</f>
        <v>9.1970874587504622E-2</v>
      </c>
      <c r="B790" s="135" t="s">
        <v>20</v>
      </c>
      <c r="C790" s="131">
        <v>7712.4589999999998</v>
      </c>
      <c r="D790" s="218">
        <f>C790/$L$779</f>
        <v>140.23409950519999</v>
      </c>
      <c r="E790" s="138"/>
      <c r="F790" s="139"/>
    </row>
    <row r="791" spans="1:14" x14ac:dyDescent="0.35">
      <c r="B791" s="135" t="s">
        <v>46</v>
      </c>
      <c r="C791" s="131">
        <v>16600.815999999999</v>
      </c>
      <c r="D791" s="218">
        <f>C791/$L$779</f>
        <v>301.84931716479997</v>
      </c>
      <c r="E791" s="138"/>
      <c r="F791" s="139"/>
    </row>
    <row r="792" spans="1:14" x14ac:dyDescent="0.35">
      <c r="B792" s="140" t="s">
        <v>24</v>
      </c>
      <c r="C792" s="141">
        <f>C789+C790+C791</f>
        <v>264358.41899999999</v>
      </c>
      <c r="D792" s="141">
        <f>D789+D790+D791</f>
        <v>4806.7762609931988</v>
      </c>
      <c r="E792" s="142"/>
      <c r="F792" s="142"/>
    </row>
    <row r="793" spans="1:14" x14ac:dyDescent="0.35">
      <c r="B793" s="135" t="s">
        <v>11</v>
      </c>
      <c r="C793" s="177">
        <f>789.7+33414.08+9964.6</f>
        <v>44168.38</v>
      </c>
      <c r="D793" s="218">
        <f>C793/$L$779</f>
        <v>803.10481986399986</v>
      </c>
      <c r="E793" s="146"/>
      <c r="F793" s="146"/>
    </row>
    <row r="794" spans="1:14" x14ac:dyDescent="0.35">
      <c r="B794" s="140" t="s">
        <v>26</v>
      </c>
      <c r="C794" s="241">
        <f>C792+C793</f>
        <v>308526.799</v>
      </c>
      <c r="D794" s="242">
        <f>D792+D793</f>
        <v>5609.8810808571989</v>
      </c>
      <c r="E794" s="142">
        <f>C794/C799</f>
        <v>3.9506499631219385</v>
      </c>
      <c r="F794" s="142">
        <f>D794/D799</f>
        <v>3.6979973428446158</v>
      </c>
    </row>
    <row r="795" spans="1:14" x14ac:dyDescent="0.35">
      <c r="B795" s="135" t="s">
        <v>15</v>
      </c>
      <c r="C795" s="132">
        <f>Model!AF122</f>
        <v>16075.427</v>
      </c>
      <c r="D795" s="218">
        <f>C795/$L$779</f>
        <v>292.29627405559995</v>
      </c>
      <c r="E795" s="143"/>
      <c r="F795" s="143"/>
    </row>
    <row r="796" spans="1:14" x14ac:dyDescent="0.35">
      <c r="B796" s="140" t="s">
        <v>17</v>
      </c>
      <c r="C796" s="141">
        <f>C794-C795</f>
        <v>292451.37199999997</v>
      </c>
      <c r="D796" s="141">
        <f>D794-D795</f>
        <v>5317.5848068015985</v>
      </c>
      <c r="E796" s="142">
        <f>C796/C799</f>
        <v>3.7448059803931657</v>
      </c>
      <c r="F796" s="142">
        <f>D796/D799</f>
        <v>3.5053175285666582</v>
      </c>
      <c r="H796" s="220"/>
    </row>
    <row r="797" spans="1:14" x14ac:dyDescent="0.35">
      <c r="B797" s="136" t="s">
        <v>27</v>
      </c>
      <c r="C797" s="144">
        <f>Model!AF127</f>
        <v>125689.38499999999</v>
      </c>
      <c r="D797" s="145"/>
      <c r="E797" s="146"/>
      <c r="F797" s="135"/>
    </row>
    <row r="798" spans="1:14" x14ac:dyDescent="0.35">
      <c r="B798" s="136" t="s">
        <v>28</v>
      </c>
      <c r="C798" s="147">
        <f>C796+C797</f>
        <v>418140.75699999998</v>
      </c>
      <c r="D798" s="147"/>
      <c r="E798" s="146"/>
      <c r="F798" s="135"/>
    </row>
    <row r="799" spans="1:14" x14ac:dyDescent="0.35">
      <c r="B799" s="135" t="s">
        <v>18</v>
      </c>
      <c r="C799" s="148">
        <f>Model!AF87</f>
        <v>78095.199999999895</v>
      </c>
      <c r="D799" s="218">
        <f>C799/$L$780</f>
        <v>1517.0051681383584</v>
      </c>
      <c r="E799" s="135"/>
      <c r="F799" s="135"/>
    </row>
    <row r="800" spans="1:14" x14ac:dyDescent="0.35">
      <c r="B800" s="149" t="s">
        <v>29</v>
      </c>
      <c r="C800" s="207">
        <f>C794-Model!AF120</f>
        <v>0</v>
      </c>
    </row>
    <row r="802" spans="2:6" x14ac:dyDescent="0.35">
      <c r="B802" s="159" t="s">
        <v>157</v>
      </c>
      <c r="C802" s="160" t="s">
        <v>4</v>
      </c>
      <c r="D802" s="160" t="s">
        <v>5</v>
      </c>
      <c r="E802" s="179"/>
      <c r="F802" s="179"/>
    </row>
    <row r="803" spans="2:6" x14ac:dyDescent="0.35">
      <c r="B803" s="161" t="s">
        <v>35</v>
      </c>
      <c r="C803" s="162"/>
      <c r="D803" s="162"/>
      <c r="E803" s="180"/>
      <c r="F803" s="180"/>
    </row>
    <row r="804" spans="2:6" x14ac:dyDescent="0.35">
      <c r="B804" s="166" t="s">
        <v>10</v>
      </c>
      <c r="C804" s="233">
        <v>24168.81</v>
      </c>
      <c r="D804" s="219">
        <f>C804/$L$779</f>
        <v>439.45663846799999</v>
      </c>
      <c r="E804" s="181"/>
      <c r="F804" s="181"/>
    </row>
    <row r="805" spans="2:6" x14ac:dyDescent="0.35">
      <c r="B805" s="166" t="s">
        <v>12</v>
      </c>
      <c r="C805" s="167">
        <f>+D805*$L$779</f>
        <v>2381.371405944079</v>
      </c>
      <c r="D805" s="162">
        <v>43.3</v>
      </c>
      <c r="E805" s="180"/>
      <c r="F805" s="180"/>
    </row>
    <row r="806" spans="2:6" x14ac:dyDescent="0.35">
      <c r="B806" s="161" t="s">
        <v>36</v>
      </c>
      <c r="C806" s="162"/>
      <c r="D806" s="162"/>
      <c r="E806" s="180"/>
      <c r="F806" s="180"/>
    </row>
    <row r="807" spans="2:6" x14ac:dyDescent="0.35">
      <c r="B807" s="166" t="s">
        <v>10</v>
      </c>
      <c r="C807" s="162">
        <v>0</v>
      </c>
      <c r="D807" s="219">
        <f>C807/$L$825</f>
        <v>0</v>
      </c>
      <c r="E807" s="181"/>
      <c r="F807" s="181"/>
    </row>
    <row r="808" spans="2:6" x14ac:dyDescent="0.35">
      <c r="B808" s="161" t="s">
        <v>15</v>
      </c>
      <c r="C808" s="163">
        <f>+C795</f>
        <v>16075.427</v>
      </c>
      <c r="D808" s="219">
        <f>C808/$L$779</f>
        <v>292.29627405559995</v>
      </c>
      <c r="E808" s="182"/>
      <c r="F808" s="182"/>
    </row>
    <row r="809" spans="2:6" x14ac:dyDescent="0.35">
      <c r="B809" s="164" t="s">
        <v>37</v>
      </c>
      <c r="C809" s="165">
        <f>+C804+C805+C807+C808</f>
        <v>42625.608405944076</v>
      </c>
      <c r="D809" s="165">
        <f>+D804+D805+D807+D808</f>
        <v>775.05291252359996</v>
      </c>
      <c r="E809" s="183"/>
      <c r="F809" s="183"/>
    </row>
    <row r="812" spans="2:6" x14ac:dyDescent="0.35">
      <c r="B812" s="431" t="s">
        <v>158</v>
      </c>
      <c r="C812" s="431"/>
      <c r="D812" s="431"/>
      <c r="E812" s="151"/>
      <c r="F812" s="151"/>
    </row>
    <row r="813" spans="2:6" x14ac:dyDescent="0.35">
      <c r="B813" s="432"/>
      <c r="C813" s="150" t="s">
        <v>86</v>
      </c>
      <c r="D813" s="151" t="s">
        <v>87</v>
      </c>
      <c r="E813" s="151"/>
      <c r="F813" s="151"/>
    </row>
    <row r="814" spans="2:6" x14ac:dyDescent="0.35">
      <c r="B814" s="152">
        <v>2022</v>
      </c>
      <c r="C814" s="153">
        <v>34026.813000000002</v>
      </c>
      <c r="D814" s="154">
        <f>+C814/$L$779</f>
        <v>618.70273541639995</v>
      </c>
      <c r="E814" s="154"/>
      <c r="F814" s="154"/>
    </row>
    <row r="815" spans="2:6" x14ac:dyDescent="0.35">
      <c r="B815" s="152">
        <v>2023</v>
      </c>
      <c r="C815" s="153">
        <v>20155.705000000002</v>
      </c>
      <c r="D815" s="154">
        <f t="shared" ref="D815:D820" si="18">+C815/$L$779</f>
        <v>366.487152874</v>
      </c>
      <c r="E815" s="154"/>
      <c r="F815" s="154"/>
    </row>
    <row r="816" spans="2:6" x14ac:dyDescent="0.35">
      <c r="B816" s="152">
        <v>2024</v>
      </c>
      <c r="C816" s="153">
        <v>18262.155999999999</v>
      </c>
      <c r="D816" s="154">
        <f t="shared" si="18"/>
        <v>332.05713011679995</v>
      </c>
      <c r="E816" s="154"/>
      <c r="F816" s="154"/>
    </row>
    <row r="817" spans="1:14" x14ac:dyDescent="0.35">
      <c r="B817" s="152">
        <v>2025</v>
      </c>
      <c r="C817" s="153">
        <v>18639.976999999999</v>
      </c>
      <c r="D817" s="154">
        <f t="shared" si="18"/>
        <v>338.92697379559996</v>
      </c>
      <c r="E817" s="154"/>
      <c r="F817" s="154"/>
    </row>
    <row r="818" spans="1:14" x14ac:dyDescent="0.35">
      <c r="B818" s="152" t="s">
        <v>152</v>
      </c>
      <c r="C818" s="153">
        <v>150373.58900000001</v>
      </c>
      <c r="D818" s="154">
        <f t="shared" si="18"/>
        <v>2734.2128940692</v>
      </c>
      <c r="E818" s="154"/>
      <c r="F818" s="154"/>
    </row>
    <row r="819" spans="1:14" x14ac:dyDescent="0.35">
      <c r="B819" s="155" t="s">
        <v>40</v>
      </c>
      <c r="C819" s="156">
        <f>+SUM(C814:C818)</f>
        <v>241458.24</v>
      </c>
      <c r="D819" s="156">
        <f>+SUM(D814:D818)</f>
        <v>4390.3868862720001</v>
      </c>
      <c r="E819" s="156"/>
      <c r="F819" s="156"/>
    </row>
    <row r="820" spans="1:14" x14ac:dyDescent="0.35">
      <c r="B820" s="152" t="s">
        <v>41</v>
      </c>
      <c r="C820" s="221">
        <f>C821-C819</f>
        <v>-1413.0959999999905</v>
      </c>
      <c r="D820" s="154">
        <f t="shared" si="18"/>
        <v>-25.694041948799825</v>
      </c>
      <c r="E820" s="154"/>
      <c r="F820" s="154"/>
    </row>
    <row r="821" spans="1:14" x14ac:dyDescent="0.35">
      <c r="B821" s="155" t="s">
        <v>42</v>
      </c>
      <c r="C821" s="156">
        <f>C789</f>
        <v>240045.144</v>
      </c>
      <c r="D821" s="156">
        <f>+D819+D820</f>
        <v>4364.6928443232</v>
      </c>
      <c r="E821" s="156"/>
      <c r="F821" s="156"/>
    </row>
    <row r="822" spans="1:14" x14ac:dyDescent="0.35">
      <c r="B822" s="149" t="s">
        <v>43</v>
      </c>
      <c r="C822" s="169">
        <f>+C821-C789</f>
        <v>0</v>
      </c>
    </row>
    <row r="825" spans="1:14" x14ac:dyDescent="0.35">
      <c r="A825" s="122" t="s">
        <v>159</v>
      </c>
      <c r="K825" s="123" t="s">
        <v>160</v>
      </c>
      <c r="L825" s="124">
        <f>Model!AE201</f>
        <v>52.01019399802361</v>
      </c>
    </row>
    <row r="826" spans="1:14" ht="39.5" x14ac:dyDescent="0.35">
      <c r="K826" s="125" t="s">
        <v>161</v>
      </c>
      <c r="L826" s="124">
        <f>+AVERAGE(Model!AB200:AE200)</f>
        <v>50.255004293388069</v>
      </c>
    </row>
    <row r="828" spans="1:14" x14ac:dyDescent="0.35">
      <c r="B828" s="127" t="s">
        <v>162</v>
      </c>
      <c r="C828" s="128" t="s">
        <v>4</v>
      </c>
      <c r="D828" s="128" t="s">
        <v>5</v>
      </c>
      <c r="E828" s="129" t="s">
        <v>81</v>
      </c>
      <c r="F828" s="129" t="s">
        <v>7</v>
      </c>
      <c r="J828" s="127" t="s">
        <v>162</v>
      </c>
      <c r="K828" s="128" t="s">
        <v>4</v>
      </c>
      <c r="L828" s="128" t="s">
        <v>5</v>
      </c>
      <c r="M828" s="129" t="s">
        <v>81</v>
      </c>
      <c r="N828" s="129" t="s">
        <v>7</v>
      </c>
    </row>
    <row r="829" spans="1:14" x14ac:dyDescent="0.35">
      <c r="A829" s="186">
        <f>SUM(C830:C831)/C838</f>
        <v>0.76495665511335842</v>
      </c>
      <c r="B829" s="130" t="s">
        <v>8</v>
      </c>
      <c r="C829" s="131"/>
      <c r="D829" s="132"/>
      <c r="E829" s="133"/>
      <c r="F829" s="133"/>
      <c r="J829" t="s">
        <v>82</v>
      </c>
      <c r="K829" s="220">
        <f>C838</f>
        <v>240603.81300000002</v>
      </c>
      <c r="L829" s="220">
        <f>D838</f>
        <v>4626.0895125510006</v>
      </c>
    </row>
    <row r="830" spans="1:14" x14ac:dyDescent="0.35">
      <c r="A830" s="186"/>
      <c r="B830" s="134" t="s">
        <v>10</v>
      </c>
      <c r="C830" s="131">
        <v>158868.617</v>
      </c>
      <c r="D830" s="218">
        <f>C830/$L$825</f>
        <v>3054.5668990590002</v>
      </c>
      <c r="E830" s="133"/>
      <c r="F830" s="133"/>
      <c r="J830" t="s">
        <v>11</v>
      </c>
      <c r="K830" s="220">
        <f>L830*L825</f>
        <v>41129.141311697087</v>
      </c>
      <c r="L830" s="234">
        <f>600+190.79</f>
        <v>790.79</v>
      </c>
    </row>
    <row r="831" spans="1:14" x14ac:dyDescent="0.35">
      <c r="A831" s="186"/>
      <c r="B831" s="134" t="s">
        <v>12</v>
      </c>
      <c r="C831" s="131">
        <v>25182.870999999999</v>
      </c>
      <c r="D831" s="218">
        <f>C831/$L$825</f>
        <v>484.19106071700003</v>
      </c>
      <c r="E831" s="133"/>
      <c r="F831" s="133"/>
      <c r="J831" s="140" t="s">
        <v>163</v>
      </c>
      <c r="K831" s="141">
        <f>K829-K830</f>
        <v>199474.67168830294</v>
      </c>
      <c r="L831" s="141">
        <f>L829-L830</f>
        <v>3835.2995125510006</v>
      </c>
      <c r="M831" s="142">
        <f>K831/K834</f>
        <v>2.613857366352299</v>
      </c>
      <c r="N831" s="142">
        <f>L831/L834</f>
        <v>2.5256474369876503</v>
      </c>
    </row>
    <row r="832" spans="1:14" x14ac:dyDescent="0.35">
      <c r="A832" s="186">
        <f>SUM(C833:C834)/C838</f>
        <v>0.14001972612129798</v>
      </c>
      <c r="B832" s="130" t="s">
        <v>16</v>
      </c>
      <c r="C832" s="131"/>
      <c r="D832" s="218">
        <f>C832/$L$825</f>
        <v>0</v>
      </c>
      <c r="E832" s="133"/>
      <c r="F832" s="133"/>
      <c r="J832" s="135" t="s">
        <v>15</v>
      </c>
      <c r="K832" s="132">
        <f>C839</f>
        <v>14854.545</v>
      </c>
      <c r="L832" s="132">
        <f>D839</f>
        <v>285.60833671500001</v>
      </c>
      <c r="M832" s="143"/>
      <c r="N832" s="143"/>
    </row>
    <row r="833" spans="1:14" x14ac:dyDescent="0.35">
      <c r="A833" s="186"/>
      <c r="B833" s="134" t="s">
        <v>10</v>
      </c>
      <c r="C833" s="131">
        <v>2985.8910000000001</v>
      </c>
      <c r="D833" s="218">
        <f>C833/$L$825</f>
        <v>57.409726257000003</v>
      </c>
      <c r="E833" s="133"/>
      <c r="F833" s="133"/>
      <c r="J833" s="140" t="s">
        <v>17</v>
      </c>
      <c r="K833" s="141">
        <f>K831-K832</f>
        <v>184620.12668830293</v>
      </c>
      <c r="L833" s="141">
        <f>L831-L832</f>
        <v>3549.6911758360006</v>
      </c>
      <c r="M833" s="142">
        <f>K833/K834</f>
        <v>2.4192077823051901</v>
      </c>
      <c r="N833" s="142">
        <f>L833/L834</f>
        <v>2.3375666987699586</v>
      </c>
    </row>
    <row r="834" spans="1:14" x14ac:dyDescent="0.35">
      <c r="A834" s="186"/>
      <c r="B834" s="134" t="s">
        <v>12</v>
      </c>
      <c r="C834" s="131">
        <v>30703.388999999999</v>
      </c>
      <c r="D834" s="218">
        <f>C834/$L$825</f>
        <v>590.334060303</v>
      </c>
      <c r="E834" s="133"/>
      <c r="F834" s="133"/>
      <c r="J834" s="135" t="s">
        <v>18</v>
      </c>
      <c r="K834" s="148">
        <f>C843</f>
        <v>76314.290999999997</v>
      </c>
      <c r="L834" s="148">
        <f>D843</f>
        <v>1518.5411298440679</v>
      </c>
      <c r="M834" s="135"/>
      <c r="N834" s="135"/>
    </row>
    <row r="835" spans="1:14" x14ac:dyDescent="0.35">
      <c r="A835" s="186"/>
      <c r="B835" s="136" t="s">
        <v>19</v>
      </c>
      <c r="C835" s="137">
        <f>+C830+C831+C833+C834</f>
        <v>217740.76800000001</v>
      </c>
      <c r="D835" s="137">
        <f>+D830+D831+D833+D834</f>
        <v>4186.501746336</v>
      </c>
      <c r="E835" s="138"/>
      <c r="F835" s="139"/>
    </row>
    <row r="836" spans="1:14" x14ac:dyDescent="0.35">
      <c r="A836" s="186">
        <f>SUM(C836:C837)/C838</f>
        <v>9.5023618765343487E-2</v>
      </c>
      <c r="B836" s="135" t="s">
        <v>20</v>
      </c>
      <c r="C836" s="131">
        <v>3796.89</v>
      </c>
      <c r="D836" s="218">
        <f>C836/$L$825</f>
        <v>73.002804030000007</v>
      </c>
      <c r="E836" s="138"/>
      <c r="F836" s="139"/>
    </row>
    <row r="837" spans="1:14" x14ac:dyDescent="0.35">
      <c r="B837" s="135" t="s">
        <v>46</v>
      </c>
      <c r="C837" s="131">
        <v>19066.154999999999</v>
      </c>
      <c r="D837" s="218">
        <f>C837/$L$825</f>
        <v>366.58496218499999</v>
      </c>
      <c r="E837" s="138"/>
      <c r="F837" s="139"/>
    </row>
    <row r="838" spans="1:14" x14ac:dyDescent="0.35">
      <c r="B838" s="140" t="s">
        <v>24</v>
      </c>
      <c r="C838" s="141">
        <f>C835+C836+C837</f>
        <v>240603.81300000002</v>
      </c>
      <c r="D838" s="141">
        <f>D835+D836+D837</f>
        <v>4626.0895125510006</v>
      </c>
      <c r="E838" s="142">
        <f>C838/C843</f>
        <v>3.1528015244222085</v>
      </c>
      <c r="F838" s="142">
        <f>D838/D843</f>
        <v>3.0464038290658828</v>
      </c>
    </row>
    <row r="839" spans="1:14" x14ac:dyDescent="0.35">
      <c r="B839" s="135" t="s">
        <v>15</v>
      </c>
      <c r="C839" s="132">
        <f>Model!AE122</f>
        <v>14854.545</v>
      </c>
      <c r="D839" s="218">
        <f>C839/$L$825</f>
        <v>285.60833671500001</v>
      </c>
      <c r="E839" s="143"/>
      <c r="F839" s="143"/>
    </row>
    <row r="840" spans="1:14" x14ac:dyDescent="0.35">
      <c r="B840" s="140" t="s">
        <v>17</v>
      </c>
      <c r="C840" s="141">
        <f>C838-C839</f>
        <v>225749.26800000001</v>
      </c>
      <c r="D840" s="141">
        <f>D838-D839</f>
        <v>4340.4811758360001</v>
      </c>
      <c r="E840" s="142">
        <f>C840/C843</f>
        <v>2.9581519403751</v>
      </c>
      <c r="F840" s="142">
        <f>D840/D843</f>
        <v>2.8583230908481911</v>
      </c>
      <c r="H840" s="220"/>
    </row>
    <row r="841" spans="1:14" x14ac:dyDescent="0.35">
      <c r="B841" s="136" t="s">
        <v>27</v>
      </c>
      <c r="C841" s="144">
        <f>Model!AE127</f>
        <v>124313.22500000001</v>
      </c>
      <c r="D841" s="145"/>
      <c r="E841" s="146"/>
      <c r="F841" s="135"/>
    </row>
    <row r="842" spans="1:14" x14ac:dyDescent="0.35">
      <c r="B842" s="136" t="s">
        <v>28</v>
      </c>
      <c r="C842" s="147">
        <f>C840+C841</f>
        <v>350062.49300000002</v>
      </c>
      <c r="D842" s="147"/>
      <c r="E842" s="146"/>
      <c r="F842" s="135"/>
    </row>
    <row r="843" spans="1:14" x14ac:dyDescent="0.35">
      <c r="B843" s="135" t="s">
        <v>18</v>
      </c>
      <c r="C843" s="148">
        <f>Model!AE87</f>
        <v>76314.290999999997</v>
      </c>
      <c r="D843" s="218">
        <f>C843/$L$826</f>
        <v>1518.5411298440679</v>
      </c>
      <c r="E843" s="135"/>
      <c r="F843" s="135"/>
    </row>
    <row r="844" spans="1:14" x14ac:dyDescent="0.35">
      <c r="B844" s="149" t="s">
        <v>29</v>
      </c>
      <c r="C844" s="207">
        <f>C838-Model!AE120</f>
        <v>0</v>
      </c>
    </row>
    <row r="846" spans="1:14" x14ac:dyDescent="0.35">
      <c r="B846" s="159" t="s">
        <v>164</v>
      </c>
      <c r="C846" s="160" t="s">
        <v>4</v>
      </c>
      <c r="D846" s="160" t="s">
        <v>5</v>
      </c>
      <c r="E846" s="179"/>
      <c r="F846" s="179"/>
    </row>
    <row r="847" spans="1:14" x14ac:dyDescent="0.35">
      <c r="B847" s="161" t="s">
        <v>35</v>
      </c>
      <c r="C847" s="162"/>
      <c r="D847" s="162"/>
      <c r="E847" s="180"/>
      <c r="F847" s="180"/>
    </row>
    <row r="848" spans="1:14" x14ac:dyDescent="0.35">
      <c r="B848" s="166" t="s">
        <v>10</v>
      </c>
      <c r="C848" s="233">
        <v>43559.81</v>
      </c>
      <c r="D848" s="219">
        <f>C848/$L$825</f>
        <v>837.52446686999997</v>
      </c>
      <c r="E848" s="181"/>
      <c r="F848" s="181"/>
    </row>
    <row r="849" spans="2:6" x14ac:dyDescent="0.35">
      <c r="B849" s="166" t="s">
        <v>12</v>
      </c>
      <c r="C849" s="167">
        <f>+D849*$L$825</f>
        <v>6982.8886461746497</v>
      </c>
      <c r="D849" s="162">
        <v>134.26</v>
      </c>
      <c r="E849" s="180"/>
      <c r="F849" s="180"/>
    </row>
    <row r="850" spans="2:6" x14ac:dyDescent="0.35">
      <c r="B850" s="161" t="s">
        <v>36</v>
      </c>
      <c r="C850" s="162"/>
      <c r="D850" s="162"/>
      <c r="E850" s="180"/>
      <c r="F850" s="180"/>
    </row>
    <row r="851" spans="2:6" x14ac:dyDescent="0.35">
      <c r="B851" s="166" t="s">
        <v>10</v>
      </c>
      <c r="C851" s="162">
        <v>3000</v>
      </c>
      <c r="D851" s="219">
        <f>C851/$L$825</f>
        <v>57.681000000000004</v>
      </c>
      <c r="E851" s="181"/>
      <c r="F851" s="181"/>
    </row>
    <row r="852" spans="2:6" x14ac:dyDescent="0.35">
      <c r="B852" s="161" t="s">
        <v>15</v>
      </c>
      <c r="C852" s="163">
        <f>+C839</f>
        <v>14854.545</v>
      </c>
      <c r="D852" s="219">
        <f>C852/$L$825</f>
        <v>285.60833671500001</v>
      </c>
      <c r="E852" s="182"/>
      <c r="F852" s="182"/>
    </row>
    <row r="853" spans="2:6" x14ac:dyDescent="0.35">
      <c r="B853" s="164" t="s">
        <v>37</v>
      </c>
      <c r="C853" s="165">
        <f>+C848+C849+C851+C852</f>
        <v>68397.243646174655</v>
      </c>
      <c r="D853" s="165">
        <f>+D848+D849+D851+D852</f>
        <v>1315.073803585</v>
      </c>
      <c r="E853" s="183"/>
      <c r="F853" s="183"/>
    </row>
    <row r="856" spans="2:6" x14ac:dyDescent="0.35">
      <c r="B856" s="431" t="s">
        <v>165</v>
      </c>
      <c r="C856" s="431"/>
      <c r="D856" s="431"/>
      <c r="E856" s="151"/>
      <c r="F856" s="151"/>
    </row>
    <row r="857" spans="2:6" x14ac:dyDescent="0.35">
      <c r="B857" s="432"/>
      <c r="C857" s="150" t="s">
        <v>86</v>
      </c>
      <c r="D857" s="151" t="s">
        <v>87</v>
      </c>
      <c r="E857" s="151"/>
      <c r="F857" s="151"/>
    </row>
    <row r="858" spans="2:6" x14ac:dyDescent="0.35">
      <c r="B858" s="152">
        <v>2022</v>
      </c>
      <c r="C858" s="153">
        <v>14851.751</v>
      </c>
      <c r="D858" s="154">
        <f>+C858/$L$825</f>
        <v>285.55461647700002</v>
      </c>
      <c r="E858" s="154"/>
      <c r="F858" s="154"/>
    </row>
    <row r="859" spans="2:6" x14ac:dyDescent="0.35">
      <c r="B859" s="152">
        <v>2023</v>
      </c>
      <c r="C859" s="153">
        <v>19960.510999999999</v>
      </c>
      <c r="D859" s="154">
        <f>+C859/$L$825</f>
        <v>383.780744997</v>
      </c>
      <c r="E859" s="154"/>
      <c r="F859" s="154"/>
    </row>
    <row r="860" spans="2:6" x14ac:dyDescent="0.35">
      <c r="B860" s="152">
        <v>2024</v>
      </c>
      <c r="C860" s="153">
        <v>18025.396000000001</v>
      </c>
      <c r="D860" s="154">
        <f>+C860/$L$825</f>
        <v>346.57428889200003</v>
      </c>
      <c r="E860" s="154"/>
      <c r="F860" s="154"/>
    </row>
    <row r="861" spans="2:6" x14ac:dyDescent="0.35">
      <c r="B861" s="152">
        <v>2025</v>
      </c>
      <c r="C861" s="153">
        <v>18610.442999999999</v>
      </c>
      <c r="D861" s="154">
        <f>+C861/$L$825</f>
        <v>357.82298756099999</v>
      </c>
      <c r="E861" s="154"/>
      <c r="F861" s="154"/>
    </row>
    <row r="862" spans="2:6" x14ac:dyDescent="0.35">
      <c r="B862" s="152" t="s">
        <v>152</v>
      </c>
      <c r="C862" s="153">
        <v>147790.008</v>
      </c>
      <c r="D862" s="154">
        <f>+C862/$L$825</f>
        <v>2841.5584838160003</v>
      </c>
      <c r="E862" s="154"/>
      <c r="F862" s="154"/>
    </row>
    <row r="863" spans="2:6" x14ac:dyDescent="0.35">
      <c r="B863" s="155" t="s">
        <v>40</v>
      </c>
      <c r="C863" s="156">
        <f>+SUM(C858:C862)</f>
        <v>219238.109</v>
      </c>
      <c r="D863" s="156">
        <f>+SUM(D858:D862)</f>
        <v>4215.2911217430001</v>
      </c>
      <c r="E863" s="156"/>
      <c r="F863" s="156"/>
    </row>
    <row r="864" spans="2:6" x14ac:dyDescent="0.35">
      <c r="B864" s="152" t="s">
        <v>41</v>
      </c>
      <c r="C864" s="221">
        <f>C865-C863</f>
        <v>-1497.3409999999858</v>
      </c>
      <c r="D864" s="154">
        <f>+C864/$L$825</f>
        <v>-28.789375406999728</v>
      </c>
      <c r="E864" s="154"/>
      <c r="F864" s="154"/>
    </row>
    <row r="865" spans="1:12" x14ac:dyDescent="0.35">
      <c r="B865" s="155" t="s">
        <v>42</v>
      </c>
      <c r="C865" s="156">
        <f>C835</f>
        <v>217740.76800000001</v>
      </c>
      <c r="D865" s="156">
        <f>+D863+D864</f>
        <v>4186.501746336</v>
      </c>
      <c r="E865" s="156"/>
      <c r="F865" s="156"/>
    </row>
    <row r="866" spans="1:12" x14ac:dyDescent="0.35">
      <c r="B866" s="149" t="s">
        <v>43</v>
      </c>
      <c r="C866" s="169">
        <f>+C865-C835</f>
        <v>0</v>
      </c>
    </row>
    <row r="869" spans="1:12" x14ac:dyDescent="0.35">
      <c r="A869" s="122" t="s">
        <v>166</v>
      </c>
      <c r="K869" s="123" t="s">
        <v>167</v>
      </c>
      <c r="L869" s="124">
        <f>Model!AD201</f>
        <v>51.074348929737013</v>
      </c>
    </row>
    <row r="870" spans="1:12" ht="39.5" x14ac:dyDescent="0.35">
      <c r="K870" s="125" t="s">
        <v>168</v>
      </c>
      <c r="L870" s="124">
        <f>+AVERAGE(Model!AA200:AD200)</f>
        <v>49.791406271586958</v>
      </c>
    </row>
    <row r="872" spans="1:12" x14ac:dyDescent="0.35">
      <c r="B872" s="127" t="s">
        <v>169</v>
      </c>
      <c r="C872" s="128" t="s">
        <v>4</v>
      </c>
      <c r="D872" s="128" t="s">
        <v>5</v>
      </c>
      <c r="E872" s="129" t="s">
        <v>81</v>
      </c>
      <c r="F872" s="129" t="s">
        <v>7</v>
      </c>
    </row>
    <row r="873" spans="1:12" x14ac:dyDescent="0.35">
      <c r="A873" s="186">
        <f>SUM(C874:C875)/C882</f>
        <v>0.76950756702232026</v>
      </c>
      <c r="B873" s="130" t="s">
        <v>8</v>
      </c>
      <c r="C873" s="131"/>
      <c r="D873" s="132"/>
      <c r="E873" s="133"/>
      <c r="F873" s="133"/>
    </row>
    <row r="874" spans="1:12" x14ac:dyDescent="0.35">
      <c r="A874" s="186"/>
      <c r="B874" s="134" t="s">
        <v>10</v>
      </c>
      <c r="C874" s="131">
        <v>152018.09299999999</v>
      </c>
      <c r="D874" s="218">
        <f>C874/$L$869</f>
        <v>2976.4078482749001</v>
      </c>
      <c r="E874" s="133"/>
      <c r="F874" s="133"/>
    </row>
    <row r="875" spans="1:12" x14ac:dyDescent="0.35">
      <c r="A875" s="186"/>
      <c r="B875" s="134" t="s">
        <v>12</v>
      </c>
      <c r="C875" s="131">
        <v>24917.025000000001</v>
      </c>
      <c r="D875" s="218">
        <f t="shared" ref="D875:D878" si="19">C875/$L$869</f>
        <v>487.85790758250005</v>
      </c>
      <c r="E875" s="133"/>
      <c r="F875" s="133"/>
    </row>
    <row r="876" spans="1:12" x14ac:dyDescent="0.35">
      <c r="A876" s="186">
        <f>SUM(C877:C878)/C882</f>
        <v>0.14403526785192974</v>
      </c>
      <c r="B876" s="130" t="s">
        <v>16</v>
      </c>
      <c r="C876" s="131"/>
      <c r="D876" s="218">
        <f t="shared" si="19"/>
        <v>0</v>
      </c>
      <c r="E876" s="133"/>
      <c r="F876" s="133"/>
    </row>
    <row r="877" spans="1:12" x14ac:dyDescent="0.35">
      <c r="A877" s="186"/>
      <c r="B877" s="134" t="s">
        <v>10</v>
      </c>
      <c r="C877" s="131">
        <v>2983.268</v>
      </c>
      <c r="D877" s="218">
        <f t="shared" si="19"/>
        <v>58.410299152400007</v>
      </c>
      <c r="E877" s="133"/>
      <c r="F877" s="133"/>
    </row>
    <row r="878" spans="1:12" x14ac:dyDescent="0.35">
      <c r="A878" s="186"/>
      <c r="B878" s="134" t="s">
        <v>12</v>
      </c>
      <c r="C878" s="131">
        <v>30135.181</v>
      </c>
      <c r="D878" s="218">
        <f t="shared" si="19"/>
        <v>590.02574935330006</v>
      </c>
      <c r="E878" s="133"/>
      <c r="F878" s="133"/>
    </row>
    <row r="879" spans="1:12" x14ac:dyDescent="0.35">
      <c r="A879" s="186"/>
      <c r="B879" s="136" t="s">
        <v>19</v>
      </c>
      <c r="C879" s="137">
        <f>+C874+C875+C877+C878</f>
        <v>210053.56700000001</v>
      </c>
      <c r="D879" s="137">
        <f>+D874+D875+D877+D878</f>
        <v>4112.7018043631006</v>
      </c>
      <c r="E879" s="138"/>
      <c r="F879" s="139"/>
    </row>
    <row r="880" spans="1:12" x14ac:dyDescent="0.35">
      <c r="A880" s="186">
        <f>SUM(C880:C881)/C882</f>
        <v>8.645716512574983E-2</v>
      </c>
      <c r="B880" s="135" t="s">
        <v>20</v>
      </c>
      <c r="C880" s="131">
        <v>3664.3440000000001</v>
      </c>
      <c r="D880" s="218">
        <f>C880/$L$869</f>
        <v>71.745290479200008</v>
      </c>
      <c r="E880" s="138"/>
      <c r="F880" s="139"/>
    </row>
    <row r="881" spans="2:8" x14ac:dyDescent="0.35">
      <c r="B881" s="135" t="s">
        <v>46</v>
      </c>
      <c r="C881" s="131">
        <v>16215.004000000001</v>
      </c>
      <c r="D881" s="218">
        <f>C881/$L$869</f>
        <v>317.47842781720004</v>
      </c>
      <c r="E881" s="138"/>
      <c r="F881" s="139"/>
    </row>
    <row r="882" spans="2:8" x14ac:dyDescent="0.35">
      <c r="B882" s="140" t="s">
        <v>24</v>
      </c>
      <c r="C882" s="141">
        <f>C879+C880+C881</f>
        <v>229932.91500000004</v>
      </c>
      <c r="D882" s="141">
        <f>D879+D880+D881</f>
        <v>4501.9255226595005</v>
      </c>
      <c r="E882" s="142">
        <f>C882/C887</f>
        <v>3.0689687969793504</v>
      </c>
      <c r="F882" s="142">
        <f>D882/D887</f>
        <v>2.9918790039877092</v>
      </c>
    </row>
    <row r="883" spans="2:8" x14ac:dyDescent="0.35">
      <c r="B883" s="135" t="s">
        <v>15</v>
      </c>
      <c r="C883" s="132">
        <f>Model!AD122</f>
        <v>24239.195</v>
      </c>
      <c r="D883" s="218">
        <f>C883/$L$869</f>
        <v>474.58647066350005</v>
      </c>
      <c r="E883" s="143"/>
      <c r="F883" s="143"/>
    </row>
    <row r="884" spans="2:8" x14ac:dyDescent="0.35">
      <c r="B884" s="140" t="s">
        <v>17</v>
      </c>
      <c r="C884" s="141">
        <f>C882-C883</f>
        <v>205693.72000000003</v>
      </c>
      <c r="D884" s="141">
        <f>D882-D883</f>
        <v>4027.3390519960003</v>
      </c>
      <c r="E884" s="142">
        <f>C884/C887</f>
        <v>2.7454425496871875</v>
      </c>
      <c r="F884" s="142">
        <f>D884/D887</f>
        <v>2.6764794510613092</v>
      </c>
      <c r="H884" s="220"/>
    </row>
    <row r="885" spans="2:8" x14ac:dyDescent="0.35">
      <c r="B885" s="136" t="s">
        <v>27</v>
      </c>
      <c r="C885" s="144">
        <f>Model!AD127</f>
        <v>114102.178</v>
      </c>
      <c r="D885" s="145"/>
      <c r="E885" s="146"/>
      <c r="F885" s="135"/>
    </row>
    <row r="886" spans="2:8" x14ac:dyDescent="0.35">
      <c r="B886" s="136" t="s">
        <v>28</v>
      </c>
      <c r="C886" s="147">
        <f>C884+C885</f>
        <v>319795.89800000004</v>
      </c>
      <c r="D886" s="147"/>
      <c r="E886" s="146"/>
      <c r="F886" s="135"/>
    </row>
    <row r="887" spans="2:8" x14ac:dyDescent="0.35">
      <c r="B887" s="135" t="s">
        <v>18</v>
      </c>
      <c r="C887" s="148">
        <f>Model!AD87</f>
        <v>74921.880999999994</v>
      </c>
      <c r="D887" s="218">
        <f>C887/$L$870</f>
        <v>1504.7151026693039</v>
      </c>
      <c r="E887" s="135"/>
      <c r="F887" s="135"/>
    </row>
    <row r="888" spans="2:8" x14ac:dyDescent="0.35">
      <c r="B888" s="149" t="s">
        <v>29</v>
      </c>
      <c r="C888" s="207">
        <f>C882-Model!AD120</f>
        <v>0</v>
      </c>
    </row>
    <row r="890" spans="2:8" x14ac:dyDescent="0.35">
      <c r="B890" s="159" t="s">
        <v>170</v>
      </c>
      <c r="C890" s="160" t="s">
        <v>4</v>
      </c>
      <c r="D890" s="160" t="s">
        <v>5</v>
      </c>
      <c r="E890" s="179"/>
      <c r="F890" s="179"/>
    </row>
    <row r="891" spans="2:8" x14ac:dyDescent="0.35">
      <c r="B891" s="161" t="s">
        <v>35</v>
      </c>
      <c r="C891" s="162"/>
      <c r="D891" s="162"/>
      <c r="E891" s="180"/>
      <c r="F891" s="180"/>
    </row>
    <row r="892" spans="2:8" x14ac:dyDescent="0.35">
      <c r="B892" s="166" t="s">
        <v>10</v>
      </c>
      <c r="C892" s="233">
        <v>43577.01</v>
      </c>
      <c r="D892" s="219">
        <f>C892/$L$869</f>
        <v>853.20735189300012</v>
      </c>
      <c r="E892" s="181"/>
      <c r="F892" s="181"/>
    </row>
    <row r="893" spans="2:8" x14ac:dyDescent="0.35">
      <c r="B893" s="166" t="s">
        <v>12</v>
      </c>
      <c r="C893" s="167">
        <f>+D893*$L$869</f>
        <v>6857.2420873064912</v>
      </c>
      <c r="D893" s="162">
        <v>134.26</v>
      </c>
      <c r="E893" s="180"/>
      <c r="F893" s="180"/>
    </row>
    <row r="894" spans="2:8" x14ac:dyDescent="0.35">
      <c r="B894" s="161" t="s">
        <v>36</v>
      </c>
      <c r="C894" s="162"/>
      <c r="D894" s="162"/>
      <c r="E894" s="180"/>
      <c r="F894" s="180"/>
    </row>
    <row r="895" spans="2:8" x14ac:dyDescent="0.35">
      <c r="B895" s="166" t="s">
        <v>10</v>
      </c>
      <c r="C895" s="162">
        <v>3000</v>
      </c>
      <c r="D895" s="219">
        <f>C895/$L$869</f>
        <v>58.737900000000003</v>
      </c>
      <c r="E895" s="181"/>
      <c r="F895" s="181"/>
    </row>
    <row r="896" spans="2:8" x14ac:dyDescent="0.35">
      <c r="B896" s="161" t="s">
        <v>15</v>
      </c>
      <c r="C896" s="163">
        <f>+C883</f>
        <v>24239.195</v>
      </c>
      <c r="D896" s="219">
        <f>C896/$L$869</f>
        <v>474.58647066350005</v>
      </c>
      <c r="E896" s="182"/>
      <c r="F896" s="182"/>
    </row>
    <row r="897" spans="2:6" x14ac:dyDescent="0.35">
      <c r="B897" s="164" t="s">
        <v>37</v>
      </c>
      <c r="C897" s="165">
        <f>+C892+C893+C895+C896</f>
        <v>77673.4470873065</v>
      </c>
      <c r="D897" s="165">
        <f>+D892+D893+D895+D896</f>
        <v>1520.7917225565002</v>
      </c>
      <c r="E897" s="183"/>
      <c r="F897" s="183"/>
    </row>
    <row r="900" spans="2:6" x14ac:dyDescent="0.35">
      <c r="B900" s="431" t="s">
        <v>171</v>
      </c>
      <c r="C900" s="431"/>
      <c r="D900" s="431"/>
      <c r="E900" s="151"/>
      <c r="F900" s="151"/>
    </row>
    <row r="901" spans="2:6" x14ac:dyDescent="0.35">
      <c r="B901" s="432"/>
      <c r="C901" s="150" t="s">
        <v>86</v>
      </c>
      <c r="D901" s="151" t="s">
        <v>87</v>
      </c>
      <c r="E901" s="151"/>
      <c r="F901" s="151"/>
    </row>
    <row r="902" spans="2:6" x14ac:dyDescent="0.35">
      <c r="B902" s="152">
        <v>2021</v>
      </c>
      <c r="C902" s="153">
        <v>0</v>
      </c>
      <c r="D902" s="154">
        <f>+C902/$L$914</f>
        <v>0</v>
      </c>
      <c r="E902" s="154"/>
      <c r="F902" s="154"/>
    </row>
    <row r="903" spans="2:6" x14ac:dyDescent="0.35">
      <c r="B903" s="152">
        <v>2022</v>
      </c>
      <c r="C903" s="153">
        <v>16113.555</v>
      </c>
      <c r="D903" s="154">
        <f>+C903/$L$869</f>
        <v>315.49212741150006</v>
      </c>
      <c r="E903" s="154"/>
      <c r="F903" s="154"/>
    </row>
    <row r="904" spans="2:6" x14ac:dyDescent="0.35">
      <c r="B904" s="152">
        <v>2023</v>
      </c>
      <c r="C904" s="153">
        <v>19901.071</v>
      </c>
      <c r="D904" s="154">
        <f t="shared" ref="D904:D906" si="20">+C904/$L$869</f>
        <v>389.64903943030004</v>
      </c>
      <c r="E904" s="154"/>
      <c r="F904" s="154"/>
    </row>
    <row r="905" spans="2:6" x14ac:dyDescent="0.35">
      <c r="B905" s="152">
        <v>2024</v>
      </c>
      <c r="C905" s="153">
        <v>17953.305</v>
      </c>
      <c r="D905" s="154">
        <f t="shared" si="20"/>
        <v>351.51314458650006</v>
      </c>
      <c r="E905" s="154"/>
      <c r="F905" s="154"/>
    </row>
    <row r="906" spans="2:6" x14ac:dyDescent="0.35">
      <c r="B906" s="152" t="s">
        <v>172</v>
      </c>
      <c r="C906" s="153">
        <f>18601.379+139004.076</f>
        <v>157605.45500000002</v>
      </c>
      <c r="D906" s="154">
        <f t="shared" si="20"/>
        <v>3085.8044850815008</v>
      </c>
      <c r="E906" s="154"/>
      <c r="F906" s="154"/>
    </row>
    <row r="907" spans="2:6" x14ac:dyDescent="0.35">
      <c r="B907" s="155" t="s">
        <v>40</v>
      </c>
      <c r="C907" s="156">
        <f>+SUM(C902:C906)</f>
        <v>211573.38600000003</v>
      </c>
      <c r="D907" s="156">
        <f>+SUM(D902:D906)</f>
        <v>4142.4587965098008</v>
      </c>
      <c r="E907" s="156"/>
      <c r="F907" s="156"/>
    </row>
    <row r="908" spans="2:6" x14ac:dyDescent="0.35">
      <c r="B908" s="152" t="s">
        <v>41</v>
      </c>
      <c r="C908" s="221">
        <f>C909-C907</f>
        <v>-1519.8190000000177</v>
      </c>
      <c r="D908" s="154">
        <f>+C908/$L$869</f>
        <v>-29.756992146700348</v>
      </c>
      <c r="E908" s="154"/>
      <c r="F908" s="154"/>
    </row>
    <row r="909" spans="2:6" x14ac:dyDescent="0.35">
      <c r="B909" s="155" t="s">
        <v>42</v>
      </c>
      <c r="C909" s="156">
        <f>C879</f>
        <v>210053.56700000001</v>
      </c>
      <c r="D909" s="156">
        <f>+D907+D908</f>
        <v>4112.7018043631006</v>
      </c>
      <c r="E909" s="156"/>
      <c r="F909" s="156"/>
    </row>
    <row r="910" spans="2:6" x14ac:dyDescent="0.35">
      <c r="B910" s="149" t="s">
        <v>43</v>
      </c>
      <c r="C910" s="169">
        <f>+C909-C879</f>
        <v>0</v>
      </c>
    </row>
    <row r="914" spans="1:12" x14ac:dyDescent="0.35">
      <c r="A914" s="122" t="s">
        <v>173</v>
      </c>
      <c r="K914" s="123" t="s">
        <v>174</v>
      </c>
      <c r="L914" s="124">
        <f>Model!AC201</f>
        <v>51.02</v>
      </c>
    </row>
    <row r="915" spans="1:12" ht="39.5" x14ac:dyDescent="0.35">
      <c r="K915" s="125" t="s">
        <v>175</v>
      </c>
      <c r="L915" s="124">
        <f>+AVERAGE(Model!Z200:AC200)</f>
        <v>49.784362655369826</v>
      </c>
    </row>
    <row r="917" spans="1:12" x14ac:dyDescent="0.35">
      <c r="B917" s="127" t="s">
        <v>176</v>
      </c>
      <c r="C917" s="128" t="s">
        <v>4</v>
      </c>
      <c r="D917" s="128" t="s">
        <v>5</v>
      </c>
      <c r="E917" s="129" t="s">
        <v>81</v>
      </c>
      <c r="F917" s="129" t="s">
        <v>7</v>
      </c>
    </row>
    <row r="918" spans="1:12" x14ac:dyDescent="0.35">
      <c r="A918" s="186">
        <f>SUM(C919:C920)/C927</f>
        <v>0.78728280049332722</v>
      </c>
      <c r="B918" s="130" t="s">
        <v>8</v>
      </c>
      <c r="C918" s="131"/>
      <c r="D918" s="132"/>
      <c r="E918" s="133"/>
      <c r="F918" s="133"/>
    </row>
    <row r="919" spans="1:12" x14ac:dyDescent="0.35">
      <c r="A919" s="186"/>
      <c r="B919" s="134" t="s">
        <v>10</v>
      </c>
      <c r="C919" s="131">
        <v>149109.04999999999</v>
      </c>
      <c r="D919" s="218">
        <f>C919/$L$914</f>
        <v>2922.5607604860834</v>
      </c>
      <c r="E919" s="133"/>
      <c r="F919" s="133"/>
    </row>
    <row r="920" spans="1:12" x14ac:dyDescent="0.35">
      <c r="A920" s="186"/>
      <c r="B920" s="134" t="s">
        <v>12</v>
      </c>
      <c r="C920" s="131">
        <v>25254.324000000001</v>
      </c>
      <c r="D920" s="218">
        <f>C920/$L$914</f>
        <v>494.98871030968246</v>
      </c>
      <c r="E920" s="133"/>
      <c r="F920" s="133"/>
    </row>
    <row r="921" spans="1:12" x14ac:dyDescent="0.35">
      <c r="A921" s="186">
        <f>SUM(C922:C923)/C927</f>
        <v>0.14922638206218711</v>
      </c>
      <c r="B921" s="130" t="s">
        <v>16</v>
      </c>
      <c r="C921" s="131"/>
      <c r="D921" s="132"/>
      <c r="E921" s="133"/>
      <c r="F921" s="133"/>
    </row>
    <row r="922" spans="1:12" x14ac:dyDescent="0.35">
      <c r="A922" s="186"/>
      <c r="B922" s="134" t="s">
        <v>10</v>
      </c>
      <c r="C922" s="131">
        <v>2980.7310000000002</v>
      </c>
      <c r="D922" s="218">
        <f>C922/$L$914</f>
        <v>58.422794982359861</v>
      </c>
      <c r="E922" s="133"/>
      <c r="F922" s="133"/>
    </row>
    <row r="923" spans="1:12" x14ac:dyDescent="0.35">
      <c r="A923" s="186"/>
      <c r="B923" s="134" t="s">
        <v>12</v>
      </c>
      <c r="C923" s="131">
        <v>30069.166000000001</v>
      </c>
      <c r="D923" s="218">
        <f>C923/$L$914</f>
        <v>589.36036848294782</v>
      </c>
      <c r="E923" s="133"/>
      <c r="F923" s="133"/>
    </row>
    <row r="924" spans="1:12" x14ac:dyDescent="0.35">
      <c r="A924" s="186"/>
      <c r="B924" s="136" t="s">
        <v>19</v>
      </c>
      <c r="C924" s="137">
        <f>+C919+C920+C922+C923</f>
        <v>207413.27099999998</v>
      </c>
      <c r="D924" s="137">
        <f>+D919+D920+D922+D923</f>
        <v>4065.3326342610735</v>
      </c>
      <c r="E924" s="138"/>
      <c r="F924" s="139"/>
    </row>
    <row r="925" spans="1:12" x14ac:dyDescent="0.35">
      <c r="A925" s="186">
        <f>SUM(C925:C926)/C927</f>
        <v>6.3490817444485689E-2</v>
      </c>
      <c r="B925" s="135" t="s">
        <v>20</v>
      </c>
      <c r="C925" s="131">
        <v>959.50699999999995</v>
      </c>
      <c r="D925" s="218">
        <f>C925/$L$914</f>
        <v>18.806487651901215</v>
      </c>
      <c r="E925" s="138"/>
      <c r="F925" s="139"/>
    </row>
    <row r="926" spans="1:12" x14ac:dyDescent="0.35">
      <c r="B926" s="135" t="s">
        <v>46</v>
      </c>
      <c r="C926" s="131">
        <v>13102.115</v>
      </c>
      <c r="D926" s="218">
        <f>C926/$L$914</f>
        <v>256.8035084280674</v>
      </c>
      <c r="E926" s="138"/>
      <c r="F926" s="139"/>
    </row>
    <row r="927" spans="1:12" x14ac:dyDescent="0.35">
      <c r="B927" s="140" t="s">
        <v>24</v>
      </c>
      <c r="C927" s="141">
        <f>C924+C925+C926</f>
        <v>221474.89299999998</v>
      </c>
      <c r="D927" s="141">
        <f>D924+D925+D926</f>
        <v>4340.9426303410419</v>
      </c>
      <c r="E927" s="142">
        <f>C927/C932</f>
        <v>2.9859258910025361</v>
      </c>
      <c r="F927" s="142">
        <f>D927/D932</f>
        <v>2.9136106903122014</v>
      </c>
    </row>
    <row r="928" spans="1:12" x14ac:dyDescent="0.35">
      <c r="B928" s="135" t="s">
        <v>15</v>
      </c>
      <c r="C928" s="132">
        <f>Model!AC122</f>
        <v>12704.713</v>
      </c>
      <c r="D928" s="218">
        <f>C928/$L$914</f>
        <v>249.01436691493529</v>
      </c>
      <c r="E928" s="143"/>
      <c r="F928" s="143"/>
    </row>
    <row r="929" spans="2:8" x14ac:dyDescent="0.35">
      <c r="B929" s="140" t="s">
        <v>17</v>
      </c>
      <c r="C929" s="141">
        <f>C927-C928</f>
        <v>208770.18</v>
      </c>
      <c r="D929" s="141">
        <f>D927-D928</f>
        <v>4091.9282634261067</v>
      </c>
      <c r="E929" s="142">
        <f>C929/C932</f>
        <v>2.8146408709688817</v>
      </c>
      <c r="F929" s="142">
        <f>D929/D932</f>
        <v>2.7464739683445858</v>
      </c>
      <c r="H929" s="220"/>
    </row>
    <row r="930" spans="2:8" x14ac:dyDescent="0.35">
      <c r="B930" s="136" t="s">
        <v>27</v>
      </c>
      <c r="C930" s="144">
        <f>Model!AC127</f>
        <v>80157.563999999998</v>
      </c>
      <c r="D930" s="145"/>
      <c r="E930" s="146"/>
      <c r="F930" s="135"/>
    </row>
    <row r="931" spans="2:8" x14ac:dyDescent="0.35">
      <c r="B931" s="136" t="s">
        <v>28</v>
      </c>
      <c r="C931" s="147">
        <f>C929+C930</f>
        <v>288927.74400000001</v>
      </c>
      <c r="D931" s="147"/>
      <c r="E931" s="146"/>
      <c r="F931" s="135"/>
    </row>
    <row r="932" spans="2:8" x14ac:dyDescent="0.35">
      <c r="B932" s="135" t="s">
        <v>18</v>
      </c>
      <c r="C932" s="148">
        <f>Model!AC87</f>
        <v>74172.937000000005</v>
      </c>
      <c r="D932" s="218">
        <f>C932/$L$915</f>
        <v>1489.8842335987922</v>
      </c>
      <c r="E932" s="135"/>
      <c r="F932" s="135"/>
    </row>
    <row r="933" spans="2:8" x14ac:dyDescent="0.35">
      <c r="B933" s="149" t="s">
        <v>29</v>
      </c>
      <c r="C933" s="207">
        <f>C927-Model!AC120</f>
        <v>0</v>
      </c>
    </row>
    <row r="935" spans="2:8" x14ac:dyDescent="0.35">
      <c r="B935" s="159" t="s">
        <v>177</v>
      </c>
      <c r="C935" s="160" t="s">
        <v>4</v>
      </c>
      <c r="D935" s="160" t="s">
        <v>5</v>
      </c>
      <c r="E935" s="179"/>
      <c r="F935" s="179"/>
    </row>
    <row r="936" spans="2:8" x14ac:dyDescent="0.35">
      <c r="B936" s="161" t="s">
        <v>35</v>
      </c>
      <c r="C936" s="162"/>
      <c r="D936" s="162"/>
      <c r="E936" s="180"/>
      <c r="F936" s="180"/>
    </row>
    <row r="937" spans="2:8" x14ac:dyDescent="0.35">
      <c r="B937" s="166" t="s">
        <v>10</v>
      </c>
      <c r="C937" s="162">
        <v>41131.01</v>
      </c>
      <c r="D937" s="219">
        <f>C937/$L$914</f>
        <v>806.17424539396313</v>
      </c>
      <c r="E937" s="181"/>
      <c r="F937" s="181"/>
    </row>
    <row r="938" spans="2:8" x14ac:dyDescent="0.35">
      <c r="B938" s="166" t="s">
        <v>12</v>
      </c>
      <c r="C938" s="167">
        <f>+D938*$L$914</f>
        <v>5319.3452000000007</v>
      </c>
      <c r="D938" s="162">
        <v>104.26</v>
      </c>
      <c r="E938" s="180"/>
      <c r="F938" s="180"/>
    </row>
    <row r="939" spans="2:8" x14ac:dyDescent="0.35">
      <c r="B939" s="161" t="s">
        <v>36</v>
      </c>
      <c r="C939" s="162"/>
      <c r="D939" s="162"/>
      <c r="E939" s="180"/>
      <c r="F939" s="180"/>
    </row>
    <row r="940" spans="2:8" x14ac:dyDescent="0.35">
      <c r="B940" s="166" t="s">
        <v>10</v>
      </c>
      <c r="C940" s="162">
        <v>3000</v>
      </c>
      <c r="D940" s="219">
        <f>C940/$L$914</f>
        <v>58.800470403763228</v>
      </c>
      <c r="E940" s="181"/>
      <c r="F940" s="181"/>
    </row>
    <row r="941" spans="2:8" x14ac:dyDescent="0.35">
      <c r="B941" s="161" t="s">
        <v>15</v>
      </c>
      <c r="C941" s="163">
        <f>+C928</f>
        <v>12704.713</v>
      </c>
      <c r="D941" s="219">
        <f>C941/$L$914</f>
        <v>249.01436691493529</v>
      </c>
      <c r="E941" s="182"/>
      <c r="F941" s="182"/>
    </row>
    <row r="942" spans="2:8" x14ac:dyDescent="0.35">
      <c r="B942" s="164" t="s">
        <v>37</v>
      </c>
      <c r="C942" s="165">
        <f>+C937+C938+C940+C941</f>
        <v>62155.068200000009</v>
      </c>
      <c r="D942" s="165">
        <f>+D937+D938+D940+D941</f>
        <v>1218.2490827126617</v>
      </c>
      <c r="E942" s="183"/>
      <c r="F942" s="183"/>
    </row>
    <row r="945" spans="1:12" x14ac:dyDescent="0.35">
      <c r="B945" s="431" t="s">
        <v>178</v>
      </c>
      <c r="C945" s="431"/>
      <c r="D945" s="431"/>
      <c r="E945" s="151"/>
      <c r="F945" s="151"/>
    </row>
    <row r="946" spans="1:12" x14ac:dyDescent="0.35">
      <c r="B946" s="432"/>
      <c r="C946" s="150" t="s">
        <v>86</v>
      </c>
      <c r="D946" s="151" t="s">
        <v>87</v>
      </c>
      <c r="E946" s="151"/>
      <c r="F946" s="151"/>
    </row>
    <row r="947" spans="1:12" x14ac:dyDescent="0.35">
      <c r="B947" s="152">
        <v>2021</v>
      </c>
      <c r="C947" s="153">
        <v>4828.2839999999997</v>
      </c>
      <c r="D947" s="154">
        <f>+C947/$L$914</f>
        <v>94.635123480987829</v>
      </c>
      <c r="E947" s="154"/>
      <c r="F947" s="154"/>
    </row>
    <row r="948" spans="1:12" x14ac:dyDescent="0.35">
      <c r="B948" s="152">
        <v>2022</v>
      </c>
      <c r="C948" s="153">
        <v>15769.125</v>
      </c>
      <c r="D948" s="154">
        <f t="shared" ref="D948:D953" si="21">+C948/$L$914</f>
        <v>309.07732261858092</v>
      </c>
      <c r="E948" s="154"/>
      <c r="F948" s="154"/>
    </row>
    <row r="949" spans="1:12" x14ac:dyDescent="0.35">
      <c r="B949" s="152">
        <v>2023</v>
      </c>
      <c r="C949" s="153">
        <v>19894.795999999998</v>
      </c>
      <c r="D949" s="154">
        <f t="shared" si="21"/>
        <v>389.94112112896897</v>
      </c>
      <c r="E949" s="154"/>
      <c r="F949" s="154"/>
    </row>
    <row r="950" spans="1:12" x14ac:dyDescent="0.35">
      <c r="B950" s="152">
        <v>2024</v>
      </c>
      <c r="C950" s="153">
        <v>17895.719000000001</v>
      </c>
      <c r="D950" s="154">
        <f t="shared" si="21"/>
        <v>350.75889847118776</v>
      </c>
      <c r="E950" s="154"/>
      <c r="F950" s="154"/>
    </row>
    <row r="951" spans="1:12" x14ac:dyDescent="0.35">
      <c r="B951" s="152" t="s">
        <v>172</v>
      </c>
      <c r="C951" s="153">
        <v>150573.897</v>
      </c>
      <c r="D951" s="154">
        <f t="shared" si="21"/>
        <v>2951.2719913759306</v>
      </c>
      <c r="E951" s="154"/>
      <c r="F951" s="154"/>
    </row>
    <row r="952" spans="1:12" x14ac:dyDescent="0.35">
      <c r="B952" s="155" t="s">
        <v>40</v>
      </c>
      <c r="C952" s="156">
        <f>+SUM(C947:C951)</f>
        <v>208961.821</v>
      </c>
      <c r="D952" s="156">
        <f>+SUM(D947:D951)</f>
        <v>4095.6844570756562</v>
      </c>
      <c r="E952" s="156"/>
      <c r="F952" s="156"/>
    </row>
    <row r="953" spans="1:12" x14ac:dyDescent="0.35">
      <c r="B953" s="152" t="s">
        <v>41</v>
      </c>
      <c r="C953" s="221">
        <f>C954-C952</f>
        <v>-1548.5500000000175</v>
      </c>
      <c r="D953" s="154">
        <f t="shared" si="21"/>
        <v>-30.351822814582857</v>
      </c>
      <c r="E953" s="154"/>
      <c r="F953" s="154"/>
    </row>
    <row r="954" spans="1:12" x14ac:dyDescent="0.35">
      <c r="B954" s="155" t="s">
        <v>42</v>
      </c>
      <c r="C954" s="156">
        <f>C924</f>
        <v>207413.27099999998</v>
      </c>
      <c r="D954" s="156">
        <f>+D952+D953</f>
        <v>4065.3326342610735</v>
      </c>
      <c r="E954" s="156"/>
      <c r="F954" s="156"/>
    </row>
    <row r="955" spans="1:12" x14ac:dyDescent="0.35">
      <c r="B955" s="149" t="s">
        <v>43</v>
      </c>
      <c r="C955" s="169">
        <f>+C954-C924</f>
        <v>0</v>
      </c>
    </row>
    <row r="959" spans="1:12" x14ac:dyDescent="0.35">
      <c r="A959" s="122" t="s">
        <v>179</v>
      </c>
      <c r="K959" s="123" t="s">
        <v>180</v>
      </c>
      <c r="L959" s="124">
        <f>Model!AB201</f>
        <v>48.632691868127594</v>
      </c>
    </row>
    <row r="960" spans="1:12" ht="39.5" x14ac:dyDescent="0.35">
      <c r="K960" s="125" t="s">
        <v>181</v>
      </c>
      <c r="L960" s="124">
        <f>+AVERAGE(Model!Y200:AB200)</f>
        <v>49.557776171853874</v>
      </c>
    </row>
    <row r="962" spans="1:8" x14ac:dyDescent="0.35">
      <c r="B962" s="127" t="s">
        <v>182</v>
      </c>
      <c r="C962" s="128" t="s">
        <v>4</v>
      </c>
      <c r="D962" s="128" t="s">
        <v>5</v>
      </c>
      <c r="E962" s="129" t="s">
        <v>81</v>
      </c>
      <c r="F962" s="129" t="s">
        <v>7</v>
      </c>
    </row>
    <row r="963" spans="1:8" x14ac:dyDescent="0.35">
      <c r="A963" s="186">
        <f>SUM(C964:C965)/C972</f>
        <v>0.80513371042989734</v>
      </c>
      <c r="B963" s="130" t="s">
        <v>8</v>
      </c>
      <c r="C963" s="131"/>
      <c r="D963" s="132"/>
      <c r="E963" s="133"/>
      <c r="F963" s="133"/>
    </row>
    <row r="964" spans="1:8" x14ac:dyDescent="0.35">
      <c r="A964" s="186"/>
      <c r="B964" s="134" t="s">
        <v>10</v>
      </c>
      <c r="C964" s="131">
        <v>133050.46299999999</v>
      </c>
      <c r="D964" s="218">
        <f>C964/$L$959</f>
        <v>2735.8235353448995</v>
      </c>
      <c r="E964" s="133"/>
      <c r="F964" s="133"/>
    </row>
    <row r="965" spans="1:8" x14ac:dyDescent="0.35">
      <c r="A965" s="186"/>
      <c r="B965" s="134" t="s">
        <v>12</v>
      </c>
      <c r="C965" s="131">
        <v>19403.382000000001</v>
      </c>
      <c r="D965" s="218">
        <f>C965/$L$959</f>
        <v>398.97816169859999</v>
      </c>
      <c r="E965" s="133"/>
      <c r="F965" s="133"/>
    </row>
    <row r="966" spans="1:8" x14ac:dyDescent="0.35">
      <c r="A966" s="186">
        <f>SUM(C967:C968)/C972</f>
        <v>0.16758966004552561</v>
      </c>
      <c r="B966" s="130" t="s">
        <v>16</v>
      </c>
      <c r="C966" s="131"/>
      <c r="D966" s="132"/>
      <c r="E966" s="133"/>
      <c r="F966" s="133"/>
    </row>
    <row r="967" spans="1:8" x14ac:dyDescent="0.35">
      <c r="A967" s="186"/>
      <c r="B967" s="134" t="s">
        <v>10</v>
      </c>
      <c r="C967" s="131">
        <v>2978.1950000000002</v>
      </c>
      <c r="D967" s="218">
        <f>C967/$L$959</f>
        <v>61.238539048500002</v>
      </c>
      <c r="E967" s="133"/>
      <c r="F967" s="133"/>
    </row>
    <row r="968" spans="1:8" x14ac:dyDescent="0.35">
      <c r="A968" s="186"/>
      <c r="B968" s="134" t="s">
        <v>12</v>
      </c>
      <c r="C968" s="131">
        <v>28755.276999999998</v>
      </c>
      <c r="D968" s="218">
        <f>C968/$L$959</f>
        <v>591.27463225709994</v>
      </c>
      <c r="E968" s="133"/>
      <c r="F968" s="133"/>
    </row>
    <row r="969" spans="1:8" x14ac:dyDescent="0.35">
      <c r="A969" s="186"/>
      <c r="B969" s="136" t="s">
        <v>19</v>
      </c>
      <c r="C969" s="137">
        <f>+C964+C965+C967+C968</f>
        <v>184187.31700000001</v>
      </c>
      <c r="D969" s="137">
        <f>+D964+D965+D967+D968</f>
        <v>3787.3148683490999</v>
      </c>
      <c r="E969" s="138"/>
      <c r="F969" s="139"/>
    </row>
    <row r="970" spans="1:8" x14ac:dyDescent="0.35">
      <c r="A970" s="186">
        <f>SUM(C970:C971)/C972</f>
        <v>2.7276629524576917E-2</v>
      </c>
      <c r="B970" s="135" t="s">
        <v>20</v>
      </c>
      <c r="C970" s="131">
        <v>965.30899999999997</v>
      </c>
      <c r="D970" s="218">
        <f>C970/$L$959</f>
        <v>19.848973250699999</v>
      </c>
      <c r="E970" s="138"/>
      <c r="F970" s="139"/>
    </row>
    <row r="971" spans="1:8" x14ac:dyDescent="0.35">
      <c r="B971" s="135" t="s">
        <v>46</v>
      </c>
      <c r="C971" s="131">
        <v>4199.5810000000001</v>
      </c>
      <c r="D971" s="218">
        <f>C971/$L$959</f>
        <v>86.353044396300007</v>
      </c>
      <c r="E971" s="138"/>
      <c r="F971" s="139"/>
    </row>
    <row r="972" spans="1:8" x14ac:dyDescent="0.35">
      <c r="B972" s="140" t="s">
        <v>24</v>
      </c>
      <c r="C972" s="141">
        <f>C969+C970+C971</f>
        <v>189352.20700000002</v>
      </c>
      <c r="D972" s="141">
        <f>D969+D970+D971</f>
        <v>3893.5168859961</v>
      </c>
      <c r="E972" s="142">
        <f>C972/C977</f>
        <v>2.6118552348072561</v>
      </c>
      <c r="F972" s="142">
        <f>D972/D977</f>
        <v>2.6615375819797551</v>
      </c>
    </row>
    <row r="973" spans="1:8" x14ac:dyDescent="0.35">
      <c r="B973" s="135" t="s">
        <v>15</v>
      </c>
      <c r="C973" s="132">
        <f>Model!AB122</f>
        <v>14628.956</v>
      </c>
      <c r="D973" s="218">
        <f>C973/$L$959</f>
        <v>300.8049819588</v>
      </c>
      <c r="E973" s="143"/>
      <c r="F973" s="143"/>
    </row>
    <row r="974" spans="1:8" x14ac:dyDescent="0.35">
      <c r="B974" s="140" t="s">
        <v>17</v>
      </c>
      <c r="C974" s="141">
        <f>C972-C973</f>
        <v>174723.25100000002</v>
      </c>
      <c r="D974" s="141">
        <f>D972-D973</f>
        <v>3592.7119040373</v>
      </c>
      <c r="E974" s="142">
        <f>C974/C977</f>
        <v>2.4100687549255349</v>
      </c>
      <c r="F974" s="142">
        <f>D974/D977</f>
        <v>2.4559127477303808</v>
      </c>
      <c r="H974" s="220"/>
    </row>
    <row r="975" spans="1:8" x14ac:dyDescent="0.35">
      <c r="B975" s="136" t="s">
        <v>27</v>
      </c>
      <c r="C975" s="144">
        <f>Model!AB127</f>
        <v>88756.5</v>
      </c>
      <c r="D975" s="145"/>
      <c r="E975" s="146"/>
      <c r="F975" s="135"/>
    </row>
    <row r="976" spans="1:8" x14ac:dyDescent="0.35">
      <c r="B976" s="136" t="s">
        <v>28</v>
      </c>
      <c r="C976" s="147">
        <f>C974+C975</f>
        <v>263479.75100000005</v>
      </c>
      <c r="D976" s="147"/>
      <c r="E976" s="146"/>
      <c r="F976" s="135"/>
    </row>
    <row r="977" spans="2:6" x14ac:dyDescent="0.35">
      <c r="B977" s="135" t="s">
        <v>18</v>
      </c>
      <c r="C977" s="148">
        <f>+Model!AB87</f>
        <v>72497.206000000006</v>
      </c>
      <c r="D977" s="218">
        <f>C977/$L$960</f>
        <v>1462.8825504316007</v>
      </c>
      <c r="E977" s="135"/>
      <c r="F977" s="135"/>
    </row>
    <row r="978" spans="2:6" x14ac:dyDescent="0.35">
      <c r="B978" s="149" t="s">
        <v>29</v>
      </c>
      <c r="C978" s="207">
        <f>C972-Model!AB120</f>
        <v>0</v>
      </c>
    </row>
    <row r="980" spans="2:6" x14ac:dyDescent="0.35">
      <c r="B980" s="159" t="s">
        <v>183</v>
      </c>
      <c r="C980" s="160" t="s">
        <v>4</v>
      </c>
      <c r="D980" s="160" t="s">
        <v>5</v>
      </c>
      <c r="E980" s="179"/>
      <c r="F980" s="179"/>
    </row>
    <row r="981" spans="2:6" x14ac:dyDescent="0.35">
      <c r="B981" s="161" t="s">
        <v>35</v>
      </c>
      <c r="C981" s="162"/>
      <c r="D981" s="162"/>
      <c r="E981" s="180"/>
      <c r="F981" s="180"/>
    </row>
    <row r="982" spans="2:6" x14ac:dyDescent="0.35">
      <c r="B982" s="166" t="s">
        <v>10</v>
      </c>
      <c r="C982" s="162">
        <v>42528.2</v>
      </c>
      <c r="D982" s="219">
        <f>C982/$L$959</f>
        <v>874.47760685999992</v>
      </c>
      <c r="E982" s="181"/>
      <c r="F982" s="181"/>
    </row>
    <row r="983" spans="2:6" x14ac:dyDescent="0.35">
      <c r="B983" s="166" t="s">
        <v>12</v>
      </c>
      <c r="C983" s="167">
        <f>+D983*$L$959</f>
        <v>6529.4252102148102</v>
      </c>
      <c r="D983" s="162">
        <v>134.26</v>
      </c>
      <c r="E983" s="180"/>
      <c r="F983" s="180"/>
    </row>
    <row r="984" spans="2:6" x14ac:dyDescent="0.35">
      <c r="B984" s="161" t="s">
        <v>36</v>
      </c>
      <c r="C984" s="162"/>
      <c r="D984" s="162"/>
      <c r="E984" s="180"/>
      <c r="F984" s="180"/>
    </row>
    <row r="985" spans="2:6" x14ac:dyDescent="0.35">
      <c r="B985" s="166" t="s">
        <v>10</v>
      </c>
      <c r="C985" s="162">
        <v>3000</v>
      </c>
      <c r="D985" s="219">
        <f>C985/$L$959</f>
        <v>61.686900000000001</v>
      </c>
      <c r="E985" s="181"/>
      <c r="F985" s="181"/>
    </row>
    <row r="986" spans="2:6" x14ac:dyDescent="0.35">
      <c r="B986" s="161" t="s">
        <v>15</v>
      </c>
      <c r="C986" s="163">
        <f>+C973</f>
        <v>14628.956</v>
      </c>
      <c r="D986" s="219">
        <f>C986/$L$959</f>
        <v>300.8049819588</v>
      </c>
      <c r="E986" s="182"/>
      <c r="F986" s="182"/>
    </row>
    <row r="987" spans="2:6" x14ac:dyDescent="0.35">
      <c r="B987" s="164" t="s">
        <v>37</v>
      </c>
      <c r="C987" s="165">
        <f>+C982+C983+C985+C986</f>
        <v>66686.581210214805</v>
      </c>
      <c r="D987" s="165">
        <f>+D982+D983+D985+D986</f>
        <v>1371.2294888187998</v>
      </c>
      <c r="E987" s="183"/>
      <c r="F987" s="183"/>
    </row>
    <row r="990" spans="2:6" x14ac:dyDescent="0.35">
      <c r="B990" s="431" t="s">
        <v>184</v>
      </c>
      <c r="C990" s="431"/>
      <c r="D990" s="431"/>
      <c r="E990" s="151"/>
      <c r="F990" s="151"/>
    </row>
    <row r="991" spans="2:6" x14ac:dyDescent="0.35">
      <c r="B991" s="432"/>
      <c r="C991" s="150" t="s">
        <v>86</v>
      </c>
      <c r="D991" s="151" t="s">
        <v>87</v>
      </c>
      <c r="E991" s="151"/>
      <c r="F991" s="151"/>
    </row>
    <row r="992" spans="2:6" x14ac:dyDescent="0.35">
      <c r="B992" s="152">
        <v>2021</v>
      </c>
      <c r="C992" s="153">
        <v>1787.9269999999999</v>
      </c>
      <c r="D992" s="154">
        <f>+C992/$L$959</f>
        <v>36.763891352099996</v>
      </c>
      <c r="E992" s="154"/>
      <c r="F992" s="154"/>
    </row>
    <row r="993" spans="1:12" x14ac:dyDescent="0.35">
      <c r="B993" s="152">
        <v>2022</v>
      </c>
      <c r="C993" s="153">
        <v>15027.555</v>
      </c>
      <c r="D993" s="154">
        <f>+C993/$L$959</f>
        <v>309.00109417649998</v>
      </c>
      <c r="E993" s="154"/>
      <c r="F993" s="154"/>
    </row>
    <row r="994" spans="1:12" x14ac:dyDescent="0.35">
      <c r="B994" s="152">
        <v>2023</v>
      </c>
      <c r="C994" s="153">
        <v>18221.788</v>
      </c>
      <c r="D994" s="154">
        <f>+C994/$L$959</f>
        <v>374.68187139240001</v>
      </c>
      <c r="E994" s="154"/>
      <c r="F994" s="154"/>
    </row>
    <row r="995" spans="1:12" x14ac:dyDescent="0.35">
      <c r="B995" s="152">
        <v>2024</v>
      </c>
      <c r="C995" s="153">
        <v>17167.207999999999</v>
      </c>
      <c r="D995" s="154">
        <f>+C995/$L$959</f>
        <v>352.99728105839995</v>
      </c>
      <c r="E995" s="154"/>
      <c r="F995" s="154"/>
    </row>
    <row r="996" spans="1:12" x14ac:dyDescent="0.35">
      <c r="B996" s="152" t="s">
        <v>172</v>
      </c>
      <c r="C996" s="153">
        <v>133471.77799999999</v>
      </c>
      <c r="D996" s="154">
        <f>+C996/$L$959</f>
        <v>2744.4867407693996</v>
      </c>
      <c r="E996" s="154"/>
      <c r="F996" s="154"/>
    </row>
    <row r="997" spans="1:12" x14ac:dyDescent="0.35">
      <c r="B997" s="155" t="s">
        <v>40</v>
      </c>
      <c r="C997" s="156">
        <f>+SUM(C992:C996)</f>
        <v>185676.25599999999</v>
      </c>
      <c r="D997" s="156">
        <f>+SUM(D992:D996)</f>
        <v>3817.9308787487998</v>
      </c>
      <c r="E997" s="156"/>
      <c r="F997" s="156"/>
    </row>
    <row r="998" spans="1:12" x14ac:dyDescent="0.35">
      <c r="B998" s="152" t="s">
        <v>41</v>
      </c>
      <c r="C998" s="221">
        <f>C999-C997</f>
        <v>-1488.9389999999839</v>
      </c>
      <c r="D998" s="154">
        <f>+C998/$L$959</f>
        <v>-30.616010399699668</v>
      </c>
      <c r="E998" s="154"/>
      <c r="F998" s="154"/>
    </row>
    <row r="999" spans="1:12" x14ac:dyDescent="0.35">
      <c r="B999" s="155" t="s">
        <v>42</v>
      </c>
      <c r="C999" s="156">
        <f>C969</f>
        <v>184187.31700000001</v>
      </c>
      <c r="D999" s="156">
        <f>+D997+D998</f>
        <v>3787.3148683491004</v>
      </c>
      <c r="E999" s="156"/>
      <c r="F999" s="156"/>
    </row>
    <row r="1000" spans="1:12" x14ac:dyDescent="0.35">
      <c r="B1000" s="149" t="s">
        <v>43</v>
      </c>
      <c r="C1000" s="169">
        <f>+C999-C969</f>
        <v>0</v>
      </c>
    </row>
    <row r="1003" spans="1:12" x14ac:dyDescent="0.35">
      <c r="A1003" s="122" t="s">
        <v>185</v>
      </c>
      <c r="K1003" s="123" t="s">
        <v>186</v>
      </c>
      <c r="L1003" s="124">
        <f>Model!Y201</f>
        <v>48.49</v>
      </c>
    </row>
    <row r="1004" spans="1:12" ht="39.5" x14ac:dyDescent="0.35">
      <c r="K1004" s="125" t="s">
        <v>187</v>
      </c>
      <c r="L1004" s="124">
        <f>+AVERAGE(Model!V200:Y200)</f>
        <v>50.399749999999997</v>
      </c>
    </row>
    <row r="1006" spans="1:12" x14ac:dyDescent="0.35">
      <c r="B1006" s="127" t="s">
        <v>188</v>
      </c>
      <c r="C1006" s="128" t="s">
        <v>4</v>
      </c>
      <c r="D1006" s="128" t="s">
        <v>5</v>
      </c>
      <c r="E1006" s="129" t="s">
        <v>81</v>
      </c>
      <c r="F1006" s="129" t="s">
        <v>7</v>
      </c>
    </row>
    <row r="1007" spans="1:12" x14ac:dyDescent="0.35">
      <c r="A1007" s="186">
        <f>SUM(C1008:C1009)/C1016</f>
        <v>0.78658699704205692</v>
      </c>
      <c r="B1007" s="130" t="s">
        <v>8</v>
      </c>
      <c r="C1007" s="131"/>
      <c r="D1007" s="132"/>
      <c r="E1007" s="133"/>
      <c r="F1007" s="133"/>
    </row>
    <row r="1008" spans="1:12" x14ac:dyDescent="0.35">
      <c r="A1008" s="186"/>
      <c r="B1008" s="134" t="s">
        <v>10</v>
      </c>
      <c r="C1008" s="131">
        <v>112268.914</v>
      </c>
      <c r="D1008" s="210">
        <f>C1008/$L$1003</f>
        <v>2315.30035058775</v>
      </c>
      <c r="E1008" s="133"/>
      <c r="F1008" s="133"/>
    </row>
    <row r="1009" spans="1:6" x14ac:dyDescent="0.35">
      <c r="A1009" s="186"/>
      <c r="B1009" s="134" t="s">
        <v>12</v>
      </c>
      <c r="C1009" s="131">
        <v>19832.117999999999</v>
      </c>
      <c r="D1009" s="212">
        <f>C1009/$L$1003</f>
        <v>408.99397813982262</v>
      </c>
      <c r="E1009" s="133"/>
      <c r="F1009" s="133"/>
    </row>
    <row r="1010" spans="1:6" x14ac:dyDescent="0.35">
      <c r="A1010" s="186">
        <f>SUM(C1011:C1012)/C1016</f>
        <v>0.18780702145655015</v>
      </c>
      <c r="B1010" s="130" t="s">
        <v>16</v>
      </c>
      <c r="C1010" s="131"/>
      <c r="D1010" s="132"/>
      <c r="E1010" s="133"/>
      <c r="F1010" s="133"/>
    </row>
    <row r="1011" spans="1:6" x14ac:dyDescent="0.35">
      <c r="A1011" s="186"/>
      <c r="B1011" s="134" t="s">
        <v>10</v>
      </c>
      <c r="C1011" s="131">
        <v>2970.8029999999999</v>
      </c>
      <c r="D1011" s="210">
        <f>C1011/$L$1003</f>
        <v>61.266302330377393</v>
      </c>
      <c r="E1011" s="133"/>
      <c r="F1011" s="133"/>
    </row>
    <row r="1012" spans="1:6" x14ac:dyDescent="0.35">
      <c r="A1012" s="186"/>
      <c r="B1012" s="134" t="s">
        <v>12</v>
      </c>
      <c r="C1012" s="131">
        <v>28569.893</v>
      </c>
      <c r="D1012" s="210">
        <f>C1012/$L$1003</f>
        <v>589.19144153433695</v>
      </c>
      <c r="E1012" s="133"/>
      <c r="F1012" s="133"/>
    </row>
    <row r="1013" spans="1:6" x14ac:dyDescent="0.35">
      <c r="A1013" s="186"/>
      <c r="B1013" s="136" t="s">
        <v>19</v>
      </c>
      <c r="C1013" s="137">
        <f>+C1008+C1009+C1011+C1012</f>
        <v>163641.72800000003</v>
      </c>
      <c r="D1013" s="137">
        <f>+D1008+D1009+D1011+D1012</f>
        <v>3374.7520725922868</v>
      </c>
      <c r="E1013" s="138"/>
      <c r="F1013" s="139"/>
    </row>
    <row r="1014" spans="1:6" x14ac:dyDescent="0.35">
      <c r="A1014" s="186">
        <f>SUM(C1014:C1015)/C1016</f>
        <v>2.5605981501392778E-2</v>
      </c>
      <c r="B1014" s="135" t="s">
        <v>20</v>
      </c>
      <c r="C1014" s="131">
        <v>1037.98</v>
      </c>
      <c r="D1014" s="210">
        <f>C1014/$L$1003</f>
        <v>21.40606310579501</v>
      </c>
      <c r="E1014" s="138"/>
      <c r="F1014" s="139"/>
    </row>
    <row r="1015" spans="1:6" x14ac:dyDescent="0.35">
      <c r="B1015" s="135" t="s">
        <v>46</v>
      </c>
      <c r="C1015" s="131">
        <v>3262.3409999999999</v>
      </c>
      <c r="D1015" s="210">
        <f>C1015/$L$1003</f>
        <v>67.278634770055675</v>
      </c>
      <c r="E1015" s="138"/>
      <c r="F1015" s="139"/>
    </row>
    <row r="1016" spans="1:6" x14ac:dyDescent="0.35">
      <c r="B1016" s="140" t="s">
        <v>24</v>
      </c>
      <c r="C1016" s="141">
        <f>C1013+C1014+C1015</f>
        <v>167942.04900000003</v>
      </c>
      <c r="D1016" s="141">
        <f>D1013+D1014+D1015</f>
        <v>3463.4367704681376</v>
      </c>
      <c r="E1016" s="142">
        <f>C1016/C1021</f>
        <v>2.256399028053937</v>
      </c>
      <c r="F1016" s="142">
        <f>D1016/D1021</f>
        <v>2.3452659705952028</v>
      </c>
    </row>
    <row r="1017" spans="1:6" x14ac:dyDescent="0.35">
      <c r="B1017" s="135" t="s">
        <v>15</v>
      </c>
      <c r="C1017" s="132">
        <f>Model!Y122</f>
        <v>32627.119999999999</v>
      </c>
      <c r="D1017" s="210">
        <f>C1017/$L$1003</f>
        <v>672.86285832130329</v>
      </c>
      <c r="E1017" s="143"/>
      <c r="F1017" s="143"/>
    </row>
    <row r="1018" spans="1:6" x14ac:dyDescent="0.35">
      <c r="B1018" s="140" t="s">
        <v>17</v>
      </c>
      <c r="C1018" s="141">
        <f>C1016-C1017</f>
        <v>135314.92900000003</v>
      </c>
      <c r="D1018" s="141">
        <f>D1016-D1017</f>
        <v>2790.5739121468341</v>
      </c>
      <c r="E1018" s="142">
        <f>C1018/C1021</f>
        <v>1.8180347095609599</v>
      </c>
      <c r="F1018" s="142">
        <f>D1018/D1021</f>
        <v>1.889636932423076</v>
      </c>
    </row>
    <row r="1019" spans="1:6" x14ac:dyDescent="0.35">
      <c r="B1019" s="136" t="s">
        <v>27</v>
      </c>
      <c r="C1019" s="144">
        <f>Model!Y127</f>
        <v>86427.6</v>
      </c>
      <c r="D1019" s="145"/>
      <c r="E1019" s="146"/>
      <c r="F1019" s="135"/>
    </row>
    <row r="1020" spans="1:6" x14ac:dyDescent="0.35">
      <c r="B1020" s="136" t="s">
        <v>28</v>
      </c>
      <c r="C1020" s="147">
        <f>C1018+C1019</f>
        <v>221742.52900000004</v>
      </c>
      <c r="D1020" s="147"/>
      <c r="E1020" s="146"/>
      <c r="F1020" s="135"/>
    </row>
    <row r="1021" spans="1:6" x14ac:dyDescent="0.35">
      <c r="B1021" s="135" t="s">
        <v>18</v>
      </c>
      <c r="C1021" s="148">
        <f>+Model!Y87</f>
        <v>74429.233000000007</v>
      </c>
      <c r="D1021" s="29">
        <f>C1021/$L$1004</f>
        <v>1476.7778213185584</v>
      </c>
      <c r="E1021" s="135"/>
      <c r="F1021" s="135"/>
    </row>
    <row r="1022" spans="1:6" x14ac:dyDescent="0.35">
      <c r="B1022" s="149" t="s">
        <v>29</v>
      </c>
      <c r="C1022" s="207">
        <f>C1016-Model!Y120</f>
        <v>0</v>
      </c>
    </row>
    <row r="1024" spans="1:6" x14ac:dyDescent="0.35">
      <c r="B1024" s="159" t="s">
        <v>189</v>
      </c>
      <c r="C1024" s="160" t="s">
        <v>4</v>
      </c>
      <c r="D1024" s="160" t="s">
        <v>5</v>
      </c>
      <c r="E1024" s="179"/>
      <c r="F1024" s="179"/>
    </row>
    <row r="1025" spans="2:6" x14ac:dyDescent="0.35">
      <c r="B1025" s="161" t="s">
        <v>35</v>
      </c>
      <c r="C1025" s="162"/>
      <c r="D1025" s="162"/>
      <c r="E1025" s="180"/>
      <c r="F1025" s="180"/>
    </row>
    <row r="1026" spans="2:6" x14ac:dyDescent="0.35">
      <c r="B1026" s="166" t="s">
        <v>10</v>
      </c>
      <c r="C1026" s="162">
        <v>16239</v>
      </c>
      <c r="D1026" s="211">
        <f>C1026/$L$1003</f>
        <v>334.89379253454319</v>
      </c>
      <c r="E1026" s="181"/>
      <c r="F1026" s="181"/>
    </row>
    <row r="1027" spans="2:6" x14ac:dyDescent="0.35">
      <c r="B1027" s="166" t="s">
        <v>12</v>
      </c>
      <c r="C1027" s="167">
        <f>+D1027*$L$1003</f>
        <v>4068.3110000000006</v>
      </c>
      <c r="D1027" s="162">
        <v>83.9</v>
      </c>
      <c r="E1027" s="180"/>
      <c r="F1027" s="180"/>
    </row>
    <row r="1028" spans="2:6" x14ac:dyDescent="0.35">
      <c r="B1028" s="161" t="s">
        <v>36</v>
      </c>
      <c r="C1028" s="162"/>
      <c r="D1028" s="162"/>
      <c r="E1028" s="180"/>
      <c r="F1028" s="180"/>
    </row>
    <row r="1029" spans="2:6" x14ac:dyDescent="0.35">
      <c r="B1029" s="166" t="s">
        <v>10</v>
      </c>
      <c r="C1029" s="162">
        <v>3000</v>
      </c>
      <c r="D1029" s="211">
        <f>C1029/$L$1003</f>
        <v>61.868426479686534</v>
      </c>
      <c r="E1029" s="181"/>
      <c r="F1029" s="181"/>
    </row>
    <row r="1030" spans="2:6" x14ac:dyDescent="0.35">
      <c r="B1030" s="161" t="s">
        <v>15</v>
      </c>
      <c r="C1030" s="163">
        <f>+C1017</f>
        <v>32627.119999999999</v>
      </c>
      <c r="D1030" s="163">
        <f>+C1030/$L$1003</f>
        <v>672.86285832130329</v>
      </c>
      <c r="E1030" s="182"/>
      <c r="F1030" s="182"/>
    </row>
    <row r="1031" spans="2:6" x14ac:dyDescent="0.35">
      <c r="B1031" s="164" t="s">
        <v>37</v>
      </c>
      <c r="C1031" s="165">
        <f>+C1026+C1027+C1029+C1030</f>
        <v>55934.430999999997</v>
      </c>
      <c r="D1031" s="165">
        <f>+D1026+D1027+D1029+D1030</f>
        <v>1153.5250773355331</v>
      </c>
      <c r="E1031" s="183"/>
      <c r="F1031" s="183"/>
    </row>
    <row r="1034" spans="2:6" x14ac:dyDescent="0.35">
      <c r="B1034" s="431" t="s">
        <v>190</v>
      </c>
      <c r="C1034" s="431"/>
      <c r="D1034" s="431"/>
      <c r="E1034" s="151"/>
      <c r="F1034" s="151"/>
    </row>
    <row r="1035" spans="2:6" x14ac:dyDescent="0.35">
      <c r="B1035" s="432"/>
      <c r="C1035" s="150" t="s">
        <v>86</v>
      </c>
      <c r="D1035" s="151" t="s">
        <v>87</v>
      </c>
      <c r="E1035" s="151"/>
      <c r="F1035" s="151"/>
    </row>
    <row r="1036" spans="2:6" x14ac:dyDescent="0.35">
      <c r="B1036" s="152">
        <v>2020</v>
      </c>
      <c r="C1036" s="153">
        <v>703.52700000000004</v>
      </c>
      <c r="D1036" s="154">
        <f>+C1036/$L$1003</f>
        <v>14.508702825324809</v>
      </c>
      <c r="E1036" s="154"/>
      <c r="F1036" s="154"/>
    </row>
    <row r="1037" spans="2:6" x14ac:dyDescent="0.35">
      <c r="B1037" s="152">
        <v>2021</v>
      </c>
      <c r="C1037" s="153">
        <v>7848.3389999999999</v>
      </c>
      <c r="D1037" s="154">
        <f>+C1037/$L$1003</f>
        <v>161.85479480305216</v>
      </c>
      <c r="E1037" s="154"/>
      <c r="F1037" s="154"/>
    </row>
    <row r="1038" spans="2:6" x14ac:dyDescent="0.35">
      <c r="B1038" s="152">
        <v>2022</v>
      </c>
      <c r="C1038" s="153">
        <v>14753.092000000001</v>
      </c>
      <c r="D1038" s="154">
        <f>+C1038/$L$1003</f>
        <v>304.25019591668388</v>
      </c>
      <c r="E1038" s="154"/>
      <c r="F1038" s="154"/>
    </row>
    <row r="1039" spans="2:6" x14ac:dyDescent="0.35">
      <c r="B1039" s="152">
        <v>2023</v>
      </c>
      <c r="C1039" s="153">
        <v>17849.777999999998</v>
      </c>
      <c r="D1039" s="154">
        <f>+C1039/$L$1003</f>
        <v>368.11255929057535</v>
      </c>
      <c r="E1039" s="154"/>
      <c r="F1039" s="154"/>
    </row>
    <row r="1040" spans="2:6" x14ac:dyDescent="0.35">
      <c r="B1040" s="152" t="s">
        <v>191</v>
      </c>
      <c r="C1040" s="153">
        <v>123933.148</v>
      </c>
      <c r="D1040" s="154">
        <f>+C1040/$L$1003</f>
        <v>2555.8496184780365</v>
      </c>
      <c r="E1040" s="154"/>
      <c r="F1040" s="154"/>
    </row>
    <row r="1041" spans="1:12" x14ac:dyDescent="0.35">
      <c r="B1041" s="155" t="s">
        <v>40</v>
      </c>
      <c r="C1041" s="156">
        <f>+SUM(C1036:C1040)</f>
        <v>165087.88399999999</v>
      </c>
      <c r="D1041" s="156">
        <f>+SUM(D1036:D1040)</f>
        <v>3404.5758713136729</v>
      </c>
      <c r="E1041" s="156"/>
      <c r="F1041" s="156"/>
    </row>
    <row r="1042" spans="1:12" x14ac:dyDescent="0.35">
      <c r="B1042" s="152" t="s">
        <v>41</v>
      </c>
      <c r="C1042" s="153">
        <v>-1446.16</v>
      </c>
      <c r="D1042" s="154">
        <f>+C1042/$L$1003</f>
        <v>-29.82388121262116</v>
      </c>
      <c r="E1042" s="154"/>
      <c r="F1042" s="154"/>
    </row>
    <row r="1043" spans="1:12" x14ac:dyDescent="0.35">
      <c r="B1043" s="155" t="s">
        <v>42</v>
      </c>
      <c r="C1043" s="156">
        <f>+C1041+C1042</f>
        <v>163641.72399999999</v>
      </c>
      <c r="D1043" s="156">
        <f>+D1041+D1042</f>
        <v>3374.7519901010519</v>
      </c>
      <c r="E1043" s="156"/>
      <c r="F1043" s="156"/>
    </row>
    <row r="1044" spans="1:12" x14ac:dyDescent="0.35">
      <c r="B1044" s="149" t="s">
        <v>43</v>
      </c>
      <c r="C1044" s="169">
        <f>+C1043-C1013</f>
        <v>-4.0000000444706529E-3</v>
      </c>
    </row>
    <row r="1047" spans="1:12" x14ac:dyDescent="0.35">
      <c r="A1047" s="122" t="s">
        <v>192</v>
      </c>
      <c r="K1047" s="123" t="s">
        <v>193</v>
      </c>
      <c r="L1047" s="124">
        <f>+Model!X201</f>
        <v>49.82</v>
      </c>
    </row>
    <row r="1048" spans="1:12" ht="39.5" x14ac:dyDescent="0.35">
      <c r="K1048" s="125" t="s">
        <v>194</v>
      </c>
      <c r="L1048" s="124">
        <f>+AVERAGE(Model!U200:X200)</f>
        <v>51.182249999999996</v>
      </c>
    </row>
    <row r="1049" spans="1:12" x14ac:dyDescent="0.35">
      <c r="K1049" s="125"/>
      <c r="L1049" s="124"/>
    </row>
    <row r="1050" spans="1:12" x14ac:dyDescent="0.35">
      <c r="B1050" s="126"/>
      <c r="C1050" s="124"/>
    </row>
    <row r="1051" spans="1:12" x14ac:dyDescent="0.35">
      <c r="B1051" s="127" t="s">
        <v>195</v>
      </c>
      <c r="C1051" s="128" t="s">
        <v>4</v>
      </c>
      <c r="D1051" s="128" t="s">
        <v>5</v>
      </c>
      <c r="E1051" s="129" t="s">
        <v>81</v>
      </c>
      <c r="F1051" s="129" t="s">
        <v>7</v>
      </c>
    </row>
    <row r="1052" spans="1:12" x14ac:dyDescent="0.35">
      <c r="A1052" s="186">
        <f>SUM(C1053:C1054)/C1059</f>
        <v>0.92787116054418006</v>
      </c>
      <c r="B1052" s="130" t="s">
        <v>8</v>
      </c>
      <c r="C1052" s="131"/>
      <c r="D1052" s="132"/>
      <c r="E1052" s="133"/>
      <c r="F1052" s="133"/>
    </row>
    <row r="1053" spans="1:12" x14ac:dyDescent="0.35">
      <c r="A1053" s="186"/>
      <c r="B1053" s="134" t="s">
        <v>10</v>
      </c>
      <c r="C1053" s="131">
        <v>122555.07</v>
      </c>
      <c r="D1053" s="132">
        <f>C1053/$L$1047</f>
        <v>2459.9572460859094</v>
      </c>
      <c r="E1053" s="133"/>
      <c r="F1053" s="133"/>
    </row>
    <row r="1054" spans="1:12" x14ac:dyDescent="0.35">
      <c r="A1054" s="186"/>
      <c r="B1054" s="134" t="s">
        <v>12</v>
      </c>
      <c r="C1054" s="131">
        <v>20466.575000000001</v>
      </c>
      <c r="D1054" s="132">
        <f>C1054/$L$1047</f>
        <v>410.81041750301085</v>
      </c>
      <c r="E1054" s="133"/>
      <c r="F1054" s="133"/>
    </row>
    <row r="1055" spans="1:12" x14ac:dyDescent="0.35">
      <c r="A1055" s="186">
        <f>C1055/C1059</f>
        <v>4.520508791929017E-2</v>
      </c>
      <c r="B1055" s="130" t="s">
        <v>16</v>
      </c>
      <c r="C1055" s="131">
        <v>6967.8919999999998</v>
      </c>
      <c r="D1055" s="132">
        <f>C1055/$L$1047</f>
        <v>139.86134082697711</v>
      </c>
      <c r="E1055" s="133"/>
      <c r="F1055" s="133"/>
    </row>
    <row r="1056" spans="1:12" x14ac:dyDescent="0.35">
      <c r="A1056" s="186"/>
      <c r="B1056" s="136" t="s">
        <v>19</v>
      </c>
      <c r="C1056" s="137">
        <f>+C1053+C1054+C1055</f>
        <v>149989.53700000001</v>
      </c>
      <c r="D1056" s="137">
        <f>+D1053+D1054+D1055</f>
        <v>3010.6290044158973</v>
      </c>
      <c r="E1056" s="138"/>
      <c r="F1056" s="139"/>
    </row>
    <row r="1057" spans="1:6" x14ac:dyDescent="0.35">
      <c r="A1057" s="186">
        <f>SUM(C1057:C1058)/C1059</f>
        <v>2.6923751536529702E-2</v>
      </c>
      <c r="B1057" s="135" t="s">
        <v>20</v>
      </c>
      <c r="C1057" s="131">
        <v>1001.9880000000001</v>
      </c>
      <c r="D1057" s="132">
        <f t="shared" ref="D1057:D1058" si="22">C1057/$L$1047</f>
        <v>20.112163789642715</v>
      </c>
      <c r="E1057" s="138"/>
      <c r="F1057" s="139"/>
    </row>
    <row r="1058" spans="1:6" x14ac:dyDescent="0.35">
      <c r="B1058" s="135" t="s">
        <v>46</v>
      </c>
      <c r="C1058" s="131">
        <v>3148.027</v>
      </c>
      <c r="D1058" s="132">
        <f t="shared" si="22"/>
        <v>63.188016860698518</v>
      </c>
      <c r="E1058" s="138"/>
      <c r="F1058" s="139"/>
    </row>
    <row r="1059" spans="1:6" x14ac:dyDescent="0.35">
      <c r="B1059" s="140" t="s">
        <v>24</v>
      </c>
      <c r="C1059" s="141">
        <f>C1056+C1057+C1058</f>
        <v>154139.55200000003</v>
      </c>
      <c r="D1059" s="141">
        <f>D1056+D1057+D1058</f>
        <v>3093.9291850662385</v>
      </c>
      <c r="E1059" s="142">
        <f>C1059/C1064</f>
        <v>2.0325036437882891</v>
      </c>
      <c r="F1059" s="142">
        <f>D1059/D1064</f>
        <v>2.0880792778459081</v>
      </c>
    </row>
    <row r="1060" spans="1:6" x14ac:dyDescent="0.35">
      <c r="B1060" s="135" t="s">
        <v>15</v>
      </c>
      <c r="C1060" s="132">
        <f>+Model!X122</f>
        <v>14785.235000000001</v>
      </c>
      <c r="D1060" s="132">
        <f t="shared" ref="D1060" si="23">C1060/$L$1047</f>
        <v>296.77308309915696</v>
      </c>
      <c r="E1060" s="143"/>
      <c r="F1060" s="143"/>
    </row>
    <row r="1061" spans="1:6" x14ac:dyDescent="0.35">
      <c r="B1061" s="140" t="s">
        <v>17</v>
      </c>
      <c r="C1061" s="141">
        <f>C1059-C1060</f>
        <v>139354.31700000004</v>
      </c>
      <c r="D1061" s="141">
        <f>D1059-D1060</f>
        <v>2797.1561019670817</v>
      </c>
      <c r="E1061" s="142">
        <f>C1061/C1064</f>
        <v>1.8375436635506006</v>
      </c>
      <c r="F1061" s="142">
        <f>D1061/D1064</f>
        <v>1.8877884217937115</v>
      </c>
    </row>
    <row r="1062" spans="1:6" x14ac:dyDescent="0.35">
      <c r="B1062" s="136" t="s">
        <v>27</v>
      </c>
      <c r="C1062" s="144">
        <f>+Model!X127</f>
        <v>85237.076000000001</v>
      </c>
      <c r="D1062" s="145"/>
      <c r="E1062" s="146"/>
      <c r="F1062" s="135"/>
    </row>
    <row r="1063" spans="1:6" x14ac:dyDescent="0.35">
      <c r="B1063" s="136" t="s">
        <v>28</v>
      </c>
      <c r="C1063" s="147">
        <f>C1061+C1062</f>
        <v>224591.39300000004</v>
      </c>
      <c r="D1063" s="147"/>
      <c r="E1063" s="146"/>
      <c r="F1063" s="135"/>
    </row>
    <row r="1064" spans="1:6" x14ac:dyDescent="0.35">
      <c r="B1064" s="135" t="s">
        <v>18</v>
      </c>
      <c r="C1064" s="148">
        <f>+Model!X87</f>
        <v>75837.282000000007</v>
      </c>
      <c r="D1064" s="148">
        <f>C1064/$L$1048</f>
        <v>1481.7105930278565</v>
      </c>
      <c r="E1064" s="135"/>
      <c r="F1064" s="135"/>
    </row>
    <row r="1065" spans="1:6" x14ac:dyDescent="0.35">
      <c r="B1065" s="149" t="s">
        <v>29</v>
      </c>
      <c r="C1065" s="207">
        <f>+C1059-Model!X120</f>
        <v>0</v>
      </c>
    </row>
    <row r="1067" spans="1:6" x14ac:dyDescent="0.35">
      <c r="B1067" s="159" t="s">
        <v>196</v>
      </c>
      <c r="C1067" s="160" t="s">
        <v>4</v>
      </c>
      <c r="D1067" s="160" t="s">
        <v>5</v>
      </c>
      <c r="E1067" s="179"/>
      <c r="F1067" s="179"/>
    </row>
    <row r="1068" spans="1:6" x14ac:dyDescent="0.35">
      <c r="B1068" s="161" t="s">
        <v>35</v>
      </c>
      <c r="C1068" s="162"/>
      <c r="D1068" s="162"/>
      <c r="E1068" s="180"/>
      <c r="F1068" s="180"/>
    </row>
    <row r="1069" spans="1:6" x14ac:dyDescent="0.35">
      <c r="B1069" s="166" t="s">
        <v>10</v>
      </c>
      <c r="C1069" s="162">
        <v>10850</v>
      </c>
      <c r="D1069" s="167">
        <f t="shared" ref="D1069" si="24">C1069/$L$1047</f>
        <v>217.78402248093136</v>
      </c>
      <c r="E1069" s="181"/>
      <c r="F1069" s="181"/>
    </row>
    <row r="1070" spans="1:6" x14ac:dyDescent="0.35">
      <c r="B1070" s="166" t="s">
        <v>12</v>
      </c>
      <c r="C1070" s="167">
        <f>+D1070*$L$1047</f>
        <v>2685.2979999999998</v>
      </c>
      <c r="D1070" s="162">
        <v>53.9</v>
      </c>
      <c r="E1070" s="180"/>
      <c r="F1070" s="180"/>
    </row>
    <row r="1071" spans="1:6" x14ac:dyDescent="0.35">
      <c r="B1071" s="161" t="s">
        <v>36</v>
      </c>
      <c r="C1071" s="162"/>
      <c r="D1071" s="162"/>
      <c r="E1071" s="180"/>
      <c r="F1071" s="180"/>
    </row>
    <row r="1072" spans="1:6" x14ac:dyDescent="0.35">
      <c r="B1072" s="166" t="s">
        <v>10</v>
      </c>
      <c r="C1072" s="162">
        <v>0</v>
      </c>
      <c r="D1072" s="167">
        <f t="shared" ref="D1072" si="25">C1072/$L$1047</f>
        <v>0</v>
      </c>
      <c r="E1072" s="181"/>
      <c r="F1072" s="181"/>
    </row>
    <row r="1073" spans="2:6" x14ac:dyDescent="0.35">
      <c r="B1073" s="161" t="s">
        <v>15</v>
      </c>
      <c r="C1073" s="163">
        <f>+C1060</f>
        <v>14785.235000000001</v>
      </c>
      <c r="D1073" s="163">
        <f>+C1073/$L$1047</f>
        <v>296.77308309915696</v>
      </c>
      <c r="E1073" s="182"/>
      <c r="F1073" s="182"/>
    </row>
    <row r="1074" spans="2:6" x14ac:dyDescent="0.35">
      <c r="B1074" s="164" t="s">
        <v>37</v>
      </c>
      <c r="C1074" s="165">
        <f>+C1069+C1070+C1072+C1073</f>
        <v>28320.532999999999</v>
      </c>
      <c r="D1074" s="165">
        <f>+D1069+D1070+D1072+D1073</f>
        <v>568.4571055800883</v>
      </c>
      <c r="E1074" s="183"/>
      <c r="F1074" s="183"/>
    </row>
    <row r="1077" spans="2:6" x14ac:dyDescent="0.35">
      <c r="B1077" s="431" t="s">
        <v>197</v>
      </c>
      <c r="C1077" s="431"/>
      <c r="D1077" s="431"/>
      <c r="E1077" s="151"/>
      <c r="F1077" s="151"/>
    </row>
    <row r="1078" spans="2:6" x14ac:dyDescent="0.35">
      <c r="B1078" s="432"/>
      <c r="C1078" s="150" t="s">
        <v>86</v>
      </c>
      <c r="D1078" s="151" t="s">
        <v>87</v>
      </c>
      <c r="E1078" s="151"/>
      <c r="F1078" s="151"/>
    </row>
    <row r="1079" spans="2:6" x14ac:dyDescent="0.35">
      <c r="B1079" s="152">
        <v>2020</v>
      </c>
      <c r="C1079" s="153">
        <v>15146.905000000001</v>
      </c>
      <c r="D1079" s="154">
        <f>+C1079/$L$1047</f>
        <v>304.03261742272178</v>
      </c>
      <c r="E1079" s="154"/>
      <c r="F1079" s="154"/>
    </row>
    <row r="1080" spans="2:6" x14ac:dyDescent="0.35">
      <c r="B1080" s="152">
        <v>2021</v>
      </c>
      <c r="C1080" s="153">
        <v>7860.0770000000002</v>
      </c>
      <c r="D1080" s="154">
        <f t="shared" ref="D1080:D1083" si="26">+C1080/$L$1047</f>
        <v>157.76951023685268</v>
      </c>
      <c r="E1080" s="154"/>
      <c r="F1080" s="154"/>
    </row>
    <row r="1081" spans="2:6" x14ac:dyDescent="0.35">
      <c r="B1081" s="152">
        <v>2022</v>
      </c>
      <c r="C1081" s="153">
        <v>14883.83</v>
      </c>
      <c r="D1081" s="154">
        <f t="shared" si="26"/>
        <v>298.75210758731436</v>
      </c>
      <c r="E1081" s="154"/>
      <c r="F1081" s="154"/>
    </row>
    <row r="1082" spans="2:6" x14ac:dyDescent="0.35">
      <c r="B1082" s="152">
        <v>2023</v>
      </c>
      <c r="C1082" s="153">
        <v>17909.665000000001</v>
      </c>
      <c r="D1082" s="154">
        <f t="shared" si="26"/>
        <v>359.4874548374147</v>
      </c>
      <c r="E1082" s="154"/>
      <c r="F1082" s="154"/>
    </row>
    <row r="1083" spans="2:6" x14ac:dyDescent="0.35">
      <c r="B1083" s="152" t="s">
        <v>191</v>
      </c>
      <c r="C1083" s="153">
        <v>95222.426999999996</v>
      </c>
      <c r="D1083" s="154">
        <f t="shared" si="26"/>
        <v>1911.3293255720594</v>
      </c>
      <c r="E1083" s="154"/>
      <c r="F1083" s="154"/>
    </row>
    <row r="1084" spans="2:6" x14ac:dyDescent="0.35">
      <c r="B1084" s="155" t="s">
        <v>40</v>
      </c>
      <c r="C1084" s="156">
        <f>+SUM(C1079:C1083)</f>
        <v>151022.90399999998</v>
      </c>
      <c r="D1084" s="156">
        <f>+SUM(D1079:D1083)</f>
        <v>3031.3710156563629</v>
      </c>
      <c r="E1084" s="156"/>
      <c r="F1084" s="156"/>
    </row>
    <row r="1085" spans="2:6" x14ac:dyDescent="0.35">
      <c r="B1085" s="152" t="s">
        <v>41</v>
      </c>
      <c r="C1085" s="153">
        <v>-1033.3699999999999</v>
      </c>
      <c r="D1085" s="154">
        <f t="shared" ref="D1085" si="27">+C1085/$L$1047</f>
        <v>-20.742071457246084</v>
      </c>
      <c r="E1085" s="154"/>
      <c r="F1085" s="154"/>
    </row>
    <row r="1086" spans="2:6" x14ac:dyDescent="0.35">
      <c r="B1086" s="155" t="s">
        <v>42</v>
      </c>
      <c r="C1086" s="156">
        <f>+C1084+C1085</f>
        <v>149989.53399999999</v>
      </c>
      <c r="D1086" s="156">
        <f>+D1084+D1085</f>
        <v>3010.6289441991166</v>
      </c>
      <c r="E1086" s="156"/>
      <c r="F1086" s="156"/>
    </row>
    <row r="1087" spans="2:6" x14ac:dyDescent="0.35">
      <c r="B1087" s="149" t="s">
        <v>43</v>
      </c>
      <c r="C1087" s="169">
        <f>+C1086-C1056</f>
        <v>-3.0000000260770321E-3</v>
      </c>
    </row>
    <row r="1092" spans="1:11" x14ac:dyDescent="0.35">
      <c r="A1092" s="122" t="s">
        <v>198</v>
      </c>
      <c r="K1092" s="123" t="s">
        <v>199</v>
      </c>
    </row>
    <row r="1093" spans="1:11" ht="39.5" x14ac:dyDescent="0.35">
      <c r="K1093" s="125" t="s">
        <v>200</v>
      </c>
    </row>
    <row r="1094" spans="1:11" x14ac:dyDescent="0.35">
      <c r="K1094" s="125"/>
    </row>
    <row r="1095" spans="1:11" x14ac:dyDescent="0.35">
      <c r="B1095" s="126"/>
      <c r="C1095" s="124"/>
    </row>
    <row r="1096" spans="1:11" ht="39.5" x14ac:dyDescent="0.35">
      <c r="B1096" s="127" t="s">
        <v>201</v>
      </c>
      <c r="C1096" s="128" t="s">
        <v>4</v>
      </c>
      <c r="D1096" s="128" t="s">
        <v>5</v>
      </c>
      <c r="E1096" s="128" t="s">
        <v>4</v>
      </c>
      <c r="F1096" s="128" t="s">
        <v>5</v>
      </c>
      <c r="G1096" s="129" t="s">
        <v>81</v>
      </c>
      <c r="H1096" s="129" t="s">
        <v>7</v>
      </c>
      <c r="I1096" s="175" t="s">
        <v>202</v>
      </c>
      <c r="J1096" s="175" t="s">
        <v>203</v>
      </c>
    </row>
    <row r="1097" spans="1:11" x14ac:dyDescent="0.35">
      <c r="A1097" s="186">
        <f>SUM(C1098:C1099)/C1105</f>
        <v>0.92732206928607153</v>
      </c>
      <c r="B1097" s="130" t="s">
        <v>8</v>
      </c>
      <c r="C1097" s="131"/>
      <c r="D1097" s="132"/>
      <c r="E1097" s="132"/>
      <c r="F1097" s="132"/>
      <c r="G1097" s="133"/>
      <c r="H1097" s="133"/>
      <c r="I1097" s="133"/>
      <c r="J1097" s="133"/>
    </row>
    <row r="1098" spans="1:11" x14ac:dyDescent="0.35">
      <c r="A1098" s="186"/>
      <c r="B1098" s="134" t="s">
        <v>10</v>
      </c>
      <c r="C1098" s="131">
        <v>110903.62699999999</v>
      </c>
      <c r="D1098" s="132">
        <f>C1098/$L$1047</f>
        <v>2226.0864512244079</v>
      </c>
      <c r="E1098" s="132">
        <f t="shared" ref="E1098:F1100" si="28">C1098</f>
        <v>110903.62699999999</v>
      </c>
      <c r="F1098" s="132">
        <f t="shared" si="28"/>
        <v>2226.0864512244079</v>
      </c>
      <c r="G1098" s="133"/>
      <c r="H1098" s="133"/>
      <c r="I1098" s="133"/>
      <c r="J1098" s="133"/>
    </row>
    <row r="1099" spans="1:11" x14ac:dyDescent="0.35">
      <c r="A1099" s="186"/>
      <c r="B1099" s="134" t="s">
        <v>12</v>
      </c>
      <c r="C1099" s="131">
        <v>26817.062999999998</v>
      </c>
      <c r="D1099" s="132">
        <f t="shared" ref="D1099:D1106" si="29">C1099/$L$1047</f>
        <v>538.27906463267755</v>
      </c>
      <c r="E1099" s="132">
        <f t="shared" si="28"/>
        <v>26817.062999999998</v>
      </c>
      <c r="F1099" s="132">
        <f t="shared" si="28"/>
        <v>538.27906463267755</v>
      </c>
      <c r="G1099" s="133"/>
      <c r="H1099" s="133"/>
      <c r="I1099" s="133"/>
      <c r="J1099" s="133"/>
    </row>
    <row r="1100" spans="1:11" x14ac:dyDescent="0.35">
      <c r="A1100" s="186">
        <f>C1100/C1105</f>
        <v>4.692573602790464E-2</v>
      </c>
      <c r="B1100" s="130" t="s">
        <v>16</v>
      </c>
      <c r="C1100" s="131">
        <v>6969.1480000000001</v>
      </c>
      <c r="D1100" s="132">
        <f t="shared" si="29"/>
        <v>139.88655158570856</v>
      </c>
      <c r="E1100" s="132">
        <f t="shared" si="28"/>
        <v>6969.1480000000001</v>
      </c>
      <c r="F1100" s="132">
        <f t="shared" si="28"/>
        <v>139.88655158570856</v>
      </c>
      <c r="G1100" s="133"/>
      <c r="H1100" s="133"/>
      <c r="I1100" s="133"/>
      <c r="J1100" s="133"/>
    </row>
    <row r="1101" spans="1:11" x14ac:dyDescent="0.35">
      <c r="A1101" s="186">
        <f>F1101/F1105</f>
        <v>0.16755003365630192</v>
      </c>
      <c r="B1101" s="176" t="s">
        <v>204</v>
      </c>
      <c r="C1101" s="177"/>
      <c r="D1101" s="178"/>
      <c r="E1101" s="178">
        <f>F1101*L1047</f>
        <v>29892</v>
      </c>
      <c r="F1101" s="178">
        <v>600</v>
      </c>
      <c r="G1101" s="133"/>
      <c r="H1101" s="133"/>
      <c r="I1101" s="133"/>
      <c r="J1101" s="133"/>
    </row>
    <row r="1102" spans="1:11" x14ac:dyDescent="0.35">
      <c r="A1102" s="186"/>
      <c r="B1102" s="136" t="s">
        <v>19</v>
      </c>
      <c r="C1102" s="137">
        <f>+C1098+C1099+C1100</f>
        <v>144689.83799999999</v>
      </c>
      <c r="D1102" s="137">
        <f>+D1098+D1099+D1100</f>
        <v>2904.2520674427942</v>
      </c>
      <c r="E1102" s="137">
        <f>+E1098+E1099+E1100+E1101</f>
        <v>174581.83799999999</v>
      </c>
      <c r="F1102" s="137">
        <f>+F1098+F1099+F1100+F1101</f>
        <v>3504.2520674427942</v>
      </c>
      <c r="G1102" s="138"/>
      <c r="H1102" s="139"/>
      <c r="I1102" s="138"/>
      <c r="J1102" s="139"/>
    </row>
    <row r="1103" spans="1:11" x14ac:dyDescent="0.35">
      <c r="A1103" s="186">
        <f>SUM(C1103:C1104)/C1105</f>
        <v>2.5752194686024077E-2</v>
      </c>
      <c r="B1103" s="135" t="s">
        <v>20</v>
      </c>
      <c r="C1103" s="131">
        <v>1059.3399999999999</v>
      </c>
      <c r="D1103" s="132">
        <f t="shared" si="29"/>
        <v>21.263348052990764</v>
      </c>
      <c r="E1103" s="132">
        <f>C1103</f>
        <v>1059.3399999999999</v>
      </c>
      <c r="F1103" s="132">
        <f>D1103</f>
        <v>21.263348052990764</v>
      </c>
      <c r="G1103" s="138"/>
      <c r="H1103" s="139"/>
      <c r="I1103" s="138"/>
      <c r="J1103" s="139"/>
    </row>
    <row r="1104" spans="1:11" x14ac:dyDescent="0.35">
      <c r="B1104" s="135" t="s">
        <v>46</v>
      </c>
      <c r="C1104" s="131">
        <v>2765.232</v>
      </c>
      <c r="D1104" s="132">
        <f t="shared" si="29"/>
        <v>55.504456041750302</v>
      </c>
      <c r="E1104" s="132">
        <f>C1104</f>
        <v>2765.232</v>
      </c>
      <c r="F1104" s="132">
        <f>D1104</f>
        <v>55.504456041750302</v>
      </c>
      <c r="G1104" s="138"/>
      <c r="H1104" s="139"/>
      <c r="I1104" s="138"/>
      <c r="J1104" s="139"/>
    </row>
    <row r="1105" spans="2:10" x14ac:dyDescent="0.35">
      <c r="B1105" s="140" t="s">
        <v>24</v>
      </c>
      <c r="C1105" s="141">
        <f>C1102+C1103+C1104</f>
        <v>148514.40999999997</v>
      </c>
      <c r="D1105" s="141">
        <f>D1102+D1103+D1104</f>
        <v>2981.0198715375354</v>
      </c>
      <c r="E1105" s="141">
        <f>E1102+E1103+E1104</f>
        <v>178406.40999999997</v>
      </c>
      <c r="F1105" s="141">
        <f t="shared" ref="F1105" si="30">F1102+F1103+F1104</f>
        <v>3581.0198715375354</v>
      </c>
      <c r="G1105" s="142">
        <f>C1105/C1110</f>
        <v>1.9391403257946256</v>
      </c>
      <c r="H1105" s="142">
        <f>D1105/D1110</f>
        <v>1.9921630859073063</v>
      </c>
      <c r="I1105" s="184">
        <f>E1105/C1110</f>
        <v>2.3294376889841839</v>
      </c>
      <c r="J1105" s="184">
        <f>F1105/D1110</f>
        <v>2.3931325202129821</v>
      </c>
    </row>
    <row r="1106" spans="2:10" x14ac:dyDescent="0.35">
      <c r="B1106" s="135" t="s">
        <v>15</v>
      </c>
      <c r="C1106" s="132">
        <f>+Model!W122</f>
        <v>14519.101000000001</v>
      </c>
      <c r="D1106" s="132">
        <f t="shared" si="29"/>
        <v>291.43117221999199</v>
      </c>
      <c r="E1106" s="132">
        <f>C1106+E1101</f>
        <v>44411.101000000002</v>
      </c>
      <c r="F1106" s="132">
        <f>D1106+F1101</f>
        <v>891.43117221999205</v>
      </c>
      <c r="G1106" s="143"/>
      <c r="H1106" s="143"/>
      <c r="I1106" s="185"/>
      <c r="J1106" s="185"/>
    </row>
    <row r="1107" spans="2:10" x14ac:dyDescent="0.35">
      <c r="B1107" s="140" t="s">
        <v>17</v>
      </c>
      <c r="C1107" s="141">
        <f>C1105-C1106</f>
        <v>133995.30899999998</v>
      </c>
      <c r="D1107" s="141">
        <f>D1105-D1106</f>
        <v>2689.5886993175436</v>
      </c>
      <c r="E1107" s="141">
        <f t="shared" ref="E1107:F1107" si="31">E1105-E1106</f>
        <v>133995.30899999998</v>
      </c>
      <c r="F1107" s="141">
        <f t="shared" si="31"/>
        <v>2689.5886993175436</v>
      </c>
      <c r="G1107" s="142">
        <f>C1107/C1110</f>
        <v>1.7495656290134509</v>
      </c>
      <c r="H1107" s="142">
        <f>D1107/D1110</f>
        <v>1.7974047654671561</v>
      </c>
      <c r="I1107" s="184">
        <f>E1107/C1110</f>
        <v>1.7495656290134509</v>
      </c>
      <c r="J1107" s="184">
        <f>F1107/D1110</f>
        <v>1.7974047654671561</v>
      </c>
    </row>
    <row r="1108" spans="2:10" x14ac:dyDescent="0.35">
      <c r="B1108" s="136" t="s">
        <v>27</v>
      </c>
      <c r="C1108" s="144">
        <f>+Model!W127</f>
        <v>84589.888999999996</v>
      </c>
      <c r="D1108" s="145"/>
      <c r="E1108" s="145"/>
      <c r="F1108" s="145"/>
      <c r="G1108" s="146"/>
      <c r="H1108" s="135"/>
      <c r="I1108" s="146"/>
      <c r="J1108" s="135"/>
    </row>
    <row r="1109" spans="2:10" x14ac:dyDescent="0.35">
      <c r="B1109" s="136" t="s">
        <v>28</v>
      </c>
      <c r="C1109" s="147">
        <f>C1107+C1108</f>
        <v>218585.19799999997</v>
      </c>
      <c r="D1109" s="147"/>
      <c r="E1109" s="147"/>
      <c r="F1109" s="147"/>
      <c r="G1109" s="146"/>
      <c r="H1109" s="135"/>
      <c r="I1109" s="146"/>
      <c r="J1109" s="135"/>
    </row>
    <row r="1110" spans="2:10" x14ac:dyDescent="0.35">
      <c r="B1110" s="135" t="s">
        <v>18</v>
      </c>
      <c r="C1110" s="148">
        <f>+Model!W87</f>
        <v>76587.758000000016</v>
      </c>
      <c r="D1110" s="148">
        <f>C1110/$L$1048</f>
        <v>1496.3734107039065</v>
      </c>
      <c r="E1110" s="148"/>
      <c r="F1110" s="148"/>
      <c r="G1110" s="135"/>
      <c r="H1110" s="135"/>
      <c r="I1110" s="135"/>
      <c r="J1110" s="135"/>
    </row>
    <row r="1111" spans="2:10" x14ac:dyDescent="0.35">
      <c r="B1111" s="149" t="s">
        <v>29</v>
      </c>
      <c r="C1111" s="149">
        <f>+C1105-Model!W120</f>
        <v>0</v>
      </c>
    </row>
    <row r="1113" spans="2:10" x14ac:dyDescent="0.35">
      <c r="B1113" s="159" t="s">
        <v>205</v>
      </c>
      <c r="C1113" s="160" t="s">
        <v>4</v>
      </c>
      <c r="D1113" s="160" t="s">
        <v>5</v>
      </c>
      <c r="E1113" s="179"/>
      <c r="F1113" s="179"/>
    </row>
    <row r="1114" spans="2:10" x14ac:dyDescent="0.35">
      <c r="B1114" s="161" t="s">
        <v>35</v>
      </c>
      <c r="C1114" s="162"/>
      <c r="D1114" s="162"/>
      <c r="E1114" s="180"/>
      <c r="F1114" s="180"/>
    </row>
    <row r="1115" spans="2:10" x14ac:dyDescent="0.35">
      <c r="B1115" s="166" t="s">
        <v>10</v>
      </c>
      <c r="C1115" s="162">
        <v>16350</v>
      </c>
      <c r="D1115" s="167">
        <f t="shared" ref="D1115" si="32">C1115/$L$1047</f>
        <v>328.1814532316339</v>
      </c>
      <c r="E1115" s="181"/>
      <c r="F1115" s="181"/>
    </row>
    <row r="1116" spans="2:10" x14ac:dyDescent="0.35">
      <c r="B1116" s="166" t="s">
        <v>12</v>
      </c>
      <c r="C1116" s="167">
        <f>+D1116*$L$1047</f>
        <v>4179.8980000000001</v>
      </c>
      <c r="D1116" s="162">
        <v>83.9</v>
      </c>
      <c r="E1116" s="180"/>
      <c r="F1116" s="180"/>
    </row>
    <row r="1117" spans="2:10" x14ac:dyDescent="0.35">
      <c r="B1117" s="161" t="s">
        <v>36</v>
      </c>
      <c r="C1117" s="162"/>
      <c r="D1117" s="162"/>
      <c r="E1117" s="180"/>
      <c r="F1117" s="180"/>
    </row>
    <row r="1118" spans="2:10" x14ac:dyDescent="0.35">
      <c r="B1118" s="166" t="s">
        <v>10</v>
      </c>
      <c r="C1118" s="162">
        <v>3000</v>
      </c>
      <c r="D1118" s="167">
        <f t="shared" ref="D1118" si="33">C1118/$L$1047</f>
        <v>60.216780409474104</v>
      </c>
      <c r="E1118" s="181"/>
      <c r="F1118" s="181"/>
    </row>
    <row r="1119" spans="2:10" x14ac:dyDescent="0.35">
      <c r="B1119" s="161" t="s">
        <v>15</v>
      </c>
      <c r="C1119" s="163">
        <f>+C1106</f>
        <v>14519.101000000001</v>
      </c>
      <c r="D1119" s="163">
        <f>+C1119/$L$1047</f>
        <v>291.43117221999199</v>
      </c>
      <c r="E1119" s="182"/>
      <c r="F1119" s="182"/>
    </row>
    <row r="1120" spans="2:10" x14ac:dyDescent="0.35">
      <c r="B1120" s="164" t="s">
        <v>37</v>
      </c>
      <c r="C1120" s="165">
        <f>+C1115+C1116+C1118+C1119</f>
        <v>38048.999000000003</v>
      </c>
      <c r="D1120" s="165">
        <f>+D1115+D1116+D1118+D1119</f>
        <v>763.72940586109996</v>
      </c>
      <c r="E1120" s="183"/>
      <c r="F1120" s="183"/>
    </row>
    <row r="1123" spans="2:6" x14ac:dyDescent="0.35">
      <c r="B1123" s="431" t="s">
        <v>206</v>
      </c>
      <c r="C1123" s="431"/>
      <c r="D1123" s="431"/>
      <c r="E1123" s="151"/>
      <c r="F1123" s="151"/>
    </row>
    <row r="1124" spans="2:6" x14ac:dyDescent="0.35">
      <c r="B1124" s="432"/>
      <c r="C1124" s="150" t="s">
        <v>86</v>
      </c>
      <c r="D1124" s="151" t="s">
        <v>87</v>
      </c>
      <c r="E1124" s="151"/>
      <c r="F1124" s="151"/>
    </row>
    <row r="1125" spans="2:6" x14ac:dyDescent="0.35">
      <c r="B1125" s="152">
        <v>2020</v>
      </c>
      <c r="C1125" s="153">
        <v>12000.677</v>
      </c>
      <c r="D1125" s="154">
        <f>+C1125/$L$1047</f>
        <v>240.88071055800881</v>
      </c>
      <c r="E1125" s="154"/>
      <c r="F1125" s="154"/>
    </row>
    <row r="1126" spans="2:6" x14ac:dyDescent="0.35">
      <c r="B1126" s="152">
        <v>2021</v>
      </c>
      <c r="C1126" s="153">
        <v>7872.4059999999999</v>
      </c>
      <c r="D1126" s="154">
        <f t="shared" ref="D1126:D1131" si="34">+C1126/$L$1047</f>
        <v>158.01698113207547</v>
      </c>
      <c r="E1126" s="154"/>
      <c r="F1126" s="154"/>
    </row>
    <row r="1127" spans="2:6" x14ac:dyDescent="0.35">
      <c r="B1127" s="152">
        <v>2022</v>
      </c>
      <c r="C1127" s="153">
        <v>14980.043</v>
      </c>
      <c r="D1127" s="154">
        <f t="shared" si="34"/>
        <v>300.68331995182655</v>
      </c>
      <c r="E1127" s="154"/>
      <c r="F1127" s="154"/>
    </row>
    <row r="1128" spans="2:6" x14ac:dyDescent="0.35">
      <c r="B1128" s="152">
        <v>2023</v>
      </c>
      <c r="C1128" s="153">
        <v>17953.005000000001</v>
      </c>
      <c r="D1128" s="154">
        <f t="shared" si="34"/>
        <v>360.35738659173023</v>
      </c>
      <c r="E1128" s="154"/>
      <c r="F1128" s="154"/>
    </row>
    <row r="1129" spans="2:6" x14ac:dyDescent="0.35">
      <c r="B1129" s="152" t="s">
        <v>191</v>
      </c>
      <c r="C1129" s="153">
        <v>92470.273000000001</v>
      </c>
      <c r="D1129" s="154">
        <f t="shared" si="34"/>
        <v>1856.0873745483741</v>
      </c>
      <c r="E1129" s="154"/>
      <c r="F1129" s="154"/>
    </row>
    <row r="1130" spans="2:6" x14ac:dyDescent="0.35">
      <c r="B1130" s="155" t="s">
        <v>40</v>
      </c>
      <c r="C1130" s="156">
        <f>+SUM(C1125:C1129)</f>
        <v>145276.40399999998</v>
      </c>
      <c r="D1130" s="156">
        <f>+SUM(D1125:D1129)</f>
        <v>2916.0257727820153</v>
      </c>
      <c r="E1130" s="156"/>
      <c r="F1130" s="156"/>
    </row>
    <row r="1131" spans="2:6" x14ac:dyDescent="0.35">
      <c r="B1131" s="152" t="s">
        <v>41</v>
      </c>
      <c r="C1131" s="153">
        <v>-586.57000000000005</v>
      </c>
      <c r="D1131" s="154">
        <f t="shared" si="34"/>
        <v>-11.773785628261743</v>
      </c>
      <c r="E1131" s="154"/>
      <c r="F1131" s="154"/>
    </row>
    <row r="1132" spans="2:6" x14ac:dyDescent="0.35">
      <c r="B1132" s="155" t="s">
        <v>42</v>
      </c>
      <c r="C1132" s="156">
        <f>+C1130+C1131</f>
        <v>144689.83399999997</v>
      </c>
      <c r="D1132" s="156">
        <f>+D1130+D1131</f>
        <v>2904.2519871537538</v>
      </c>
      <c r="E1132" s="156"/>
      <c r="F1132" s="156"/>
    </row>
    <row r="1133" spans="2:6" x14ac:dyDescent="0.35">
      <c r="B1133" s="149" t="s">
        <v>43</v>
      </c>
      <c r="C1133" s="169">
        <f>+C1132-C1102</f>
        <v>-4.0000000153668225E-3</v>
      </c>
    </row>
    <row r="1136" spans="2:6" x14ac:dyDescent="0.35">
      <c r="B1136" t="s">
        <v>207</v>
      </c>
      <c r="C1136" s="153">
        <f>600*50</f>
        <v>30000</v>
      </c>
      <c r="D1136">
        <f>C1136/50</f>
        <v>600</v>
      </c>
    </row>
    <row r="1137" spans="2:4" x14ac:dyDescent="0.35">
      <c r="B1137" s="203" t="s">
        <v>208</v>
      </c>
      <c r="C1137" s="203">
        <f>-15000</f>
        <v>-15000</v>
      </c>
      <c r="D1137" s="203">
        <f>C1137/50</f>
        <v>-300</v>
      </c>
    </row>
    <row r="1138" spans="2:4" x14ac:dyDescent="0.35">
      <c r="B1138" t="s">
        <v>209</v>
      </c>
      <c r="C1138" s="204">
        <f>SUM(C1136:C1137)</f>
        <v>15000</v>
      </c>
      <c r="D1138" s="204">
        <f>SUM(D1136:D1137)</f>
        <v>300</v>
      </c>
    </row>
    <row r="1141" spans="2:4" x14ac:dyDescent="0.35">
      <c r="B1141" t="s">
        <v>210</v>
      </c>
      <c r="C1141" s="205">
        <f>Model!F64/Capitalization!C1105</f>
        <v>-4.8699590834317033E-2</v>
      </c>
    </row>
  </sheetData>
  <mergeCells count="38">
    <mergeCell ref="B312:B313"/>
    <mergeCell ref="C312:D312"/>
    <mergeCell ref="B492:B493"/>
    <mergeCell ref="C492:D492"/>
    <mergeCell ref="B812:B813"/>
    <mergeCell ref="C812:D812"/>
    <mergeCell ref="B674:B675"/>
    <mergeCell ref="C674:D674"/>
    <mergeCell ref="B720:B721"/>
    <mergeCell ref="C720:D720"/>
    <mergeCell ref="B766:B767"/>
    <mergeCell ref="C766:D766"/>
    <mergeCell ref="B357:B358"/>
    <mergeCell ref="C357:D357"/>
    <mergeCell ref="B1123:B1124"/>
    <mergeCell ref="C1123:D1123"/>
    <mergeCell ref="B1077:B1078"/>
    <mergeCell ref="C1077:D1077"/>
    <mergeCell ref="B945:B946"/>
    <mergeCell ref="C945:D945"/>
    <mergeCell ref="B990:B991"/>
    <mergeCell ref="C990:D990"/>
    <mergeCell ref="B1034:B1035"/>
    <mergeCell ref="C1034:D1034"/>
    <mergeCell ref="B856:B857"/>
    <mergeCell ref="C856:D856"/>
    <mergeCell ref="B900:B901"/>
    <mergeCell ref="C900:D900"/>
    <mergeCell ref="B402:B403"/>
    <mergeCell ref="C402:D402"/>
    <mergeCell ref="B582:B583"/>
    <mergeCell ref="C582:D582"/>
    <mergeCell ref="B628:B629"/>
    <mergeCell ref="C628:D628"/>
    <mergeCell ref="B447:B448"/>
    <mergeCell ref="C447:D447"/>
    <mergeCell ref="B537:B538"/>
    <mergeCell ref="C537:D537"/>
  </mergeCells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ignoredErrors>
    <ignoredError sqref="L1048 A1052" formulaRange="1"/>
    <ignoredError sqref="D1059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Y264"/>
  <sheetViews>
    <sheetView showGridLines="0" tabSelected="1" zoomScaleNormal="100" workbookViewId="0">
      <pane xSplit="2" ySplit="6" topLeftCell="J7" activePane="bottomRight" state="frozen"/>
      <selection pane="topRight" activeCell="C18" sqref="C18"/>
      <selection pane="bottomLeft" activeCell="C18" sqref="C18"/>
      <selection pane="bottomRight" activeCell="M1" sqref="M1:M1048576"/>
    </sheetView>
  </sheetViews>
  <sheetFormatPr defaultColWidth="11.453125" defaultRowHeight="14.5" outlineLevelRow="1" outlineLevelCol="1" x14ac:dyDescent="0.35"/>
  <cols>
    <col min="1" max="1" width="2.7265625" style="3" customWidth="1"/>
    <col min="2" max="2" width="50.7265625" style="3" customWidth="1"/>
    <col min="3" max="9" width="12.7265625" style="3" hidden="1" customWidth="1" outlineLevel="1"/>
    <col min="10" max="10" width="12.7265625" style="3" customWidth="1" collapsed="1"/>
    <col min="11" max="14" width="12.7265625" style="3" customWidth="1"/>
    <col min="15" max="22" width="12.7265625" style="3" hidden="1" customWidth="1" outlineLevel="1"/>
    <col min="23" max="23" width="12.7265625" style="3" hidden="1" customWidth="1" outlineLevel="1" collapsed="1"/>
    <col min="24" max="30" width="12.7265625" style="3" hidden="1" customWidth="1" outlineLevel="1"/>
    <col min="31" max="31" width="12.7265625" style="3" hidden="1" customWidth="1" outlineLevel="1" collapsed="1"/>
    <col min="32" max="41" width="12.7265625" style="3" hidden="1" customWidth="1" outlineLevel="1"/>
    <col min="42" max="42" width="12.7265625" style="3" customWidth="1" collapsed="1"/>
    <col min="43" max="47" width="12.7265625" style="3" customWidth="1"/>
    <col min="49" max="52" width="12.7265625" style="3" customWidth="1"/>
    <col min="53" max="242" width="11.453125" style="3"/>
    <col min="243" max="243" width="3.54296875" style="3" customWidth="1"/>
    <col min="244" max="244" width="38.26953125" style="3" customWidth="1"/>
    <col min="245" max="245" width="0.7265625" style="3" customWidth="1"/>
    <col min="246" max="250" width="0" style="3" hidden="1" customWidth="1"/>
    <col min="251" max="252" width="13.26953125" style="3" bestFit="1" customWidth="1"/>
    <col min="253" max="257" width="13.26953125" style="3" customWidth="1"/>
    <col min="258" max="258" width="11.453125" style="3" customWidth="1"/>
    <col min="259" max="278" width="0" style="3" hidden="1" customWidth="1"/>
    <col min="279" max="280" width="11.453125" style="3" customWidth="1"/>
    <col min="281" max="281" width="10.7265625" style="3" bestFit="1" customWidth="1"/>
    <col min="282" max="290" width="11.453125" style="3" customWidth="1"/>
    <col min="291" max="291" width="11.453125" style="3"/>
    <col min="292" max="292" width="20.26953125" style="3" bestFit="1" customWidth="1"/>
    <col min="293" max="498" width="11.453125" style="3"/>
    <col min="499" max="499" width="3.54296875" style="3" customWidth="1"/>
    <col min="500" max="500" width="38.26953125" style="3" customWidth="1"/>
    <col min="501" max="501" width="0.7265625" style="3" customWidth="1"/>
    <col min="502" max="506" width="0" style="3" hidden="1" customWidth="1"/>
    <col min="507" max="508" width="13.26953125" style="3" bestFit="1" customWidth="1"/>
    <col min="509" max="513" width="13.26953125" style="3" customWidth="1"/>
    <col min="514" max="514" width="11.453125" style="3" customWidth="1"/>
    <col min="515" max="534" width="0" style="3" hidden="1" customWidth="1"/>
    <col min="535" max="536" width="11.453125" style="3" customWidth="1"/>
    <col min="537" max="537" width="10.7265625" style="3" bestFit="1" customWidth="1"/>
    <col min="538" max="546" width="11.453125" style="3" customWidth="1"/>
    <col min="547" max="547" width="11.453125" style="3"/>
    <col min="548" max="548" width="20.26953125" style="3" bestFit="1" customWidth="1"/>
    <col min="549" max="754" width="11.453125" style="3"/>
    <col min="755" max="755" width="3.54296875" style="3" customWidth="1"/>
    <col min="756" max="756" width="38.26953125" style="3" customWidth="1"/>
    <col min="757" max="757" width="0.7265625" style="3" customWidth="1"/>
    <col min="758" max="762" width="0" style="3" hidden="1" customWidth="1"/>
    <col min="763" max="764" width="13.26953125" style="3" bestFit="1" customWidth="1"/>
    <col min="765" max="769" width="13.26953125" style="3" customWidth="1"/>
    <col min="770" max="770" width="11.453125" style="3" customWidth="1"/>
    <col min="771" max="790" width="0" style="3" hidden="1" customWidth="1"/>
    <col min="791" max="792" width="11.453125" style="3" customWidth="1"/>
    <col min="793" max="793" width="10.7265625" style="3" bestFit="1" customWidth="1"/>
    <col min="794" max="802" width="11.453125" style="3" customWidth="1"/>
    <col min="803" max="803" width="11.453125" style="3"/>
    <col min="804" max="804" width="20.26953125" style="3" bestFit="1" customWidth="1"/>
    <col min="805" max="1010" width="11.453125" style="3"/>
    <col min="1011" max="1011" width="3.54296875" style="3" customWidth="1"/>
    <col min="1012" max="1012" width="38.26953125" style="3" customWidth="1"/>
    <col min="1013" max="1013" width="0.7265625" style="3" customWidth="1"/>
    <col min="1014" max="1018" width="0" style="3" hidden="1" customWidth="1"/>
    <col min="1019" max="1020" width="13.26953125" style="3" bestFit="1" customWidth="1"/>
    <col min="1021" max="1025" width="13.26953125" style="3" customWidth="1"/>
    <col min="1026" max="1026" width="11.453125" style="3" customWidth="1"/>
    <col min="1027" max="1046" width="0" style="3" hidden="1" customWidth="1"/>
    <col min="1047" max="1048" width="11.453125" style="3" customWidth="1"/>
    <col min="1049" max="1049" width="10.7265625" style="3" bestFit="1" customWidth="1"/>
    <col min="1050" max="1058" width="11.453125" style="3" customWidth="1"/>
    <col min="1059" max="1059" width="11.453125" style="3"/>
    <col min="1060" max="1060" width="20.26953125" style="3" bestFit="1" customWidth="1"/>
    <col min="1061" max="1266" width="11.453125" style="3"/>
    <col min="1267" max="1267" width="3.54296875" style="3" customWidth="1"/>
    <col min="1268" max="1268" width="38.26953125" style="3" customWidth="1"/>
    <col min="1269" max="1269" width="0.7265625" style="3" customWidth="1"/>
    <col min="1270" max="1274" width="0" style="3" hidden="1" customWidth="1"/>
    <col min="1275" max="1276" width="13.26953125" style="3" bestFit="1" customWidth="1"/>
    <col min="1277" max="1281" width="13.26953125" style="3" customWidth="1"/>
    <col min="1282" max="1282" width="11.453125" style="3" customWidth="1"/>
    <col min="1283" max="1302" width="0" style="3" hidden="1" customWidth="1"/>
    <col min="1303" max="1304" width="11.453125" style="3" customWidth="1"/>
    <col min="1305" max="1305" width="10.7265625" style="3" bestFit="1" customWidth="1"/>
    <col min="1306" max="1314" width="11.453125" style="3" customWidth="1"/>
    <col min="1315" max="1315" width="11.453125" style="3"/>
    <col min="1316" max="1316" width="20.26953125" style="3" bestFit="1" customWidth="1"/>
    <col min="1317" max="1522" width="11.453125" style="3"/>
    <col min="1523" max="1523" width="3.54296875" style="3" customWidth="1"/>
    <col min="1524" max="1524" width="38.26953125" style="3" customWidth="1"/>
    <col min="1525" max="1525" width="0.7265625" style="3" customWidth="1"/>
    <col min="1526" max="1530" width="0" style="3" hidden="1" customWidth="1"/>
    <col min="1531" max="1532" width="13.26953125" style="3" bestFit="1" customWidth="1"/>
    <col min="1533" max="1537" width="13.26953125" style="3" customWidth="1"/>
    <col min="1538" max="1538" width="11.453125" style="3" customWidth="1"/>
    <col min="1539" max="1558" width="0" style="3" hidden="1" customWidth="1"/>
    <col min="1559" max="1560" width="11.453125" style="3" customWidth="1"/>
    <col min="1561" max="1561" width="10.7265625" style="3" bestFit="1" customWidth="1"/>
    <col min="1562" max="1570" width="11.453125" style="3" customWidth="1"/>
    <col min="1571" max="1571" width="11.453125" style="3"/>
    <col min="1572" max="1572" width="20.26953125" style="3" bestFit="1" customWidth="1"/>
    <col min="1573" max="1778" width="11.453125" style="3"/>
    <col min="1779" max="1779" width="3.54296875" style="3" customWidth="1"/>
    <col min="1780" max="1780" width="38.26953125" style="3" customWidth="1"/>
    <col min="1781" max="1781" width="0.7265625" style="3" customWidth="1"/>
    <col min="1782" max="1786" width="0" style="3" hidden="1" customWidth="1"/>
    <col min="1787" max="1788" width="13.26953125" style="3" bestFit="1" customWidth="1"/>
    <col min="1789" max="1793" width="13.26953125" style="3" customWidth="1"/>
    <col min="1794" max="1794" width="11.453125" style="3" customWidth="1"/>
    <col min="1795" max="1814" width="0" style="3" hidden="1" customWidth="1"/>
    <col min="1815" max="1816" width="11.453125" style="3" customWidth="1"/>
    <col min="1817" max="1817" width="10.7265625" style="3" bestFit="1" customWidth="1"/>
    <col min="1818" max="1826" width="11.453125" style="3" customWidth="1"/>
    <col min="1827" max="1827" width="11.453125" style="3"/>
    <col min="1828" max="1828" width="20.26953125" style="3" bestFit="1" customWidth="1"/>
    <col min="1829" max="2034" width="11.453125" style="3"/>
    <col min="2035" max="2035" width="3.54296875" style="3" customWidth="1"/>
    <col min="2036" max="2036" width="38.26953125" style="3" customWidth="1"/>
    <col min="2037" max="2037" width="0.7265625" style="3" customWidth="1"/>
    <col min="2038" max="2042" width="0" style="3" hidden="1" customWidth="1"/>
    <col min="2043" max="2044" width="13.26953125" style="3" bestFit="1" customWidth="1"/>
    <col min="2045" max="2049" width="13.26953125" style="3" customWidth="1"/>
    <col min="2050" max="2050" width="11.453125" style="3" customWidth="1"/>
    <col min="2051" max="2070" width="0" style="3" hidden="1" customWidth="1"/>
    <col min="2071" max="2072" width="11.453125" style="3" customWidth="1"/>
    <col min="2073" max="2073" width="10.7265625" style="3" bestFit="1" customWidth="1"/>
    <col min="2074" max="2082" width="11.453125" style="3" customWidth="1"/>
    <col min="2083" max="2083" width="11.453125" style="3"/>
    <col min="2084" max="2084" width="20.26953125" style="3" bestFit="1" customWidth="1"/>
    <col min="2085" max="2290" width="11.453125" style="3"/>
    <col min="2291" max="2291" width="3.54296875" style="3" customWidth="1"/>
    <col min="2292" max="2292" width="38.26953125" style="3" customWidth="1"/>
    <col min="2293" max="2293" width="0.7265625" style="3" customWidth="1"/>
    <col min="2294" max="2298" width="0" style="3" hidden="1" customWidth="1"/>
    <col min="2299" max="2300" width="13.26953125" style="3" bestFit="1" customWidth="1"/>
    <col min="2301" max="2305" width="13.26953125" style="3" customWidth="1"/>
    <col min="2306" max="2306" width="11.453125" style="3" customWidth="1"/>
    <col min="2307" max="2326" width="0" style="3" hidden="1" customWidth="1"/>
    <col min="2327" max="2328" width="11.453125" style="3" customWidth="1"/>
    <col min="2329" max="2329" width="10.7265625" style="3" bestFit="1" customWidth="1"/>
    <col min="2330" max="2338" width="11.453125" style="3" customWidth="1"/>
    <col min="2339" max="2339" width="11.453125" style="3"/>
    <col min="2340" max="2340" width="20.26953125" style="3" bestFit="1" customWidth="1"/>
    <col min="2341" max="2546" width="11.453125" style="3"/>
    <col min="2547" max="2547" width="3.54296875" style="3" customWidth="1"/>
    <col min="2548" max="2548" width="38.26953125" style="3" customWidth="1"/>
    <col min="2549" max="2549" width="0.7265625" style="3" customWidth="1"/>
    <col min="2550" max="2554" width="0" style="3" hidden="1" customWidth="1"/>
    <col min="2555" max="2556" width="13.26953125" style="3" bestFit="1" customWidth="1"/>
    <col min="2557" max="2561" width="13.26953125" style="3" customWidth="1"/>
    <col min="2562" max="2562" width="11.453125" style="3" customWidth="1"/>
    <col min="2563" max="2582" width="0" style="3" hidden="1" customWidth="1"/>
    <col min="2583" max="2584" width="11.453125" style="3" customWidth="1"/>
    <col min="2585" max="2585" width="10.7265625" style="3" bestFit="1" customWidth="1"/>
    <col min="2586" max="2594" width="11.453125" style="3" customWidth="1"/>
    <col min="2595" max="2595" width="11.453125" style="3"/>
    <col min="2596" max="2596" width="20.26953125" style="3" bestFit="1" customWidth="1"/>
    <col min="2597" max="2802" width="11.453125" style="3"/>
    <col min="2803" max="2803" width="3.54296875" style="3" customWidth="1"/>
    <col min="2804" max="2804" width="38.26953125" style="3" customWidth="1"/>
    <col min="2805" max="2805" width="0.7265625" style="3" customWidth="1"/>
    <col min="2806" max="2810" width="0" style="3" hidden="1" customWidth="1"/>
    <col min="2811" max="2812" width="13.26953125" style="3" bestFit="1" customWidth="1"/>
    <col min="2813" max="2817" width="13.26953125" style="3" customWidth="1"/>
    <col min="2818" max="2818" width="11.453125" style="3" customWidth="1"/>
    <col min="2819" max="2838" width="0" style="3" hidden="1" customWidth="1"/>
    <col min="2839" max="2840" width="11.453125" style="3" customWidth="1"/>
    <col min="2841" max="2841" width="10.7265625" style="3" bestFit="1" customWidth="1"/>
    <col min="2842" max="2850" width="11.453125" style="3" customWidth="1"/>
    <col min="2851" max="2851" width="11.453125" style="3"/>
    <col min="2852" max="2852" width="20.26953125" style="3" bestFit="1" customWidth="1"/>
    <col min="2853" max="3058" width="11.453125" style="3"/>
    <col min="3059" max="3059" width="3.54296875" style="3" customWidth="1"/>
    <col min="3060" max="3060" width="38.26953125" style="3" customWidth="1"/>
    <col min="3061" max="3061" width="0.7265625" style="3" customWidth="1"/>
    <col min="3062" max="3066" width="0" style="3" hidden="1" customWidth="1"/>
    <col min="3067" max="3068" width="13.26953125" style="3" bestFit="1" customWidth="1"/>
    <col min="3069" max="3073" width="13.26953125" style="3" customWidth="1"/>
    <col min="3074" max="3074" width="11.453125" style="3" customWidth="1"/>
    <col min="3075" max="3094" width="0" style="3" hidden="1" customWidth="1"/>
    <col min="3095" max="3096" width="11.453125" style="3" customWidth="1"/>
    <col min="3097" max="3097" width="10.7265625" style="3" bestFit="1" customWidth="1"/>
    <col min="3098" max="3106" width="11.453125" style="3" customWidth="1"/>
    <col min="3107" max="3107" width="11.453125" style="3"/>
    <col min="3108" max="3108" width="20.26953125" style="3" bestFit="1" customWidth="1"/>
    <col min="3109" max="3314" width="11.453125" style="3"/>
    <col min="3315" max="3315" width="3.54296875" style="3" customWidth="1"/>
    <col min="3316" max="3316" width="38.26953125" style="3" customWidth="1"/>
    <col min="3317" max="3317" width="0.7265625" style="3" customWidth="1"/>
    <col min="3318" max="3322" width="0" style="3" hidden="1" customWidth="1"/>
    <col min="3323" max="3324" width="13.26953125" style="3" bestFit="1" customWidth="1"/>
    <col min="3325" max="3329" width="13.26953125" style="3" customWidth="1"/>
    <col min="3330" max="3330" width="11.453125" style="3" customWidth="1"/>
    <col min="3331" max="3350" width="0" style="3" hidden="1" customWidth="1"/>
    <col min="3351" max="3352" width="11.453125" style="3" customWidth="1"/>
    <col min="3353" max="3353" width="10.7265625" style="3" bestFit="1" customWidth="1"/>
    <col min="3354" max="3362" width="11.453125" style="3" customWidth="1"/>
    <col min="3363" max="3363" width="11.453125" style="3"/>
    <col min="3364" max="3364" width="20.26953125" style="3" bestFit="1" customWidth="1"/>
    <col min="3365" max="3570" width="11.453125" style="3"/>
    <col min="3571" max="3571" width="3.54296875" style="3" customWidth="1"/>
    <col min="3572" max="3572" width="38.26953125" style="3" customWidth="1"/>
    <col min="3573" max="3573" width="0.7265625" style="3" customWidth="1"/>
    <col min="3574" max="3578" width="0" style="3" hidden="1" customWidth="1"/>
    <col min="3579" max="3580" width="13.26953125" style="3" bestFit="1" customWidth="1"/>
    <col min="3581" max="3585" width="13.26953125" style="3" customWidth="1"/>
    <col min="3586" max="3586" width="11.453125" style="3" customWidth="1"/>
    <col min="3587" max="3606" width="0" style="3" hidden="1" customWidth="1"/>
    <col min="3607" max="3608" width="11.453125" style="3" customWidth="1"/>
    <col min="3609" max="3609" width="10.7265625" style="3" bestFit="1" customWidth="1"/>
    <col min="3610" max="3618" width="11.453125" style="3" customWidth="1"/>
    <col min="3619" max="3619" width="11.453125" style="3"/>
    <col min="3620" max="3620" width="20.26953125" style="3" bestFit="1" customWidth="1"/>
    <col min="3621" max="3826" width="11.453125" style="3"/>
    <col min="3827" max="3827" width="3.54296875" style="3" customWidth="1"/>
    <col min="3828" max="3828" width="38.26953125" style="3" customWidth="1"/>
    <col min="3829" max="3829" width="0.7265625" style="3" customWidth="1"/>
    <col min="3830" max="3834" width="0" style="3" hidden="1" customWidth="1"/>
    <col min="3835" max="3836" width="13.26953125" style="3" bestFit="1" customWidth="1"/>
    <col min="3837" max="3841" width="13.26953125" style="3" customWidth="1"/>
    <col min="3842" max="3842" width="11.453125" style="3" customWidth="1"/>
    <col min="3843" max="3862" width="0" style="3" hidden="1" customWidth="1"/>
    <col min="3863" max="3864" width="11.453125" style="3" customWidth="1"/>
    <col min="3865" max="3865" width="10.7265625" style="3" bestFit="1" customWidth="1"/>
    <col min="3866" max="3874" width="11.453125" style="3" customWidth="1"/>
    <col min="3875" max="3875" width="11.453125" style="3"/>
    <col min="3876" max="3876" width="20.26953125" style="3" bestFit="1" customWidth="1"/>
    <col min="3877" max="4082" width="11.453125" style="3"/>
    <col min="4083" max="4083" width="3.54296875" style="3" customWidth="1"/>
    <col min="4084" max="4084" width="38.26953125" style="3" customWidth="1"/>
    <col min="4085" max="4085" width="0.7265625" style="3" customWidth="1"/>
    <col min="4086" max="4090" width="0" style="3" hidden="1" customWidth="1"/>
    <col min="4091" max="4092" width="13.26953125" style="3" bestFit="1" customWidth="1"/>
    <col min="4093" max="4097" width="13.26953125" style="3" customWidth="1"/>
    <col min="4098" max="4098" width="11.453125" style="3" customWidth="1"/>
    <col min="4099" max="4118" width="0" style="3" hidden="1" customWidth="1"/>
    <col min="4119" max="4120" width="11.453125" style="3" customWidth="1"/>
    <col min="4121" max="4121" width="10.7265625" style="3" bestFit="1" customWidth="1"/>
    <col min="4122" max="4130" width="11.453125" style="3" customWidth="1"/>
    <col min="4131" max="4131" width="11.453125" style="3"/>
    <col min="4132" max="4132" width="20.26953125" style="3" bestFit="1" customWidth="1"/>
    <col min="4133" max="4338" width="11.453125" style="3"/>
    <col min="4339" max="4339" width="3.54296875" style="3" customWidth="1"/>
    <col min="4340" max="4340" width="38.26953125" style="3" customWidth="1"/>
    <col min="4341" max="4341" width="0.7265625" style="3" customWidth="1"/>
    <col min="4342" max="4346" width="0" style="3" hidden="1" customWidth="1"/>
    <col min="4347" max="4348" width="13.26953125" style="3" bestFit="1" customWidth="1"/>
    <col min="4349" max="4353" width="13.26953125" style="3" customWidth="1"/>
    <col min="4354" max="4354" width="11.453125" style="3" customWidth="1"/>
    <col min="4355" max="4374" width="0" style="3" hidden="1" customWidth="1"/>
    <col min="4375" max="4376" width="11.453125" style="3" customWidth="1"/>
    <col min="4377" max="4377" width="10.7265625" style="3" bestFit="1" customWidth="1"/>
    <col min="4378" max="4386" width="11.453125" style="3" customWidth="1"/>
    <col min="4387" max="4387" width="11.453125" style="3"/>
    <col min="4388" max="4388" width="20.26953125" style="3" bestFit="1" customWidth="1"/>
    <col min="4389" max="4594" width="11.453125" style="3"/>
    <col min="4595" max="4595" width="3.54296875" style="3" customWidth="1"/>
    <col min="4596" max="4596" width="38.26953125" style="3" customWidth="1"/>
    <col min="4597" max="4597" width="0.7265625" style="3" customWidth="1"/>
    <col min="4598" max="4602" width="0" style="3" hidden="1" customWidth="1"/>
    <col min="4603" max="4604" width="13.26953125" style="3" bestFit="1" customWidth="1"/>
    <col min="4605" max="4609" width="13.26953125" style="3" customWidth="1"/>
    <col min="4610" max="4610" width="11.453125" style="3" customWidth="1"/>
    <col min="4611" max="4630" width="0" style="3" hidden="1" customWidth="1"/>
    <col min="4631" max="4632" width="11.453125" style="3" customWidth="1"/>
    <col min="4633" max="4633" width="10.7265625" style="3" bestFit="1" customWidth="1"/>
    <col min="4634" max="4642" width="11.453125" style="3" customWidth="1"/>
    <col min="4643" max="4643" width="11.453125" style="3"/>
    <col min="4644" max="4644" width="20.26953125" style="3" bestFit="1" customWidth="1"/>
    <col min="4645" max="4850" width="11.453125" style="3"/>
    <col min="4851" max="4851" width="3.54296875" style="3" customWidth="1"/>
    <col min="4852" max="4852" width="38.26953125" style="3" customWidth="1"/>
    <col min="4853" max="4853" width="0.7265625" style="3" customWidth="1"/>
    <col min="4854" max="4858" width="0" style="3" hidden="1" customWidth="1"/>
    <col min="4859" max="4860" width="13.26953125" style="3" bestFit="1" customWidth="1"/>
    <col min="4861" max="4865" width="13.26953125" style="3" customWidth="1"/>
    <col min="4866" max="4866" width="11.453125" style="3" customWidth="1"/>
    <col min="4867" max="4886" width="0" style="3" hidden="1" customWidth="1"/>
    <col min="4887" max="4888" width="11.453125" style="3" customWidth="1"/>
    <col min="4889" max="4889" width="10.7265625" style="3" bestFit="1" customWidth="1"/>
    <col min="4890" max="4898" width="11.453125" style="3" customWidth="1"/>
    <col min="4899" max="4899" width="11.453125" style="3"/>
    <col min="4900" max="4900" width="20.26953125" style="3" bestFit="1" customWidth="1"/>
    <col min="4901" max="5106" width="11.453125" style="3"/>
    <col min="5107" max="5107" width="3.54296875" style="3" customWidth="1"/>
    <col min="5108" max="5108" width="38.26953125" style="3" customWidth="1"/>
    <col min="5109" max="5109" width="0.7265625" style="3" customWidth="1"/>
    <col min="5110" max="5114" width="0" style="3" hidden="1" customWidth="1"/>
    <col min="5115" max="5116" width="13.26953125" style="3" bestFit="1" customWidth="1"/>
    <col min="5117" max="5121" width="13.26953125" style="3" customWidth="1"/>
    <col min="5122" max="5122" width="11.453125" style="3" customWidth="1"/>
    <col min="5123" max="5142" width="0" style="3" hidden="1" customWidth="1"/>
    <col min="5143" max="5144" width="11.453125" style="3" customWidth="1"/>
    <col min="5145" max="5145" width="10.7265625" style="3" bestFit="1" customWidth="1"/>
    <col min="5146" max="5154" width="11.453125" style="3" customWidth="1"/>
    <col min="5155" max="5155" width="11.453125" style="3"/>
    <col min="5156" max="5156" width="20.26953125" style="3" bestFit="1" customWidth="1"/>
    <col min="5157" max="5362" width="11.453125" style="3"/>
    <col min="5363" max="5363" width="3.54296875" style="3" customWidth="1"/>
    <col min="5364" max="5364" width="38.26953125" style="3" customWidth="1"/>
    <col min="5365" max="5365" width="0.7265625" style="3" customWidth="1"/>
    <col min="5366" max="5370" width="0" style="3" hidden="1" customWidth="1"/>
    <col min="5371" max="5372" width="13.26953125" style="3" bestFit="1" customWidth="1"/>
    <col min="5373" max="5377" width="13.26953125" style="3" customWidth="1"/>
    <col min="5378" max="5378" width="11.453125" style="3" customWidth="1"/>
    <col min="5379" max="5398" width="0" style="3" hidden="1" customWidth="1"/>
    <col min="5399" max="5400" width="11.453125" style="3" customWidth="1"/>
    <col min="5401" max="5401" width="10.7265625" style="3" bestFit="1" customWidth="1"/>
    <col min="5402" max="5410" width="11.453125" style="3" customWidth="1"/>
    <col min="5411" max="5411" width="11.453125" style="3"/>
    <col min="5412" max="5412" width="20.26953125" style="3" bestFit="1" customWidth="1"/>
    <col min="5413" max="5618" width="11.453125" style="3"/>
    <col min="5619" max="5619" width="3.54296875" style="3" customWidth="1"/>
    <col min="5620" max="5620" width="38.26953125" style="3" customWidth="1"/>
    <col min="5621" max="5621" width="0.7265625" style="3" customWidth="1"/>
    <col min="5622" max="5626" width="0" style="3" hidden="1" customWidth="1"/>
    <col min="5627" max="5628" width="13.26953125" style="3" bestFit="1" customWidth="1"/>
    <col min="5629" max="5633" width="13.26953125" style="3" customWidth="1"/>
    <col min="5634" max="5634" width="11.453125" style="3" customWidth="1"/>
    <col min="5635" max="5654" width="0" style="3" hidden="1" customWidth="1"/>
    <col min="5655" max="5656" width="11.453125" style="3" customWidth="1"/>
    <col min="5657" max="5657" width="10.7265625" style="3" bestFit="1" customWidth="1"/>
    <col min="5658" max="5666" width="11.453125" style="3" customWidth="1"/>
    <col min="5667" max="5667" width="11.453125" style="3"/>
    <col min="5668" max="5668" width="20.26953125" style="3" bestFit="1" customWidth="1"/>
    <col min="5669" max="5874" width="11.453125" style="3"/>
    <col min="5875" max="5875" width="3.54296875" style="3" customWidth="1"/>
    <col min="5876" max="5876" width="38.26953125" style="3" customWidth="1"/>
    <col min="5877" max="5877" width="0.7265625" style="3" customWidth="1"/>
    <col min="5878" max="5882" width="0" style="3" hidden="1" customWidth="1"/>
    <col min="5883" max="5884" width="13.26953125" style="3" bestFit="1" customWidth="1"/>
    <col min="5885" max="5889" width="13.26953125" style="3" customWidth="1"/>
    <col min="5890" max="5890" width="11.453125" style="3" customWidth="1"/>
    <col min="5891" max="5910" width="0" style="3" hidden="1" customWidth="1"/>
    <col min="5911" max="5912" width="11.453125" style="3" customWidth="1"/>
    <col min="5913" max="5913" width="10.7265625" style="3" bestFit="1" customWidth="1"/>
    <col min="5914" max="5922" width="11.453125" style="3" customWidth="1"/>
    <col min="5923" max="5923" width="11.453125" style="3"/>
    <col min="5924" max="5924" width="20.26953125" style="3" bestFit="1" customWidth="1"/>
    <col min="5925" max="6130" width="11.453125" style="3"/>
    <col min="6131" max="6131" width="3.54296875" style="3" customWidth="1"/>
    <col min="6132" max="6132" width="38.26953125" style="3" customWidth="1"/>
    <col min="6133" max="6133" width="0.7265625" style="3" customWidth="1"/>
    <col min="6134" max="6138" width="0" style="3" hidden="1" customWidth="1"/>
    <col min="6139" max="6140" width="13.26953125" style="3" bestFit="1" customWidth="1"/>
    <col min="6141" max="6145" width="13.26953125" style="3" customWidth="1"/>
    <col min="6146" max="6146" width="11.453125" style="3" customWidth="1"/>
    <col min="6147" max="6166" width="0" style="3" hidden="1" customWidth="1"/>
    <col min="6167" max="6168" width="11.453125" style="3" customWidth="1"/>
    <col min="6169" max="6169" width="10.7265625" style="3" bestFit="1" customWidth="1"/>
    <col min="6170" max="6178" width="11.453125" style="3" customWidth="1"/>
    <col min="6179" max="6179" width="11.453125" style="3"/>
    <col min="6180" max="6180" width="20.26953125" style="3" bestFit="1" customWidth="1"/>
    <col min="6181" max="6386" width="11.453125" style="3"/>
    <col min="6387" max="6387" width="3.54296875" style="3" customWidth="1"/>
    <col min="6388" max="6388" width="38.26953125" style="3" customWidth="1"/>
    <col min="6389" max="6389" width="0.7265625" style="3" customWidth="1"/>
    <col min="6390" max="6394" width="0" style="3" hidden="1" customWidth="1"/>
    <col min="6395" max="6396" width="13.26953125" style="3" bestFit="1" customWidth="1"/>
    <col min="6397" max="6401" width="13.26953125" style="3" customWidth="1"/>
    <col min="6402" max="6402" width="11.453125" style="3" customWidth="1"/>
    <col min="6403" max="6422" width="0" style="3" hidden="1" customWidth="1"/>
    <col min="6423" max="6424" width="11.453125" style="3" customWidth="1"/>
    <col min="6425" max="6425" width="10.7265625" style="3" bestFit="1" customWidth="1"/>
    <col min="6426" max="6434" width="11.453125" style="3" customWidth="1"/>
    <col min="6435" max="6435" width="11.453125" style="3"/>
    <col min="6436" max="6436" width="20.26953125" style="3" bestFit="1" customWidth="1"/>
    <col min="6437" max="6642" width="11.453125" style="3"/>
    <col min="6643" max="6643" width="3.54296875" style="3" customWidth="1"/>
    <col min="6644" max="6644" width="38.26953125" style="3" customWidth="1"/>
    <col min="6645" max="6645" width="0.7265625" style="3" customWidth="1"/>
    <col min="6646" max="6650" width="0" style="3" hidden="1" customWidth="1"/>
    <col min="6651" max="6652" width="13.26953125" style="3" bestFit="1" customWidth="1"/>
    <col min="6653" max="6657" width="13.26953125" style="3" customWidth="1"/>
    <col min="6658" max="6658" width="11.453125" style="3" customWidth="1"/>
    <col min="6659" max="6678" width="0" style="3" hidden="1" customWidth="1"/>
    <col min="6679" max="6680" width="11.453125" style="3" customWidth="1"/>
    <col min="6681" max="6681" width="10.7265625" style="3" bestFit="1" customWidth="1"/>
    <col min="6682" max="6690" width="11.453125" style="3" customWidth="1"/>
    <col min="6691" max="6691" width="11.453125" style="3"/>
    <col min="6692" max="6692" width="20.26953125" style="3" bestFit="1" customWidth="1"/>
    <col min="6693" max="6898" width="11.453125" style="3"/>
    <col min="6899" max="6899" width="3.54296875" style="3" customWidth="1"/>
    <col min="6900" max="6900" width="38.26953125" style="3" customWidth="1"/>
    <col min="6901" max="6901" width="0.7265625" style="3" customWidth="1"/>
    <col min="6902" max="6906" width="0" style="3" hidden="1" customWidth="1"/>
    <col min="6907" max="6908" width="13.26953125" style="3" bestFit="1" customWidth="1"/>
    <col min="6909" max="6913" width="13.26953125" style="3" customWidth="1"/>
    <col min="6914" max="6914" width="11.453125" style="3" customWidth="1"/>
    <col min="6915" max="6934" width="0" style="3" hidden="1" customWidth="1"/>
    <col min="6935" max="6936" width="11.453125" style="3" customWidth="1"/>
    <col min="6937" max="6937" width="10.7265625" style="3" bestFit="1" customWidth="1"/>
    <col min="6938" max="6946" width="11.453125" style="3" customWidth="1"/>
    <col min="6947" max="6947" width="11.453125" style="3"/>
    <col min="6948" max="6948" width="20.26953125" style="3" bestFit="1" customWidth="1"/>
    <col min="6949" max="7154" width="11.453125" style="3"/>
    <col min="7155" max="7155" width="3.54296875" style="3" customWidth="1"/>
    <col min="7156" max="7156" width="38.26953125" style="3" customWidth="1"/>
    <col min="7157" max="7157" width="0.7265625" style="3" customWidth="1"/>
    <col min="7158" max="7162" width="0" style="3" hidden="1" customWidth="1"/>
    <col min="7163" max="7164" width="13.26953125" style="3" bestFit="1" customWidth="1"/>
    <col min="7165" max="7169" width="13.26953125" style="3" customWidth="1"/>
    <col min="7170" max="7170" width="11.453125" style="3" customWidth="1"/>
    <col min="7171" max="7190" width="0" style="3" hidden="1" customWidth="1"/>
    <col min="7191" max="7192" width="11.453125" style="3" customWidth="1"/>
    <col min="7193" max="7193" width="10.7265625" style="3" bestFit="1" customWidth="1"/>
    <col min="7194" max="7202" width="11.453125" style="3" customWidth="1"/>
    <col min="7203" max="7203" width="11.453125" style="3"/>
    <col min="7204" max="7204" width="20.26953125" style="3" bestFit="1" customWidth="1"/>
    <col min="7205" max="7410" width="11.453125" style="3"/>
    <col min="7411" max="7411" width="3.54296875" style="3" customWidth="1"/>
    <col min="7412" max="7412" width="38.26953125" style="3" customWidth="1"/>
    <col min="7413" max="7413" width="0.7265625" style="3" customWidth="1"/>
    <col min="7414" max="7418" width="0" style="3" hidden="1" customWidth="1"/>
    <col min="7419" max="7420" width="13.26953125" style="3" bestFit="1" customWidth="1"/>
    <col min="7421" max="7425" width="13.26953125" style="3" customWidth="1"/>
    <col min="7426" max="7426" width="11.453125" style="3" customWidth="1"/>
    <col min="7427" max="7446" width="0" style="3" hidden="1" customWidth="1"/>
    <col min="7447" max="7448" width="11.453125" style="3" customWidth="1"/>
    <col min="7449" max="7449" width="10.7265625" style="3" bestFit="1" customWidth="1"/>
    <col min="7450" max="7458" width="11.453125" style="3" customWidth="1"/>
    <col min="7459" max="7459" width="11.453125" style="3"/>
    <col min="7460" max="7460" width="20.26953125" style="3" bestFit="1" customWidth="1"/>
    <col min="7461" max="7666" width="11.453125" style="3"/>
    <col min="7667" max="7667" width="3.54296875" style="3" customWidth="1"/>
    <col min="7668" max="7668" width="38.26953125" style="3" customWidth="1"/>
    <col min="7669" max="7669" width="0.7265625" style="3" customWidth="1"/>
    <col min="7670" max="7674" width="0" style="3" hidden="1" customWidth="1"/>
    <col min="7675" max="7676" width="13.26953125" style="3" bestFit="1" customWidth="1"/>
    <col min="7677" max="7681" width="13.26953125" style="3" customWidth="1"/>
    <col min="7682" max="7682" width="11.453125" style="3" customWidth="1"/>
    <col min="7683" max="7702" width="0" style="3" hidden="1" customWidth="1"/>
    <col min="7703" max="7704" width="11.453125" style="3" customWidth="1"/>
    <col min="7705" max="7705" width="10.7265625" style="3" bestFit="1" customWidth="1"/>
    <col min="7706" max="7714" width="11.453125" style="3" customWidth="1"/>
    <col min="7715" max="7715" width="11.453125" style="3"/>
    <col min="7716" max="7716" width="20.26953125" style="3" bestFit="1" customWidth="1"/>
    <col min="7717" max="7922" width="11.453125" style="3"/>
    <col min="7923" max="7923" width="3.54296875" style="3" customWidth="1"/>
    <col min="7924" max="7924" width="38.26953125" style="3" customWidth="1"/>
    <col min="7925" max="7925" width="0.7265625" style="3" customWidth="1"/>
    <col min="7926" max="7930" width="0" style="3" hidden="1" customWidth="1"/>
    <col min="7931" max="7932" width="13.26953125" style="3" bestFit="1" customWidth="1"/>
    <col min="7933" max="7937" width="13.26953125" style="3" customWidth="1"/>
    <col min="7938" max="7938" width="11.453125" style="3" customWidth="1"/>
    <col min="7939" max="7958" width="0" style="3" hidden="1" customWidth="1"/>
    <col min="7959" max="7960" width="11.453125" style="3" customWidth="1"/>
    <col min="7961" max="7961" width="10.7265625" style="3" bestFit="1" customWidth="1"/>
    <col min="7962" max="7970" width="11.453125" style="3" customWidth="1"/>
    <col min="7971" max="7971" width="11.453125" style="3"/>
    <col min="7972" max="7972" width="20.26953125" style="3" bestFit="1" customWidth="1"/>
    <col min="7973" max="8178" width="11.453125" style="3"/>
    <col min="8179" max="8179" width="3.54296875" style="3" customWidth="1"/>
    <col min="8180" max="8180" width="38.26953125" style="3" customWidth="1"/>
    <col min="8181" max="8181" width="0.7265625" style="3" customWidth="1"/>
    <col min="8182" max="8186" width="0" style="3" hidden="1" customWidth="1"/>
    <col min="8187" max="8188" width="13.26953125" style="3" bestFit="1" customWidth="1"/>
    <col min="8189" max="8193" width="13.26953125" style="3" customWidth="1"/>
    <col min="8194" max="8194" width="11.453125" style="3" customWidth="1"/>
    <col min="8195" max="8214" width="0" style="3" hidden="1" customWidth="1"/>
    <col min="8215" max="8216" width="11.453125" style="3" customWidth="1"/>
    <col min="8217" max="8217" width="10.7265625" style="3" bestFit="1" customWidth="1"/>
    <col min="8218" max="8226" width="11.453125" style="3" customWidth="1"/>
    <col min="8227" max="8227" width="11.453125" style="3"/>
    <col min="8228" max="8228" width="20.26953125" style="3" bestFit="1" customWidth="1"/>
    <col min="8229" max="8434" width="11.453125" style="3"/>
    <col min="8435" max="8435" width="3.54296875" style="3" customWidth="1"/>
    <col min="8436" max="8436" width="38.26953125" style="3" customWidth="1"/>
    <col min="8437" max="8437" width="0.7265625" style="3" customWidth="1"/>
    <col min="8438" max="8442" width="0" style="3" hidden="1" customWidth="1"/>
    <col min="8443" max="8444" width="13.26953125" style="3" bestFit="1" customWidth="1"/>
    <col min="8445" max="8449" width="13.26953125" style="3" customWidth="1"/>
    <col min="8450" max="8450" width="11.453125" style="3" customWidth="1"/>
    <col min="8451" max="8470" width="0" style="3" hidden="1" customWidth="1"/>
    <col min="8471" max="8472" width="11.453125" style="3" customWidth="1"/>
    <col min="8473" max="8473" width="10.7265625" style="3" bestFit="1" customWidth="1"/>
    <col min="8474" max="8482" width="11.453125" style="3" customWidth="1"/>
    <col min="8483" max="8483" width="11.453125" style="3"/>
    <col min="8484" max="8484" width="20.26953125" style="3" bestFit="1" customWidth="1"/>
    <col min="8485" max="8690" width="11.453125" style="3"/>
    <col min="8691" max="8691" width="3.54296875" style="3" customWidth="1"/>
    <col min="8692" max="8692" width="38.26953125" style="3" customWidth="1"/>
    <col min="8693" max="8693" width="0.7265625" style="3" customWidth="1"/>
    <col min="8694" max="8698" width="0" style="3" hidden="1" customWidth="1"/>
    <col min="8699" max="8700" width="13.26953125" style="3" bestFit="1" customWidth="1"/>
    <col min="8701" max="8705" width="13.26953125" style="3" customWidth="1"/>
    <col min="8706" max="8706" width="11.453125" style="3" customWidth="1"/>
    <col min="8707" max="8726" width="0" style="3" hidden="1" customWidth="1"/>
    <col min="8727" max="8728" width="11.453125" style="3" customWidth="1"/>
    <col min="8729" max="8729" width="10.7265625" style="3" bestFit="1" customWidth="1"/>
    <col min="8730" max="8738" width="11.453125" style="3" customWidth="1"/>
    <col min="8739" max="8739" width="11.453125" style="3"/>
    <col min="8740" max="8740" width="20.26953125" style="3" bestFit="1" customWidth="1"/>
    <col min="8741" max="8946" width="11.453125" style="3"/>
    <col min="8947" max="8947" width="3.54296875" style="3" customWidth="1"/>
    <col min="8948" max="8948" width="38.26953125" style="3" customWidth="1"/>
    <col min="8949" max="8949" width="0.7265625" style="3" customWidth="1"/>
    <col min="8950" max="8954" width="0" style="3" hidden="1" customWidth="1"/>
    <col min="8955" max="8956" width="13.26953125" style="3" bestFit="1" customWidth="1"/>
    <col min="8957" max="8961" width="13.26953125" style="3" customWidth="1"/>
    <col min="8962" max="8962" width="11.453125" style="3" customWidth="1"/>
    <col min="8963" max="8982" width="0" style="3" hidden="1" customWidth="1"/>
    <col min="8983" max="8984" width="11.453125" style="3" customWidth="1"/>
    <col min="8985" max="8985" width="10.7265625" style="3" bestFit="1" customWidth="1"/>
    <col min="8986" max="8994" width="11.453125" style="3" customWidth="1"/>
    <col min="8995" max="8995" width="11.453125" style="3"/>
    <col min="8996" max="8996" width="20.26953125" style="3" bestFit="1" customWidth="1"/>
    <col min="8997" max="9202" width="11.453125" style="3"/>
    <col min="9203" max="9203" width="3.54296875" style="3" customWidth="1"/>
    <col min="9204" max="9204" width="38.26953125" style="3" customWidth="1"/>
    <col min="9205" max="9205" width="0.7265625" style="3" customWidth="1"/>
    <col min="9206" max="9210" width="0" style="3" hidden="1" customWidth="1"/>
    <col min="9211" max="9212" width="13.26953125" style="3" bestFit="1" customWidth="1"/>
    <col min="9213" max="9217" width="13.26953125" style="3" customWidth="1"/>
    <col min="9218" max="9218" width="11.453125" style="3" customWidth="1"/>
    <col min="9219" max="9238" width="0" style="3" hidden="1" customWidth="1"/>
    <col min="9239" max="9240" width="11.453125" style="3" customWidth="1"/>
    <col min="9241" max="9241" width="10.7265625" style="3" bestFit="1" customWidth="1"/>
    <col min="9242" max="9250" width="11.453125" style="3" customWidth="1"/>
    <col min="9251" max="9251" width="11.453125" style="3"/>
    <col min="9252" max="9252" width="20.26953125" style="3" bestFit="1" customWidth="1"/>
    <col min="9253" max="9458" width="11.453125" style="3"/>
    <col min="9459" max="9459" width="3.54296875" style="3" customWidth="1"/>
    <col min="9460" max="9460" width="38.26953125" style="3" customWidth="1"/>
    <col min="9461" max="9461" width="0.7265625" style="3" customWidth="1"/>
    <col min="9462" max="9466" width="0" style="3" hidden="1" customWidth="1"/>
    <col min="9467" max="9468" width="13.26953125" style="3" bestFit="1" customWidth="1"/>
    <col min="9469" max="9473" width="13.26953125" style="3" customWidth="1"/>
    <col min="9474" max="9474" width="11.453125" style="3" customWidth="1"/>
    <col min="9475" max="9494" width="0" style="3" hidden="1" customWidth="1"/>
    <col min="9495" max="9496" width="11.453125" style="3" customWidth="1"/>
    <col min="9497" max="9497" width="10.7265625" style="3" bestFit="1" customWidth="1"/>
    <col min="9498" max="9506" width="11.453125" style="3" customWidth="1"/>
    <col min="9507" max="9507" width="11.453125" style="3"/>
    <col min="9508" max="9508" width="20.26953125" style="3" bestFit="1" customWidth="1"/>
    <col min="9509" max="9714" width="11.453125" style="3"/>
    <col min="9715" max="9715" width="3.54296875" style="3" customWidth="1"/>
    <col min="9716" max="9716" width="38.26953125" style="3" customWidth="1"/>
    <col min="9717" max="9717" width="0.7265625" style="3" customWidth="1"/>
    <col min="9718" max="9722" width="0" style="3" hidden="1" customWidth="1"/>
    <col min="9723" max="9724" width="13.26953125" style="3" bestFit="1" customWidth="1"/>
    <col min="9725" max="9729" width="13.26953125" style="3" customWidth="1"/>
    <col min="9730" max="9730" width="11.453125" style="3" customWidth="1"/>
    <col min="9731" max="9750" width="0" style="3" hidden="1" customWidth="1"/>
    <col min="9751" max="9752" width="11.453125" style="3" customWidth="1"/>
    <col min="9753" max="9753" width="10.7265625" style="3" bestFit="1" customWidth="1"/>
    <col min="9754" max="9762" width="11.453125" style="3" customWidth="1"/>
    <col min="9763" max="9763" width="11.453125" style="3"/>
    <col min="9764" max="9764" width="20.26953125" style="3" bestFit="1" customWidth="1"/>
    <col min="9765" max="9970" width="11.453125" style="3"/>
    <col min="9971" max="9971" width="3.54296875" style="3" customWidth="1"/>
    <col min="9972" max="9972" width="38.26953125" style="3" customWidth="1"/>
    <col min="9973" max="9973" width="0.7265625" style="3" customWidth="1"/>
    <col min="9974" max="9978" width="0" style="3" hidden="1" customWidth="1"/>
    <col min="9979" max="9980" width="13.26953125" style="3" bestFit="1" customWidth="1"/>
    <col min="9981" max="9985" width="13.26953125" style="3" customWidth="1"/>
    <col min="9986" max="9986" width="11.453125" style="3" customWidth="1"/>
    <col min="9987" max="10006" width="0" style="3" hidden="1" customWidth="1"/>
    <col min="10007" max="10008" width="11.453125" style="3" customWidth="1"/>
    <col min="10009" max="10009" width="10.7265625" style="3" bestFit="1" customWidth="1"/>
    <col min="10010" max="10018" width="11.453125" style="3" customWidth="1"/>
    <col min="10019" max="10019" width="11.453125" style="3"/>
    <col min="10020" max="10020" width="20.26953125" style="3" bestFit="1" customWidth="1"/>
    <col min="10021" max="10226" width="11.453125" style="3"/>
    <col min="10227" max="10227" width="3.54296875" style="3" customWidth="1"/>
    <col min="10228" max="10228" width="38.26953125" style="3" customWidth="1"/>
    <col min="10229" max="10229" width="0.7265625" style="3" customWidth="1"/>
    <col min="10230" max="10234" width="0" style="3" hidden="1" customWidth="1"/>
    <col min="10235" max="10236" width="13.26953125" style="3" bestFit="1" customWidth="1"/>
    <col min="10237" max="10241" width="13.26953125" style="3" customWidth="1"/>
    <col min="10242" max="10242" width="11.453125" style="3" customWidth="1"/>
    <col min="10243" max="10262" width="0" style="3" hidden="1" customWidth="1"/>
    <col min="10263" max="10264" width="11.453125" style="3" customWidth="1"/>
    <col min="10265" max="10265" width="10.7265625" style="3" bestFit="1" customWidth="1"/>
    <col min="10266" max="10274" width="11.453125" style="3" customWidth="1"/>
    <col min="10275" max="10275" width="11.453125" style="3"/>
    <col min="10276" max="10276" width="20.26953125" style="3" bestFit="1" customWidth="1"/>
    <col min="10277" max="10482" width="11.453125" style="3"/>
    <col min="10483" max="10483" width="3.54296875" style="3" customWidth="1"/>
    <col min="10484" max="10484" width="38.26953125" style="3" customWidth="1"/>
    <col min="10485" max="10485" width="0.7265625" style="3" customWidth="1"/>
    <col min="10486" max="10490" width="0" style="3" hidden="1" customWidth="1"/>
    <col min="10491" max="10492" width="13.26953125" style="3" bestFit="1" customWidth="1"/>
    <col min="10493" max="10497" width="13.26953125" style="3" customWidth="1"/>
    <col min="10498" max="10498" width="11.453125" style="3" customWidth="1"/>
    <col min="10499" max="10518" width="0" style="3" hidden="1" customWidth="1"/>
    <col min="10519" max="10520" width="11.453125" style="3" customWidth="1"/>
    <col min="10521" max="10521" width="10.7265625" style="3" bestFit="1" customWidth="1"/>
    <col min="10522" max="10530" width="11.453125" style="3" customWidth="1"/>
    <col min="10531" max="10531" width="11.453125" style="3"/>
    <col min="10532" max="10532" width="20.26953125" style="3" bestFit="1" customWidth="1"/>
    <col min="10533" max="10738" width="11.453125" style="3"/>
    <col min="10739" max="10739" width="3.54296875" style="3" customWidth="1"/>
    <col min="10740" max="10740" width="38.26953125" style="3" customWidth="1"/>
    <col min="10741" max="10741" width="0.7265625" style="3" customWidth="1"/>
    <col min="10742" max="10746" width="0" style="3" hidden="1" customWidth="1"/>
    <col min="10747" max="10748" width="13.26953125" style="3" bestFit="1" customWidth="1"/>
    <col min="10749" max="10753" width="13.26953125" style="3" customWidth="1"/>
    <col min="10754" max="10754" width="11.453125" style="3" customWidth="1"/>
    <col min="10755" max="10774" width="0" style="3" hidden="1" customWidth="1"/>
    <col min="10775" max="10776" width="11.453125" style="3" customWidth="1"/>
    <col min="10777" max="10777" width="10.7265625" style="3" bestFit="1" customWidth="1"/>
    <col min="10778" max="10786" width="11.453125" style="3" customWidth="1"/>
    <col min="10787" max="10787" width="11.453125" style="3"/>
    <col min="10788" max="10788" width="20.26953125" style="3" bestFit="1" customWidth="1"/>
    <col min="10789" max="10994" width="11.453125" style="3"/>
    <col min="10995" max="10995" width="3.54296875" style="3" customWidth="1"/>
    <col min="10996" max="10996" width="38.26953125" style="3" customWidth="1"/>
    <col min="10997" max="10997" width="0.7265625" style="3" customWidth="1"/>
    <col min="10998" max="11002" width="0" style="3" hidden="1" customWidth="1"/>
    <col min="11003" max="11004" width="13.26953125" style="3" bestFit="1" customWidth="1"/>
    <col min="11005" max="11009" width="13.26953125" style="3" customWidth="1"/>
    <col min="11010" max="11010" width="11.453125" style="3" customWidth="1"/>
    <col min="11011" max="11030" width="0" style="3" hidden="1" customWidth="1"/>
    <col min="11031" max="11032" width="11.453125" style="3" customWidth="1"/>
    <col min="11033" max="11033" width="10.7265625" style="3" bestFit="1" customWidth="1"/>
    <col min="11034" max="11042" width="11.453125" style="3" customWidth="1"/>
    <col min="11043" max="11043" width="11.453125" style="3"/>
    <col min="11044" max="11044" width="20.26953125" style="3" bestFit="1" customWidth="1"/>
    <col min="11045" max="11250" width="11.453125" style="3"/>
    <col min="11251" max="11251" width="3.54296875" style="3" customWidth="1"/>
    <col min="11252" max="11252" width="38.26953125" style="3" customWidth="1"/>
    <col min="11253" max="11253" width="0.7265625" style="3" customWidth="1"/>
    <col min="11254" max="11258" width="0" style="3" hidden="1" customWidth="1"/>
    <col min="11259" max="11260" width="13.26953125" style="3" bestFit="1" customWidth="1"/>
    <col min="11261" max="11265" width="13.26953125" style="3" customWidth="1"/>
    <col min="11266" max="11266" width="11.453125" style="3" customWidth="1"/>
    <col min="11267" max="11286" width="0" style="3" hidden="1" customWidth="1"/>
    <col min="11287" max="11288" width="11.453125" style="3" customWidth="1"/>
    <col min="11289" max="11289" width="10.7265625" style="3" bestFit="1" customWidth="1"/>
    <col min="11290" max="11298" width="11.453125" style="3" customWidth="1"/>
    <col min="11299" max="11299" width="11.453125" style="3"/>
    <col min="11300" max="11300" width="20.26953125" style="3" bestFit="1" customWidth="1"/>
    <col min="11301" max="11506" width="11.453125" style="3"/>
    <col min="11507" max="11507" width="3.54296875" style="3" customWidth="1"/>
    <col min="11508" max="11508" width="38.26953125" style="3" customWidth="1"/>
    <col min="11509" max="11509" width="0.7265625" style="3" customWidth="1"/>
    <col min="11510" max="11514" width="0" style="3" hidden="1" customWidth="1"/>
    <col min="11515" max="11516" width="13.26953125" style="3" bestFit="1" customWidth="1"/>
    <col min="11517" max="11521" width="13.26953125" style="3" customWidth="1"/>
    <col min="11522" max="11522" width="11.453125" style="3" customWidth="1"/>
    <col min="11523" max="11542" width="0" style="3" hidden="1" customWidth="1"/>
    <col min="11543" max="11544" width="11.453125" style="3" customWidth="1"/>
    <col min="11545" max="11545" width="10.7265625" style="3" bestFit="1" customWidth="1"/>
    <col min="11546" max="11554" width="11.453125" style="3" customWidth="1"/>
    <col min="11555" max="11555" width="11.453125" style="3"/>
    <col min="11556" max="11556" width="20.26953125" style="3" bestFit="1" customWidth="1"/>
    <col min="11557" max="11762" width="11.453125" style="3"/>
    <col min="11763" max="11763" width="3.54296875" style="3" customWidth="1"/>
    <col min="11764" max="11764" width="38.26953125" style="3" customWidth="1"/>
    <col min="11765" max="11765" width="0.7265625" style="3" customWidth="1"/>
    <col min="11766" max="11770" width="0" style="3" hidden="1" customWidth="1"/>
    <col min="11771" max="11772" width="13.26953125" style="3" bestFit="1" customWidth="1"/>
    <col min="11773" max="11777" width="13.26953125" style="3" customWidth="1"/>
    <col min="11778" max="11778" width="11.453125" style="3" customWidth="1"/>
    <col min="11779" max="11798" width="0" style="3" hidden="1" customWidth="1"/>
    <col min="11799" max="11800" width="11.453125" style="3" customWidth="1"/>
    <col min="11801" max="11801" width="10.7265625" style="3" bestFit="1" customWidth="1"/>
    <col min="11802" max="11810" width="11.453125" style="3" customWidth="1"/>
    <col min="11811" max="11811" width="11.453125" style="3"/>
    <col min="11812" max="11812" width="20.26953125" style="3" bestFit="1" customWidth="1"/>
    <col min="11813" max="12018" width="11.453125" style="3"/>
    <col min="12019" max="12019" width="3.54296875" style="3" customWidth="1"/>
    <col min="12020" max="12020" width="38.26953125" style="3" customWidth="1"/>
    <col min="12021" max="12021" width="0.7265625" style="3" customWidth="1"/>
    <col min="12022" max="12026" width="0" style="3" hidden="1" customWidth="1"/>
    <col min="12027" max="12028" width="13.26953125" style="3" bestFit="1" customWidth="1"/>
    <col min="12029" max="12033" width="13.26953125" style="3" customWidth="1"/>
    <col min="12034" max="12034" width="11.453125" style="3" customWidth="1"/>
    <col min="12035" max="12054" width="0" style="3" hidden="1" customWidth="1"/>
    <col min="12055" max="12056" width="11.453125" style="3" customWidth="1"/>
    <col min="12057" max="12057" width="10.7265625" style="3" bestFit="1" customWidth="1"/>
    <col min="12058" max="12066" width="11.453125" style="3" customWidth="1"/>
    <col min="12067" max="12067" width="11.453125" style="3"/>
    <col min="12068" max="12068" width="20.26953125" style="3" bestFit="1" customWidth="1"/>
    <col min="12069" max="12274" width="11.453125" style="3"/>
    <col min="12275" max="12275" width="3.54296875" style="3" customWidth="1"/>
    <col min="12276" max="12276" width="38.26953125" style="3" customWidth="1"/>
    <col min="12277" max="12277" width="0.7265625" style="3" customWidth="1"/>
    <col min="12278" max="12282" width="0" style="3" hidden="1" customWidth="1"/>
    <col min="12283" max="12284" width="13.26953125" style="3" bestFit="1" customWidth="1"/>
    <col min="12285" max="12289" width="13.26953125" style="3" customWidth="1"/>
    <col min="12290" max="12290" width="11.453125" style="3" customWidth="1"/>
    <col min="12291" max="12310" width="0" style="3" hidden="1" customWidth="1"/>
    <col min="12311" max="12312" width="11.453125" style="3" customWidth="1"/>
    <col min="12313" max="12313" width="10.7265625" style="3" bestFit="1" customWidth="1"/>
    <col min="12314" max="12322" width="11.453125" style="3" customWidth="1"/>
    <col min="12323" max="12323" width="11.453125" style="3"/>
    <col min="12324" max="12324" width="20.26953125" style="3" bestFit="1" customWidth="1"/>
    <col min="12325" max="12530" width="11.453125" style="3"/>
    <col min="12531" max="12531" width="3.54296875" style="3" customWidth="1"/>
    <col min="12532" max="12532" width="38.26953125" style="3" customWidth="1"/>
    <col min="12533" max="12533" width="0.7265625" style="3" customWidth="1"/>
    <col min="12534" max="12538" width="0" style="3" hidden="1" customWidth="1"/>
    <col min="12539" max="12540" width="13.26953125" style="3" bestFit="1" customWidth="1"/>
    <col min="12541" max="12545" width="13.26953125" style="3" customWidth="1"/>
    <col min="12546" max="12546" width="11.453125" style="3" customWidth="1"/>
    <col min="12547" max="12566" width="0" style="3" hidden="1" customWidth="1"/>
    <col min="12567" max="12568" width="11.453125" style="3" customWidth="1"/>
    <col min="12569" max="12569" width="10.7265625" style="3" bestFit="1" customWidth="1"/>
    <col min="12570" max="12578" width="11.453125" style="3" customWidth="1"/>
    <col min="12579" max="12579" width="11.453125" style="3"/>
    <col min="12580" max="12580" width="20.26953125" style="3" bestFit="1" customWidth="1"/>
    <col min="12581" max="12786" width="11.453125" style="3"/>
    <col min="12787" max="12787" width="3.54296875" style="3" customWidth="1"/>
    <col min="12788" max="12788" width="38.26953125" style="3" customWidth="1"/>
    <col min="12789" max="12789" width="0.7265625" style="3" customWidth="1"/>
    <col min="12790" max="12794" width="0" style="3" hidden="1" customWidth="1"/>
    <col min="12795" max="12796" width="13.26953125" style="3" bestFit="1" customWidth="1"/>
    <col min="12797" max="12801" width="13.26953125" style="3" customWidth="1"/>
    <col min="12802" max="12802" width="11.453125" style="3" customWidth="1"/>
    <col min="12803" max="12822" width="0" style="3" hidden="1" customWidth="1"/>
    <col min="12823" max="12824" width="11.453125" style="3" customWidth="1"/>
    <col min="12825" max="12825" width="10.7265625" style="3" bestFit="1" customWidth="1"/>
    <col min="12826" max="12834" width="11.453125" style="3" customWidth="1"/>
    <col min="12835" max="12835" width="11.453125" style="3"/>
    <col min="12836" max="12836" width="20.26953125" style="3" bestFit="1" customWidth="1"/>
    <col min="12837" max="13042" width="11.453125" style="3"/>
    <col min="13043" max="13043" width="3.54296875" style="3" customWidth="1"/>
    <col min="13044" max="13044" width="38.26953125" style="3" customWidth="1"/>
    <col min="13045" max="13045" width="0.7265625" style="3" customWidth="1"/>
    <col min="13046" max="13050" width="0" style="3" hidden="1" customWidth="1"/>
    <col min="13051" max="13052" width="13.26953125" style="3" bestFit="1" customWidth="1"/>
    <col min="13053" max="13057" width="13.26953125" style="3" customWidth="1"/>
    <col min="13058" max="13058" width="11.453125" style="3" customWidth="1"/>
    <col min="13059" max="13078" width="0" style="3" hidden="1" customWidth="1"/>
    <col min="13079" max="13080" width="11.453125" style="3" customWidth="1"/>
    <col min="13081" max="13081" width="10.7265625" style="3" bestFit="1" customWidth="1"/>
    <col min="13082" max="13090" width="11.453125" style="3" customWidth="1"/>
    <col min="13091" max="13091" width="11.453125" style="3"/>
    <col min="13092" max="13092" width="20.26953125" style="3" bestFit="1" customWidth="1"/>
    <col min="13093" max="13298" width="11.453125" style="3"/>
    <col min="13299" max="13299" width="3.54296875" style="3" customWidth="1"/>
    <col min="13300" max="13300" width="38.26953125" style="3" customWidth="1"/>
    <col min="13301" max="13301" width="0.7265625" style="3" customWidth="1"/>
    <col min="13302" max="13306" width="0" style="3" hidden="1" customWidth="1"/>
    <col min="13307" max="13308" width="13.26953125" style="3" bestFit="1" customWidth="1"/>
    <col min="13309" max="13313" width="13.26953125" style="3" customWidth="1"/>
    <col min="13314" max="13314" width="11.453125" style="3" customWidth="1"/>
    <col min="13315" max="13334" width="0" style="3" hidden="1" customWidth="1"/>
    <col min="13335" max="13336" width="11.453125" style="3" customWidth="1"/>
    <col min="13337" max="13337" width="10.7265625" style="3" bestFit="1" customWidth="1"/>
    <col min="13338" max="13346" width="11.453125" style="3" customWidth="1"/>
    <col min="13347" max="13347" width="11.453125" style="3"/>
    <col min="13348" max="13348" width="20.26953125" style="3" bestFit="1" customWidth="1"/>
    <col min="13349" max="13554" width="11.453125" style="3"/>
    <col min="13555" max="13555" width="3.54296875" style="3" customWidth="1"/>
    <col min="13556" max="13556" width="38.26953125" style="3" customWidth="1"/>
    <col min="13557" max="13557" width="0.7265625" style="3" customWidth="1"/>
    <col min="13558" max="13562" width="0" style="3" hidden="1" customWidth="1"/>
    <col min="13563" max="13564" width="13.26953125" style="3" bestFit="1" customWidth="1"/>
    <col min="13565" max="13569" width="13.26953125" style="3" customWidth="1"/>
    <col min="13570" max="13570" width="11.453125" style="3" customWidth="1"/>
    <col min="13571" max="13590" width="0" style="3" hidden="1" customWidth="1"/>
    <col min="13591" max="13592" width="11.453125" style="3" customWidth="1"/>
    <col min="13593" max="13593" width="10.7265625" style="3" bestFit="1" customWidth="1"/>
    <col min="13594" max="13602" width="11.453125" style="3" customWidth="1"/>
    <col min="13603" max="13603" width="11.453125" style="3"/>
    <col min="13604" max="13604" width="20.26953125" style="3" bestFit="1" customWidth="1"/>
    <col min="13605" max="13810" width="11.453125" style="3"/>
    <col min="13811" max="13811" width="3.54296875" style="3" customWidth="1"/>
    <col min="13812" max="13812" width="38.26953125" style="3" customWidth="1"/>
    <col min="13813" max="13813" width="0.7265625" style="3" customWidth="1"/>
    <col min="13814" max="13818" width="0" style="3" hidden="1" customWidth="1"/>
    <col min="13819" max="13820" width="13.26953125" style="3" bestFit="1" customWidth="1"/>
    <col min="13821" max="13825" width="13.26953125" style="3" customWidth="1"/>
    <col min="13826" max="13826" width="11.453125" style="3" customWidth="1"/>
    <col min="13827" max="13846" width="0" style="3" hidden="1" customWidth="1"/>
    <col min="13847" max="13848" width="11.453125" style="3" customWidth="1"/>
    <col min="13849" max="13849" width="10.7265625" style="3" bestFit="1" customWidth="1"/>
    <col min="13850" max="13858" width="11.453125" style="3" customWidth="1"/>
    <col min="13859" max="13859" width="11.453125" style="3"/>
    <col min="13860" max="13860" width="20.26953125" style="3" bestFit="1" customWidth="1"/>
    <col min="13861" max="14066" width="11.453125" style="3"/>
    <col min="14067" max="14067" width="3.54296875" style="3" customWidth="1"/>
    <col min="14068" max="14068" width="38.26953125" style="3" customWidth="1"/>
    <col min="14069" max="14069" width="0.7265625" style="3" customWidth="1"/>
    <col min="14070" max="14074" width="0" style="3" hidden="1" customWidth="1"/>
    <col min="14075" max="14076" width="13.26953125" style="3" bestFit="1" customWidth="1"/>
    <col min="14077" max="14081" width="13.26953125" style="3" customWidth="1"/>
    <col min="14082" max="14082" width="11.453125" style="3" customWidth="1"/>
    <col min="14083" max="14102" width="0" style="3" hidden="1" customWidth="1"/>
    <col min="14103" max="14104" width="11.453125" style="3" customWidth="1"/>
    <col min="14105" max="14105" width="10.7265625" style="3" bestFit="1" customWidth="1"/>
    <col min="14106" max="14114" width="11.453125" style="3" customWidth="1"/>
    <col min="14115" max="14115" width="11.453125" style="3"/>
    <col min="14116" max="14116" width="20.26953125" style="3" bestFit="1" customWidth="1"/>
    <col min="14117" max="14322" width="11.453125" style="3"/>
    <col min="14323" max="14323" width="3.54296875" style="3" customWidth="1"/>
    <col min="14324" max="14324" width="38.26953125" style="3" customWidth="1"/>
    <col min="14325" max="14325" width="0.7265625" style="3" customWidth="1"/>
    <col min="14326" max="14330" width="0" style="3" hidden="1" customWidth="1"/>
    <col min="14331" max="14332" width="13.26953125" style="3" bestFit="1" customWidth="1"/>
    <col min="14333" max="14337" width="13.26953125" style="3" customWidth="1"/>
    <col min="14338" max="14338" width="11.453125" style="3" customWidth="1"/>
    <col min="14339" max="14358" width="0" style="3" hidden="1" customWidth="1"/>
    <col min="14359" max="14360" width="11.453125" style="3" customWidth="1"/>
    <col min="14361" max="14361" width="10.7265625" style="3" bestFit="1" customWidth="1"/>
    <col min="14362" max="14370" width="11.453125" style="3" customWidth="1"/>
    <col min="14371" max="14371" width="11.453125" style="3"/>
    <col min="14372" max="14372" width="20.26953125" style="3" bestFit="1" customWidth="1"/>
    <col min="14373" max="14578" width="11.453125" style="3"/>
    <col min="14579" max="14579" width="3.54296875" style="3" customWidth="1"/>
    <col min="14580" max="14580" width="38.26953125" style="3" customWidth="1"/>
    <col min="14581" max="14581" width="0.7265625" style="3" customWidth="1"/>
    <col min="14582" max="14586" width="0" style="3" hidden="1" customWidth="1"/>
    <col min="14587" max="14588" width="13.26953125" style="3" bestFit="1" customWidth="1"/>
    <col min="14589" max="14593" width="13.26953125" style="3" customWidth="1"/>
    <col min="14594" max="14594" width="11.453125" style="3" customWidth="1"/>
    <col min="14595" max="14614" width="0" style="3" hidden="1" customWidth="1"/>
    <col min="14615" max="14616" width="11.453125" style="3" customWidth="1"/>
    <col min="14617" max="14617" width="10.7265625" style="3" bestFit="1" customWidth="1"/>
    <col min="14618" max="14626" width="11.453125" style="3" customWidth="1"/>
    <col min="14627" max="14627" width="11.453125" style="3"/>
    <col min="14628" max="14628" width="20.26953125" style="3" bestFit="1" customWidth="1"/>
    <col min="14629" max="14834" width="11.453125" style="3"/>
    <col min="14835" max="14835" width="3.54296875" style="3" customWidth="1"/>
    <col min="14836" max="14836" width="38.26953125" style="3" customWidth="1"/>
    <col min="14837" max="14837" width="0.7265625" style="3" customWidth="1"/>
    <col min="14838" max="14842" width="0" style="3" hidden="1" customWidth="1"/>
    <col min="14843" max="14844" width="13.26953125" style="3" bestFit="1" customWidth="1"/>
    <col min="14845" max="14849" width="13.26953125" style="3" customWidth="1"/>
    <col min="14850" max="14850" width="11.453125" style="3" customWidth="1"/>
    <col min="14851" max="14870" width="0" style="3" hidden="1" customWidth="1"/>
    <col min="14871" max="14872" width="11.453125" style="3" customWidth="1"/>
    <col min="14873" max="14873" width="10.7265625" style="3" bestFit="1" customWidth="1"/>
    <col min="14874" max="14882" width="11.453125" style="3" customWidth="1"/>
    <col min="14883" max="14883" width="11.453125" style="3"/>
    <col min="14884" max="14884" width="20.26953125" style="3" bestFit="1" customWidth="1"/>
    <col min="14885" max="15090" width="11.453125" style="3"/>
    <col min="15091" max="15091" width="3.54296875" style="3" customWidth="1"/>
    <col min="15092" max="15092" width="38.26953125" style="3" customWidth="1"/>
    <col min="15093" max="15093" width="0.7265625" style="3" customWidth="1"/>
    <col min="15094" max="15098" width="0" style="3" hidden="1" customWidth="1"/>
    <col min="15099" max="15100" width="13.26953125" style="3" bestFit="1" customWidth="1"/>
    <col min="15101" max="15105" width="13.26953125" style="3" customWidth="1"/>
    <col min="15106" max="15106" width="11.453125" style="3" customWidth="1"/>
    <col min="15107" max="15126" width="0" style="3" hidden="1" customWidth="1"/>
    <col min="15127" max="15128" width="11.453125" style="3" customWidth="1"/>
    <col min="15129" max="15129" width="10.7265625" style="3" bestFit="1" customWidth="1"/>
    <col min="15130" max="15138" width="11.453125" style="3" customWidth="1"/>
    <col min="15139" max="15139" width="11.453125" style="3"/>
    <col min="15140" max="15140" width="20.26953125" style="3" bestFit="1" customWidth="1"/>
    <col min="15141" max="15346" width="11.453125" style="3"/>
    <col min="15347" max="15347" width="3.54296875" style="3" customWidth="1"/>
    <col min="15348" max="15348" width="38.26953125" style="3" customWidth="1"/>
    <col min="15349" max="15349" width="0.7265625" style="3" customWidth="1"/>
    <col min="15350" max="15354" width="0" style="3" hidden="1" customWidth="1"/>
    <col min="15355" max="15356" width="13.26953125" style="3" bestFit="1" customWidth="1"/>
    <col min="15357" max="15361" width="13.26953125" style="3" customWidth="1"/>
    <col min="15362" max="15362" width="11.453125" style="3" customWidth="1"/>
    <col min="15363" max="15382" width="0" style="3" hidden="1" customWidth="1"/>
    <col min="15383" max="15384" width="11.453125" style="3" customWidth="1"/>
    <col min="15385" max="15385" width="10.7265625" style="3" bestFit="1" customWidth="1"/>
    <col min="15386" max="15394" width="11.453125" style="3" customWidth="1"/>
    <col min="15395" max="15395" width="11.453125" style="3"/>
    <col min="15396" max="15396" width="20.26953125" style="3" bestFit="1" customWidth="1"/>
    <col min="15397" max="15602" width="11.453125" style="3"/>
    <col min="15603" max="15603" width="3.54296875" style="3" customWidth="1"/>
    <col min="15604" max="15604" width="38.26953125" style="3" customWidth="1"/>
    <col min="15605" max="15605" width="0.7265625" style="3" customWidth="1"/>
    <col min="15606" max="15610" width="0" style="3" hidden="1" customWidth="1"/>
    <col min="15611" max="15612" width="13.26953125" style="3" bestFit="1" customWidth="1"/>
    <col min="15613" max="15617" width="13.26953125" style="3" customWidth="1"/>
    <col min="15618" max="15618" width="11.453125" style="3" customWidth="1"/>
    <col min="15619" max="15638" width="0" style="3" hidden="1" customWidth="1"/>
    <col min="15639" max="15640" width="11.453125" style="3" customWidth="1"/>
    <col min="15641" max="15641" width="10.7265625" style="3" bestFit="1" customWidth="1"/>
    <col min="15642" max="15650" width="11.453125" style="3" customWidth="1"/>
    <col min="15651" max="15651" width="11.453125" style="3"/>
    <col min="15652" max="15652" width="20.26953125" style="3" bestFit="1" customWidth="1"/>
    <col min="15653" max="15858" width="11.453125" style="3"/>
    <col min="15859" max="15859" width="3.54296875" style="3" customWidth="1"/>
    <col min="15860" max="15860" width="38.26953125" style="3" customWidth="1"/>
    <col min="15861" max="15861" width="0.7265625" style="3" customWidth="1"/>
    <col min="15862" max="15866" width="0" style="3" hidden="1" customWidth="1"/>
    <col min="15867" max="15868" width="13.26953125" style="3" bestFit="1" customWidth="1"/>
    <col min="15869" max="15873" width="13.26953125" style="3" customWidth="1"/>
    <col min="15874" max="15874" width="11.453125" style="3" customWidth="1"/>
    <col min="15875" max="15894" width="0" style="3" hidden="1" customWidth="1"/>
    <col min="15895" max="15896" width="11.453125" style="3" customWidth="1"/>
    <col min="15897" max="15897" width="10.7265625" style="3" bestFit="1" customWidth="1"/>
    <col min="15898" max="15906" width="11.453125" style="3" customWidth="1"/>
    <col min="15907" max="15907" width="11.453125" style="3"/>
    <col min="15908" max="15908" width="20.26953125" style="3" bestFit="1" customWidth="1"/>
    <col min="15909" max="16114" width="11.453125" style="3"/>
    <col min="16115" max="16115" width="3.54296875" style="3" customWidth="1"/>
    <col min="16116" max="16116" width="38.26953125" style="3" customWidth="1"/>
    <col min="16117" max="16117" width="0.7265625" style="3" customWidth="1"/>
    <col min="16118" max="16122" width="0" style="3" hidden="1" customWidth="1"/>
    <col min="16123" max="16124" width="13.26953125" style="3" bestFit="1" customWidth="1"/>
    <col min="16125" max="16129" width="13.26953125" style="3" customWidth="1"/>
    <col min="16130" max="16130" width="11.453125" style="3" customWidth="1"/>
    <col min="16131" max="16150" width="0" style="3" hidden="1" customWidth="1"/>
    <col min="16151" max="16152" width="11.453125" style="3" customWidth="1"/>
    <col min="16153" max="16153" width="10.7265625" style="3" bestFit="1" customWidth="1"/>
    <col min="16154" max="16162" width="11.453125" style="3" customWidth="1"/>
    <col min="16163" max="16163" width="11.453125" style="3"/>
    <col min="16164" max="16164" width="20.26953125" style="3" bestFit="1" customWidth="1"/>
    <col min="16165" max="16384" width="11.453125" style="3"/>
  </cols>
  <sheetData>
    <row r="2" spans="1:47" s="1" customFormat="1" ht="24.75" customHeight="1" x14ac:dyDescent="0.3">
      <c r="A2" s="405"/>
      <c r="B2" s="397" t="s">
        <v>211</v>
      </c>
      <c r="C2" s="398" t="s">
        <v>212</v>
      </c>
      <c r="D2" s="398" t="s">
        <v>212</v>
      </c>
      <c r="E2" s="398" t="s">
        <v>212</v>
      </c>
      <c r="F2" s="398" t="s">
        <v>212</v>
      </c>
      <c r="G2" s="398" t="s">
        <v>212</v>
      </c>
      <c r="H2" s="398" t="s">
        <v>212</v>
      </c>
      <c r="I2" s="398" t="s">
        <v>212</v>
      </c>
      <c r="J2" s="398" t="s">
        <v>212</v>
      </c>
      <c r="K2" s="398" t="s">
        <v>212</v>
      </c>
      <c r="L2" s="398" t="s">
        <v>212</v>
      </c>
      <c r="M2" s="430"/>
      <c r="N2" s="407"/>
      <c r="O2" s="398" t="s">
        <v>214</v>
      </c>
      <c r="P2" s="398" t="s">
        <v>214</v>
      </c>
      <c r="Q2" s="398" t="s">
        <v>214</v>
      </c>
      <c r="R2" s="398" t="s">
        <v>214</v>
      </c>
      <c r="S2" s="398" t="s">
        <v>214</v>
      </c>
      <c r="T2" s="398" t="s">
        <v>214</v>
      </c>
      <c r="U2" s="398" t="s">
        <v>214</v>
      </c>
      <c r="V2" s="398" t="s">
        <v>214</v>
      </c>
      <c r="W2" s="398" t="s">
        <v>214</v>
      </c>
      <c r="X2" s="399" t="s">
        <v>214</v>
      </c>
      <c r="Y2" s="399" t="s">
        <v>214</v>
      </c>
      <c r="Z2" s="398" t="s">
        <v>214</v>
      </c>
      <c r="AA2" s="398" t="s">
        <v>214</v>
      </c>
      <c r="AB2" s="399" t="s">
        <v>214</v>
      </c>
      <c r="AC2" s="399" t="s">
        <v>214</v>
      </c>
      <c r="AD2" s="398" t="s">
        <v>214</v>
      </c>
      <c r="AE2" s="398" t="s">
        <v>214</v>
      </c>
      <c r="AF2" s="399" t="s">
        <v>214</v>
      </c>
      <c r="AG2" s="399" t="s">
        <v>214</v>
      </c>
      <c r="AH2" s="398" t="s">
        <v>214</v>
      </c>
      <c r="AI2" s="398" t="s">
        <v>214</v>
      </c>
      <c r="AJ2" s="399" t="s">
        <v>214</v>
      </c>
      <c r="AK2" s="399" t="s">
        <v>214</v>
      </c>
      <c r="AL2" s="398" t="s">
        <v>214</v>
      </c>
      <c r="AM2" s="398" t="s">
        <v>214</v>
      </c>
      <c r="AN2" s="399" t="s">
        <v>214</v>
      </c>
      <c r="AO2" s="399" t="s">
        <v>214</v>
      </c>
      <c r="AP2" s="398" t="s">
        <v>214</v>
      </c>
      <c r="AQ2" s="398" t="s">
        <v>214</v>
      </c>
      <c r="AR2" s="399" t="s">
        <v>214</v>
      </c>
      <c r="AS2" s="399" t="s">
        <v>214</v>
      </c>
      <c r="AT2" s="398" t="s">
        <v>214</v>
      </c>
      <c r="AU2" s="398" t="s">
        <v>214</v>
      </c>
    </row>
    <row r="3" spans="1:47" s="6" customFormat="1" ht="13.5" customHeight="1" x14ac:dyDescent="0.3">
      <c r="A3" s="406"/>
      <c r="B3" s="400" t="s">
        <v>215</v>
      </c>
      <c r="C3" s="401">
        <v>42735</v>
      </c>
      <c r="D3" s="401">
        <v>43100</v>
      </c>
      <c r="E3" s="401">
        <v>43465</v>
      </c>
      <c r="F3" s="401">
        <v>43830</v>
      </c>
      <c r="G3" s="401">
        <v>44196</v>
      </c>
      <c r="H3" s="401">
        <v>44561</v>
      </c>
      <c r="I3" s="401">
        <v>44926</v>
      </c>
      <c r="J3" s="401">
        <v>45291</v>
      </c>
      <c r="K3" s="401">
        <v>45657</v>
      </c>
      <c r="L3" s="401">
        <v>46022</v>
      </c>
      <c r="M3" s="422"/>
      <c r="N3" s="407"/>
      <c r="O3" s="401">
        <v>43190</v>
      </c>
      <c r="P3" s="401">
        <v>43281</v>
      </c>
      <c r="Q3" s="401">
        <v>43373</v>
      </c>
      <c r="R3" s="401">
        <v>43465</v>
      </c>
      <c r="S3" s="401">
        <v>43555</v>
      </c>
      <c r="T3" s="401">
        <v>43646</v>
      </c>
      <c r="U3" s="401">
        <v>43738</v>
      </c>
      <c r="V3" s="401">
        <v>43830</v>
      </c>
      <c r="W3" s="401">
        <v>43921</v>
      </c>
      <c r="X3" s="401">
        <v>44012</v>
      </c>
      <c r="Y3" s="401">
        <v>44104</v>
      </c>
      <c r="Z3" s="401">
        <v>44196</v>
      </c>
      <c r="AA3" s="401">
        <v>44286</v>
      </c>
      <c r="AB3" s="401">
        <v>44377</v>
      </c>
      <c r="AC3" s="401">
        <v>44469</v>
      </c>
      <c r="AD3" s="401">
        <v>44561</v>
      </c>
      <c r="AE3" s="401">
        <v>44651</v>
      </c>
      <c r="AF3" s="401">
        <v>44742</v>
      </c>
      <c r="AG3" s="401">
        <v>44834</v>
      </c>
      <c r="AH3" s="401">
        <v>44926</v>
      </c>
      <c r="AI3" s="401">
        <v>45016</v>
      </c>
      <c r="AJ3" s="401">
        <v>45107</v>
      </c>
      <c r="AK3" s="401">
        <v>45199</v>
      </c>
      <c r="AL3" s="401">
        <v>45291</v>
      </c>
      <c r="AM3" s="401">
        <v>45382</v>
      </c>
      <c r="AN3" s="401">
        <v>45473</v>
      </c>
      <c r="AO3" s="401">
        <v>45565</v>
      </c>
      <c r="AP3" s="401">
        <v>45657</v>
      </c>
      <c r="AQ3" s="401">
        <v>45747</v>
      </c>
      <c r="AR3" s="401">
        <v>45838</v>
      </c>
      <c r="AS3" s="401">
        <v>45930</v>
      </c>
      <c r="AT3" s="401">
        <v>46022</v>
      </c>
      <c r="AU3" s="401">
        <v>46112</v>
      </c>
    </row>
    <row r="4" spans="1:47" s="6" customFormat="1" ht="13.5" customHeight="1" x14ac:dyDescent="0.3">
      <c r="A4" s="406"/>
      <c r="B4" s="400"/>
      <c r="C4" s="401" t="s">
        <v>216</v>
      </c>
      <c r="D4" s="401" t="s">
        <v>216</v>
      </c>
      <c r="E4" s="401" t="s">
        <v>216</v>
      </c>
      <c r="F4" s="401" t="s">
        <v>216</v>
      </c>
      <c r="G4" s="401" t="s">
        <v>216</v>
      </c>
      <c r="H4" s="401" t="s">
        <v>216</v>
      </c>
      <c r="I4" s="401" t="s">
        <v>216</v>
      </c>
      <c r="J4" s="401" t="s">
        <v>216</v>
      </c>
      <c r="K4" s="401" t="s">
        <v>216</v>
      </c>
      <c r="L4" s="401" t="s">
        <v>216</v>
      </c>
      <c r="M4" s="422"/>
      <c r="N4" s="407"/>
      <c r="O4" s="401" t="s">
        <v>216</v>
      </c>
      <c r="P4" s="401" t="s">
        <v>216</v>
      </c>
      <c r="Q4" s="401" t="s">
        <v>216</v>
      </c>
      <c r="R4" s="401" t="s">
        <v>216</v>
      </c>
      <c r="S4" s="401" t="s">
        <v>216</v>
      </c>
      <c r="T4" s="401" t="s">
        <v>216</v>
      </c>
      <c r="U4" s="401" t="s">
        <v>216</v>
      </c>
      <c r="V4" s="401" t="s">
        <v>216</v>
      </c>
      <c r="W4" s="401" t="s">
        <v>216</v>
      </c>
      <c r="X4" s="401" t="s">
        <v>216</v>
      </c>
      <c r="Y4" s="401" t="s">
        <v>216</v>
      </c>
      <c r="Z4" s="401" t="s">
        <v>216</v>
      </c>
      <c r="AA4" s="401" t="s">
        <v>216</v>
      </c>
      <c r="AB4" s="401" t="s">
        <v>216</v>
      </c>
      <c r="AC4" s="401" t="s">
        <v>216</v>
      </c>
      <c r="AD4" s="401" t="s">
        <v>216</v>
      </c>
      <c r="AE4" s="401" t="s">
        <v>216</v>
      </c>
      <c r="AF4" s="401" t="s">
        <v>216</v>
      </c>
      <c r="AG4" s="401" t="s">
        <v>216</v>
      </c>
      <c r="AH4" s="401" t="s">
        <v>216</v>
      </c>
      <c r="AI4" s="401" t="s">
        <v>216</v>
      </c>
      <c r="AJ4" s="401" t="s">
        <v>216</v>
      </c>
      <c r="AK4" s="401" t="s">
        <v>216</v>
      </c>
      <c r="AL4" s="401" t="s">
        <v>216</v>
      </c>
      <c r="AM4" s="401" t="s">
        <v>216</v>
      </c>
      <c r="AN4" s="401" t="s">
        <v>216</v>
      </c>
      <c r="AO4" s="401" t="s">
        <v>216</v>
      </c>
      <c r="AP4" s="401" t="s">
        <v>216</v>
      </c>
      <c r="AQ4" s="401" t="s">
        <v>216</v>
      </c>
      <c r="AR4" s="401" t="s">
        <v>216</v>
      </c>
      <c r="AS4" s="401" t="s">
        <v>216</v>
      </c>
      <c r="AT4" s="401" t="s">
        <v>216</v>
      </c>
      <c r="AU4" s="401" t="s">
        <v>216</v>
      </c>
    </row>
    <row r="5" spans="1:47" s="8" customFormat="1" ht="13.5" customHeight="1" x14ac:dyDescent="0.3">
      <c r="A5" s="402"/>
      <c r="B5" s="402"/>
      <c r="C5" s="403" t="s">
        <v>217</v>
      </c>
      <c r="D5" s="403" t="s">
        <v>218</v>
      </c>
      <c r="E5" s="403" t="s">
        <v>219</v>
      </c>
      <c r="F5" s="403" t="s">
        <v>220</v>
      </c>
      <c r="G5" s="403" t="s">
        <v>221</v>
      </c>
      <c r="H5" s="403" t="s">
        <v>222</v>
      </c>
      <c r="I5" s="403" t="s">
        <v>223</v>
      </c>
      <c r="J5" s="403" t="s">
        <v>224</v>
      </c>
      <c r="K5" s="403" t="s">
        <v>225</v>
      </c>
      <c r="L5" s="403" t="s">
        <v>226</v>
      </c>
      <c r="M5" s="404"/>
      <c r="N5" s="403"/>
      <c r="O5" s="403" t="s">
        <v>227</v>
      </c>
      <c r="P5" s="403" t="s">
        <v>228</v>
      </c>
      <c r="Q5" s="403" t="s">
        <v>229</v>
      </c>
      <c r="R5" s="403" t="s">
        <v>230</v>
      </c>
      <c r="S5" s="403" t="s">
        <v>231</v>
      </c>
      <c r="T5" s="403" t="s">
        <v>232</v>
      </c>
      <c r="U5" s="403" t="s">
        <v>233</v>
      </c>
      <c r="V5" s="403" t="s">
        <v>234</v>
      </c>
      <c r="W5" s="403" t="s">
        <v>235</v>
      </c>
      <c r="X5" s="403" t="s">
        <v>236</v>
      </c>
      <c r="Y5" s="403" t="s">
        <v>237</v>
      </c>
      <c r="Z5" s="403" t="s">
        <v>238</v>
      </c>
      <c r="AA5" s="403" t="s">
        <v>239</v>
      </c>
      <c r="AB5" s="403" t="s">
        <v>240</v>
      </c>
      <c r="AC5" s="403" t="s">
        <v>241</v>
      </c>
      <c r="AD5" s="403" t="s">
        <v>242</v>
      </c>
      <c r="AE5" s="403" t="s">
        <v>243</v>
      </c>
      <c r="AF5" s="403" t="s">
        <v>244</v>
      </c>
      <c r="AG5" s="403" t="s">
        <v>245</v>
      </c>
      <c r="AH5" s="403" t="s">
        <v>246</v>
      </c>
      <c r="AI5" s="403" t="s">
        <v>247</v>
      </c>
      <c r="AJ5" s="403" t="s">
        <v>248</v>
      </c>
      <c r="AK5" s="403" t="s">
        <v>249</v>
      </c>
      <c r="AL5" s="403" t="s">
        <v>250</v>
      </c>
      <c r="AM5" s="403" t="s">
        <v>251</v>
      </c>
      <c r="AN5" s="403" t="s">
        <v>252</v>
      </c>
      <c r="AO5" s="403" t="s">
        <v>253</v>
      </c>
      <c r="AP5" s="404" t="s">
        <v>254</v>
      </c>
      <c r="AQ5" s="403" t="s">
        <v>255</v>
      </c>
      <c r="AR5" s="403" t="s">
        <v>252</v>
      </c>
      <c r="AS5" s="403" t="s">
        <v>253</v>
      </c>
      <c r="AT5" s="404" t="s">
        <v>256</v>
      </c>
      <c r="AU5" s="403" t="s">
        <v>257</v>
      </c>
    </row>
    <row r="6" spans="1:47" ht="13.5" customHeight="1" x14ac:dyDescent="0.35">
      <c r="B6" s="10" t="s">
        <v>258</v>
      </c>
      <c r="C6" s="11"/>
      <c r="D6" s="12"/>
      <c r="E6" s="11"/>
      <c r="F6" s="12"/>
      <c r="G6" s="12"/>
      <c r="H6" s="12"/>
      <c r="I6" s="12"/>
      <c r="J6" s="12"/>
      <c r="K6" s="12"/>
      <c r="L6" s="12"/>
      <c r="M6" s="12"/>
      <c r="N6" s="9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</row>
    <row r="7" spans="1:47" s="6" customFormat="1" ht="13" x14ac:dyDescent="0.3">
      <c r="B7" s="6" t="s">
        <v>259</v>
      </c>
      <c r="C7" s="14">
        <v>120588.003</v>
      </c>
      <c r="D7" s="14">
        <v>127905.853</v>
      </c>
      <c r="E7" s="14">
        <v>132875.31</v>
      </c>
      <c r="F7" s="14">
        <v>149009.96299999999</v>
      </c>
      <c r="G7" s="14">
        <v>146388.13399999999</v>
      </c>
      <c r="H7" s="14">
        <v>152262.83300000001</v>
      </c>
      <c r="I7" s="14">
        <v>157979.33499999999</v>
      </c>
      <c r="J7" s="14">
        <f>162333.484</f>
        <v>162333.484</v>
      </c>
      <c r="K7" s="14">
        <v>165016.28899999999</v>
      </c>
      <c r="L7" s="14">
        <v>165077.658</v>
      </c>
      <c r="M7" s="20"/>
      <c r="N7" s="9"/>
      <c r="O7" s="14">
        <v>31942.190999999999</v>
      </c>
      <c r="P7" s="14">
        <v>32803.989000000001</v>
      </c>
      <c r="Q7" s="14">
        <v>33197.531000000003</v>
      </c>
      <c r="R7" s="15">
        <f>E7-Q7-P7-O7</f>
        <v>34931.598999999995</v>
      </c>
      <c r="S7" s="14">
        <v>36003.038999999997</v>
      </c>
      <c r="T7" s="14">
        <v>36875.673999999999</v>
      </c>
      <c r="U7" s="14">
        <v>37736.247000000003</v>
      </c>
      <c r="V7" s="15">
        <f>F7-U7-T7-S7</f>
        <v>38395.00299999999</v>
      </c>
      <c r="W7" s="14">
        <v>36881.974000000002</v>
      </c>
      <c r="X7" s="14">
        <v>35540.807000000001</v>
      </c>
      <c r="Y7" s="14">
        <v>36681.453000000001</v>
      </c>
      <c r="Z7" s="15">
        <f>G7-Y7-X7-W7</f>
        <v>37283.89999999998</v>
      </c>
      <c r="AA7" s="14">
        <v>37813.235000000001</v>
      </c>
      <c r="AB7" s="14">
        <v>37849.072</v>
      </c>
      <c r="AC7" s="14">
        <v>38433.322</v>
      </c>
      <c r="AD7" s="15">
        <f>H7-AC7-AB7-AA7</f>
        <v>38167.204000000012</v>
      </c>
      <c r="AE7" s="14">
        <v>39155.08</v>
      </c>
      <c r="AF7" s="14">
        <v>39725.035000000003</v>
      </c>
      <c r="AG7" s="14">
        <v>39075.122000000003</v>
      </c>
      <c r="AH7" s="15">
        <f>I7-AG7-AF7-AE7</f>
        <v>40024.097999999984</v>
      </c>
      <c r="AI7" s="14">
        <v>39981.701999999997</v>
      </c>
      <c r="AJ7" s="14">
        <v>40419.290999999997</v>
      </c>
      <c r="AK7" s="14">
        <v>40661.107000000004</v>
      </c>
      <c r="AL7" s="15">
        <f>J7-AK7-AJ7-AI7</f>
        <v>41271.383999999998</v>
      </c>
      <c r="AM7" s="14">
        <v>41148.385999999999</v>
      </c>
      <c r="AN7" s="14">
        <v>41077.303999999996</v>
      </c>
      <c r="AO7" s="14">
        <v>41783.726999999999</v>
      </c>
      <c r="AP7" s="15">
        <f>K7-AO7-AN7-AM7</f>
        <v>41006.872000000003</v>
      </c>
      <c r="AQ7" s="14">
        <v>39853.267</v>
      </c>
      <c r="AR7" s="258">
        <f>80188.239-AQ7</f>
        <v>40334.972000000002</v>
      </c>
      <c r="AS7" s="258">
        <v>41488.212</v>
      </c>
      <c r="AT7" s="15">
        <f>L7-AS7-AR7-AQ7</f>
        <v>43401.206999999988</v>
      </c>
      <c r="AU7" s="14">
        <v>41964.724999999999</v>
      </c>
    </row>
    <row r="8" spans="1:47" s="16" customFormat="1" ht="13" x14ac:dyDescent="0.3">
      <c r="B8" s="17" t="s">
        <v>260</v>
      </c>
      <c r="C8" s="18"/>
      <c r="D8" s="18">
        <f>D7/C7-1</f>
        <v>6.0684726655602761E-2</v>
      </c>
      <c r="E8" s="18">
        <f t="shared" ref="E8:L8" si="0">E7/D7-1</f>
        <v>3.8852459707219067E-2</v>
      </c>
      <c r="F8" s="18">
        <f t="shared" si="0"/>
        <v>0.12142702056537069</v>
      </c>
      <c r="G8" s="18">
        <f t="shared" si="0"/>
        <v>-1.75949912825627E-2</v>
      </c>
      <c r="H8" s="18">
        <f t="shared" si="0"/>
        <v>4.0130978102364656E-2</v>
      </c>
      <c r="I8" s="18">
        <f t="shared" si="0"/>
        <v>3.7543646649474738E-2</v>
      </c>
      <c r="J8" s="18">
        <f t="shared" si="0"/>
        <v>2.7561509864565625E-2</v>
      </c>
      <c r="K8" s="18">
        <f t="shared" si="0"/>
        <v>1.6526504168419054E-2</v>
      </c>
      <c r="L8" s="18">
        <f t="shared" si="0"/>
        <v>3.7189661924830197E-4</v>
      </c>
      <c r="M8" s="18"/>
      <c r="N8" s="9"/>
      <c r="O8" s="18"/>
      <c r="P8" s="18"/>
      <c r="Q8" s="18"/>
      <c r="R8" s="18"/>
      <c r="S8" s="18">
        <f t="shared" ref="S8" si="1">S7/O7-1</f>
        <v>0.12713116642499567</v>
      </c>
      <c r="T8" s="18">
        <f>T7/P7-1</f>
        <v>0.12412164264535019</v>
      </c>
      <c r="U8" s="18">
        <f t="shared" ref="U8" si="2">U7/Q7-1</f>
        <v>0.13671848066050463</v>
      </c>
      <c r="V8" s="18">
        <f t="shared" ref="V8:W8" si="3">V7/R7-1</f>
        <v>9.9148166678542093E-2</v>
      </c>
      <c r="W8" s="18">
        <f t="shared" si="3"/>
        <v>2.4412800263889034E-2</v>
      </c>
      <c r="X8" s="18">
        <f>X7/T7-1</f>
        <v>-3.6199121404533519E-2</v>
      </c>
      <c r="Y8" s="18">
        <f>Y7/U7-1</f>
        <v>-2.7951746234860075E-2</v>
      </c>
      <c r="Z8" s="18">
        <f t="shared" ref="Z8" si="4">Z7/V7-1</f>
        <v>-2.8938739762567778E-2</v>
      </c>
      <c r="AA8" s="18">
        <f t="shared" ref="AA8" si="5">AA7/W7-1</f>
        <v>2.5249760221619288E-2</v>
      </c>
      <c r="AB8" s="18">
        <f>AB7/X7-1</f>
        <v>6.4946893299299591E-2</v>
      </c>
      <c r="AC8" s="18">
        <f>AC7/Y7-1</f>
        <v>4.7758985992185199E-2</v>
      </c>
      <c r="AD8" s="18">
        <f t="shared" ref="AD8:AE8" si="6">AD7/Z7-1</f>
        <v>2.3691298388849757E-2</v>
      </c>
      <c r="AE8" s="18">
        <f t="shared" si="6"/>
        <v>3.548612013756558E-2</v>
      </c>
      <c r="AF8" s="18">
        <f>AF7/AB7-1</f>
        <v>4.9564306358687027E-2</v>
      </c>
      <c r="AG8" s="18">
        <f>AG7/AC7-1</f>
        <v>1.669905089130741E-2</v>
      </c>
      <c r="AH8" s="18">
        <f t="shared" ref="AH8:AI8" si="7">AH7/AD7-1</f>
        <v>4.8651559595509486E-2</v>
      </c>
      <c r="AI8" s="18">
        <f t="shared" si="7"/>
        <v>2.1111487960182806E-2</v>
      </c>
      <c r="AJ8" s="18">
        <f>AJ7/AF7-1</f>
        <v>1.7476535892290368E-2</v>
      </c>
      <c r="AK8" s="18">
        <f>AK7/AG7-1</f>
        <v>4.0588101042908997E-2</v>
      </c>
      <c r="AL8" s="18">
        <f t="shared" ref="AL8:AM8" si="8">AL7/AH7-1</f>
        <v>3.1163375624355449E-2</v>
      </c>
      <c r="AM8" s="18">
        <f t="shared" si="8"/>
        <v>2.9180448596210384E-2</v>
      </c>
      <c r="AN8" s="18">
        <f>AN7/AJ7-1</f>
        <v>1.6279676949306099E-2</v>
      </c>
      <c r="AO8" s="18">
        <f>AO7/AK7-1</f>
        <v>2.7609184373657003E-2</v>
      </c>
      <c r="AP8" s="18">
        <f t="shared" ref="AP8:AQ8" si="9">AP7/AL7-1</f>
        <v>-6.409089649137889E-3</v>
      </c>
      <c r="AQ8" s="18">
        <f t="shared" si="9"/>
        <v>-3.1474357220232174E-2</v>
      </c>
      <c r="AR8" s="18">
        <f>AR7/AN7-1</f>
        <v>-1.8071585223801367E-2</v>
      </c>
      <c r="AS8" s="18">
        <f>AS7/AO7-1</f>
        <v>-7.072490206534221E-3</v>
      </c>
      <c r="AT8" s="18">
        <f t="shared" ref="AT8:AU8" si="10">AT7/AP7-1</f>
        <v>5.8388628130426223E-2</v>
      </c>
      <c r="AU8" s="18">
        <f t="shared" si="10"/>
        <v>5.2980800796080141E-2</v>
      </c>
    </row>
    <row r="9" spans="1:47" s="16" customFormat="1" ht="13" x14ac:dyDescent="0.3">
      <c r="B9" s="3" t="s">
        <v>261</v>
      </c>
      <c r="C9" s="19">
        <v>6193.6570000000002</v>
      </c>
      <c r="D9" s="19">
        <v>7374.8779999999997</v>
      </c>
      <c r="E9" s="19">
        <v>18297.495999999999</v>
      </c>
      <c r="F9" s="19">
        <v>17650.374</v>
      </c>
      <c r="G9" s="19">
        <v>14131.407999999999</v>
      </c>
      <c r="H9" s="19">
        <v>16233.625</v>
      </c>
      <c r="I9" s="19">
        <v>17061.387999999999</v>
      </c>
      <c r="J9" s="19">
        <v>17830.971000000001</v>
      </c>
      <c r="K9" s="19">
        <v>15569.771000000001</v>
      </c>
      <c r="L9" s="19">
        <v>13162.186</v>
      </c>
      <c r="M9" s="20"/>
      <c r="N9" s="9"/>
      <c r="O9" s="19">
        <v>4995.4350000000004</v>
      </c>
      <c r="P9" s="19">
        <v>4704.3500000000004</v>
      </c>
      <c r="Q9" s="19">
        <v>3959.2570000000001</v>
      </c>
      <c r="R9" s="20">
        <f>E9-Q9-P9-O9</f>
        <v>4638.4539999999988</v>
      </c>
      <c r="S9" s="19">
        <v>4633.0280000000002</v>
      </c>
      <c r="T9" s="19">
        <v>4009.277</v>
      </c>
      <c r="U9" s="19">
        <v>4160.6499999999996</v>
      </c>
      <c r="V9" s="20">
        <f>F9-U9-T9-S9</f>
        <v>4847.4189999999999</v>
      </c>
      <c r="W9" s="19">
        <v>4309.3779999999997</v>
      </c>
      <c r="X9" s="19">
        <v>2081.971</v>
      </c>
      <c r="Y9" s="19">
        <v>4097.424</v>
      </c>
      <c r="Z9" s="20">
        <f>G9-Y9-X9-W9</f>
        <v>3642.6350000000011</v>
      </c>
      <c r="AA9" s="19">
        <v>5033.8519999999999</v>
      </c>
      <c r="AB9" s="19">
        <v>3713.5920000000001</v>
      </c>
      <c r="AC9" s="19">
        <v>3310.9879999999998</v>
      </c>
      <c r="AD9" s="20">
        <f>H9-AC9-AB9-AA9</f>
        <v>4175.1930000000002</v>
      </c>
      <c r="AE9" s="19">
        <v>4401.7960000000003</v>
      </c>
      <c r="AF9" s="19">
        <v>4039.9560000000001</v>
      </c>
      <c r="AG9" s="19">
        <v>3800.15</v>
      </c>
      <c r="AH9" s="20">
        <f>I9-AG9-AF9-AE9</f>
        <v>4819.485999999999</v>
      </c>
      <c r="AI9" s="19">
        <v>5048.6059999999998</v>
      </c>
      <c r="AJ9" s="19">
        <v>4074.6790000000001</v>
      </c>
      <c r="AK9" s="19">
        <v>3607.018</v>
      </c>
      <c r="AL9" s="20">
        <f>J9-AK9-AJ9-AI9</f>
        <v>5100.6680000000015</v>
      </c>
      <c r="AM9" s="19">
        <v>4159.2359999999999</v>
      </c>
      <c r="AN9" s="19">
        <v>3240.3270000000002</v>
      </c>
      <c r="AO9" s="19">
        <v>3335.212</v>
      </c>
      <c r="AP9" s="20">
        <f>K9-AO9-AN9-AM9</f>
        <v>4834.9960000000001</v>
      </c>
      <c r="AQ9" s="19">
        <v>3902.4140000000002</v>
      </c>
      <c r="AR9" s="259">
        <f>7037.464-AQ9</f>
        <v>3135.0499999999997</v>
      </c>
      <c r="AS9" s="259">
        <v>2876.52</v>
      </c>
      <c r="AT9" s="20">
        <f>L9-AS9-AR9-AQ9</f>
        <v>3248.2019999999998</v>
      </c>
      <c r="AU9" s="19">
        <v>3741.7269999999999</v>
      </c>
    </row>
    <row r="10" spans="1:47" s="6" customFormat="1" ht="13" x14ac:dyDescent="0.3">
      <c r="B10" s="6" t="s">
        <v>262</v>
      </c>
      <c r="C10" s="15">
        <f t="shared" ref="C10:S10" si="11">C7+C9</f>
        <v>126781.66</v>
      </c>
      <c r="D10" s="15">
        <f t="shared" si="11"/>
        <v>135280.731</v>
      </c>
      <c r="E10" s="15">
        <f t="shared" si="11"/>
        <v>151172.80599999998</v>
      </c>
      <c r="F10" s="15">
        <f t="shared" si="11"/>
        <v>166660.337</v>
      </c>
      <c r="G10" s="15">
        <f t="shared" ref="G10:H10" si="12">G7+G9</f>
        <v>160519.54199999999</v>
      </c>
      <c r="H10" s="15">
        <f t="shared" si="12"/>
        <v>168496.45800000001</v>
      </c>
      <c r="I10" s="15">
        <f t="shared" ref="I10:J10" si="13">I7+I9</f>
        <v>175040.723</v>
      </c>
      <c r="J10" s="15">
        <f t="shared" si="13"/>
        <v>180164.45499999999</v>
      </c>
      <c r="K10" s="15">
        <f t="shared" ref="K10:L10" si="14">K7+K9</f>
        <v>180586.06</v>
      </c>
      <c r="L10" s="15">
        <f t="shared" si="14"/>
        <v>178239.84399999998</v>
      </c>
      <c r="M10" s="15"/>
      <c r="N10" s="9"/>
      <c r="O10" s="15">
        <f t="shared" ref="O10:Q10" si="15">O7+O9</f>
        <v>36937.625999999997</v>
      </c>
      <c r="P10" s="15">
        <f t="shared" si="15"/>
        <v>37508.339</v>
      </c>
      <c r="Q10" s="15">
        <f t="shared" si="15"/>
        <v>37156.788</v>
      </c>
      <c r="R10" s="15">
        <f t="shared" si="11"/>
        <v>39570.052999999993</v>
      </c>
      <c r="S10" s="15">
        <f t="shared" si="11"/>
        <v>40636.066999999995</v>
      </c>
      <c r="T10" s="15">
        <f>T7+T9</f>
        <v>40884.951000000001</v>
      </c>
      <c r="U10" s="15">
        <f>U7+U9</f>
        <v>41896.897000000004</v>
      </c>
      <c r="V10" s="15">
        <f>V7+V9</f>
        <v>43242.421999999991</v>
      </c>
      <c r="W10" s="15">
        <f t="shared" ref="W10" si="16">W7+W9</f>
        <v>41191.351999999999</v>
      </c>
      <c r="X10" s="15">
        <f>X7+X9</f>
        <v>37622.777999999998</v>
      </c>
      <c r="Y10" s="209">
        <f>Y7+Y9</f>
        <v>40778.877</v>
      </c>
      <c r="Z10" s="15">
        <f>Z7+Z9</f>
        <v>40926.534999999982</v>
      </c>
      <c r="AA10" s="15">
        <f t="shared" ref="AA10" si="17">AA7+AA9</f>
        <v>42847.087</v>
      </c>
      <c r="AB10" s="15">
        <f>AB7+AB9</f>
        <v>41562.663999999997</v>
      </c>
      <c r="AC10" s="209">
        <f>AC7+AC9</f>
        <v>41744.31</v>
      </c>
      <c r="AD10" s="15">
        <f>AD7+AD9</f>
        <v>42342.397000000012</v>
      </c>
      <c r="AE10" s="15">
        <f t="shared" ref="AE10" si="18">AE7+AE9</f>
        <v>43556.876000000004</v>
      </c>
      <c r="AF10" s="15">
        <f>AF7+AF9</f>
        <v>43764.991000000002</v>
      </c>
      <c r="AG10" s="209">
        <f>AG7+AG9</f>
        <v>42875.272000000004</v>
      </c>
      <c r="AH10" s="15">
        <f>AH7+AH9</f>
        <v>44843.583999999981</v>
      </c>
      <c r="AI10" s="15">
        <f t="shared" ref="AI10" si="19">AI7+AI9</f>
        <v>45030.307999999997</v>
      </c>
      <c r="AJ10" s="15">
        <f>AJ7+AJ9</f>
        <v>44493.97</v>
      </c>
      <c r="AK10" s="209">
        <f>AK7+AK9</f>
        <v>44268.125</v>
      </c>
      <c r="AL10" s="15">
        <f>AL7+AL9</f>
        <v>46372.051999999996</v>
      </c>
      <c r="AM10" s="15">
        <f t="shared" ref="AM10" si="20">AM7+AM9</f>
        <v>45307.621999999996</v>
      </c>
      <c r="AN10" s="15">
        <f>AN7+AN9</f>
        <v>44317.630999999994</v>
      </c>
      <c r="AO10" s="209">
        <f>AO7+AO9</f>
        <v>45118.938999999998</v>
      </c>
      <c r="AP10" s="15">
        <f>AP7+AP9</f>
        <v>45841.868000000002</v>
      </c>
      <c r="AQ10" s="15">
        <f t="shared" ref="AQ10" si="21">AQ7+AQ9</f>
        <v>43755.680999999997</v>
      </c>
      <c r="AR10" s="15">
        <f>AR7+AR9</f>
        <v>43470.022000000004</v>
      </c>
      <c r="AS10" s="15">
        <f>AS7+AS9</f>
        <v>44364.731999999996</v>
      </c>
      <c r="AT10" s="15">
        <f>AT7+AT9</f>
        <v>46649.408999999985</v>
      </c>
      <c r="AU10" s="15">
        <f t="shared" ref="AU10" si="22">AU7+AU9</f>
        <v>45706.451999999997</v>
      </c>
    </row>
    <row r="11" spans="1:47" s="16" customFormat="1" ht="13" x14ac:dyDescent="0.3">
      <c r="B11" s="17" t="s">
        <v>260</v>
      </c>
      <c r="C11" s="18"/>
      <c r="D11" s="18">
        <f>D10/C10-1</f>
        <v>6.7037069872724508E-2</v>
      </c>
      <c r="E11" s="18">
        <f t="shared" ref="E11:L11" si="23">E10/D10-1</f>
        <v>0.11747478656069643</v>
      </c>
      <c r="F11" s="18">
        <f t="shared" si="23"/>
        <v>0.10244918652895829</v>
      </c>
      <c r="G11" s="18">
        <f t="shared" si="23"/>
        <v>-3.6846169343819457E-2</v>
      </c>
      <c r="H11" s="18">
        <f t="shared" si="23"/>
        <v>4.969436057822807E-2</v>
      </c>
      <c r="I11" s="18">
        <f t="shared" si="23"/>
        <v>3.8839184382142733E-2</v>
      </c>
      <c r="J11" s="18">
        <f t="shared" si="23"/>
        <v>2.927165697321743E-2</v>
      </c>
      <c r="K11" s="18">
        <f t="shared" si="23"/>
        <v>2.3401119826882422E-3</v>
      </c>
      <c r="L11" s="18">
        <f t="shared" si="23"/>
        <v>-1.2992232069297116E-2</v>
      </c>
      <c r="M11" s="18"/>
      <c r="N11" s="9"/>
      <c r="O11" s="18"/>
      <c r="P11" s="18"/>
      <c r="Q11" s="18"/>
      <c r="R11" s="18"/>
      <c r="S11" s="18">
        <f t="shared" ref="S11:T11" si="24">S10/O10-1</f>
        <v>0.10012665675915389</v>
      </c>
      <c r="T11" s="18">
        <f t="shared" si="24"/>
        <v>9.0022967959205058E-2</v>
      </c>
      <c r="U11" s="18">
        <f t="shared" ref="U11:W11" si="25">U10/Q10-1</f>
        <v>0.12757047245310882</v>
      </c>
      <c r="V11" s="18">
        <f t="shared" si="25"/>
        <v>9.2806774860776597E-2</v>
      </c>
      <c r="W11" s="18">
        <f t="shared" si="25"/>
        <v>1.3664831293835666E-2</v>
      </c>
      <c r="X11" s="18">
        <f>X10/T10-1</f>
        <v>-7.9789089144316261E-2</v>
      </c>
      <c r="Y11" s="18">
        <f>Y10/U10-1</f>
        <v>-2.6685031113402147E-2</v>
      </c>
      <c r="Z11" s="18">
        <f t="shared" ref="Z11" si="26">Z10/V10-1</f>
        <v>-5.3555903968561469E-2</v>
      </c>
      <c r="AA11" s="18">
        <f t="shared" ref="AA11" si="27">AA10/W10-1</f>
        <v>4.0196180013707838E-2</v>
      </c>
      <c r="AB11" s="18">
        <f>AB10/X10-1</f>
        <v>0.10472076251253948</v>
      </c>
      <c r="AC11" s="18">
        <f>AC10/Y10-1</f>
        <v>2.3674830476572373E-2</v>
      </c>
      <c r="AD11" s="18">
        <f t="shared" ref="AD11:AE11" si="28">AD10/Z10-1</f>
        <v>3.4595208218825002E-2</v>
      </c>
      <c r="AE11" s="18">
        <f t="shared" si="28"/>
        <v>1.6565630237593609E-2</v>
      </c>
      <c r="AF11" s="18">
        <f>AF10/AB10-1</f>
        <v>5.2988109713083098E-2</v>
      </c>
      <c r="AG11" s="18">
        <f>AG10/AC10-1</f>
        <v>2.7092602560684576E-2</v>
      </c>
      <c r="AH11" s="18">
        <f t="shared" ref="AH11:AI11" si="29">AH10/AD10-1</f>
        <v>5.9070510344512828E-2</v>
      </c>
      <c r="AI11" s="18">
        <f t="shared" si="29"/>
        <v>3.3827770384634359E-2</v>
      </c>
      <c r="AJ11" s="18">
        <f>AJ10/AF10-1</f>
        <v>1.6656669711185401E-2</v>
      </c>
      <c r="AK11" s="18">
        <f>AK10/AG10-1</f>
        <v>3.2486161253973966E-2</v>
      </c>
      <c r="AL11" s="18">
        <f t="shared" ref="AL11:AM11" si="30">AL10/AH10-1</f>
        <v>3.4084430004524435E-2</v>
      </c>
      <c r="AM11" s="18">
        <f t="shared" si="30"/>
        <v>6.1583855922104913E-3</v>
      </c>
      <c r="AN11" s="18">
        <f>AN10/AJ10-1</f>
        <v>-3.9632111946856785E-3</v>
      </c>
      <c r="AO11" s="18">
        <f>AO10/AK10-1</f>
        <v>1.9219562608536078E-2</v>
      </c>
      <c r="AP11" s="18">
        <f t="shared" ref="AP11:AQ11" si="31">AP10/AL10-1</f>
        <v>-1.1433265881785726E-2</v>
      </c>
      <c r="AQ11" s="18">
        <f t="shared" si="31"/>
        <v>-3.4253419877123492E-2</v>
      </c>
      <c r="AR11" s="18">
        <f>AR10/AN10-1</f>
        <v>-1.9125774119108208E-2</v>
      </c>
      <c r="AS11" s="18">
        <f>AS10/AO10-1</f>
        <v>-1.6715973751067148E-2</v>
      </c>
      <c r="AT11" s="18">
        <f t="shared" ref="AT11:AU11" si="32">AT10/AP10-1</f>
        <v>1.7615796110227899E-2</v>
      </c>
      <c r="AU11" s="18">
        <f t="shared" si="32"/>
        <v>4.4583262228280685E-2</v>
      </c>
    </row>
    <row r="12" spans="1:47" x14ac:dyDescent="0.35">
      <c r="B12" s="3" t="s">
        <v>263</v>
      </c>
      <c r="C12" s="19">
        <v>-855.19799999999998</v>
      </c>
      <c r="D12" s="19">
        <v>-846.17700000000002</v>
      </c>
      <c r="E12" s="19">
        <v>-1249.6030000000001</v>
      </c>
      <c r="F12" s="19">
        <v>-2554.7820000000002</v>
      </c>
      <c r="G12" s="19">
        <v>-2367.44</v>
      </c>
      <c r="H12" s="19">
        <v>881.53499999999997</v>
      </c>
      <c r="I12" s="19">
        <v>1083.202</v>
      </c>
      <c r="J12" s="222">
        <v>2214.761</v>
      </c>
      <c r="K12" s="222">
        <v>3897.0120000000002</v>
      </c>
      <c r="L12" s="222">
        <v>6392.0429999999997</v>
      </c>
      <c r="M12" s="20"/>
      <c r="N12" s="9"/>
      <c r="O12" s="19">
        <v>-263.84199999999998</v>
      </c>
      <c r="P12" s="19">
        <v>-259.01299999999998</v>
      </c>
      <c r="Q12" s="19">
        <v>-383.39499999999998</v>
      </c>
      <c r="R12" s="20">
        <f>E12-Q12-P12-O12</f>
        <v>-343.35300000000018</v>
      </c>
      <c r="S12" s="19">
        <v>-516.798</v>
      </c>
      <c r="T12" s="19">
        <v>-730.71900000000005</v>
      </c>
      <c r="U12" s="19">
        <v>-622.09900000000005</v>
      </c>
      <c r="V12" s="20">
        <f>F12-U12-T12-S12</f>
        <v>-685.16599999999994</v>
      </c>
      <c r="W12" s="19">
        <v>-708.21</v>
      </c>
      <c r="X12" s="19">
        <v>-514.08600000000001</v>
      </c>
      <c r="Y12" s="19">
        <v>-425.91800000000001</v>
      </c>
      <c r="Z12" s="20">
        <f>G12-Y12-X12-W12</f>
        <v>-719.22599999999989</v>
      </c>
      <c r="AA12" s="19">
        <v>660.51199999999994</v>
      </c>
      <c r="AB12" s="19">
        <v>-6.75</v>
      </c>
      <c r="AC12" s="19">
        <v>135.61799999999999</v>
      </c>
      <c r="AD12" s="20">
        <f t="shared" ref="AD12:AD22" si="33">H12-AC12-AB12-AA12</f>
        <v>92.154999999999973</v>
      </c>
      <c r="AE12" s="19">
        <v>377.39400000000001</v>
      </c>
      <c r="AF12" s="19">
        <v>315.96199999999999</v>
      </c>
      <c r="AG12" s="19">
        <v>190.047</v>
      </c>
      <c r="AH12" s="20">
        <f t="shared" ref="AH12:AH22" si="34">I12-AG12-AF12-AE12</f>
        <v>199.79899999999998</v>
      </c>
      <c r="AI12" s="19">
        <v>303.596</v>
      </c>
      <c r="AJ12" s="19">
        <v>573.70299999999997</v>
      </c>
      <c r="AK12" s="19">
        <v>636.60699999999997</v>
      </c>
      <c r="AL12" s="20">
        <f t="shared" ref="AL12:AL22" si="35">J12-AK12-AJ12-AI12</f>
        <v>700.85500000000002</v>
      </c>
      <c r="AM12" s="19">
        <v>1215.9280000000001</v>
      </c>
      <c r="AN12" s="19">
        <v>1226.21</v>
      </c>
      <c r="AO12" s="19">
        <v>1221.6210000000001</v>
      </c>
      <c r="AP12" s="20">
        <f t="shared" ref="AP12:AP22" si="36">K12-AO12-AN12-AM12</f>
        <v>233.25299999999993</v>
      </c>
      <c r="AQ12" s="19">
        <v>1816.376</v>
      </c>
      <c r="AR12" s="259">
        <f>3851.558-AQ12</f>
        <v>2035.182</v>
      </c>
      <c r="AS12" s="259">
        <v>1530.854</v>
      </c>
      <c r="AT12" s="20">
        <f t="shared" ref="AT12:AT22" si="37">L12-AS12-AR12-AQ12</f>
        <v>1009.6309999999996</v>
      </c>
      <c r="AU12" s="19">
        <v>1950.3440000000001</v>
      </c>
    </row>
    <row r="13" spans="1:47" x14ac:dyDescent="0.35">
      <c r="B13" s="3" t="s">
        <v>264</v>
      </c>
      <c r="C13" s="19"/>
      <c r="D13" s="19"/>
      <c r="E13" s="19"/>
      <c r="F13" s="19">
        <v>0</v>
      </c>
      <c r="G13" s="19">
        <v>0</v>
      </c>
      <c r="H13" s="19">
        <v>0</v>
      </c>
      <c r="I13" s="19">
        <v>10511.945</v>
      </c>
      <c r="J13" s="222">
        <v>0</v>
      </c>
      <c r="K13" s="222">
        <v>0</v>
      </c>
      <c r="L13" s="222">
        <v>0</v>
      </c>
      <c r="M13" s="20"/>
      <c r="N13" s="9"/>
      <c r="O13" s="19"/>
      <c r="P13" s="19"/>
      <c r="Q13" s="19"/>
      <c r="R13" s="20"/>
      <c r="S13" s="19"/>
      <c r="T13" s="19"/>
      <c r="U13" s="19"/>
      <c r="V13" s="20"/>
      <c r="W13" s="19"/>
      <c r="X13" s="19"/>
      <c r="Y13" s="19"/>
      <c r="Z13" s="20"/>
      <c r="AA13" s="19">
        <v>0</v>
      </c>
      <c r="AB13" s="19">
        <v>0</v>
      </c>
      <c r="AC13" s="19">
        <v>0</v>
      </c>
      <c r="AD13" s="20">
        <f t="shared" si="33"/>
        <v>0</v>
      </c>
      <c r="AE13" s="19">
        <v>10511.945</v>
      </c>
      <c r="AF13" s="19">
        <v>0</v>
      </c>
      <c r="AG13" s="19">
        <v>0</v>
      </c>
      <c r="AH13" s="20">
        <f t="shared" si="34"/>
        <v>0</v>
      </c>
      <c r="AI13" s="19">
        <v>0</v>
      </c>
      <c r="AJ13" s="19">
        <v>0</v>
      </c>
      <c r="AK13" s="19">
        <v>0</v>
      </c>
      <c r="AL13" s="20">
        <f t="shared" si="35"/>
        <v>0</v>
      </c>
      <c r="AM13" s="19">
        <v>0</v>
      </c>
      <c r="AN13" s="19">
        <v>0</v>
      </c>
      <c r="AO13" s="19">
        <v>0</v>
      </c>
      <c r="AP13" s="20">
        <f t="shared" si="36"/>
        <v>0</v>
      </c>
      <c r="AQ13" s="19">
        <v>0</v>
      </c>
      <c r="AR13" s="19">
        <f>0-AQ13</f>
        <v>0</v>
      </c>
      <c r="AS13" s="19">
        <v>0</v>
      </c>
      <c r="AT13" s="20">
        <f t="shared" si="37"/>
        <v>0</v>
      </c>
      <c r="AU13" s="19">
        <v>0</v>
      </c>
    </row>
    <row r="14" spans="1:47" x14ac:dyDescent="0.35">
      <c r="B14" s="3" t="s">
        <v>265</v>
      </c>
      <c r="C14" s="19"/>
      <c r="D14" s="19"/>
      <c r="E14" s="19"/>
      <c r="F14" s="19">
        <v>0</v>
      </c>
      <c r="G14" s="19">
        <v>0</v>
      </c>
      <c r="H14" s="19">
        <v>0</v>
      </c>
      <c r="I14" s="19">
        <v>8260.9269999999997</v>
      </c>
      <c r="J14" s="222">
        <v>7258.3779999999997</v>
      </c>
      <c r="K14" s="222">
        <v>3482.0830000000001</v>
      </c>
      <c r="L14" s="222">
        <v>380.71699999999998</v>
      </c>
      <c r="M14" s="20"/>
      <c r="N14" s="9"/>
      <c r="O14" s="19"/>
      <c r="P14" s="19"/>
      <c r="Q14" s="19"/>
      <c r="R14" s="20"/>
      <c r="S14" s="19"/>
      <c r="T14" s="19"/>
      <c r="U14" s="19"/>
      <c r="V14" s="20"/>
      <c r="W14" s="19"/>
      <c r="X14" s="19"/>
      <c r="Y14" s="19"/>
      <c r="Z14" s="20"/>
      <c r="AA14" s="19">
        <v>0</v>
      </c>
      <c r="AB14" s="19">
        <v>0</v>
      </c>
      <c r="AC14" s="19">
        <v>0</v>
      </c>
      <c r="AD14" s="20">
        <f t="shared" si="33"/>
        <v>0</v>
      </c>
      <c r="AE14" s="19">
        <v>0</v>
      </c>
      <c r="AF14" s="19">
        <v>0</v>
      </c>
      <c r="AG14" s="19">
        <v>1868.7070000000001</v>
      </c>
      <c r="AH14" s="20">
        <f t="shared" si="34"/>
        <v>6392.2199999999993</v>
      </c>
      <c r="AI14" s="19">
        <v>2852.8969999999999</v>
      </c>
      <c r="AJ14" s="19">
        <v>2979.72</v>
      </c>
      <c r="AK14" s="19">
        <v>188.858</v>
      </c>
      <c r="AL14" s="20">
        <f t="shared" si="35"/>
        <v>1236.9029999999998</v>
      </c>
      <c r="AM14" s="19">
        <v>1315.171</v>
      </c>
      <c r="AN14" s="19">
        <v>2172.0439999999999</v>
      </c>
      <c r="AO14" s="19">
        <v>140.596</v>
      </c>
      <c r="AP14" s="20">
        <f t="shared" si="36"/>
        <v>-145.72799999999984</v>
      </c>
      <c r="AQ14" s="19">
        <v>300.166</v>
      </c>
      <c r="AR14" s="19">
        <f>300.583-AQ14</f>
        <v>0.41700000000003001</v>
      </c>
      <c r="AS14" s="19">
        <v>80.134</v>
      </c>
      <c r="AT14" s="20">
        <f t="shared" si="37"/>
        <v>0</v>
      </c>
      <c r="AU14" s="19">
        <v>0</v>
      </c>
    </row>
    <row r="15" spans="1:47" s="6" customFormat="1" ht="13" x14ac:dyDescent="0.3">
      <c r="B15" s="3" t="s">
        <v>266</v>
      </c>
      <c r="C15" s="19">
        <v>151.589</v>
      </c>
      <c r="D15" s="19">
        <v>139.58099999999999</v>
      </c>
      <c r="E15" s="19">
        <v>391.03</v>
      </c>
      <c r="F15" s="19">
        <v>500.43700000000001</v>
      </c>
      <c r="G15" s="19">
        <v>194.93799999999999</v>
      </c>
      <c r="H15" s="19">
        <v>149.50800000000001</v>
      </c>
      <c r="I15" s="19">
        <v>340.10899999999998</v>
      </c>
      <c r="J15" s="222">
        <v>677.57</v>
      </c>
      <c r="K15" s="222">
        <v>918.33799999999997</v>
      </c>
      <c r="L15" s="222">
        <v>821.81500000000005</v>
      </c>
      <c r="M15" s="20"/>
      <c r="N15" s="9"/>
      <c r="O15" s="19">
        <v>56.262</v>
      </c>
      <c r="P15" s="19">
        <v>84.427999999999997</v>
      </c>
      <c r="Q15" s="19">
        <v>82.239000000000004</v>
      </c>
      <c r="R15" s="20">
        <f t="shared" ref="R15:R22" si="38">E15-Q15-P15-O15</f>
        <v>168.10099999999994</v>
      </c>
      <c r="S15" s="19">
        <v>195.67599999999999</v>
      </c>
      <c r="T15" s="19">
        <v>143.89500000000001</v>
      </c>
      <c r="U15" s="19">
        <v>96.995000000000005</v>
      </c>
      <c r="V15" s="20">
        <f t="shared" ref="V15:V22" si="39">F15-U15-T15-S15</f>
        <v>63.871000000000038</v>
      </c>
      <c r="W15" s="19">
        <v>73.328999999999994</v>
      </c>
      <c r="X15" s="19">
        <v>89.662999999999997</v>
      </c>
      <c r="Y15" s="19">
        <v>10.036</v>
      </c>
      <c r="Z15" s="20">
        <f t="shared" ref="Z15:Z22" si="40">G15-Y15-X15-W15</f>
        <v>21.909999999999997</v>
      </c>
      <c r="AA15" s="19">
        <v>15.448</v>
      </c>
      <c r="AB15" s="19">
        <v>33.381</v>
      </c>
      <c r="AC15" s="19">
        <v>46.847999999999999</v>
      </c>
      <c r="AD15" s="20">
        <f t="shared" si="33"/>
        <v>53.83100000000001</v>
      </c>
      <c r="AE15" s="19">
        <v>49.42</v>
      </c>
      <c r="AF15" s="19">
        <v>46.478000000000002</v>
      </c>
      <c r="AG15" s="19">
        <v>71.375</v>
      </c>
      <c r="AH15" s="20">
        <f t="shared" si="34"/>
        <v>172.83599999999996</v>
      </c>
      <c r="AI15" s="19">
        <v>112.774</v>
      </c>
      <c r="AJ15" s="19">
        <v>171.77799999999999</v>
      </c>
      <c r="AK15" s="19">
        <v>182.32400000000001</v>
      </c>
      <c r="AL15" s="20">
        <f t="shared" si="35"/>
        <v>210.69400000000007</v>
      </c>
      <c r="AM15" s="19">
        <v>202.125</v>
      </c>
      <c r="AN15" s="19">
        <v>167.351</v>
      </c>
      <c r="AO15" s="19">
        <v>256.25799999999998</v>
      </c>
      <c r="AP15" s="20">
        <f t="shared" si="36"/>
        <v>292.60399999999993</v>
      </c>
      <c r="AQ15" s="19">
        <v>166.624</v>
      </c>
      <c r="AR15" s="19">
        <f>325.205-AQ15</f>
        <v>158.58099999999999</v>
      </c>
      <c r="AS15" s="19">
        <v>217.16</v>
      </c>
      <c r="AT15" s="20">
        <f t="shared" si="37"/>
        <v>279.45000000000005</v>
      </c>
      <c r="AU15" s="19">
        <v>208.69499999999999</v>
      </c>
    </row>
    <row r="16" spans="1:47" s="6" customFormat="1" ht="13" x14ac:dyDescent="0.3">
      <c r="B16" s="3" t="s">
        <v>267</v>
      </c>
      <c r="C16" s="19">
        <v>101.232</v>
      </c>
      <c r="D16" s="19">
        <v>38.454999999999998</v>
      </c>
      <c r="E16" s="19">
        <v>73.087999999999994</v>
      </c>
      <c r="F16" s="19">
        <v>43.012</v>
      </c>
      <c r="G16" s="19">
        <v>33.244</v>
      </c>
      <c r="H16" s="19">
        <v>152.565</v>
      </c>
      <c r="I16" s="19">
        <v>321.35399999999998</v>
      </c>
      <c r="J16" s="222">
        <v>371.65499999999997</v>
      </c>
      <c r="K16" s="222">
        <v>206.5</v>
      </c>
      <c r="L16" s="222">
        <v>283.55900000000003</v>
      </c>
      <c r="M16" s="20"/>
      <c r="N16" s="9"/>
      <c r="O16" s="19">
        <v>9.8059999999999992</v>
      </c>
      <c r="P16" s="19">
        <v>10.502000000000001</v>
      </c>
      <c r="Q16" s="19">
        <v>47.774000000000001</v>
      </c>
      <c r="R16" s="20">
        <f t="shared" si="38"/>
        <v>5.0059999999999931</v>
      </c>
      <c r="S16" s="19">
        <v>17.350999999999999</v>
      </c>
      <c r="T16" s="19">
        <v>5.92</v>
      </c>
      <c r="U16" s="19">
        <v>16.62</v>
      </c>
      <c r="V16" s="20">
        <f t="shared" si="39"/>
        <v>3.1210000000000022</v>
      </c>
      <c r="W16" s="19">
        <v>42.064</v>
      </c>
      <c r="X16" s="19">
        <v>8.4269999999999996</v>
      </c>
      <c r="Y16" s="19">
        <v>-0.08</v>
      </c>
      <c r="Z16" s="20">
        <f t="shared" si="40"/>
        <v>-17.167000000000002</v>
      </c>
      <c r="AA16" s="19">
        <v>53.19</v>
      </c>
      <c r="AB16" s="19">
        <v>32.933999999999997</v>
      </c>
      <c r="AC16" s="19">
        <v>23.922000000000001</v>
      </c>
      <c r="AD16" s="20">
        <f t="shared" si="33"/>
        <v>42.519000000000005</v>
      </c>
      <c r="AE16" s="19">
        <v>10.750999999999999</v>
      </c>
      <c r="AF16" s="19">
        <v>101.38200000000001</v>
      </c>
      <c r="AG16" s="19">
        <v>73.561999999999998</v>
      </c>
      <c r="AH16" s="20">
        <f t="shared" si="34"/>
        <v>135.65899999999996</v>
      </c>
      <c r="AI16" s="19">
        <v>34.901000000000003</v>
      </c>
      <c r="AJ16" s="19">
        <v>167.70699999999999</v>
      </c>
      <c r="AK16" s="19">
        <v>88.754999999999995</v>
      </c>
      <c r="AL16" s="20">
        <f t="shared" si="35"/>
        <v>80.291999999999973</v>
      </c>
      <c r="AM16" s="19">
        <v>141.21700000000001</v>
      </c>
      <c r="AN16" s="19">
        <v>264.084</v>
      </c>
      <c r="AO16" s="19">
        <v>-163.99299999999999</v>
      </c>
      <c r="AP16" s="20">
        <f t="shared" si="36"/>
        <v>-34.808000000000021</v>
      </c>
      <c r="AQ16" s="19">
        <v>32.768999999999998</v>
      </c>
      <c r="AR16" s="19">
        <f>33.773-AQ16</f>
        <v>1.0040000000000049</v>
      </c>
      <c r="AS16" s="19">
        <v>96.911000000000001</v>
      </c>
      <c r="AT16" s="20">
        <f t="shared" si="37"/>
        <v>152.875</v>
      </c>
      <c r="AU16" s="19">
        <v>15.329000000000001</v>
      </c>
    </row>
    <row r="17" spans="2:47" s="6" customFormat="1" ht="13" x14ac:dyDescent="0.3">
      <c r="B17" s="3" t="s">
        <v>268</v>
      </c>
      <c r="C17" s="19">
        <v>983.18600000000004</v>
      </c>
      <c r="D17" s="19">
        <f>1889.901+701.653</f>
        <v>2591.5540000000001</v>
      </c>
      <c r="E17" s="19">
        <v>695.40499999999997</v>
      </c>
      <c r="F17" s="19">
        <v>1047.0070000000001</v>
      </c>
      <c r="G17" s="19">
        <v>3817.2109999999998</v>
      </c>
      <c r="H17" s="19">
        <v>4656.6469999999999</v>
      </c>
      <c r="I17" s="19">
        <v>2474.8139999999999</v>
      </c>
      <c r="J17" s="222">
        <v>959.89800000000002</v>
      </c>
      <c r="K17" s="222">
        <v>1734.944</v>
      </c>
      <c r="L17" s="222">
        <v>3870.8139999999999</v>
      </c>
      <c r="M17" s="20"/>
      <c r="N17" s="9"/>
      <c r="O17" s="19">
        <v>947.90099999999995</v>
      </c>
      <c r="P17" s="19">
        <v>223.995</v>
      </c>
      <c r="Q17" s="19">
        <v>230.16200000000001</v>
      </c>
      <c r="R17" s="20">
        <f t="shared" si="38"/>
        <v>-706.65300000000002</v>
      </c>
      <c r="S17" s="19">
        <v>124.404</v>
      </c>
      <c r="T17" s="19">
        <v>172.92500000000001</v>
      </c>
      <c r="U17" s="19">
        <v>369.572</v>
      </c>
      <c r="V17" s="20">
        <f t="shared" si="39"/>
        <v>380.10600000000005</v>
      </c>
      <c r="W17" s="19">
        <v>396.26299999999998</v>
      </c>
      <c r="X17" s="19">
        <v>1105.173</v>
      </c>
      <c r="Y17" s="19">
        <v>-29.765999999999998</v>
      </c>
      <c r="Z17" s="20">
        <f t="shared" si="40"/>
        <v>2345.5410000000002</v>
      </c>
      <c r="AA17" s="19">
        <v>15.273</v>
      </c>
      <c r="AB17" s="19">
        <v>47.585999999999999</v>
      </c>
      <c r="AC17" s="19">
        <v>-54.265999999999998</v>
      </c>
      <c r="AD17" s="20">
        <f t="shared" si="33"/>
        <v>4648.0539999999992</v>
      </c>
      <c r="AE17" s="19">
        <f>10731.97-AE13</f>
        <v>220.02499999999964</v>
      </c>
      <c r="AF17" s="19">
        <v>481.52800000000002</v>
      </c>
      <c r="AG17" s="19">
        <v>1116.0619999999999</v>
      </c>
      <c r="AH17" s="20">
        <f t="shared" si="34"/>
        <v>657.1990000000003</v>
      </c>
      <c r="AI17" s="19">
        <v>79.700999999999993</v>
      </c>
      <c r="AJ17" s="19">
        <v>221.22900000000001</v>
      </c>
      <c r="AK17" s="19">
        <v>-16.262</v>
      </c>
      <c r="AL17" s="20">
        <f t="shared" si="35"/>
        <v>675.23</v>
      </c>
      <c r="AM17" s="19">
        <v>194.023</v>
      </c>
      <c r="AN17" s="19">
        <v>530.67999999999995</v>
      </c>
      <c r="AO17" s="19">
        <v>501.04599999999999</v>
      </c>
      <c r="AP17" s="20">
        <f t="shared" si="36"/>
        <v>509.19499999999994</v>
      </c>
      <c r="AQ17" s="19">
        <v>2727.0909999999999</v>
      </c>
      <c r="AR17" s="19">
        <f>2850.649-AQ17</f>
        <v>123.55799999999999</v>
      </c>
      <c r="AS17" s="19">
        <v>365.14600000000002</v>
      </c>
      <c r="AT17" s="20">
        <f t="shared" si="37"/>
        <v>655.01899999999978</v>
      </c>
      <c r="AU17" s="19">
        <v>1079.4580000000001</v>
      </c>
    </row>
    <row r="18" spans="2:47" s="6" customFormat="1" ht="13" x14ac:dyDescent="0.3">
      <c r="B18" s="3" t="s">
        <v>269</v>
      </c>
      <c r="C18" s="19">
        <v>-11914.114</v>
      </c>
      <c r="D18" s="19">
        <v>-13013.437</v>
      </c>
      <c r="E18" s="19">
        <v>-18645.313999999998</v>
      </c>
      <c r="F18" s="19">
        <v>-18554.813999999998</v>
      </c>
      <c r="G18" s="19">
        <v>-16406.196</v>
      </c>
      <c r="H18" s="19">
        <f>-17307.774</f>
        <v>-17307.774000000001</v>
      </c>
      <c r="I18" s="19">
        <v>-17691.677</v>
      </c>
      <c r="J18" s="19">
        <v>-18217.044000000002</v>
      </c>
      <c r="K18" s="19">
        <v>-16428.713</v>
      </c>
      <c r="L18" s="19">
        <f>-13487.058</f>
        <v>-13487.058000000001</v>
      </c>
      <c r="M18" s="20"/>
      <c r="N18" s="9"/>
      <c r="O18" s="19">
        <v>-4745.9870000000001</v>
      </c>
      <c r="P18" s="19">
        <v>-4665.0720000000001</v>
      </c>
      <c r="Q18" s="19">
        <v>-4222.2120000000004</v>
      </c>
      <c r="R18" s="20">
        <f t="shared" si="38"/>
        <v>-5012.0429999999988</v>
      </c>
      <c r="S18" s="19">
        <v>-4615.6260000000002</v>
      </c>
      <c r="T18" s="19">
        <v>-4497.0119999999997</v>
      </c>
      <c r="U18" s="19">
        <v>-4142.9129999999996</v>
      </c>
      <c r="V18" s="20">
        <f t="shared" si="39"/>
        <v>-5299.262999999999</v>
      </c>
      <c r="W18" s="19">
        <v>-4530.3969999999999</v>
      </c>
      <c r="X18" s="19">
        <v>-2449.5309999999999</v>
      </c>
      <c r="Y18" s="19">
        <v>-5167.5460000000003</v>
      </c>
      <c r="Z18" s="20">
        <f t="shared" si="40"/>
        <v>-4258.7219999999988</v>
      </c>
      <c r="AA18" s="19">
        <v>-5457.5190000000002</v>
      </c>
      <c r="AB18" s="19">
        <v>-4100.9459999999999</v>
      </c>
      <c r="AC18" s="19">
        <v>-3661.3969999999999</v>
      </c>
      <c r="AD18" s="20">
        <f t="shared" si="33"/>
        <v>-4087.9120000000003</v>
      </c>
      <c r="AE18" s="19">
        <v>-4735.1679999999997</v>
      </c>
      <c r="AF18" s="19">
        <v>-4164.0079999999998</v>
      </c>
      <c r="AG18" s="19">
        <v>-3973.3870000000002</v>
      </c>
      <c r="AH18" s="20">
        <f t="shared" si="34"/>
        <v>-4819.1139999999996</v>
      </c>
      <c r="AI18" s="19">
        <v>-5353.2259999999997</v>
      </c>
      <c r="AJ18" s="19">
        <v>-4199.18</v>
      </c>
      <c r="AK18" s="19">
        <v>-3778.17</v>
      </c>
      <c r="AL18" s="20">
        <f t="shared" si="35"/>
        <v>-4886.4680000000017</v>
      </c>
      <c r="AM18" s="19">
        <v>-4166.3090000000002</v>
      </c>
      <c r="AN18" s="19">
        <v>-3486.3539999999998</v>
      </c>
      <c r="AO18" s="19">
        <v>-3856.4569999999999</v>
      </c>
      <c r="AP18" s="20">
        <f t="shared" si="36"/>
        <v>-4919.5929999999998</v>
      </c>
      <c r="AQ18" s="19">
        <v>-3921.6060000000002</v>
      </c>
      <c r="AR18" s="19">
        <f>-7118.954-AQ18</f>
        <v>-3197.3479999999995</v>
      </c>
      <c r="AS18" s="19">
        <v>-2973.152</v>
      </c>
      <c r="AT18" s="20">
        <f t="shared" si="37"/>
        <v>-3394.9520000000007</v>
      </c>
      <c r="AU18" s="19">
        <v>-3858.7260000000001</v>
      </c>
    </row>
    <row r="19" spans="2:47" s="6" customFormat="1" ht="13" x14ac:dyDescent="0.3">
      <c r="B19" s="3" t="s">
        <v>270</v>
      </c>
      <c r="C19" s="19">
        <v>-52471.053</v>
      </c>
      <c r="D19" s="19">
        <v>-56608.921999999999</v>
      </c>
      <c r="E19" s="19">
        <v>-57742.131000000001</v>
      </c>
      <c r="F19" s="19">
        <v>-64471.409</v>
      </c>
      <c r="G19" s="19">
        <v>-64913.355000000003</v>
      </c>
      <c r="H19" s="19">
        <v>-71366.092000000004</v>
      </c>
      <c r="I19" s="19">
        <v>-74227.305999999997</v>
      </c>
      <c r="J19" s="19">
        <v>-74681.05</v>
      </c>
      <c r="K19" s="19">
        <v>-72836.752999999997</v>
      </c>
      <c r="L19" s="19">
        <v>-72207.938999999998</v>
      </c>
      <c r="M19" s="20"/>
      <c r="N19" s="9"/>
      <c r="O19" s="19">
        <v>-13429.954</v>
      </c>
      <c r="P19" s="19">
        <v>-13056.455</v>
      </c>
      <c r="Q19" s="19">
        <v>-13988.066000000001</v>
      </c>
      <c r="R19" s="20">
        <f t="shared" si="38"/>
        <v>-17267.656000000003</v>
      </c>
      <c r="S19" s="19">
        <v>-14295.58</v>
      </c>
      <c r="T19" s="19">
        <v>-15568.88</v>
      </c>
      <c r="U19" s="19">
        <v>-16742.045999999998</v>
      </c>
      <c r="V19" s="20">
        <f t="shared" si="39"/>
        <v>-17864.902999999998</v>
      </c>
      <c r="W19" s="19">
        <v>-15178.125</v>
      </c>
      <c r="X19" s="19">
        <v>-14771.669</v>
      </c>
      <c r="Y19" s="19">
        <v>-16515.615000000002</v>
      </c>
      <c r="Z19" s="20">
        <f t="shared" si="40"/>
        <v>-18447.946000000004</v>
      </c>
      <c r="AA19" s="19">
        <v>-17377.102999999999</v>
      </c>
      <c r="AB19" s="19">
        <v>-17392.453000000001</v>
      </c>
      <c r="AC19" s="19">
        <v>-17301.232</v>
      </c>
      <c r="AD19" s="20">
        <f t="shared" si="33"/>
        <v>-19295.304</v>
      </c>
      <c r="AE19" s="19">
        <v>-17787.776999999998</v>
      </c>
      <c r="AF19" s="19">
        <v>-17557.401999999998</v>
      </c>
      <c r="AG19" s="19">
        <v>-18064.687999999998</v>
      </c>
      <c r="AH19" s="20">
        <f t="shared" si="34"/>
        <v>-20817.439000000002</v>
      </c>
      <c r="AI19" s="19">
        <v>-17605.23</v>
      </c>
      <c r="AJ19" s="19">
        <v>-19001.16</v>
      </c>
      <c r="AK19" s="19">
        <v>-18859.526000000002</v>
      </c>
      <c r="AL19" s="20">
        <f t="shared" si="35"/>
        <v>-19215.134000000002</v>
      </c>
      <c r="AM19" s="19">
        <v>-18407.255000000001</v>
      </c>
      <c r="AN19" s="19">
        <v>-18104.775000000001</v>
      </c>
      <c r="AO19" s="19">
        <v>-18743.558000000001</v>
      </c>
      <c r="AP19" s="20">
        <f t="shared" si="36"/>
        <v>-17581.16499999999</v>
      </c>
      <c r="AQ19" s="19">
        <v>-17579.632000000001</v>
      </c>
      <c r="AR19" s="19">
        <f>-35262.304-AQ19</f>
        <v>-17682.671999999995</v>
      </c>
      <c r="AS19" s="19">
        <v>-18130.297999999999</v>
      </c>
      <c r="AT19" s="20">
        <f t="shared" si="37"/>
        <v>-18815.33700000001</v>
      </c>
      <c r="AU19" s="19">
        <v>-18532.046999999999</v>
      </c>
    </row>
    <row r="20" spans="2:47" s="6" customFormat="1" ht="13" x14ac:dyDescent="0.3">
      <c r="B20" s="3" t="s">
        <v>271</v>
      </c>
      <c r="C20" s="19">
        <v>-9623.1270000000004</v>
      </c>
      <c r="D20" s="19">
        <v>-7852.3360000000002</v>
      </c>
      <c r="E20" s="19">
        <v>-5677.375</v>
      </c>
      <c r="F20" s="19">
        <v>-3982.873</v>
      </c>
      <c r="G20" s="19">
        <v>-1007.234</v>
      </c>
      <c r="H20" s="19">
        <v>-1182.3810000000001</v>
      </c>
      <c r="I20" s="19">
        <v>-1362.309</v>
      </c>
      <c r="J20" s="19">
        <v>-1367.0519999999999</v>
      </c>
      <c r="K20" s="19">
        <v>-1619.788</v>
      </c>
      <c r="L20" s="19">
        <v>-1911.7629999999999</v>
      </c>
      <c r="M20" s="20"/>
      <c r="N20" s="9"/>
      <c r="O20" s="19">
        <v>-1800.0060000000001</v>
      </c>
      <c r="P20" s="19">
        <v>-1711.1559999999999</v>
      </c>
      <c r="Q20" s="19">
        <v>-1435.963</v>
      </c>
      <c r="R20" s="20">
        <f t="shared" si="38"/>
        <v>-730.25000000000023</v>
      </c>
      <c r="S20" s="19">
        <v>-806.82100000000003</v>
      </c>
      <c r="T20" s="19">
        <v>-944.46400000000006</v>
      </c>
      <c r="U20" s="19">
        <v>-1064.175</v>
      </c>
      <c r="V20" s="20">
        <f t="shared" si="39"/>
        <v>-1167.4130000000005</v>
      </c>
      <c r="W20" s="19">
        <v>-303.57299999999998</v>
      </c>
      <c r="X20" s="19">
        <v>-241.851</v>
      </c>
      <c r="Y20" s="19">
        <v>-274.81700000000001</v>
      </c>
      <c r="Z20" s="20">
        <f t="shared" si="40"/>
        <v>-186.99300000000005</v>
      </c>
      <c r="AA20" s="19">
        <v>-284.05799999999999</v>
      </c>
      <c r="AB20" s="19">
        <v>-290.49599999999998</v>
      </c>
      <c r="AC20" s="19">
        <v>-271.36700000000002</v>
      </c>
      <c r="AD20" s="20">
        <f t="shared" si="33"/>
        <v>-336.46000000000015</v>
      </c>
      <c r="AE20" s="19">
        <v>-323.916</v>
      </c>
      <c r="AF20" s="19">
        <v>-320.19299999999998</v>
      </c>
      <c r="AG20" s="19">
        <v>-308.65600000000001</v>
      </c>
      <c r="AH20" s="20">
        <f t="shared" si="34"/>
        <v>-409.54400000000004</v>
      </c>
      <c r="AI20" s="19">
        <v>-360.99200000000002</v>
      </c>
      <c r="AJ20" s="19">
        <v>-343.59699999999998</v>
      </c>
      <c r="AK20" s="19">
        <v>-308.47800000000001</v>
      </c>
      <c r="AL20" s="20">
        <f t="shared" si="35"/>
        <v>-353.98499999999984</v>
      </c>
      <c r="AM20" s="19">
        <v>-363.29899999999998</v>
      </c>
      <c r="AN20" s="19">
        <v>-407.952</v>
      </c>
      <c r="AO20" s="19">
        <v>-415.50700000000001</v>
      </c>
      <c r="AP20" s="20">
        <f t="shared" si="36"/>
        <v>-433.03</v>
      </c>
      <c r="AQ20" s="19">
        <v>-441.89400000000001</v>
      </c>
      <c r="AR20" s="19">
        <f>-850.558-AQ20</f>
        <v>-408.66399999999999</v>
      </c>
      <c r="AS20" s="19">
        <v>-522.67999999999995</v>
      </c>
      <c r="AT20" s="20">
        <f t="shared" si="37"/>
        <v>-538.52500000000009</v>
      </c>
      <c r="AU20" s="19">
        <v>-508.791</v>
      </c>
    </row>
    <row r="21" spans="2:47" s="6" customFormat="1" ht="13" x14ac:dyDescent="0.3">
      <c r="B21" s="3" t="s">
        <v>272</v>
      </c>
      <c r="C21" s="19">
        <v>-23848.646000000001</v>
      </c>
      <c r="D21" s="19">
        <v>-27512.688999999998</v>
      </c>
      <c r="E21" s="21">
        <v>-30421.721000000001</v>
      </c>
      <c r="F21" s="21">
        <v>-34143.540999999997</v>
      </c>
      <c r="G21" s="21">
        <v>-35412.038</v>
      </c>
      <c r="H21" s="21">
        <v>-41132.991999999998</v>
      </c>
      <c r="I21" s="21">
        <v>-45653.296000000002</v>
      </c>
      <c r="J21" s="21">
        <v>-47356.042999999998</v>
      </c>
      <c r="K21" s="21">
        <v>-50473.04</v>
      </c>
      <c r="L21" s="21">
        <v>-53871.127</v>
      </c>
      <c r="M21" s="20"/>
      <c r="N21" s="9"/>
      <c r="O21" s="19">
        <v>-7285.3829999999998</v>
      </c>
      <c r="P21" s="19">
        <v>-7287.6450000000004</v>
      </c>
      <c r="Q21" s="19">
        <v>-7741.9809999999998</v>
      </c>
      <c r="R21" s="20">
        <f t="shared" si="38"/>
        <v>-8106.7120000000014</v>
      </c>
      <c r="S21" s="19">
        <v>-7995.9319999999998</v>
      </c>
      <c r="T21" s="19">
        <v>-8457.4830000000002</v>
      </c>
      <c r="U21" s="19">
        <v>-8545.0859999999993</v>
      </c>
      <c r="V21" s="20">
        <f t="shared" si="39"/>
        <v>-9145.0399999999972</v>
      </c>
      <c r="W21" s="19">
        <v>-8639.4879999999994</v>
      </c>
      <c r="X21" s="19">
        <v>-8881.1309999999994</v>
      </c>
      <c r="Y21" s="19">
        <v>-9057.1669999999995</v>
      </c>
      <c r="Z21" s="20">
        <f t="shared" si="40"/>
        <v>-8834.2519999999986</v>
      </c>
      <c r="AA21" s="19">
        <v>-9173.2340000000004</v>
      </c>
      <c r="AB21" s="19">
        <v>-9375.2309999999998</v>
      </c>
      <c r="AC21" s="19">
        <v>-10652.960999999999</v>
      </c>
      <c r="AD21" s="20">
        <f t="shared" si="33"/>
        <v>-11931.565999999999</v>
      </c>
      <c r="AE21" s="19">
        <v>-11049.425999999999</v>
      </c>
      <c r="AF21" s="19">
        <v>-11253.333000000001</v>
      </c>
      <c r="AG21" s="19">
        <v>-10991.013999999999</v>
      </c>
      <c r="AH21" s="20">
        <f t="shared" si="34"/>
        <v>-12359.523000000008</v>
      </c>
      <c r="AI21" s="19">
        <v>-11154.876</v>
      </c>
      <c r="AJ21" s="19">
        <v>-11735.062</v>
      </c>
      <c r="AK21" s="19">
        <v>-11604.508</v>
      </c>
      <c r="AL21" s="20">
        <f t="shared" si="35"/>
        <v>-12861.596999999998</v>
      </c>
      <c r="AM21" s="19">
        <v>-12299.948</v>
      </c>
      <c r="AN21" s="19">
        <v>-12460.789000000001</v>
      </c>
      <c r="AO21" s="19">
        <v>-12540.699000000001</v>
      </c>
      <c r="AP21" s="20">
        <f t="shared" si="36"/>
        <v>-13171.603999999999</v>
      </c>
      <c r="AQ21" s="19">
        <v>-13441.415000000001</v>
      </c>
      <c r="AR21" s="19">
        <f>-26429.849-AQ21</f>
        <v>-12988.433999999997</v>
      </c>
      <c r="AS21" s="19">
        <v>-13551.984</v>
      </c>
      <c r="AT21" s="20">
        <f t="shared" si="37"/>
        <v>-13889.293999999998</v>
      </c>
      <c r="AU21" s="19">
        <v>-14360.804</v>
      </c>
    </row>
    <row r="22" spans="2:47" s="6" customFormat="1" ht="13" x14ac:dyDescent="0.3">
      <c r="B22" s="3" t="s">
        <v>273</v>
      </c>
      <c r="C22" s="19">
        <v>-3271.3009999999999</v>
      </c>
      <c r="D22" s="19">
        <v>-5423.366</v>
      </c>
      <c r="E22" s="19">
        <v>-4787.6440000000002</v>
      </c>
      <c r="F22" s="19">
        <v>-4913.1369999999997</v>
      </c>
      <c r="G22" s="19">
        <v>-10207.599</v>
      </c>
      <c r="H22" s="19">
        <v>-5566.9390000000003</v>
      </c>
      <c r="I22" s="19">
        <v>-4906.7470000000003</v>
      </c>
      <c r="J22" s="19">
        <v>-5463.9790000000003</v>
      </c>
      <c r="K22" s="19">
        <v>-4691.29</v>
      </c>
      <c r="L22" s="19">
        <v>-3827.3449999999998</v>
      </c>
      <c r="M22" s="20"/>
      <c r="N22" s="9"/>
      <c r="O22" s="19">
        <v>-1011.67</v>
      </c>
      <c r="P22" s="19">
        <v>-1655.97</v>
      </c>
      <c r="Q22" s="19">
        <v>-1160.5989999999999</v>
      </c>
      <c r="R22" s="20">
        <f t="shared" si="38"/>
        <v>-959.40500000000009</v>
      </c>
      <c r="S22" s="19">
        <v>-1149.529</v>
      </c>
      <c r="T22" s="19">
        <v>-1346.856</v>
      </c>
      <c r="U22" s="19">
        <v>-1292.8579999999999</v>
      </c>
      <c r="V22" s="20">
        <f t="shared" si="39"/>
        <v>-1123.8939999999998</v>
      </c>
      <c r="W22" s="19">
        <v>-1051.1010000000001</v>
      </c>
      <c r="X22" s="19">
        <v>-2844.799</v>
      </c>
      <c r="Y22" s="19">
        <v>-1126.8579999999999</v>
      </c>
      <c r="Z22" s="20">
        <f t="shared" si="40"/>
        <v>-5184.8410000000003</v>
      </c>
      <c r="AA22" s="19">
        <v>-1605.51</v>
      </c>
      <c r="AB22" s="19">
        <v>-851.57399999999996</v>
      </c>
      <c r="AC22" s="19">
        <v>-1100.2860000000001</v>
      </c>
      <c r="AD22" s="20">
        <f t="shared" si="33"/>
        <v>-2009.5690000000002</v>
      </c>
      <c r="AE22" s="19">
        <v>-1480.383</v>
      </c>
      <c r="AF22" s="19">
        <v>-1456.9590000000001</v>
      </c>
      <c r="AG22" s="19">
        <v>-1423.1110000000001</v>
      </c>
      <c r="AH22" s="20">
        <f t="shared" si="34"/>
        <v>-546.29400000000032</v>
      </c>
      <c r="AI22" s="19">
        <v>-1330.008</v>
      </c>
      <c r="AJ22" s="19">
        <v>-1200.5150000000001</v>
      </c>
      <c r="AK22" s="19">
        <v>-1160.954</v>
      </c>
      <c r="AL22" s="20">
        <f t="shared" si="35"/>
        <v>-1772.5020000000002</v>
      </c>
      <c r="AM22" s="19">
        <v>-1198.9690000000001</v>
      </c>
      <c r="AN22" s="19">
        <v>-1035.4929999999999</v>
      </c>
      <c r="AO22" s="19">
        <v>-730.56600000000003</v>
      </c>
      <c r="AP22" s="20">
        <f t="shared" si="36"/>
        <v>-1726.2620000000002</v>
      </c>
      <c r="AQ22" s="19">
        <v>-1199.3679999999999</v>
      </c>
      <c r="AR22" s="19">
        <f>-2235.924-AQ22</f>
        <v>-1036.556</v>
      </c>
      <c r="AS22" s="19">
        <v>-901.66</v>
      </c>
      <c r="AT22" s="20">
        <f t="shared" si="37"/>
        <v>-689.76099999999997</v>
      </c>
      <c r="AU22" s="19">
        <v>-791.38</v>
      </c>
    </row>
    <row r="23" spans="2:47" s="6" customFormat="1" ht="13" x14ac:dyDescent="0.3">
      <c r="B23" s="6" t="s">
        <v>274</v>
      </c>
      <c r="C23" s="15">
        <f t="shared" ref="C23:I23" si="41">C10+SUM(C12:C22)</f>
        <v>26034.228000000003</v>
      </c>
      <c r="D23" s="15">
        <f t="shared" si="41"/>
        <v>26793.394000000015</v>
      </c>
      <c r="E23" s="15">
        <f t="shared" si="41"/>
        <v>33808.540999999983</v>
      </c>
      <c r="F23" s="15">
        <f t="shared" si="41"/>
        <v>39630.236999999994</v>
      </c>
      <c r="G23" s="15">
        <f t="shared" si="41"/>
        <v>34251.072999999989</v>
      </c>
      <c r="H23" s="15">
        <f t="shared" si="41"/>
        <v>37780.535000000018</v>
      </c>
      <c r="I23" s="15">
        <f t="shared" si="41"/>
        <v>54191.739000000001</v>
      </c>
      <c r="J23" s="15">
        <f t="shared" ref="J23:K23" si="42">J10+SUM(J12:J22)</f>
        <v>44561.548999999999</v>
      </c>
      <c r="K23" s="15">
        <f t="shared" si="42"/>
        <v>44775.353000000003</v>
      </c>
      <c r="L23" s="15">
        <f t="shared" ref="L23" si="43">L10+SUM(L12:L22)</f>
        <v>44683.559999999969</v>
      </c>
      <c r="M23" s="15"/>
      <c r="N23" s="9"/>
      <c r="O23" s="15">
        <f t="shared" ref="O23:AH23" si="44">O10+SUM(O12:O22)</f>
        <v>9414.752999999997</v>
      </c>
      <c r="P23" s="15">
        <f t="shared" si="44"/>
        <v>9191.9530000000013</v>
      </c>
      <c r="Q23" s="15">
        <f t="shared" si="44"/>
        <v>8584.747000000003</v>
      </c>
      <c r="R23" s="15">
        <f t="shared" si="44"/>
        <v>6617.0879999999888</v>
      </c>
      <c r="S23" s="15">
        <f t="shared" si="44"/>
        <v>11593.211999999996</v>
      </c>
      <c r="T23" s="15">
        <f t="shared" si="44"/>
        <v>9662.2770000000019</v>
      </c>
      <c r="U23" s="15">
        <f t="shared" si="44"/>
        <v>9970.9070000000065</v>
      </c>
      <c r="V23" s="15">
        <f t="shared" si="44"/>
        <v>8403.8410000000003</v>
      </c>
      <c r="W23" s="15">
        <f t="shared" si="44"/>
        <v>11292.113999999998</v>
      </c>
      <c r="X23" s="15">
        <f t="shared" si="44"/>
        <v>9122.974000000002</v>
      </c>
      <c r="Y23" s="15">
        <f t="shared" si="44"/>
        <v>8191.1460000000006</v>
      </c>
      <c r="Z23" s="15">
        <f t="shared" si="44"/>
        <v>5644.8389999999854</v>
      </c>
      <c r="AA23" s="15">
        <f t="shared" si="44"/>
        <v>9694.0859999999957</v>
      </c>
      <c r="AB23" s="15">
        <f t="shared" si="44"/>
        <v>9659.114999999998</v>
      </c>
      <c r="AC23" s="15">
        <f t="shared" si="44"/>
        <v>8909.1889999999985</v>
      </c>
      <c r="AD23" s="15">
        <f t="shared" si="44"/>
        <v>9518.1450000000114</v>
      </c>
      <c r="AE23" s="15">
        <f t="shared" si="44"/>
        <v>19349.741000000005</v>
      </c>
      <c r="AF23" s="15">
        <f t="shared" si="44"/>
        <v>9958.4460000000036</v>
      </c>
      <c r="AG23" s="15">
        <f t="shared" si="44"/>
        <v>11434.169000000005</v>
      </c>
      <c r="AH23" s="15">
        <f t="shared" si="44"/>
        <v>13449.382999999965</v>
      </c>
      <c r="AI23" s="15">
        <f t="shared" ref="AI23:AJ23" si="45">AI10+SUM(AI12:AI22)</f>
        <v>12609.844999999998</v>
      </c>
      <c r="AJ23" s="15">
        <f t="shared" si="45"/>
        <v>12128.593000000001</v>
      </c>
      <c r="AK23" s="15">
        <f>AK10+SUM(AK12:AK22)</f>
        <v>9636.7710000000006</v>
      </c>
      <c r="AL23" s="15">
        <f t="shared" ref="AL23" si="46">AL10+SUM(AL12:AL22)</f>
        <v>10186.339999999989</v>
      </c>
      <c r="AM23" s="15">
        <f>AM10+SUM(AM12:AM22)</f>
        <v>11940.305999999997</v>
      </c>
      <c r="AN23" s="15">
        <f t="shared" ref="AN23" si="47">AN10+SUM(AN12:AN22)</f>
        <v>13182.636999999992</v>
      </c>
      <c r="AO23" s="15">
        <f>AO10+SUM(AO12:AO22)</f>
        <v>10787.68</v>
      </c>
      <c r="AP23" s="15">
        <f t="shared" ref="AP23" si="48">AP10+SUM(AP12:AP22)</f>
        <v>8864.7300000000105</v>
      </c>
      <c r="AQ23" s="15">
        <f>AQ10+SUM(AQ12:AQ22)</f>
        <v>12214.791999999994</v>
      </c>
      <c r="AR23" s="15">
        <f t="shared" ref="AR23" si="49">AR10+SUM(AR12:AR22)</f>
        <v>10475.090000000011</v>
      </c>
      <c r="AS23" s="15">
        <f>AS10+SUM(AS12:AS22)</f>
        <v>10575.162999999993</v>
      </c>
      <c r="AT23" s="15">
        <f t="shared" ref="AT23" si="50">AT10+SUM(AT12:AT22)</f>
        <v>11418.51499999997</v>
      </c>
      <c r="AU23" s="15">
        <f>AU10+SUM(AU12:AU22)</f>
        <v>10908.529999999999</v>
      </c>
    </row>
    <row r="24" spans="2:47" s="16" customFormat="1" ht="13" x14ac:dyDescent="0.3">
      <c r="B24" s="17" t="s">
        <v>275</v>
      </c>
      <c r="C24" s="18">
        <f t="shared" ref="C24:I24" si="51">C23/C10</f>
        <v>0.20534695633422059</v>
      </c>
      <c r="D24" s="22">
        <f t="shared" si="51"/>
        <v>0.19805772634389457</v>
      </c>
      <c r="E24" s="18">
        <f t="shared" si="51"/>
        <v>0.22364168460298334</v>
      </c>
      <c r="F24" s="18">
        <f t="shared" si="51"/>
        <v>0.23779045280581662</v>
      </c>
      <c r="G24" s="18">
        <f t="shared" si="51"/>
        <v>0.2133763439220378</v>
      </c>
      <c r="H24" s="18">
        <f t="shared" si="51"/>
        <v>0.22422153823553972</v>
      </c>
      <c r="I24" s="18">
        <f t="shared" si="51"/>
        <v>0.30959503635048402</v>
      </c>
      <c r="J24" s="18">
        <f t="shared" ref="J24:K24" si="52">J23/J10</f>
        <v>0.24733818332811544</v>
      </c>
      <c r="K24" s="18">
        <f t="shared" si="52"/>
        <v>0.24794468077990076</v>
      </c>
      <c r="L24" s="18">
        <f t="shared" ref="L24" si="53">L23/L10</f>
        <v>0.25069344203420629</v>
      </c>
      <c r="M24" s="18"/>
      <c r="N24" s="9"/>
      <c r="O24" s="18">
        <f t="shared" ref="O24:AH24" si="54">O23/O10</f>
        <v>0.25488246050246971</v>
      </c>
      <c r="P24" s="18">
        <f t="shared" si="54"/>
        <v>0.24506425091231049</v>
      </c>
      <c r="Q24" s="18">
        <f t="shared" si="54"/>
        <v>0.23104114919728808</v>
      </c>
      <c r="R24" s="18">
        <f t="shared" si="54"/>
        <v>0.16722464334328765</v>
      </c>
      <c r="S24" s="18">
        <f t="shared" si="54"/>
        <v>0.28529365304964177</v>
      </c>
      <c r="T24" s="18">
        <f t="shared" si="54"/>
        <v>0.2363284475992157</v>
      </c>
      <c r="U24" s="18">
        <f t="shared" si="54"/>
        <v>0.23798676546380046</v>
      </c>
      <c r="V24" s="18">
        <f t="shared" si="54"/>
        <v>0.19434251393226776</v>
      </c>
      <c r="W24" s="18">
        <f t="shared" si="54"/>
        <v>0.2741379792535093</v>
      </c>
      <c r="X24" s="18">
        <f t="shared" si="54"/>
        <v>0.24248539010064601</v>
      </c>
      <c r="Y24" s="18">
        <f t="shared" si="54"/>
        <v>0.20086737552875722</v>
      </c>
      <c r="Z24" s="18">
        <f t="shared" si="54"/>
        <v>0.13792614009468399</v>
      </c>
      <c r="AA24" s="18">
        <f t="shared" si="54"/>
        <v>0.22624842617655655</v>
      </c>
      <c r="AB24" s="18">
        <f t="shared" si="54"/>
        <v>0.23239884238411662</v>
      </c>
      <c r="AC24" s="18">
        <f t="shared" si="54"/>
        <v>0.21342283535169221</v>
      </c>
      <c r="AD24" s="18">
        <f t="shared" si="54"/>
        <v>0.22478994280838679</v>
      </c>
      <c r="AE24" s="18">
        <f t="shared" si="54"/>
        <v>0.44424078990421634</v>
      </c>
      <c r="AF24" s="18">
        <f t="shared" si="54"/>
        <v>0.22754365469879803</v>
      </c>
      <c r="AG24" s="18">
        <f t="shared" si="54"/>
        <v>0.26668446558193271</v>
      </c>
      <c r="AH24" s="18">
        <f t="shared" si="54"/>
        <v>0.29991766492169697</v>
      </c>
      <c r="AI24" s="18">
        <f t="shared" ref="AI24:AL24" si="55">AI23/AI10</f>
        <v>0.28003017434391075</v>
      </c>
      <c r="AJ24" s="18">
        <f t="shared" si="55"/>
        <v>0.27258958910611936</v>
      </c>
      <c r="AK24" s="18">
        <f t="shared" si="55"/>
        <v>0.21769096838865437</v>
      </c>
      <c r="AL24" s="18">
        <f t="shared" si="55"/>
        <v>0.21966550024570813</v>
      </c>
      <c r="AM24" s="18">
        <f t="shared" ref="AM24:AP24" si="56">AM23/AM10</f>
        <v>0.26353857194270752</v>
      </c>
      <c r="AN24" s="18">
        <f t="shared" si="56"/>
        <v>0.29745807035579119</v>
      </c>
      <c r="AO24" s="18">
        <f t="shared" si="56"/>
        <v>0.23909427480109852</v>
      </c>
      <c r="AP24" s="18">
        <f t="shared" si="56"/>
        <v>0.19337628213579799</v>
      </c>
      <c r="AQ24" s="18">
        <f t="shared" ref="AQ24:AT24" si="57">AQ23/AQ10</f>
        <v>0.27915899651978893</v>
      </c>
      <c r="AR24" s="18">
        <f t="shared" si="57"/>
        <v>0.24097273288704593</v>
      </c>
      <c r="AS24" s="18">
        <f t="shared" si="57"/>
        <v>0.23836868889459298</v>
      </c>
      <c r="AT24" s="18">
        <f t="shared" si="57"/>
        <v>0.24477298308323636</v>
      </c>
      <c r="AU24" s="18">
        <f>AU23/AU10</f>
        <v>0.2386649919796881</v>
      </c>
    </row>
    <row r="25" spans="2:47" s="6" customFormat="1" ht="13" x14ac:dyDescent="0.3">
      <c r="B25" s="3" t="s">
        <v>276</v>
      </c>
      <c r="C25" s="19">
        <v>-4096.826</v>
      </c>
      <c r="D25" s="19">
        <v>-5251.692</v>
      </c>
      <c r="E25" s="19">
        <v>-6195.2250000000004</v>
      </c>
      <c r="F25" s="19">
        <v>-6802.8609999999999</v>
      </c>
      <c r="G25" s="19">
        <v>-7111.41</v>
      </c>
      <c r="H25" s="19">
        <v>-8740.7630000000008</v>
      </c>
      <c r="I25" s="19">
        <v>-10091.289000000001</v>
      </c>
      <c r="J25" s="19">
        <v>-12145.879000000001</v>
      </c>
      <c r="K25" s="19">
        <v>-14444.27</v>
      </c>
      <c r="L25" s="19">
        <v>-16456.490000000002</v>
      </c>
      <c r="M25" s="20"/>
      <c r="N25" s="9"/>
      <c r="O25" s="19">
        <v>-2373.0050000000001</v>
      </c>
      <c r="P25" s="19">
        <v>-1533.2059999999999</v>
      </c>
      <c r="Q25" s="19">
        <v>-1550.943</v>
      </c>
      <c r="R25" s="20">
        <f>E25-Q25-P25-O25</f>
        <v>-738.07099999999991</v>
      </c>
      <c r="S25" s="19">
        <v>-1797.252</v>
      </c>
      <c r="T25" s="19">
        <v>-1725.1790000000001</v>
      </c>
      <c r="U25" s="19">
        <v>-1670.25</v>
      </c>
      <c r="V25" s="20">
        <f>F25-U25-T25-S25</f>
        <v>-1610.1799999999998</v>
      </c>
      <c r="W25" s="19">
        <v>-1655.9</v>
      </c>
      <c r="X25" s="19">
        <v>-1690.463</v>
      </c>
      <c r="Y25" s="19">
        <v>-1830.308</v>
      </c>
      <c r="Z25" s="20">
        <f>G25-Y25-X25-W25</f>
        <v>-1934.739</v>
      </c>
      <c r="AA25" s="19">
        <v>-1873.403</v>
      </c>
      <c r="AB25" s="19">
        <v>-2026.395</v>
      </c>
      <c r="AC25" s="19">
        <v>-2357.9639999999999</v>
      </c>
      <c r="AD25" s="20">
        <f>H25-AC25-AB25-AA25</f>
        <v>-2483.0010000000002</v>
      </c>
      <c r="AE25" s="19">
        <v>-2422.9349999999999</v>
      </c>
      <c r="AF25" s="19">
        <v>-2161.8040000000001</v>
      </c>
      <c r="AG25" s="19">
        <v>-2542.7190000000001</v>
      </c>
      <c r="AH25" s="20">
        <f>I25-AG25-AF25-AE25</f>
        <v>-2963.8310000000006</v>
      </c>
      <c r="AI25" s="19">
        <v>-2841.4690000000001</v>
      </c>
      <c r="AJ25" s="19">
        <v>-2862.297</v>
      </c>
      <c r="AK25" s="19">
        <v>-3156.529</v>
      </c>
      <c r="AL25" s="20">
        <f>J25-AK25-AJ25-AI25</f>
        <v>-3285.5839999999998</v>
      </c>
      <c r="AM25" s="19">
        <v>-3279.7310000000002</v>
      </c>
      <c r="AN25" s="19">
        <v>-3437.259</v>
      </c>
      <c r="AO25" s="19">
        <v>-3794.0459999999998</v>
      </c>
      <c r="AP25" s="20">
        <f>K25-AO25-AN25-AM25</f>
        <v>-3933.2339999999999</v>
      </c>
      <c r="AQ25" s="19">
        <v>-3956.8919999999998</v>
      </c>
      <c r="AR25" s="259">
        <f>-7959.65-AQ25</f>
        <v>-4002.7579999999998</v>
      </c>
      <c r="AS25" s="259">
        <v>-4145.7160000000003</v>
      </c>
      <c r="AT25" s="20">
        <f>L25-AS25-AR25-AQ25</f>
        <v>-4351.1240000000016</v>
      </c>
      <c r="AU25" s="19">
        <v>-4381.9430000000002</v>
      </c>
    </row>
    <row r="26" spans="2:47" s="6" customFormat="1" ht="13" x14ac:dyDescent="0.3">
      <c r="B26" s="6" t="s">
        <v>277</v>
      </c>
      <c r="C26" s="15">
        <f t="shared" ref="C26" si="58">C23+C25</f>
        <v>21937.402000000002</v>
      </c>
      <c r="D26" s="15">
        <f t="shared" ref="D26:F26" si="59">D23+D25</f>
        <v>21541.702000000016</v>
      </c>
      <c r="E26" s="15">
        <f t="shared" si="59"/>
        <v>27613.315999999984</v>
      </c>
      <c r="F26" s="15">
        <f t="shared" si="59"/>
        <v>32827.375999999997</v>
      </c>
      <c r="G26" s="15">
        <f t="shared" ref="G26:H26" si="60">G23+G25</f>
        <v>27139.66299999999</v>
      </c>
      <c r="H26" s="15">
        <f t="shared" si="60"/>
        <v>29039.772000000019</v>
      </c>
      <c r="I26" s="15">
        <f t="shared" ref="I26:J26" si="61">I23+I25</f>
        <v>44100.45</v>
      </c>
      <c r="J26" s="15">
        <f t="shared" si="61"/>
        <v>32415.67</v>
      </c>
      <c r="K26" s="15">
        <f t="shared" ref="K26:L26" si="62">K23+K25</f>
        <v>30331.083000000002</v>
      </c>
      <c r="L26" s="15">
        <f t="shared" si="62"/>
        <v>28227.069999999967</v>
      </c>
      <c r="M26" s="15"/>
      <c r="N26" s="9"/>
      <c r="O26" s="15">
        <f t="shared" ref="O26" si="63">O23+O25</f>
        <v>7041.7479999999969</v>
      </c>
      <c r="P26" s="15">
        <f>P23+P25</f>
        <v>7658.7470000000012</v>
      </c>
      <c r="Q26" s="15">
        <f t="shared" ref="Q26" si="64">Q23+Q25</f>
        <v>7033.8040000000028</v>
      </c>
      <c r="R26" s="15">
        <f t="shared" ref="R26:V26" si="65">R23+R25</f>
        <v>5879.0169999999889</v>
      </c>
      <c r="S26" s="15">
        <f t="shared" si="65"/>
        <v>9795.9599999999955</v>
      </c>
      <c r="T26" s="15">
        <f t="shared" si="65"/>
        <v>7937.0980000000018</v>
      </c>
      <c r="U26" s="15">
        <f t="shared" si="65"/>
        <v>8300.6570000000065</v>
      </c>
      <c r="V26" s="15">
        <f t="shared" si="65"/>
        <v>6793.6610000000001</v>
      </c>
      <c r="W26" s="15">
        <f>W23+W25</f>
        <v>9636.2139999999981</v>
      </c>
      <c r="X26" s="15">
        <f t="shared" ref="X26:Z26" si="66">X23+X25</f>
        <v>7432.5110000000022</v>
      </c>
      <c r="Y26" s="15">
        <f t="shared" si="66"/>
        <v>6360.8380000000006</v>
      </c>
      <c r="Z26" s="15">
        <f t="shared" si="66"/>
        <v>3710.0999999999854</v>
      </c>
      <c r="AA26" s="15">
        <f>AA23+AA25</f>
        <v>7820.6829999999954</v>
      </c>
      <c r="AB26" s="15">
        <f t="shared" ref="AB26" si="67">AB23+AB25</f>
        <v>7632.7199999999975</v>
      </c>
      <c r="AC26" s="15">
        <f>AC23+AC25</f>
        <v>6551.2249999999985</v>
      </c>
      <c r="AD26" s="15">
        <f t="shared" ref="AD26" si="68">AD23+AD25</f>
        <v>7035.1440000000111</v>
      </c>
      <c r="AE26" s="15">
        <f>AE23+AE25</f>
        <v>16926.806000000004</v>
      </c>
      <c r="AF26" s="15">
        <f t="shared" ref="AF26" si="69">AF23+AF25</f>
        <v>7796.6420000000035</v>
      </c>
      <c r="AG26" s="15">
        <f>AG23+AG25</f>
        <v>8891.4500000000044</v>
      </c>
      <c r="AH26" s="15">
        <f t="shared" ref="AH26" si="70">AH23+AH25</f>
        <v>10485.551999999965</v>
      </c>
      <c r="AI26" s="15">
        <f>AI23+AI25</f>
        <v>9768.3759999999966</v>
      </c>
      <c r="AJ26" s="15">
        <f t="shared" ref="AJ26" si="71">AJ23+AJ25</f>
        <v>9266.2960000000003</v>
      </c>
      <c r="AK26" s="15">
        <f>AK23+AK25</f>
        <v>6480.2420000000002</v>
      </c>
      <c r="AL26" s="15">
        <f t="shared" ref="AL26" si="72">AL23+AL25</f>
        <v>6900.7559999999894</v>
      </c>
      <c r="AM26" s="15">
        <f>AM23+AM25</f>
        <v>8660.5749999999971</v>
      </c>
      <c r="AN26" s="15">
        <f t="shared" ref="AN26" si="73">AN23+AN25</f>
        <v>9745.3779999999915</v>
      </c>
      <c r="AO26" s="15">
        <f>AO23+AO25</f>
        <v>6993.634</v>
      </c>
      <c r="AP26" s="15">
        <f t="shared" ref="AP26" si="74">AP23+AP25</f>
        <v>4931.4960000000101</v>
      </c>
      <c r="AQ26" s="15">
        <f>AQ23+AQ25</f>
        <v>8257.8999999999942</v>
      </c>
      <c r="AR26" s="15">
        <f t="shared" ref="AR26" si="75">AR23+AR25</f>
        <v>6472.3320000000112</v>
      </c>
      <c r="AS26" s="15">
        <f>AS23+AS25</f>
        <v>6429.4469999999928</v>
      </c>
      <c r="AT26" s="15">
        <f t="shared" ref="AT26" si="76">AT23+AT25</f>
        <v>7067.3909999999687</v>
      </c>
      <c r="AU26" s="15">
        <f>AU23+AU25</f>
        <v>6526.5869999999986</v>
      </c>
    </row>
    <row r="27" spans="2:47" s="6" customFormat="1" ht="13" x14ac:dyDescent="0.3">
      <c r="B27" s="23" t="s">
        <v>278</v>
      </c>
      <c r="C27" s="19">
        <v>-5556.9650000000001</v>
      </c>
      <c r="D27" s="19">
        <v>-6005.42</v>
      </c>
      <c r="E27" s="19">
        <v>-7259.9849999999997</v>
      </c>
      <c r="F27" s="19">
        <v>-8488.5949999999993</v>
      </c>
      <c r="G27" s="19">
        <v>-8139.6019999999999</v>
      </c>
      <c r="H27" s="19">
        <v>-4903.5680000000002</v>
      </c>
      <c r="I27" s="19">
        <v>-9696.5329999999994</v>
      </c>
      <c r="J27" s="19">
        <v>-7853.6639999999998</v>
      </c>
      <c r="K27" s="19">
        <v>-6919.7309999999998</v>
      </c>
      <c r="L27" s="19">
        <v>-5593.0630000000001</v>
      </c>
      <c r="M27" s="20"/>
      <c r="N27" s="9"/>
      <c r="O27" s="19">
        <v>-1850.9570000000001</v>
      </c>
      <c r="P27" s="19">
        <v>-1705.047</v>
      </c>
      <c r="Q27" s="19">
        <v>-2054.8969999999999</v>
      </c>
      <c r="R27" s="20">
        <f>E27-Q27-P27-O27</f>
        <v>-1649.0839999999996</v>
      </c>
      <c r="S27" s="19">
        <v>-2062.5500000000002</v>
      </c>
      <c r="T27" s="19">
        <v>-2100.3310000000001</v>
      </c>
      <c r="U27" s="19">
        <v>-2486.62</v>
      </c>
      <c r="V27" s="20">
        <f>F27-U27-T27-S27</f>
        <v>-1839.0939999999991</v>
      </c>
      <c r="W27" s="19">
        <v>-2162.4209999999998</v>
      </c>
      <c r="X27" s="19">
        <v>-2687.9810000000002</v>
      </c>
      <c r="Y27" s="19">
        <v>-1807.7619999999999</v>
      </c>
      <c r="Z27" s="20">
        <f>G27-Y27-X27-W27</f>
        <v>-1481.4380000000001</v>
      </c>
      <c r="AA27" s="19">
        <v>-1036.8409999999999</v>
      </c>
      <c r="AB27" s="19">
        <v>-1438.2940000000001</v>
      </c>
      <c r="AC27" s="19">
        <v>-1606.394</v>
      </c>
      <c r="AD27" s="20">
        <f>H27-AC27-AB27-AA27</f>
        <v>-822.03899999999999</v>
      </c>
      <c r="AE27" s="19">
        <v>-2155.1439999999998</v>
      </c>
      <c r="AF27" s="19">
        <v>-650.37599999999998</v>
      </c>
      <c r="AG27" s="19">
        <v>-2121.0410000000002</v>
      </c>
      <c r="AH27" s="20">
        <f>I27-AG27-AF27-AE27</f>
        <v>-4769.9719999999998</v>
      </c>
      <c r="AI27" s="19">
        <v>-2393.5830000000001</v>
      </c>
      <c r="AJ27" s="19">
        <v>-2897.9769999999999</v>
      </c>
      <c r="AK27" s="19">
        <v>-1095.1120000000001</v>
      </c>
      <c r="AL27" s="20">
        <f>J27-AK27-AJ27-AI27</f>
        <v>-1466.9919999999997</v>
      </c>
      <c r="AM27" s="19">
        <v>-1804.15</v>
      </c>
      <c r="AN27" s="19">
        <v>-2089.5720000000001</v>
      </c>
      <c r="AO27" s="19">
        <v>-1002.599</v>
      </c>
      <c r="AP27" s="20">
        <f>K27-AO27-AN27-AM27</f>
        <v>-2023.4099999999994</v>
      </c>
      <c r="AQ27" s="19">
        <v>-857.72699999999998</v>
      </c>
      <c r="AR27" s="259">
        <f>-1873.471-AQ27</f>
        <v>-1015.744</v>
      </c>
      <c r="AS27" s="259">
        <v>-831.58399999999995</v>
      </c>
      <c r="AT27" s="20">
        <f>L27-AS27-AR27-AQ27</f>
        <v>-2888.0080000000003</v>
      </c>
      <c r="AU27" s="19">
        <v>-936.85400000000004</v>
      </c>
    </row>
    <row r="28" spans="2:47" s="6" customFormat="1" ht="13" x14ac:dyDescent="0.3">
      <c r="B28" s="23" t="s">
        <v>279</v>
      </c>
      <c r="C28" s="19">
        <v>-491.93799999999999</v>
      </c>
      <c r="D28" s="19">
        <v>-452.06900000000002</v>
      </c>
      <c r="E28" s="19">
        <v>-1727.3879999999999</v>
      </c>
      <c r="F28" s="19">
        <v>-2055.0239999999999</v>
      </c>
      <c r="G28" s="19">
        <v>-377.01600000000002</v>
      </c>
      <c r="H28" s="19">
        <v>-412.34699999999998</v>
      </c>
      <c r="I28" s="19">
        <v>200.13200000000001</v>
      </c>
      <c r="J28" s="19">
        <f>16.004</f>
        <v>16.004000000000001</v>
      </c>
      <c r="K28" s="19">
        <v>874.41700000000003</v>
      </c>
      <c r="L28" s="19">
        <v>628.053</v>
      </c>
      <c r="M28" s="20"/>
      <c r="N28" s="9"/>
      <c r="O28" s="19">
        <v>-511.02499999999998</v>
      </c>
      <c r="P28" s="19">
        <v>-668.43899999999996</v>
      </c>
      <c r="Q28" s="19">
        <v>-161.029</v>
      </c>
      <c r="R28" s="20">
        <f>E28-Q28-P28-O28</f>
        <v>-386.89499999999998</v>
      </c>
      <c r="S28" s="19">
        <v>-1003.628</v>
      </c>
      <c r="T28" s="19">
        <v>-520.03800000000001</v>
      </c>
      <c r="U28" s="19">
        <v>-176.77500000000001</v>
      </c>
      <c r="V28" s="20">
        <f>F28-U28-T28-S28</f>
        <v>-354.58299999999974</v>
      </c>
      <c r="W28" s="19">
        <v>-879.21199999999999</v>
      </c>
      <c r="X28" s="19">
        <v>155.64400000000001</v>
      </c>
      <c r="Y28" s="19">
        <v>-159.71899999999999</v>
      </c>
      <c r="Z28" s="20">
        <f>G28-Y28-X28-W28</f>
        <v>506.27099999999996</v>
      </c>
      <c r="AA28" s="19">
        <v>552.66800000000001</v>
      </c>
      <c r="AB28" s="19">
        <v>-492.63099999999997</v>
      </c>
      <c r="AC28" s="19">
        <v>-24.114999999999998</v>
      </c>
      <c r="AD28" s="20">
        <f>H28-AC28-AB28-AA28</f>
        <v>-448.26900000000001</v>
      </c>
      <c r="AE28" s="19">
        <v>-1109.6099999999999</v>
      </c>
      <c r="AF28" s="19">
        <v>-1126.932</v>
      </c>
      <c r="AG28" s="19">
        <v>47.735999999999997</v>
      </c>
      <c r="AH28" s="20">
        <f>I28-AG28-AF28-AE28</f>
        <v>2388.9380000000001</v>
      </c>
      <c r="AI28" s="19">
        <v>-102.465</v>
      </c>
      <c r="AJ28" s="19">
        <v>734.58</v>
      </c>
      <c r="AK28" s="19">
        <v>-396.358</v>
      </c>
      <c r="AL28" s="20">
        <f>J28-AK28-AJ28-AI28</f>
        <v>-219.75300000000001</v>
      </c>
      <c r="AM28" s="19">
        <v>-60.491</v>
      </c>
      <c r="AN28" s="19">
        <v>85.144000000000005</v>
      </c>
      <c r="AO28" s="19">
        <v>28.428999999999998</v>
      </c>
      <c r="AP28" s="20">
        <f>K28-AO28-AN28-AM28</f>
        <v>821.33500000000004</v>
      </c>
      <c r="AQ28" s="19">
        <v>-424.80900000000003</v>
      </c>
      <c r="AR28" s="259">
        <f>-419.935-AQ28</f>
        <v>4.8740000000000236</v>
      </c>
      <c r="AS28" s="259">
        <v>-343.86</v>
      </c>
      <c r="AT28" s="20">
        <f>L28-AS28-AR28-AQ28</f>
        <v>1391.848</v>
      </c>
      <c r="AU28" s="19">
        <v>-35.99</v>
      </c>
    </row>
    <row r="29" spans="2:47" s="6" customFormat="1" ht="13" x14ac:dyDescent="0.3">
      <c r="B29" s="6" t="s">
        <v>280</v>
      </c>
      <c r="C29" s="15">
        <f t="shared" ref="C29:F29" si="77">C26+C28+C27</f>
        <v>15888.499000000003</v>
      </c>
      <c r="D29" s="15">
        <f t="shared" si="77"/>
        <v>15084.213000000016</v>
      </c>
      <c r="E29" s="15">
        <f t="shared" si="77"/>
        <v>18625.942999999985</v>
      </c>
      <c r="F29" s="15">
        <f t="shared" si="77"/>
        <v>22283.756999999998</v>
      </c>
      <c r="G29" s="15">
        <f t="shared" ref="G29:H29" si="78">G26+G28+G27</f>
        <v>18623.044999999991</v>
      </c>
      <c r="H29" s="15">
        <f t="shared" si="78"/>
        <v>23723.857000000018</v>
      </c>
      <c r="I29" s="15">
        <f t="shared" ref="I29:J29" si="79">I26+I28+I27</f>
        <v>34604.048999999999</v>
      </c>
      <c r="J29" s="15">
        <f t="shared" si="79"/>
        <v>24578.01</v>
      </c>
      <c r="K29" s="15">
        <f t="shared" ref="K29:L29" si="80">K26+K28+K27</f>
        <v>24285.769000000004</v>
      </c>
      <c r="L29" s="15">
        <f t="shared" si="80"/>
        <v>23262.059999999969</v>
      </c>
      <c r="M29" s="15"/>
      <c r="N29" s="9"/>
      <c r="O29" s="15">
        <f t="shared" ref="O29:Q29" si="81">O26+O28+O27</f>
        <v>4679.7659999999969</v>
      </c>
      <c r="P29" s="15">
        <f t="shared" si="81"/>
        <v>5285.2610000000004</v>
      </c>
      <c r="Q29" s="15">
        <f t="shared" si="81"/>
        <v>4817.8780000000033</v>
      </c>
      <c r="R29" s="15">
        <f t="shared" ref="R29:V29" si="82">R26+R28+R27</f>
        <v>3843.0379999999886</v>
      </c>
      <c r="S29" s="15">
        <f t="shared" si="82"/>
        <v>6729.7819999999947</v>
      </c>
      <c r="T29" s="15">
        <f t="shared" si="82"/>
        <v>5316.7290000000012</v>
      </c>
      <c r="U29" s="15">
        <f t="shared" si="82"/>
        <v>5637.262000000007</v>
      </c>
      <c r="V29" s="15">
        <f t="shared" si="82"/>
        <v>4599.9840000000013</v>
      </c>
      <c r="W29" s="15">
        <f>W26+W28+W27</f>
        <v>6594.5809999999983</v>
      </c>
      <c r="X29" s="15">
        <f>X26+X28+X27</f>
        <v>4900.1740000000027</v>
      </c>
      <c r="Y29" s="15">
        <f t="shared" ref="Y29:Z29" si="83">Y26+Y28+Y27</f>
        <v>4393.3570000000009</v>
      </c>
      <c r="Z29" s="15">
        <f t="shared" si="83"/>
        <v>2734.9329999999854</v>
      </c>
      <c r="AA29" s="15">
        <f>AA26+AA28+AA27</f>
        <v>7336.5099999999948</v>
      </c>
      <c r="AB29" s="15">
        <f>AB26+AB28+AB27</f>
        <v>5701.7949999999973</v>
      </c>
      <c r="AC29" s="15">
        <f>AC26+AC28+AC27</f>
        <v>4920.7159999999985</v>
      </c>
      <c r="AD29" s="15">
        <f t="shared" ref="AD29" si="84">AD26+AD28+AD27</f>
        <v>5764.8360000000112</v>
      </c>
      <c r="AE29" s="15">
        <f>AE26+AE28+AE27</f>
        <v>13662.052000000003</v>
      </c>
      <c r="AF29" s="15">
        <f>AF26+AF28+AF27</f>
        <v>6019.3340000000035</v>
      </c>
      <c r="AG29" s="15">
        <f>AG26+AG28+AG27</f>
        <v>6818.145000000005</v>
      </c>
      <c r="AH29" s="15">
        <f t="shared" ref="AH29" si="85">AH26+AH28+AH27</f>
        <v>8104.5179999999655</v>
      </c>
      <c r="AI29" s="15">
        <f>AI26+AI28+AI27</f>
        <v>7272.3279999999959</v>
      </c>
      <c r="AJ29" s="15">
        <f>AJ26+AJ28+AJ27</f>
        <v>7102.8990000000003</v>
      </c>
      <c r="AK29" s="15">
        <f>AK26+AK28+AK27</f>
        <v>4988.7719999999999</v>
      </c>
      <c r="AL29" s="15">
        <f t="shared" ref="AL29" si="86">AL26+AL28+AL27</f>
        <v>5214.0109999999895</v>
      </c>
      <c r="AM29" s="15">
        <f>AM26+AM28+AM27</f>
        <v>6795.9339999999975</v>
      </c>
      <c r="AN29" s="15">
        <f>AN26+AN28+AN27</f>
        <v>7740.9499999999916</v>
      </c>
      <c r="AO29" s="15">
        <f>AO26+AO28+AO27</f>
        <v>6019.4639999999999</v>
      </c>
      <c r="AP29" s="15">
        <f t="shared" ref="AP29" si="87">AP26+AP28+AP27</f>
        <v>3729.4210000000107</v>
      </c>
      <c r="AQ29" s="15">
        <f>AQ26+AQ28+AQ27</f>
        <v>6975.3639999999941</v>
      </c>
      <c r="AR29" s="15">
        <f>AR26+AR28+AR27</f>
        <v>5461.4620000000114</v>
      </c>
      <c r="AS29" s="15">
        <f>AS26+AS28+AS27</f>
        <v>5254.0029999999933</v>
      </c>
      <c r="AT29" s="15">
        <f t="shared" ref="AT29" si="88">AT26+AT28+AT27</f>
        <v>5571.2309999999688</v>
      </c>
      <c r="AU29" s="15">
        <f>AU26+AU28+AU27</f>
        <v>5553.7429999999986</v>
      </c>
    </row>
    <row r="30" spans="2:47" s="16" customFormat="1" ht="13" x14ac:dyDescent="0.3">
      <c r="B30" s="17" t="s">
        <v>275</v>
      </c>
      <c r="C30" s="18">
        <f t="shared" ref="C30:I30" si="89">C29/C10</f>
        <v>0.12532174606327132</v>
      </c>
      <c r="D30" s="18">
        <f t="shared" si="89"/>
        <v>0.11150304177466351</v>
      </c>
      <c r="E30" s="18">
        <f t="shared" si="89"/>
        <v>0.12320961350681013</v>
      </c>
      <c r="F30" s="18">
        <f t="shared" si="89"/>
        <v>0.13370761994799038</v>
      </c>
      <c r="G30" s="18">
        <f t="shared" si="89"/>
        <v>0.11601730710146178</v>
      </c>
      <c r="H30" s="18">
        <f t="shared" si="89"/>
        <v>0.14079736323003308</v>
      </c>
      <c r="I30" s="18">
        <f t="shared" si="89"/>
        <v>0.1976914194989928</v>
      </c>
      <c r="J30" s="18">
        <f t="shared" ref="J30:K30" si="90">J29/J10</f>
        <v>0.13641986150930827</v>
      </c>
      <c r="K30" s="18">
        <f t="shared" si="90"/>
        <v>0.1344830769329593</v>
      </c>
      <c r="L30" s="18">
        <f t="shared" ref="L30" si="91">L29/L10</f>
        <v>0.13050987634392214</v>
      </c>
      <c r="M30" s="18"/>
      <c r="N30" s="9"/>
      <c r="O30" s="18">
        <f t="shared" ref="O30:AH30" si="92">O29/O10</f>
        <v>0.12669374041526105</v>
      </c>
      <c r="P30" s="18">
        <f t="shared" si="92"/>
        <v>0.14090895893843766</v>
      </c>
      <c r="Q30" s="18">
        <f t="shared" si="92"/>
        <v>0.1296634682201272</v>
      </c>
      <c r="R30" s="18">
        <f t="shared" si="92"/>
        <v>9.711985980913368E-2</v>
      </c>
      <c r="S30" s="18">
        <f t="shared" si="92"/>
        <v>0.16561105679838542</v>
      </c>
      <c r="T30" s="18">
        <f t="shared" si="92"/>
        <v>0.13004122225803819</v>
      </c>
      <c r="U30" s="18">
        <f t="shared" si="92"/>
        <v>0.13455082365646331</v>
      </c>
      <c r="V30" s="18">
        <f t="shared" si="92"/>
        <v>0.10637665022555864</v>
      </c>
      <c r="W30" s="18">
        <f t="shared" si="92"/>
        <v>0.16009625030030572</v>
      </c>
      <c r="X30" s="18">
        <f t="shared" si="92"/>
        <v>0.13024487452787253</v>
      </c>
      <c r="Y30" s="18">
        <f t="shared" si="92"/>
        <v>0.10773609582235433</v>
      </c>
      <c r="Z30" s="18">
        <f t="shared" si="92"/>
        <v>6.6825422675044113E-2</v>
      </c>
      <c r="AA30" s="18">
        <f t="shared" si="92"/>
        <v>0.17122540909257133</v>
      </c>
      <c r="AB30" s="18">
        <f t="shared" si="92"/>
        <v>0.13718550379735037</v>
      </c>
      <c r="AC30" s="18">
        <f t="shared" si="92"/>
        <v>0.11787752630238706</v>
      </c>
      <c r="AD30" s="18">
        <f t="shared" si="92"/>
        <v>0.13614807872119308</v>
      </c>
      <c r="AE30" s="18">
        <f t="shared" si="92"/>
        <v>0.31366005220392762</v>
      </c>
      <c r="AF30" s="18">
        <f t="shared" si="92"/>
        <v>0.13753764967071519</v>
      </c>
      <c r="AG30" s="18">
        <f t="shared" si="92"/>
        <v>0.15902278124323047</v>
      </c>
      <c r="AH30" s="18">
        <f t="shared" si="92"/>
        <v>0.18072859653679707</v>
      </c>
      <c r="AI30" s="18">
        <f t="shared" ref="AI30:AL30" si="93">AI29/AI10</f>
        <v>0.16149851784269378</v>
      </c>
      <c r="AJ30" s="18">
        <f t="shared" si="93"/>
        <v>0.15963733962152624</v>
      </c>
      <c r="AK30" s="18">
        <f t="shared" si="93"/>
        <v>0.11269445001341258</v>
      </c>
      <c r="AL30" s="18">
        <f t="shared" si="93"/>
        <v>0.11243865162576783</v>
      </c>
      <c r="AM30" s="18">
        <f t="shared" ref="AM30:AP30" si="94">AM29/AM10</f>
        <v>0.14999538046821345</v>
      </c>
      <c r="AN30" s="18">
        <f t="shared" si="94"/>
        <v>0.17466976066477904</v>
      </c>
      <c r="AO30" s="18">
        <f t="shared" si="94"/>
        <v>0.13341324360486403</v>
      </c>
      <c r="AP30" s="18">
        <f t="shared" si="94"/>
        <v>8.1354036445460964E-2</v>
      </c>
      <c r="AQ30" s="18">
        <f t="shared" ref="AQ30:AT30" si="95">AQ29/AQ10</f>
        <v>0.15941619100843143</v>
      </c>
      <c r="AR30" s="18">
        <f t="shared" si="95"/>
        <v>0.12563743353983145</v>
      </c>
      <c r="AS30" s="18">
        <f t="shared" si="95"/>
        <v>0.11842747072156311</v>
      </c>
      <c r="AT30" s="18">
        <f t="shared" si="95"/>
        <v>0.11942768664014523</v>
      </c>
      <c r="AU30" s="18">
        <f>AU29/AU10</f>
        <v>0.12150895020247905</v>
      </c>
    </row>
    <row r="31" spans="2:47" s="16" customFormat="1" ht="13" x14ac:dyDescent="0.3">
      <c r="B31" s="24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9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</row>
    <row r="32" spans="2:47" s="26" customFormat="1" ht="13" x14ac:dyDescent="0.3">
      <c r="B32" s="25" t="s">
        <v>281</v>
      </c>
      <c r="C32" s="213">
        <f>C27/C26</f>
        <v>-0.25331007746496143</v>
      </c>
      <c r="D32" s="213">
        <f t="shared" ref="D32:F32" si="96">D27/D26</f>
        <v>-0.27878112880774208</v>
      </c>
      <c r="E32" s="213">
        <f t="shared" si="96"/>
        <v>-0.26291608729643351</v>
      </c>
      <c r="F32" s="213">
        <f t="shared" si="96"/>
        <v>-0.25858280600922839</v>
      </c>
      <c r="G32" s="213">
        <f t="shared" ref="G32:H32" si="97">G27/G26</f>
        <v>-0.29991536740894692</v>
      </c>
      <c r="H32" s="213">
        <f t="shared" si="97"/>
        <v>-0.16885697311948583</v>
      </c>
      <c r="I32" s="213">
        <f t="shared" ref="I32:J32" si="98">I27/I26</f>
        <v>-0.21987378813594874</v>
      </c>
      <c r="J32" s="213">
        <f t="shared" si="98"/>
        <v>-0.24227986032681109</v>
      </c>
      <c r="K32" s="213">
        <f t="shared" ref="K32:L32" si="99">K27/K26</f>
        <v>-0.22813992497399446</v>
      </c>
      <c r="L32" s="213">
        <f t="shared" si="99"/>
        <v>-0.19814536188134321</v>
      </c>
      <c r="M32" s="213"/>
      <c r="N32" s="9"/>
      <c r="O32" s="213">
        <f t="shared" ref="O32:AL32" si="100">O27/O26</f>
        <v>-0.26285476276629055</v>
      </c>
      <c r="P32" s="213">
        <f t="shared" si="100"/>
        <v>-0.22262740889599822</v>
      </c>
      <c r="Q32" s="213">
        <f t="shared" si="100"/>
        <v>-0.29214589999948803</v>
      </c>
      <c r="R32" s="213">
        <f t="shared" si="100"/>
        <v>-0.28050335625836814</v>
      </c>
      <c r="S32" s="213">
        <f t="shared" si="100"/>
        <v>-0.21055108432455841</v>
      </c>
      <c r="T32" s="213">
        <f t="shared" si="100"/>
        <v>-0.26462203188117367</v>
      </c>
      <c r="U32" s="213">
        <f t="shared" si="100"/>
        <v>-0.29956905820828372</v>
      </c>
      <c r="V32" s="213">
        <f t="shared" si="100"/>
        <v>-0.27070735498871656</v>
      </c>
      <c r="W32" s="213">
        <f t="shared" si="100"/>
        <v>-0.22440566388417693</v>
      </c>
      <c r="X32" s="213">
        <f t="shared" si="100"/>
        <v>-0.36165180246621892</v>
      </c>
      <c r="Y32" s="213">
        <f t="shared" si="100"/>
        <v>-0.28420186145284626</v>
      </c>
      <c r="Z32" s="213">
        <f t="shared" si="100"/>
        <v>-0.39929867119484808</v>
      </c>
      <c r="AA32" s="213">
        <f t="shared" si="100"/>
        <v>-0.13257678389470592</v>
      </c>
      <c r="AB32" s="213">
        <f t="shared" si="100"/>
        <v>-0.18843793562452188</v>
      </c>
      <c r="AC32" s="213">
        <f t="shared" si="100"/>
        <v>-0.24520513339108341</v>
      </c>
      <c r="AD32" s="213">
        <f t="shared" si="100"/>
        <v>-0.11684750162896433</v>
      </c>
      <c r="AE32" s="213">
        <f t="shared" si="100"/>
        <v>-0.12732136234089286</v>
      </c>
      <c r="AF32" s="213">
        <f t="shared" si="100"/>
        <v>-8.3417450743538013E-2</v>
      </c>
      <c r="AG32" s="213">
        <f t="shared" si="100"/>
        <v>-0.23854838074779694</v>
      </c>
      <c r="AH32" s="213">
        <f t="shared" si="100"/>
        <v>-0.45490900240636029</v>
      </c>
      <c r="AI32" s="213">
        <f t="shared" si="100"/>
        <v>-0.24503387257001583</v>
      </c>
      <c r="AJ32" s="213">
        <f t="shared" si="100"/>
        <v>-0.31274384068887934</v>
      </c>
      <c r="AK32" s="213">
        <f t="shared" si="100"/>
        <v>-0.16899245429414519</v>
      </c>
      <c r="AL32" s="213">
        <f t="shared" si="100"/>
        <v>-0.21258424439293347</v>
      </c>
      <c r="AM32" s="213">
        <f t="shared" ref="AM32:AS32" si="101">AM27/AM26</f>
        <v>-0.20831757706618795</v>
      </c>
      <c r="AN32" s="213">
        <f t="shared" si="101"/>
        <v>-0.21441672144477125</v>
      </c>
      <c r="AO32" s="213">
        <f t="shared" si="101"/>
        <v>-0.14335880316299079</v>
      </c>
      <c r="AP32" s="213">
        <f t="shared" si="101"/>
        <v>-0.41030348600100158</v>
      </c>
      <c r="AQ32" s="213">
        <f t="shared" si="101"/>
        <v>-0.1038674481405685</v>
      </c>
      <c r="AR32" s="213">
        <f t="shared" si="101"/>
        <v>-0.15693632526885182</v>
      </c>
      <c r="AS32" s="213">
        <f t="shared" si="101"/>
        <v>-0.12933989501740989</v>
      </c>
      <c r="AT32" s="213">
        <f>AT27/AT26</f>
        <v>-0.40863849191307133</v>
      </c>
      <c r="AU32" s="213">
        <f>AU27/AU26</f>
        <v>-0.14354424448796901</v>
      </c>
    </row>
    <row r="33" spans="2:47" s="16" customFormat="1" ht="13.5" customHeight="1" x14ac:dyDescent="0.3">
      <c r="B33" s="25" t="s">
        <v>282</v>
      </c>
      <c r="C33" s="22">
        <f t="shared" ref="C33:K33" si="102">C28/C26</f>
        <v>-2.2424624392624066E-2</v>
      </c>
      <c r="D33" s="22">
        <f t="shared" si="102"/>
        <v>-2.0985760549468175E-2</v>
      </c>
      <c r="E33" s="22">
        <f t="shared" si="102"/>
        <v>-6.2556340571338881E-2</v>
      </c>
      <c r="F33" s="22">
        <f t="shared" si="102"/>
        <v>-6.2600921864726572E-2</v>
      </c>
      <c r="G33" s="22">
        <f t="shared" si="102"/>
        <v>-1.3891697918282927E-2</v>
      </c>
      <c r="H33" s="22">
        <f t="shared" si="102"/>
        <v>-1.4199388342305157E-2</v>
      </c>
      <c r="I33" s="22">
        <f t="shared" si="102"/>
        <v>4.5380942824846462E-3</v>
      </c>
      <c r="J33" s="22">
        <f t="shared" si="102"/>
        <v>4.9371183751562139E-4</v>
      </c>
      <c r="K33" s="22">
        <f t="shared" si="102"/>
        <v>2.8829072802972446E-2</v>
      </c>
      <c r="L33" s="22">
        <f t="shared" ref="L33:M33" si="103">L28/L26</f>
        <v>2.2250024533187494E-2</v>
      </c>
      <c r="M33" s="22"/>
      <c r="N33" s="9"/>
      <c r="O33" s="22">
        <f t="shared" ref="O33:AL33" si="104">O28/O26</f>
        <v>-7.2570759419394185E-2</v>
      </c>
      <c r="P33" s="22">
        <f t="shared" si="104"/>
        <v>-8.7277853675020195E-2</v>
      </c>
      <c r="Q33" s="22">
        <f t="shared" si="104"/>
        <v>-2.2893586457626618E-2</v>
      </c>
      <c r="R33" s="22">
        <f t="shared" si="104"/>
        <v>-6.5809471209217582E-2</v>
      </c>
      <c r="S33" s="22">
        <f t="shared" si="104"/>
        <v>-0.10245325624032769</v>
      </c>
      <c r="T33" s="22">
        <f t="shared" si="104"/>
        <v>-6.5519916725231303E-2</v>
      </c>
      <c r="U33" s="22">
        <f t="shared" si="104"/>
        <v>-2.1296507011432934E-2</v>
      </c>
      <c r="V33" s="22">
        <f t="shared" si="104"/>
        <v>-5.2193213644307498E-2</v>
      </c>
      <c r="W33" s="22">
        <f t="shared" si="104"/>
        <v>-9.1240397940518983E-2</v>
      </c>
      <c r="X33" s="22">
        <f t="shared" si="104"/>
        <v>2.0940971362168177E-2</v>
      </c>
      <c r="Y33" s="22">
        <f t="shared" si="104"/>
        <v>-2.5109741829614271E-2</v>
      </c>
      <c r="Z33" s="22">
        <f t="shared" si="104"/>
        <v>0.13645750788388505</v>
      </c>
      <c r="AA33" s="22">
        <f t="shared" si="104"/>
        <v>7.0667485180002862E-2</v>
      </c>
      <c r="AB33" s="22">
        <f t="shared" si="104"/>
        <v>-6.4541998134347925E-2</v>
      </c>
      <c r="AC33" s="22">
        <f t="shared" si="104"/>
        <v>-3.6809909597060098E-3</v>
      </c>
      <c r="AD33" s="22">
        <f t="shared" si="104"/>
        <v>-6.3718525164516787E-2</v>
      </c>
      <c r="AE33" s="22">
        <f t="shared" si="104"/>
        <v>-6.5553418642595632E-2</v>
      </c>
      <c r="AF33" s="22">
        <f t="shared" si="104"/>
        <v>-0.14454068815779916</v>
      </c>
      <c r="AG33" s="22">
        <f t="shared" si="104"/>
        <v>5.3687531280049907E-3</v>
      </c>
      <c r="AH33" s="22">
        <f t="shared" si="104"/>
        <v>0.22783140076936417</v>
      </c>
      <c r="AI33" s="22">
        <f t="shared" si="104"/>
        <v>-1.048946109363522E-2</v>
      </c>
      <c r="AJ33" s="22">
        <f t="shared" si="104"/>
        <v>7.9274393997342624E-2</v>
      </c>
      <c r="AK33" s="22">
        <f t="shared" si="104"/>
        <v>-6.1164073810823727E-2</v>
      </c>
      <c r="AL33" s="22">
        <f t="shared" si="104"/>
        <v>-3.1844771790221299E-2</v>
      </c>
      <c r="AM33" s="22">
        <f t="shared" ref="AM33:AS33" si="105">AM28/AM26</f>
        <v>-6.9846401653469916E-3</v>
      </c>
      <c r="AN33" s="22">
        <f t="shared" si="105"/>
        <v>8.7368596682447907E-3</v>
      </c>
      <c r="AO33" s="22">
        <f t="shared" si="105"/>
        <v>4.0649825255367955E-3</v>
      </c>
      <c r="AP33" s="22">
        <f t="shared" si="105"/>
        <v>0.16654885251858631</v>
      </c>
      <c r="AQ33" s="22">
        <f t="shared" si="105"/>
        <v>-5.1442739679579595E-2</v>
      </c>
      <c r="AR33" s="22">
        <f t="shared" si="105"/>
        <v>7.5305160489295281E-4</v>
      </c>
      <c r="AS33" s="22">
        <f t="shared" si="105"/>
        <v>-5.3482049078248939E-2</v>
      </c>
      <c r="AT33" s="22">
        <f>AT28/AT26</f>
        <v>0.19693943634928449</v>
      </c>
      <c r="AU33" s="22">
        <f>AU28/AU26</f>
        <v>-5.5143676166425131E-3</v>
      </c>
    </row>
    <row r="34" spans="2:47" s="16" customFormat="1" ht="13.5" customHeight="1" x14ac:dyDescent="0.3">
      <c r="B34" s="24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9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</row>
    <row r="35" spans="2:47" s="6" customFormat="1" ht="13.5" customHeight="1" x14ac:dyDescent="0.3">
      <c r="B35" s="358" t="s">
        <v>283</v>
      </c>
      <c r="C35" s="327"/>
      <c r="D35" s="327"/>
      <c r="E35" s="327"/>
      <c r="F35" s="327"/>
      <c r="G35" s="327"/>
      <c r="H35" s="327"/>
      <c r="I35" s="327"/>
      <c r="J35" s="327"/>
      <c r="K35" s="327"/>
      <c r="L35" s="327"/>
      <c r="M35" s="327"/>
      <c r="N35" s="9"/>
      <c r="O35" s="327"/>
      <c r="P35" s="327"/>
      <c r="Q35" s="327"/>
      <c r="R35" s="327"/>
      <c r="S35" s="327"/>
      <c r="T35" s="327"/>
      <c r="U35" s="327"/>
      <c r="V35" s="327"/>
      <c r="W35" s="327"/>
      <c r="X35" s="327"/>
      <c r="Y35" s="327"/>
      <c r="Z35" s="327"/>
      <c r="AA35" s="327"/>
      <c r="AB35" s="327"/>
      <c r="AC35" s="327"/>
      <c r="AD35" s="327"/>
      <c r="AE35" s="327"/>
      <c r="AF35" s="327"/>
      <c r="AG35" s="327"/>
      <c r="AH35" s="327"/>
      <c r="AI35" s="327"/>
      <c r="AJ35" s="327"/>
      <c r="AK35" s="327"/>
      <c r="AL35" s="327"/>
      <c r="AM35" s="327"/>
      <c r="AN35" s="327"/>
      <c r="AO35" s="327"/>
      <c r="AP35" s="327"/>
      <c r="AQ35" s="327"/>
      <c r="AR35" s="327"/>
      <c r="AS35" s="327"/>
      <c r="AT35" s="327"/>
      <c r="AU35" s="327"/>
    </row>
    <row r="36" spans="2:47" s="16" customFormat="1" ht="13.5" customHeight="1" x14ac:dyDescent="0.3">
      <c r="B36" s="29" t="str">
        <f>B18</f>
        <v>Cost of inventories sold</v>
      </c>
      <c r="C36" s="30">
        <f t="shared" ref="C36:M36" si="106">-C18/C7</f>
        <v>9.8800160078942517E-2</v>
      </c>
      <c r="D36" s="30">
        <f t="shared" si="106"/>
        <v>0.10174231041639666</v>
      </c>
      <c r="E36" s="30">
        <f t="shared" si="106"/>
        <v>0.14032188523210218</v>
      </c>
      <c r="F36" s="30">
        <f t="shared" si="106"/>
        <v>0.12452062685231323</v>
      </c>
      <c r="G36" s="30">
        <f t="shared" si="106"/>
        <v>0.11207326408027034</v>
      </c>
      <c r="H36" s="30">
        <f t="shared" si="106"/>
        <v>0.11367037942870799</v>
      </c>
      <c r="I36" s="30">
        <f t="shared" si="106"/>
        <v>0.11198728618524695</v>
      </c>
      <c r="J36" s="30">
        <f t="shared" si="106"/>
        <v>0.11221987941809961</v>
      </c>
      <c r="K36" s="30">
        <f t="shared" si="106"/>
        <v>9.9558129076578614E-2</v>
      </c>
      <c r="L36" s="30">
        <f t="shared" ref="L36" si="107">-L18/L7</f>
        <v>8.1701292369922046E-2</v>
      </c>
      <c r="M36" s="30"/>
      <c r="N36" s="9"/>
      <c r="O36" s="30">
        <f t="shared" ref="O36:AS36" si="108">-O18/O7</f>
        <v>0.14858050908279899</v>
      </c>
      <c r="P36" s="30">
        <f t="shared" si="108"/>
        <v>0.14221050982549713</v>
      </c>
      <c r="Q36" s="30">
        <f t="shared" si="108"/>
        <v>0.12718451863182234</v>
      </c>
      <c r="R36" s="30">
        <f t="shared" si="108"/>
        <v>0.14348163678393305</v>
      </c>
      <c r="S36" s="30">
        <f t="shared" si="108"/>
        <v>0.12820101103131878</v>
      </c>
      <c r="T36" s="30">
        <f t="shared" si="108"/>
        <v>0.12195063878696834</v>
      </c>
      <c r="U36" s="30">
        <f t="shared" si="108"/>
        <v>0.10978603675134942</v>
      </c>
      <c r="V36" s="30">
        <f t="shared" si="108"/>
        <v>0.13801960114445103</v>
      </c>
      <c r="W36" s="30">
        <f t="shared" si="108"/>
        <v>0.1228349925088066</v>
      </c>
      <c r="X36" s="30">
        <f t="shared" si="108"/>
        <v>6.8921648290090884E-2</v>
      </c>
      <c r="Y36" s="30">
        <f t="shared" si="108"/>
        <v>0.14087626245339846</v>
      </c>
      <c r="Z36" s="30">
        <f t="shared" si="108"/>
        <v>0.11422415573478099</v>
      </c>
      <c r="AA36" s="30">
        <f t="shared" si="108"/>
        <v>0.14432827553633007</v>
      </c>
      <c r="AB36" s="30">
        <f t="shared" si="108"/>
        <v>0.10834997486860444</v>
      </c>
      <c r="AC36" s="30">
        <f t="shared" si="108"/>
        <v>9.5266211960548186E-2</v>
      </c>
      <c r="AD36" s="30">
        <f t="shared" si="108"/>
        <v>0.10710535673506498</v>
      </c>
      <c r="AE36" s="30">
        <f t="shared" si="108"/>
        <v>0.12093368216844402</v>
      </c>
      <c r="AF36" s="30">
        <f t="shared" si="108"/>
        <v>0.10482075094458694</v>
      </c>
      <c r="AG36" s="30">
        <f t="shared" si="108"/>
        <v>0.10168585014270716</v>
      </c>
      <c r="AH36" s="30">
        <f t="shared" si="108"/>
        <v>0.12040531181989414</v>
      </c>
      <c r="AI36" s="30">
        <f t="shared" si="108"/>
        <v>0.13389189884912853</v>
      </c>
      <c r="AJ36" s="30">
        <f t="shared" si="108"/>
        <v>0.1038904913003051</v>
      </c>
      <c r="AK36" s="30">
        <f t="shared" si="108"/>
        <v>9.2918522852808702E-2</v>
      </c>
      <c r="AL36" s="30">
        <f t="shared" si="108"/>
        <v>0.1183984525452309</v>
      </c>
      <c r="AM36" s="30">
        <f t="shared" si="108"/>
        <v>0.10125084857520293</v>
      </c>
      <c r="AN36" s="30">
        <f t="shared" si="108"/>
        <v>8.4872999454881456E-2</v>
      </c>
      <c r="AO36" s="30">
        <f t="shared" si="108"/>
        <v>9.2295668119792187E-2</v>
      </c>
      <c r="AP36" s="30">
        <f t="shared" si="108"/>
        <v>0.11996996503415329</v>
      </c>
      <c r="AQ36" s="30">
        <f t="shared" si="108"/>
        <v>9.8401117278540812E-2</v>
      </c>
      <c r="AR36" s="30">
        <f t="shared" si="108"/>
        <v>7.9269870324937861E-2</v>
      </c>
      <c r="AS36" s="30">
        <f t="shared" si="108"/>
        <v>7.1662572491675472E-2</v>
      </c>
      <c r="AT36" s="30">
        <f>-AT18/AT7</f>
        <v>7.8222525009500346E-2</v>
      </c>
      <c r="AU36" s="30">
        <f>-AU18/AU7</f>
        <v>9.1951657016696761E-2</v>
      </c>
    </row>
    <row r="37" spans="2:47" s="16" customFormat="1" ht="13.5" customHeight="1" x14ac:dyDescent="0.3">
      <c r="B37" s="29" t="str">
        <f>B19</f>
        <v>General, selling and administrative expenses</v>
      </c>
      <c r="C37" s="30">
        <f t="shared" ref="C37:M37" si="109">-C19/C7</f>
        <v>0.43512664356834901</v>
      </c>
      <c r="D37" s="30">
        <f t="shared" si="109"/>
        <v>0.44258273309822654</v>
      </c>
      <c r="E37" s="30">
        <f t="shared" si="109"/>
        <v>0.43455876791557441</v>
      </c>
      <c r="F37" s="30">
        <f t="shared" si="109"/>
        <v>0.43266508964907269</v>
      </c>
      <c r="G37" s="30">
        <f t="shared" si="109"/>
        <v>0.44343317471346416</v>
      </c>
      <c r="H37" s="30">
        <f t="shared" si="109"/>
        <v>0.46870329806618005</v>
      </c>
      <c r="I37" s="30">
        <f t="shared" si="109"/>
        <v>0.46985452875846073</v>
      </c>
      <c r="J37" s="30">
        <f t="shared" si="109"/>
        <v>0.46004710895011658</v>
      </c>
      <c r="K37" s="30">
        <f t="shared" si="109"/>
        <v>0.44139129198330235</v>
      </c>
      <c r="L37" s="30">
        <f t="shared" ref="L37" si="110">-L19/L7</f>
        <v>0.43741799995732916</v>
      </c>
      <c r="M37" s="30"/>
      <c r="N37" s="9"/>
      <c r="O37" s="30">
        <f t="shared" ref="O37:AS37" si="111">-O19/O7</f>
        <v>0.42044561063453662</v>
      </c>
      <c r="P37" s="30">
        <f t="shared" si="111"/>
        <v>0.39801424759653464</v>
      </c>
      <c r="Q37" s="30">
        <f t="shared" si="111"/>
        <v>0.42135862453144479</v>
      </c>
      <c r="R37" s="30">
        <f t="shared" si="111"/>
        <v>0.49432767163049152</v>
      </c>
      <c r="S37" s="30">
        <f t="shared" si="111"/>
        <v>0.39706592546257002</v>
      </c>
      <c r="T37" s="30">
        <f t="shared" si="111"/>
        <v>0.42219919831160235</v>
      </c>
      <c r="U37" s="30">
        <f t="shared" si="111"/>
        <v>0.44365954038831673</v>
      </c>
      <c r="V37" s="30">
        <f t="shared" si="111"/>
        <v>0.46529239755496316</v>
      </c>
      <c r="W37" s="30">
        <f t="shared" si="111"/>
        <v>0.41153233826367319</v>
      </c>
      <c r="X37" s="30">
        <f t="shared" si="111"/>
        <v>0.41562559341998057</v>
      </c>
      <c r="Y37" s="30">
        <f t="shared" si="111"/>
        <v>0.45024429648411152</v>
      </c>
      <c r="Z37" s="30">
        <f t="shared" si="111"/>
        <v>0.49479657439270069</v>
      </c>
      <c r="AA37" s="30">
        <f t="shared" si="111"/>
        <v>0.45955081600397318</v>
      </c>
      <c r="AB37" s="30">
        <f t="shared" si="111"/>
        <v>0.45952125325556203</v>
      </c>
      <c r="AC37" s="30">
        <f t="shared" si="111"/>
        <v>0.45016228365583388</v>
      </c>
      <c r="AD37" s="30">
        <f t="shared" si="111"/>
        <v>0.50554669920280237</v>
      </c>
      <c r="AE37" s="30">
        <f t="shared" si="111"/>
        <v>0.45429040114335095</v>
      </c>
      <c r="AF37" s="30">
        <f t="shared" si="111"/>
        <v>0.44197322922434168</v>
      </c>
      <c r="AG37" s="30">
        <f t="shared" si="111"/>
        <v>0.46230663080207396</v>
      </c>
      <c r="AH37" s="30">
        <f t="shared" si="111"/>
        <v>0.52012262712328983</v>
      </c>
      <c r="AI37" s="30">
        <f t="shared" si="111"/>
        <v>0.44033217995572077</v>
      </c>
      <c r="AJ37" s="30">
        <f t="shared" si="111"/>
        <v>0.47010126921820578</v>
      </c>
      <c r="AK37" s="30">
        <f t="shared" si="111"/>
        <v>0.46382224664960547</v>
      </c>
      <c r="AL37" s="30">
        <f t="shared" si="111"/>
        <v>0.46558007359287984</v>
      </c>
      <c r="AM37" s="30">
        <f t="shared" si="111"/>
        <v>0.44733844481773843</v>
      </c>
      <c r="AN37" s="30">
        <f t="shared" si="111"/>
        <v>0.440748862194072</v>
      </c>
      <c r="AO37" s="30">
        <f t="shared" si="111"/>
        <v>0.44858511544458446</v>
      </c>
      <c r="AP37" s="30">
        <f t="shared" si="111"/>
        <v>0.42873704192799655</v>
      </c>
      <c r="AQ37" s="30">
        <f t="shared" si="111"/>
        <v>0.44110893091901354</v>
      </c>
      <c r="AR37" s="30">
        <f t="shared" si="111"/>
        <v>0.43839554419425392</v>
      </c>
      <c r="AS37" s="30">
        <f t="shared" si="111"/>
        <v>0.43699877931591746</v>
      </c>
      <c r="AT37" s="30">
        <f>-AT19/AT7</f>
        <v>0.43352105391907686</v>
      </c>
      <c r="AU37" s="30">
        <f>-AU19/AU7</f>
        <v>0.44161011420901719</v>
      </c>
    </row>
    <row r="38" spans="2:47" s="16" customFormat="1" ht="13.5" customHeight="1" x14ac:dyDescent="0.3">
      <c r="B38" s="29" t="str">
        <f>B20</f>
        <v>Interconnect costs</v>
      </c>
      <c r="C38" s="30">
        <f t="shared" ref="C38:M38" si="112">-C20/C7</f>
        <v>7.9801694700923118E-2</v>
      </c>
      <c r="D38" s="30">
        <f t="shared" si="112"/>
        <v>6.1391529909112133E-2</v>
      </c>
      <c r="E38" s="30">
        <f t="shared" si="112"/>
        <v>4.2727087522881416E-2</v>
      </c>
      <c r="F38" s="30">
        <f t="shared" si="112"/>
        <v>2.6728904026370372E-2</v>
      </c>
      <c r="G38" s="30">
        <f t="shared" si="112"/>
        <v>6.8805713446692344E-3</v>
      </c>
      <c r="H38" s="30">
        <f t="shared" si="112"/>
        <v>7.7653947237406257E-3</v>
      </c>
      <c r="I38" s="30">
        <f t="shared" si="112"/>
        <v>8.6233367167927386E-3</v>
      </c>
      <c r="J38" s="30">
        <f t="shared" si="112"/>
        <v>8.4212570710303983E-3</v>
      </c>
      <c r="K38" s="30">
        <f t="shared" si="112"/>
        <v>9.8159279293936856E-3</v>
      </c>
      <c r="L38" s="30">
        <f t="shared" ref="L38" si="113">-L20/L7</f>
        <v>1.158099177782132E-2</v>
      </c>
      <c r="M38" s="30"/>
      <c r="N38" s="9"/>
      <c r="O38" s="30">
        <f t="shared" ref="O38:AS38" si="114">-O20/O7</f>
        <v>5.635198912936186E-2</v>
      </c>
      <c r="P38" s="30">
        <f t="shared" si="114"/>
        <v>5.2163046390486224E-2</v>
      </c>
      <c r="Q38" s="30">
        <f t="shared" si="114"/>
        <v>4.3255114363776027E-2</v>
      </c>
      <c r="R38" s="30">
        <f t="shared" si="114"/>
        <v>2.09051409298498E-2</v>
      </c>
      <c r="S38" s="30">
        <f t="shared" si="114"/>
        <v>2.2409802683601241E-2</v>
      </c>
      <c r="T38" s="30">
        <f t="shared" si="114"/>
        <v>2.561211491347928E-2</v>
      </c>
      <c r="U38" s="30">
        <f t="shared" si="114"/>
        <v>2.8200340113313332E-2</v>
      </c>
      <c r="V38" s="30">
        <f t="shared" si="114"/>
        <v>3.0405336861153542E-2</v>
      </c>
      <c r="W38" s="30">
        <f t="shared" si="114"/>
        <v>8.2309314571936947E-3</v>
      </c>
      <c r="X38" s="30">
        <f t="shared" si="114"/>
        <v>6.804882061344302E-3</v>
      </c>
      <c r="Y38" s="30">
        <f t="shared" si="114"/>
        <v>7.4919878446472665E-3</v>
      </c>
      <c r="Z38" s="30">
        <f t="shared" si="114"/>
        <v>5.0153819745252012E-3</v>
      </c>
      <c r="AA38" s="30">
        <f t="shared" si="114"/>
        <v>7.5121316650109413E-3</v>
      </c>
      <c r="AB38" s="30">
        <f t="shared" si="114"/>
        <v>7.6751155219869057E-3</v>
      </c>
      <c r="AC38" s="30">
        <f t="shared" si="114"/>
        <v>7.0607219433178325E-3</v>
      </c>
      <c r="AD38" s="30">
        <f t="shared" si="114"/>
        <v>8.8154217427087421E-3</v>
      </c>
      <c r="AE38" s="30">
        <f t="shared" si="114"/>
        <v>8.2726430389109141E-3</v>
      </c>
      <c r="AF38" s="30">
        <f t="shared" si="114"/>
        <v>8.0602320425897656E-3</v>
      </c>
      <c r="AG38" s="30">
        <f t="shared" si="114"/>
        <v>7.8990412365187238E-3</v>
      </c>
      <c r="AH38" s="30">
        <f t="shared" si="114"/>
        <v>1.0232435469251554E-2</v>
      </c>
      <c r="AI38" s="30">
        <f t="shared" si="114"/>
        <v>9.0289302841584894E-3</v>
      </c>
      <c r="AJ38" s="30">
        <f t="shared" si="114"/>
        <v>8.5008170974597251E-3</v>
      </c>
      <c r="AK38" s="30">
        <f t="shared" si="114"/>
        <v>7.5865617726541476E-3</v>
      </c>
      <c r="AL38" s="30">
        <f t="shared" si="114"/>
        <v>8.5770082243910185E-3</v>
      </c>
      <c r="AM38" s="30">
        <f t="shared" si="114"/>
        <v>8.8289975699168376E-3</v>
      </c>
      <c r="AN38" s="30">
        <f t="shared" si="114"/>
        <v>9.9313236331186692E-3</v>
      </c>
      <c r="AO38" s="30">
        <f t="shared" si="114"/>
        <v>9.9442302023464782E-3</v>
      </c>
      <c r="AP38" s="30">
        <f t="shared" si="114"/>
        <v>1.0559937368546421E-2</v>
      </c>
      <c r="AQ38" s="30">
        <f t="shared" si="114"/>
        <v>1.1088024477391026E-2</v>
      </c>
      <c r="AR38" s="30">
        <f t="shared" si="114"/>
        <v>1.0131753655363885E-2</v>
      </c>
      <c r="AS38" s="30">
        <f t="shared" si="114"/>
        <v>1.2598277313083533E-2</v>
      </c>
      <c r="AT38" s="30">
        <f>-AT20/AT7</f>
        <v>1.2408065056808219E-2</v>
      </c>
      <c r="AU38" s="30">
        <f>-AU20/AU7</f>
        <v>1.2124254358869265E-2</v>
      </c>
    </row>
    <row r="39" spans="2:47" s="16" customFormat="1" ht="13.5" customHeight="1" x14ac:dyDescent="0.3">
      <c r="B39" s="29" t="str">
        <f>B23</f>
        <v>Operating profit</v>
      </c>
      <c r="C39" s="30">
        <f t="shared" ref="C39:M39" si="115">C23/C7</f>
        <v>0.21589401393437127</v>
      </c>
      <c r="D39" s="30">
        <f t="shared" si="115"/>
        <v>0.20947746621102645</v>
      </c>
      <c r="E39" s="30">
        <f t="shared" si="115"/>
        <v>0.25443809688948221</v>
      </c>
      <c r="F39" s="30">
        <f t="shared" si="115"/>
        <v>0.26595696154894016</v>
      </c>
      <c r="G39" s="30">
        <f t="shared" si="115"/>
        <v>0.2339743807377174</v>
      </c>
      <c r="H39" s="30">
        <f t="shared" si="115"/>
        <v>0.24812709875166986</v>
      </c>
      <c r="I39" s="30">
        <f t="shared" si="115"/>
        <v>0.34303055523053066</v>
      </c>
      <c r="J39" s="30">
        <f t="shared" si="115"/>
        <v>0.27450620723448527</v>
      </c>
      <c r="K39" s="30">
        <f t="shared" si="115"/>
        <v>0.27133898884370139</v>
      </c>
      <c r="L39" s="30">
        <f t="shared" ref="L39" si="116">L23/L7</f>
        <v>0.27068205680504609</v>
      </c>
      <c r="M39" s="30"/>
      <c r="N39" s="9"/>
      <c r="O39" s="30">
        <f t="shared" ref="O39:AS39" si="117">O23/O7</f>
        <v>0.29474349458369958</v>
      </c>
      <c r="P39" s="30">
        <f t="shared" si="117"/>
        <v>0.28020839172943268</v>
      </c>
      <c r="Q39" s="30">
        <f t="shared" si="117"/>
        <v>0.25859594799384333</v>
      </c>
      <c r="R39" s="30">
        <f t="shared" si="117"/>
        <v>0.18942986262953465</v>
      </c>
      <c r="S39" s="30">
        <f t="shared" si="117"/>
        <v>0.32200648395264625</v>
      </c>
      <c r="T39" s="30">
        <f t="shared" si="117"/>
        <v>0.26202306159881994</v>
      </c>
      <c r="U39" s="30">
        <f t="shared" si="117"/>
        <v>0.26422624910209025</v>
      </c>
      <c r="V39" s="30">
        <f t="shared" si="117"/>
        <v>0.21887850874760975</v>
      </c>
      <c r="W39" s="30">
        <f t="shared" si="117"/>
        <v>0.30616891601300944</v>
      </c>
      <c r="X39" s="30">
        <f t="shared" si="117"/>
        <v>0.25669011961377247</v>
      </c>
      <c r="Y39" s="30">
        <f t="shared" si="117"/>
        <v>0.22330484018721941</v>
      </c>
      <c r="Z39" s="30">
        <f t="shared" si="117"/>
        <v>0.15140151647225716</v>
      </c>
      <c r="AA39" s="30">
        <f t="shared" si="117"/>
        <v>0.25636753903758819</v>
      </c>
      <c r="AB39" s="30">
        <f t="shared" si="117"/>
        <v>0.25520084085549039</v>
      </c>
      <c r="AC39" s="30">
        <f t="shared" si="117"/>
        <v>0.23180897555511851</v>
      </c>
      <c r="AD39" s="30">
        <f t="shared" si="117"/>
        <v>0.24938020086564391</v>
      </c>
      <c r="AE39" s="30">
        <f t="shared" si="117"/>
        <v>0.49418213422115354</v>
      </c>
      <c r="AF39" s="30">
        <f t="shared" si="117"/>
        <v>0.250684385803562</v>
      </c>
      <c r="AG39" s="30">
        <f t="shared" si="117"/>
        <v>0.29262017403298202</v>
      </c>
      <c r="AH39" s="30">
        <f t="shared" si="117"/>
        <v>0.33603213244180968</v>
      </c>
      <c r="AI39" s="30">
        <f t="shared" si="117"/>
        <v>0.31539040033863486</v>
      </c>
      <c r="AJ39" s="30">
        <f t="shared" si="117"/>
        <v>0.30006941487419958</v>
      </c>
      <c r="AK39" s="30">
        <f t="shared" si="117"/>
        <v>0.23700217999475517</v>
      </c>
      <c r="AL39" s="30">
        <f t="shared" si="117"/>
        <v>0.24681362757304165</v>
      </c>
      <c r="AM39" s="30">
        <f t="shared" si="117"/>
        <v>0.2901767763138996</v>
      </c>
      <c r="AN39" s="30">
        <f t="shared" si="117"/>
        <v>0.32092264380349772</v>
      </c>
      <c r="AO39" s="30">
        <f t="shared" si="117"/>
        <v>0.25817897958217084</v>
      </c>
      <c r="AP39" s="30">
        <f t="shared" si="117"/>
        <v>0.21617669350639596</v>
      </c>
      <c r="AQ39" s="30">
        <f t="shared" si="117"/>
        <v>0.30649412004290627</v>
      </c>
      <c r="AR39" s="30">
        <f t="shared" si="117"/>
        <v>0.25970242399077431</v>
      </c>
      <c r="AS39" s="30">
        <f t="shared" si="117"/>
        <v>0.2548956074559201</v>
      </c>
      <c r="AT39" s="30">
        <f>AT23/AT7</f>
        <v>0.26309210709278141</v>
      </c>
      <c r="AU39" s="30">
        <f>AU23/AU7</f>
        <v>0.25994522780740253</v>
      </c>
    </row>
    <row r="40" spans="2:47" s="16" customFormat="1" ht="13.5" customHeight="1" x14ac:dyDescent="0.3">
      <c r="B40" s="29" t="s">
        <v>284</v>
      </c>
      <c r="C40" s="30">
        <f t="shared" ref="C40:M40" si="118">C26/C7</f>
        <v>0.18192026946494838</v>
      </c>
      <c r="D40" s="30">
        <f t="shared" si="118"/>
        <v>0.16841842257210868</v>
      </c>
      <c r="E40" s="30">
        <f t="shared" si="118"/>
        <v>0.20781374658693164</v>
      </c>
      <c r="F40" s="30">
        <f t="shared" si="118"/>
        <v>0.22030322898610477</v>
      </c>
      <c r="G40" s="30">
        <f t="shared" si="118"/>
        <v>0.18539523838728617</v>
      </c>
      <c r="H40" s="30">
        <f t="shared" si="118"/>
        <v>0.19072134300824428</v>
      </c>
      <c r="I40" s="30">
        <f t="shared" si="118"/>
        <v>0.27915328292779557</v>
      </c>
      <c r="J40" s="30">
        <f t="shared" si="118"/>
        <v>0.19968566682151662</v>
      </c>
      <c r="K40" s="30">
        <f t="shared" si="118"/>
        <v>0.18380659984421299</v>
      </c>
      <c r="L40" s="30">
        <f t="shared" ref="L40" si="119">L26/L7</f>
        <v>0.17099267303634733</v>
      </c>
      <c r="M40" s="30"/>
      <c r="N40" s="9"/>
      <c r="O40" s="30">
        <f t="shared" ref="O40:AS40" si="120">O26/O7</f>
        <v>0.22045288001690294</v>
      </c>
      <c r="P40" s="30">
        <f t="shared" si="120"/>
        <v>0.23346999049414388</v>
      </c>
      <c r="Q40" s="30">
        <f t="shared" si="120"/>
        <v>0.21187732304550005</v>
      </c>
      <c r="R40" s="30">
        <f t="shared" si="120"/>
        <v>0.16830082699621021</v>
      </c>
      <c r="S40" s="30">
        <f t="shared" si="120"/>
        <v>0.27208703131977263</v>
      </c>
      <c r="T40" s="30">
        <f t="shared" si="120"/>
        <v>0.21523940145473686</v>
      </c>
      <c r="U40" s="30">
        <f t="shared" si="120"/>
        <v>0.21996509085813451</v>
      </c>
      <c r="V40" s="30">
        <f t="shared" si="120"/>
        <v>0.17694128061404246</v>
      </c>
      <c r="W40" s="30">
        <f t="shared" si="120"/>
        <v>0.26127164451664103</v>
      </c>
      <c r="X40" s="30">
        <f t="shared" si="120"/>
        <v>0.20912611804228312</v>
      </c>
      <c r="Y40" s="30">
        <f t="shared" si="120"/>
        <v>0.17340747107264262</v>
      </c>
      <c r="Z40" s="30">
        <f t="shared" si="120"/>
        <v>9.9509439731358243E-2</v>
      </c>
      <c r="AA40" s="30">
        <f t="shared" si="120"/>
        <v>0.20682395991773767</v>
      </c>
      <c r="AB40" s="30">
        <f t="shared" si="120"/>
        <v>0.20166201168683864</v>
      </c>
      <c r="AC40" s="30">
        <f t="shared" si="120"/>
        <v>0.17045690195606819</v>
      </c>
      <c r="AD40" s="30">
        <f t="shared" si="120"/>
        <v>0.18432432200168525</v>
      </c>
      <c r="AE40" s="30">
        <f t="shared" si="120"/>
        <v>0.43230165792024949</v>
      </c>
      <c r="AF40" s="30">
        <f t="shared" si="120"/>
        <v>0.19626520152845686</v>
      </c>
      <c r="AG40" s="30">
        <f t="shared" si="120"/>
        <v>0.22754759409324438</v>
      </c>
      <c r="AH40" s="30">
        <f t="shared" si="120"/>
        <v>0.26198096956488487</v>
      </c>
      <c r="AI40" s="30">
        <f t="shared" si="120"/>
        <v>0.24432116471679963</v>
      </c>
      <c r="AJ40" s="30">
        <f t="shared" si="120"/>
        <v>0.22925429345111473</v>
      </c>
      <c r="AK40" s="30">
        <f t="shared" si="120"/>
        <v>0.15937200135746427</v>
      </c>
      <c r="AL40" s="30">
        <f t="shared" si="120"/>
        <v>0.16720437579704112</v>
      </c>
      <c r="AM40" s="30">
        <f t="shared" si="120"/>
        <v>0.21047180319539135</v>
      </c>
      <c r="AN40" s="30">
        <f t="shared" si="120"/>
        <v>0.23724482989438625</v>
      </c>
      <c r="AO40" s="30">
        <f t="shared" si="120"/>
        <v>0.1673769790808752</v>
      </c>
      <c r="AP40" s="30">
        <f t="shared" si="120"/>
        <v>0.12026023345550496</v>
      </c>
      <c r="AQ40" s="30">
        <f t="shared" si="120"/>
        <v>0.20720760483701359</v>
      </c>
      <c r="AR40" s="30">
        <f t="shared" si="120"/>
        <v>0.16046452195380254</v>
      </c>
      <c r="AS40" s="30">
        <f t="shared" si="120"/>
        <v>0.15497045281199376</v>
      </c>
      <c r="AT40" s="30">
        <f>AT26/AT7</f>
        <v>0.16283858188552155</v>
      </c>
      <c r="AU40" s="30">
        <f>AU26/AU7</f>
        <v>0.15552555151975853</v>
      </c>
    </row>
    <row r="41" spans="2:47" s="16" customFormat="1" ht="13.5" customHeight="1" x14ac:dyDescent="0.3">
      <c r="B41" s="29" t="s">
        <v>285</v>
      </c>
      <c r="C41" s="30">
        <f t="shared" ref="C41:M41" si="121">-(C28+C27)/C26</f>
        <v>0.27573470185758547</v>
      </c>
      <c r="D41" s="30">
        <f t="shared" si="121"/>
        <v>0.2997668893572103</v>
      </c>
      <c r="E41" s="30">
        <f t="shared" si="121"/>
        <v>0.32547242786777236</v>
      </c>
      <c r="F41" s="30">
        <f t="shared" si="121"/>
        <v>0.32118372787395494</v>
      </c>
      <c r="G41" s="30">
        <f t="shared" si="121"/>
        <v>0.31380706532722991</v>
      </c>
      <c r="H41" s="30">
        <f t="shared" si="121"/>
        <v>0.18305636146179097</v>
      </c>
      <c r="I41" s="30">
        <f t="shared" si="121"/>
        <v>0.2153356938534641</v>
      </c>
      <c r="J41" s="30">
        <f t="shared" si="121"/>
        <v>0.24178614848929547</v>
      </c>
      <c r="K41" s="30">
        <f t="shared" si="121"/>
        <v>0.19931085217102201</v>
      </c>
      <c r="L41" s="30">
        <f t="shared" ref="L41" si="122">-(L28+L27)/L26</f>
        <v>0.17589533734815571</v>
      </c>
      <c r="M41" s="30"/>
      <c r="N41" s="9"/>
      <c r="O41" s="30">
        <f t="shared" ref="O41:AS41" si="123">-(O28+O27)/O26</f>
        <v>0.33542552218568472</v>
      </c>
      <c r="P41" s="30">
        <f t="shared" si="123"/>
        <v>0.30990526257101841</v>
      </c>
      <c r="Q41" s="30">
        <f t="shared" si="123"/>
        <v>0.31503948645711466</v>
      </c>
      <c r="R41" s="30">
        <f t="shared" si="123"/>
        <v>0.34631282746758574</v>
      </c>
      <c r="S41" s="30">
        <f t="shared" si="123"/>
        <v>0.31300434056488613</v>
      </c>
      <c r="T41" s="30">
        <f t="shared" si="123"/>
        <v>0.33014194860640494</v>
      </c>
      <c r="U41" s="30">
        <f t="shared" si="123"/>
        <v>0.32086556521971671</v>
      </c>
      <c r="V41" s="30">
        <f t="shared" si="123"/>
        <v>0.32290056863302402</v>
      </c>
      <c r="W41" s="30">
        <f t="shared" si="123"/>
        <v>0.3156460618246959</v>
      </c>
      <c r="X41" s="30">
        <f t="shared" si="123"/>
        <v>0.34071083110405082</v>
      </c>
      <c r="Y41" s="30">
        <f t="shared" si="123"/>
        <v>0.30931160328246055</v>
      </c>
      <c r="Z41" s="30">
        <f t="shared" si="123"/>
        <v>0.26284116331096302</v>
      </c>
      <c r="AA41" s="30">
        <f t="shared" si="123"/>
        <v>6.1909298714703076E-2</v>
      </c>
      <c r="AB41" s="30">
        <f t="shared" si="123"/>
        <v>0.25297993375886979</v>
      </c>
      <c r="AC41" s="30">
        <f t="shared" si="123"/>
        <v>0.24888612435078941</v>
      </c>
      <c r="AD41" s="30">
        <f t="shared" si="123"/>
        <v>0.18056602679348113</v>
      </c>
      <c r="AE41" s="30">
        <f t="shared" si="123"/>
        <v>0.19287478098348851</v>
      </c>
      <c r="AF41" s="30">
        <f t="shared" si="123"/>
        <v>0.22795813890133718</v>
      </c>
      <c r="AG41" s="30">
        <f t="shared" si="123"/>
        <v>0.23317962761979197</v>
      </c>
      <c r="AH41" s="30">
        <f t="shared" si="123"/>
        <v>0.22707760163699608</v>
      </c>
      <c r="AI41" s="30">
        <f t="shared" si="123"/>
        <v>0.25552333366365104</v>
      </c>
      <c r="AJ41" s="30">
        <f t="shared" si="123"/>
        <v>0.23346944669153671</v>
      </c>
      <c r="AK41" s="30">
        <f t="shared" si="123"/>
        <v>0.23015652810496892</v>
      </c>
      <c r="AL41" s="30">
        <f t="shared" si="123"/>
        <v>0.24442901618315474</v>
      </c>
      <c r="AM41" s="30">
        <f t="shared" si="123"/>
        <v>0.21530221723153495</v>
      </c>
      <c r="AN41" s="30">
        <f t="shared" si="123"/>
        <v>0.20567986177652645</v>
      </c>
      <c r="AO41" s="30">
        <f t="shared" si="123"/>
        <v>0.13929382063745402</v>
      </c>
      <c r="AP41" s="30">
        <f t="shared" si="123"/>
        <v>0.24375463348241524</v>
      </c>
      <c r="AQ41" s="30">
        <f t="shared" si="123"/>
        <v>0.1553101878201481</v>
      </c>
      <c r="AR41" s="30">
        <f t="shared" si="123"/>
        <v>0.15618327366395887</v>
      </c>
      <c r="AS41" s="30">
        <f t="shared" si="123"/>
        <v>0.1828219440956588</v>
      </c>
      <c r="AT41" s="30">
        <f>-(AT28+AT27)/AT26</f>
        <v>0.21169905556378682</v>
      </c>
      <c r="AU41" s="30">
        <f>-(AU28+AU27)/AU26</f>
        <v>0.14905861210461152</v>
      </c>
    </row>
    <row r="42" spans="2:47" s="16" customFormat="1" ht="13.5" customHeight="1" x14ac:dyDescent="0.3">
      <c r="B42" s="31" t="s">
        <v>286</v>
      </c>
      <c r="C42" s="30">
        <f t="shared" ref="C42:M42" si="124">-C25/C120</f>
        <v>4.0471036488100479E-2</v>
      </c>
      <c r="D42" s="30">
        <f t="shared" si="124"/>
        <v>3.9928105427632705E-2</v>
      </c>
      <c r="E42" s="30">
        <f t="shared" si="124"/>
        <v>4.1780049522835552E-2</v>
      </c>
      <c r="F42" s="30">
        <f t="shared" si="124"/>
        <v>4.8756818353568071E-2</v>
      </c>
      <c r="G42" s="30">
        <f t="shared" si="124"/>
        <v>4.2000611138330951E-2</v>
      </c>
      <c r="H42" s="30">
        <f t="shared" si="124"/>
        <v>3.8014405201621533E-2</v>
      </c>
      <c r="I42" s="30">
        <f t="shared" si="124"/>
        <v>3.0438870393897682E-2</v>
      </c>
      <c r="J42" s="30">
        <f t="shared" si="124"/>
        <v>3.1714412054702844E-2</v>
      </c>
      <c r="K42" s="30">
        <f t="shared" si="124"/>
        <v>3.5170130487632414E-2</v>
      </c>
      <c r="L42" s="30">
        <f t="shared" si="124"/>
        <v>3.8184638731297189E-2</v>
      </c>
      <c r="M42" s="30"/>
      <c r="N42" s="9"/>
      <c r="O42" s="30"/>
      <c r="P42" s="30"/>
      <c r="Q42" s="30"/>
      <c r="R42" s="30">
        <f t="shared" ref="R42:AU42" si="125">-SUM(O25:R25)/R120</f>
        <v>4.1780049522835552E-2</v>
      </c>
      <c r="S42" s="30">
        <f t="shared" si="125"/>
        <v>3.9649674208867926E-2</v>
      </c>
      <c r="T42" s="30">
        <f t="shared" si="125"/>
        <v>4.2916506197489421E-2</v>
      </c>
      <c r="U42" s="30">
        <f t="shared" si="125"/>
        <v>4.3841898718790941E-2</v>
      </c>
      <c r="V42" s="30">
        <f t="shared" si="125"/>
        <v>4.8756818353568078E-2</v>
      </c>
      <c r="W42" s="30">
        <f t="shared" si="125"/>
        <v>4.4854293936864444E-2</v>
      </c>
      <c r="X42" s="30">
        <f t="shared" si="125"/>
        <v>4.2992164658685397E-2</v>
      </c>
      <c r="Y42" s="30">
        <f t="shared" si="125"/>
        <v>4.0411862546705021E-2</v>
      </c>
      <c r="Z42" s="30">
        <f t="shared" si="125"/>
        <v>4.2000611138330951E-2</v>
      </c>
      <c r="AA42" s="30">
        <f t="shared" si="125"/>
        <v>4.2257841660046112E-2</v>
      </c>
      <c r="AB42" s="30">
        <f t="shared" si="125"/>
        <v>4.047930109417737E-2</v>
      </c>
      <c r="AC42" s="30">
        <f t="shared" si="125"/>
        <v>3.6990653382999943E-2</v>
      </c>
      <c r="AD42" s="30">
        <f t="shared" si="125"/>
        <v>3.8014405201621526E-2</v>
      </c>
      <c r="AE42" s="30">
        <f t="shared" si="125"/>
        <v>3.8612418000208502E-2</v>
      </c>
      <c r="AF42" s="30">
        <f t="shared" si="125"/>
        <v>3.0550681595733924E-2</v>
      </c>
      <c r="AG42" s="30">
        <f t="shared" si="125"/>
        <v>2.9225253811791564E-2</v>
      </c>
      <c r="AH42" s="30">
        <f t="shared" si="125"/>
        <v>3.0438870393897682E-2</v>
      </c>
      <c r="AI42" s="30">
        <f t="shared" si="125"/>
        <v>3.4081092113297198E-2</v>
      </c>
      <c r="AJ42" s="30">
        <f t="shared" si="125"/>
        <v>3.0205383434839871E-2</v>
      </c>
      <c r="AK42" s="30">
        <f t="shared" si="125"/>
        <v>3.2507069469979319E-2</v>
      </c>
      <c r="AL42" s="30">
        <f t="shared" si="125"/>
        <v>3.1714412054702844E-2</v>
      </c>
      <c r="AM42" s="30">
        <f t="shared" si="125"/>
        <v>3.248571806087177E-2</v>
      </c>
      <c r="AN42" s="30">
        <f t="shared" si="125"/>
        <v>3.3336303996400286E-2</v>
      </c>
      <c r="AO42" s="30">
        <f t="shared" si="125"/>
        <v>3.4453371443902155E-2</v>
      </c>
      <c r="AP42" s="30">
        <f t="shared" si="125"/>
        <v>3.5170130487632414E-2</v>
      </c>
      <c r="AQ42" s="30">
        <f t="shared" si="125"/>
        <v>3.7366730619095109E-2</v>
      </c>
      <c r="AR42" s="30">
        <f t="shared" si="125"/>
        <v>3.7687034394606668E-2</v>
      </c>
      <c r="AS42" s="30">
        <f t="shared" si="125"/>
        <v>3.7584036477057187E-2</v>
      </c>
      <c r="AT42" s="30">
        <f t="shared" si="125"/>
        <v>3.8184638731297189E-2</v>
      </c>
      <c r="AU42" s="30">
        <f t="shared" si="125"/>
        <v>3.9027821557090815E-2</v>
      </c>
    </row>
    <row r="43" spans="2:47" s="16" customFormat="1" ht="13.5" customHeight="1" x14ac:dyDescent="0.3">
      <c r="B43" s="31" t="s">
        <v>287</v>
      </c>
      <c r="C43" s="30">
        <f t="shared" ref="C43:M43" si="126">C62/C10</f>
        <v>-9.1285222168569186E-2</v>
      </c>
      <c r="D43" s="30">
        <f t="shared" si="126"/>
        <v>-2.2931861596756163E-2</v>
      </c>
      <c r="E43" s="30">
        <f t="shared" si="126"/>
        <v>-5.2098139926039351E-2</v>
      </c>
      <c r="F43" s="30">
        <f t="shared" si="126"/>
        <v>-1.0603662705902239E-2</v>
      </c>
      <c r="G43" s="30">
        <f t="shared" si="126"/>
        <v>-5.8039051718699698E-2</v>
      </c>
      <c r="H43" s="30">
        <f t="shared" si="126"/>
        <v>-5.9711836791251756E-2</v>
      </c>
      <c r="I43" s="30">
        <f t="shared" si="126"/>
        <v>-8.3338189822262126E-2</v>
      </c>
      <c r="J43" s="30">
        <f t="shared" si="126"/>
        <v>-2.5916027664835427E-2</v>
      </c>
      <c r="K43" s="30">
        <f t="shared" si="126"/>
        <v>-1.9550191194159718E-2</v>
      </c>
      <c r="L43" s="30">
        <f t="shared" si="126"/>
        <v>-4.5282703456585173E-2</v>
      </c>
      <c r="M43" s="30"/>
      <c r="N43" s="9"/>
      <c r="O43" s="30"/>
      <c r="P43" s="30"/>
      <c r="Q43" s="30"/>
      <c r="R43" s="30">
        <f t="shared" ref="R43:AU43" si="127">R99/R84</f>
        <v>-0.20315753747403489</v>
      </c>
      <c r="S43" s="30">
        <f t="shared" si="127"/>
        <v>-0.19512668481322429</v>
      </c>
      <c r="T43" s="30">
        <f t="shared" si="127"/>
        <v>-0.20456438529130433</v>
      </c>
      <c r="U43" s="30">
        <f t="shared" si="127"/>
        <v>-0.23055835630762633</v>
      </c>
      <c r="V43" s="30">
        <f t="shared" si="127"/>
        <v>-0.18676785106944793</v>
      </c>
      <c r="W43" s="30">
        <f t="shared" si="127"/>
        <v>-0.17499024702369018</v>
      </c>
      <c r="X43" s="30">
        <f t="shared" si="127"/>
        <v>-0.16964495208636934</v>
      </c>
      <c r="Y43" s="30">
        <f t="shared" si="127"/>
        <v>-0.20600655647242472</v>
      </c>
      <c r="Z43" s="30">
        <f t="shared" si="127"/>
        <v>-0.18840573940835192</v>
      </c>
      <c r="AA43" s="30">
        <f t="shared" si="127"/>
        <v>-0.22524119998882444</v>
      </c>
      <c r="AB43" s="30">
        <f t="shared" si="127"/>
        <v>-0.2745756629092313</v>
      </c>
      <c r="AC43" s="30">
        <f t="shared" si="127"/>
        <v>-0.38147894205500693</v>
      </c>
      <c r="AD43" s="30">
        <f t="shared" si="127"/>
        <v>-0.3788481120475542</v>
      </c>
      <c r="AE43" s="30">
        <f t="shared" si="127"/>
        <v>-0.36741321376863822</v>
      </c>
      <c r="AF43" s="30">
        <f t="shared" si="127"/>
        <v>-0.3434513491722998</v>
      </c>
      <c r="AG43" s="30">
        <f t="shared" si="127"/>
        <v>-0.33768003757701076</v>
      </c>
      <c r="AH43" s="30">
        <f t="shared" si="127"/>
        <v>-0.34812299649836348</v>
      </c>
      <c r="AI43" s="30">
        <f t="shared" si="127"/>
        <v>-0.39143652247039346</v>
      </c>
      <c r="AJ43" s="30">
        <f t="shared" si="127"/>
        <v>-0.43572806605868303</v>
      </c>
      <c r="AK43" s="30">
        <f t="shared" si="127"/>
        <v>1.4329419525081474E-2</v>
      </c>
      <c r="AL43" s="30">
        <f t="shared" si="127"/>
        <v>-0.36731962472841828</v>
      </c>
      <c r="AM43" s="30">
        <f t="shared" si="127"/>
        <v>-0.38251310870267519</v>
      </c>
      <c r="AN43" s="30">
        <f t="shared" si="127"/>
        <v>-0.37245588907423904</v>
      </c>
      <c r="AO43" s="30">
        <f t="shared" si="127"/>
        <v>-0.34089158783571061</v>
      </c>
      <c r="AP43" s="30">
        <f t="shared" si="127"/>
        <v>-0.30723329364403873</v>
      </c>
      <c r="AQ43" s="30">
        <f t="shared" si="127"/>
        <v>-0.33456269304735148</v>
      </c>
      <c r="AR43" s="30">
        <f t="shared" si="127"/>
        <v>-0.31217042749195778</v>
      </c>
      <c r="AS43" s="30">
        <f t="shared" si="127"/>
        <v>-0.32792091978877158</v>
      </c>
      <c r="AT43" s="30">
        <f t="shared" si="127"/>
        <v>-0.29161135262214433</v>
      </c>
      <c r="AU43" s="30">
        <f t="shared" si="127"/>
        <v>-0.2951050974547148</v>
      </c>
    </row>
    <row r="44" spans="2:47" s="16" customFormat="1" ht="13.5" customHeight="1" x14ac:dyDescent="0.3"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9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</row>
    <row r="45" spans="2:47" s="16" customFormat="1" ht="13.5" customHeight="1" x14ac:dyDescent="0.3">
      <c r="B45" s="31" t="s">
        <v>288</v>
      </c>
      <c r="C45" s="30">
        <f t="shared" ref="C45:M45" si="128">C21/SUM(C66:C67)</f>
        <v>0.41116757290156347</v>
      </c>
      <c r="D45" s="30">
        <f t="shared" si="128"/>
        <v>0.50726413849984919</v>
      </c>
      <c r="E45" s="30">
        <f t="shared" si="128"/>
        <v>0.71232309653543957</v>
      </c>
      <c r="F45" s="30">
        <f t="shared" si="128"/>
        <v>0.61252358841320276</v>
      </c>
      <c r="G45" s="30">
        <f t="shared" si="128"/>
        <v>0.57030220025419109</v>
      </c>
      <c r="H45" s="30">
        <f t="shared" si="128"/>
        <v>0.43682969162141416</v>
      </c>
      <c r="I45" s="30">
        <f t="shared" si="128"/>
        <v>0.46671743449687358</v>
      </c>
      <c r="J45" s="30">
        <f t="shared" si="128"/>
        <v>0.64876373467171022</v>
      </c>
      <c r="K45" s="30">
        <f t="shared" si="128"/>
        <v>0.91500488257226076</v>
      </c>
      <c r="L45" s="30">
        <f t="shared" si="128"/>
        <v>1.2233353222997625</v>
      </c>
      <c r="M45" s="30"/>
      <c r="N45" s="9"/>
      <c r="O45" s="30">
        <f t="shared" ref="O45:AU45" si="129">O21/SUM(O66:O67)</f>
        <v>1.1017262545484459</v>
      </c>
      <c r="P45" s="30">
        <f t="shared" si="129"/>
        <v>0.44698090112378125</v>
      </c>
      <c r="Q45" s="30">
        <f t="shared" si="129"/>
        <v>0.81455849600694885</v>
      </c>
      <c r="R45" s="30">
        <f t="shared" si="129"/>
        <v>0.7881005518649733</v>
      </c>
      <c r="S45" s="30">
        <f t="shared" si="129"/>
        <v>0.81332439306320758</v>
      </c>
      <c r="T45" s="30">
        <f t="shared" si="129"/>
        <v>0.78870843290709869</v>
      </c>
      <c r="U45" s="30">
        <f t="shared" si="129"/>
        <v>0.59578460661459975</v>
      </c>
      <c r="V45" s="30">
        <f t="shared" si="129"/>
        <v>0.4387066418695757</v>
      </c>
      <c r="W45" s="30">
        <f t="shared" si="129"/>
        <v>0.81190084110957705</v>
      </c>
      <c r="X45" s="30">
        <f t="shared" si="129"/>
        <v>0.812234256940083</v>
      </c>
      <c r="Y45" s="30">
        <f t="shared" si="129"/>
        <v>0.71856802830298194</v>
      </c>
      <c r="Z45" s="30">
        <f t="shared" si="129"/>
        <v>0.316484076135571</v>
      </c>
      <c r="AA45" s="30">
        <f t="shared" si="129"/>
        <v>0.48176083109685003</v>
      </c>
      <c r="AB45" s="30">
        <f t="shared" si="129"/>
        <v>0.38905662752943349</v>
      </c>
      <c r="AC45" s="30">
        <f t="shared" si="129"/>
        <v>0.48141774044199481</v>
      </c>
      <c r="AD45" s="30">
        <f t="shared" si="129"/>
        <v>0.41291653501560593</v>
      </c>
      <c r="AE45" s="30">
        <f t="shared" si="129"/>
        <v>0.52385255396838681</v>
      </c>
      <c r="AF45" s="30">
        <f t="shared" si="129"/>
        <v>0.42817952797010556</v>
      </c>
      <c r="AG45" s="30">
        <f t="shared" si="129"/>
        <v>0.45764680154801068</v>
      </c>
      <c r="AH45" s="30">
        <f t="shared" si="129"/>
        <v>0.46768462127776278</v>
      </c>
      <c r="AI45" s="30">
        <f t="shared" si="129"/>
        <v>0.62992572949090375</v>
      </c>
      <c r="AJ45" s="30">
        <f t="shared" si="129"/>
        <v>0.58856750648060308</v>
      </c>
      <c r="AK45" s="30">
        <f t="shared" si="129"/>
        <v>0.69795523225783329</v>
      </c>
      <c r="AL45" s="30">
        <f t="shared" si="129"/>
        <v>0.68700484438521492</v>
      </c>
      <c r="AM45" s="30">
        <f t="shared" si="129"/>
        <v>0.89908239847251836</v>
      </c>
      <c r="AN45" s="30">
        <f t="shared" si="129"/>
        <v>0.91283230559514683</v>
      </c>
      <c r="AO45" s="30">
        <f t="shared" si="129"/>
        <v>0.98943119161823367</v>
      </c>
      <c r="AP45" s="30">
        <f t="shared" si="129"/>
        <v>0.86909167160543532</v>
      </c>
      <c r="AQ45" s="30">
        <f t="shared" si="129"/>
        <v>1.6151831177298879</v>
      </c>
      <c r="AR45" s="30">
        <f t="shared" si="129"/>
        <v>1.2475574365837352</v>
      </c>
      <c r="AS45" s="30">
        <f t="shared" si="129"/>
        <v>1.1876498640712445</v>
      </c>
      <c r="AT45" s="30">
        <f t="shared" si="129"/>
        <v>0.99976850835450171</v>
      </c>
      <c r="AU45" s="30">
        <f t="shared" si="129"/>
        <v>1.0924997246081067</v>
      </c>
    </row>
    <row r="46" spans="2:47" s="16" customFormat="1" ht="13.5" customHeight="1" x14ac:dyDescent="0.3">
      <c r="B46" s="31" t="s">
        <v>289</v>
      </c>
      <c r="C46" s="30">
        <f t="shared" ref="C46:M46" si="130">C22/SUM(C66:C67)</f>
        <v>5.6399549576125092E-2</v>
      </c>
      <c r="D46" s="30">
        <f t="shared" si="130"/>
        <v>9.9993100701984208E-2</v>
      </c>
      <c r="E46" s="30">
        <f t="shared" si="130"/>
        <v>0.11210244808928851</v>
      </c>
      <c r="F46" s="30">
        <f t="shared" si="130"/>
        <v>8.8140017627511974E-2</v>
      </c>
      <c r="G46" s="30">
        <f t="shared" si="130"/>
        <v>0.16439088224779611</v>
      </c>
      <c r="H46" s="30">
        <f t="shared" si="130"/>
        <v>5.9120529006137554E-2</v>
      </c>
      <c r="I46" s="30">
        <f t="shared" si="130"/>
        <v>5.0162081869515644E-2</v>
      </c>
      <c r="J46" s="30">
        <f t="shared" si="130"/>
        <v>7.4854890688561049E-2</v>
      </c>
      <c r="K46" s="30">
        <f t="shared" si="130"/>
        <v>8.5046457585325169E-2</v>
      </c>
      <c r="L46" s="30">
        <f t="shared" si="130"/>
        <v>8.6913465336030268E-2</v>
      </c>
      <c r="M46" s="30"/>
      <c r="N46" s="9"/>
      <c r="O46" s="30">
        <f t="shared" ref="O46:AU46" si="131">O22/SUM(O66:O67)</f>
        <v>0.1529889917851987</v>
      </c>
      <c r="P46" s="30">
        <f t="shared" si="131"/>
        <v>0.10156737366240369</v>
      </c>
      <c r="Q46" s="30">
        <f t="shared" si="131"/>
        <v>0.12211031981442073</v>
      </c>
      <c r="R46" s="30">
        <f t="shared" si="131"/>
        <v>9.326933163063085E-2</v>
      </c>
      <c r="S46" s="30">
        <f t="shared" si="131"/>
        <v>0.11692695438549952</v>
      </c>
      <c r="T46" s="30">
        <f t="shared" si="131"/>
        <v>0.12560198880819781</v>
      </c>
      <c r="U46" s="30">
        <f t="shared" si="131"/>
        <v>9.0141268904553831E-2</v>
      </c>
      <c r="V46" s="30">
        <f t="shared" si="131"/>
        <v>5.3915539194729051E-2</v>
      </c>
      <c r="W46" s="30">
        <f t="shared" si="131"/>
        <v>9.8777819471607312E-2</v>
      </c>
      <c r="X46" s="30">
        <f t="shared" si="131"/>
        <v>0.26017443070132523</v>
      </c>
      <c r="Y46" s="30">
        <f t="shared" si="131"/>
        <v>8.940147965003202E-2</v>
      </c>
      <c r="Z46" s="30">
        <f t="shared" si="131"/>
        <v>0.18574516708317021</v>
      </c>
      <c r="AA46" s="30">
        <f t="shared" si="131"/>
        <v>8.4318336579477168E-2</v>
      </c>
      <c r="AB46" s="30">
        <f t="shared" si="131"/>
        <v>3.5338916825809384E-2</v>
      </c>
      <c r="AC46" s="30">
        <f t="shared" si="131"/>
        <v>4.9723001892146304E-2</v>
      </c>
      <c r="AD46" s="30">
        <f t="shared" si="131"/>
        <v>6.9545294251800338E-2</v>
      </c>
      <c r="AE46" s="30">
        <f t="shared" si="131"/>
        <v>7.0184859865243907E-2</v>
      </c>
      <c r="AF46" s="30">
        <f t="shared" si="131"/>
        <v>5.5436022100456554E-2</v>
      </c>
      <c r="AG46" s="30">
        <f t="shared" si="131"/>
        <v>5.9255879157081519E-2</v>
      </c>
      <c r="AH46" s="30">
        <f t="shared" si="131"/>
        <v>2.067177693640071E-2</v>
      </c>
      <c r="AI46" s="30">
        <f t="shared" si="131"/>
        <v>7.5106729974294462E-2</v>
      </c>
      <c r="AJ46" s="30">
        <f t="shared" si="131"/>
        <v>6.0211366590356426E-2</v>
      </c>
      <c r="AK46" s="30">
        <f t="shared" si="131"/>
        <v>6.9825788280783688E-2</v>
      </c>
      <c r="AL46" s="30">
        <f t="shared" si="131"/>
        <v>9.4678558244554123E-2</v>
      </c>
      <c r="AM46" s="30">
        <f t="shared" si="131"/>
        <v>8.7640364350662039E-2</v>
      </c>
      <c r="AN46" s="30">
        <f t="shared" si="131"/>
        <v>7.5856469651932573E-2</v>
      </c>
      <c r="AO46" s="30">
        <f t="shared" si="131"/>
        <v>5.7639912092281816E-2</v>
      </c>
      <c r="AP46" s="30">
        <f t="shared" si="131"/>
        <v>0.11390259889448105</v>
      </c>
      <c r="AQ46" s="30">
        <f t="shared" si="131"/>
        <v>0.14412165278324193</v>
      </c>
      <c r="AR46" s="30">
        <f t="shared" si="131"/>
        <v>9.9562668312091401E-2</v>
      </c>
      <c r="AS46" s="30">
        <f t="shared" si="131"/>
        <v>7.9018420951388252E-2</v>
      </c>
      <c r="AT46" s="30">
        <f t="shared" si="131"/>
        <v>4.9649847291814077E-2</v>
      </c>
      <c r="AU46" s="30">
        <f t="shared" si="131"/>
        <v>6.0204319483809082E-2</v>
      </c>
    </row>
    <row r="47" spans="2:47" s="16" customFormat="1" ht="13.5" customHeight="1" x14ac:dyDescent="0.3">
      <c r="C47" s="32"/>
      <c r="D47" s="32"/>
      <c r="E47" s="32"/>
      <c r="F47" s="32"/>
      <c r="G47" s="32"/>
      <c r="H47" s="32"/>
      <c r="I47" s="32"/>
      <c r="J47" s="32"/>
      <c r="K47" s="32"/>
      <c r="N47" s="9"/>
    </row>
    <row r="48" spans="2:47" ht="13.5" customHeight="1" x14ac:dyDescent="0.35">
      <c r="B48" s="10" t="s">
        <v>290</v>
      </c>
      <c r="C48" s="33">
        <f t="shared" ref="C48:M48" si="132">C3</f>
        <v>42735</v>
      </c>
      <c r="D48" s="33">
        <f t="shared" si="132"/>
        <v>43100</v>
      </c>
      <c r="E48" s="33">
        <f t="shared" si="132"/>
        <v>43465</v>
      </c>
      <c r="F48" s="33">
        <f t="shared" si="132"/>
        <v>43830</v>
      </c>
      <c r="G48" s="33">
        <f t="shared" si="132"/>
        <v>44196</v>
      </c>
      <c r="H48" s="33">
        <f t="shared" si="132"/>
        <v>44561</v>
      </c>
      <c r="I48" s="33">
        <f t="shared" si="132"/>
        <v>44926</v>
      </c>
      <c r="J48" s="33">
        <f t="shared" si="132"/>
        <v>45291</v>
      </c>
      <c r="K48" s="33">
        <f t="shared" si="132"/>
        <v>45657</v>
      </c>
      <c r="L48" s="33">
        <f t="shared" ref="L48" si="133">L3</f>
        <v>46022</v>
      </c>
      <c r="M48" s="33"/>
      <c r="N48" s="9"/>
      <c r="O48" s="33">
        <f t="shared" ref="O48:AS48" si="134">O3</f>
        <v>43190</v>
      </c>
      <c r="P48" s="33">
        <f t="shared" si="134"/>
        <v>43281</v>
      </c>
      <c r="Q48" s="33">
        <f t="shared" si="134"/>
        <v>43373</v>
      </c>
      <c r="R48" s="33">
        <f t="shared" si="134"/>
        <v>43465</v>
      </c>
      <c r="S48" s="33">
        <f t="shared" si="134"/>
        <v>43555</v>
      </c>
      <c r="T48" s="33">
        <f t="shared" si="134"/>
        <v>43646</v>
      </c>
      <c r="U48" s="33">
        <f t="shared" si="134"/>
        <v>43738</v>
      </c>
      <c r="V48" s="33">
        <f t="shared" si="134"/>
        <v>43830</v>
      </c>
      <c r="W48" s="33">
        <f t="shared" si="134"/>
        <v>43921</v>
      </c>
      <c r="X48" s="33">
        <f t="shared" si="134"/>
        <v>44012</v>
      </c>
      <c r="Y48" s="33">
        <f t="shared" si="134"/>
        <v>44104</v>
      </c>
      <c r="Z48" s="33">
        <f t="shared" si="134"/>
        <v>44196</v>
      </c>
      <c r="AA48" s="33">
        <f t="shared" si="134"/>
        <v>44286</v>
      </c>
      <c r="AB48" s="33">
        <f t="shared" si="134"/>
        <v>44377</v>
      </c>
      <c r="AC48" s="33">
        <f t="shared" si="134"/>
        <v>44469</v>
      </c>
      <c r="AD48" s="33">
        <f t="shared" si="134"/>
        <v>44561</v>
      </c>
      <c r="AE48" s="33">
        <f t="shared" si="134"/>
        <v>44651</v>
      </c>
      <c r="AF48" s="33">
        <f t="shared" si="134"/>
        <v>44742</v>
      </c>
      <c r="AG48" s="33">
        <f t="shared" si="134"/>
        <v>44834</v>
      </c>
      <c r="AH48" s="33">
        <f t="shared" si="134"/>
        <v>44926</v>
      </c>
      <c r="AI48" s="33">
        <f t="shared" si="134"/>
        <v>45016</v>
      </c>
      <c r="AJ48" s="33">
        <f t="shared" si="134"/>
        <v>45107</v>
      </c>
      <c r="AK48" s="33">
        <f t="shared" si="134"/>
        <v>45199</v>
      </c>
      <c r="AL48" s="33">
        <f t="shared" si="134"/>
        <v>45291</v>
      </c>
      <c r="AM48" s="33">
        <f t="shared" si="134"/>
        <v>45382</v>
      </c>
      <c r="AN48" s="33">
        <f t="shared" si="134"/>
        <v>45473</v>
      </c>
      <c r="AO48" s="33">
        <f t="shared" si="134"/>
        <v>45565</v>
      </c>
      <c r="AP48" s="33">
        <f t="shared" si="134"/>
        <v>45657</v>
      </c>
      <c r="AQ48" s="33">
        <f t="shared" si="134"/>
        <v>45747</v>
      </c>
      <c r="AR48" s="33">
        <f t="shared" si="134"/>
        <v>45838</v>
      </c>
      <c r="AS48" s="33">
        <f t="shared" si="134"/>
        <v>45930</v>
      </c>
      <c r="AT48" s="33">
        <f>AT3</f>
        <v>46022</v>
      </c>
      <c r="AU48" s="33">
        <f>AU3</f>
        <v>46112</v>
      </c>
    </row>
    <row r="49" spans="2:51" s="6" customFormat="1" ht="13.5" customHeight="1" x14ac:dyDescent="0.3">
      <c r="B49" s="38" t="str">
        <f t="shared" ref="B49:M49" si="135">B23</f>
        <v>Operating profit</v>
      </c>
      <c r="C49" s="15">
        <f t="shared" si="135"/>
        <v>26034.228000000003</v>
      </c>
      <c r="D49" s="15">
        <f t="shared" si="135"/>
        <v>26793.394000000015</v>
      </c>
      <c r="E49" s="15">
        <f t="shared" si="135"/>
        <v>33808.540999999983</v>
      </c>
      <c r="F49" s="15">
        <f t="shared" si="135"/>
        <v>39630.236999999994</v>
      </c>
      <c r="G49" s="15">
        <f t="shared" si="135"/>
        <v>34251.072999999989</v>
      </c>
      <c r="H49" s="15">
        <f t="shared" si="135"/>
        <v>37780.535000000018</v>
      </c>
      <c r="I49" s="15">
        <f t="shared" si="135"/>
        <v>54191.739000000001</v>
      </c>
      <c r="J49" s="15">
        <f t="shared" si="135"/>
        <v>44561.548999999999</v>
      </c>
      <c r="K49" s="15">
        <f t="shared" si="135"/>
        <v>44775.353000000003</v>
      </c>
      <c r="L49" s="15">
        <f t="shared" ref="L49" si="136">L23</f>
        <v>44683.559999999969</v>
      </c>
      <c r="M49" s="15"/>
      <c r="N49" s="9"/>
      <c r="O49" s="15">
        <f t="shared" ref="O49:AS49" si="137">O23</f>
        <v>9414.752999999997</v>
      </c>
      <c r="P49" s="15">
        <f t="shared" si="137"/>
        <v>9191.9530000000013</v>
      </c>
      <c r="Q49" s="15">
        <f t="shared" si="137"/>
        <v>8584.747000000003</v>
      </c>
      <c r="R49" s="15">
        <f t="shared" si="137"/>
        <v>6617.0879999999888</v>
      </c>
      <c r="S49" s="15">
        <f t="shared" si="137"/>
        <v>11593.211999999996</v>
      </c>
      <c r="T49" s="15">
        <f t="shared" si="137"/>
        <v>9662.2770000000019</v>
      </c>
      <c r="U49" s="15">
        <f t="shared" si="137"/>
        <v>9970.9070000000065</v>
      </c>
      <c r="V49" s="15">
        <f t="shared" si="137"/>
        <v>8403.8410000000003</v>
      </c>
      <c r="W49" s="15">
        <f t="shared" si="137"/>
        <v>11292.113999999998</v>
      </c>
      <c r="X49" s="15">
        <f t="shared" si="137"/>
        <v>9122.974000000002</v>
      </c>
      <c r="Y49" s="15">
        <f t="shared" si="137"/>
        <v>8191.1460000000006</v>
      </c>
      <c r="Z49" s="15">
        <f t="shared" si="137"/>
        <v>5644.8389999999854</v>
      </c>
      <c r="AA49" s="15">
        <f t="shared" si="137"/>
        <v>9694.0859999999957</v>
      </c>
      <c r="AB49" s="15">
        <f t="shared" si="137"/>
        <v>9659.114999999998</v>
      </c>
      <c r="AC49" s="15">
        <f t="shared" si="137"/>
        <v>8909.1889999999985</v>
      </c>
      <c r="AD49" s="15">
        <f t="shared" si="137"/>
        <v>9518.1450000000114</v>
      </c>
      <c r="AE49" s="15">
        <f t="shared" si="137"/>
        <v>19349.741000000005</v>
      </c>
      <c r="AF49" s="15">
        <f t="shared" si="137"/>
        <v>9958.4460000000036</v>
      </c>
      <c r="AG49" s="15">
        <f t="shared" si="137"/>
        <v>11434.169000000005</v>
      </c>
      <c r="AH49" s="15">
        <f t="shared" si="137"/>
        <v>13449.382999999965</v>
      </c>
      <c r="AI49" s="15">
        <f t="shared" si="137"/>
        <v>12609.844999999998</v>
      </c>
      <c r="AJ49" s="15">
        <f t="shared" si="137"/>
        <v>12128.593000000001</v>
      </c>
      <c r="AK49" s="15">
        <f t="shared" si="137"/>
        <v>9636.7710000000006</v>
      </c>
      <c r="AL49" s="15">
        <f t="shared" si="137"/>
        <v>10186.339999999989</v>
      </c>
      <c r="AM49" s="15">
        <f t="shared" si="137"/>
        <v>11940.305999999997</v>
      </c>
      <c r="AN49" s="15">
        <f t="shared" si="137"/>
        <v>13182.636999999992</v>
      </c>
      <c r="AO49" s="15">
        <f t="shared" si="137"/>
        <v>10787.68</v>
      </c>
      <c r="AP49" s="15">
        <f t="shared" si="137"/>
        <v>8864.7300000000105</v>
      </c>
      <c r="AQ49" s="15">
        <f t="shared" si="137"/>
        <v>12214.791999999994</v>
      </c>
      <c r="AR49" s="15">
        <f t="shared" si="137"/>
        <v>10475.090000000011</v>
      </c>
      <c r="AS49" s="15">
        <f t="shared" si="137"/>
        <v>10575.162999999993</v>
      </c>
      <c r="AT49" s="15">
        <f>AT23</f>
        <v>11418.51499999997</v>
      </c>
      <c r="AU49" s="15">
        <f>AU23</f>
        <v>10908.529999999999</v>
      </c>
    </row>
    <row r="50" spans="2:51" ht="13.5" customHeight="1" x14ac:dyDescent="0.35">
      <c r="B50" s="25" t="s">
        <v>291</v>
      </c>
      <c r="C50" s="21">
        <v>23848.646000000001</v>
      </c>
      <c r="D50" s="21">
        <v>27512.688999999998</v>
      </c>
      <c r="E50" s="21">
        <v>30421.721000000001</v>
      </c>
      <c r="F50" s="21">
        <v>34143.540999999997</v>
      </c>
      <c r="G50" s="21">
        <v>35412.038</v>
      </c>
      <c r="H50" s="223">
        <v>41132.991999999998</v>
      </c>
      <c r="I50" s="223">
        <v>45653.296000000002</v>
      </c>
      <c r="J50" s="21">
        <v>47356.042999999998</v>
      </c>
      <c r="K50" s="21">
        <v>50473.04</v>
      </c>
      <c r="L50" s="21">
        <v>53871.127</v>
      </c>
      <c r="M50" s="20"/>
      <c r="N50" s="9"/>
      <c r="O50" s="21">
        <v>7285.3829999999998</v>
      </c>
      <c r="P50" s="21">
        <v>7287.6450000000004</v>
      </c>
      <c r="Q50" s="19">
        <v>7741.9809999999998</v>
      </c>
      <c r="R50" s="20">
        <f>E50-Q50-P50-O50</f>
        <v>8106.7120000000014</v>
      </c>
      <c r="S50" s="21">
        <v>7995.9319999999998</v>
      </c>
      <c r="T50" s="21">
        <v>8457.4830000000002</v>
      </c>
      <c r="U50" s="21">
        <v>8545.0859999999993</v>
      </c>
      <c r="V50" s="20">
        <f>F50-U50-T50-S50</f>
        <v>9145.0399999999972</v>
      </c>
      <c r="W50" s="21">
        <v>8639.4879999999994</v>
      </c>
      <c r="X50" s="21">
        <v>8881.1309999999994</v>
      </c>
      <c r="Y50" s="21">
        <v>9057.1669999999995</v>
      </c>
      <c r="Z50" s="20">
        <f>G50-Y50-X50-W50</f>
        <v>8834.2519999999986</v>
      </c>
      <c r="AA50" s="21">
        <v>9173.2340000000004</v>
      </c>
      <c r="AB50" s="21">
        <v>9375.2309999999998</v>
      </c>
      <c r="AC50" s="21">
        <v>10652.960999999999</v>
      </c>
      <c r="AD50" s="20">
        <f>H50-AC50-AB50-AA50</f>
        <v>11931.565999999999</v>
      </c>
      <c r="AE50" s="21">
        <v>11049.425999999999</v>
      </c>
      <c r="AF50" s="21">
        <v>11253.333000000001</v>
      </c>
      <c r="AG50" s="21">
        <v>10991.013999999999</v>
      </c>
      <c r="AH50" s="20">
        <f>I50-AG50-AF50-AE50</f>
        <v>12359.523000000008</v>
      </c>
      <c r="AI50" s="21">
        <v>11154.876</v>
      </c>
      <c r="AJ50" s="21">
        <v>11735.062</v>
      </c>
      <c r="AK50" s="21">
        <v>11604.508</v>
      </c>
      <c r="AL50" s="20">
        <f>J50-AK50-AJ50-AI50</f>
        <v>12861.596999999998</v>
      </c>
      <c r="AM50" s="21">
        <v>12299.948</v>
      </c>
      <c r="AN50" s="21">
        <v>12460.789000000001</v>
      </c>
      <c r="AO50" s="21">
        <v>12540.699000000001</v>
      </c>
      <c r="AP50" s="20">
        <f>K50-AO50-AN50-AM50</f>
        <v>13171.603999999999</v>
      </c>
      <c r="AQ50" s="21">
        <v>13441.415000000001</v>
      </c>
      <c r="AR50" s="21">
        <f>26429.849-AQ50</f>
        <v>12988.433999999997</v>
      </c>
      <c r="AS50" s="21">
        <f>39981.833-AR50-AQ50</f>
        <v>13551.984</v>
      </c>
      <c r="AT50" s="20">
        <f>L50-AS50-AR50-AQ50</f>
        <v>13889.293999999998</v>
      </c>
      <c r="AU50" s="21">
        <v>14360.804</v>
      </c>
    </row>
    <row r="51" spans="2:51" s="6" customFormat="1" ht="13.5" customHeight="1" x14ac:dyDescent="0.3">
      <c r="B51" s="6" t="s">
        <v>290</v>
      </c>
      <c r="C51" s="15">
        <f t="shared" ref="C51:U51" si="138">C49+C50</f>
        <v>49882.874000000003</v>
      </c>
      <c r="D51" s="15">
        <f t="shared" si="138"/>
        <v>54306.083000000013</v>
      </c>
      <c r="E51" s="15">
        <f t="shared" si="138"/>
        <v>64230.261999999988</v>
      </c>
      <c r="F51" s="15">
        <f t="shared" si="138"/>
        <v>73773.777999999991</v>
      </c>
      <c r="G51" s="15">
        <f t="shared" ref="G51:H51" si="139">G49+G50</f>
        <v>69663.11099999999</v>
      </c>
      <c r="H51" s="15">
        <f t="shared" si="139"/>
        <v>78913.527000000016</v>
      </c>
      <c r="I51" s="15">
        <f t="shared" ref="I51:J51" si="140">I49+I50</f>
        <v>99845.035000000003</v>
      </c>
      <c r="J51" s="15">
        <f t="shared" si="140"/>
        <v>91917.592000000004</v>
      </c>
      <c r="K51" s="15">
        <f t="shared" ref="K51:L51" si="141">K49+K50</f>
        <v>95248.393000000011</v>
      </c>
      <c r="L51" s="15">
        <f t="shared" si="141"/>
        <v>98554.686999999976</v>
      </c>
      <c r="M51" s="15"/>
      <c r="N51" s="9"/>
      <c r="O51" s="15">
        <f t="shared" si="138"/>
        <v>16700.135999999999</v>
      </c>
      <c r="P51" s="15">
        <f t="shared" si="138"/>
        <v>16479.598000000002</v>
      </c>
      <c r="Q51" s="15">
        <f t="shared" si="138"/>
        <v>16326.728000000003</v>
      </c>
      <c r="R51" s="15">
        <f t="shared" si="138"/>
        <v>14723.79999999999</v>
      </c>
      <c r="S51" s="15">
        <f t="shared" si="138"/>
        <v>19589.143999999997</v>
      </c>
      <c r="T51" s="15">
        <f t="shared" si="138"/>
        <v>18119.760000000002</v>
      </c>
      <c r="U51" s="15">
        <f t="shared" si="138"/>
        <v>18515.993000000006</v>
      </c>
      <c r="V51" s="15">
        <f>V49+V50</f>
        <v>17548.880999999998</v>
      </c>
      <c r="W51" s="15">
        <f>W49+W50</f>
        <v>19931.601999999999</v>
      </c>
      <c r="X51" s="15">
        <f t="shared" ref="X51:Y51" si="142">X49+X50</f>
        <v>18004.105000000003</v>
      </c>
      <c r="Y51" s="15">
        <f t="shared" si="142"/>
        <v>17248.313000000002</v>
      </c>
      <c r="Z51" s="15">
        <f>Z49+Z50</f>
        <v>14479.090999999984</v>
      </c>
      <c r="AA51" s="15">
        <f>AA49+AA50</f>
        <v>18867.319999999996</v>
      </c>
      <c r="AB51" s="15">
        <f t="shared" ref="AB51" si="143">AB49+AB50</f>
        <v>19034.345999999998</v>
      </c>
      <c r="AC51" s="15">
        <f>AC49+AC50</f>
        <v>19562.149999999998</v>
      </c>
      <c r="AD51" s="15">
        <f>AD49+AD50</f>
        <v>21449.71100000001</v>
      </c>
      <c r="AE51" s="15">
        <f>AE49+AE50</f>
        <v>30399.167000000005</v>
      </c>
      <c r="AF51" s="15">
        <f t="shared" ref="AF51" si="144">AF49+AF50</f>
        <v>21211.779000000002</v>
      </c>
      <c r="AG51" s="15">
        <f>AG49+AG50</f>
        <v>22425.183000000005</v>
      </c>
      <c r="AH51" s="15">
        <f>AH49+AH50</f>
        <v>25808.905999999974</v>
      </c>
      <c r="AI51" s="15">
        <f>AI49+AI50</f>
        <v>23764.720999999998</v>
      </c>
      <c r="AJ51" s="15">
        <f t="shared" ref="AJ51" si="145">AJ49+AJ50</f>
        <v>23863.654999999999</v>
      </c>
      <c r="AK51" s="15">
        <f>AK49+AK50</f>
        <v>21241.279000000002</v>
      </c>
      <c r="AL51" s="15">
        <f>AL49+AL50</f>
        <v>23047.936999999987</v>
      </c>
      <c r="AM51" s="15">
        <f>AM49+AM50</f>
        <v>24240.253999999997</v>
      </c>
      <c r="AN51" s="15">
        <f t="shared" ref="AN51" si="146">AN49+AN50</f>
        <v>25643.425999999992</v>
      </c>
      <c r="AO51" s="15">
        <f>AO49+AO50</f>
        <v>23328.379000000001</v>
      </c>
      <c r="AP51" s="15">
        <f>AP49+AP50</f>
        <v>22036.33400000001</v>
      </c>
      <c r="AQ51" s="15">
        <f>AQ49+AQ50</f>
        <v>25656.206999999995</v>
      </c>
      <c r="AR51" s="15">
        <f t="shared" ref="AR51" si="147">AR49+AR50</f>
        <v>23463.524000000009</v>
      </c>
      <c r="AS51" s="15">
        <f>AS49+AS50</f>
        <v>24127.146999999994</v>
      </c>
      <c r="AT51" s="15">
        <f>AT49+AT50</f>
        <v>25307.808999999968</v>
      </c>
      <c r="AU51" s="15">
        <f>AU49+AU50</f>
        <v>25269.333999999999</v>
      </c>
    </row>
    <row r="52" spans="2:51" s="16" customFormat="1" ht="13.5" customHeight="1" x14ac:dyDescent="0.3">
      <c r="B52" s="17" t="s">
        <v>260</v>
      </c>
      <c r="C52" s="18"/>
      <c r="D52" s="18">
        <f t="shared" ref="D52:L52" si="148">(D51-C51)/C51</f>
        <v>8.86718956890898E-2</v>
      </c>
      <c r="E52" s="18">
        <f t="shared" si="148"/>
        <v>0.18274525525989366</v>
      </c>
      <c r="F52" s="18">
        <f t="shared" si="148"/>
        <v>0.14858285958727688</v>
      </c>
      <c r="G52" s="18">
        <f t="shared" si="148"/>
        <v>-5.571989277816302E-2</v>
      </c>
      <c r="H52" s="18">
        <f t="shared" si="148"/>
        <v>0.13278786817315735</v>
      </c>
      <c r="I52" s="18">
        <f t="shared" si="148"/>
        <v>0.26524613454420792</v>
      </c>
      <c r="J52" s="18">
        <f t="shared" si="148"/>
        <v>-7.9397468286730527E-2</v>
      </c>
      <c r="K52" s="18">
        <f t="shared" si="148"/>
        <v>3.6236817430987604E-2</v>
      </c>
      <c r="L52" s="18">
        <f t="shared" si="148"/>
        <v>3.4712333676852322E-2</v>
      </c>
      <c r="M52" s="18"/>
      <c r="N52" s="9"/>
      <c r="O52" s="18"/>
      <c r="P52" s="18"/>
      <c r="Q52" s="18"/>
      <c r="R52" s="18"/>
      <c r="S52" s="18">
        <f t="shared" ref="S52:V52" si="149">S51/O51-1</f>
        <v>0.17299308221202492</v>
      </c>
      <c r="T52" s="18">
        <f t="shared" si="149"/>
        <v>9.9526820981919562E-2</v>
      </c>
      <c r="U52" s="18">
        <f t="shared" si="149"/>
        <v>0.13409086009150162</v>
      </c>
      <c r="V52" s="18">
        <f t="shared" si="149"/>
        <v>0.19187173148236258</v>
      </c>
      <c r="W52" s="18">
        <f>W51/S51-1</f>
        <v>1.7482029842651681E-2</v>
      </c>
      <c r="X52" s="18">
        <f>X51/T51-1</f>
        <v>-6.3828108098561431E-3</v>
      </c>
      <c r="Y52" s="18">
        <f>Y51/U51-1</f>
        <v>-6.8464056991164535E-2</v>
      </c>
      <c r="Z52" s="18">
        <f t="shared" ref="Z52" si="150">Z51/V51-1</f>
        <v>-0.17492796264331689</v>
      </c>
      <c r="AA52" s="18">
        <f>AA51/W51-1</f>
        <v>-5.3396711413362663E-2</v>
      </c>
      <c r="AB52" s="18">
        <f>AB51/X51-1</f>
        <v>5.722256118812874E-2</v>
      </c>
      <c r="AC52" s="18">
        <f>AC51/Y51-1</f>
        <v>0.13414859760487863</v>
      </c>
      <c r="AD52" s="18">
        <f t="shared" ref="AD52" si="151">AD51/Z51-1</f>
        <v>0.4814266309950006</v>
      </c>
      <c r="AE52" s="18">
        <f>AE51/AA51-1</f>
        <v>0.61120747408747045</v>
      </c>
      <c r="AF52" s="18">
        <f>AF51/AB51-1</f>
        <v>0.11439494690282537</v>
      </c>
      <c r="AG52" s="18">
        <f>AG51/AC51-1</f>
        <v>0.14635574310594723</v>
      </c>
      <c r="AH52" s="18">
        <f t="shared" ref="AH52" si="152">AH51/AD51-1</f>
        <v>0.20322861226428457</v>
      </c>
      <c r="AI52" s="18">
        <f>AI51/AE51-1</f>
        <v>-0.2182443354451129</v>
      </c>
      <c r="AJ52" s="18">
        <f>AJ51/AF51-1</f>
        <v>0.12501902834269574</v>
      </c>
      <c r="AK52" s="18">
        <f>AK51/AG51-1</f>
        <v>-5.2793504516774781E-2</v>
      </c>
      <c r="AL52" s="18">
        <f t="shared" ref="AL52" si="153">AL51/AH51-1</f>
        <v>-0.10697737439936394</v>
      </c>
      <c r="AM52" s="18">
        <f>AM51/AI51-1</f>
        <v>2.0010039251039391E-2</v>
      </c>
      <c r="AN52" s="18">
        <f>AN51/AJ51-1</f>
        <v>7.4580821755929394E-2</v>
      </c>
      <c r="AO52" s="18">
        <f>AO51/AK51-1</f>
        <v>9.8256795176975942E-2</v>
      </c>
      <c r="AP52" s="18">
        <f t="shared" ref="AP52" si="154">AP51/AL51-1</f>
        <v>-4.3891260202593263E-2</v>
      </c>
      <c r="AQ52" s="18">
        <f>AQ51/AM51-1</f>
        <v>5.841329055380351E-2</v>
      </c>
      <c r="AR52" s="18">
        <f>AR51/AN51-1</f>
        <v>-8.5008220040488469E-2</v>
      </c>
      <c r="AS52" s="18">
        <f>AS51/AO51-1</f>
        <v>3.4240184455164746E-2</v>
      </c>
      <c r="AT52" s="18">
        <f t="shared" ref="AT52" si="155">AT51/AP51-1</f>
        <v>0.14845822358655281</v>
      </c>
      <c r="AU52" s="18">
        <f>AU51/AQ51-1</f>
        <v>-1.507911906074022E-2</v>
      </c>
    </row>
    <row r="53" spans="2:51" s="16" customFormat="1" ht="13.5" customHeight="1" x14ac:dyDescent="0.3">
      <c r="B53" s="17" t="s">
        <v>275</v>
      </c>
      <c r="C53" s="18">
        <f t="shared" ref="C53:M53" si="156">C51/C10</f>
        <v>0.39345496817126391</v>
      </c>
      <c r="D53" s="18">
        <f t="shared" si="156"/>
        <v>0.40143250704344591</v>
      </c>
      <c r="E53" s="18">
        <f t="shared" si="156"/>
        <v>0.42487973663728906</v>
      </c>
      <c r="F53" s="18">
        <f t="shared" si="156"/>
        <v>0.44265947932170563</v>
      </c>
      <c r="G53" s="18">
        <f t="shared" si="156"/>
        <v>0.43398523402216033</v>
      </c>
      <c r="H53" s="18">
        <f t="shared" si="156"/>
        <v>0.46833938194712682</v>
      </c>
      <c r="I53" s="18">
        <f t="shared" si="156"/>
        <v>0.57041032103140943</v>
      </c>
      <c r="J53" s="18">
        <f t="shared" si="156"/>
        <v>0.51018716205702175</v>
      </c>
      <c r="K53" s="18">
        <f t="shared" si="156"/>
        <v>0.52744045138367834</v>
      </c>
      <c r="L53" s="18">
        <f t="shared" ref="L53" si="157">L51/L10</f>
        <v>0.55293297384169604</v>
      </c>
      <c r="M53" s="18"/>
      <c r="N53" s="9"/>
      <c r="O53" s="18">
        <f t="shared" ref="O53:AS53" si="158">O51/O10</f>
        <v>0.45211719886925056</v>
      </c>
      <c r="P53" s="18">
        <f t="shared" si="158"/>
        <v>0.43935824510917432</v>
      </c>
      <c r="Q53" s="18">
        <f t="shared" si="158"/>
        <v>0.43940095144930186</v>
      </c>
      <c r="R53" s="18">
        <f t="shared" si="158"/>
        <v>0.37209452309806085</v>
      </c>
      <c r="S53" s="18">
        <f t="shared" si="158"/>
        <v>0.48206299098778427</v>
      </c>
      <c r="T53" s="18">
        <f t="shared" si="158"/>
        <v>0.44318898657846018</v>
      </c>
      <c r="U53" s="18">
        <f t="shared" si="158"/>
        <v>0.4419418698239157</v>
      </c>
      <c r="V53" s="18">
        <f t="shared" si="158"/>
        <v>0.40582558026005117</v>
      </c>
      <c r="W53" s="18">
        <f t="shared" si="158"/>
        <v>0.48387831504049683</v>
      </c>
      <c r="X53" s="18">
        <f t="shared" si="158"/>
        <v>0.47854267965007802</v>
      </c>
      <c r="Y53" s="18">
        <f t="shared" si="158"/>
        <v>0.42297175079146987</v>
      </c>
      <c r="Z53" s="18">
        <f t="shared" si="158"/>
        <v>0.35378247877568891</v>
      </c>
      <c r="AA53" s="18">
        <f t="shared" si="158"/>
        <v>0.44034078676106958</v>
      </c>
      <c r="AB53" s="18">
        <f t="shared" si="158"/>
        <v>0.4579674199902104</v>
      </c>
      <c r="AC53" s="18">
        <f t="shared" si="158"/>
        <v>0.46861835780732747</v>
      </c>
      <c r="AD53" s="18">
        <f t="shared" si="158"/>
        <v>0.50657762714756094</v>
      </c>
      <c r="AE53" s="18">
        <f t="shared" si="158"/>
        <v>0.69791890033619497</v>
      </c>
      <c r="AF53" s="18">
        <f t="shared" si="158"/>
        <v>0.48467458841702954</v>
      </c>
      <c r="AG53" s="18">
        <f t="shared" si="158"/>
        <v>0.52303302005874164</v>
      </c>
      <c r="AH53" s="18">
        <f t="shared" si="158"/>
        <v>0.57553174161993792</v>
      </c>
      <c r="AI53" s="18">
        <f t="shared" si="158"/>
        <v>0.52774946598188932</v>
      </c>
      <c r="AJ53" s="18">
        <f t="shared" si="158"/>
        <v>0.53633458646194077</v>
      </c>
      <c r="AK53" s="18">
        <f t="shared" si="158"/>
        <v>0.47983236245040878</v>
      </c>
      <c r="AL53" s="18">
        <f t="shared" si="158"/>
        <v>0.49702215032450986</v>
      </c>
      <c r="AM53" s="18">
        <f t="shared" si="158"/>
        <v>0.53501492530329664</v>
      </c>
      <c r="AN53" s="18">
        <f t="shared" si="158"/>
        <v>0.57862808596425197</v>
      </c>
      <c r="AO53" s="18">
        <f t="shared" si="158"/>
        <v>0.51704183469385223</v>
      </c>
      <c r="AP53" s="18">
        <f t="shared" si="158"/>
        <v>0.48070322963278916</v>
      </c>
      <c r="AQ53" s="18">
        <f t="shared" si="158"/>
        <v>0.58635144999800137</v>
      </c>
      <c r="AR53" s="18">
        <f t="shared" si="158"/>
        <v>0.53976333391319664</v>
      </c>
      <c r="AS53" s="18">
        <f t="shared" si="158"/>
        <v>0.5438361940290769</v>
      </c>
      <c r="AT53" s="18">
        <f>AT51/AT10</f>
        <v>0.54251081723243222</v>
      </c>
      <c r="AU53" s="18">
        <f>AU51/AU10</f>
        <v>0.55286142096525015</v>
      </c>
    </row>
    <row r="54" spans="2:51" s="16" customFormat="1" ht="13.5" customHeight="1" x14ac:dyDescent="0.3">
      <c r="B54" s="24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9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</row>
    <row r="55" spans="2:51" ht="13.5" customHeight="1" x14ac:dyDescent="0.35">
      <c r="B55" s="339" t="s">
        <v>292</v>
      </c>
      <c r="C55" s="340">
        <f t="shared" ref="C55:F55" si="159">C56-C51</f>
        <v>95.521999999997206</v>
      </c>
      <c r="D55" s="340">
        <f t="shared" si="159"/>
        <v>-980.41200000001118</v>
      </c>
      <c r="E55" s="340">
        <f t="shared" si="159"/>
        <v>896.85300000001007</v>
      </c>
      <c r="F55" s="340">
        <f t="shared" si="159"/>
        <v>2257.6550000000134</v>
      </c>
      <c r="G55" s="340">
        <f t="shared" ref="G55:H55" si="160">G56-G51</f>
        <v>3849.2440000000061</v>
      </c>
      <c r="H55" s="340">
        <f t="shared" si="160"/>
        <v>-3991.6460000000225</v>
      </c>
      <c r="I55" s="340">
        <f t="shared" ref="I55:J55" si="161">I56-I51</f>
        <v>-20753.016000000003</v>
      </c>
      <c r="J55" s="340">
        <f t="shared" si="161"/>
        <v>-10490.846000000005</v>
      </c>
      <c r="K55" s="340">
        <f t="shared" ref="K55:L55" si="162">K56-K51</f>
        <v>-8434.7170000000042</v>
      </c>
      <c r="L55" s="340">
        <f t="shared" si="162"/>
        <v>-10930.37099999997</v>
      </c>
      <c r="M55" s="340"/>
      <c r="N55" s="9"/>
      <c r="O55" s="340">
        <f t="shared" ref="O55:R55" si="163">O56-O51</f>
        <v>-620.45699999999852</v>
      </c>
      <c r="P55" s="340">
        <f t="shared" si="163"/>
        <v>259.8179999999993</v>
      </c>
      <c r="Q55" s="340">
        <f t="shared" si="163"/>
        <v>149.10999999999331</v>
      </c>
      <c r="R55" s="340">
        <f t="shared" si="163"/>
        <v>1108.3820000000105</v>
      </c>
      <c r="S55" s="340">
        <f t="shared" ref="S55:Y55" si="164">S56-S51</f>
        <v>330.20900000000256</v>
      </c>
      <c r="T55" s="340">
        <f t="shared" si="164"/>
        <v>542.59099999999671</v>
      </c>
      <c r="U55" s="340">
        <f t="shared" si="164"/>
        <v>759.02099999999336</v>
      </c>
      <c r="V55" s="340">
        <f t="shared" si="164"/>
        <v>625.83400000001711</v>
      </c>
      <c r="W55" s="340">
        <f t="shared" si="164"/>
        <v>544.07600000000093</v>
      </c>
      <c r="X55" s="340">
        <f t="shared" si="164"/>
        <v>-92.230000000003201</v>
      </c>
      <c r="Y55" s="340">
        <f t="shared" si="164"/>
        <v>618.65199999999459</v>
      </c>
      <c r="Z55" s="340">
        <f t="shared" ref="Z55:AB55" si="165">Z56-Z51</f>
        <v>2778.7460000000156</v>
      </c>
      <c r="AA55" s="340">
        <f t="shared" si="165"/>
        <v>-579.38999999999578</v>
      </c>
      <c r="AB55" s="340">
        <f t="shared" si="165"/>
        <v>50.128000000004249</v>
      </c>
      <c r="AC55" s="340">
        <f>AC56-AC51</f>
        <v>-19.454000000001543</v>
      </c>
      <c r="AD55" s="340">
        <f t="shared" ref="AD55:AF55" si="166">AD56-AD51</f>
        <v>-3442.9300000000148</v>
      </c>
      <c r="AE55" s="340">
        <f t="shared" si="166"/>
        <v>-10718.827000000005</v>
      </c>
      <c r="AF55" s="340">
        <f t="shared" si="166"/>
        <v>-346.39600000009887</v>
      </c>
      <c r="AG55" s="340">
        <f>AG56-AG51</f>
        <v>-2653.367999999904</v>
      </c>
      <c r="AH55" s="340">
        <f t="shared" ref="AH55:AJ55" si="167">AH56-AH51</f>
        <v>-7034.4249999999774</v>
      </c>
      <c r="AI55" s="340">
        <f t="shared" si="167"/>
        <v>-3236.6209999999992</v>
      </c>
      <c r="AJ55" s="340">
        <f t="shared" si="167"/>
        <v>-3898.6549999999988</v>
      </c>
      <c r="AK55" s="340">
        <f>AK56-AK51</f>
        <v>-1037.9400000000023</v>
      </c>
      <c r="AL55" s="340">
        <f t="shared" ref="AL55:AN55" si="168">AL56-AL51</f>
        <v>-2317.6299999999865</v>
      </c>
      <c r="AM55" s="340">
        <f t="shared" si="168"/>
        <v>-2889.4619999999959</v>
      </c>
      <c r="AN55" s="340">
        <f t="shared" si="168"/>
        <v>-4030.4259999999922</v>
      </c>
      <c r="AO55" s="340">
        <f>AO56-AO51</f>
        <v>-1427.512999999999</v>
      </c>
      <c r="AP55" s="340">
        <f t="shared" ref="AP55:AR55" si="169">AP56-AP51</f>
        <v>-87.31600000000617</v>
      </c>
      <c r="AQ55" s="340">
        <f t="shared" si="169"/>
        <v>-4893.4929999999949</v>
      </c>
      <c r="AR55" s="340">
        <f t="shared" si="169"/>
        <v>-2086.4810000000107</v>
      </c>
      <c r="AS55" s="340">
        <f>AS56-AS51</f>
        <v>-2081.4519999999939</v>
      </c>
      <c r="AT55" s="340">
        <f>AT56-AT51</f>
        <v>-1868.9449999999524</v>
      </c>
      <c r="AU55" s="340">
        <f>AU56-AU51</f>
        <v>-3095.4679999999971</v>
      </c>
    </row>
    <row r="56" spans="2:51" s="6" customFormat="1" ht="13.5" customHeight="1" x14ac:dyDescent="0.3">
      <c r="B56" s="6" t="s">
        <v>293</v>
      </c>
      <c r="C56" s="34">
        <v>49978.396000000001</v>
      </c>
      <c r="D56" s="34">
        <v>53325.671000000002</v>
      </c>
      <c r="E56" s="34">
        <v>65127.114999999998</v>
      </c>
      <c r="F56" s="34">
        <v>76031.433000000005</v>
      </c>
      <c r="G56" s="34">
        <v>73512.354999999996</v>
      </c>
      <c r="H56" s="224">
        <v>74921.880999999994</v>
      </c>
      <c r="I56" s="224">
        <v>79092.019</v>
      </c>
      <c r="J56" s="224">
        <v>81426.745999999999</v>
      </c>
      <c r="K56" s="224">
        <v>86813.676000000007</v>
      </c>
      <c r="L56" s="224">
        <v>87624.316000000006</v>
      </c>
      <c r="M56" s="15"/>
      <c r="N56" s="9"/>
      <c r="O56" s="34">
        <v>16079.679</v>
      </c>
      <c r="P56" s="34">
        <f>32819.095-O56</f>
        <v>16739.416000000001</v>
      </c>
      <c r="Q56" s="34">
        <f>49294.933-P56-O56</f>
        <v>16475.837999999996</v>
      </c>
      <c r="R56" s="15">
        <f>E56-Q56-P56-O56</f>
        <v>15832.182000000001</v>
      </c>
      <c r="S56" s="34">
        <v>19919.352999999999</v>
      </c>
      <c r="T56" s="34">
        <f>38581.704-S56</f>
        <v>18662.350999999999</v>
      </c>
      <c r="U56" s="34">
        <f>57856.718-T56-S56</f>
        <v>19275.013999999999</v>
      </c>
      <c r="V56" s="15">
        <f>F56-U56-T56-S56</f>
        <v>18174.715000000015</v>
      </c>
      <c r="W56" s="34">
        <v>20475.678</v>
      </c>
      <c r="X56" s="34">
        <f>38387.553-W56</f>
        <v>17911.875</v>
      </c>
      <c r="Y56" s="34">
        <f>56254.518-X56-W56</f>
        <v>17866.964999999997</v>
      </c>
      <c r="Z56" s="20">
        <f>G56-Y56-X56-W56</f>
        <v>17257.837</v>
      </c>
      <c r="AA56" s="34">
        <v>18287.93</v>
      </c>
      <c r="AB56" s="34">
        <f>37372.404-AA56</f>
        <v>19084.474000000002</v>
      </c>
      <c r="AC56" s="34">
        <f>56915.1-AB56-AA56</f>
        <v>19542.695999999996</v>
      </c>
      <c r="AD56" s="20">
        <f>H56-AC56-AB56-AA56</f>
        <v>18006.780999999995</v>
      </c>
      <c r="AE56" s="34">
        <v>19680.34</v>
      </c>
      <c r="AF56" s="34">
        <f>40545.7229999999-AE56</f>
        <v>20865.382999999903</v>
      </c>
      <c r="AG56" s="34">
        <f>60317.538-AF56-AE56</f>
        <v>19771.815000000101</v>
      </c>
      <c r="AH56" s="20">
        <f>I56-AG56-AF56-AE56</f>
        <v>18774.480999999996</v>
      </c>
      <c r="AI56" s="34">
        <v>20528.099999999999</v>
      </c>
      <c r="AJ56" s="34">
        <v>19965</v>
      </c>
      <c r="AK56" s="34">
        <f>60696.439-AJ56-AI56</f>
        <v>20203.339</v>
      </c>
      <c r="AL56" s="20">
        <f>J56-AK56-AJ56-AI56</f>
        <v>20730.307000000001</v>
      </c>
      <c r="AM56" s="34">
        <v>21350.792000000001</v>
      </c>
      <c r="AN56" s="34">
        <v>21613</v>
      </c>
      <c r="AO56" s="34">
        <f>64864.658-AN56-AM56</f>
        <v>21900.866000000002</v>
      </c>
      <c r="AP56" s="15">
        <f>K56-AO56-AN56-AM56</f>
        <v>21949.018000000004</v>
      </c>
      <c r="AQ56" s="34">
        <v>20762.714</v>
      </c>
      <c r="AR56" s="34">
        <f>42139.757-AQ56</f>
        <v>21377.042999999998</v>
      </c>
      <c r="AS56" s="34">
        <f>64185.452-AR56-AQ56</f>
        <v>22045.695</v>
      </c>
      <c r="AT56" s="15">
        <f>L56-AS56-AR56-AQ56</f>
        <v>23438.864000000016</v>
      </c>
      <c r="AU56" s="34">
        <v>22173.866000000002</v>
      </c>
    </row>
    <row r="57" spans="2:51" s="16" customFormat="1" ht="13.5" customHeight="1" x14ac:dyDescent="0.3">
      <c r="B57" s="17" t="s">
        <v>260</v>
      </c>
      <c r="C57" s="18"/>
      <c r="D57" s="18">
        <f t="shared" ref="D57:L57" si="170">(D56-C56)/C56</f>
        <v>6.6974438315307305E-2</v>
      </c>
      <c r="E57" s="18">
        <f t="shared" si="170"/>
        <v>0.22130887016874096</v>
      </c>
      <c r="F57" s="18">
        <f t="shared" si="170"/>
        <v>0.16743130722127039</v>
      </c>
      <c r="G57" s="18">
        <f t="shared" si="170"/>
        <v>-3.3132059999447974E-2</v>
      </c>
      <c r="H57" s="18">
        <f t="shared" si="170"/>
        <v>1.9174001431460034E-2</v>
      </c>
      <c r="I57" s="18">
        <f t="shared" si="170"/>
        <v>5.5659814520673964E-2</v>
      </c>
      <c r="J57" s="18">
        <f t="shared" si="170"/>
        <v>2.9519122529923014E-2</v>
      </c>
      <c r="K57" s="18">
        <f t="shared" si="170"/>
        <v>6.6156763773907987E-2</v>
      </c>
      <c r="L57" s="18">
        <f t="shared" si="170"/>
        <v>9.3376992813897133E-3</v>
      </c>
      <c r="M57" s="18"/>
      <c r="N57" s="9"/>
      <c r="O57" s="18"/>
      <c r="P57" s="18"/>
      <c r="Q57" s="18"/>
      <c r="R57" s="18"/>
      <c r="S57" s="18">
        <f t="shared" ref="S57:W57" si="171">S56/O56-1</f>
        <v>0.23879046341658938</v>
      </c>
      <c r="T57" s="18">
        <f t="shared" si="171"/>
        <v>0.11487467663149054</v>
      </c>
      <c r="U57" s="18">
        <f t="shared" si="171"/>
        <v>0.16989581956316901</v>
      </c>
      <c r="V57" s="18">
        <f t="shared" si="171"/>
        <v>0.14796021167518258</v>
      </c>
      <c r="W57" s="18">
        <f t="shared" si="171"/>
        <v>2.7928868974810506E-2</v>
      </c>
      <c r="X57" s="18">
        <f>X56/T56-1</f>
        <v>-4.0213368615776179E-2</v>
      </c>
      <c r="Y57" s="18">
        <f>Y56/U56-1</f>
        <v>-7.3050478718199807E-2</v>
      </c>
      <c r="Z57" s="18">
        <f t="shared" ref="Z57" si="172">Z56/V56-1</f>
        <v>-5.0447998771920965E-2</v>
      </c>
      <c r="AA57" s="18">
        <f t="shared" ref="AA57" si="173">AA56/W56-1</f>
        <v>-0.10684618111302591</v>
      </c>
      <c r="AB57" s="18">
        <f>AB56/X56-1</f>
        <v>6.5464894099584781E-2</v>
      </c>
      <c r="AC57" s="18">
        <f>AC56/Y56-1</f>
        <v>9.3789348106967152E-2</v>
      </c>
      <c r="AD57" s="18">
        <f t="shared" ref="AD57:AE57" si="174">AD56/Z56-1</f>
        <v>4.3397327254858009E-2</v>
      </c>
      <c r="AE57" s="18">
        <f t="shared" si="174"/>
        <v>7.6138196067023323E-2</v>
      </c>
      <c r="AF57" s="18">
        <f>AF56/AB56-1</f>
        <v>9.3317164518126106E-2</v>
      </c>
      <c r="AG57" s="18">
        <f>AG56/AC56-1</f>
        <v>1.1724022110363164E-2</v>
      </c>
      <c r="AH57" s="18">
        <f t="shared" ref="AH57:AI57" si="175">AH56/AD56-1</f>
        <v>4.2633938847815189E-2</v>
      </c>
      <c r="AI57" s="18">
        <f t="shared" si="175"/>
        <v>4.3076491564678188E-2</v>
      </c>
      <c r="AJ57" s="18">
        <f>AJ56/AF56-1</f>
        <v>-4.3151999654159612E-2</v>
      </c>
      <c r="AK57" s="18">
        <f>AK56/AG56-1</f>
        <v>2.1825209268845347E-2</v>
      </c>
      <c r="AL57" s="18">
        <f t="shared" ref="AL57:AM57" si="176">AL56/AH56-1</f>
        <v>0.10417470395053829</v>
      </c>
      <c r="AM57" s="18">
        <f t="shared" si="176"/>
        <v>4.0076383104135527E-2</v>
      </c>
      <c r="AN57" s="18">
        <f>AN56/AJ56-1</f>
        <v>8.2544452792386647E-2</v>
      </c>
      <c r="AO57" s="18">
        <f>AO56/AK56-1</f>
        <v>8.4022101495203394E-2</v>
      </c>
      <c r="AP57" s="18">
        <f t="shared" ref="AP57:AQ57" si="177">AP56/AL56-1</f>
        <v>5.8788854405291913E-2</v>
      </c>
      <c r="AQ57" s="18">
        <f t="shared" si="177"/>
        <v>-2.7543615243874831E-2</v>
      </c>
      <c r="AR57" s="18">
        <f>AR56/AN56-1</f>
        <v>-1.0917364549114073E-2</v>
      </c>
      <c r="AS57" s="18">
        <f>AS56/AO56-1</f>
        <v>6.6129348492427464E-3</v>
      </c>
      <c r="AT57" s="18">
        <f>AT56/AP56-1</f>
        <v>6.787756973911141E-2</v>
      </c>
      <c r="AU57" s="18">
        <f t="shared" ref="AU57" si="178">AU56/AQ56-1</f>
        <v>6.7965681172509562E-2</v>
      </c>
    </row>
    <row r="58" spans="2:51" s="16" customFormat="1" ht="13.5" customHeight="1" x14ac:dyDescent="0.3">
      <c r="B58" s="17" t="s">
        <v>275</v>
      </c>
      <c r="C58" s="18">
        <f t="shared" ref="C58:M58" si="179">C56/C10</f>
        <v>0.39420840522201711</v>
      </c>
      <c r="D58" s="18">
        <f t="shared" si="179"/>
        <v>0.39418526648854374</v>
      </c>
      <c r="E58" s="18">
        <f t="shared" si="179"/>
        <v>0.43081237110859744</v>
      </c>
      <c r="F58" s="18">
        <f t="shared" si="179"/>
        <v>0.45620592378857366</v>
      </c>
      <c r="G58" s="18">
        <f t="shared" si="179"/>
        <v>0.45796514296059981</v>
      </c>
      <c r="H58" s="18">
        <f t="shared" si="179"/>
        <v>0.44464959020088118</v>
      </c>
      <c r="I58" s="18">
        <f t="shared" si="179"/>
        <v>0.45184924767478252</v>
      </c>
      <c r="J58" s="18">
        <f t="shared" si="179"/>
        <v>0.45195788481140747</v>
      </c>
      <c r="K58" s="18">
        <f t="shared" si="179"/>
        <v>0.48073298680972387</v>
      </c>
      <c r="L58" s="18">
        <f t="shared" ref="L58" si="180">L56/L10</f>
        <v>0.49160902542082574</v>
      </c>
      <c r="M58" s="18"/>
      <c r="N58" s="9"/>
      <c r="O58" s="18">
        <f t="shared" ref="O58:AS58" si="181">O56/O10</f>
        <v>0.43531977393457827</v>
      </c>
      <c r="P58" s="18">
        <f t="shared" si="181"/>
        <v>0.44628518474251822</v>
      </c>
      <c r="Q58" s="18">
        <f t="shared" si="181"/>
        <v>0.44341394632926817</v>
      </c>
      <c r="R58" s="18">
        <f t="shared" si="181"/>
        <v>0.40010515022560128</v>
      </c>
      <c r="S58" s="18">
        <f t="shared" si="181"/>
        <v>0.49018899885168515</v>
      </c>
      <c r="T58" s="18">
        <f t="shared" si="181"/>
        <v>0.45646015327253292</v>
      </c>
      <c r="U58" s="18">
        <f t="shared" si="181"/>
        <v>0.46005827114117775</v>
      </c>
      <c r="V58" s="18">
        <f t="shared" si="181"/>
        <v>0.4202982663644515</v>
      </c>
      <c r="W58" s="18">
        <f t="shared" si="181"/>
        <v>0.49708681569859614</v>
      </c>
      <c r="X58" s="18">
        <f t="shared" si="181"/>
        <v>0.47609123919557456</v>
      </c>
      <c r="Y58" s="18">
        <f t="shared" si="181"/>
        <v>0.43814264429106264</v>
      </c>
      <c r="Z58" s="18">
        <f t="shared" si="181"/>
        <v>0.42167842941016159</v>
      </c>
      <c r="AA58" s="18">
        <f t="shared" si="181"/>
        <v>0.42681851394004922</v>
      </c>
      <c r="AB58" s="18">
        <f t="shared" si="181"/>
        <v>0.45917350244921751</v>
      </c>
      <c r="AC58" s="18">
        <f t="shared" si="181"/>
        <v>0.4681523302217715</v>
      </c>
      <c r="AD58" s="18">
        <f t="shared" si="181"/>
        <v>0.42526598104495572</v>
      </c>
      <c r="AE58" s="18">
        <f t="shared" si="181"/>
        <v>0.45183084296495457</v>
      </c>
      <c r="AF58" s="18">
        <f t="shared" si="181"/>
        <v>0.47675967761537763</v>
      </c>
      <c r="AG58" s="18">
        <f t="shared" si="181"/>
        <v>0.46114727855254417</v>
      </c>
      <c r="AH58" s="18">
        <f t="shared" si="181"/>
        <v>0.4186659344623303</v>
      </c>
      <c r="AI58" s="18">
        <f t="shared" si="181"/>
        <v>0.45587296449315867</v>
      </c>
      <c r="AJ58" s="18">
        <f t="shared" si="181"/>
        <v>0.44871248845630091</v>
      </c>
      <c r="AK58" s="18">
        <f t="shared" si="181"/>
        <v>0.4563856951248782</v>
      </c>
      <c r="AL58" s="18">
        <f t="shared" si="181"/>
        <v>0.44704312416452913</v>
      </c>
      <c r="AM58" s="18">
        <f t="shared" si="181"/>
        <v>0.47124062260429389</v>
      </c>
      <c r="AN58" s="18">
        <f t="shared" si="181"/>
        <v>0.48768401000495726</v>
      </c>
      <c r="AO58" s="18">
        <f t="shared" si="181"/>
        <v>0.48540294797269062</v>
      </c>
      <c r="AP58" s="18">
        <f t="shared" si="181"/>
        <v>0.47879850794910894</v>
      </c>
      <c r="AQ58" s="18">
        <f t="shared" si="181"/>
        <v>0.47451470358786102</v>
      </c>
      <c r="AR58" s="18">
        <f t="shared" si="181"/>
        <v>0.49176517555017563</v>
      </c>
      <c r="AS58" s="18">
        <f t="shared" si="181"/>
        <v>0.49691937731078828</v>
      </c>
      <c r="AT58" s="18">
        <f>AT56/AT10</f>
        <v>0.50244717998463873</v>
      </c>
      <c r="AU58" s="18">
        <f>AU56/AU10</f>
        <v>0.48513645294541791</v>
      </c>
    </row>
    <row r="59" spans="2:51" s="16" customFormat="1" ht="13.5" customHeight="1" x14ac:dyDescent="0.3">
      <c r="B59" s="24"/>
      <c r="C59" s="22"/>
      <c r="D59" s="22"/>
      <c r="E59" s="22"/>
      <c r="F59" s="22"/>
      <c r="G59" s="22"/>
      <c r="H59" s="22"/>
      <c r="I59" s="22"/>
      <c r="J59" s="22"/>
      <c r="K59" s="22"/>
    </row>
    <row r="60" spans="2:51" ht="13.5" customHeight="1" x14ac:dyDescent="0.35">
      <c r="B60" s="10" t="s">
        <v>294</v>
      </c>
      <c r="C60" s="33">
        <f t="shared" ref="C60:M60" si="182">C48</f>
        <v>42735</v>
      </c>
      <c r="D60" s="33">
        <f t="shared" si="182"/>
        <v>43100</v>
      </c>
      <c r="E60" s="33">
        <f t="shared" si="182"/>
        <v>43465</v>
      </c>
      <c r="F60" s="33">
        <f t="shared" si="182"/>
        <v>43830</v>
      </c>
      <c r="G60" s="33">
        <f t="shared" si="182"/>
        <v>44196</v>
      </c>
      <c r="H60" s="33">
        <f t="shared" si="182"/>
        <v>44561</v>
      </c>
      <c r="I60" s="33">
        <f t="shared" si="182"/>
        <v>44926</v>
      </c>
      <c r="J60" s="33">
        <f t="shared" si="182"/>
        <v>45291</v>
      </c>
      <c r="K60" s="33">
        <f t="shared" si="182"/>
        <v>45657</v>
      </c>
      <c r="L60" s="33">
        <f t="shared" si="182"/>
        <v>46022</v>
      </c>
      <c r="M60" s="33"/>
      <c r="N60" s="9"/>
      <c r="O60" s="33">
        <f t="shared" ref="O60:AT60" si="183">O48</f>
        <v>43190</v>
      </c>
      <c r="P60" s="33">
        <f t="shared" si="183"/>
        <v>43281</v>
      </c>
      <c r="Q60" s="33">
        <f t="shared" si="183"/>
        <v>43373</v>
      </c>
      <c r="R60" s="33">
        <f t="shared" si="183"/>
        <v>43465</v>
      </c>
      <c r="S60" s="33">
        <f t="shared" si="183"/>
        <v>43555</v>
      </c>
      <c r="T60" s="33">
        <f t="shared" si="183"/>
        <v>43646</v>
      </c>
      <c r="U60" s="33">
        <f t="shared" si="183"/>
        <v>43738</v>
      </c>
      <c r="V60" s="33">
        <f t="shared" si="183"/>
        <v>43830</v>
      </c>
      <c r="W60" s="33">
        <f t="shared" si="183"/>
        <v>43921</v>
      </c>
      <c r="X60" s="33">
        <f t="shared" si="183"/>
        <v>44012</v>
      </c>
      <c r="Y60" s="33">
        <f t="shared" si="183"/>
        <v>44104</v>
      </c>
      <c r="Z60" s="33">
        <f t="shared" si="183"/>
        <v>44196</v>
      </c>
      <c r="AA60" s="33">
        <f t="shared" si="183"/>
        <v>44286</v>
      </c>
      <c r="AB60" s="33">
        <f t="shared" si="183"/>
        <v>44377</v>
      </c>
      <c r="AC60" s="33">
        <f t="shared" si="183"/>
        <v>44469</v>
      </c>
      <c r="AD60" s="33">
        <f t="shared" si="183"/>
        <v>44561</v>
      </c>
      <c r="AE60" s="33">
        <f t="shared" si="183"/>
        <v>44651</v>
      </c>
      <c r="AF60" s="33">
        <f t="shared" si="183"/>
        <v>44742</v>
      </c>
      <c r="AG60" s="33">
        <f t="shared" si="183"/>
        <v>44834</v>
      </c>
      <c r="AH60" s="33">
        <f t="shared" si="183"/>
        <v>44926</v>
      </c>
      <c r="AI60" s="33">
        <f t="shared" si="183"/>
        <v>45016</v>
      </c>
      <c r="AJ60" s="33">
        <f t="shared" si="183"/>
        <v>45107</v>
      </c>
      <c r="AK60" s="33">
        <f t="shared" si="183"/>
        <v>45199</v>
      </c>
      <c r="AL60" s="33">
        <f t="shared" si="183"/>
        <v>45291</v>
      </c>
      <c r="AM60" s="33">
        <f t="shared" si="183"/>
        <v>45382</v>
      </c>
      <c r="AN60" s="33">
        <f t="shared" si="183"/>
        <v>45473</v>
      </c>
      <c r="AO60" s="33">
        <f t="shared" si="183"/>
        <v>45565</v>
      </c>
      <c r="AP60" s="33">
        <f t="shared" si="183"/>
        <v>45657</v>
      </c>
      <c r="AQ60" s="33">
        <f t="shared" si="183"/>
        <v>45747</v>
      </c>
      <c r="AR60" s="33">
        <f t="shared" si="183"/>
        <v>45838</v>
      </c>
      <c r="AS60" s="33">
        <f t="shared" si="183"/>
        <v>45930</v>
      </c>
      <c r="AT60" s="33">
        <f t="shared" si="183"/>
        <v>46022</v>
      </c>
      <c r="AU60" s="33">
        <f>AU48</f>
        <v>46112</v>
      </c>
    </row>
    <row r="61" spans="2:51" s="6" customFormat="1" ht="13.5" customHeight="1" x14ac:dyDescent="0.3">
      <c r="B61" s="6" t="s">
        <v>295</v>
      </c>
      <c r="C61" s="15">
        <f t="shared" ref="C61:M61" si="184">C56</f>
        <v>49978.396000000001</v>
      </c>
      <c r="D61" s="15">
        <f t="shared" si="184"/>
        <v>53325.671000000002</v>
      </c>
      <c r="E61" s="15">
        <f t="shared" si="184"/>
        <v>65127.114999999998</v>
      </c>
      <c r="F61" s="15">
        <f t="shared" si="184"/>
        <v>76031.433000000005</v>
      </c>
      <c r="G61" s="15">
        <f t="shared" si="184"/>
        <v>73512.354999999996</v>
      </c>
      <c r="H61" s="15">
        <f t="shared" si="184"/>
        <v>74921.880999999994</v>
      </c>
      <c r="I61" s="15">
        <f t="shared" si="184"/>
        <v>79092.019</v>
      </c>
      <c r="J61" s="15">
        <f t="shared" si="184"/>
        <v>81426.745999999999</v>
      </c>
      <c r="K61" s="15">
        <f t="shared" si="184"/>
        <v>86813.676000000007</v>
      </c>
      <c r="L61" s="15">
        <f t="shared" si="184"/>
        <v>87624.316000000006</v>
      </c>
      <c r="M61" s="15"/>
      <c r="N61" s="9"/>
      <c r="O61" s="15">
        <f t="shared" ref="O61:Y61" si="185">O56</f>
        <v>16079.679</v>
      </c>
      <c r="P61" s="15">
        <f t="shared" si="185"/>
        <v>16739.416000000001</v>
      </c>
      <c r="Q61" s="15">
        <f t="shared" si="185"/>
        <v>16475.837999999996</v>
      </c>
      <c r="R61" s="15">
        <f t="shared" si="185"/>
        <v>15832.182000000001</v>
      </c>
      <c r="S61" s="15">
        <f t="shared" si="185"/>
        <v>19919.352999999999</v>
      </c>
      <c r="T61" s="15">
        <f t="shared" si="185"/>
        <v>18662.350999999999</v>
      </c>
      <c r="U61" s="15">
        <f t="shared" si="185"/>
        <v>19275.013999999999</v>
      </c>
      <c r="V61" s="15">
        <f t="shared" si="185"/>
        <v>18174.715000000015</v>
      </c>
      <c r="W61" s="15">
        <f t="shared" si="185"/>
        <v>20475.678</v>
      </c>
      <c r="X61" s="15">
        <f t="shared" si="185"/>
        <v>17911.875</v>
      </c>
      <c r="Y61" s="15">
        <f t="shared" si="185"/>
        <v>17866.964999999997</v>
      </c>
      <c r="Z61" s="15">
        <f>G61-Y61-X61-W61</f>
        <v>17257.837</v>
      </c>
      <c r="AA61" s="15">
        <f>AA56</f>
        <v>18287.93</v>
      </c>
      <c r="AB61" s="15">
        <f>AB56</f>
        <v>19084.474000000002</v>
      </c>
      <c r="AC61" s="15">
        <f>AC56</f>
        <v>19542.695999999996</v>
      </c>
      <c r="AD61" s="15">
        <f>H61-AC61-AB61-AA61</f>
        <v>18006.780999999995</v>
      </c>
      <c r="AE61" s="15">
        <f>AE56</f>
        <v>19680.34</v>
      </c>
      <c r="AF61" s="15">
        <f>AF56</f>
        <v>20865.382999999903</v>
      </c>
      <c r="AG61" s="15">
        <f>AG56</f>
        <v>19771.815000000101</v>
      </c>
      <c r="AH61" s="15">
        <f>I61-AG61-AF61-AE61</f>
        <v>18774.480999999996</v>
      </c>
      <c r="AI61" s="15">
        <f>AI56</f>
        <v>20528.099999999999</v>
      </c>
      <c r="AJ61" s="15">
        <f>AJ56</f>
        <v>19965</v>
      </c>
      <c r="AK61" s="15">
        <f>AK56</f>
        <v>20203.339</v>
      </c>
      <c r="AL61" s="15">
        <f>J61-AK61-AJ61-AI61</f>
        <v>20730.307000000001</v>
      </c>
      <c r="AM61" s="15">
        <f t="shared" ref="AM61:AT61" si="186">AM56</f>
        <v>21350.792000000001</v>
      </c>
      <c r="AN61" s="15">
        <f t="shared" si="186"/>
        <v>21613</v>
      </c>
      <c r="AO61" s="15">
        <f t="shared" si="186"/>
        <v>21900.866000000002</v>
      </c>
      <c r="AP61" s="15">
        <f t="shared" si="186"/>
        <v>21949.018000000004</v>
      </c>
      <c r="AQ61" s="15">
        <f t="shared" si="186"/>
        <v>20762.714</v>
      </c>
      <c r="AR61" s="15">
        <f t="shared" si="186"/>
        <v>21377.042999999998</v>
      </c>
      <c r="AS61" s="15">
        <f t="shared" si="186"/>
        <v>22045.695</v>
      </c>
      <c r="AT61" s="15">
        <f t="shared" si="186"/>
        <v>23438.864000000016</v>
      </c>
      <c r="AU61" s="15">
        <f>AU56</f>
        <v>22173.866000000002</v>
      </c>
    </row>
    <row r="62" spans="2:51" ht="13.5" customHeight="1" x14ac:dyDescent="0.35">
      <c r="B62" s="23" t="s">
        <v>296</v>
      </c>
      <c r="C62" s="21">
        <f>-8210.048-410.495+0-4786.592+754.355+478.914+448.385+152.189</f>
        <v>-11573.292000000001</v>
      </c>
      <c r="D62" s="21">
        <f>-4865.124+914.923+0-3386.918-1177.991+6711.102-1717.582+419.351</f>
        <v>-3102.2390000000009</v>
      </c>
      <c r="E62" s="21">
        <f>-5791.841-1990.025-784.314-2327.349-147.569+2092.554-1127.092+2199.814</f>
        <v>-7875.8220000000001</v>
      </c>
      <c r="F62" s="21">
        <f>-2424.629-572.35+158.341-5301.967-258.528+6715.399-780.892+697.416</f>
        <v>-1767.2099999999991</v>
      </c>
      <c r="G62" s="21">
        <f>71455.331-80771.733</f>
        <v>-9316.4019999999873</v>
      </c>
      <c r="H62" s="21">
        <f>70871.034-80932.267</f>
        <v>-10061.233000000007</v>
      </c>
      <c r="I62" s="21">
        <f>70618.22-85205.797</f>
        <v>-14587.577000000005</v>
      </c>
      <c r="J62" s="21">
        <f>82940.152-87609.299</f>
        <v>-4669.1469999999972</v>
      </c>
      <c r="K62" s="21">
        <f>88687.001-92217.493</f>
        <v>-3530.4919999999984</v>
      </c>
      <c r="L62" s="21">
        <f>84920.35-92991.532</f>
        <v>-8071.1820000000007</v>
      </c>
      <c r="M62" s="20"/>
      <c r="N62" s="9"/>
      <c r="O62" s="21">
        <f>-2148.334-968.789-247.625-3472.483+22.809+65.75-19.816-156.293</f>
        <v>-6924.780999999999</v>
      </c>
      <c r="P62" s="21">
        <f>-1853.98-409.203-482.374-836.282-77.395+352.079+9.784+173.311-O62</f>
        <v>3800.7209999999995</v>
      </c>
      <c r="Q62" s="21">
        <f>-2621.689+329.805-610.209-2376.947-234.869-25.218+4.625+1076.467-P62-O62</f>
        <v>-1333.9750000000004</v>
      </c>
      <c r="R62" s="20">
        <f>E62-Q62-P62-O62</f>
        <v>-3417.7870000000003</v>
      </c>
      <c r="S62" s="158">
        <f>239.331+422.563+72.718-2524.429-241.037-461.624-17.641-379.324</f>
        <v>-2889.4430000000002</v>
      </c>
      <c r="T62" s="158">
        <f>-1359.651+889.863+676.893-4888.889-427.627+1192.099+198.256+238.848-S62</f>
        <v>-590.76499999999987</v>
      </c>
      <c r="U62" s="158">
        <f>52.136+1578.902+127.922-7554.799-193.98+3199.082-407.391+818.435-T62-S62</f>
        <v>1100.5150000000003</v>
      </c>
      <c r="V62" s="20">
        <f>F62-U62-T62-S62</f>
        <v>612.48300000000063</v>
      </c>
      <c r="W62" s="21">
        <f>-2816.69+917.745+455.148-4216.278-26.26-2178.084+53.541+804.809</f>
        <v>-7006.0690000000004</v>
      </c>
      <c r="X62" s="21">
        <f>-5454.823-471.231+1911.391-8850.862-220.508-2801.619+267.084-79.704-W62</f>
        <v>-8694.2029999999977</v>
      </c>
      <c r="Y62" s="21">
        <f>-3879.085-452.265+1709.442-9110.502-874.22+1132.762+189.131-216.476-X62-W62</f>
        <v>4199.0589999999984</v>
      </c>
      <c r="Z62" s="20">
        <f>G62-Y62-X62-W62</f>
        <v>2184.8110000000133</v>
      </c>
      <c r="AA62" s="21">
        <f>16827.516-20275.575</f>
        <v>-3448.0590000000011</v>
      </c>
      <c r="AB62" s="21">
        <f>34996.451-40591.308-AA62</f>
        <v>-2146.7979999999952</v>
      </c>
      <c r="AC62" s="21">
        <f>51975.393-61603.333-AB62-AA62</f>
        <v>-4033.083000000006</v>
      </c>
      <c r="AD62" s="20">
        <f>H62-AC62-AB62-AA62</f>
        <v>-433.29300000000512</v>
      </c>
      <c r="AE62" s="21">
        <f>13135.463-21299.949</f>
        <v>-8164.4860000000008</v>
      </c>
      <c r="AF62" s="21">
        <f>34035.727-43950.959-AE62</f>
        <v>-1750.7460000000028</v>
      </c>
      <c r="AG62" s="21">
        <f>51224.421-65497.527-AF62-AE62</f>
        <v>-4357.8739999999962</v>
      </c>
      <c r="AH62" s="20">
        <f>I62-AG62-AF62-AE62</f>
        <v>-314.47100000000501</v>
      </c>
      <c r="AI62" s="21">
        <f>13868.639-22152.046</f>
        <v>-8283.4069999999992</v>
      </c>
      <c r="AJ62" s="21">
        <f>36052.458-43577.131-AI62</f>
        <v>758.73399999999674</v>
      </c>
      <c r="AK62" s="21">
        <f>59305.216-65292.147-AJ62-AI62</f>
        <v>1537.7420000000056</v>
      </c>
      <c r="AL62" s="20">
        <f>J62-AK62-AJ62-AI62</f>
        <v>1317.7839999999997</v>
      </c>
      <c r="AM62" s="21">
        <f>24599.768-22882.338</f>
        <v>1717.4300000000003</v>
      </c>
      <c r="AN62" s="21">
        <f>45334.325-45745.477-AM62</f>
        <v>-2128.5820000000022</v>
      </c>
      <c r="AO62" s="21">
        <f>68605.072-68856.173-AN62-AM62</f>
        <v>160.05100000000675</v>
      </c>
      <c r="AP62" s="20">
        <f>K62-AO62-AN62-AM62</f>
        <v>-3279.3910000000033</v>
      </c>
      <c r="AQ62" s="21">
        <f>23553.519-22253.789</f>
        <v>1299.7299999999996</v>
      </c>
      <c r="AR62" s="21">
        <f>38559.505-45038.471-AQ62</f>
        <v>-7778.6959999999999</v>
      </c>
      <c r="AS62" s="21">
        <f>64426.332-68300.395-AR62-AQ62</f>
        <v>2604.9029999999984</v>
      </c>
      <c r="AT62" s="20">
        <f>L62-AS62-AR62-AQ62</f>
        <v>-4197.1189999999988</v>
      </c>
      <c r="AU62" s="21">
        <f>24297.34-23266.71</f>
        <v>1030.630000000001</v>
      </c>
    </row>
    <row r="63" spans="2:51" ht="13.5" customHeight="1" x14ac:dyDescent="0.35">
      <c r="B63" s="23" t="s">
        <v>297</v>
      </c>
      <c r="C63" s="85">
        <v>-5577.2809999999999</v>
      </c>
      <c r="D63" s="85">
        <v>-5599.2150000000001</v>
      </c>
      <c r="E63" s="36">
        <v>-4775.4449999999997</v>
      </c>
      <c r="F63" s="36">
        <v>-6090.5690000000004</v>
      </c>
      <c r="G63" s="36">
        <v>-6295.3329999999996</v>
      </c>
      <c r="H63" s="225">
        <v>-5730.5309999999999</v>
      </c>
      <c r="I63" s="225">
        <v>-5463.2179999999998</v>
      </c>
      <c r="J63" s="225">
        <v>-2493.2719999999999</v>
      </c>
      <c r="K63" s="225">
        <v>-3905.16</v>
      </c>
      <c r="L63" s="225">
        <v>-5378.5829999999996</v>
      </c>
      <c r="M63" s="20"/>
      <c r="N63" s="9"/>
      <c r="O63" s="36">
        <v>-27.931999999999999</v>
      </c>
      <c r="P63" s="36">
        <f>-2527.878-O63</f>
        <v>-2499.9460000000004</v>
      </c>
      <c r="Q63" s="36">
        <f>-3176.198-P63-O63</f>
        <v>-648.31999999999948</v>
      </c>
      <c r="R63" s="20">
        <f>E63-Q63-P63-O63</f>
        <v>-1599.2469999999996</v>
      </c>
      <c r="S63" s="85">
        <v>-52.008000000000003</v>
      </c>
      <c r="T63" s="36">
        <f>-2631.007-S63</f>
        <v>-2578.9990000000003</v>
      </c>
      <c r="U63" s="36">
        <f>-4092.817-T63-S63</f>
        <v>-1461.8099999999997</v>
      </c>
      <c r="V63" s="20">
        <f>F63-U63-T63-S63</f>
        <v>-1997.7520000000006</v>
      </c>
      <c r="W63" s="36">
        <v>-1053.181</v>
      </c>
      <c r="X63" s="36">
        <f>-2876.356-W63</f>
        <v>-1823.1750000000002</v>
      </c>
      <c r="Y63" s="36">
        <f>-4725.654-X63-W63</f>
        <v>-1849.2980000000002</v>
      </c>
      <c r="Z63" s="20">
        <f>G63-Y63-X63-W63</f>
        <v>-1569.6789999999996</v>
      </c>
      <c r="AA63" s="36">
        <v>-70.290000000000006</v>
      </c>
      <c r="AB63" s="36">
        <f>-1125.179-AA63</f>
        <v>-1054.8890000000001</v>
      </c>
      <c r="AC63" s="36">
        <f>-2017.6-AB63-AA63</f>
        <v>-892.42099999999982</v>
      </c>
      <c r="AD63" s="20">
        <f>H63-AC63-AB63-AA63</f>
        <v>-3712.9310000000005</v>
      </c>
      <c r="AE63" s="36">
        <v>-942.48500000000001</v>
      </c>
      <c r="AF63" s="36">
        <f>-2320.865-AE63</f>
        <v>-1378.3799999999997</v>
      </c>
      <c r="AG63" s="36">
        <f>-2906.983-AF63-AE63</f>
        <v>-586.11800000000051</v>
      </c>
      <c r="AH63" s="20">
        <f>I63-AG63-AF63-AE63</f>
        <v>-2556.2349999999997</v>
      </c>
      <c r="AI63" s="36">
        <v>-272.32799999999997</v>
      </c>
      <c r="AJ63" s="36">
        <f>-1960.266-AI63</f>
        <v>-1687.9380000000001</v>
      </c>
      <c r="AK63" s="36">
        <f>-1897.058-AJ63-AI63</f>
        <v>63.208000000000084</v>
      </c>
      <c r="AL63" s="20">
        <f>J63-AK63-AJ63-AI63</f>
        <v>-596.21399999999994</v>
      </c>
      <c r="AM63" s="36">
        <v>-976.375</v>
      </c>
      <c r="AN63" s="36">
        <f>-2507.32-AM63</f>
        <v>-1530.9450000000002</v>
      </c>
      <c r="AO63" s="36">
        <f>-3041.523-AN63-AM63</f>
        <v>-534.20299999999997</v>
      </c>
      <c r="AP63" s="20">
        <f>K63-AO63-AN63-AM63</f>
        <v>-863.63699999999972</v>
      </c>
      <c r="AQ63" s="36">
        <v>-818.14300000000003</v>
      </c>
      <c r="AR63" s="36">
        <f>-2472.206-356.324-AQ63</f>
        <v>-2010.3870000000002</v>
      </c>
      <c r="AS63" s="36">
        <f>-3715.028-307.724-AR63-AQ63</f>
        <v>-1194.2219999999998</v>
      </c>
      <c r="AT63" s="20">
        <f>L63-AS63-AR63-AQ63</f>
        <v>-1355.8309999999997</v>
      </c>
      <c r="AU63" s="36">
        <v>-737.76599999999996</v>
      </c>
    </row>
    <row r="64" spans="2:51" ht="13.5" customHeight="1" x14ac:dyDescent="0.35">
      <c r="B64" s="23" t="s">
        <v>298</v>
      </c>
      <c r="C64" s="85">
        <v>-3812.5320000000002</v>
      </c>
      <c r="D64" s="85">
        <v>-5525.049</v>
      </c>
      <c r="E64" s="36">
        <v>-6607.6040000000003</v>
      </c>
      <c r="F64" s="36">
        <v>-7232.5910000000003</v>
      </c>
      <c r="G64" s="36">
        <v>-6770.8770000000004</v>
      </c>
      <c r="H64" s="225">
        <v>-7692.5940000000001</v>
      </c>
      <c r="I64" s="225">
        <v>-9834.4089999999997</v>
      </c>
      <c r="J64" s="225">
        <v>-13048.218000000001</v>
      </c>
      <c r="K64" s="225">
        <v>-13901.534</v>
      </c>
      <c r="L64" s="225">
        <v>-13667.616</v>
      </c>
      <c r="M64" s="20"/>
      <c r="N64" s="9"/>
      <c r="O64" s="36">
        <v>-1305.538</v>
      </c>
      <c r="P64" s="36">
        <f>-3200.745-O64</f>
        <v>-1895.2069999999999</v>
      </c>
      <c r="Q64" s="36">
        <f>-4715.475-P64-O64</f>
        <v>-1514.7300000000005</v>
      </c>
      <c r="R64" s="20">
        <f>E64-Q64-P64-O64</f>
        <v>-1892.1289999999999</v>
      </c>
      <c r="S64" s="36">
        <v>-1954.5640000000001</v>
      </c>
      <c r="T64" s="36">
        <f>-3883.74-S64</f>
        <v>-1929.1759999999997</v>
      </c>
      <c r="U64" s="36">
        <f>-5642.768-T64-S64</f>
        <v>-1759.0280000000005</v>
      </c>
      <c r="V64" s="20">
        <f>F64-U64-T64-S64</f>
        <v>-1589.8230000000005</v>
      </c>
      <c r="W64" s="36">
        <v>-1749.925</v>
      </c>
      <c r="X64" s="36">
        <f>-3532.28-W64</f>
        <v>-1782.3550000000002</v>
      </c>
      <c r="Y64" s="36">
        <f>-5282.79-X64-W64</f>
        <v>-1750.5099999999995</v>
      </c>
      <c r="Z64" s="20">
        <f>G64-Y64-X64-W64</f>
        <v>-1488.0870000000007</v>
      </c>
      <c r="AA64" s="36">
        <v>-1951.2339999999999</v>
      </c>
      <c r="AB64" s="36">
        <f>-3533.543-AA64</f>
        <v>-1582.3090000000002</v>
      </c>
      <c r="AC64" s="36">
        <f>-5788.876-AB64-AA64</f>
        <v>-2255.3330000000001</v>
      </c>
      <c r="AD64" s="20">
        <f>H64-AC64-AB64-AA64</f>
        <v>-1903.7180000000003</v>
      </c>
      <c r="AE64" s="36">
        <v>-2421.9549999999999</v>
      </c>
      <c r="AF64" s="36">
        <f>-4526.176-AE64</f>
        <v>-2104.2210000000005</v>
      </c>
      <c r="AG64" s="36">
        <f>-7362.025-AF64-AE64</f>
        <v>-2835.8489999999993</v>
      </c>
      <c r="AH64" s="20">
        <f>I64-AG64-AF64-AE64</f>
        <v>-2472.384</v>
      </c>
      <c r="AI64" s="36">
        <v>-3069.4989999999998</v>
      </c>
      <c r="AJ64" s="36">
        <f>-5938.572-AI64</f>
        <v>-2869.0730000000003</v>
      </c>
      <c r="AK64" s="36">
        <f>-9631.626-AJ64-AI64</f>
        <v>-3693.0540000000001</v>
      </c>
      <c r="AL64" s="20">
        <f>J64-AK64-AJ64-AI64</f>
        <v>-3416.5920000000006</v>
      </c>
      <c r="AM64" s="36">
        <v>-3676.2950000000001</v>
      </c>
      <c r="AN64" s="36">
        <f>-7055.156-AM64</f>
        <v>-3378.8609999999999</v>
      </c>
      <c r="AO64" s="36">
        <f>-10809.592-AN64-AM64</f>
        <v>-3754.4360000000006</v>
      </c>
      <c r="AP64" s="20">
        <f>K64-AO64-AN64-AM64</f>
        <v>-3091.9419999999982</v>
      </c>
      <c r="AQ64" s="36">
        <v>-3758.4769999999999</v>
      </c>
      <c r="AR64" s="36">
        <f>-6777.706-AQ64</f>
        <v>-3019.2290000000003</v>
      </c>
      <c r="AS64" s="36">
        <f>-10520.728-AR64-AQ64</f>
        <v>-3743.021999999999</v>
      </c>
      <c r="AT64" s="20">
        <f>L64-AS64-AR64-AQ64</f>
        <v>-3146.8880000000008</v>
      </c>
      <c r="AU64" s="36">
        <v>-3679.125</v>
      </c>
      <c r="AY64" s="326"/>
    </row>
    <row r="65" spans="2:51" s="6" customFormat="1" ht="13.5" customHeight="1" x14ac:dyDescent="0.35">
      <c r="B65" s="6" t="s">
        <v>299</v>
      </c>
      <c r="C65" s="37">
        <f t="shared" ref="C65:F65" si="187">SUM(C61:C64)</f>
        <v>29015.290999999997</v>
      </c>
      <c r="D65" s="37">
        <f t="shared" si="187"/>
        <v>39099.168000000005</v>
      </c>
      <c r="E65" s="37">
        <f t="shared" si="187"/>
        <v>45868.243999999999</v>
      </c>
      <c r="F65" s="37">
        <f t="shared" si="187"/>
        <v>60941.062999999995</v>
      </c>
      <c r="G65" s="37">
        <f t="shared" ref="G65:H65" si="188">SUM(G61:G64)</f>
        <v>51129.743000000009</v>
      </c>
      <c r="H65" s="37">
        <f t="shared" si="188"/>
        <v>51437.522999999986</v>
      </c>
      <c r="I65" s="37">
        <f t="shared" ref="I65:J65" si="189">SUM(I61:I64)</f>
        <v>49206.814999999995</v>
      </c>
      <c r="J65" s="37">
        <f t="shared" si="189"/>
        <v>61216.109000000004</v>
      </c>
      <c r="K65" s="37">
        <f t="shared" ref="K65:L65" si="190">SUM(K61:K64)</f>
        <v>65476.490000000005</v>
      </c>
      <c r="L65" s="37">
        <f t="shared" si="190"/>
        <v>60506.935000000005</v>
      </c>
      <c r="M65" s="37"/>
      <c r="N65" s="9"/>
      <c r="O65" s="37">
        <f t="shared" ref="O65:Q65" si="191">SUM(O61:O64)</f>
        <v>7821.4279999999999</v>
      </c>
      <c r="P65" s="37">
        <f t="shared" si="191"/>
        <v>16144.984000000002</v>
      </c>
      <c r="Q65" s="37">
        <f t="shared" si="191"/>
        <v>12978.812999999995</v>
      </c>
      <c r="R65" s="37">
        <f t="shared" ref="R65:U65" si="192">SUM(R61:R64)</f>
        <v>8923.0190000000002</v>
      </c>
      <c r="S65" s="37">
        <f t="shared" si="192"/>
        <v>15023.337999999998</v>
      </c>
      <c r="T65" s="37">
        <f t="shared" si="192"/>
        <v>13563.411</v>
      </c>
      <c r="U65" s="37">
        <f t="shared" si="192"/>
        <v>17154.690999999995</v>
      </c>
      <c r="V65" s="37">
        <f>SUM(V61:V64)</f>
        <v>15199.623000000014</v>
      </c>
      <c r="W65" s="37">
        <f t="shared" ref="W65:Y65" si="193">SUM(W61:W64)</f>
        <v>10666.503000000001</v>
      </c>
      <c r="X65" s="37">
        <f t="shared" si="193"/>
        <v>5612.1420000000016</v>
      </c>
      <c r="Y65" s="37">
        <f t="shared" si="193"/>
        <v>18466.215999999997</v>
      </c>
      <c r="Z65" s="37">
        <f>SUM(Z61:Z64)</f>
        <v>16384.882000000012</v>
      </c>
      <c r="AA65" s="37">
        <f t="shared" ref="AA65:AC65" si="194">SUM(AA61:AA64)</f>
        <v>12818.346999999998</v>
      </c>
      <c r="AB65" s="37">
        <f t="shared" si="194"/>
        <v>14300.478000000006</v>
      </c>
      <c r="AC65" s="37">
        <f t="shared" si="194"/>
        <v>12361.858999999989</v>
      </c>
      <c r="AD65" s="37">
        <f>SUM(AD61:AD64)</f>
        <v>11956.838999999989</v>
      </c>
      <c r="AE65" s="37">
        <f t="shared" ref="AE65:AG65" si="195">SUM(AE61:AE64)</f>
        <v>8151.4139999999989</v>
      </c>
      <c r="AF65" s="37">
        <f t="shared" si="195"/>
        <v>15632.035999999898</v>
      </c>
      <c r="AG65" s="37">
        <f t="shared" si="195"/>
        <v>11991.974000000104</v>
      </c>
      <c r="AH65" s="37">
        <f>SUM(AH61:AH64)</f>
        <v>13431.390999999991</v>
      </c>
      <c r="AI65" s="37">
        <f t="shared" ref="AI65:AK65" si="196">SUM(AI61:AI64)</f>
        <v>8902.866</v>
      </c>
      <c r="AJ65" s="37">
        <f t="shared" si="196"/>
        <v>16166.722999999994</v>
      </c>
      <c r="AK65" s="37">
        <f t="shared" si="196"/>
        <v>18111.235000000004</v>
      </c>
      <c r="AL65" s="37">
        <f>SUM(AL61:AL64)</f>
        <v>18035.285</v>
      </c>
      <c r="AM65" s="37">
        <f t="shared" ref="AM65:AO65" si="197">SUM(AM61:AM64)</f>
        <v>18415.552000000003</v>
      </c>
      <c r="AN65" s="37">
        <f t="shared" si="197"/>
        <v>14574.611999999997</v>
      </c>
      <c r="AO65" s="37">
        <f t="shared" si="197"/>
        <v>17772.278000000006</v>
      </c>
      <c r="AP65" s="37">
        <f>SUM(AP61:AP64)</f>
        <v>14714.048000000003</v>
      </c>
      <c r="AQ65" s="37">
        <f t="shared" ref="AQ65:AS65" si="198">SUM(AQ61:AQ64)</f>
        <v>17485.824000000001</v>
      </c>
      <c r="AR65" s="37">
        <f t="shared" si="198"/>
        <v>8568.7309999999961</v>
      </c>
      <c r="AS65" s="37">
        <f t="shared" si="198"/>
        <v>19713.353999999999</v>
      </c>
      <c r="AT65" s="37">
        <f>SUM(AT61:AT64)</f>
        <v>14739.026000000018</v>
      </c>
      <c r="AU65" s="37">
        <f>SUM(AU61:AU64)</f>
        <v>18787.605000000003</v>
      </c>
      <c r="AY65" s="326"/>
    </row>
    <row r="66" spans="2:51" ht="13.5" customHeight="1" x14ac:dyDescent="0.35">
      <c r="B66" s="23" t="s">
        <v>300</v>
      </c>
      <c r="C66" s="85">
        <f>-36609.815+170.116</f>
        <v>-36439.699000000001</v>
      </c>
      <c r="D66" s="85">
        <f>-42121.307+118.117</f>
        <v>-42003.19</v>
      </c>
      <c r="E66" s="36">
        <f>-42768.194+171.638</f>
        <v>-42596.556000000004</v>
      </c>
      <c r="F66" s="36">
        <f>-50975.224+101.463</f>
        <v>-50873.760999999999</v>
      </c>
      <c r="G66" s="36">
        <f>-60268.935+93.154</f>
        <v>-60175.780999999995</v>
      </c>
      <c r="H66" s="226">
        <f>-92750.679+179.998</f>
        <v>-92570.680999999997</v>
      </c>
      <c r="I66" s="226">
        <f>-97983.036+750.716</f>
        <v>-97232.319999999992</v>
      </c>
      <c r="J66" s="226">
        <f>-70534.793+747.121</f>
        <v>-69787.672000000006</v>
      </c>
      <c r="K66" s="85">
        <f>-55960.088+1068.74</f>
        <v>-54891.348000000005</v>
      </c>
      <c r="L66" s="85">
        <f>-46067.462+1068.69</f>
        <v>-44998.771999999997</v>
      </c>
      <c r="M66" s="20"/>
      <c r="N66" s="9"/>
      <c r="O66" s="36">
        <f>-6571.389+9.891</f>
        <v>-6561.4980000000005</v>
      </c>
      <c r="P66" s="36">
        <f>-22834.957+29.306-O66</f>
        <v>-16244.152999999998</v>
      </c>
      <c r="Q66" s="36">
        <f>-32419.417+109.254-P66-O66</f>
        <v>-9504.5120000000024</v>
      </c>
      <c r="R66" s="20">
        <f>E66-Q66-P66-O66</f>
        <v>-10286.393000000004</v>
      </c>
      <c r="S66" s="36">
        <f>-8730.934+28.762</f>
        <v>-8702.1719999999987</v>
      </c>
      <c r="T66" s="36">
        <f>-18980.306+98.178-S66</f>
        <v>-10179.956000000002</v>
      </c>
      <c r="U66" s="36">
        <f>-31899.7+123.504-T66-S66</f>
        <v>-12894.067999999999</v>
      </c>
      <c r="V66" s="20">
        <f>F66-U66-T66-S66</f>
        <v>-19097.564999999999</v>
      </c>
      <c r="W66" s="36">
        <f>-10653.084+48.85</f>
        <v>-10604.234</v>
      </c>
      <c r="X66" s="36">
        <f>-20860.479+83.296-W66</f>
        <v>-10172.949000000001</v>
      </c>
      <c r="Y66" s="36">
        <f>-33349.83+102.622-X66-W66</f>
        <v>-12470.024999999998</v>
      </c>
      <c r="Z66" s="20">
        <f>G66-Y66-X66-W66</f>
        <v>-26928.572999999993</v>
      </c>
      <c r="AA66" s="36">
        <f>-19106.421+65.367</f>
        <v>-19041.054</v>
      </c>
      <c r="AB66" s="36">
        <f>-43245.625+107.228-AA66</f>
        <v>-24097.342999999997</v>
      </c>
      <c r="AC66" s="36">
        <f>-65391.078+124.371-AB66-AA66</f>
        <v>-22128.31</v>
      </c>
      <c r="AD66" s="20">
        <f>H66-AC66-AB66-AA66</f>
        <v>-27303.974000000006</v>
      </c>
      <c r="AE66" s="36">
        <f>-20983.147+37.713</f>
        <v>-20945.434000000001</v>
      </c>
      <c r="AF66" s="36">
        <f>-47243.078+205.608-AE66</f>
        <v>-26092.036</v>
      </c>
      <c r="AG66" s="36">
        <f>-71052.217+308.082-AF66-AE66</f>
        <v>-23706.665000000008</v>
      </c>
      <c r="AH66" s="20">
        <f>I66-AG66-AF66-AE66</f>
        <v>-26488.184999999983</v>
      </c>
      <c r="AI66" s="36">
        <f>-17570.97+82.83</f>
        <v>-17488.14</v>
      </c>
      <c r="AJ66" s="36">
        <f>-37652.958+307.361-AI66</f>
        <v>-19857.457000000002</v>
      </c>
      <c r="AK66" s="36">
        <f>-53979.177+455.546-AJ66-AI66</f>
        <v>-16178.034</v>
      </c>
      <c r="AL66" s="20">
        <f>J66-AK66-AJ66-AI66</f>
        <v>-16264.041000000005</v>
      </c>
      <c r="AM66" s="36">
        <f>-13739.065+194.158</f>
        <v>-13544.907000000001</v>
      </c>
      <c r="AN66" s="36">
        <f>-28236.319+1040.723-AM66</f>
        <v>-13650.688999999997</v>
      </c>
      <c r="AO66" s="36">
        <f>-40850.414+1098.163-AN66-AM66</f>
        <v>-12556.654999999997</v>
      </c>
      <c r="AP66" s="20">
        <f>K66-AO66-AN66-AM66</f>
        <v>-15139.097000000007</v>
      </c>
      <c r="AQ66" s="36">
        <f>-8437.141+115.227</f>
        <v>-8321.9139999999989</v>
      </c>
      <c r="AR66" s="36">
        <f>-18855.245+151.589-AQ66</f>
        <v>-10381.742</v>
      </c>
      <c r="AS66" s="36">
        <f>-31421.641+344.898-AR66-AQ66</f>
        <v>-12373.086999999998</v>
      </c>
      <c r="AT66" s="20">
        <f>L66-AS66-AR66-AQ66</f>
        <v>-13922.029</v>
      </c>
      <c r="AU66" s="36">
        <f>-12714.884+84.742</f>
        <v>-12630.142</v>
      </c>
      <c r="AY66" s="326"/>
    </row>
    <row r="67" spans="2:51" ht="13.5" customHeight="1" x14ac:dyDescent="0.35">
      <c r="B67" s="23" t="s">
        <v>301</v>
      </c>
      <c r="C67" s="85">
        <v>-21562.555</v>
      </c>
      <c r="D67" s="85">
        <v>-12234.212</v>
      </c>
      <c r="E67" s="36">
        <f>-111.2</f>
        <v>-111.2</v>
      </c>
      <c r="F67" s="36">
        <f>-3305-1563.649</f>
        <v>-4868.6489999999994</v>
      </c>
      <c r="G67" s="36">
        <f>-1532.5-385.181</f>
        <v>-1917.681</v>
      </c>
      <c r="H67" s="226">
        <v>-1591.856</v>
      </c>
      <c r="I67" s="226">
        <v>-585.53</v>
      </c>
      <c r="J67" s="226">
        <f>-749.39-2457.22</f>
        <v>-3206.6099999999997</v>
      </c>
      <c r="K67" s="85">
        <v>-270.14999999999998</v>
      </c>
      <c r="L67" s="85">
        <f>962.5</f>
        <v>962.5</v>
      </c>
      <c r="M67" s="20"/>
      <c r="N67" s="9"/>
      <c r="O67" s="36">
        <f>-51.2</f>
        <v>-51.2</v>
      </c>
      <c r="P67" s="36">
        <f>-111.2-O67</f>
        <v>-60</v>
      </c>
      <c r="Q67" s="36">
        <f>-111.2-P67-O67</f>
        <v>0</v>
      </c>
      <c r="R67" s="20">
        <f>E67-Q67-P67-O67</f>
        <v>0</v>
      </c>
      <c r="S67" s="36">
        <v>-1129</v>
      </c>
      <c r="T67" s="36">
        <f>-1672.25-S67</f>
        <v>-543.25</v>
      </c>
      <c r="U67" s="36">
        <f>-386.758-2734-T67-S67</f>
        <v>-1448.5079999999998</v>
      </c>
      <c r="V67" s="20">
        <f>F67-U67-T67-S67</f>
        <v>-1747.8909999999996</v>
      </c>
      <c r="W67" s="86">
        <f>-26.829-10</f>
        <v>-36.829000000000001</v>
      </c>
      <c r="X67" s="36">
        <f>-771.25-26.829-W67</f>
        <v>-761.25</v>
      </c>
      <c r="Y67" s="36">
        <f>-161.271-771.25-X67-W67</f>
        <v>-134.44199999999995</v>
      </c>
      <c r="Z67" s="20">
        <f>G67-Y67-X67-W67</f>
        <v>-985.16000000000008</v>
      </c>
      <c r="AA67" s="86">
        <v>0</v>
      </c>
      <c r="AB67" s="36">
        <f>0-AA67</f>
        <v>0</v>
      </c>
      <c r="AC67" s="36">
        <f>0-AB67-AA67</f>
        <v>0</v>
      </c>
      <c r="AD67" s="20">
        <f>H67-AC67-AB67-AA67</f>
        <v>-1591.856</v>
      </c>
      <c r="AE67" s="86">
        <v>-147.19200000000001</v>
      </c>
      <c r="AF67" s="36">
        <f>-336.966-AE67</f>
        <v>-189.774</v>
      </c>
      <c r="AG67" s="36">
        <f>-646.669-AF67-AE67</f>
        <v>-309.70299999999997</v>
      </c>
      <c r="AH67" s="20">
        <f>I67-AG67-AF67-AE67</f>
        <v>61.13900000000001</v>
      </c>
      <c r="AI67" s="36">
        <v>-220.1</v>
      </c>
      <c r="AJ67" s="36">
        <f>-300.988-AI67</f>
        <v>-80.888000000000005</v>
      </c>
      <c r="AK67" s="36">
        <f>-749.39-AJ67-AI67</f>
        <v>-448.40199999999993</v>
      </c>
      <c r="AL67" s="20">
        <f>J67-AK67-AJ67-AI67</f>
        <v>-2457.2199999999998</v>
      </c>
      <c r="AM67" s="36">
        <v>-135.65</v>
      </c>
      <c r="AN67" s="36">
        <f>-135.649-AM67</f>
        <v>1.0000000000047748E-3</v>
      </c>
      <c r="AO67" s="36">
        <f>-253.649-AN67-AM67</f>
        <v>-118</v>
      </c>
      <c r="AP67" s="20">
        <f>K67-AO67-AN67-AM67</f>
        <v>-16.500999999999976</v>
      </c>
      <c r="AQ67" s="36">
        <v>0</v>
      </c>
      <c r="AR67" s="36">
        <f>-29.349-AQ67</f>
        <v>-29.349</v>
      </c>
      <c r="AS67" s="36">
        <f>962.5-29.519-AR67-AQ67</f>
        <v>962.33</v>
      </c>
      <c r="AT67" s="20">
        <f>L67-AS67-AR67-AQ67</f>
        <v>29.518999999999959</v>
      </c>
      <c r="AU67" s="36">
        <v>-514.76199999999994</v>
      </c>
    </row>
    <row r="68" spans="2:51" s="6" customFormat="1" ht="13.5" customHeight="1" x14ac:dyDescent="0.35">
      <c r="B68" s="38" t="s">
        <v>302</v>
      </c>
      <c r="C68" s="15">
        <f t="shared" ref="C68:F68" si="199">SUM(C65:C67)</f>
        <v>-28986.963000000003</v>
      </c>
      <c r="D68" s="15">
        <f t="shared" si="199"/>
        <v>-15138.233999999997</v>
      </c>
      <c r="E68" s="15">
        <f t="shared" si="199"/>
        <v>3160.4879999999948</v>
      </c>
      <c r="F68" s="15">
        <f t="shared" si="199"/>
        <v>5198.6529999999966</v>
      </c>
      <c r="G68" s="15">
        <f t="shared" ref="G68:H68" si="200">SUM(G65:G67)</f>
        <v>-10963.718999999986</v>
      </c>
      <c r="H68" s="15">
        <f t="shared" si="200"/>
        <v>-42725.01400000001</v>
      </c>
      <c r="I68" s="15">
        <f t="shared" ref="I68:J68" si="201">SUM(I65:I67)</f>
        <v>-48611.034999999996</v>
      </c>
      <c r="J68" s="15">
        <f t="shared" si="201"/>
        <v>-11778.173000000003</v>
      </c>
      <c r="K68" s="15">
        <f t="shared" ref="K68:L68" si="202">SUM(K65:K67)</f>
        <v>10314.992</v>
      </c>
      <c r="L68" s="15">
        <f t="shared" si="202"/>
        <v>16470.663000000008</v>
      </c>
      <c r="M68" s="15"/>
      <c r="N68" s="9"/>
      <c r="O68" s="15">
        <f t="shared" ref="O68:Q68" si="203">SUM(O65:O67)</f>
        <v>1208.7299999999993</v>
      </c>
      <c r="P68" s="15">
        <f t="shared" si="203"/>
        <v>-159.16899999999623</v>
      </c>
      <c r="Q68" s="15">
        <f t="shared" si="203"/>
        <v>3474.3009999999922</v>
      </c>
      <c r="R68" s="15">
        <f t="shared" ref="R68:U68" si="204">SUM(R65:R67)</f>
        <v>-1363.3740000000034</v>
      </c>
      <c r="S68" s="15">
        <f t="shared" si="204"/>
        <v>5192.1659999999993</v>
      </c>
      <c r="T68" s="15">
        <f t="shared" si="204"/>
        <v>2840.2049999999981</v>
      </c>
      <c r="U68" s="15">
        <f t="shared" si="204"/>
        <v>2812.1149999999961</v>
      </c>
      <c r="V68" s="15">
        <f>SUM(V65:V67)</f>
        <v>-5645.8329999999842</v>
      </c>
      <c r="W68" s="15">
        <f t="shared" ref="W68:Y68" si="205">SUM(W65:W67)</f>
        <v>25.440000000000232</v>
      </c>
      <c r="X68" s="15">
        <f t="shared" si="205"/>
        <v>-5322.0569999999989</v>
      </c>
      <c r="Y68" s="15">
        <f t="shared" si="205"/>
        <v>5861.7489999999989</v>
      </c>
      <c r="Z68" s="15">
        <f>SUM(Z65:Z67)</f>
        <v>-11528.850999999981</v>
      </c>
      <c r="AA68" s="15">
        <f t="shared" ref="AA68:AC68" si="206">SUM(AA65:AA67)</f>
        <v>-6222.7070000000022</v>
      </c>
      <c r="AB68" s="15">
        <f t="shared" si="206"/>
        <v>-9796.8649999999907</v>
      </c>
      <c r="AC68" s="15">
        <f t="shared" si="206"/>
        <v>-9766.4510000000118</v>
      </c>
      <c r="AD68" s="15">
        <f>SUM(AD65:AD67)</f>
        <v>-16938.991000000016</v>
      </c>
      <c r="AE68" s="15">
        <f t="shared" ref="AE68:AG68" si="207">SUM(AE65:AE67)</f>
        <v>-12941.212000000003</v>
      </c>
      <c r="AF68" s="15">
        <f t="shared" si="207"/>
        <v>-10649.774000000101</v>
      </c>
      <c r="AG68" s="15">
        <f t="shared" si="207"/>
        <v>-12024.393999999904</v>
      </c>
      <c r="AH68" s="15">
        <f>SUM(AH65:AH67)</f>
        <v>-12995.654999999993</v>
      </c>
      <c r="AI68" s="15">
        <f t="shared" ref="AI68:AK68" si="208">SUM(AI65:AI67)</f>
        <v>-8805.3739999999998</v>
      </c>
      <c r="AJ68" s="15">
        <f t="shared" si="208"/>
        <v>-3771.6220000000076</v>
      </c>
      <c r="AK68" s="15">
        <f t="shared" si="208"/>
        <v>1484.7990000000045</v>
      </c>
      <c r="AL68" s="15">
        <f>SUM(AL65:AL67)</f>
        <v>-685.97600000000466</v>
      </c>
      <c r="AM68" s="15">
        <f t="shared" ref="AM68:AO68" si="209">SUM(AM65:AM67)</f>
        <v>4734.9950000000026</v>
      </c>
      <c r="AN68" s="15">
        <f t="shared" si="209"/>
        <v>923.92400000000066</v>
      </c>
      <c r="AO68" s="15">
        <f t="shared" si="209"/>
        <v>5097.6230000000087</v>
      </c>
      <c r="AP68" s="15">
        <f>SUM(AP65:AP67)</f>
        <v>-441.5500000000045</v>
      </c>
      <c r="AQ68" s="15">
        <f t="shared" ref="AQ68:AS68" si="210">SUM(AQ65:AQ67)</f>
        <v>9163.9100000000017</v>
      </c>
      <c r="AR68" s="15">
        <f t="shared" si="210"/>
        <v>-1842.360000000004</v>
      </c>
      <c r="AS68" s="15">
        <f t="shared" si="210"/>
        <v>8302.5970000000016</v>
      </c>
      <c r="AT68" s="15">
        <f>SUM(AT65:AT67)</f>
        <v>846.51600000001758</v>
      </c>
      <c r="AU68" s="15">
        <f>SUM(AU65:AU67)</f>
        <v>5642.7010000000037</v>
      </c>
      <c r="AX68" s="326"/>
    </row>
    <row r="69" spans="2:51" ht="13.5" customHeight="1" x14ac:dyDescent="0.35">
      <c r="B69" s="23" t="s">
        <v>303</v>
      </c>
      <c r="C69" s="21">
        <f>-135.273+180+155.672+115.257+16.12+13.671-4.78</f>
        <v>340.66700000000003</v>
      </c>
      <c r="D69" s="21">
        <f>-419.92+243.78+145.234+93.258+0-1246.965</f>
        <v>-1184.6129999999998</v>
      </c>
      <c r="E69" s="21">
        <f>-490.569+180+352.302+13.852+0.418</f>
        <v>56.003000000000007</v>
      </c>
      <c r="F69" s="21">
        <f>-48.532+70+544.739+21.368+124.056</f>
        <v>711.63100000000009</v>
      </c>
      <c r="G69" s="21">
        <f>-32.586+358.62+193.249</f>
        <v>519.28300000000002</v>
      </c>
      <c r="H69" s="223">
        <f>-57.661+70+136.152-2547.935</f>
        <v>-2399.444</v>
      </c>
      <c r="I69" s="223">
        <f>-5622.764-3383.869-681+29940.218+408+311.379+5030+175.725</f>
        <v>26177.688999999998</v>
      </c>
      <c r="J69" s="223">
        <f>-92.878-636+24858.693+660.328</f>
        <v>24790.143</v>
      </c>
      <c r="K69" s="21">
        <f>-233.565+101+857.47+598.5+27821.162</f>
        <v>29144.566999999999</v>
      </c>
      <c r="L69" s="21">
        <f>-97.942+3222.201+3023.935+747.897+654.5+600+200.595</f>
        <v>8351.1859999999997</v>
      </c>
      <c r="M69" s="20"/>
      <c r="N69" s="9"/>
      <c r="O69" s="21">
        <f>-17.876+120+68.85+13.852+0.418</f>
        <v>185.244</v>
      </c>
      <c r="P69" s="21">
        <f>-80.786+120+140.377+13.852+0.418-O69</f>
        <v>8.6170000000000186</v>
      </c>
      <c r="Q69" s="21">
        <f>-113.443+150+228.822+13.852+0.418-P69-O69</f>
        <v>85.787999999999982</v>
      </c>
      <c r="R69" s="20">
        <f>E69-Q69-P69-O69</f>
        <v>-223.64599999999999</v>
      </c>
      <c r="S69" s="21">
        <f>-24.746+70+230.368+10.684+124.056</f>
        <v>410.36200000000002</v>
      </c>
      <c r="T69" s="21">
        <f>-58.484+70+381.122+21.368+124.056-S69</f>
        <v>127.69999999999999</v>
      </c>
      <c r="U69" s="21">
        <f>-62.909+70+483.682+21.368+124.056-T69-S69</f>
        <v>98.135000000000105</v>
      </c>
      <c r="V69" s="20">
        <f>F69-U69-T69-S69</f>
        <v>75.433999999999969</v>
      </c>
      <c r="W69" s="21">
        <f>-5.447+250+74.356</f>
        <v>318.90899999999999</v>
      </c>
      <c r="X69" s="21">
        <f>-24.987+250+158.185-W69</f>
        <v>64.288999999999987</v>
      </c>
      <c r="Y69" s="21">
        <f>-26.69+250+173.451-X69-W69</f>
        <v>13.562999999999988</v>
      </c>
      <c r="Z69" s="20">
        <f>G69-Y69-X69-W69</f>
        <v>122.52200000000005</v>
      </c>
      <c r="AA69" s="21">
        <f>-14.29+23.256</f>
        <v>8.9660000000000011</v>
      </c>
      <c r="AB69" s="21">
        <f>-18.337-2547.935+70+33.001-AA69</f>
        <v>-2472.2369999999996</v>
      </c>
      <c r="AC69" s="21">
        <f>-83.696-2547.935+70+50.514-AB69-AA69</f>
        <v>-47.84600000000011</v>
      </c>
      <c r="AD69" s="20">
        <f>H69-AC69-AB69-AA69</f>
        <v>111.67299999999966</v>
      </c>
      <c r="AE69" s="21">
        <f>-10.093+21.771</f>
        <v>11.678000000000001</v>
      </c>
      <c r="AF69" s="21">
        <f>-3250.797-0+408+101.364+5030-AE69</f>
        <v>2276.8890000000001</v>
      </c>
      <c r="AG69" s="21">
        <f>-5622.764-3308.392-580-10160+408+131.356+5030+175.725--853.837-AF69-AE69</f>
        <v>-15360.805</v>
      </c>
      <c r="AH69" s="20">
        <f>I69-AG69-AF69-AE69</f>
        <v>39249.926999999996</v>
      </c>
      <c r="AI69" s="21">
        <f>-15.998+84.16</f>
        <v>68.161999999999992</v>
      </c>
      <c r="AJ69" s="21">
        <f>-40.332-160+17437.457+265.962-4145.656-AI69</f>
        <v>13289.269</v>
      </c>
      <c r="AK69" s="21">
        <f>-55.41-431+20667.675+436.195-5668.33-AJ69-AI69</f>
        <v>1591.6989999999989</v>
      </c>
      <c r="AL69" s="20">
        <f>J69-AK69-AJ69-AI69</f>
        <v>9841.012999999999</v>
      </c>
      <c r="AM69" s="21">
        <f>-7.791+4804.565+169.2</f>
        <v>4965.9739999999993</v>
      </c>
      <c r="AN69" s="21">
        <f>-111.765+14239.41+360.015-1376.732-AM69</f>
        <v>8144.9540000000006</v>
      </c>
      <c r="AO69" s="21">
        <f>-164.018+500.5+27313.807+566.957-2727.494-AN69-AM69</f>
        <v>12378.824000000001</v>
      </c>
      <c r="AP69" s="20">
        <f>K69-AO69-AN69-AM69</f>
        <v>3654.8149999999978</v>
      </c>
      <c r="AQ69" s="260">
        <f>-24.366+2087.384+122.881</f>
        <v>2185.8989999999999</v>
      </c>
      <c r="AR69" s="260">
        <f>-10.966+2002.147+200.595+306.44+308-AQ69</f>
        <v>620.31700000000001</v>
      </c>
      <c r="AS69" s="21">
        <f>-18.496+3177.259+200.595+457.705+654.5+600+476-AR69-AQ69</f>
        <v>2741.3470000000002</v>
      </c>
      <c r="AT69" s="20">
        <f>L69-AS69-AR69-AQ69</f>
        <v>2803.623</v>
      </c>
      <c r="AU69" s="260">
        <f>-101.88-22.937+158.971</f>
        <v>34.154000000000011</v>
      </c>
      <c r="AX69" s="326"/>
    </row>
    <row r="70" spans="2:51" ht="13.5" customHeight="1" x14ac:dyDescent="0.35">
      <c r="B70" s="23" t="s">
        <v>304</v>
      </c>
      <c r="C70" s="21">
        <f>-11682.483-552.087</f>
        <v>-12234.57</v>
      </c>
      <c r="D70" s="21">
        <f>-12091.736-553.791</f>
        <v>-12645.527</v>
      </c>
      <c r="E70" s="21">
        <f>-12104.579-561.812</f>
        <v>-12666.391</v>
      </c>
      <c r="F70" s="21">
        <f>-12118.071-570.087</f>
        <v>-12688.157999999999</v>
      </c>
      <c r="G70" s="21">
        <f>-14403.344-570.087</f>
        <v>-14973.430999999999</v>
      </c>
      <c r="H70" s="223">
        <f>-14425.839-570.087-10000+29977.845-20.582</f>
        <v>4961.3370000000014</v>
      </c>
      <c r="I70" s="223">
        <f>-14442.073-50.027-1306.734+16804.482</f>
        <v>1005.6479999999992</v>
      </c>
      <c r="J70" s="223">
        <f>-14418.658-50.027-1330.619</f>
        <v>-15799.304</v>
      </c>
      <c r="K70" s="223">
        <f>-14434.24-61.297-1369.672</f>
        <v>-15865.209000000001</v>
      </c>
      <c r="L70" s="223">
        <f>-14444.648-61.297-1361.45</f>
        <v>-15867.395</v>
      </c>
      <c r="M70" s="20"/>
      <c r="N70" s="9"/>
      <c r="O70" s="21">
        <f>-3023.852-260.03</f>
        <v>-3283.8819999999996</v>
      </c>
      <c r="P70" s="21">
        <f>-6050.656-260.03-O70</f>
        <v>-3026.8040000000001</v>
      </c>
      <c r="Q70" s="21">
        <f>-9077.618-520.06-P70-O70</f>
        <v>-3286.9920000000002</v>
      </c>
      <c r="R70" s="20">
        <f>E70-Q70-P70-O70</f>
        <v>-3068.7129999999997</v>
      </c>
      <c r="S70" s="21">
        <f>-3026.961-260.03</f>
        <v>-3286.991</v>
      </c>
      <c r="T70" s="21">
        <f>-6057.264-260.03-S70</f>
        <v>-3030.3029999999999</v>
      </c>
      <c r="U70" s="21">
        <f>-9087.58-520.06-T70-S70</f>
        <v>-3290.3459999999995</v>
      </c>
      <c r="V70" s="20">
        <f>F70-U70-T70-S70</f>
        <v>-3080.518</v>
      </c>
      <c r="W70" s="21">
        <f>-3596.627-260.03</f>
        <v>-3856.6570000000002</v>
      </c>
      <c r="X70" s="21">
        <f>-6909.762-260.03-W70</f>
        <v>-3313.1349999999993</v>
      </c>
      <c r="Y70" s="21">
        <f>-10222.896-520.06-X70-W70</f>
        <v>-3573.1640000000007</v>
      </c>
      <c r="Z70" s="20">
        <f>G70-Y70-X70-W70</f>
        <v>-4230.4749999999985</v>
      </c>
      <c r="AA70" s="21">
        <f>-3602.684-260.03-10.291</f>
        <v>-3873.0050000000001</v>
      </c>
      <c r="AB70" s="21">
        <f>-7210.402-260.03-20.582-AA70</f>
        <v>-3618.009</v>
      </c>
      <c r="AC70" s="21">
        <f>-10818.121-520.06-20.582-AB70-AA70</f>
        <v>-3867.7489999999989</v>
      </c>
      <c r="AD70" s="20">
        <f>H70-AC70-AB70-AA70</f>
        <v>16320.099999999999</v>
      </c>
      <c r="AE70" s="21">
        <v>-3607.7190000000001</v>
      </c>
      <c r="AF70" s="21">
        <f>-7224.139-0-0-AE70</f>
        <v>-3616.42</v>
      </c>
      <c r="AG70" s="21">
        <f>-10840.559-618.207-AF70-AE70</f>
        <v>-4234.6269999999995</v>
      </c>
      <c r="AH70" s="20">
        <f>I70-AG70-AF70-AE70</f>
        <v>12464.414000000001</v>
      </c>
      <c r="AI70" s="21">
        <v>-3601.5140000000001</v>
      </c>
      <c r="AJ70" s="21">
        <f>-7207.227-0-0-AI70</f>
        <v>-3605.7129999999997</v>
      </c>
      <c r="AK70" s="21">
        <f>-10812.941-658.452-AJ70-AI70</f>
        <v>-4264.1660000000002</v>
      </c>
      <c r="AL70" s="20">
        <f>J70-AK70-AJ70-AI70</f>
        <v>-4327.9109999999991</v>
      </c>
      <c r="AM70" s="21">
        <v>-3605.7159999999999</v>
      </c>
      <c r="AN70" s="21">
        <f>-7215.224-0-0-AM70</f>
        <v>-3609.5080000000003</v>
      </c>
      <c r="AO70" s="21">
        <f>-10824.732-681.546-AN70-AM70</f>
        <v>-4291.0540000000001</v>
      </c>
      <c r="AP70" s="20">
        <f>K70-AO70-AN70-AM70</f>
        <v>-4358.9310000000005</v>
      </c>
      <c r="AQ70" s="260">
        <v>-3609.5079999999998</v>
      </c>
      <c r="AR70" s="260">
        <f>-7221.221-664.477-AQ70</f>
        <v>-4276.1899999999996</v>
      </c>
      <c r="AS70" s="21">
        <f>-10832.934-664.477-AR70-AQ70</f>
        <v>-3611.7130000000006</v>
      </c>
      <c r="AT70" s="20">
        <f>L70-AS70-AR70-AQ70</f>
        <v>-4369.9840000000013</v>
      </c>
      <c r="AU70" s="260">
        <f>-3611.712+24837.406</f>
        <v>21225.694</v>
      </c>
      <c r="AX70" s="326"/>
    </row>
    <row r="71" spans="2:51" ht="13.5" customHeight="1" x14ac:dyDescent="0.35">
      <c r="B71" s="23" t="s">
        <v>305</v>
      </c>
      <c r="C71" s="85">
        <f>36500+21600-7993.304-17100</f>
        <v>33006.695999999996</v>
      </c>
      <c r="D71" s="85">
        <f>36430.73+4600-5953.717-9100</f>
        <v>25977.013000000006</v>
      </c>
      <c r="E71" s="36">
        <f>24156-8319.604</f>
        <v>15836.396000000001</v>
      </c>
      <c r="F71" s="36">
        <f>5000-16745.816-300-1298.341</f>
        <v>-13344.156999999999</v>
      </c>
      <c r="G71" s="36">
        <f>43998.82+18440-12928.496-17740-1536.853</f>
        <v>30233.471000000001</v>
      </c>
      <c r="H71" s="225">
        <f>50733.809+41894.04-8009.757-42258.8-3566.395</f>
        <v>38792.897000000004</v>
      </c>
      <c r="I71" s="225">
        <f>8000+82020.167-15934.168-56175-6878.96</f>
        <v>11032.038999999997</v>
      </c>
      <c r="J71" s="225">
        <f>45000+63250-20214.691-70905.167-15841.394</f>
        <v>1288.7480000000069</v>
      </c>
      <c r="K71" s="225">
        <f>27000+23310-18396.869-34572.5-17035.519</f>
        <v>-19694.887999999999</v>
      </c>
      <c r="L71" s="225">
        <f>32500.303+1036-19102.08-8298.5-15731.076</f>
        <v>-9595.353000000001</v>
      </c>
      <c r="M71" s="20"/>
      <c r="N71" s="9"/>
      <c r="O71" s="36">
        <f>2500-7030.874</f>
        <v>-4530.8739999999998</v>
      </c>
      <c r="P71" s="36">
        <f>8500-7273.571-O71</f>
        <v>5757.3029999999999</v>
      </c>
      <c r="Q71" s="36">
        <f>8500-7536.071-P71-O71</f>
        <v>-262.5</v>
      </c>
      <c r="R71" s="20">
        <f>E71-Q71-P71-O71</f>
        <v>14872.467000000001</v>
      </c>
      <c r="S71" s="85">
        <f>-9877.5-265.265</f>
        <v>-10142.764999999999</v>
      </c>
      <c r="T71" s="36">
        <f>-15620.753-563.012-S71</f>
        <v>-6041.0000000000018</v>
      </c>
      <c r="U71" s="36">
        <f>16069.379-917.982-T71-S71</f>
        <v>31335.162000000004</v>
      </c>
      <c r="V71" s="20">
        <f>F71-U71-T71-S71</f>
        <v>-28495.554000000004</v>
      </c>
      <c r="W71" s="85">
        <f>9852.22+700-1647.028-367.974</f>
        <v>8537.2179999999989</v>
      </c>
      <c r="X71" s="36">
        <f>-7791.426-3050-755.052+12852.22+13050-W71</f>
        <v>5768.5240000000013</v>
      </c>
      <c r="Y71" s="36">
        <f>42498.82+17440-12236.475-17440.5-1138.682-X71-W71</f>
        <v>14817.421</v>
      </c>
      <c r="Z71" s="20">
        <f>G71-Y71-X71-W71</f>
        <v>1110.3080000000009</v>
      </c>
      <c r="AA71" s="85">
        <f>10000+1100-6551.657-1100-397.096</f>
        <v>3051.2469999999998</v>
      </c>
      <c r="AB71" s="36">
        <f>-16900+25692+16805-6818.139-847.122-AA71</f>
        <v>14880.492000000002</v>
      </c>
      <c r="AC71" s="36">
        <f>43732.584+32789-7281.457-29390-1754.213-AB71-AA71</f>
        <v>20164.175000000003</v>
      </c>
      <c r="AD71" s="20">
        <f>H71-AC71-AB71-AA71</f>
        <v>696.98299999999972</v>
      </c>
      <c r="AE71" s="85">
        <f>8000+1820-1048.992-2125-1341.65</f>
        <v>5304.3580000000002</v>
      </c>
      <c r="AF71" s="36">
        <f>-2125+8000+32090-12180.012-2769.437-AE71</f>
        <v>17711.192999999999</v>
      </c>
      <c r="AG71" s="36">
        <f>8000+59110-15149.869-21625-4267.077-AF71-AE71</f>
        <v>3052.5030000000006</v>
      </c>
      <c r="AH71" s="20">
        <f>I71-AG71-AF71-AE71</f>
        <v>-15036.015000000003</v>
      </c>
      <c r="AI71" s="85">
        <f>17615-1064.679-13850.167-2191.295</f>
        <v>508.85900000000038</v>
      </c>
      <c r="AJ71" s="36">
        <f>-20750.167-8744.655+46570-5804.16-AI71</f>
        <v>10762.159</v>
      </c>
      <c r="AK71" s="36">
        <f>53220-12609.261-29405.167-10463.588-AJ71-AI71</f>
        <v>-10529.034</v>
      </c>
      <c r="AL71" s="20">
        <f>J71-AK71-AJ71-AI71</f>
        <v>546.76400000000649</v>
      </c>
      <c r="AM71" s="85">
        <f>3030-1083.897-6000-3268.118</f>
        <v>-7322.0149999999994</v>
      </c>
      <c r="AN71" s="36">
        <f>-21270-1337.967+16285-7333.513-AM71</f>
        <v>-6334.4650000000001</v>
      </c>
      <c r="AO71" s="36">
        <f>15000+16305-6393.87-34563-13331.5-AN71-AM71</f>
        <v>-9326.89</v>
      </c>
      <c r="AP71" s="20">
        <f>K71-AO71-AN71-AM71</f>
        <v>3288.482</v>
      </c>
      <c r="AQ71" s="36">
        <f>10000-9768.699-7000-4564.902</f>
        <v>-11333.601000000001</v>
      </c>
      <c r="AR71" s="36">
        <f>20000-13011.699-7062.5-6504.965-AQ71</f>
        <v>4754.4369999999999</v>
      </c>
      <c r="AS71" s="36">
        <f>25000+217-13929.08-7479.5-10921.101-AR71-AQ71</f>
        <v>-533.51699999999983</v>
      </c>
      <c r="AT71" s="20">
        <f>L71-AS71-AR71-AQ71</f>
        <v>-2482.6720000000005</v>
      </c>
      <c r="AU71" s="36">
        <f>-6760.248-4611.827</f>
        <v>-11372.075000000001</v>
      </c>
    </row>
    <row r="72" spans="2:51" ht="13.5" customHeight="1" x14ac:dyDescent="0.35">
      <c r="B72" s="23" t="s">
        <v>306</v>
      </c>
      <c r="C72" s="21">
        <v>5.0359999999999996</v>
      </c>
      <c r="D72" s="21">
        <f>7.913</f>
        <v>7.9130000000000003</v>
      </c>
      <c r="E72" s="21">
        <v>2.5529999999999999</v>
      </c>
      <c r="F72" s="21">
        <v>7.5529999999999999</v>
      </c>
      <c r="G72" s="21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f>-29.519</f>
        <v>-29.518999999999998</v>
      </c>
      <c r="M72" s="20"/>
      <c r="N72" s="9"/>
      <c r="O72" s="21">
        <v>0</v>
      </c>
      <c r="P72" s="21">
        <f>0.532-O72</f>
        <v>0.53200000000000003</v>
      </c>
      <c r="Q72" s="21">
        <f>2.554-P72-O72</f>
        <v>2.0219999999999998</v>
      </c>
      <c r="R72" s="20">
        <f>E72-Q72-P72-O72</f>
        <v>-9.9999999999988987E-4</v>
      </c>
      <c r="S72" s="21">
        <v>0.89500000000000002</v>
      </c>
      <c r="T72" s="21">
        <f>1.69-S72</f>
        <v>0.79499999999999993</v>
      </c>
      <c r="U72" s="21">
        <f>7.553-T72-S72</f>
        <v>5.8629999999999995</v>
      </c>
      <c r="V72" s="20">
        <f>F72-U72-T72-S72</f>
        <v>0</v>
      </c>
      <c r="W72" s="21">
        <v>0</v>
      </c>
      <c r="X72" s="21">
        <f>0-W72</f>
        <v>0</v>
      </c>
      <c r="Y72" s="21">
        <f>0-X72-W72</f>
        <v>0</v>
      </c>
      <c r="Z72" s="20">
        <f>G72-Y72-X72-W72</f>
        <v>0</v>
      </c>
      <c r="AA72" s="21">
        <v>0</v>
      </c>
      <c r="AB72" s="21">
        <f>0-AA72</f>
        <v>0</v>
      </c>
      <c r="AC72" s="21">
        <f>0-AB72-AA72</f>
        <v>0</v>
      </c>
      <c r="AD72" s="20">
        <f>H72-AC72-AB72-AA72</f>
        <v>0</v>
      </c>
      <c r="AE72" s="21">
        <v>0</v>
      </c>
      <c r="AF72" s="21">
        <f>-824.276-AE72</f>
        <v>-824.27599999999995</v>
      </c>
      <c r="AG72" s="21">
        <f>0-AF72-AE72</f>
        <v>824.27599999999995</v>
      </c>
      <c r="AH72" s="20">
        <f>I72-AG72-AF72-AE72</f>
        <v>0</v>
      </c>
      <c r="AI72" s="21">
        <v>0</v>
      </c>
      <c r="AJ72" s="21">
        <f>-658.452-AI72</f>
        <v>-658.452</v>
      </c>
      <c r="AK72" s="21">
        <f>0-AJ72-AI72</f>
        <v>658.452</v>
      </c>
      <c r="AL72" s="20">
        <f>J72-AK72-AJ72-AI72</f>
        <v>0</v>
      </c>
      <c r="AM72" s="21">
        <v>0</v>
      </c>
      <c r="AN72" s="21">
        <f>-681.546-AM72</f>
        <v>-681.54600000000005</v>
      </c>
      <c r="AO72" s="21">
        <f>0-AN72-AM72</f>
        <v>681.54600000000005</v>
      </c>
      <c r="AP72" s="20">
        <f>K72-AO72-AN72-AM72</f>
        <v>0</v>
      </c>
      <c r="AQ72" s="260">
        <v>0</v>
      </c>
      <c r="AR72" s="260">
        <f>0-AQ72</f>
        <v>0</v>
      </c>
      <c r="AS72" s="21">
        <f>0-AR72-AQ72</f>
        <v>0</v>
      </c>
      <c r="AT72" s="20">
        <f>L72-AS72-AR72-AQ72</f>
        <v>-29.518999999999998</v>
      </c>
      <c r="AU72" s="260">
        <v>0</v>
      </c>
    </row>
    <row r="73" spans="2:51" ht="13.5" customHeight="1" x14ac:dyDescent="0.35">
      <c r="B73" s="38" t="s">
        <v>307</v>
      </c>
      <c r="C73" s="15">
        <f t="shared" ref="C73:E73" si="211">SUM(C68:C72)</f>
        <v>-7869.1340000000055</v>
      </c>
      <c r="D73" s="15">
        <f t="shared" si="211"/>
        <v>-2983.4479999999899</v>
      </c>
      <c r="E73" s="15">
        <f t="shared" si="211"/>
        <v>6389.0489999999954</v>
      </c>
      <c r="F73" s="15">
        <f t="shared" ref="F73:M73" si="212">SUM(F68:F72)</f>
        <v>-20114.478000000003</v>
      </c>
      <c r="G73" s="15">
        <f t="shared" si="212"/>
        <v>4815.6040000000175</v>
      </c>
      <c r="H73" s="15">
        <f t="shared" si="212"/>
        <v>-1370.2240000000093</v>
      </c>
      <c r="I73" s="15">
        <f t="shared" si="212"/>
        <v>-10395.659</v>
      </c>
      <c r="J73" s="15">
        <f t="shared" si="212"/>
        <v>-1498.5859999999957</v>
      </c>
      <c r="K73" s="15">
        <f t="shared" ref="K73:L73" si="213">SUM(K68:K72)</f>
        <v>3899.4619999999995</v>
      </c>
      <c r="L73" s="15">
        <f t="shared" si="213"/>
        <v>-670.41799999999216</v>
      </c>
      <c r="M73" s="15"/>
      <c r="N73" s="9"/>
      <c r="O73" s="15">
        <f t="shared" ref="O73:Q73" si="214">SUM(O68:O72)</f>
        <v>-6420.7820000000002</v>
      </c>
      <c r="P73" s="15">
        <f t="shared" si="214"/>
        <v>2580.4790000000039</v>
      </c>
      <c r="Q73" s="15">
        <f t="shared" si="214"/>
        <v>12.618999999992022</v>
      </c>
      <c r="R73" s="15">
        <f t="shared" ref="R73:U73" si="215">SUM(R68:R72)</f>
        <v>10216.732999999997</v>
      </c>
      <c r="S73" s="15">
        <f t="shared" si="215"/>
        <v>-7826.3329999999996</v>
      </c>
      <c r="T73" s="15">
        <f t="shared" si="215"/>
        <v>-6102.6030000000037</v>
      </c>
      <c r="U73" s="15">
        <f t="shared" si="215"/>
        <v>30960.929</v>
      </c>
      <c r="V73" s="15">
        <f>SUM(V68:V72)</f>
        <v>-37146.47099999999</v>
      </c>
      <c r="W73" s="15">
        <f t="shared" ref="W73:Y73" si="216">SUM(W68:W72)</f>
        <v>5024.9099999999989</v>
      </c>
      <c r="X73" s="15">
        <f t="shared" si="216"/>
        <v>-2802.3789999999972</v>
      </c>
      <c r="Y73" s="15">
        <f t="shared" si="216"/>
        <v>17119.569</v>
      </c>
      <c r="Z73" s="15">
        <f>SUM(Z68:Z72)</f>
        <v>-14526.495999999977</v>
      </c>
      <c r="AA73" s="15">
        <f t="shared" ref="AA73:AC73" si="217">SUM(AA68:AA72)</f>
        <v>-7035.4990000000034</v>
      </c>
      <c r="AB73" s="15">
        <f t="shared" si="217"/>
        <v>-1006.6189999999879</v>
      </c>
      <c r="AC73" s="15">
        <f t="shared" si="217"/>
        <v>6482.1289999999935</v>
      </c>
      <c r="AD73" s="15">
        <f>SUM(AD68:AD72)</f>
        <v>189.76499999998077</v>
      </c>
      <c r="AE73" s="15">
        <f t="shared" ref="AE73:AG73" si="218">SUM(AE68:AE72)</f>
        <v>-11232.895000000004</v>
      </c>
      <c r="AF73" s="15">
        <f t="shared" si="218"/>
        <v>4897.6119999998991</v>
      </c>
      <c r="AG73" s="15">
        <f t="shared" si="218"/>
        <v>-27743.046999999904</v>
      </c>
      <c r="AH73" s="15">
        <f>SUM(AH68:AH72)</f>
        <v>23682.670999999998</v>
      </c>
      <c r="AI73" s="15">
        <f t="shared" ref="AI73:AK73" si="219">SUM(AI68:AI72)</f>
        <v>-11829.866999999998</v>
      </c>
      <c r="AJ73" s="15">
        <f t="shared" si="219"/>
        <v>16015.640999999994</v>
      </c>
      <c r="AK73" s="15">
        <f t="shared" si="219"/>
        <v>-11058.249999999998</v>
      </c>
      <c r="AL73" s="15">
        <f>SUM(AL68:AL72)</f>
        <v>5373.8900000000021</v>
      </c>
      <c r="AM73" s="15">
        <f t="shared" ref="AM73:AO73" si="220">SUM(AM68:AM72)</f>
        <v>-1226.7619999999988</v>
      </c>
      <c r="AN73" s="15">
        <f t="shared" si="220"/>
        <v>-1556.6409999999994</v>
      </c>
      <c r="AO73" s="15">
        <f t="shared" si="220"/>
        <v>4540.0490000000082</v>
      </c>
      <c r="AP73" s="15">
        <f>SUM(AP68:AP72)</f>
        <v>2142.8159999999925</v>
      </c>
      <c r="AQ73" s="15">
        <f t="shared" ref="AQ73:AS73" si="221">SUM(AQ68:AQ72)</f>
        <v>-3593.2999999999993</v>
      </c>
      <c r="AR73" s="15">
        <f t="shared" si="221"/>
        <v>-743.79600000000391</v>
      </c>
      <c r="AS73" s="15">
        <f t="shared" si="221"/>
        <v>6898.7140000000009</v>
      </c>
      <c r="AT73" s="15">
        <f>SUM(AT68:AT72)</f>
        <v>-3232.0359999999841</v>
      </c>
      <c r="AU73" s="15">
        <f>SUM(AU68:AU72)</f>
        <v>15530.474000000002</v>
      </c>
      <c r="AX73" s="101"/>
      <c r="AY73" s="101"/>
    </row>
    <row r="74" spans="2:51" ht="13.5" customHeight="1" x14ac:dyDescent="0.35">
      <c r="B74" s="23" t="s">
        <v>308</v>
      </c>
      <c r="C74" s="19">
        <f>-3234.36-C73</f>
        <v>4634.7740000000049</v>
      </c>
      <c r="D74" s="19">
        <f>2696.597-D73</f>
        <v>5680.0449999999901</v>
      </c>
      <c r="E74" s="19">
        <f>11763.73-E73</f>
        <v>5374.6810000000041</v>
      </c>
      <c r="F74" s="19">
        <f>-14245.913-F73</f>
        <v>5868.5650000000023</v>
      </c>
      <c r="G74" s="19">
        <f>12074.982-G73</f>
        <v>7259.3779999999824</v>
      </c>
      <c r="H74" s="222">
        <f>4640.162-H73</f>
        <v>6010.3860000000095</v>
      </c>
      <c r="I74" s="222">
        <f>-6492.979-I73</f>
        <v>3902.6799999999994</v>
      </c>
      <c r="J74" s="222">
        <f>-1590.496-J73</f>
        <v>-91.910000000004402</v>
      </c>
      <c r="K74" s="222">
        <f>4574.798-K73</f>
        <v>675.33600000000024</v>
      </c>
      <c r="L74" s="19">
        <f>4060.432-L73</f>
        <v>4730.8499999999922</v>
      </c>
      <c r="M74" s="20"/>
      <c r="N74" s="9"/>
      <c r="O74" s="19">
        <f>-5198.816-O73</f>
        <v>1221.9660000000003</v>
      </c>
      <c r="P74" s="19">
        <f>-965.845-P73-O74-O73</f>
        <v>1652.4919999999956</v>
      </c>
      <c r="Q74" s="19">
        <f>443.048-Q73-P74-P73-O74-O73</f>
        <v>1396.2740000000085</v>
      </c>
      <c r="R74" s="20">
        <f>E74-Q74-P74-O74</f>
        <v>1103.9489999999996</v>
      </c>
      <c r="S74" s="19">
        <f>-6687.7-S73</f>
        <v>1138.6329999999998</v>
      </c>
      <c r="T74" s="19">
        <f>-11032.549-T73-S74-S73</f>
        <v>1757.7540000000026</v>
      </c>
      <c r="U74" s="19">
        <f>-11189-U73-T74-T73-S74-S73</f>
        <v>-31117.380000000005</v>
      </c>
      <c r="V74" s="20">
        <f>F74-U74-T74-S74</f>
        <v>34089.558000000005</v>
      </c>
      <c r="W74" s="19">
        <f>6360.293-W73</f>
        <v>1335.3830000000007</v>
      </c>
      <c r="X74" s="19">
        <f>6689.671-X73-W74-W73</f>
        <v>3131.7569999999978</v>
      </c>
      <c r="Y74" s="19">
        <f>25109.517-Y73-X74-X73-W74-W73</f>
        <v>1300.277</v>
      </c>
      <c r="Z74" s="20">
        <f>G74-Y74-X74-W74</f>
        <v>1491.9609999999839</v>
      </c>
      <c r="AA74" s="19">
        <f>-5047.854-AA73</f>
        <v>1987.6450000000032</v>
      </c>
      <c r="AB74" s="19">
        <f>-4823.214-AB73-AA74-AA73</f>
        <v>1231.2589999999882</v>
      </c>
      <c r="AC74" s="19">
        <f>-6912.335-AC73-AB74-AB73-AA74-AA73</f>
        <v>-8571.2499999999927</v>
      </c>
      <c r="AD74" s="20">
        <f>H74-AC74-AB74-AA74</f>
        <v>11362.732000000011</v>
      </c>
      <c r="AE74" s="19">
        <f>-9613.286-AE73</f>
        <v>1619.609000000004</v>
      </c>
      <c r="AF74" s="19">
        <f>-8519.871-AF73-AE74-AE73</f>
        <v>-3804.1969999998983</v>
      </c>
      <c r="AG74" s="19">
        <f>-10302.742-AG73-AF74-AF73-AE74-AE73</f>
        <v>25960.175999999905</v>
      </c>
      <c r="AH74" s="20">
        <f>I74-AG74-AF74-AE74</f>
        <v>-19872.90800000001</v>
      </c>
      <c r="AI74" s="19">
        <f>-1854.068-AI73</f>
        <v>9975.7989999999991</v>
      </c>
      <c r="AJ74" s="19">
        <f>7269.806-AJ73-AI74-AI73</f>
        <v>-6891.7669999999962</v>
      </c>
      <c r="AK74" s="19">
        <f>-2276.768-AK73-AJ74-AJ73-AI74-AI73</f>
        <v>1511.6759999999995</v>
      </c>
      <c r="AL74" s="20">
        <f>J74-AK74-AJ74-AI74</f>
        <v>-4687.6180000000068</v>
      </c>
      <c r="AM74" s="19">
        <f>304.784-AM73</f>
        <v>1531.5459999999989</v>
      </c>
      <c r="AN74" s="19">
        <f>1998.282-AN73-AM74-AM73</f>
        <v>3250.1389999999992</v>
      </c>
      <c r="AO74" s="19">
        <f>5748.161-AO73-AN74-AN73-AM74-AM73</f>
        <v>-790.17000000000803</v>
      </c>
      <c r="AP74" s="20">
        <f>K74-AO74-AN74-AM74</f>
        <v>-3316.1789999999901</v>
      </c>
      <c r="AQ74" s="19">
        <f>-2102.225-483.245-AQ73</f>
        <v>1007.8299999999995</v>
      </c>
      <c r="AR74" s="19">
        <f>-1438.382-AR73-AQ74-AQ73-461.9</f>
        <v>1428.9840000000036</v>
      </c>
      <c r="AS74" s="19">
        <f>6676.561-AS73-AR74-AR73-AQ74-AQ73-349.059</f>
        <v>1329.069999999999</v>
      </c>
      <c r="AT74" s="20">
        <f>L74-AS74-AR74-AQ74</f>
        <v>964.96599999999034</v>
      </c>
      <c r="AU74" s="19">
        <f>16623.318-AU73</f>
        <v>1092.8439999999973</v>
      </c>
      <c r="AX74" s="341"/>
      <c r="AY74" s="326"/>
    </row>
    <row r="75" spans="2:51" ht="13.5" customHeight="1" x14ac:dyDescent="0.35">
      <c r="B75" s="23" t="s">
        <v>309</v>
      </c>
      <c r="C75" s="39">
        <v>52.832999999999998</v>
      </c>
      <c r="D75" s="39">
        <v>-107.229</v>
      </c>
      <c r="E75" s="39">
        <v>240.43600000000001</v>
      </c>
      <c r="F75" s="39">
        <v>-682.38099999999997</v>
      </c>
      <c r="G75" s="39">
        <v>-864.96</v>
      </c>
      <c r="H75" s="227">
        <v>90.918999999999997</v>
      </c>
      <c r="I75" s="227">
        <v>287.56900000000002</v>
      </c>
      <c r="J75" s="227">
        <v>201.78800000000001</v>
      </c>
      <c r="K75" s="227">
        <v>133.78399999999999</v>
      </c>
      <c r="L75" s="227">
        <v>145.52799999999999</v>
      </c>
      <c r="M75" s="20"/>
      <c r="N75" s="9"/>
      <c r="O75" s="39">
        <v>280.536</v>
      </c>
      <c r="P75" s="39">
        <f>382.394-O75</f>
        <v>101.858</v>
      </c>
      <c r="Q75" s="39">
        <f>468.025-P75-O75</f>
        <v>85.630999999999972</v>
      </c>
      <c r="R75" s="20">
        <f>E75-Q75-P75-O75</f>
        <v>-227.58899999999997</v>
      </c>
      <c r="S75" s="39">
        <v>20.423999999999999</v>
      </c>
      <c r="T75" s="39">
        <f>-407.556-S75</f>
        <v>-427.97999999999996</v>
      </c>
      <c r="U75" s="39">
        <f>-407.476-T75-S75</f>
        <v>7.9999999999962768E-2</v>
      </c>
      <c r="V75" s="20">
        <f>F75-U75-T75-S75</f>
        <v>-274.90499999999992</v>
      </c>
      <c r="W75" s="39">
        <v>-139.28399999999999</v>
      </c>
      <c r="X75" s="39">
        <f>-202.528-W75</f>
        <v>-63.244</v>
      </c>
      <c r="Y75" s="39">
        <f>-780.489-X75-W75</f>
        <v>-577.96100000000001</v>
      </c>
      <c r="Z75" s="20">
        <f>G75-Y75-X75-W75</f>
        <v>-84.471000000000032</v>
      </c>
      <c r="AA75" s="39">
        <v>24.114000000000001</v>
      </c>
      <c r="AB75" s="39">
        <f>-55.944-AA75</f>
        <v>-80.058000000000007</v>
      </c>
      <c r="AC75" s="39">
        <f>108.934-AB75-AA75</f>
        <v>164.87800000000001</v>
      </c>
      <c r="AD75" s="20">
        <f>H75-AC75-AB75-AA75</f>
        <v>-18.015000000000011</v>
      </c>
      <c r="AE75" s="39">
        <v>228.636</v>
      </c>
      <c r="AF75" s="39">
        <f>356.103-AE75</f>
        <v>127.46700000000001</v>
      </c>
      <c r="AG75" s="39">
        <f>454.041-AF75-AE75</f>
        <v>97.93799999999996</v>
      </c>
      <c r="AH75" s="20">
        <f>I75-AG75-AF75-AE75</f>
        <v>-166.47199999999995</v>
      </c>
      <c r="AI75" s="39">
        <v>64.123000000000005</v>
      </c>
      <c r="AJ75" s="39">
        <f>54.068-AI75</f>
        <v>-10.055000000000007</v>
      </c>
      <c r="AK75" s="39">
        <f>219.818-AJ75-AI75</f>
        <v>165.75</v>
      </c>
      <c r="AL75" s="20">
        <f>J75-AK75-AJ75-AI75</f>
        <v>-18.029999999999987</v>
      </c>
      <c r="AM75" s="39">
        <v>29.474</v>
      </c>
      <c r="AN75" s="39">
        <f>-9.321-AM75</f>
        <v>-38.795000000000002</v>
      </c>
      <c r="AO75" s="39">
        <f>-137.214-AN75-AM75</f>
        <v>-127.893</v>
      </c>
      <c r="AP75" s="20">
        <f>K75-AO75-AN75-AM75</f>
        <v>270.99800000000005</v>
      </c>
      <c r="AQ75" s="39">
        <v>-41.341999999999999</v>
      </c>
      <c r="AR75" s="39">
        <f>-137.891-AQ75</f>
        <v>-96.548999999999992</v>
      </c>
      <c r="AS75" s="39">
        <f>47.218-AR75-AQ75</f>
        <v>185.10899999999998</v>
      </c>
      <c r="AT75" s="20">
        <f>L75-AS75-AR75-AQ75</f>
        <v>98.31</v>
      </c>
      <c r="AU75" s="39">
        <v>169.93899999999999</v>
      </c>
      <c r="AX75" s="326"/>
      <c r="AY75" s="326"/>
    </row>
    <row r="76" spans="2:51" ht="13.5" customHeight="1" x14ac:dyDescent="0.35">
      <c r="B76" s="38" t="s">
        <v>310</v>
      </c>
      <c r="C76" s="15">
        <f t="shared" ref="C76:H76" si="222">SUM(C73:C75)</f>
        <v>-3181.5270000000005</v>
      </c>
      <c r="D76" s="15">
        <f t="shared" si="222"/>
        <v>2589.3680000000004</v>
      </c>
      <c r="E76" s="15">
        <f t="shared" si="222"/>
        <v>12004.165999999999</v>
      </c>
      <c r="F76" s="15">
        <f t="shared" si="222"/>
        <v>-14928.294</v>
      </c>
      <c r="G76" s="15">
        <f t="shared" si="222"/>
        <v>11210.022000000001</v>
      </c>
      <c r="H76" s="15">
        <f t="shared" si="222"/>
        <v>4731.0810000000001</v>
      </c>
      <c r="I76" s="15">
        <f t="shared" ref="I76:J76" si="223">SUM(I73:I75)</f>
        <v>-6205.41</v>
      </c>
      <c r="J76" s="15">
        <f t="shared" si="223"/>
        <v>-1388.7080000000001</v>
      </c>
      <c r="K76" s="15">
        <f t="shared" ref="K76:M76" si="224">SUM(K73:K75)</f>
        <v>4708.5819999999994</v>
      </c>
      <c r="L76" s="15">
        <f t="shared" si="224"/>
        <v>4205.96</v>
      </c>
      <c r="M76" s="15"/>
      <c r="N76" s="9"/>
      <c r="O76" s="15">
        <f t="shared" ref="O76:Q76" si="225">SUM(O73:O75)</f>
        <v>-4918.28</v>
      </c>
      <c r="P76" s="15">
        <f t="shared" si="225"/>
        <v>4334.8289999999997</v>
      </c>
      <c r="Q76" s="15">
        <f t="shared" si="225"/>
        <v>1494.5240000000003</v>
      </c>
      <c r="R76" s="15">
        <f t="shared" ref="R76:U76" si="226">SUM(R73:R75)</f>
        <v>11093.092999999997</v>
      </c>
      <c r="S76" s="15">
        <f t="shared" si="226"/>
        <v>-6667.2759999999998</v>
      </c>
      <c r="T76" s="15">
        <f t="shared" si="226"/>
        <v>-4772.8290000000006</v>
      </c>
      <c r="U76" s="15">
        <f t="shared" si="226"/>
        <v>-156.37100000000461</v>
      </c>
      <c r="V76" s="15">
        <f>SUM(V73:V75)</f>
        <v>-3331.8179999999857</v>
      </c>
      <c r="W76" s="15">
        <f>SUM(W73:W75)</f>
        <v>6221.009</v>
      </c>
      <c r="X76" s="15">
        <f t="shared" ref="X76:Y76" si="227">SUM(X73:X75)</f>
        <v>266.13400000000058</v>
      </c>
      <c r="Y76" s="15">
        <f t="shared" si="227"/>
        <v>17841.884999999998</v>
      </c>
      <c r="Z76" s="15">
        <f>SUM(Z73:Z75)</f>
        <v>-13119.005999999992</v>
      </c>
      <c r="AA76" s="15">
        <f>SUM(AA73:AA75)</f>
        <v>-5023.7400000000007</v>
      </c>
      <c r="AB76" s="15">
        <f t="shared" ref="AB76" si="228">SUM(AB73:AB75)</f>
        <v>144.58200000000033</v>
      </c>
      <c r="AC76" s="15">
        <f>SUM(AC73:AC75)</f>
        <v>-1924.2429999999993</v>
      </c>
      <c r="AD76" s="15">
        <f>SUM(AD73:AD75)</f>
        <v>11534.481999999993</v>
      </c>
      <c r="AE76" s="15">
        <f>SUM(AE73:AE75)</f>
        <v>-9384.65</v>
      </c>
      <c r="AF76" s="15">
        <f t="shared" ref="AF76" si="229">SUM(AF73:AF75)</f>
        <v>1220.882000000001</v>
      </c>
      <c r="AG76" s="15">
        <f>SUM(AG73:AG75)</f>
        <v>-1684.9329999999993</v>
      </c>
      <c r="AH76" s="15">
        <f>SUM(AH73:AH75)</f>
        <v>3643.2909999999883</v>
      </c>
      <c r="AI76" s="15">
        <f>SUM(AI73:AI75)</f>
        <v>-1789.9449999999993</v>
      </c>
      <c r="AJ76" s="15">
        <f t="shared" ref="AJ76" si="230">SUM(AJ73:AJ75)</f>
        <v>9113.8189999999977</v>
      </c>
      <c r="AK76" s="15">
        <f>SUM(AK73:AK75)</f>
        <v>-9380.8239999999987</v>
      </c>
      <c r="AL76" s="15">
        <f>SUM(AL73:AL75)</f>
        <v>668.24199999999541</v>
      </c>
      <c r="AM76" s="15">
        <f>SUM(AM73:AM75)</f>
        <v>334.2580000000001</v>
      </c>
      <c r="AN76" s="15">
        <f t="shared" ref="AN76" si="231">SUM(AN73:AN75)</f>
        <v>1654.7029999999997</v>
      </c>
      <c r="AO76" s="15">
        <f>SUM(AO73:AO75)</f>
        <v>3621.9859999999999</v>
      </c>
      <c r="AP76" s="15">
        <f>SUM(AP73:AP75)</f>
        <v>-902.36499999999751</v>
      </c>
      <c r="AQ76" s="15">
        <f>SUM(AQ73:AQ75)</f>
        <v>-2626.8119999999999</v>
      </c>
      <c r="AR76" s="15">
        <f t="shared" ref="AR76" si="232">SUM(AR73:AR75)</f>
        <v>588.63899999999967</v>
      </c>
      <c r="AS76" s="15">
        <f>SUM(AS73:AS75)</f>
        <v>8412.893</v>
      </c>
      <c r="AT76" s="15">
        <f>SUM(AT73:AT75)</f>
        <v>-2168.7599999999939</v>
      </c>
      <c r="AU76" s="15">
        <f>SUM(AU73:AU75)</f>
        <v>16793.256999999998</v>
      </c>
      <c r="AX76" s="326"/>
      <c r="AY76" s="326"/>
    </row>
    <row r="77" spans="2:51" s="6" customFormat="1" ht="13.5" customHeight="1" x14ac:dyDescent="0.3">
      <c r="B77" s="38" t="s">
        <v>311</v>
      </c>
      <c r="C77" s="15">
        <f>11814.379+C76</f>
        <v>8632.8520000000008</v>
      </c>
      <c r="D77" s="71">
        <f>C77+D76</f>
        <v>11222.220000000001</v>
      </c>
      <c r="E77" s="71">
        <f>11222.22+E76</f>
        <v>23226.385999999999</v>
      </c>
      <c r="F77" s="71">
        <f>23226.386+F76</f>
        <v>8298.0919999999987</v>
      </c>
      <c r="G77" s="71">
        <f t="shared" ref="G77:K77" si="233">F77+G76</f>
        <v>19508.114000000001</v>
      </c>
      <c r="H77" s="71">
        <f t="shared" si="233"/>
        <v>24239.195</v>
      </c>
      <c r="I77" s="71">
        <f t="shared" si="233"/>
        <v>18033.785</v>
      </c>
      <c r="J77" s="71">
        <f t="shared" si="233"/>
        <v>16645.077000000001</v>
      </c>
      <c r="K77" s="71">
        <f t="shared" si="233"/>
        <v>21353.659</v>
      </c>
      <c r="L77" s="71">
        <f>K77+L76-529.762</f>
        <v>25029.857</v>
      </c>
      <c r="M77" s="15"/>
      <c r="N77" s="9"/>
      <c r="O77" s="71">
        <f>11222.22+O76</f>
        <v>6303.94</v>
      </c>
      <c r="P77" s="71">
        <f>+O77+P76</f>
        <v>10638.769</v>
      </c>
      <c r="Q77" s="71">
        <f>+P77+Q76</f>
        <v>12133.293000000001</v>
      </c>
      <c r="R77" s="71">
        <f t="shared" ref="R77:V77" si="234">Q77+R76</f>
        <v>23226.385999999999</v>
      </c>
      <c r="S77" s="71">
        <f>23226.386+S76</f>
        <v>16559.11</v>
      </c>
      <c r="T77" s="71">
        <f t="shared" ref="T77:U77" si="235">S77+T76</f>
        <v>11786.280999999999</v>
      </c>
      <c r="U77" s="71">
        <f t="shared" si="235"/>
        <v>11629.909999999994</v>
      </c>
      <c r="V77" s="71">
        <f t="shared" si="234"/>
        <v>8298.0920000000078</v>
      </c>
      <c r="W77" s="71">
        <f>8298.092+W76</f>
        <v>14519.101000000001</v>
      </c>
      <c r="X77" s="71">
        <f t="shared" ref="X77:AA77" si="236">W77+X76</f>
        <v>14785.235000000001</v>
      </c>
      <c r="Y77" s="71">
        <f t="shared" si="236"/>
        <v>32627.119999999999</v>
      </c>
      <c r="Z77" s="71">
        <f t="shared" si="236"/>
        <v>19508.114000000009</v>
      </c>
      <c r="AA77" s="71">
        <f t="shared" si="236"/>
        <v>14484.374000000007</v>
      </c>
      <c r="AB77" s="71">
        <f t="shared" ref="AB77:AC77" si="237">AA77+AB76</f>
        <v>14628.956000000007</v>
      </c>
      <c r="AC77" s="71">
        <f t="shared" si="237"/>
        <v>12704.713000000009</v>
      </c>
      <c r="AD77" s="71">
        <f t="shared" ref="AD77:AP77" si="238">AC77+AD76</f>
        <v>24239.195</v>
      </c>
      <c r="AE77" s="71">
        <f t="shared" si="238"/>
        <v>14854.545</v>
      </c>
      <c r="AF77" s="71">
        <f t="shared" si="238"/>
        <v>16075.427000000001</v>
      </c>
      <c r="AG77" s="71">
        <f t="shared" si="238"/>
        <v>14390.494000000002</v>
      </c>
      <c r="AH77" s="71">
        <f t="shared" si="238"/>
        <v>18033.784999999989</v>
      </c>
      <c r="AI77" s="71">
        <f t="shared" si="238"/>
        <v>16243.839999999989</v>
      </c>
      <c r="AJ77" s="71">
        <f t="shared" si="238"/>
        <v>25357.658999999985</v>
      </c>
      <c r="AK77" s="71">
        <f t="shared" si="238"/>
        <v>15976.834999999986</v>
      </c>
      <c r="AL77" s="71">
        <f t="shared" si="238"/>
        <v>16645.076999999983</v>
      </c>
      <c r="AM77" s="71">
        <f>AL77+AM76</f>
        <v>16979.334999999985</v>
      </c>
      <c r="AN77" s="71">
        <f t="shared" si="238"/>
        <v>18634.037999999986</v>
      </c>
      <c r="AO77" s="71">
        <f t="shared" si="238"/>
        <v>22256.023999999987</v>
      </c>
      <c r="AP77" s="71">
        <f t="shared" si="238"/>
        <v>21353.658999999989</v>
      </c>
      <c r="AQ77" s="71">
        <f>AP77+AQ76</f>
        <v>18726.846999999987</v>
      </c>
      <c r="AR77" s="71">
        <f>AQ77+AR76</f>
        <v>19315.485999999986</v>
      </c>
      <c r="AS77" s="71">
        <f t="shared" ref="AS77" si="239">AR77+AS76</f>
        <v>27728.378999999986</v>
      </c>
      <c r="AT77" s="71">
        <f>AS77+AT76-529.762</f>
        <v>25029.856999999993</v>
      </c>
      <c r="AU77" s="71">
        <f>25559.619+AU76</f>
        <v>42352.875999999997</v>
      </c>
      <c r="AW77" s="261"/>
      <c r="AX77" s="262"/>
    </row>
    <row r="78" spans="2:51" ht="13.5" customHeight="1" x14ac:dyDescent="0.35">
      <c r="B78" s="23"/>
      <c r="C78" s="157"/>
      <c r="D78" s="157"/>
      <c r="E78" s="39"/>
      <c r="F78" s="39"/>
      <c r="G78" s="39"/>
      <c r="H78" s="39"/>
      <c r="I78" s="39"/>
      <c r="J78" s="39"/>
      <c r="K78" s="39"/>
      <c r="L78" s="39"/>
      <c r="M78" s="19"/>
      <c r="N78" s="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</row>
    <row r="79" spans="2:51" s="40" customFormat="1" ht="13.5" customHeight="1" x14ac:dyDescent="0.3">
      <c r="B79" s="359" t="s">
        <v>43</v>
      </c>
      <c r="C79" s="41">
        <f t="shared" ref="C79:M79" si="240">C77-C122</f>
        <v>0</v>
      </c>
      <c r="D79" s="41">
        <f t="shared" si="240"/>
        <v>0</v>
      </c>
      <c r="E79" s="41">
        <f t="shared" si="240"/>
        <v>0</v>
      </c>
      <c r="F79" s="41">
        <f t="shared" si="240"/>
        <v>0</v>
      </c>
      <c r="G79" s="41">
        <f t="shared" si="240"/>
        <v>0</v>
      </c>
      <c r="H79" s="41">
        <f t="shared" si="240"/>
        <v>0</v>
      </c>
      <c r="I79" s="41">
        <f t="shared" si="240"/>
        <v>0</v>
      </c>
      <c r="J79" s="41">
        <f t="shared" si="240"/>
        <v>0</v>
      </c>
      <c r="K79" s="41">
        <f t="shared" si="240"/>
        <v>0</v>
      </c>
      <c r="L79" s="41">
        <f t="shared" si="240"/>
        <v>0</v>
      </c>
      <c r="M79" s="41"/>
      <c r="N79" s="9"/>
      <c r="O79" s="41">
        <f t="shared" ref="O79:AU79" si="241">O77-O122</f>
        <v>0</v>
      </c>
      <c r="P79" s="41">
        <f t="shared" si="241"/>
        <v>0</v>
      </c>
      <c r="Q79" s="41">
        <f t="shared" si="241"/>
        <v>0</v>
      </c>
      <c r="R79" s="41">
        <f t="shared" si="241"/>
        <v>0</v>
      </c>
      <c r="S79" s="41">
        <f t="shared" si="241"/>
        <v>0</v>
      </c>
      <c r="T79" s="41">
        <f t="shared" si="241"/>
        <v>0</v>
      </c>
      <c r="U79" s="41">
        <f t="shared" si="241"/>
        <v>0</v>
      </c>
      <c r="V79" s="41">
        <f t="shared" si="241"/>
        <v>0</v>
      </c>
      <c r="W79" s="41">
        <f t="shared" si="241"/>
        <v>0</v>
      </c>
      <c r="X79" s="41">
        <f t="shared" si="241"/>
        <v>0</v>
      </c>
      <c r="Y79" s="41">
        <f t="shared" si="241"/>
        <v>0</v>
      </c>
      <c r="Z79" s="41">
        <f t="shared" si="241"/>
        <v>0</v>
      </c>
      <c r="AA79" s="41">
        <f t="shared" si="241"/>
        <v>0</v>
      </c>
      <c r="AB79" s="41">
        <f t="shared" si="241"/>
        <v>0</v>
      </c>
      <c r="AC79" s="41">
        <f t="shared" si="241"/>
        <v>0</v>
      </c>
      <c r="AD79" s="41">
        <f t="shared" si="241"/>
        <v>0</v>
      </c>
      <c r="AE79" s="41">
        <f t="shared" si="241"/>
        <v>0</v>
      </c>
      <c r="AF79" s="41">
        <f t="shared" si="241"/>
        <v>0</v>
      </c>
      <c r="AG79" s="41">
        <f t="shared" si="241"/>
        <v>0</v>
      </c>
      <c r="AH79" s="41">
        <f t="shared" si="241"/>
        <v>0</v>
      </c>
      <c r="AI79" s="41">
        <f t="shared" si="241"/>
        <v>0</v>
      </c>
      <c r="AJ79" s="41">
        <f t="shared" si="241"/>
        <v>0</v>
      </c>
      <c r="AK79" s="41">
        <f t="shared" si="241"/>
        <v>0</v>
      </c>
      <c r="AL79" s="41">
        <f t="shared" si="241"/>
        <v>0</v>
      </c>
      <c r="AM79" s="41">
        <f t="shared" si="241"/>
        <v>0</v>
      </c>
      <c r="AN79" s="41">
        <f t="shared" si="241"/>
        <v>0</v>
      </c>
      <c r="AO79" s="41">
        <f t="shared" si="241"/>
        <v>0</v>
      </c>
      <c r="AP79" s="41">
        <f t="shared" si="241"/>
        <v>0</v>
      </c>
      <c r="AQ79" s="41">
        <f t="shared" si="241"/>
        <v>0</v>
      </c>
      <c r="AR79" s="41">
        <f t="shared" si="241"/>
        <v>0</v>
      </c>
      <c r="AS79" s="41">
        <f t="shared" si="241"/>
        <v>0</v>
      </c>
      <c r="AT79" s="41">
        <f t="shared" si="241"/>
        <v>0</v>
      </c>
      <c r="AU79" s="41">
        <f t="shared" si="241"/>
        <v>0</v>
      </c>
    </row>
    <row r="80" spans="2:51" s="28" customFormat="1" ht="13.5" customHeight="1" x14ac:dyDescent="0.3">
      <c r="B80" s="27" t="s">
        <v>312</v>
      </c>
      <c r="C80" s="202">
        <f t="shared" ref="C80:M80" si="242">C64/C109</f>
        <v>-3.7662600677707748E-2</v>
      </c>
      <c r="D80" s="202">
        <f t="shared" si="242"/>
        <v>-4.2006412212452028E-2</v>
      </c>
      <c r="E80" s="202">
        <f t="shared" si="242"/>
        <v>-4.4561097029936166E-2</v>
      </c>
      <c r="F80" s="202">
        <f t="shared" si="242"/>
        <v>-5.3234545881915313E-2</v>
      </c>
      <c r="G80" s="202">
        <f t="shared" si="242"/>
        <v>-4.1087375824637284E-2</v>
      </c>
      <c r="H80" s="202">
        <f t="shared" si="242"/>
        <v>-3.662205841046251E-2</v>
      </c>
      <c r="I80" s="202">
        <f t="shared" si="242"/>
        <v>-4.217072266982453E-2</v>
      </c>
      <c r="J80" s="202">
        <f t="shared" si="242"/>
        <v>-5.2202149574831033E-2</v>
      </c>
      <c r="K80" s="202">
        <f t="shared" si="242"/>
        <v>-5.5726525579707475E-2</v>
      </c>
      <c r="L80" s="202">
        <f t="shared" si="242"/>
        <v>-5.3323845573315855E-2</v>
      </c>
      <c r="M80" s="202"/>
      <c r="N80" s="9"/>
      <c r="O80" s="202"/>
      <c r="P80" s="202"/>
      <c r="Q80" s="202"/>
      <c r="R80" s="202">
        <f t="shared" ref="R80:AU80" si="243">SUM(O64:R64)/R109</f>
        <v>-4.4561097029936166E-2</v>
      </c>
      <c r="S80" s="202">
        <f t="shared" si="243"/>
        <v>-5.2418340925844534E-2</v>
      </c>
      <c r="T80" s="202">
        <f t="shared" si="243"/>
        <v>-5.518749462978581E-2</v>
      </c>
      <c r="U80" s="202">
        <f t="shared" si="243"/>
        <v>-5.7106369847521557E-2</v>
      </c>
      <c r="V80" s="202">
        <f t="shared" si="243"/>
        <v>-5.3234545881915313E-2</v>
      </c>
      <c r="W80" s="202">
        <f t="shared" si="243"/>
        <v>-4.8572533476746317E-2</v>
      </c>
      <c r="X80" s="202">
        <f t="shared" si="243"/>
        <v>-4.5877406768713477E-2</v>
      </c>
      <c r="Y80" s="202">
        <f t="shared" si="243"/>
        <v>-4.1997924881360338E-2</v>
      </c>
      <c r="Z80" s="202">
        <f t="shared" si="243"/>
        <v>-4.1087375824637284E-2</v>
      </c>
      <c r="AA80" s="202">
        <f t="shared" si="243"/>
        <v>-4.1314089326748876E-2</v>
      </c>
      <c r="AB80" s="202">
        <f t="shared" si="243"/>
        <v>-3.6767678200122757E-2</v>
      </c>
      <c r="AC80" s="202">
        <f t="shared" si="243"/>
        <v>-3.5084365455091839E-2</v>
      </c>
      <c r="AD80" s="202">
        <f t="shared" si="243"/>
        <v>-3.662205841046251E-2</v>
      </c>
      <c r="AE80" s="202">
        <f t="shared" si="243"/>
        <v>-3.7490981018308889E-2</v>
      </c>
      <c r="AF80" s="202">
        <f t="shared" si="243"/>
        <v>-3.6181640066836766E-2</v>
      </c>
      <c r="AG80" s="202">
        <f t="shared" si="243"/>
        <v>-3.7307240861079997E-2</v>
      </c>
      <c r="AH80" s="202">
        <f t="shared" si="243"/>
        <v>-4.217072266982453E-2</v>
      </c>
      <c r="AI80" s="202">
        <f t="shared" si="243"/>
        <v>-4.469909339026186E-2</v>
      </c>
      <c r="AJ80" s="202">
        <f t="shared" si="243"/>
        <v>-4.4985697863927074E-2</v>
      </c>
      <c r="AK80" s="202">
        <f t="shared" si="243"/>
        <v>-4.9307747136475524E-2</v>
      </c>
      <c r="AL80" s="202">
        <f t="shared" si="243"/>
        <v>-5.2202149574831033E-2</v>
      </c>
      <c r="AM80" s="202">
        <f t="shared" si="243"/>
        <v>-5.5342086941595883E-2</v>
      </c>
      <c r="AN80" s="202">
        <f t="shared" si="243"/>
        <v>-5.6947453687162572E-2</v>
      </c>
      <c r="AO80" s="202">
        <f t="shared" si="243"/>
        <v>-5.904514322582663E-2</v>
      </c>
      <c r="AP80" s="202">
        <f t="shared" si="243"/>
        <v>-5.5726525579707475E-2</v>
      </c>
      <c r="AQ80" s="202">
        <f t="shared" si="243"/>
        <v>-5.778974514857757E-2</v>
      </c>
      <c r="AR80" s="202">
        <f t="shared" si="243"/>
        <v>-5.4958303185920938E-2</v>
      </c>
      <c r="AS80" s="202">
        <f t="shared" si="243"/>
        <v>-5.3700706247088746E-2</v>
      </c>
      <c r="AT80" s="202">
        <f t="shared" si="243"/>
        <v>-5.3323845573315855E-2</v>
      </c>
      <c r="AU80" s="202">
        <f t="shared" si="243"/>
        <v>-5.408538052883409E-2</v>
      </c>
    </row>
    <row r="81" spans="2:47" s="28" customFormat="1" ht="13.5" customHeight="1" x14ac:dyDescent="0.3">
      <c r="B81" s="27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9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</row>
    <row r="82" spans="2:47" ht="13.5" customHeight="1" x14ac:dyDescent="0.35">
      <c r="B82" s="10" t="s">
        <v>313</v>
      </c>
      <c r="C82" s="33">
        <f>C60</f>
        <v>42735</v>
      </c>
      <c r="D82" s="33">
        <f t="shared" ref="D82:W82" si="244">D60</f>
        <v>43100</v>
      </c>
      <c r="E82" s="33">
        <f t="shared" si="244"/>
        <v>43465</v>
      </c>
      <c r="F82" s="33">
        <f t="shared" si="244"/>
        <v>43830</v>
      </c>
      <c r="G82" s="33">
        <f t="shared" ref="G82:H82" si="245">G60</f>
        <v>44196</v>
      </c>
      <c r="H82" s="33">
        <f t="shared" si="245"/>
        <v>44561</v>
      </c>
      <c r="I82" s="33">
        <f t="shared" ref="I82:J82" si="246">I60</f>
        <v>44926</v>
      </c>
      <c r="J82" s="33">
        <f t="shared" si="246"/>
        <v>45291</v>
      </c>
      <c r="K82" s="33">
        <f t="shared" ref="K82:L82" si="247">K60</f>
        <v>45657</v>
      </c>
      <c r="L82" s="33">
        <f t="shared" si="247"/>
        <v>46022</v>
      </c>
      <c r="M82" s="33"/>
      <c r="N82" s="9"/>
      <c r="O82" s="33">
        <f t="shared" si="244"/>
        <v>43190</v>
      </c>
      <c r="P82" s="33">
        <f t="shared" si="244"/>
        <v>43281</v>
      </c>
      <c r="Q82" s="33">
        <f t="shared" si="244"/>
        <v>43373</v>
      </c>
      <c r="R82" s="33">
        <f t="shared" si="244"/>
        <v>43465</v>
      </c>
      <c r="S82" s="33">
        <f t="shared" si="244"/>
        <v>43555</v>
      </c>
      <c r="T82" s="33">
        <f t="shared" si="244"/>
        <v>43646</v>
      </c>
      <c r="U82" s="33">
        <f t="shared" si="244"/>
        <v>43738</v>
      </c>
      <c r="V82" s="33">
        <f t="shared" si="244"/>
        <v>43830</v>
      </c>
      <c r="W82" s="33">
        <f t="shared" si="244"/>
        <v>43921</v>
      </c>
      <c r="X82" s="33">
        <f t="shared" ref="X82:AA82" si="248">X60</f>
        <v>44012</v>
      </c>
      <c r="Y82" s="33">
        <f t="shared" si="248"/>
        <v>44104</v>
      </c>
      <c r="Z82" s="33">
        <f t="shared" si="248"/>
        <v>44196</v>
      </c>
      <c r="AA82" s="33">
        <f t="shared" si="248"/>
        <v>44286</v>
      </c>
      <c r="AB82" s="33">
        <f t="shared" ref="AB82:AE82" si="249">AB60</f>
        <v>44377</v>
      </c>
      <c r="AC82" s="33">
        <f t="shared" si="249"/>
        <v>44469</v>
      </c>
      <c r="AD82" s="33">
        <f t="shared" si="249"/>
        <v>44561</v>
      </c>
      <c r="AE82" s="33">
        <f t="shared" si="249"/>
        <v>44651</v>
      </c>
      <c r="AF82" s="33">
        <f t="shared" ref="AF82:AI82" si="250">AF60</f>
        <v>44742</v>
      </c>
      <c r="AG82" s="33">
        <f t="shared" si="250"/>
        <v>44834</v>
      </c>
      <c r="AH82" s="33">
        <f t="shared" si="250"/>
        <v>44926</v>
      </c>
      <c r="AI82" s="33">
        <f t="shared" si="250"/>
        <v>45016</v>
      </c>
      <c r="AJ82" s="33">
        <f t="shared" ref="AJ82:AM82" si="251">AJ60</f>
        <v>45107</v>
      </c>
      <c r="AK82" s="33">
        <f t="shared" si="251"/>
        <v>45199</v>
      </c>
      <c r="AL82" s="33">
        <f t="shared" si="251"/>
        <v>45291</v>
      </c>
      <c r="AM82" s="33">
        <f t="shared" si="251"/>
        <v>45382</v>
      </c>
      <c r="AN82" s="33">
        <f t="shared" ref="AN82:AQ82" si="252">AN60</f>
        <v>45473</v>
      </c>
      <c r="AO82" s="33">
        <f t="shared" si="252"/>
        <v>45565</v>
      </c>
      <c r="AP82" s="33">
        <f t="shared" si="252"/>
        <v>45657</v>
      </c>
      <c r="AQ82" s="33">
        <f t="shared" si="252"/>
        <v>45747</v>
      </c>
      <c r="AR82" s="33">
        <f t="shared" ref="AR82:AU82" si="253">AR60</f>
        <v>45838</v>
      </c>
      <c r="AS82" s="33">
        <f t="shared" si="253"/>
        <v>45930</v>
      </c>
      <c r="AT82" s="33">
        <f t="shared" si="253"/>
        <v>46022</v>
      </c>
      <c r="AU82" s="33">
        <f t="shared" si="253"/>
        <v>46112</v>
      </c>
    </row>
    <row r="83" spans="2:47" ht="13.5" customHeight="1" x14ac:dyDescent="0.35"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9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</row>
    <row r="84" spans="2:47" ht="13.5" customHeight="1" x14ac:dyDescent="0.35">
      <c r="B84" s="3" t="s">
        <v>314</v>
      </c>
      <c r="C84" s="20">
        <f t="shared" ref="C84:M84" si="254">C10</f>
        <v>126781.66</v>
      </c>
      <c r="D84" s="20">
        <f t="shared" si="254"/>
        <v>135280.731</v>
      </c>
      <c r="E84" s="20">
        <f t="shared" si="254"/>
        <v>151172.80599999998</v>
      </c>
      <c r="F84" s="20">
        <f t="shared" si="254"/>
        <v>166660.337</v>
      </c>
      <c r="G84" s="20">
        <f t="shared" si="254"/>
        <v>160519.54199999999</v>
      </c>
      <c r="H84" s="20">
        <f t="shared" si="254"/>
        <v>168496.45800000001</v>
      </c>
      <c r="I84" s="20">
        <f t="shared" si="254"/>
        <v>175040.723</v>
      </c>
      <c r="J84" s="20">
        <f t="shared" si="254"/>
        <v>180164.45499999999</v>
      </c>
      <c r="K84" s="20">
        <f t="shared" si="254"/>
        <v>180586.06</v>
      </c>
      <c r="L84" s="20">
        <f t="shared" si="254"/>
        <v>178239.84399999998</v>
      </c>
      <c r="M84" s="20"/>
      <c r="N84" s="9"/>
      <c r="O84" s="42"/>
      <c r="P84" s="42"/>
      <c r="Q84" s="42"/>
      <c r="R84" s="20">
        <f t="shared" ref="R84:AU84" si="255">SUM(O10:R10)</f>
        <v>151172.80599999998</v>
      </c>
      <c r="S84" s="20">
        <f t="shared" si="255"/>
        <v>154871.24699999997</v>
      </c>
      <c r="T84" s="20">
        <f t="shared" si="255"/>
        <v>158247.859</v>
      </c>
      <c r="U84" s="20">
        <f t="shared" si="255"/>
        <v>162987.96799999999</v>
      </c>
      <c r="V84" s="20">
        <f t="shared" si="255"/>
        <v>166660.337</v>
      </c>
      <c r="W84" s="20">
        <f t="shared" si="255"/>
        <v>167215.62199999997</v>
      </c>
      <c r="X84" s="20">
        <f t="shared" si="255"/>
        <v>163953.44899999999</v>
      </c>
      <c r="Y84" s="20">
        <f t="shared" si="255"/>
        <v>162835.429</v>
      </c>
      <c r="Z84" s="20">
        <f t="shared" si="255"/>
        <v>160519.54199999999</v>
      </c>
      <c r="AA84" s="20">
        <f t="shared" si="255"/>
        <v>162175.27699999997</v>
      </c>
      <c r="AB84" s="20">
        <f t="shared" si="255"/>
        <v>166115.16299999997</v>
      </c>
      <c r="AC84" s="20">
        <f t="shared" si="255"/>
        <v>167080.59599999996</v>
      </c>
      <c r="AD84" s="20">
        <f t="shared" si="255"/>
        <v>168496.45799999998</v>
      </c>
      <c r="AE84" s="20">
        <f t="shared" si="255"/>
        <v>169206.247</v>
      </c>
      <c r="AF84" s="20">
        <f t="shared" si="255"/>
        <v>171408.57400000002</v>
      </c>
      <c r="AG84" s="20">
        <f t="shared" si="255"/>
        <v>172539.53600000002</v>
      </c>
      <c r="AH84" s="20">
        <f t="shared" si="255"/>
        <v>175040.72299999997</v>
      </c>
      <c r="AI84" s="20">
        <f t="shared" si="255"/>
        <v>176514.15499999997</v>
      </c>
      <c r="AJ84" s="20">
        <f t="shared" si="255"/>
        <v>177243.13399999999</v>
      </c>
      <c r="AK84" s="20">
        <f t="shared" si="255"/>
        <v>178635.98699999996</v>
      </c>
      <c r="AL84" s="20">
        <f t="shared" si="255"/>
        <v>180164.45499999999</v>
      </c>
      <c r="AM84" s="20">
        <f t="shared" si="255"/>
        <v>180441.769</v>
      </c>
      <c r="AN84" s="20">
        <f t="shared" si="255"/>
        <v>180265.43</v>
      </c>
      <c r="AO84" s="20">
        <f t="shared" si="255"/>
        <v>181116.24400000001</v>
      </c>
      <c r="AP84" s="20">
        <f t="shared" si="255"/>
        <v>180586.06</v>
      </c>
      <c r="AQ84" s="20">
        <f t="shared" si="255"/>
        <v>179034.11900000001</v>
      </c>
      <c r="AR84" s="20">
        <f t="shared" si="255"/>
        <v>178186.51</v>
      </c>
      <c r="AS84" s="20">
        <f t="shared" si="255"/>
        <v>177432.30299999999</v>
      </c>
      <c r="AT84" s="20">
        <f t="shared" si="255"/>
        <v>178239.84399999998</v>
      </c>
      <c r="AU84" s="20">
        <f t="shared" si="255"/>
        <v>180190.61499999999</v>
      </c>
    </row>
    <row r="85" spans="2:47" ht="13.5" customHeight="1" x14ac:dyDescent="0.35">
      <c r="B85" s="3" t="s">
        <v>315</v>
      </c>
      <c r="C85" s="20">
        <f t="shared" ref="C85:M85" si="256">+C23</f>
        <v>26034.228000000003</v>
      </c>
      <c r="D85" s="20">
        <f t="shared" si="256"/>
        <v>26793.394000000015</v>
      </c>
      <c r="E85" s="20">
        <f t="shared" si="256"/>
        <v>33808.540999999983</v>
      </c>
      <c r="F85" s="20">
        <f t="shared" si="256"/>
        <v>39630.236999999994</v>
      </c>
      <c r="G85" s="20">
        <f t="shared" si="256"/>
        <v>34251.072999999989</v>
      </c>
      <c r="H85" s="20">
        <f t="shared" si="256"/>
        <v>37780.535000000018</v>
      </c>
      <c r="I85" s="20">
        <f t="shared" si="256"/>
        <v>54191.739000000001</v>
      </c>
      <c r="J85" s="20">
        <f t="shared" si="256"/>
        <v>44561.548999999999</v>
      </c>
      <c r="K85" s="20">
        <f t="shared" si="256"/>
        <v>44775.353000000003</v>
      </c>
      <c r="L85" s="20">
        <f t="shared" si="256"/>
        <v>44683.559999999969</v>
      </c>
      <c r="M85" s="20"/>
      <c r="N85" s="9"/>
      <c r="O85" s="42"/>
      <c r="P85" s="42"/>
      <c r="Q85" s="42"/>
      <c r="R85" s="20">
        <f t="shared" ref="R85:AU85" si="257">SUM(O23:R23)</f>
        <v>33808.54099999999</v>
      </c>
      <c r="S85" s="20">
        <f t="shared" si="257"/>
        <v>35986.999999999985</v>
      </c>
      <c r="T85" s="20">
        <f t="shared" si="257"/>
        <v>36457.323999999993</v>
      </c>
      <c r="U85" s="20">
        <f t="shared" si="257"/>
        <v>37843.483999999997</v>
      </c>
      <c r="V85" s="20">
        <f t="shared" si="257"/>
        <v>39630.237000000008</v>
      </c>
      <c r="W85" s="20">
        <f t="shared" si="257"/>
        <v>39329.13900000001</v>
      </c>
      <c r="X85" s="20">
        <f t="shared" si="257"/>
        <v>38789.83600000001</v>
      </c>
      <c r="Y85" s="20">
        <f t="shared" si="257"/>
        <v>37010.074999999997</v>
      </c>
      <c r="Z85" s="20">
        <f t="shared" si="257"/>
        <v>34251.072999999989</v>
      </c>
      <c r="AA85" s="20">
        <f t="shared" si="257"/>
        <v>32653.044999999984</v>
      </c>
      <c r="AB85" s="20">
        <f t="shared" si="257"/>
        <v>33189.18599999998</v>
      </c>
      <c r="AC85" s="20">
        <f t="shared" si="257"/>
        <v>33907.228999999978</v>
      </c>
      <c r="AD85" s="20">
        <f t="shared" si="257"/>
        <v>37780.535000000003</v>
      </c>
      <c r="AE85" s="20">
        <f t="shared" si="257"/>
        <v>47436.190000000017</v>
      </c>
      <c r="AF85" s="20">
        <f t="shared" si="257"/>
        <v>47735.521000000015</v>
      </c>
      <c r="AG85" s="20">
        <f t="shared" si="257"/>
        <v>50260.501000000033</v>
      </c>
      <c r="AH85" s="20">
        <f t="shared" si="257"/>
        <v>54191.73899999998</v>
      </c>
      <c r="AI85" s="20">
        <f t="shared" si="257"/>
        <v>47451.842999999979</v>
      </c>
      <c r="AJ85" s="20">
        <f t="shared" si="257"/>
        <v>49621.989999999969</v>
      </c>
      <c r="AK85" s="20">
        <f t="shared" si="257"/>
        <v>47824.591999999968</v>
      </c>
      <c r="AL85" s="20">
        <f t="shared" si="257"/>
        <v>44561.548999999992</v>
      </c>
      <c r="AM85" s="20">
        <f t="shared" si="257"/>
        <v>43892.009999999987</v>
      </c>
      <c r="AN85" s="20">
        <f t="shared" si="257"/>
        <v>44946.053999999975</v>
      </c>
      <c r="AO85" s="20">
        <f t="shared" si="257"/>
        <v>46096.962999999982</v>
      </c>
      <c r="AP85" s="20">
        <f t="shared" si="257"/>
        <v>44775.353000000003</v>
      </c>
      <c r="AQ85" s="20">
        <f t="shared" si="257"/>
        <v>45049.839</v>
      </c>
      <c r="AR85" s="20">
        <f t="shared" si="257"/>
        <v>42342.292000000016</v>
      </c>
      <c r="AS85" s="20">
        <f t="shared" si="257"/>
        <v>42129.775000000009</v>
      </c>
      <c r="AT85" s="20">
        <f t="shared" si="257"/>
        <v>44683.559999999969</v>
      </c>
      <c r="AU85" s="20">
        <f t="shared" si="257"/>
        <v>43377.297999999973</v>
      </c>
    </row>
    <row r="86" spans="2:47" ht="13.5" customHeight="1" x14ac:dyDescent="0.35">
      <c r="B86" s="3" t="s">
        <v>316</v>
      </c>
      <c r="C86" s="20">
        <f t="shared" ref="C86:M86" si="258">+C51</f>
        <v>49882.874000000003</v>
      </c>
      <c r="D86" s="20">
        <f t="shared" si="258"/>
        <v>54306.083000000013</v>
      </c>
      <c r="E86" s="20">
        <f t="shared" si="258"/>
        <v>64230.261999999988</v>
      </c>
      <c r="F86" s="20">
        <f t="shared" si="258"/>
        <v>73773.777999999991</v>
      </c>
      <c r="G86" s="20">
        <f t="shared" si="258"/>
        <v>69663.11099999999</v>
      </c>
      <c r="H86" s="20">
        <f t="shared" si="258"/>
        <v>78913.527000000016</v>
      </c>
      <c r="I86" s="20">
        <f t="shared" si="258"/>
        <v>99845.035000000003</v>
      </c>
      <c r="J86" s="20">
        <f t="shared" si="258"/>
        <v>91917.592000000004</v>
      </c>
      <c r="K86" s="20">
        <f t="shared" si="258"/>
        <v>95248.393000000011</v>
      </c>
      <c r="L86" s="20">
        <f t="shared" si="258"/>
        <v>98554.686999999976</v>
      </c>
      <c r="M86" s="20"/>
      <c r="N86" s="9"/>
      <c r="O86" s="42"/>
      <c r="P86" s="42"/>
      <c r="Q86" s="42"/>
      <c r="R86" s="20">
        <f t="shared" ref="R86:AU86" si="259">SUM(O51:R51)</f>
        <v>64230.261999999988</v>
      </c>
      <c r="S86" s="20">
        <f t="shared" si="259"/>
        <v>67119.26999999999</v>
      </c>
      <c r="T86" s="20">
        <f t="shared" si="259"/>
        <v>68759.432000000001</v>
      </c>
      <c r="U86" s="20">
        <f t="shared" si="259"/>
        <v>70948.697</v>
      </c>
      <c r="V86" s="20">
        <f t="shared" si="259"/>
        <v>73773.777999999991</v>
      </c>
      <c r="W86" s="20">
        <f t="shared" si="259"/>
        <v>74116.236000000004</v>
      </c>
      <c r="X86" s="20">
        <f t="shared" si="259"/>
        <v>74000.581000000006</v>
      </c>
      <c r="Y86" s="20">
        <f t="shared" si="259"/>
        <v>72732.900999999998</v>
      </c>
      <c r="Z86" s="20">
        <f t="shared" si="259"/>
        <v>69663.11099999999</v>
      </c>
      <c r="AA86" s="20">
        <f t="shared" si="259"/>
        <v>68598.828999999983</v>
      </c>
      <c r="AB86" s="20">
        <f t="shared" si="259"/>
        <v>69629.069999999978</v>
      </c>
      <c r="AC86" s="20">
        <f t="shared" si="259"/>
        <v>71942.906999999977</v>
      </c>
      <c r="AD86" s="20">
        <f t="shared" si="259"/>
        <v>78913.527000000002</v>
      </c>
      <c r="AE86" s="20">
        <f t="shared" si="259"/>
        <v>90445.374000000011</v>
      </c>
      <c r="AF86" s="20">
        <f t="shared" si="259"/>
        <v>92622.807000000001</v>
      </c>
      <c r="AG86" s="20">
        <f t="shared" si="259"/>
        <v>95485.840000000011</v>
      </c>
      <c r="AH86" s="20">
        <f t="shared" si="259"/>
        <v>99845.034999999989</v>
      </c>
      <c r="AI86" s="20">
        <f t="shared" si="259"/>
        <v>93210.588999999978</v>
      </c>
      <c r="AJ86" s="20">
        <f t="shared" si="259"/>
        <v>95862.464999999967</v>
      </c>
      <c r="AK86" s="20">
        <f t="shared" si="259"/>
        <v>94678.560999999987</v>
      </c>
      <c r="AL86" s="20">
        <f t="shared" si="259"/>
        <v>91917.59199999999</v>
      </c>
      <c r="AM86" s="20">
        <f t="shared" si="259"/>
        <v>92393.124999999985</v>
      </c>
      <c r="AN86" s="20">
        <f t="shared" si="259"/>
        <v>94172.895999999979</v>
      </c>
      <c r="AO86" s="20">
        <f t="shared" si="259"/>
        <v>96259.99599999997</v>
      </c>
      <c r="AP86" s="20">
        <f t="shared" si="259"/>
        <v>95248.393000000011</v>
      </c>
      <c r="AQ86" s="20">
        <f t="shared" si="259"/>
        <v>96664.34599999999</v>
      </c>
      <c r="AR86" s="20">
        <f t="shared" si="259"/>
        <v>94484.444000000018</v>
      </c>
      <c r="AS86" s="20">
        <f t="shared" si="259"/>
        <v>95283.212000000014</v>
      </c>
      <c r="AT86" s="20">
        <f t="shared" si="259"/>
        <v>98554.686999999962</v>
      </c>
      <c r="AU86" s="20">
        <f t="shared" si="259"/>
        <v>98167.813999999969</v>
      </c>
    </row>
    <row r="87" spans="2:47" s="6" customFormat="1" ht="13.5" customHeight="1" x14ac:dyDescent="0.3">
      <c r="B87" s="3" t="s">
        <v>317</v>
      </c>
      <c r="C87" s="20">
        <f t="shared" ref="C87:M87" si="260">+C56</f>
        <v>49978.396000000001</v>
      </c>
      <c r="D87" s="20">
        <f t="shared" si="260"/>
        <v>53325.671000000002</v>
      </c>
      <c r="E87" s="20">
        <f t="shared" si="260"/>
        <v>65127.114999999998</v>
      </c>
      <c r="F87" s="20">
        <f t="shared" si="260"/>
        <v>76031.433000000005</v>
      </c>
      <c r="G87" s="20">
        <f t="shared" si="260"/>
        <v>73512.354999999996</v>
      </c>
      <c r="H87" s="20">
        <f t="shared" si="260"/>
        <v>74921.880999999994</v>
      </c>
      <c r="I87" s="20">
        <f t="shared" si="260"/>
        <v>79092.019</v>
      </c>
      <c r="J87" s="20">
        <f t="shared" si="260"/>
        <v>81426.745999999999</v>
      </c>
      <c r="K87" s="20">
        <f t="shared" si="260"/>
        <v>86813.676000000007</v>
      </c>
      <c r="L87" s="20">
        <f t="shared" si="260"/>
        <v>87624.316000000006</v>
      </c>
      <c r="M87" s="20"/>
      <c r="N87" s="9"/>
      <c r="O87" s="42"/>
      <c r="P87" s="42"/>
      <c r="Q87" s="42"/>
      <c r="R87" s="20">
        <f t="shared" ref="R87:AU87" si="261">SUM(O56:R56)</f>
        <v>65127.114999999998</v>
      </c>
      <c r="S87" s="20">
        <f t="shared" si="261"/>
        <v>68966.789000000004</v>
      </c>
      <c r="T87" s="20">
        <f t="shared" si="261"/>
        <v>70889.723999999987</v>
      </c>
      <c r="U87" s="20">
        <f t="shared" si="261"/>
        <v>73688.899999999994</v>
      </c>
      <c r="V87" s="20">
        <f t="shared" si="261"/>
        <v>76031.433000000005</v>
      </c>
      <c r="W87" s="20">
        <f t="shared" si="261"/>
        <v>76587.758000000016</v>
      </c>
      <c r="X87" s="20">
        <f t="shared" si="261"/>
        <v>75837.282000000007</v>
      </c>
      <c r="Y87" s="20">
        <f t="shared" si="261"/>
        <v>74429.233000000007</v>
      </c>
      <c r="Z87" s="20">
        <f t="shared" si="261"/>
        <v>73512.354999999996</v>
      </c>
      <c r="AA87" s="20">
        <f t="shared" si="261"/>
        <v>71324.606999999989</v>
      </c>
      <c r="AB87" s="20">
        <f t="shared" si="261"/>
        <v>72497.206000000006</v>
      </c>
      <c r="AC87" s="20">
        <f t="shared" si="261"/>
        <v>74172.937000000005</v>
      </c>
      <c r="AD87" s="20">
        <f t="shared" si="261"/>
        <v>74921.880999999994</v>
      </c>
      <c r="AE87" s="20">
        <f t="shared" si="261"/>
        <v>76314.290999999997</v>
      </c>
      <c r="AF87" s="20">
        <f t="shared" si="261"/>
        <v>78095.199999999895</v>
      </c>
      <c r="AG87" s="20">
        <f t="shared" si="261"/>
        <v>78324.319000000003</v>
      </c>
      <c r="AH87" s="20">
        <f t="shared" si="261"/>
        <v>79092.019</v>
      </c>
      <c r="AI87" s="20">
        <f t="shared" si="261"/>
        <v>79939.77900000001</v>
      </c>
      <c r="AJ87" s="20">
        <f t="shared" si="261"/>
        <v>79039.396000000095</v>
      </c>
      <c r="AK87" s="20">
        <f t="shared" si="261"/>
        <v>79470.919999999984</v>
      </c>
      <c r="AL87" s="20">
        <f t="shared" si="261"/>
        <v>81426.745999999999</v>
      </c>
      <c r="AM87" s="20">
        <f t="shared" si="261"/>
        <v>82249.437999999995</v>
      </c>
      <c r="AN87" s="20">
        <f t="shared" si="261"/>
        <v>83897.437999999995</v>
      </c>
      <c r="AO87" s="20">
        <f t="shared" si="261"/>
        <v>85594.964999999997</v>
      </c>
      <c r="AP87" s="20">
        <f t="shared" si="261"/>
        <v>86813.676000000007</v>
      </c>
      <c r="AQ87" s="20">
        <f t="shared" si="261"/>
        <v>86225.597999999998</v>
      </c>
      <c r="AR87" s="20">
        <f t="shared" si="261"/>
        <v>85989.641000000003</v>
      </c>
      <c r="AS87" s="20">
        <f t="shared" si="261"/>
        <v>86134.47</v>
      </c>
      <c r="AT87" s="20">
        <f t="shared" si="261"/>
        <v>87624.316000000021</v>
      </c>
      <c r="AU87" s="20">
        <f t="shared" si="261"/>
        <v>89035.468000000023</v>
      </c>
    </row>
    <row r="88" spans="2:47" ht="13.5" customHeight="1" x14ac:dyDescent="0.35">
      <c r="B88" s="3" t="s">
        <v>298</v>
      </c>
      <c r="C88" s="20">
        <f>-C64</f>
        <v>3812.5320000000002</v>
      </c>
      <c r="D88" s="20">
        <f t="shared" ref="D88:F88" si="262">-D64</f>
        <v>5525.049</v>
      </c>
      <c r="E88" s="20">
        <f t="shared" si="262"/>
        <v>6607.6040000000003</v>
      </c>
      <c r="F88" s="20">
        <f t="shared" si="262"/>
        <v>7232.5910000000003</v>
      </c>
      <c r="G88" s="20">
        <f t="shared" ref="G88:H88" si="263">-G64</f>
        <v>6770.8770000000004</v>
      </c>
      <c r="H88" s="20">
        <f t="shared" si="263"/>
        <v>7692.5940000000001</v>
      </c>
      <c r="I88" s="20">
        <f t="shared" ref="I88:J88" si="264">-I64</f>
        <v>9834.4089999999997</v>
      </c>
      <c r="J88" s="20">
        <f t="shared" si="264"/>
        <v>13048.218000000001</v>
      </c>
      <c r="K88" s="20">
        <f t="shared" ref="K88:L88" si="265">-K64</f>
        <v>13901.534</v>
      </c>
      <c r="L88" s="20">
        <f t="shared" si="265"/>
        <v>13667.616</v>
      </c>
      <c r="M88" s="20"/>
      <c r="N88" s="9"/>
      <c r="O88" s="42"/>
      <c r="P88" s="42"/>
      <c r="Q88" s="42"/>
      <c r="R88" s="20">
        <f t="shared" ref="R88:Z88" si="266">-SUM(O64:R64)</f>
        <v>6607.6040000000003</v>
      </c>
      <c r="S88" s="20">
        <f t="shared" si="266"/>
        <v>7256.630000000001</v>
      </c>
      <c r="T88" s="20">
        <f t="shared" si="266"/>
        <v>7290.5990000000002</v>
      </c>
      <c r="U88" s="20">
        <f t="shared" si="266"/>
        <v>7534.8969999999999</v>
      </c>
      <c r="V88" s="20">
        <f t="shared" si="266"/>
        <v>7232.5910000000003</v>
      </c>
      <c r="W88" s="20">
        <f t="shared" si="266"/>
        <v>7027.9520000000011</v>
      </c>
      <c r="X88" s="20">
        <f t="shared" si="266"/>
        <v>6881.1310000000012</v>
      </c>
      <c r="Y88" s="20">
        <f t="shared" si="266"/>
        <v>6872.6130000000003</v>
      </c>
      <c r="Z88" s="20">
        <f t="shared" si="266"/>
        <v>6770.8770000000004</v>
      </c>
      <c r="AA88" s="20">
        <f t="shared" ref="AA88" si="267">-SUM(X64:AA64)</f>
        <v>6972.1859999999997</v>
      </c>
      <c r="AB88" s="20">
        <f t="shared" ref="AB88" si="268">-SUM(Y64:AB64)</f>
        <v>6772.14</v>
      </c>
      <c r="AC88" s="20">
        <f t="shared" ref="AC88" si="269">-SUM(Z64:AC64)</f>
        <v>7276.9630000000016</v>
      </c>
      <c r="AD88" s="20">
        <f t="shared" ref="AD88" si="270">-SUM(AA64:AD64)</f>
        <v>7692.594000000001</v>
      </c>
      <c r="AE88" s="20">
        <f t="shared" ref="AE88:AU88" si="271">-SUM(AB64:AE64)</f>
        <v>8163.3150000000005</v>
      </c>
      <c r="AF88" s="20">
        <f t="shared" si="271"/>
        <v>8685.2270000000008</v>
      </c>
      <c r="AG88" s="20">
        <f t="shared" si="271"/>
        <v>9265.7430000000004</v>
      </c>
      <c r="AH88" s="20">
        <f t="shared" si="271"/>
        <v>9834.4089999999997</v>
      </c>
      <c r="AI88" s="20">
        <f t="shared" si="271"/>
        <v>10481.953</v>
      </c>
      <c r="AJ88" s="20">
        <f t="shared" si="271"/>
        <v>11246.805</v>
      </c>
      <c r="AK88" s="20">
        <f t="shared" si="271"/>
        <v>12104.01</v>
      </c>
      <c r="AL88" s="20">
        <f t="shared" si="271"/>
        <v>13048.218000000001</v>
      </c>
      <c r="AM88" s="20">
        <f t="shared" si="271"/>
        <v>13655.014000000001</v>
      </c>
      <c r="AN88" s="20">
        <f t="shared" si="271"/>
        <v>14164.802</v>
      </c>
      <c r="AO88" s="20">
        <f t="shared" si="271"/>
        <v>14226.184000000001</v>
      </c>
      <c r="AP88" s="20">
        <f t="shared" si="271"/>
        <v>13901.534</v>
      </c>
      <c r="AQ88" s="20">
        <f t="shared" si="271"/>
        <v>13983.715999999997</v>
      </c>
      <c r="AR88" s="20">
        <f t="shared" si="271"/>
        <v>13624.083999999999</v>
      </c>
      <c r="AS88" s="20">
        <f t="shared" si="271"/>
        <v>13612.669999999996</v>
      </c>
      <c r="AT88" s="20">
        <f t="shared" si="271"/>
        <v>13667.616</v>
      </c>
      <c r="AU88" s="20">
        <f t="shared" si="271"/>
        <v>13588.263999999999</v>
      </c>
    </row>
    <row r="89" spans="2:47" ht="13.5" customHeight="1" x14ac:dyDescent="0.35">
      <c r="B89" s="3" t="s">
        <v>318</v>
      </c>
      <c r="C89" s="20">
        <f t="shared" ref="C89:M89" si="272">+C29</f>
        <v>15888.499000000003</v>
      </c>
      <c r="D89" s="20">
        <f t="shared" si="272"/>
        <v>15084.213000000016</v>
      </c>
      <c r="E89" s="20">
        <f t="shared" si="272"/>
        <v>18625.942999999985</v>
      </c>
      <c r="F89" s="20">
        <f t="shared" si="272"/>
        <v>22283.756999999998</v>
      </c>
      <c r="G89" s="20">
        <f t="shared" si="272"/>
        <v>18623.044999999991</v>
      </c>
      <c r="H89" s="20">
        <f t="shared" si="272"/>
        <v>23723.857000000018</v>
      </c>
      <c r="I89" s="20">
        <f t="shared" si="272"/>
        <v>34604.048999999999</v>
      </c>
      <c r="J89" s="20">
        <f t="shared" si="272"/>
        <v>24578.01</v>
      </c>
      <c r="K89" s="20">
        <f t="shared" si="272"/>
        <v>24285.769000000004</v>
      </c>
      <c r="L89" s="20">
        <f t="shared" si="272"/>
        <v>23262.059999999969</v>
      </c>
      <c r="M89" s="20"/>
      <c r="N89" s="9"/>
      <c r="O89" s="42"/>
      <c r="P89" s="42"/>
      <c r="Q89" s="42"/>
      <c r="R89" s="20">
        <f t="shared" ref="R89:AU89" si="273">SUM(O29:R29)</f>
        <v>18625.942999999992</v>
      </c>
      <c r="S89" s="20">
        <f t="shared" si="273"/>
        <v>20675.958999999988</v>
      </c>
      <c r="T89" s="20">
        <f t="shared" si="273"/>
        <v>20707.426999999989</v>
      </c>
      <c r="U89" s="20">
        <f t="shared" si="273"/>
        <v>21526.810999999991</v>
      </c>
      <c r="V89" s="20">
        <f t="shared" si="273"/>
        <v>22283.757000000001</v>
      </c>
      <c r="W89" s="20">
        <f t="shared" si="273"/>
        <v>22148.556000000008</v>
      </c>
      <c r="X89" s="20">
        <f t="shared" si="273"/>
        <v>21732.001000000007</v>
      </c>
      <c r="Y89" s="20">
        <f t="shared" si="273"/>
        <v>20488.096000000001</v>
      </c>
      <c r="Z89" s="20">
        <f t="shared" si="273"/>
        <v>18623.044999999987</v>
      </c>
      <c r="AA89" s="20">
        <f t="shared" si="273"/>
        <v>19364.973999999984</v>
      </c>
      <c r="AB89" s="20">
        <f t="shared" si="273"/>
        <v>20166.594999999979</v>
      </c>
      <c r="AC89" s="20">
        <f t="shared" si="273"/>
        <v>20693.953999999976</v>
      </c>
      <c r="AD89" s="20">
        <f t="shared" si="273"/>
        <v>23723.857000000004</v>
      </c>
      <c r="AE89" s="20">
        <f t="shared" si="273"/>
        <v>30049.399000000009</v>
      </c>
      <c r="AF89" s="20">
        <f t="shared" si="273"/>
        <v>30366.938000000016</v>
      </c>
      <c r="AG89" s="20">
        <f t="shared" si="273"/>
        <v>32264.36700000002</v>
      </c>
      <c r="AH89" s="20">
        <f t="shared" si="273"/>
        <v>34604.048999999977</v>
      </c>
      <c r="AI89" s="20">
        <f t="shared" si="273"/>
        <v>28214.324999999968</v>
      </c>
      <c r="AJ89" s="20">
        <f t="shared" si="273"/>
        <v>29297.889999999967</v>
      </c>
      <c r="AK89" s="20">
        <f t="shared" si="273"/>
        <v>27468.516999999963</v>
      </c>
      <c r="AL89" s="20">
        <f t="shared" si="273"/>
        <v>24578.009999999987</v>
      </c>
      <c r="AM89" s="20">
        <f t="shared" si="273"/>
        <v>24101.615999999987</v>
      </c>
      <c r="AN89" s="20">
        <f t="shared" si="273"/>
        <v>24739.666999999979</v>
      </c>
      <c r="AO89" s="20">
        <f t="shared" si="273"/>
        <v>25770.358999999979</v>
      </c>
      <c r="AP89" s="20">
        <f t="shared" si="273"/>
        <v>24285.769</v>
      </c>
      <c r="AQ89" s="20">
        <f t="shared" si="273"/>
        <v>24465.198999999997</v>
      </c>
      <c r="AR89" s="20">
        <f t="shared" si="273"/>
        <v>22185.711000000014</v>
      </c>
      <c r="AS89" s="20">
        <f t="shared" si="273"/>
        <v>21420.250000000011</v>
      </c>
      <c r="AT89" s="20">
        <f t="shared" si="273"/>
        <v>23262.059999999969</v>
      </c>
      <c r="AU89" s="20">
        <f t="shared" si="273"/>
        <v>21840.438999999969</v>
      </c>
    </row>
    <row r="90" spans="2:47" ht="13.5" customHeight="1" x14ac:dyDescent="0.35">
      <c r="B90" s="3" t="s">
        <v>319</v>
      </c>
      <c r="C90" s="20">
        <f>-C66</f>
        <v>36439.699000000001</v>
      </c>
      <c r="D90" s="20">
        <f t="shared" ref="D90:F90" si="274">-D66</f>
        <v>42003.19</v>
      </c>
      <c r="E90" s="20">
        <f t="shared" si="274"/>
        <v>42596.556000000004</v>
      </c>
      <c r="F90" s="20">
        <f t="shared" si="274"/>
        <v>50873.760999999999</v>
      </c>
      <c r="G90" s="20">
        <f t="shared" ref="G90:H90" si="275">-G66</f>
        <v>60175.780999999995</v>
      </c>
      <c r="H90" s="20">
        <f t="shared" si="275"/>
        <v>92570.680999999997</v>
      </c>
      <c r="I90" s="20">
        <f t="shared" ref="I90:J90" si="276">-I66</f>
        <v>97232.319999999992</v>
      </c>
      <c r="J90" s="20">
        <f t="shared" si="276"/>
        <v>69787.672000000006</v>
      </c>
      <c r="K90" s="20">
        <f t="shared" ref="K90:L90" si="277">-K66</f>
        <v>54891.348000000005</v>
      </c>
      <c r="L90" s="20">
        <f t="shared" si="277"/>
        <v>44998.771999999997</v>
      </c>
      <c r="M90" s="20"/>
      <c r="N90" s="9"/>
      <c r="O90" s="42"/>
      <c r="P90" s="42"/>
      <c r="Q90" s="42"/>
      <c r="R90" s="20">
        <f t="shared" ref="R90:W90" si="278">-SUM(O66:R66)</f>
        <v>42596.556000000004</v>
      </c>
      <c r="S90" s="20">
        <f t="shared" si="278"/>
        <v>44737.23</v>
      </c>
      <c r="T90" s="20">
        <f t="shared" si="278"/>
        <v>38673.03300000001</v>
      </c>
      <c r="U90" s="20">
        <f t="shared" si="278"/>
        <v>42062.589000000007</v>
      </c>
      <c r="V90" s="20">
        <f t="shared" si="278"/>
        <v>50873.760999999999</v>
      </c>
      <c r="W90" s="20">
        <f t="shared" si="278"/>
        <v>52775.823000000004</v>
      </c>
      <c r="X90" s="20">
        <f>-SUM(U66:X66)</f>
        <v>52768.815999999999</v>
      </c>
      <c r="Y90" s="20">
        <f>-SUM(V66:Y66)</f>
        <v>52344.773000000001</v>
      </c>
      <c r="Z90" s="20">
        <f t="shared" ref="Z90" si="279">-SUM(W66:Z66)</f>
        <v>60175.780999999988</v>
      </c>
      <c r="AA90" s="20">
        <f t="shared" ref="AA90" si="280">-SUM(X66:AA66)</f>
        <v>68612.600999999995</v>
      </c>
      <c r="AB90" s="20">
        <f>-SUM(Y66:AB66)</f>
        <v>82536.994999999981</v>
      </c>
      <c r="AC90" s="20">
        <f>-SUM(Z66:AC66)</f>
        <v>92195.279999999984</v>
      </c>
      <c r="AD90" s="20">
        <f t="shared" ref="AD90:AE90" si="281">-SUM(AA66:AD66)</f>
        <v>92570.680999999997</v>
      </c>
      <c r="AE90" s="20">
        <f t="shared" si="281"/>
        <v>94475.061000000016</v>
      </c>
      <c r="AF90" s="20">
        <f>-SUM(AC66:AF66)</f>
        <v>96469.754000000015</v>
      </c>
      <c r="AG90" s="20">
        <f>-SUM(AD66:AG66)</f>
        <v>98048.109000000026</v>
      </c>
      <c r="AH90" s="20">
        <f t="shared" ref="AH90:AI90" si="282">-SUM(AE66:AH66)</f>
        <v>97232.319999999992</v>
      </c>
      <c r="AI90" s="20">
        <f t="shared" si="282"/>
        <v>93775.025999999998</v>
      </c>
      <c r="AJ90" s="20">
        <f>-SUM(AG66:AJ66)</f>
        <v>87540.446999999986</v>
      </c>
      <c r="AK90" s="20">
        <f>-SUM(AH66:AK66)</f>
        <v>80011.815999999992</v>
      </c>
      <c r="AL90" s="20">
        <f t="shared" ref="AL90:AM90" si="283">-SUM(AI66:AL66)</f>
        <v>69787.672000000006</v>
      </c>
      <c r="AM90" s="20">
        <f t="shared" si="283"/>
        <v>65844.439000000013</v>
      </c>
      <c r="AN90" s="20">
        <f>-SUM(AK66:AN66)</f>
        <v>59637.671000000002</v>
      </c>
      <c r="AO90" s="20">
        <f>-SUM(AL66:AO66)</f>
        <v>56016.292000000001</v>
      </c>
      <c r="AP90" s="20">
        <f t="shared" ref="AP90:AQ90" si="284">-SUM(AM66:AP66)</f>
        <v>54891.348000000005</v>
      </c>
      <c r="AQ90" s="20">
        <f t="shared" si="284"/>
        <v>49668.354999999996</v>
      </c>
      <c r="AR90" s="20">
        <f>-SUM(AO66:AR66)</f>
        <v>46399.408000000003</v>
      </c>
      <c r="AS90" s="20">
        <f>-SUM(AP66:AS66)</f>
        <v>46215.840000000004</v>
      </c>
      <c r="AT90" s="20">
        <f t="shared" ref="AT90:AU90" si="285">-SUM(AQ66:AT66)</f>
        <v>44998.771999999997</v>
      </c>
      <c r="AU90" s="20">
        <f t="shared" si="285"/>
        <v>49307</v>
      </c>
    </row>
    <row r="91" spans="2:47" ht="13.5" customHeight="1" x14ac:dyDescent="0.35">
      <c r="B91" s="3" t="s">
        <v>302</v>
      </c>
      <c r="C91" s="20">
        <f>+C68</f>
        <v>-28986.963000000003</v>
      </c>
      <c r="D91" s="20">
        <f t="shared" ref="D91:F91" si="286">+D68</f>
        <v>-15138.233999999997</v>
      </c>
      <c r="E91" s="20">
        <f t="shared" si="286"/>
        <v>3160.4879999999948</v>
      </c>
      <c r="F91" s="20">
        <f t="shared" si="286"/>
        <v>5198.6529999999966</v>
      </c>
      <c r="G91" s="20">
        <f t="shared" ref="G91:H91" si="287">+G68</f>
        <v>-10963.718999999986</v>
      </c>
      <c r="H91" s="20">
        <f t="shared" si="287"/>
        <v>-42725.01400000001</v>
      </c>
      <c r="I91" s="20">
        <f t="shared" ref="I91:J91" si="288">+I68</f>
        <v>-48611.034999999996</v>
      </c>
      <c r="J91" s="20">
        <f t="shared" si="288"/>
        <v>-11778.173000000003</v>
      </c>
      <c r="K91" s="20">
        <f t="shared" ref="K91:L91" si="289">+K68</f>
        <v>10314.992</v>
      </c>
      <c r="L91" s="20">
        <f t="shared" si="289"/>
        <v>16470.663000000008</v>
      </c>
      <c r="M91" s="20"/>
      <c r="N91" s="9"/>
      <c r="O91" s="42"/>
      <c r="P91" s="42"/>
      <c r="Q91" s="42"/>
      <c r="R91" s="20">
        <f t="shared" ref="R91:W91" si="290">SUM(O68:R68)</f>
        <v>3160.4879999999921</v>
      </c>
      <c r="S91" s="20">
        <f t="shared" si="290"/>
        <v>7143.9239999999918</v>
      </c>
      <c r="T91" s="20">
        <f t="shared" si="290"/>
        <v>10143.297999999986</v>
      </c>
      <c r="U91" s="20">
        <f t="shared" si="290"/>
        <v>9481.1119999999901</v>
      </c>
      <c r="V91" s="20">
        <f t="shared" si="290"/>
        <v>5198.6530000000093</v>
      </c>
      <c r="W91" s="20">
        <f t="shared" si="290"/>
        <v>31.927000000010317</v>
      </c>
      <c r="X91" s="20">
        <f>SUM(U68:X68)</f>
        <v>-8130.3349999999864</v>
      </c>
      <c r="Y91" s="20">
        <f>SUM(V68:Y68)</f>
        <v>-5080.7009999999837</v>
      </c>
      <c r="Z91" s="20">
        <f t="shared" ref="Z91" si="291">SUM(W68:Z68)</f>
        <v>-10963.718999999979</v>
      </c>
      <c r="AA91" s="20">
        <f t="shared" ref="AA91" si="292">SUM(X68:AA68)</f>
        <v>-17211.865999999984</v>
      </c>
      <c r="AB91" s="20">
        <f>SUM(Y68:AB68)</f>
        <v>-21686.673999999974</v>
      </c>
      <c r="AC91" s="20">
        <f>SUM(Z68:AC68)</f>
        <v>-37314.873999999982</v>
      </c>
      <c r="AD91" s="20">
        <f t="shared" ref="AD91:AE91" si="293">SUM(AA68:AD68)</f>
        <v>-42725.014000000025</v>
      </c>
      <c r="AE91" s="20">
        <f t="shared" si="293"/>
        <v>-49443.519000000015</v>
      </c>
      <c r="AF91" s="20">
        <f>SUM(AC68:AF68)</f>
        <v>-50296.428000000131</v>
      </c>
      <c r="AG91" s="20">
        <f>SUM(AD68:AG68)</f>
        <v>-52554.371000000028</v>
      </c>
      <c r="AH91" s="20">
        <f t="shared" ref="AH91:AI91" si="294">SUM(AE68:AH68)</f>
        <v>-48611.035000000003</v>
      </c>
      <c r="AI91" s="20">
        <f t="shared" si="294"/>
        <v>-44475.197</v>
      </c>
      <c r="AJ91" s="20">
        <f>SUM(AG68:AJ68)</f>
        <v>-37597.044999999904</v>
      </c>
      <c r="AK91" s="20">
        <f>SUM(AH68:AK68)</f>
        <v>-24087.851999999999</v>
      </c>
      <c r="AL91" s="20">
        <f t="shared" ref="AL91:AM91" si="295">SUM(AI68:AL68)</f>
        <v>-11778.173000000006</v>
      </c>
      <c r="AM91" s="20">
        <f t="shared" si="295"/>
        <v>1762.1959999999949</v>
      </c>
      <c r="AN91" s="20">
        <f>SUM(AK68:AN68)</f>
        <v>6457.7420000000038</v>
      </c>
      <c r="AO91" s="20">
        <f>SUM(AL68:AO68)</f>
        <v>10070.566000000006</v>
      </c>
      <c r="AP91" s="20">
        <f t="shared" ref="AP91:AQ91" si="296">SUM(AM68:AP68)</f>
        <v>10314.992000000007</v>
      </c>
      <c r="AQ91" s="20">
        <f t="shared" si="296"/>
        <v>14743.907000000007</v>
      </c>
      <c r="AR91" s="20">
        <f>SUM(AO68:AR68)</f>
        <v>11977.623000000001</v>
      </c>
      <c r="AS91" s="20">
        <f>SUM(AP68:AS68)</f>
        <v>15182.596999999994</v>
      </c>
      <c r="AT91" s="20">
        <f t="shared" ref="AT91:AU91" si="297">SUM(AQ68:AT68)</f>
        <v>16470.663000000015</v>
      </c>
      <c r="AU91" s="20">
        <f t="shared" si="297"/>
        <v>12949.45400000002</v>
      </c>
    </row>
    <row r="92" spans="2:47" ht="13.5" customHeight="1" x14ac:dyDescent="0.35"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9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</row>
    <row r="93" spans="2:47" ht="13.5" customHeight="1" x14ac:dyDescent="0.35">
      <c r="B93" s="10" t="s">
        <v>320</v>
      </c>
      <c r="C93" s="33">
        <f>C82</f>
        <v>42735</v>
      </c>
      <c r="D93" s="33">
        <f t="shared" ref="D93:W93" si="298">D82</f>
        <v>43100</v>
      </c>
      <c r="E93" s="33">
        <f t="shared" si="298"/>
        <v>43465</v>
      </c>
      <c r="F93" s="33">
        <f t="shared" si="298"/>
        <v>43830</v>
      </c>
      <c r="G93" s="33">
        <f t="shared" ref="G93:H93" si="299">G82</f>
        <v>44196</v>
      </c>
      <c r="H93" s="33">
        <f t="shared" si="299"/>
        <v>44561</v>
      </c>
      <c r="I93" s="33">
        <f t="shared" ref="I93:J93" si="300">I82</f>
        <v>44926</v>
      </c>
      <c r="J93" s="33">
        <f t="shared" si="300"/>
        <v>45291</v>
      </c>
      <c r="K93" s="33">
        <f t="shared" ref="K93:L93" si="301">K82</f>
        <v>45657</v>
      </c>
      <c r="L93" s="33">
        <f t="shared" si="301"/>
        <v>46022</v>
      </c>
      <c r="M93" s="33"/>
      <c r="N93" s="9"/>
      <c r="O93" s="33">
        <f t="shared" si="298"/>
        <v>43190</v>
      </c>
      <c r="P93" s="33">
        <f t="shared" si="298"/>
        <v>43281</v>
      </c>
      <c r="Q93" s="33">
        <f t="shared" si="298"/>
        <v>43373</v>
      </c>
      <c r="R93" s="33">
        <f t="shared" si="298"/>
        <v>43465</v>
      </c>
      <c r="S93" s="33">
        <f t="shared" si="298"/>
        <v>43555</v>
      </c>
      <c r="T93" s="33">
        <f t="shared" si="298"/>
        <v>43646</v>
      </c>
      <c r="U93" s="33">
        <f t="shared" si="298"/>
        <v>43738</v>
      </c>
      <c r="V93" s="33">
        <f t="shared" si="298"/>
        <v>43830</v>
      </c>
      <c r="W93" s="33">
        <f t="shared" si="298"/>
        <v>43921</v>
      </c>
      <c r="X93" s="33">
        <f t="shared" ref="X93:AA93" si="302">X82</f>
        <v>44012</v>
      </c>
      <c r="Y93" s="33">
        <f t="shared" si="302"/>
        <v>44104</v>
      </c>
      <c r="Z93" s="33">
        <f t="shared" si="302"/>
        <v>44196</v>
      </c>
      <c r="AA93" s="33">
        <f t="shared" si="302"/>
        <v>44286</v>
      </c>
      <c r="AB93" s="33">
        <f t="shared" ref="AB93:AE93" si="303">AB82</f>
        <v>44377</v>
      </c>
      <c r="AC93" s="33">
        <f t="shared" si="303"/>
        <v>44469</v>
      </c>
      <c r="AD93" s="33">
        <f t="shared" si="303"/>
        <v>44561</v>
      </c>
      <c r="AE93" s="33">
        <f t="shared" si="303"/>
        <v>44651</v>
      </c>
      <c r="AF93" s="33">
        <f t="shared" ref="AF93:AI93" si="304">AF82</f>
        <v>44742</v>
      </c>
      <c r="AG93" s="33">
        <f t="shared" si="304"/>
        <v>44834</v>
      </c>
      <c r="AH93" s="33">
        <f t="shared" si="304"/>
        <v>44926</v>
      </c>
      <c r="AI93" s="33">
        <f t="shared" si="304"/>
        <v>45016</v>
      </c>
      <c r="AJ93" s="33">
        <f t="shared" ref="AJ93:AM93" si="305">AJ82</f>
        <v>45107</v>
      </c>
      <c r="AK93" s="33">
        <f t="shared" si="305"/>
        <v>45199</v>
      </c>
      <c r="AL93" s="33">
        <f t="shared" si="305"/>
        <v>45291</v>
      </c>
      <c r="AM93" s="33">
        <f t="shared" si="305"/>
        <v>45382</v>
      </c>
      <c r="AN93" s="33">
        <f t="shared" ref="AN93:AQ93" si="306">AN82</f>
        <v>45473</v>
      </c>
      <c r="AO93" s="33">
        <f t="shared" si="306"/>
        <v>45565</v>
      </c>
      <c r="AP93" s="33">
        <f t="shared" si="306"/>
        <v>45657</v>
      </c>
      <c r="AQ93" s="33">
        <f t="shared" si="306"/>
        <v>45747</v>
      </c>
      <c r="AR93" s="33">
        <f t="shared" ref="AR93:AU93" si="307">AR82</f>
        <v>45838</v>
      </c>
      <c r="AS93" s="33">
        <f t="shared" si="307"/>
        <v>45930</v>
      </c>
      <c r="AT93" s="33">
        <f t="shared" si="307"/>
        <v>46022</v>
      </c>
      <c r="AU93" s="33">
        <f t="shared" si="307"/>
        <v>46112</v>
      </c>
    </row>
    <row r="94" spans="2:47" ht="13.5" customHeight="1" x14ac:dyDescent="0.35">
      <c r="C94" s="19"/>
      <c r="D94" s="19"/>
      <c r="E94" s="19"/>
      <c r="F94" s="19"/>
      <c r="G94" s="19"/>
      <c r="H94" s="19"/>
      <c r="I94" s="19"/>
      <c r="J94" s="19"/>
      <c r="K94" s="19"/>
    </row>
    <row r="95" spans="2:47" s="6" customFormat="1" ht="13.5" customHeight="1" x14ac:dyDescent="0.3">
      <c r="B95" s="3" t="s">
        <v>321</v>
      </c>
      <c r="C95" s="39">
        <v>142251.981</v>
      </c>
      <c r="D95" s="39">
        <v>16602.646000000001</v>
      </c>
      <c r="E95" s="39">
        <f>169393.768</f>
        <v>169393.76800000001</v>
      </c>
      <c r="F95" s="39">
        <f>182662.528+3566.28</f>
        <v>186228.80799999999</v>
      </c>
      <c r="G95" s="39">
        <f>190292.393+4300.835</f>
        <v>194593.228</v>
      </c>
      <c r="H95" s="39">
        <f>270747.147+19687.012</f>
        <v>290434.15899999999</v>
      </c>
      <c r="I95" s="39">
        <f>281899.06+37108.116</f>
        <v>319007.17599999998</v>
      </c>
      <c r="J95" s="39">
        <f>334408.653+69538.796</f>
        <v>403947.44900000002</v>
      </c>
      <c r="K95" s="39">
        <f>352115.098+90464.458</f>
        <v>442579.55599999998</v>
      </c>
      <c r="L95" s="39">
        <f>356127.191+99418.585</f>
        <v>455545.77600000001</v>
      </c>
      <c r="M95" s="20"/>
      <c r="N95" s="9"/>
      <c r="O95" s="19">
        <v>162273.927</v>
      </c>
      <c r="P95" s="19">
        <v>169068.02499999999</v>
      </c>
      <c r="Q95" s="19">
        <f>168803.619</f>
        <v>168803.61900000001</v>
      </c>
      <c r="R95" s="20">
        <f>E95</f>
        <v>169393.76800000001</v>
      </c>
      <c r="S95" s="19">
        <f>170051.265 +3284.863</f>
        <v>173336.12800000003</v>
      </c>
      <c r="T95" s="19">
        <f>172051.712+3265.876</f>
        <v>175317.58799999999</v>
      </c>
      <c r="U95" s="19">
        <f>178453.614+3253.858</f>
        <v>181707.47200000001</v>
      </c>
      <c r="V95" s="20">
        <f>F95</f>
        <v>186228.80799999999</v>
      </c>
      <c r="W95" s="19">
        <f>186498.895+3687.482</f>
        <v>190186.37699999998</v>
      </c>
      <c r="X95" s="19">
        <f>189017.153+3982.301</f>
        <v>192999.454</v>
      </c>
      <c r="Y95" s="19">
        <f>190915.573+4104.177</f>
        <v>195019.75</v>
      </c>
      <c r="Z95" s="20">
        <f>G95</f>
        <v>194593.228</v>
      </c>
      <c r="AA95" s="19">
        <f>202475.692+4449.201</f>
        <v>206924.89300000001</v>
      </c>
      <c r="AB95" s="19">
        <f>219498.126+4936.397</f>
        <v>224434.52299999999</v>
      </c>
      <c r="AC95" s="19">
        <f>250673.176+13765.624</f>
        <v>264438.8</v>
      </c>
      <c r="AD95" s="20">
        <f>H95</f>
        <v>290434.15899999999</v>
      </c>
      <c r="AE95" s="19">
        <f>276761.829+22613.181</f>
        <v>299375.01</v>
      </c>
      <c r="AF95" s="19">
        <f>287630.222+23931.821</f>
        <v>311562.04300000001</v>
      </c>
      <c r="AG95" s="19">
        <f>270851.261+20616.275</f>
        <v>291467.53600000002</v>
      </c>
      <c r="AH95" s="20">
        <f>I95</f>
        <v>319007.17599999998</v>
      </c>
      <c r="AI95" s="19">
        <f>300086.803+44055.99</f>
        <v>344142.79300000001</v>
      </c>
      <c r="AJ95" s="19">
        <f>318227.998+55859.739</f>
        <v>374087.73700000002</v>
      </c>
      <c r="AK95" s="19">
        <f>331555.439+63662.565</f>
        <v>395218.00400000002</v>
      </c>
      <c r="AL95" s="20">
        <f>J95</f>
        <v>403947.44900000002</v>
      </c>
      <c r="AM95" s="19">
        <f>340897.379+74928.596</f>
        <v>415825.97500000003</v>
      </c>
      <c r="AN95" s="39">
        <f>345957.666+78919.589</f>
        <v>424877.255</v>
      </c>
      <c r="AO95" s="19">
        <f>348663.699+87887.778</f>
        <v>436551.47700000001</v>
      </c>
      <c r="AP95" s="20">
        <f>K95</f>
        <v>442579.55599999998</v>
      </c>
      <c r="AQ95" s="39">
        <f>353736.867+91919.233</f>
        <v>445656.10000000003</v>
      </c>
      <c r="AR95" s="39">
        <f>353827.094+93664.003</f>
        <v>447491.09699999995</v>
      </c>
      <c r="AS95" s="19">
        <f>359923.032+96442.381</f>
        <v>456365.413</v>
      </c>
      <c r="AT95" s="20">
        <f>L95</f>
        <v>455545.77600000001</v>
      </c>
      <c r="AU95" s="39">
        <f>359923.763+104443.855</f>
        <v>464367.61799999996</v>
      </c>
    </row>
    <row r="96" spans="2:47" s="6" customFormat="1" ht="13.5" customHeight="1" x14ac:dyDescent="0.3">
      <c r="B96" s="23" t="s">
        <v>322</v>
      </c>
      <c r="C96" s="19">
        <v>4579.9539999999997</v>
      </c>
      <c r="D96" s="19">
        <v>3242.6889999999999</v>
      </c>
      <c r="E96" s="19">
        <v>4854.9390000000003</v>
      </c>
      <c r="F96" s="19">
        <v>4713.5720000000001</v>
      </c>
      <c r="G96" s="19">
        <v>5988.8990000000003</v>
      </c>
      <c r="H96" s="222">
        <v>4045.049</v>
      </c>
      <c r="I96" s="222">
        <v>3881.6819999999998</v>
      </c>
      <c r="J96" s="222">
        <f>3388.42</f>
        <v>3388.42</v>
      </c>
      <c r="K96" s="222">
        <v>2964.8139999999999</v>
      </c>
      <c r="L96" s="222">
        <v>2318.9499999999998</v>
      </c>
      <c r="M96" s="20"/>
      <c r="N96" s="9"/>
      <c r="O96" s="19">
        <v>4138.665</v>
      </c>
      <c r="P96" s="19">
        <v>3527.62</v>
      </c>
      <c r="Q96" s="39">
        <v>2722.8879999999999</v>
      </c>
      <c r="R96" s="20">
        <f>E96</f>
        <v>4854.9390000000003</v>
      </c>
      <c r="S96" s="39">
        <v>4348.1909999999998</v>
      </c>
      <c r="T96" s="39">
        <v>3579.6410000000001</v>
      </c>
      <c r="U96" s="39">
        <v>2806.5770000000002</v>
      </c>
      <c r="V96" s="20">
        <f>F96</f>
        <v>4713.5720000000001</v>
      </c>
      <c r="W96" s="39">
        <v>3742.6849999999999</v>
      </c>
      <c r="X96" s="39">
        <v>5099.1530000000002</v>
      </c>
      <c r="Y96" s="39">
        <v>5022.6530000000002</v>
      </c>
      <c r="Z96" s="20">
        <f>G96</f>
        <v>5988.8990000000003</v>
      </c>
      <c r="AA96" s="39">
        <v>5538.8519999999999</v>
      </c>
      <c r="AB96" s="39">
        <v>4907.5839999999998</v>
      </c>
      <c r="AC96" s="39">
        <v>4268.2160000000003</v>
      </c>
      <c r="AD96" s="20">
        <f>H96</f>
        <v>4045.049</v>
      </c>
      <c r="AE96" s="39">
        <v>4607.0259999999998</v>
      </c>
      <c r="AF96" s="39">
        <v>4741.9690000000001</v>
      </c>
      <c r="AG96" s="39">
        <v>4434.4089999999997</v>
      </c>
      <c r="AH96" s="20">
        <f>I96</f>
        <v>3881.6819999999998</v>
      </c>
      <c r="AI96" s="39">
        <v>5301.7809999999999</v>
      </c>
      <c r="AJ96" s="39">
        <v>3664.5340000000001</v>
      </c>
      <c r="AK96" s="39">
        <v>2559.75</v>
      </c>
      <c r="AL96" s="20">
        <f>J96</f>
        <v>3388.42</v>
      </c>
      <c r="AM96" s="39">
        <v>2681.3870000000002</v>
      </c>
      <c r="AN96" s="222">
        <f>2262.792</f>
        <v>2262.7919999999999</v>
      </c>
      <c r="AO96" s="39">
        <v>1723.0450000000001</v>
      </c>
      <c r="AP96" s="20">
        <f>K96</f>
        <v>2964.8139999999999</v>
      </c>
      <c r="AQ96" s="222">
        <v>2713.0340000000001</v>
      </c>
      <c r="AR96" s="222">
        <v>2084.826</v>
      </c>
      <c r="AS96" s="39">
        <v>1873.047</v>
      </c>
      <c r="AT96" s="20">
        <f>L96</f>
        <v>2318.9499999999998</v>
      </c>
      <c r="AU96" s="222">
        <v>2242.3719999999998</v>
      </c>
    </row>
    <row r="97" spans="2:47" s="6" customFormat="1" ht="13.5" customHeight="1" x14ac:dyDescent="0.3">
      <c r="B97" s="23" t="s">
        <v>323</v>
      </c>
      <c r="C97" s="19">
        <v>26944.645</v>
      </c>
      <c r="D97" s="19">
        <v>27304.288</v>
      </c>
      <c r="E97" s="19">
        <v>20652.531999999999</v>
      </c>
      <c r="F97" s="19">
        <v>21138.95</v>
      </c>
      <c r="G97" s="19">
        <v>20145.484</v>
      </c>
      <c r="H97" s="222">
        <v>16696.542000000001</v>
      </c>
      <c r="I97" s="222">
        <v>23563.414000000001</v>
      </c>
      <c r="J97" s="222">
        <f>18097.898</f>
        <v>18097.898000000001</v>
      </c>
      <c r="K97" s="222">
        <v>19660.468000000001</v>
      </c>
      <c r="L97" s="222">
        <v>17892.54</v>
      </c>
      <c r="M97" s="20"/>
      <c r="N97" s="9"/>
      <c r="O97" s="19">
        <v>20166.277999999998</v>
      </c>
      <c r="P97" s="19">
        <v>19009.113000000001</v>
      </c>
      <c r="Q97" s="19">
        <v>19592.18</v>
      </c>
      <c r="R97" s="20">
        <f>E97</f>
        <v>20652.531999999999</v>
      </c>
      <c r="S97" s="19">
        <v>19838.092000000001</v>
      </c>
      <c r="T97" s="19">
        <v>20360.555</v>
      </c>
      <c r="U97" s="19">
        <v>18772.662</v>
      </c>
      <c r="V97" s="20">
        <f>F97</f>
        <v>21138.95</v>
      </c>
      <c r="W97" s="19">
        <v>22903.120999999999</v>
      </c>
      <c r="X97" s="19">
        <v>22851.701000000001</v>
      </c>
      <c r="Y97" s="19">
        <v>20112.43</v>
      </c>
      <c r="Z97" s="20">
        <f>G97</f>
        <v>20145.484</v>
      </c>
      <c r="AA97" s="19">
        <v>18749.756000000001</v>
      </c>
      <c r="AB97" s="19">
        <v>17113.365000000002</v>
      </c>
      <c r="AC97" s="19">
        <v>16482.969000000001</v>
      </c>
      <c r="AD97" s="20">
        <f>H97</f>
        <v>16696.542000000001</v>
      </c>
      <c r="AE97" s="19">
        <v>18077.121999999999</v>
      </c>
      <c r="AF97" s="19">
        <v>19453.526000000002</v>
      </c>
      <c r="AG97" s="19">
        <v>20267.403999999999</v>
      </c>
      <c r="AH97" s="20">
        <f>I97</f>
        <v>23563.414000000001</v>
      </c>
      <c r="AI97" s="39">
        <v>22127.393</v>
      </c>
      <c r="AJ97" s="19">
        <v>21554.51</v>
      </c>
      <c r="AK97" s="19">
        <v>23453.298999999999</v>
      </c>
      <c r="AL97" s="20">
        <f>J97</f>
        <v>18097.898000000001</v>
      </c>
      <c r="AM97" s="39">
        <v>17391.927</v>
      </c>
      <c r="AN97" s="222">
        <f>17806.91</f>
        <v>17806.91</v>
      </c>
      <c r="AO97" s="19">
        <v>17707.198</v>
      </c>
      <c r="AP97" s="20">
        <f>K97</f>
        <v>19660.468000000001</v>
      </c>
      <c r="AQ97" s="222">
        <v>17456.792000000001</v>
      </c>
      <c r="AR97" s="222">
        <v>18354.685000000001</v>
      </c>
      <c r="AS97" s="19">
        <v>17548.973999999998</v>
      </c>
      <c r="AT97" s="20">
        <f>L97</f>
        <v>17892.54</v>
      </c>
      <c r="AU97" s="222">
        <v>17598.741999999998</v>
      </c>
    </row>
    <row r="98" spans="2:47" s="6" customFormat="1" ht="13.5" customHeight="1" x14ac:dyDescent="0.3">
      <c r="B98" s="23" t="s">
        <v>324</v>
      </c>
      <c r="C98" s="19">
        <v>59137.686000000002</v>
      </c>
      <c r="D98" s="19">
        <v>62232.862000000001</v>
      </c>
      <c r="E98" s="19">
        <v>56219.366000000002</v>
      </c>
      <c r="F98" s="19">
        <v>56979.315000000002</v>
      </c>
      <c r="G98" s="19">
        <v>56377.186000000002</v>
      </c>
      <c r="H98" s="222">
        <v>84576.156000000003</v>
      </c>
      <c r="I98" s="222">
        <v>88380.797000000006</v>
      </c>
      <c r="J98" s="222">
        <f>87664.258</f>
        <v>87664.258000000002</v>
      </c>
      <c r="K98" s="222">
        <v>78107.331999999995</v>
      </c>
      <c r="L98" s="222">
        <v>72188.251999999993</v>
      </c>
      <c r="M98" s="20"/>
      <c r="N98" s="9"/>
      <c r="O98" s="19">
        <v>62333.146999999997</v>
      </c>
      <c r="P98" s="19">
        <v>59065.571000000004</v>
      </c>
      <c r="Q98" s="19">
        <v>56737.981</v>
      </c>
      <c r="R98" s="20">
        <f>E98</f>
        <v>56219.366000000002</v>
      </c>
      <c r="S98" s="19">
        <v>54405.796000000002</v>
      </c>
      <c r="T98" s="19">
        <v>56312.072</v>
      </c>
      <c r="U98" s="19">
        <v>59157.476999999999</v>
      </c>
      <c r="V98" s="20">
        <f>F98</f>
        <v>56979.315000000002</v>
      </c>
      <c r="W98" s="19">
        <v>55906.909</v>
      </c>
      <c r="X98" s="19">
        <v>55764.728999999999</v>
      </c>
      <c r="Y98" s="19">
        <v>58680.249000000003</v>
      </c>
      <c r="Z98" s="20">
        <f>G98</f>
        <v>56377.186000000002</v>
      </c>
      <c r="AA98" s="19">
        <v>60817.161999999997</v>
      </c>
      <c r="AB98" s="19">
        <v>67632.13</v>
      </c>
      <c r="AC98" s="19">
        <v>84488.914000000004</v>
      </c>
      <c r="AD98" s="20">
        <f>H98</f>
        <v>84576.156000000003</v>
      </c>
      <c r="AE98" s="19">
        <v>84852.759000000005</v>
      </c>
      <c r="AF98" s="19">
        <v>83066.001000000004</v>
      </c>
      <c r="AG98" s="19">
        <v>82964.97</v>
      </c>
      <c r="AH98" s="20">
        <f>I98</f>
        <v>88380.797000000006</v>
      </c>
      <c r="AI98" s="39">
        <v>96523.260999999999</v>
      </c>
      <c r="AJ98" s="19">
        <v>102448.852</v>
      </c>
      <c r="AK98" s="19">
        <v>23453.298999999999</v>
      </c>
      <c r="AL98" s="20">
        <f>J98</f>
        <v>87664.258000000002</v>
      </c>
      <c r="AM98" s="39">
        <v>89094.656000000003</v>
      </c>
      <c r="AN98" s="222">
        <f>87210.623</f>
        <v>87210.623000000007</v>
      </c>
      <c r="AO98" s="19">
        <v>81171.247000000003</v>
      </c>
      <c r="AP98" s="20">
        <f>K98</f>
        <v>78107.331999999995</v>
      </c>
      <c r="AQ98" s="222">
        <v>80067.963000000003</v>
      </c>
      <c r="AR98" s="222">
        <v>76064.070000000007</v>
      </c>
      <c r="AS98" s="19">
        <v>77605.785000000003</v>
      </c>
      <c r="AT98" s="20">
        <f>L98</f>
        <v>72188.251999999993</v>
      </c>
      <c r="AU98" s="222">
        <v>73016.282999999996</v>
      </c>
    </row>
    <row r="99" spans="2:47" s="6" customFormat="1" ht="13.5" customHeight="1" x14ac:dyDescent="0.3">
      <c r="B99" s="6" t="s">
        <v>325</v>
      </c>
      <c r="C99" s="15">
        <f t="shared" ref="C99:S99" si="308">C96+C97-C98</f>
        <v>-27613.087</v>
      </c>
      <c r="D99" s="15">
        <f t="shared" si="308"/>
        <v>-31685.885000000002</v>
      </c>
      <c r="E99" s="15">
        <f t="shared" si="308"/>
        <v>-30711.895000000004</v>
      </c>
      <c r="F99" s="15">
        <f t="shared" si="308"/>
        <v>-31126.793000000001</v>
      </c>
      <c r="G99" s="15">
        <f t="shared" ref="G99:H99" si="309">G96+G97-G98</f>
        <v>-30242.803</v>
      </c>
      <c r="H99" s="15">
        <f t="shared" si="309"/>
        <v>-63834.565000000002</v>
      </c>
      <c r="I99" s="15">
        <f t="shared" ref="I99:J99" si="310">I96+I97-I98</f>
        <v>-60935.701000000001</v>
      </c>
      <c r="J99" s="15">
        <f t="shared" si="310"/>
        <v>-66177.94</v>
      </c>
      <c r="K99" s="15">
        <f t="shared" ref="K99:L99" si="311">K96+K97-K98</f>
        <v>-55482.049999999996</v>
      </c>
      <c r="L99" s="15">
        <f t="shared" si="311"/>
        <v>-51976.761999999988</v>
      </c>
      <c r="M99" s="15"/>
      <c r="N99" s="9"/>
      <c r="O99" s="15">
        <f t="shared" si="308"/>
        <v>-38028.203999999998</v>
      </c>
      <c r="P99" s="15">
        <f t="shared" si="308"/>
        <v>-36528.838000000003</v>
      </c>
      <c r="Q99" s="15">
        <f t="shared" si="308"/>
        <v>-34422.913</v>
      </c>
      <c r="R99" s="15">
        <f t="shared" si="308"/>
        <v>-30711.895000000004</v>
      </c>
      <c r="S99" s="15">
        <f t="shared" si="308"/>
        <v>-30219.513000000003</v>
      </c>
      <c r="T99" s="15">
        <f t="shared" ref="T99:Y99" si="312">T96+T97-T98</f>
        <v>-32371.876</v>
      </c>
      <c r="U99" s="15">
        <f t="shared" si="312"/>
        <v>-37578.237999999998</v>
      </c>
      <c r="V99" s="15">
        <f t="shared" si="312"/>
        <v>-31126.793000000001</v>
      </c>
      <c r="W99" s="15">
        <f t="shared" si="312"/>
        <v>-29261.102999999999</v>
      </c>
      <c r="X99" s="15">
        <f t="shared" si="312"/>
        <v>-27813.875</v>
      </c>
      <c r="Y99" s="15">
        <f t="shared" si="312"/>
        <v>-33545.166000000005</v>
      </c>
      <c r="Z99" s="15">
        <f t="shared" ref="Z99:AC99" si="313">Z96+Z97-Z98</f>
        <v>-30242.803</v>
      </c>
      <c r="AA99" s="15">
        <f t="shared" si="313"/>
        <v>-36528.553999999996</v>
      </c>
      <c r="AB99" s="15">
        <f t="shared" si="313"/>
        <v>-45611.181000000004</v>
      </c>
      <c r="AC99" s="15">
        <f t="shared" si="313"/>
        <v>-63737.729000000007</v>
      </c>
      <c r="AD99" s="15">
        <f t="shared" ref="AD99:AG99" si="314">AD96+AD97-AD98</f>
        <v>-63834.565000000002</v>
      </c>
      <c r="AE99" s="15">
        <f t="shared" si="314"/>
        <v>-62168.611000000004</v>
      </c>
      <c r="AF99" s="15">
        <f t="shared" si="314"/>
        <v>-58870.506000000001</v>
      </c>
      <c r="AG99" s="15">
        <f t="shared" si="314"/>
        <v>-58263.157000000007</v>
      </c>
      <c r="AH99" s="15">
        <f t="shared" ref="AH99:AK99" si="315">AH96+AH97-AH98</f>
        <v>-60935.701000000001</v>
      </c>
      <c r="AI99" s="15">
        <f t="shared" si="315"/>
        <v>-69094.087</v>
      </c>
      <c r="AJ99" s="15">
        <f t="shared" si="315"/>
        <v>-77229.808000000005</v>
      </c>
      <c r="AK99" s="15">
        <f t="shared" si="315"/>
        <v>2559.75</v>
      </c>
      <c r="AL99" s="15">
        <f t="shared" ref="AL99:AO99" si="316">AL96+AL97-AL98</f>
        <v>-66177.94</v>
      </c>
      <c r="AM99" s="15">
        <f t="shared" si="316"/>
        <v>-69021.342000000004</v>
      </c>
      <c r="AN99" s="15">
        <f t="shared" si="316"/>
        <v>-67140.921000000002</v>
      </c>
      <c r="AO99" s="15">
        <f t="shared" si="316"/>
        <v>-61741.004000000001</v>
      </c>
      <c r="AP99" s="15">
        <f t="shared" ref="AP99:AS99" si="317">AP96+AP97-AP98</f>
        <v>-55482.049999999996</v>
      </c>
      <c r="AQ99" s="15">
        <f t="shared" si="317"/>
        <v>-59898.137000000002</v>
      </c>
      <c r="AR99" s="15">
        <f t="shared" si="317"/>
        <v>-55624.559000000008</v>
      </c>
      <c r="AS99" s="15">
        <f t="shared" si="317"/>
        <v>-58183.76400000001</v>
      </c>
      <c r="AT99" s="15">
        <f>AT96+AT97-AT98</f>
        <v>-51976.761999999988</v>
      </c>
      <c r="AU99" s="15">
        <f>AU96+AU97-AU98</f>
        <v>-53175.168999999994</v>
      </c>
    </row>
    <row r="100" spans="2:47" s="16" customFormat="1" ht="13.5" customHeight="1" x14ac:dyDescent="0.3">
      <c r="B100" s="43" t="s">
        <v>326</v>
      </c>
      <c r="C100" s="44">
        <f t="shared" ref="C100:M100" si="318">C99/C84</f>
        <v>-0.21780032695580731</v>
      </c>
      <c r="D100" s="44">
        <f t="shared" si="318"/>
        <v>-0.23422319472830172</v>
      </c>
      <c r="E100" s="44">
        <f t="shared" si="318"/>
        <v>-0.20315753747403489</v>
      </c>
      <c r="F100" s="44">
        <f t="shared" si="318"/>
        <v>-0.18676785106944793</v>
      </c>
      <c r="G100" s="44">
        <f t="shared" si="318"/>
        <v>-0.18840573940835192</v>
      </c>
      <c r="H100" s="44">
        <f t="shared" si="318"/>
        <v>-0.37884811204755414</v>
      </c>
      <c r="I100" s="44">
        <f t="shared" si="318"/>
        <v>-0.34812299649836342</v>
      </c>
      <c r="J100" s="44">
        <f t="shared" si="318"/>
        <v>-0.36731962472841828</v>
      </c>
      <c r="K100" s="44">
        <f t="shared" si="318"/>
        <v>-0.30723329364403873</v>
      </c>
      <c r="L100" s="44">
        <f t="shared" si="318"/>
        <v>-0.29161135262214433</v>
      </c>
      <c r="M100" s="44"/>
      <c r="N100" s="9"/>
      <c r="O100" s="44"/>
      <c r="P100" s="44"/>
      <c r="Q100" s="44"/>
      <c r="R100" s="44">
        <f t="shared" ref="R100:AU100" si="319">R99/R84</f>
        <v>-0.20315753747403489</v>
      </c>
      <c r="S100" s="44">
        <f t="shared" si="319"/>
        <v>-0.19512668481322429</v>
      </c>
      <c r="T100" s="44">
        <f t="shared" si="319"/>
        <v>-0.20456438529130433</v>
      </c>
      <c r="U100" s="44">
        <f t="shared" si="319"/>
        <v>-0.23055835630762633</v>
      </c>
      <c r="V100" s="44">
        <f t="shared" si="319"/>
        <v>-0.18676785106944793</v>
      </c>
      <c r="W100" s="44">
        <f t="shared" si="319"/>
        <v>-0.17499024702369018</v>
      </c>
      <c r="X100" s="44">
        <f t="shared" si="319"/>
        <v>-0.16964495208636934</v>
      </c>
      <c r="Y100" s="44">
        <f t="shared" si="319"/>
        <v>-0.20600655647242472</v>
      </c>
      <c r="Z100" s="44">
        <f t="shared" si="319"/>
        <v>-0.18840573940835192</v>
      </c>
      <c r="AA100" s="44">
        <f t="shared" si="319"/>
        <v>-0.22524119998882444</v>
      </c>
      <c r="AB100" s="44">
        <f t="shared" si="319"/>
        <v>-0.2745756629092313</v>
      </c>
      <c r="AC100" s="44">
        <f t="shared" si="319"/>
        <v>-0.38147894205500693</v>
      </c>
      <c r="AD100" s="44">
        <f t="shared" si="319"/>
        <v>-0.3788481120475542</v>
      </c>
      <c r="AE100" s="44">
        <f t="shared" si="319"/>
        <v>-0.36741321376863822</v>
      </c>
      <c r="AF100" s="44">
        <f t="shared" si="319"/>
        <v>-0.3434513491722998</v>
      </c>
      <c r="AG100" s="44">
        <f t="shared" si="319"/>
        <v>-0.33768003757701076</v>
      </c>
      <c r="AH100" s="44">
        <f t="shared" si="319"/>
        <v>-0.34812299649836348</v>
      </c>
      <c r="AI100" s="44">
        <f t="shared" si="319"/>
        <v>-0.39143652247039346</v>
      </c>
      <c r="AJ100" s="44">
        <f t="shared" si="319"/>
        <v>-0.43572806605868303</v>
      </c>
      <c r="AK100" s="44">
        <f t="shared" si="319"/>
        <v>1.4329419525081474E-2</v>
      </c>
      <c r="AL100" s="44">
        <f t="shared" si="319"/>
        <v>-0.36731962472841828</v>
      </c>
      <c r="AM100" s="44">
        <f t="shared" si="319"/>
        <v>-0.38251310870267519</v>
      </c>
      <c r="AN100" s="44">
        <f t="shared" si="319"/>
        <v>-0.37245588907423904</v>
      </c>
      <c r="AO100" s="44">
        <f t="shared" si="319"/>
        <v>-0.34089158783571061</v>
      </c>
      <c r="AP100" s="44">
        <f t="shared" si="319"/>
        <v>-0.30723329364403873</v>
      </c>
      <c r="AQ100" s="44">
        <f t="shared" si="319"/>
        <v>-0.33456269304735148</v>
      </c>
      <c r="AR100" s="44">
        <f t="shared" si="319"/>
        <v>-0.31217042749195778</v>
      </c>
      <c r="AS100" s="44">
        <f t="shared" si="319"/>
        <v>-0.32792091978877158</v>
      </c>
      <c r="AT100" s="44">
        <f t="shared" si="319"/>
        <v>-0.29161135262214433</v>
      </c>
      <c r="AU100" s="44">
        <f t="shared" si="319"/>
        <v>-0.2951050974547148</v>
      </c>
    </row>
    <row r="101" spans="2:47" ht="13.5" customHeight="1" x14ac:dyDescent="0.35"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</row>
    <row r="102" spans="2:47" ht="13.5" customHeight="1" x14ac:dyDescent="0.35">
      <c r="B102" s="342" t="s">
        <v>327</v>
      </c>
      <c r="C102" s="343">
        <f t="shared" ref="C102:M102" si="320">C96/-C18*365</f>
        <v>140.3111645565923</v>
      </c>
      <c r="D102" s="343">
        <f t="shared" si="320"/>
        <v>90.950721550348305</v>
      </c>
      <c r="E102" s="343">
        <f t="shared" si="320"/>
        <v>95.040112223371523</v>
      </c>
      <c r="F102" s="343">
        <f t="shared" si="320"/>
        <v>92.722771567529605</v>
      </c>
      <c r="G102" s="343">
        <f t="shared" si="320"/>
        <v>133.23918201391717</v>
      </c>
      <c r="H102" s="343">
        <f t="shared" si="320"/>
        <v>85.305186270631907</v>
      </c>
      <c r="I102" s="343">
        <f t="shared" si="320"/>
        <v>80.083642155574054</v>
      </c>
      <c r="J102" s="343">
        <f t="shared" si="320"/>
        <v>67.890998122417656</v>
      </c>
      <c r="K102" s="343">
        <f t="shared" si="320"/>
        <v>65.869865156205478</v>
      </c>
      <c r="L102" s="343">
        <f t="shared" si="320"/>
        <v>62.757700752825407</v>
      </c>
      <c r="M102" s="343"/>
      <c r="N102" s="9"/>
      <c r="O102" s="343">
        <f t="shared" ref="O102:AU102" si="321">O96/-O18*365/4</f>
        <v>79.573159650458379</v>
      </c>
      <c r="P102" s="343">
        <f t="shared" si="321"/>
        <v>69.001148320969108</v>
      </c>
      <c r="Q102" s="343">
        <f t="shared" si="321"/>
        <v>58.846767997438299</v>
      </c>
      <c r="R102" s="343">
        <f t="shared" si="321"/>
        <v>88.389741219299225</v>
      </c>
      <c r="S102" s="343">
        <f t="shared" si="321"/>
        <v>85.962863704728235</v>
      </c>
      <c r="T102" s="343">
        <f t="shared" si="321"/>
        <v>72.635394624252726</v>
      </c>
      <c r="U102" s="343">
        <f t="shared" si="321"/>
        <v>61.816444431731981</v>
      </c>
      <c r="V102" s="343">
        <f t="shared" si="321"/>
        <v>81.164766685480615</v>
      </c>
      <c r="W102" s="343">
        <f t="shared" si="321"/>
        <v>75.38412334504018</v>
      </c>
      <c r="X102" s="343">
        <f t="shared" si="321"/>
        <v>189.95379574702261</v>
      </c>
      <c r="Y102" s="343">
        <f t="shared" si="321"/>
        <v>88.691438112016812</v>
      </c>
      <c r="Z102" s="343">
        <f t="shared" si="321"/>
        <v>128.32183780721076</v>
      </c>
      <c r="AA102" s="343">
        <f t="shared" si="321"/>
        <v>92.609891967393963</v>
      </c>
      <c r="AB102" s="343">
        <f t="shared" si="321"/>
        <v>109.19847274263061</v>
      </c>
      <c r="AC102" s="343">
        <f t="shared" si="321"/>
        <v>106.37325315992776</v>
      </c>
      <c r="AD102" s="343">
        <f t="shared" si="321"/>
        <v>90.293216011010017</v>
      </c>
      <c r="AE102" s="343">
        <f t="shared" si="321"/>
        <v>88.780614014117347</v>
      </c>
      <c r="AF102" s="343">
        <f t="shared" si="321"/>
        <v>103.9154274559511</v>
      </c>
      <c r="AG102" s="343">
        <f t="shared" si="321"/>
        <v>101.83750569728042</v>
      </c>
      <c r="AH102" s="343">
        <f t="shared" si="321"/>
        <v>73.499710216442267</v>
      </c>
      <c r="AI102" s="343">
        <f t="shared" si="321"/>
        <v>90.373079008807039</v>
      </c>
      <c r="AJ102" s="343">
        <f t="shared" si="321"/>
        <v>79.631910873075213</v>
      </c>
      <c r="AK102" s="343">
        <f t="shared" si="321"/>
        <v>61.822836849585912</v>
      </c>
      <c r="AL102" s="343">
        <f t="shared" si="321"/>
        <v>63.275422043078954</v>
      </c>
      <c r="AM102" s="343">
        <f t="shared" si="321"/>
        <v>58.727416461429051</v>
      </c>
      <c r="AN102" s="343">
        <f t="shared" si="321"/>
        <v>59.225130322394108</v>
      </c>
      <c r="AO102" s="343">
        <f t="shared" si="321"/>
        <v>40.770027061108166</v>
      </c>
      <c r="AP102" s="343">
        <f t="shared" si="321"/>
        <v>54.992207180553351</v>
      </c>
      <c r="AQ102" s="343">
        <f t="shared" si="321"/>
        <v>63.128308274722144</v>
      </c>
      <c r="AR102" s="343">
        <f t="shared" si="321"/>
        <v>59.499426556008302</v>
      </c>
      <c r="AS102" s="343">
        <f t="shared" si="321"/>
        <v>57.486310403908043</v>
      </c>
      <c r="AT102" s="343">
        <f t="shared" si="321"/>
        <v>62.329066066324344</v>
      </c>
      <c r="AU102" s="343">
        <f t="shared" si="321"/>
        <v>53.026943348659636</v>
      </c>
    </row>
    <row r="103" spans="2:47" ht="13.5" customHeight="1" x14ac:dyDescent="0.35">
      <c r="B103" s="342" t="s">
        <v>328</v>
      </c>
      <c r="C103" s="343">
        <f t="shared" ref="C103:M103" si="322">C97/C10*365</f>
        <v>77.572698014839048</v>
      </c>
      <c r="D103" s="343">
        <f t="shared" si="322"/>
        <v>73.669509665792688</v>
      </c>
      <c r="E103" s="343">
        <f t="shared" si="322"/>
        <v>49.864617714379136</v>
      </c>
      <c r="F103" s="343">
        <f t="shared" si="322"/>
        <v>46.29605873171851</v>
      </c>
      <c r="G103" s="343">
        <f t="shared" si="322"/>
        <v>45.808140045652515</v>
      </c>
      <c r="H103" s="343">
        <f t="shared" si="322"/>
        <v>36.168343847322888</v>
      </c>
      <c r="I103" s="343">
        <f t="shared" si="322"/>
        <v>49.135115318279396</v>
      </c>
      <c r="J103" s="343">
        <f t="shared" si="322"/>
        <v>36.665016803675286</v>
      </c>
      <c r="K103" s="343">
        <f t="shared" si="322"/>
        <v>39.737678644741464</v>
      </c>
      <c r="L103" s="343">
        <f t="shared" si="322"/>
        <v>36.640388329783327</v>
      </c>
      <c r="M103" s="343"/>
      <c r="N103" s="9"/>
      <c r="O103" s="343">
        <f t="shared" ref="O103:AU103" si="323">O97/O10*365/4</f>
        <v>49.818384849638143</v>
      </c>
      <c r="P103" s="343">
        <f t="shared" si="323"/>
        <v>46.245224595256005</v>
      </c>
      <c r="Q103" s="343">
        <f t="shared" si="323"/>
        <v>48.114665481849507</v>
      </c>
      <c r="R103" s="343">
        <f t="shared" si="323"/>
        <v>47.625499642368446</v>
      </c>
      <c r="S103" s="343">
        <f t="shared" si="323"/>
        <v>44.547271147082228</v>
      </c>
      <c r="T103" s="343">
        <f t="shared" si="323"/>
        <v>45.442163884457145</v>
      </c>
      <c r="U103" s="343">
        <f t="shared" si="323"/>
        <v>40.886211871490147</v>
      </c>
      <c r="V103" s="343">
        <f t="shared" si="323"/>
        <v>44.607334609980917</v>
      </c>
      <c r="W103" s="343">
        <f t="shared" si="323"/>
        <v>50.736615570423616</v>
      </c>
      <c r="X103" s="343">
        <f t="shared" si="323"/>
        <v>55.424342036890529</v>
      </c>
      <c r="Y103" s="343">
        <f t="shared" si="323"/>
        <v>45.005144146073469</v>
      </c>
      <c r="Z103" s="343">
        <f t="shared" si="323"/>
        <v>44.916468374368876</v>
      </c>
      <c r="AA103" s="343">
        <f t="shared" si="323"/>
        <v>39.930724695473465</v>
      </c>
      <c r="AB103" s="343">
        <f t="shared" si="323"/>
        <v>37.572051595393411</v>
      </c>
      <c r="AC103" s="343">
        <f t="shared" si="323"/>
        <v>36.030561320812353</v>
      </c>
      <c r="AD103" s="343">
        <f t="shared" si="323"/>
        <v>35.981889676675593</v>
      </c>
      <c r="AE103" s="343">
        <f t="shared" si="323"/>
        <v>37.870883634997142</v>
      </c>
      <c r="AF103" s="343">
        <f t="shared" si="323"/>
        <v>40.560598938544281</v>
      </c>
      <c r="AG103" s="343">
        <f t="shared" si="323"/>
        <v>43.134434575715332</v>
      </c>
      <c r="AH103" s="343">
        <f t="shared" si="323"/>
        <v>47.948030369294322</v>
      </c>
      <c r="AI103" s="343">
        <f t="shared" si="323"/>
        <v>44.839236081840703</v>
      </c>
      <c r="AJ103" s="343">
        <f t="shared" si="323"/>
        <v>44.204844780090419</v>
      </c>
      <c r="AK103" s="343">
        <f t="shared" si="323"/>
        <v>48.344345592906855</v>
      </c>
      <c r="AL103" s="343">
        <f t="shared" si="323"/>
        <v>35.612683098431795</v>
      </c>
      <c r="AM103" s="343">
        <f t="shared" si="323"/>
        <v>35.027513444647347</v>
      </c>
      <c r="AN103" s="343">
        <f t="shared" si="323"/>
        <v>36.664426794383481</v>
      </c>
      <c r="AO103" s="343">
        <f t="shared" si="323"/>
        <v>35.811609344359809</v>
      </c>
      <c r="AP103" s="343">
        <f t="shared" si="323"/>
        <v>39.134917124232366</v>
      </c>
      <c r="AQ103" s="343">
        <f t="shared" si="323"/>
        <v>36.405153195993002</v>
      </c>
      <c r="AR103" s="343">
        <f t="shared" si="323"/>
        <v>38.529196195253824</v>
      </c>
      <c r="AS103" s="343">
        <f t="shared" si="323"/>
        <v>36.094974663658512</v>
      </c>
      <c r="AT103" s="343">
        <f t="shared" si="323"/>
        <v>34.999248865082095</v>
      </c>
      <c r="AU103" s="343">
        <f t="shared" si="323"/>
        <v>35.134759694320614</v>
      </c>
    </row>
    <row r="104" spans="2:47" ht="13.5" customHeight="1" x14ac:dyDescent="0.35">
      <c r="B104" s="342" t="s">
        <v>329</v>
      </c>
      <c r="C104" s="344"/>
      <c r="D104" s="344"/>
      <c r="E104" s="344"/>
      <c r="F104" s="344"/>
      <c r="G104" s="344"/>
      <c r="H104" s="344"/>
      <c r="I104" s="344"/>
      <c r="J104" s="345"/>
      <c r="K104" s="345"/>
      <c r="L104" s="345"/>
      <c r="M104" s="345"/>
      <c r="N104" s="9"/>
      <c r="O104" s="345"/>
      <c r="P104" s="345"/>
      <c r="Q104" s="345"/>
      <c r="R104" s="345"/>
      <c r="S104" s="345"/>
      <c r="T104" s="345"/>
      <c r="U104" s="345"/>
      <c r="V104" s="345"/>
      <c r="W104" s="345"/>
      <c r="X104" s="345"/>
      <c r="Y104" s="345"/>
      <c r="Z104" s="345"/>
      <c r="AA104" s="345"/>
      <c r="AB104" s="345"/>
      <c r="AC104" s="345"/>
      <c r="AD104" s="345"/>
      <c r="AE104" s="345"/>
      <c r="AF104" s="345"/>
      <c r="AG104" s="345"/>
      <c r="AH104" s="345"/>
      <c r="AI104" s="345"/>
      <c r="AJ104" s="345"/>
      <c r="AK104" s="345"/>
      <c r="AL104" s="345"/>
      <c r="AM104" s="345"/>
      <c r="AN104" s="345"/>
      <c r="AO104" s="345"/>
      <c r="AP104" s="345"/>
      <c r="AQ104" s="345"/>
      <c r="AR104" s="345"/>
      <c r="AS104" s="345"/>
      <c r="AT104" s="345"/>
      <c r="AU104" s="345"/>
    </row>
    <row r="105" spans="2:47" ht="13.5" customHeight="1" x14ac:dyDescent="0.35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</row>
    <row r="106" spans="2:47" ht="13.5" customHeight="1" x14ac:dyDescent="0.35">
      <c r="B106" s="26" t="s">
        <v>330</v>
      </c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</row>
    <row r="107" spans="2:47" ht="13.5" customHeight="1" x14ac:dyDescent="0.35">
      <c r="B107" s="45" t="s">
        <v>331</v>
      </c>
      <c r="C107" s="19">
        <v>5830.3190000000004</v>
      </c>
      <c r="D107" s="19">
        <v>8278.2219999999998</v>
      </c>
      <c r="E107" s="19">
        <v>16758.196</v>
      </c>
      <c r="F107" s="19">
        <v>12919.897999999999</v>
      </c>
      <c r="G107" s="19">
        <v>8521.4240000000009</v>
      </c>
      <c r="H107" s="222">
        <v>16018.504999999999</v>
      </c>
      <c r="I107" s="222">
        <v>46172.042999999998</v>
      </c>
      <c r="J107" s="222">
        <f>36792.956</f>
        <v>36792.955999999998</v>
      </c>
      <c r="K107" s="222">
        <v>26349.795999999998</v>
      </c>
      <c r="L107" s="222">
        <v>22218.988000000001</v>
      </c>
      <c r="M107" s="20"/>
      <c r="N107" s="20"/>
      <c r="O107" s="19">
        <v>11085.88</v>
      </c>
      <c r="P107" s="19">
        <v>16588.399000000001</v>
      </c>
      <c r="Q107" s="19">
        <v>16851.330999999998</v>
      </c>
      <c r="R107" s="20">
        <f>E107</f>
        <v>16758.196</v>
      </c>
      <c r="S107" s="19">
        <v>8503.2880000000005</v>
      </c>
      <c r="T107" s="19">
        <v>8939.5580000000009</v>
      </c>
      <c r="U107" s="19">
        <v>13007.916999999999</v>
      </c>
      <c r="V107" s="20">
        <f>F107</f>
        <v>12919.897999999999</v>
      </c>
      <c r="W107" s="19">
        <v>18531.427</v>
      </c>
      <c r="X107" s="19">
        <v>21927.243999999999</v>
      </c>
      <c r="Y107" s="19">
        <v>7868.3130000000001</v>
      </c>
      <c r="Z107" s="20">
        <f>G107</f>
        <v>8521.4240000000009</v>
      </c>
      <c r="AA107" s="19">
        <v>2949.1379999999999</v>
      </c>
      <c r="AB107" s="19">
        <v>13566.904</v>
      </c>
      <c r="AC107" s="19">
        <v>19769.603999999999</v>
      </c>
      <c r="AD107" s="20">
        <f>H107</f>
        <v>16018.504999999999</v>
      </c>
      <c r="AE107" s="19">
        <v>15819.545</v>
      </c>
      <c r="AF107" s="19">
        <v>42649.517</v>
      </c>
      <c r="AG107" s="19">
        <v>51177.525000000001</v>
      </c>
      <c r="AH107" s="20">
        <f>I107</f>
        <v>46172.042999999998</v>
      </c>
      <c r="AI107" s="19">
        <v>49895.267999999996</v>
      </c>
      <c r="AJ107" s="19">
        <v>64639.247000000003</v>
      </c>
      <c r="AK107" s="19">
        <v>63963.506999999998</v>
      </c>
      <c r="AL107" s="20">
        <f>J107</f>
        <v>36792.955999999998</v>
      </c>
      <c r="AM107" s="19">
        <v>42563.394999999997</v>
      </c>
      <c r="AN107" s="222">
        <v>43759.445</v>
      </c>
      <c r="AO107" s="19">
        <v>26159.526999999998</v>
      </c>
      <c r="AP107" s="20">
        <f>K107</f>
        <v>26349.795999999998</v>
      </c>
      <c r="AQ107" s="222">
        <v>16124.396000000001</v>
      </c>
      <c r="AR107" s="222">
        <v>13108.553</v>
      </c>
      <c r="AS107" s="19">
        <v>22202.462</v>
      </c>
      <c r="AT107" s="20">
        <f>L107</f>
        <v>22218.988000000001</v>
      </c>
      <c r="AU107" s="222">
        <v>21273.743999999999</v>
      </c>
    </row>
    <row r="108" spans="2:47" ht="13.5" customHeight="1" x14ac:dyDescent="0.35">
      <c r="B108" s="45" t="s">
        <v>332</v>
      </c>
      <c r="C108" s="19">
        <v>95398.271999999997</v>
      </c>
      <c r="D108" s="19">
        <v>123250.48299999999</v>
      </c>
      <c r="E108" s="19">
        <v>131523.701</v>
      </c>
      <c r="F108" s="19">
        <v>122942.837</v>
      </c>
      <c r="G108" s="19">
        <v>156270.726</v>
      </c>
      <c r="H108" s="222">
        <v>194035.06200000001</v>
      </c>
      <c r="I108" s="222">
        <v>187032.61600000001</v>
      </c>
      <c r="J108" s="222">
        <f>213162.613</f>
        <v>213162.61300000001</v>
      </c>
      <c r="K108" s="222">
        <v>223110.11300000001</v>
      </c>
      <c r="L108" s="222">
        <v>234094.40900000001</v>
      </c>
      <c r="M108" s="20"/>
      <c r="N108" s="20"/>
      <c r="O108" s="19">
        <v>116763.768</v>
      </c>
      <c r="P108" s="19">
        <v>117448.412</v>
      </c>
      <c r="Q108" s="19">
        <v>117235.42</v>
      </c>
      <c r="R108" s="20">
        <f>E108</f>
        <v>131523.701</v>
      </c>
      <c r="S108" s="19">
        <v>129933.56200000001</v>
      </c>
      <c r="T108" s="19">
        <v>123166.439</v>
      </c>
      <c r="U108" s="19">
        <v>118937.031</v>
      </c>
      <c r="V108" s="20">
        <f>F108</f>
        <v>122942.837</v>
      </c>
      <c r="W108" s="19">
        <v>126158.41099999999</v>
      </c>
      <c r="X108" s="19">
        <v>128062.29300000001</v>
      </c>
      <c r="Y108" s="19">
        <v>155773.41500000001</v>
      </c>
      <c r="Z108" s="20">
        <f>G108</f>
        <v>156270.726</v>
      </c>
      <c r="AA108" s="19">
        <v>165811.353</v>
      </c>
      <c r="AB108" s="19">
        <v>170620.413</v>
      </c>
      <c r="AC108" s="19">
        <v>187643.66699999999</v>
      </c>
      <c r="AD108" s="20">
        <f>H108</f>
        <v>194035.06200000001</v>
      </c>
      <c r="AE108" s="19">
        <v>201921.223</v>
      </c>
      <c r="AF108" s="19">
        <v>197395.62700000001</v>
      </c>
      <c r="AG108" s="19">
        <v>197185.60200000001</v>
      </c>
      <c r="AH108" s="20">
        <f>I108</f>
        <v>187032.61600000001</v>
      </c>
      <c r="AI108" s="19">
        <v>184605.08100000001</v>
      </c>
      <c r="AJ108" s="19">
        <v>185369.212</v>
      </c>
      <c r="AK108" s="19">
        <v>181515.36199999999</v>
      </c>
      <c r="AL108" s="20">
        <f>J108</f>
        <v>213162.61300000001</v>
      </c>
      <c r="AM108" s="19">
        <v>204174.93299999999</v>
      </c>
      <c r="AN108" s="222">
        <v>204975.15299999999</v>
      </c>
      <c r="AO108" s="19">
        <v>214777.88500000001</v>
      </c>
      <c r="AP108" s="20">
        <f>K108</f>
        <v>223110.11300000001</v>
      </c>
      <c r="AQ108" s="222">
        <v>225851.33799999999</v>
      </c>
      <c r="AR108" s="222">
        <v>234790.003</v>
      </c>
      <c r="AS108" s="19">
        <v>231288.99</v>
      </c>
      <c r="AT108" s="20">
        <f>L108</f>
        <v>234094.40900000001</v>
      </c>
      <c r="AU108" s="222">
        <v>229963.538</v>
      </c>
    </row>
    <row r="109" spans="2:47" s="6" customFormat="1" ht="13.5" customHeight="1" x14ac:dyDescent="0.3">
      <c r="B109" s="26" t="s">
        <v>40</v>
      </c>
      <c r="C109" s="15">
        <f t="shared" ref="C109:H109" si="324">C107+C108</f>
        <v>101228.591</v>
      </c>
      <c r="D109" s="15">
        <f t="shared" si="324"/>
        <v>131528.70499999999</v>
      </c>
      <c r="E109" s="15">
        <f t="shared" si="324"/>
        <v>148281.897</v>
      </c>
      <c r="F109" s="15">
        <f t="shared" si="324"/>
        <v>135862.73499999999</v>
      </c>
      <c r="G109" s="15">
        <f t="shared" si="324"/>
        <v>164792.15</v>
      </c>
      <c r="H109" s="15">
        <f t="shared" si="324"/>
        <v>210053.56700000001</v>
      </c>
      <c r="I109" s="15">
        <f t="shared" ref="I109:J109" si="325">I107+I108</f>
        <v>233204.65900000001</v>
      </c>
      <c r="J109" s="15">
        <f t="shared" si="325"/>
        <v>249955.56900000002</v>
      </c>
      <c r="K109" s="15">
        <f t="shared" ref="K109:L109" si="326">K107+K108</f>
        <v>249459.90900000001</v>
      </c>
      <c r="L109" s="15">
        <f t="shared" si="326"/>
        <v>256313.39700000003</v>
      </c>
      <c r="M109" s="15"/>
      <c r="N109" s="15"/>
      <c r="O109" s="15">
        <f>O107+O108</f>
        <v>127849.648</v>
      </c>
      <c r="P109" s="15">
        <f>P107+P108</f>
        <v>134036.81099999999</v>
      </c>
      <c r="Q109" s="15">
        <f>Q107+Q108</f>
        <v>134086.75099999999</v>
      </c>
      <c r="R109" s="15">
        <f>E109</f>
        <v>148281.897</v>
      </c>
      <c r="S109" s="15">
        <f>S107+S108</f>
        <v>138436.85</v>
      </c>
      <c r="T109" s="15">
        <f>T107+T108</f>
        <v>132105.997</v>
      </c>
      <c r="U109" s="15">
        <f>U107+U108</f>
        <v>131944.948</v>
      </c>
      <c r="V109" s="15">
        <f>F109</f>
        <v>135862.73499999999</v>
      </c>
      <c r="W109" s="15">
        <f t="shared" ref="W109:AB109" si="327">W107+W108</f>
        <v>144689.83799999999</v>
      </c>
      <c r="X109" s="15">
        <f t="shared" si="327"/>
        <v>149989.53700000001</v>
      </c>
      <c r="Y109" s="15">
        <f t="shared" si="327"/>
        <v>163641.728</v>
      </c>
      <c r="Z109" s="15">
        <f t="shared" si="327"/>
        <v>164792.15</v>
      </c>
      <c r="AA109" s="15">
        <f t="shared" si="327"/>
        <v>168760.49100000001</v>
      </c>
      <c r="AB109" s="15">
        <f t="shared" si="327"/>
        <v>184187.31700000001</v>
      </c>
      <c r="AC109" s="15">
        <f>AC107+AC108</f>
        <v>207413.27099999998</v>
      </c>
      <c r="AD109" s="15">
        <f t="shared" ref="AD109:AF109" si="328">AD107+AD108</f>
        <v>210053.56700000001</v>
      </c>
      <c r="AE109" s="15">
        <f t="shared" si="328"/>
        <v>217740.76800000001</v>
      </c>
      <c r="AF109" s="15">
        <f t="shared" si="328"/>
        <v>240045.144</v>
      </c>
      <c r="AG109" s="15">
        <f>AG107+AG108</f>
        <v>248363.12700000001</v>
      </c>
      <c r="AH109" s="15">
        <f t="shared" ref="AH109:AJ109" si="329">AH107+AH108</f>
        <v>233204.65900000001</v>
      </c>
      <c r="AI109" s="15">
        <f t="shared" si="329"/>
        <v>234500.34899999999</v>
      </c>
      <c r="AJ109" s="15">
        <f t="shared" si="329"/>
        <v>250008.459</v>
      </c>
      <c r="AK109" s="15">
        <f>AK107+AK108</f>
        <v>245478.86900000001</v>
      </c>
      <c r="AL109" s="15">
        <f t="shared" ref="AL109:AN109" si="330">AL107+AL108</f>
        <v>249955.56900000002</v>
      </c>
      <c r="AM109" s="15">
        <f t="shared" si="330"/>
        <v>246738.32799999998</v>
      </c>
      <c r="AN109" s="15">
        <f t="shared" si="330"/>
        <v>248734.598</v>
      </c>
      <c r="AO109" s="15">
        <f>AO107+AO108</f>
        <v>240937.41200000001</v>
      </c>
      <c r="AP109" s="15">
        <f t="shared" ref="AP109:AR109" si="331">AP107+AP108</f>
        <v>249459.90900000001</v>
      </c>
      <c r="AQ109" s="15">
        <f t="shared" si="331"/>
        <v>241975.734</v>
      </c>
      <c r="AR109" s="15">
        <f t="shared" si="331"/>
        <v>247898.55599999998</v>
      </c>
      <c r="AS109" s="15">
        <f>AS107+AS108</f>
        <v>253491.45199999999</v>
      </c>
      <c r="AT109" s="15">
        <f>AT107+AT108</f>
        <v>256313.39700000003</v>
      </c>
      <c r="AU109" s="15">
        <f>AU107+AU108</f>
        <v>251237.28200000001</v>
      </c>
    </row>
    <row r="110" spans="2:47" ht="13.5" customHeight="1" x14ac:dyDescent="0.35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35"/>
      <c r="N110" s="35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</row>
    <row r="111" spans="2:47" ht="13.5" customHeight="1" x14ac:dyDescent="0.35">
      <c r="B111" s="26" t="s">
        <v>333</v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35"/>
      <c r="N111" s="35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</row>
    <row r="112" spans="2:47" ht="13.5" customHeight="1" x14ac:dyDescent="0.35">
      <c r="B112" s="45" t="s">
        <v>331</v>
      </c>
      <c r="C112" s="19">
        <v>0</v>
      </c>
      <c r="D112" s="19">
        <v>0</v>
      </c>
      <c r="E112" s="19">
        <v>0</v>
      </c>
      <c r="F112" s="19">
        <v>981.81700000000001</v>
      </c>
      <c r="G112" s="19">
        <v>999.2</v>
      </c>
      <c r="H112" s="222">
        <v>3664.3440000000001</v>
      </c>
      <c r="I112" s="222">
        <v>4522.4380000000001</v>
      </c>
      <c r="J112" s="222">
        <f>5899.426</f>
        <v>5899.4260000000004</v>
      </c>
      <c r="K112" s="222">
        <v>8175.643</v>
      </c>
      <c r="L112" s="222">
        <v>9067.5930000000008</v>
      </c>
      <c r="M112" s="20"/>
      <c r="N112" s="35"/>
      <c r="O112" s="19">
        <v>0</v>
      </c>
      <c r="P112" s="19">
        <v>0</v>
      </c>
      <c r="Q112" s="19">
        <v>0</v>
      </c>
      <c r="R112" s="20">
        <f>E112</f>
        <v>0</v>
      </c>
      <c r="S112" s="19">
        <v>865.42</v>
      </c>
      <c r="T112" s="19">
        <v>914.01800000000003</v>
      </c>
      <c r="U112" s="19">
        <v>985.61</v>
      </c>
      <c r="V112" s="20">
        <f>F112</f>
        <v>981.81700000000001</v>
      </c>
      <c r="W112" s="19">
        <v>1059.3399999999999</v>
      </c>
      <c r="X112" s="19">
        <v>1001.9880000000001</v>
      </c>
      <c r="Y112" s="19">
        <v>1037.98</v>
      </c>
      <c r="Z112" s="20">
        <f>G112</f>
        <v>999.2</v>
      </c>
      <c r="AA112" s="19">
        <v>944.53700000000003</v>
      </c>
      <c r="AB112" s="19">
        <v>965.30899999999997</v>
      </c>
      <c r="AC112" s="19">
        <v>959.50699999999995</v>
      </c>
      <c r="AD112" s="20">
        <f>H112</f>
        <v>3664.3440000000001</v>
      </c>
      <c r="AE112" s="19">
        <v>3796.89</v>
      </c>
      <c r="AF112" s="19">
        <v>7712.4589999999998</v>
      </c>
      <c r="AG112" s="19">
        <v>3976.1410000000001</v>
      </c>
      <c r="AH112" s="20">
        <f>I112</f>
        <v>4522.4380000000001</v>
      </c>
      <c r="AI112" s="19">
        <v>4756.8670000000002</v>
      </c>
      <c r="AJ112" s="19">
        <v>4517.9859999999999</v>
      </c>
      <c r="AK112" s="19">
        <v>2707.4679999999998</v>
      </c>
      <c r="AL112" s="20">
        <f>J112</f>
        <v>5899.4260000000004</v>
      </c>
      <c r="AM112" s="19">
        <v>6244.4089999999997</v>
      </c>
      <c r="AN112" s="19">
        <v>6422.1610000000001</v>
      </c>
      <c r="AO112" s="19">
        <v>7201.6790000000001</v>
      </c>
      <c r="AP112" s="20">
        <f>K112</f>
        <v>8175.643</v>
      </c>
      <c r="AQ112" s="222">
        <v>8971.2099999999991</v>
      </c>
      <c r="AR112" s="19">
        <v>8721.9359999999997</v>
      </c>
      <c r="AS112" s="19">
        <v>8575.7909999999993</v>
      </c>
      <c r="AT112" s="20">
        <f>L112</f>
        <v>9067.5930000000008</v>
      </c>
      <c r="AU112" s="222">
        <v>8668.2369999999992</v>
      </c>
    </row>
    <row r="113" spans="2:47" ht="13.5" customHeight="1" x14ac:dyDescent="0.35">
      <c r="B113" s="45" t="s">
        <v>332</v>
      </c>
      <c r="C113" s="19">
        <v>0</v>
      </c>
      <c r="D113" s="19">
        <v>0</v>
      </c>
      <c r="E113" s="19">
        <v>0</v>
      </c>
      <c r="F113" s="19">
        <v>2681.8</v>
      </c>
      <c r="G113" s="19">
        <v>3525.4720000000002</v>
      </c>
      <c r="H113" s="222">
        <v>16215.004000000001</v>
      </c>
      <c r="I113" s="222">
        <v>49709.159</v>
      </c>
      <c r="J113" s="222">
        <v>82825.055999999997</v>
      </c>
      <c r="K113" s="222">
        <v>107932.231</v>
      </c>
      <c r="L113" s="222">
        <v>120177.863</v>
      </c>
      <c r="M113" s="20"/>
      <c r="N113" s="35"/>
      <c r="O113" s="19">
        <v>0</v>
      </c>
      <c r="P113" s="19">
        <v>0</v>
      </c>
      <c r="Q113" s="19">
        <v>0</v>
      </c>
      <c r="R113" s="20">
        <f>E113</f>
        <v>0</v>
      </c>
      <c r="S113" s="19">
        <v>2425.8049999999998</v>
      </c>
      <c r="T113" s="19">
        <v>2392.8020000000001</v>
      </c>
      <c r="U113" s="19">
        <v>2345.335</v>
      </c>
      <c r="V113" s="20">
        <f>F113</f>
        <v>2681.8</v>
      </c>
      <c r="W113" s="19">
        <v>2765.232</v>
      </c>
      <c r="X113" s="19">
        <v>3148.027</v>
      </c>
      <c r="Y113" s="19">
        <v>3262.3409999999999</v>
      </c>
      <c r="Z113" s="20">
        <f>G113</f>
        <v>3525.4720000000002</v>
      </c>
      <c r="AA113" s="19">
        <v>3728.1790000000001</v>
      </c>
      <c r="AB113" s="19">
        <v>4199.5810000000001</v>
      </c>
      <c r="AC113" s="19">
        <v>13102.115</v>
      </c>
      <c r="AD113" s="20">
        <f>H113</f>
        <v>16215.004000000001</v>
      </c>
      <c r="AE113" s="19">
        <v>19066.154999999999</v>
      </c>
      <c r="AF113" s="19">
        <v>16600.815999999999</v>
      </c>
      <c r="AG113" s="19">
        <v>31280.66</v>
      </c>
      <c r="AH113" s="20">
        <f>I113</f>
        <v>49709.159</v>
      </c>
      <c r="AI113" s="19">
        <v>58310.466999999997</v>
      </c>
      <c r="AJ113" s="19">
        <v>72151.263000000006</v>
      </c>
      <c r="AK113" s="19">
        <v>80747.202999999994</v>
      </c>
      <c r="AL113" s="20">
        <f>J113</f>
        <v>82825.055999999997</v>
      </c>
      <c r="AM113" s="19">
        <v>89042.221000000005</v>
      </c>
      <c r="AN113" s="19">
        <v>94023.902000000002</v>
      </c>
      <c r="AO113" s="19">
        <v>106415.658</v>
      </c>
      <c r="AP113" s="20">
        <f>K113</f>
        <v>107932.231</v>
      </c>
      <c r="AQ113" s="222">
        <v>109463.995</v>
      </c>
      <c r="AR113" s="19">
        <v>114429.299</v>
      </c>
      <c r="AS113" s="19">
        <v>118448.19500000001</v>
      </c>
      <c r="AT113" s="20">
        <f>L113</f>
        <v>120177.863</v>
      </c>
      <c r="AU113" s="222">
        <v>126362.156</v>
      </c>
    </row>
    <row r="114" spans="2:47" ht="13.5" customHeight="1" x14ac:dyDescent="0.35">
      <c r="B114" s="26" t="s">
        <v>334</v>
      </c>
      <c r="C114" s="15">
        <f t="shared" ref="C114:H114" si="332">C112+C113</f>
        <v>0</v>
      </c>
      <c r="D114" s="15">
        <f t="shared" si="332"/>
        <v>0</v>
      </c>
      <c r="E114" s="15">
        <f t="shared" si="332"/>
        <v>0</v>
      </c>
      <c r="F114" s="15">
        <f t="shared" si="332"/>
        <v>3663.6170000000002</v>
      </c>
      <c r="G114" s="15">
        <f t="shared" si="332"/>
        <v>4524.6720000000005</v>
      </c>
      <c r="H114" s="15">
        <f t="shared" si="332"/>
        <v>19879.348000000002</v>
      </c>
      <c r="I114" s="15">
        <f t="shared" ref="I114:J114" si="333">I112+I113</f>
        <v>54231.597000000002</v>
      </c>
      <c r="J114" s="15">
        <f t="shared" si="333"/>
        <v>88724.482000000004</v>
      </c>
      <c r="K114" s="15">
        <f t="shared" ref="K114:L114" si="334">K112+K113</f>
        <v>116107.874</v>
      </c>
      <c r="L114" s="15">
        <f t="shared" si="334"/>
        <v>129245.45600000001</v>
      </c>
      <c r="M114" s="15"/>
      <c r="N114" s="35"/>
      <c r="O114" s="15">
        <f t="shared" ref="O114:W114" si="335">SUM(O112:O113)</f>
        <v>0</v>
      </c>
      <c r="P114" s="15">
        <f t="shared" si="335"/>
        <v>0</v>
      </c>
      <c r="Q114" s="15">
        <f t="shared" si="335"/>
        <v>0</v>
      </c>
      <c r="R114" s="15">
        <f t="shared" si="335"/>
        <v>0</v>
      </c>
      <c r="S114" s="15">
        <f t="shared" si="335"/>
        <v>3291.2249999999999</v>
      </c>
      <c r="T114" s="15">
        <f t="shared" si="335"/>
        <v>3306.82</v>
      </c>
      <c r="U114" s="15">
        <f t="shared" si="335"/>
        <v>3330.9450000000002</v>
      </c>
      <c r="V114" s="15">
        <f t="shared" si="335"/>
        <v>3663.6170000000002</v>
      </c>
      <c r="W114" s="15">
        <f t="shared" si="335"/>
        <v>3824.5720000000001</v>
      </c>
      <c r="X114" s="15">
        <f t="shared" ref="X114:AA114" si="336">SUM(X112:X113)</f>
        <v>4150.0150000000003</v>
      </c>
      <c r="Y114" s="15">
        <f t="shared" si="336"/>
        <v>4300.3209999999999</v>
      </c>
      <c r="Z114" s="15">
        <f t="shared" si="336"/>
        <v>4524.6720000000005</v>
      </c>
      <c r="AA114" s="15">
        <f t="shared" si="336"/>
        <v>4672.7160000000003</v>
      </c>
      <c r="AB114" s="15">
        <f t="shared" ref="AB114" si="337">SUM(AB112:AB113)</f>
        <v>5164.8900000000003</v>
      </c>
      <c r="AC114" s="15">
        <f>SUM(AC112:AC113)</f>
        <v>14061.621999999999</v>
      </c>
      <c r="AD114" s="15">
        <f t="shared" ref="AD114:AF114" si="338">SUM(AD112:AD113)</f>
        <v>19879.348000000002</v>
      </c>
      <c r="AE114" s="15">
        <f t="shared" si="338"/>
        <v>22863.044999999998</v>
      </c>
      <c r="AF114" s="15">
        <f t="shared" si="338"/>
        <v>24313.274999999998</v>
      </c>
      <c r="AG114" s="15">
        <f>SUM(AG112:AG113)</f>
        <v>35256.800999999999</v>
      </c>
      <c r="AH114" s="15">
        <f t="shared" ref="AH114:AJ114" si="339">SUM(AH112:AH113)</f>
        <v>54231.597000000002</v>
      </c>
      <c r="AI114" s="15">
        <f t="shared" si="339"/>
        <v>63067.333999999995</v>
      </c>
      <c r="AJ114" s="15">
        <f t="shared" si="339"/>
        <v>76669.249000000011</v>
      </c>
      <c r="AK114" s="15">
        <f>SUM(AK112:AK113)</f>
        <v>83454.670999999988</v>
      </c>
      <c r="AL114" s="15">
        <f t="shared" ref="AL114:AN114" si="340">SUM(AL112:AL113)</f>
        <v>88724.482000000004</v>
      </c>
      <c r="AM114" s="15">
        <f t="shared" si="340"/>
        <v>95286.63</v>
      </c>
      <c r="AN114" s="15">
        <f t="shared" si="340"/>
        <v>100446.06299999999</v>
      </c>
      <c r="AO114" s="15">
        <f>SUM(AO112:AO113)</f>
        <v>113617.337</v>
      </c>
      <c r="AP114" s="15">
        <f t="shared" ref="AP114" si="341">SUM(AP112:AP113)</f>
        <v>116107.874</v>
      </c>
      <c r="AQ114" s="15">
        <f t="shared" ref="AQ114" si="342">AQ112+AQ113</f>
        <v>118435.20499999999</v>
      </c>
      <c r="AR114" s="15">
        <f t="shared" ref="AR114" si="343">SUM(AR112:AR113)</f>
        <v>123151.235</v>
      </c>
      <c r="AS114" s="15">
        <f>SUM(AS112:AS113)</f>
        <v>127023.986</v>
      </c>
      <c r="AT114" s="15">
        <f t="shared" ref="AT114" si="344">SUM(AT112:AT113)</f>
        <v>129245.45600000001</v>
      </c>
      <c r="AU114" s="15">
        <f t="shared" ref="AU114" si="345">AU112+AU113</f>
        <v>135030.39300000001</v>
      </c>
    </row>
    <row r="115" spans="2:47" ht="13.5" customHeight="1" x14ac:dyDescent="0.35">
      <c r="B115" s="6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35"/>
      <c r="N115" s="35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</row>
    <row r="116" spans="2:47" ht="13.5" customHeight="1" x14ac:dyDescent="0.35">
      <c r="B116" s="26" t="s">
        <v>335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35"/>
      <c r="N116" s="35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</row>
    <row r="117" spans="2:47" ht="13.5" customHeight="1" x14ac:dyDescent="0.35">
      <c r="B117" s="45" t="s">
        <v>331</v>
      </c>
      <c r="C117" s="46">
        <f t="shared" ref="C117:F118" si="346">C107+C112</f>
        <v>5830.3190000000004</v>
      </c>
      <c r="D117" s="46">
        <f t="shared" si="346"/>
        <v>8278.2219999999998</v>
      </c>
      <c r="E117" s="46">
        <f t="shared" si="346"/>
        <v>16758.196</v>
      </c>
      <c r="F117" s="46">
        <f t="shared" si="346"/>
        <v>13901.715</v>
      </c>
      <c r="G117" s="46">
        <f t="shared" ref="G117:H117" si="347">G107+G112</f>
        <v>9520.6240000000016</v>
      </c>
      <c r="H117" s="46">
        <f t="shared" si="347"/>
        <v>19682.848999999998</v>
      </c>
      <c r="I117" s="46">
        <f t="shared" ref="I117:J117" si="348">I107+I112</f>
        <v>50694.481</v>
      </c>
      <c r="J117" s="46">
        <f t="shared" si="348"/>
        <v>42692.381999999998</v>
      </c>
      <c r="K117" s="46">
        <f t="shared" ref="K117:M117" si="349">K107+K112</f>
        <v>34525.438999999998</v>
      </c>
      <c r="L117" s="46">
        <f t="shared" ref="L117" si="350">L107+L112</f>
        <v>31286.581000000002</v>
      </c>
      <c r="M117" s="46"/>
      <c r="N117" s="20"/>
      <c r="O117" s="46">
        <f t="shared" ref="O117:Q118" si="351">O107+O112</f>
        <v>11085.88</v>
      </c>
      <c r="P117" s="46">
        <f t="shared" si="351"/>
        <v>16588.399000000001</v>
      </c>
      <c r="Q117" s="46">
        <f t="shared" si="351"/>
        <v>16851.330999999998</v>
      </c>
      <c r="R117" s="20">
        <f>E117</f>
        <v>16758.196</v>
      </c>
      <c r="S117" s="46">
        <f t="shared" ref="S117:S118" si="352">S107+S112</f>
        <v>9368.7080000000005</v>
      </c>
      <c r="T117" s="46">
        <f t="shared" ref="T117:U118" si="353">T107+T112</f>
        <v>9853.5760000000009</v>
      </c>
      <c r="U117" s="46">
        <f t="shared" si="353"/>
        <v>13993.527</v>
      </c>
      <c r="V117" s="20">
        <f>F117</f>
        <v>13901.715</v>
      </c>
      <c r="W117" s="46">
        <f t="shared" ref="W117:W118" si="354">W107+W112</f>
        <v>19590.767</v>
      </c>
      <c r="X117" s="46">
        <f>X107+X112</f>
        <v>22929.232</v>
      </c>
      <c r="Y117" s="46">
        <f>Y107+Y112</f>
        <v>8906.2929999999997</v>
      </c>
      <c r="Z117" s="20">
        <f>G117</f>
        <v>9520.6240000000016</v>
      </c>
      <c r="AA117" s="46">
        <f t="shared" ref="AA117:AA118" si="355">AA107+AA112</f>
        <v>3893.6750000000002</v>
      </c>
      <c r="AB117" s="46">
        <f>AB107+AB112</f>
        <v>14532.213</v>
      </c>
      <c r="AC117" s="46">
        <f>AC107+AC112</f>
        <v>20729.111000000001</v>
      </c>
      <c r="AD117" s="20">
        <f>H117</f>
        <v>19682.848999999998</v>
      </c>
      <c r="AE117" s="46">
        <f t="shared" ref="AE117:AE118" si="356">AE107+AE112</f>
        <v>19616.435000000001</v>
      </c>
      <c r="AF117" s="46">
        <f>AF107+AF112</f>
        <v>50361.976000000002</v>
      </c>
      <c r="AG117" s="46">
        <f>AG107+AG112</f>
        <v>55153.666000000005</v>
      </c>
      <c r="AH117" s="20">
        <f>I117</f>
        <v>50694.481</v>
      </c>
      <c r="AI117" s="46">
        <f t="shared" ref="AI117:AI118" si="357">AI107+AI112</f>
        <v>54652.134999999995</v>
      </c>
      <c r="AJ117" s="46">
        <f>AJ107+AJ112</f>
        <v>69157.233000000007</v>
      </c>
      <c r="AK117" s="46">
        <f>AK107+AK112</f>
        <v>66670.974999999991</v>
      </c>
      <c r="AL117" s="20">
        <f>J117</f>
        <v>42692.381999999998</v>
      </c>
      <c r="AM117" s="46">
        <f t="shared" ref="AM117:AM118" si="358">AM107+AM112</f>
        <v>48807.803999999996</v>
      </c>
      <c r="AN117" s="46">
        <f>AN107+AN112</f>
        <v>50181.606</v>
      </c>
      <c r="AO117" s="46">
        <f>AO107+AO112</f>
        <v>33361.205999999998</v>
      </c>
      <c r="AP117" s="46">
        <f t="shared" ref="AP117:AQ118" si="359">AP107+AP112</f>
        <v>34525.438999999998</v>
      </c>
      <c r="AQ117" s="46">
        <f t="shared" si="359"/>
        <v>25095.606</v>
      </c>
      <c r="AR117" s="46">
        <f>AR107+AR112</f>
        <v>21830.489000000001</v>
      </c>
      <c r="AS117" s="46">
        <f>AS107+AS112</f>
        <v>30778.252999999997</v>
      </c>
      <c r="AT117" s="46">
        <f t="shared" ref="AT117:AU117" si="360">AT107+AT112</f>
        <v>31286.581000000002</v>
      </c>
      <c r="AU117" s="46">
        <f t="shared" si="360"/>
        <v>29941.981</v>
      </c>
    </row>
    <row r="118" spans="2:47" ht="13.5" customHeight="1" x14ac:dyDescent="0.35">
      <c r="B118" s="45" t="s">
        <v>332</v>
      </c>
      <c r="C118" s="46">
        <f t="shared" si="346"/>
        <v>95398.271999999997</v>
      </c>
      <c r="D118" s="46">
        <f t="shared" si="346"/>
        <v>123250.48299999999</v>
      </c>
      <c r="E118" s="46">
        <f t="shared" si="346"/>
        <v>131523.701</v>
      </c>
      <c r="F118" s="46">
        <f t="shared" si="346"/>
        <v>125624.637</v>
      </c>
      <c r="G118" s="46">
        <f t="shared" ref="G118:H118" si="361">G108+G113</f>
        <v>159796.198</v>
      </c>
      <c r="H118" s="46">
        <f t="shared" si="361"/>
        <v>210250.06599999999</v>
      </c>
      <c r="I118" s="46">
        <f t="shared" ref="I118:J118" si="362">I108+I113</f>
        <v>236741.77500000002</v>
      </c>
      <c r="J118" s="46">
        <f t="shared" si="362"/>
        <v>295987.66899999999</v>
      </c>
      <c r="K118" s="46">
        <f t="shared" ref="K118:M118" si="363">K108+K113</f>
        <v>331042.34400000004</v>
      </c>
      <c r="L118" s="46">
        <f t="shared" ref="L118" si="364">L108+L113</f>
        <v>354272.272</v>
      </c>
      <c r="M118" s="46"/>
      <c r="N118" s="35"/>
      <c r="O118" s="46">
        <f t="shared" si="351"/>
        <v>116763.768</v>
      </c>
      <c r="P118" s="46">
        <f t="shared" si="351"/>
        <v>117448.412</v>
      </c>
      <c r="Q118" s="46">
        <f t="shared" si="351"/>
        <v>117235.42</v>
      </c>
      <c r="R118" s="20">
        <f>E118</f>
        <v>131523.701</v>
      </c>
      <c r="S118" s="46">
        <f t="shared" si="352"/>
        <v>132359.367</v>
      </c>
      <c r="T118" s="46">
        <f t="shared" si="353"/>
        <v>125559.24099999999</v>
      </c>
      <c r="U118" s="46">
        <f t="shared" si="353"/>
        <v>121282.36600000001</v>
      </c>
      <c r="V118" s="20">
        <f>F118</f>
        <v>125624.637</v>
      </c>
      <c r="W118" s="46">
        <f t="shared" si="354"/>
        <v>128923.643</v>
      </c>
      <c r="X118" s="46">
        <f>X108+X113</f>
        <v>131210.32</v>
      </c>
      <c r="Y118" s="46">
        <f>Y108+Y113</f>
        <v>159035.75599999999</v>
      </c>
      <c r="Z118" s="20">
        <f>G118</f>
        <v>159796.198</v>
      </c>
      <c r="AA118" s="46">
        <f t="shared" si="355"/>
        <v>169539.53200000001</v>
      </c>
      <c r="AB118" s="46">
        <f>AB108+AB113</f>
        <v>174819.99400000001</v>
      </c>
      <c r="AC118" s="46">
        <f>AC108+AC113</f>
        <v>200745.78199999998</v>
      </c>
      <c r="AD118" s="20">
        <f>H118</f>
        <v>210250.06599999999</v>
      </c>
      <c r="AE118" s="46">
        <f t="shared" si="356"/>
        <v>220987.378</v>
      </c>
      <c r="AF118" s="46">
        <f>AF108+AF113</f>
        <v>213996.443</v>
      </c>
      <c r="AG118" s="46">
        <f>AG108+AG113</f>
        <v>228466.26200000002</v>
      </c>
      <c r="AH118" s="20">
        <f>I118</f>
        <v>236741.77500000002</v>
      </c>
      <c r="AI118" s="46">
        <f t="shared" si="357"/>
        <v>242915.54800000001</v>
      </c>
      <c r="AJ118" s="46">
        <f>AJ108+AJ113</f>
        <v>257520.47500000001</v>
      </c>
      <c r="AK118" s="46">
        <f>AK108+AK113</f>
        <v>262262.565</v>
      </c>
      <c r="AL118" s="20">
        <f>J118</f>
        <v>295987.66899999999</v>
      </c>
      <c r="AM118" s="46">
        <f t="shared" si="358"/>
        <v>293217.15399999998</v>
      </c>
      <c r="AN118" s="46">
        <f>AN108+AN113</f>
        <v>298999.05499999999</v>
      </c>
      <c r="AO118" s="46">
        <f>AO108+AO113</f>
        <v>321193.54300000001</v>
      </c>
      <c r="AP118" s="46">
        <f t="shared" si="359"/>
        <v>331042.34400000004</v>
      </c>
      <c r="AQ118" s="46">
        <f t="shared" si="359"/>
        <v>335315.33299999998</v>
      </c>
      <c r="AR118" s="46">
        <f>AR108+AR113</f>
        <v>349219.30200000003</v>
      </c>
      <c r="AS118" s="46">
        <f>AS108+AS113</f>
        <v>349737.185</v>
      </c>
      <c r="AT118" s="46">
        <f t="shared" ref="AT118:AU118" si="365">AT108+AT113</f>
        <v>354272.272</v>
      </c>
      <c r="AU118" s="46">
        <f t="shared" si="365"/>
        <v>356325.69400000002</v>
      </c>
    </row>
    <row r="119" spans="2:47" ht="13.5" customHeight="1" x14ac:dyDescent="0.35">
      <c r="B119" s="45" t="s">
        <v>11</v>
      </c>
      <c r="C119" s="46"/>
      <c r="D119" s="46"/>
      <c r="E119" s="46"/>
      <c r="F119" s="240"/>
      <c r="G119" s="240"/>
      <c r="H119" s="240"/>
      <c r="I119" s="46">
        <f>AH119</f>
        <v>44090.14</v>
      </c>
      <c r="J119" s="46">
        <f>AL119</f>
        <v>44296.59</v>
      </c>
      <c r="K119" s="46">
        <f>AP119</f>
        <v>45129.3</v>
      </c>
      <c r="L119" s="46">
        <f>AT119</f>
        <v>45412.62</v>
      </c>
      <c r="M119" s="20"/>
      <c r="N119" s="35"/>
      <c r="O119" s="46"/>
      <c r="P119" s="46"/>
      <c r="Q119" s="46"/>
      <c r="R119" s="20"/>
      <c r="S119" s="46"/>
      <c r="T119" s="46"/>
      <c r="U119" s="46"/>
      <c r="V119" s="20"/>
      <c r="W119" s="46"/>
      <c r="X119" s="46"/>
      <c r="Y119" s="46"/>
      <c r="Z119" s="20"/>
      <c r="AA119" s="240"/>
      <c r="AB119" s="240"/>
      <c r="AC119" s="240"/>
      <c r="AD119" s="42"/>
      <c r="AE119" s="240"/>
      <c r="AF119" s="19">
        <f>789.7+33414.08+9964.6</f>
        <v>44168.38</v>
      </c>
      <c r="AG119" s="19">
        <f>803.5+10097.48+(600*57.2)</f>
        <v>45220.979999999996</v>
      </c>
      <c r="AH119" s="19">
        <f>33227.93+797.69+10064.52</f>
        <v>44090.14</v>
      </c>
      <c r="AI119" s="19">
        <f>793.8+10015.46</f>
        <v>10809.259999999998</v>
      </c>
      <c r="AJ119" s="19">
        <f>33666.07+10792.58</f>
        <v>44458.65</v>
      </c>
      <c r="AK119" s="19">
        <f>792.6+(600*56.69)</f>
        <v>34806.6</v>
      </c>
      <c r="AL119" s="19">
        <v>44296.59</v>
      </c>
      <c r="AM119" s="19">
        <v>45349.61</v>
      </c>
      <c r="AN119" s="19">
        <v>45557.25</v>
      </c>
      <c r="AO119" s="19">
        <v>45888.5</v>
      </c>
      <c r="AP119" s="19">
        <v>45129.3</v>
      </c>
      <c r="AQ119" s="19">
        <v>44265.38</v>
      </c>
      <c r="AR119" s="19">
        <v>45192.3</v>
      </c>
      <c r="AS119" s="19">
        <v>46224.25</v>
      </c>
      <c r="AT119" s="19">
        <v>45412.62</v>
      </c>
      <c r="AU119" s="19">
        <v>46283.78</v>
      </c>
    </row>
    <row r="120" spans="2:47" ht="13.5" customHeight="1" x14ac:dyDescent="0.35">
      <c r="B120" s="26" t="s">
        <v>40</v>
      </c>
      <c r="C120" s="47">
        <f t="shared" ref="C120:V120" si="366">SUM(C117:C118)</f>
        <v>101228.591</v>
      </c>
      <c r="D120" s="47">
        <f t="shared" si="366"/>
        <v>131528.70499999999</v>
      </c>
      <c r="E120" s="47">
        <f t="shared" si="366"/>
        <v>148281.897</v>
      </c>
      <c r="F120" s="47">
        <f t="shared" si="366"/>
        <v>139526.35200000001</v>
      </c>
      <c r="G120" s="47">
        <f t="shared" ref="G120:H120" si="367">SUM(G117:G118)</f>
        <v>169316.82200000001</v>
      </c>
      <c r="H120" s="47">
        <f t="shared" si="367"/>
        <v>229932.91499999998</v>
      </c>
      <c r="I120" s="47">
        <f>SUM(I117:I119)</f>
        <v>331526.39600000007</v>
      </c>
      <c r="J120" s="47">
        <f>SUM(J117:J119)</f>
        <v>382976.64099999995</v>
      </c>
      <c r="K120" s="47">
        <f>SUM(K117:K119)</f>
        <v>410697.08300000004</v>
      </c>
      <c r="L120" s="47">
        <f>SUM(L117:L119)</f>
        <v>430971.473</v>
      </c>
      <c r="M120" s="47"/>
      <c r="N120" s="15"/>
      <c r="O120" s="47">
        <f t="shared" si="366"/>
        <v>127849.648</v>
      </c>
      <c r="P120" s="47">
        <f t="shared" si="366"/>
        <v>134036.81099999999</v>
      </c>
      <c r="Q120" s="47">
        <f t="shared" si="366"/>
        <v>134086.75099999999</v>
      </c>
      <c r="R120" s="47">
        <f t="shared" si="366"/>
        <v>148281.897</v>
      </c>
      <c r="S120" s="47">
        <f t="shared" ref="S120" si="368">SUM(S117:S118)</f>
        <v>141728.07500000001</v>
      </c>
      <c r="T120" s="47">
        <f t="shared" si="366"/>
        <v>135412.81699999998</v>
      </c>
      <c r="U120" s="47">
        <f t="shared" ref="U120" si="369">SUM(U117:U118)</f>
        <v>135275.89300000001</v>
      </c>
      <c r="V120" s="47">
        <f t="shared" si="366"/>
        <v>139526.35200000001</v>
      </c>
      <c r="W120" s="47">
        <f>SUM(W117:W118)</f>
        <v>148514.41</v>
      </c>
      <c r="X120" s="47">
        <f t="shared" ref="X120:Z120" si="370">SUM(X117:X118)</f>
        <v>154139.552</v>
      </c>
      <c r="Y120" s="47">
        <f t="shared" si="370"/>
        <v>167942.049</v>
      </c>
      <c r="Z120" s="47">
        <f t="shared" si="370"/>
        <v>169316.82200000001</v>
      </c>
      <c r="AA120" s="47">
        <f>SUM(AA117:AA118)</f>
        <v>173433.20699999999</v>
      </c>
      <c r="AB120" s="47">
        <f t="shared" ref="AB120:AD120" si="371">SUM(AB117:AB118)</f>
        <v>189352.20699999999</v>
      </c>
      <c r="AC120" s="47">
        <f t="shared" si="371"/>
        <v>221474.89299999998</v>
      </c>
      <c r="AD120" s="47">
        <f t="shared" si="371"/>
        <v>229932.91499999998</v>
      </c>
      <c r="AE120" s="47">
        <f>SUM(AE117:AE118)</f>
        <v>240603.81299999999</v>
      </c>
      <c r="AF120" s="47">
        <f t="shared" ref="AF120:AL120" si="372">SUM(AF117:AF119)</f>
        <v>308526.799</v>
      </c>
      <c r="AG120" s="47">
        <f t="shared" si="372"/>
        <v>328840.908</v>
      </c>
      <c r="AH120" s="47">
        <f t="shared" si="372"/>
        <v>331526.39600000007</v>
      </c>
      <c r="AI120" s="47">
        <f t="shared" si="372"/>
        <v>308376.94300000003</v>
      </c>
      <c r="AJ120" s="47">
        <f t="shared" si="372"/>
        <v>371136.35800000001</v>
      </c>
      <c r="AK120" s="47">
        <f t="shared" si="372"/>
        <v>363740.13999999996</v>
      </c>
      <c r="AL120" s="47">
        <f t="shared" si="372"/>
        <v>382976.64099999995</v>
      </c>
      <c r="AM120" s="47">
        <f t="shared" ref="AM120:AP120" si="373">SUM(AM117:AM119)</f>
        <v>387374.56799999997</v>
      </c>
      <c r="AN120" s="47">
        <f t="shared" si="373"/>
        <v>394737.91099999996</v>
      </c>
      <c r="AO120" s="47">
        <f t="shared" si="373"/>
        <v>400443.24900000001</v>
      </c>
      <c r="AP120" s="47">
        <f t="shared" si="373"/>
        <v>410697.08300000004</v>
      </c>
      <c r="AQ120" s="47">
        <f>SUM(AQ117:AQ119)</f>
        <v>404676.31900000002</v>
      </c>
      <c r="AR120" s="47">
        <f t="shared" ref="AR120:AT120" si="374">SUM(AR117:AR119)</f>
        <v>416242.09100000001</v>
      </c>
      <c r="AS120" s="47">
        <f t="shared" si="374"/>
        <v>426739.68799999997</v>
      </c>
      <c r="AT120" s="47">
        <f t="shared" si="374"/>
        <v>430971.473</v>
      </c>
      <c r="AU120" s="47">
        <f>SUM(AU117:AU119)</f>
        <v>432551.45500000007</v>
      </c>
    </row>
    <row r="121" spans="2:47" ht="13.5" customHeight="1" x14ac:dyDescent="0.35"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</row>
    <row r="122" spans="2:47" ht="13.5" customHeight="1" x14ac:dyDescent="0.35">
      <c r="B122" s="3" t="s">
        <v>336</v>
      </c>
      <c r="C122" s="19">
        <v>8632.8520000000008</v>
      </c>
      <c r="D122" s="21">
        <v>11222.22</v>
      </c>
      <c r="E122" s="21">
        <v>23226.385999999999</v>
      </c>
      <c r="F122" s="21">
        <v>8298.0920000000006</v>
      </c>
      <c r="G122" s="21">
        <v>19508.114000000001</v>
      </c>
      <c r="H122" s="223">
        <v>24239.195</v>
      </c>
      <c r="I122" s="223">
        <v>18033.785</v>
      </c>
      <c r="J122" s="223">
        <v>16645.077000000001</v>
      </c>
      <c r="K122" s="223">
        <v>21353.659</v>
      </c>
      <c r="L122" s="223">
        <v>25029.857</v>
      </c>
      <c r="M122" s="20"/>
      <c r="N122" s="20"/>
      <c r="O122" s="48">
        <v>6303.94</v>
      </c>
      <c r="P122" s="48">
        <v>10638.769</v>
      </c>
      <c r="Q122" s="48">
        <v>12133.293</v>
      </c>
      <c r="R122" s="20">
        <f>E122</f>
        <v>23226.385999999999</v>
      </c>
      <c r="S122" s="48">
        <v>16559.11</v>
      </c>
      <c r="T122" s="49">
        <v>11786.281000000001</v>
      </c>
      <c r="U122" s="49">
        <v>11629.91</v>
      </c>
      <c r="V122" s="20">
        <f>F122</f>
        <v>8298.0920000000006</v>
      </c>
      <c r="W122" s="48">
        <v>14519.101000000001</v>
      </c>
      <c r="X122" s="49">
        <v>14785.235000000001</v>
      </c>
      <c r="Y122" s="49">
        <v>32627.119999999999</v>
      </c>
      <c r="Z122" s="20">
        <f>G122</f>
        <v>19508.114000000001</v>
      </c>
      <c r="AA122" s="48">
        <v>14484.374</v>
      </c>
      <c r="AB122" s="49">
        <v>14628.956</v>
      </c>
      <c r="AC122" s="49">
        <v>12704.713</v>
      </c>
      <c r="AD122" s="20">
        <f>H122</f>
        <v>24239.195</v>
      </c>
      <c r="AE122" s="48">
        <v>14854.545</v>
      </c>
      <c r="AF122" s="49">
        <v>16075.427</v>
      </c>
      <c r="AG122" s="49">
        <v>14390.494000000001</v>
      </c>
      <c r="AH122" s="20">
        <f>I122</f>
        <v>18033.785</v>
      </c>
      <c r="AI122" s="48">
        <v>16243.84</v>
      </c>
      <c r="AJ122" s="49">
        <v>25357.659</v>
      </c>
      <c r="AK122" s="49">
        <v>15976.834999999999</v>
      </c>
      <c r="AL122" s="20">
        <f>J122</f>
        <v>16645.077000000001</v>
      </c>
      <c r="AM122" s="48">
        <v>16979.334999999999</v>
      </c>
      <c r="AN122" s="49">
        <v>18634.038</v>
      </c>
      <c r="AO122" s="49">
        <v>22256.024000000001</v>
      </c>
      <c r="AP122" s="20">
        <f>K122</f>
        <v>21353.659</v>
      </c>
      <c r="AQ122" s="223">
        <v>18726.847000000002</v>
      </c>
      <c r="AR122" s="49">
        <v>19315.486000000001</v>
      </c>
      <c r="AS122" s="49">
        <v>27728.379000000001</v>
      </c>
      <c r="AT122" s="20">
        <f>L122</f>
        <v>25029.857</v>
      </c>
      <c r="AU122" s="223">
        <v>42352.875999999997</v>
      </c>
    </row>
    <row r="123" spans="2:47" s="6" customFormat="1" ht="13.5" customHeight="1" x14ac:dyDescent="0.3">
      <c r="B123" s="6" t="s">
        <v>337</v>
      </c>
      <c r="C123" s="15">
        <f>C120-C122</f>
        <v>92595.739000000001</v>
      </c>
      <c r="D123" s="15">
        <f t="shared" ref="D123:F123" si="375">D120-D122</f>
        <v>120306.48499999999</v>
      </c>
      <c r="E123" s="15">
        <f t="shared" si="375"/>
        <v>125055.511</v>
      </c>
      <c r="F123" s="15">
        <f t="shared" si="375"/>
        <v>131228.26</v>
      </c>
      <c r="G123" s="15">
        <f t="shared" ref="G123:H123" si="376">G120-G122</f>
        <v>149808.70800000001</v>
      </c>
      <c r="H123" s="15">
        <f t="shared" si="376"/>
        <v>205693.71999999997</v>
      </c>
      <c r="I123" s="15">
        <f t="shared" ref="I123:J123" si="377">I120-I122</f>
        <v>313492.61100000009</v>
      </c>
      <c r="J123" s="15">
        <f t="shared" si="377"/>
        <v>366331.56399999995</v>
      </c>
      <c r="K123" s="15">
        <f t="shared" ref="K123:L123" si="378">K120-K122</f>
        <v>389343.42400000006</v>
      </c>
      <c r="L123" s="15">
        <f t="shared" si="378"/>
        <v>405941.61599999998</v>
      </c>
      <c r="M123" s="15"/>
      <c r="N123" s="408"/>
      <c r="O123" s="15">
        <f t="shared" ref="O123:W123" si="379">O120-O122</f>
        <v>121545.708</v>
      </c>
      <c r="P123" s="15">
        <f t="shared" si="379"/>
        <v>123398.04199999999</v>
      </c>
      <c r="Q123" s="15">
        <f t="shared" si="379"/>
        <v>121953.45799999998</v>
      </c>
      <c r="R123" s="15">
        <f t="shared" si="379"/>
        <v>125055.511</v>
      </c>
      <c r="S123" s="15">
        <f t="shared" si="379"/>
        <v>125168.96500000001</v>
      </c>
      <c r="T123" s="15">
        <f t="shared" si="379"/>
        <v>123626.53599999998</v>
      </c>
      <c r="U123" s="15">
        <f t="shared" si="379"/>
        <v>123645.98300000001</v>
      </c>
      <c r="V123" s="15">
        <f t="shared" si="379"/>
        <v>131228.26</v>
      </c>
      <c r="W123" s="15">
        <f t="shared" si="379"/>
        <v>133995.30900000001</v>
      </c>
      <c r="X123" s="15">
        <f>X120-X122</f>
        <v>139354.31699999998</v>
      </c>
      <c r="Y123" s="15">
        <f>Y120-Y122</f>
        <v>135314.929</v>
      </c>
      <c r="Z123" s="15">
        <f t="shared" ref="Z123:AA123" si="380">Z120-Z122</f>
        <v>149808.70800000001</v>
      </c>
      <c r="AA123" s="15">
        <f t="shared" si="380"/>
        <v>158948.83299999998</v>
      </c>
      <c r="AB123" s="15">
        <f>AB120-AB122</f>
        <v>174723.25099999999</v>
      </c>
      <c r="AC123" s="15">
        <f>AC120-AC122</f>
        <v>208770.18</v>
      </c>
      <c r="AD123" s="15">
        <f t="shared" ref="AD123:AE123" si="381">AD120-AD122</f>
        <v>205693.71999999997</v>
      </c>
      <c r="AE123" s="15">
        <f t="shared" si="381"/>
        <v>225749.26799999998</v>
      </c>
      <c r="AF123" s="15">
        <f>AF120-AF122</f>
        <v>292451.37199999997</v>
      </c>
      <c r="AG123" s="15">
        <f>AG120-AG122</f>
        <v>314450.41399999999</v>
      </c>
      <c r="AH123" s="15">
        <f t="shared" ref="AH123:AI123" si="382">AH120-AH122</f>
        <v>313492.61100000009</v>
      </c>
      <c r="AI123" s="15">
        <f t="shared" si="382"/>
        <v>292133.103</v>
      </c>
      <c r="AJ123" s="15">
        <f>AJ120-AJ122</f>
        <v>345778.69900000002</v>
      </c>
      <c r="AK123" s="15">
        <f>AK120-AK122</f>
        <v>347763.30499999993</v>
      </c>
      <c r="AL123" s="15">
        <f t="shared" ref="AL123:AM123" si="383">AL120-AL122</f>
        <v>366331.56399999995</v>
      </c>
      <c r="AM123" s="15">
        <f t="shared" si="383"/>
        <v>370395.23299999995</v>
      </c>
      <c r="AN123" s="15">
        <f>AN120-AN122</f>
        <v>376103.87299999996</v>
      </c>
      <c r="AO123" s="15">
        <f>AO120-AO122</f>
        <v>378187.22500000003</v>
      </c>
      <c r="AP123" s="15">
        <f t="shared" ref="AP123:AQ123" si="384">AP120-AP122</f>
        <v>389343.42400000006</v>
      </c>
      <c r="AQ123" s="15">
        <f t="shared" si="384"/>
        <v>385949.47200000001</v>
      </c>
      <c r="AR123" s="15">
        <f>AR120-AR122</f>
        <v>396926.60500000004</v>
      </c>
      <c r="AS123" s="15">
        <f>AS120-AS122</f>
        <v>399011.30899999995</v>
      </c>
      <c r="AT123" s="15">
        <f t="shared" ref="AT123:AU123" si="385">AT120-AT122</f>
        <v>405941.61599999998</v>
      </c>
      <c r="AU123" s="15">
        <f t="shared" si="385"/>
        <v>390198.57900000009</v>
      </c>
    </row>
    <row r="124" spans="2:47" ht="13.5" customHeight="1" x14ac:dyDescent="0.35">
      <c r="B124" s="3" t="s">
        <v>338</v>
      </c>
      <c r="C124" s="20">
        <f>C120</f>
        <v>101228.591</v>
      </c>
      <c r="D124" s="20">
        <f t="shared" ref="D124:W124" si="386">D120</f>
        <v>131528.70499999999</v>
      </c>
      <c r="E124" s="20">
        <f t="shared" si="386"/>
        <v>148281.897</v>
      </c>
      <c r="F124" s="20">
        <f t="shared" si="386"/>
        <v>139526.35200000001</v>
      </c>
      <c r="G124" s="20">
        <f t="shared" ref="G124:H124" si="387">G120</f>
        <v>169316.82200000001</v>
      </c>
      <c r="H124" s="20">
        <f t="shared" si="387"/>
        <v>229932.91499999998</v>
      </c>
      <c r="I124" s="20">
        <f t="shared" ref="I124:J124" si="388">I120</f>
        <v>331526.39600000007</v>
      </c>
      <c r="J124" s="20">
        <f t="shared" si="388"/>
        <v>382976.64099999995</v>
      </c>
      <c r="K124" s="20">
        <f t="shared" ref="K124:L124" si="389">K120</f>
        <v>410697.08300000004</v>
      </c>
      <c r="L124" s="20">
        <f t="shared" si="389"/>
        <v>430971.473</v>
      </c>
      <c r="M124" s="20"/>
      <c r="N124" s="20"/>
      <c r="O124" s="20">
        <f t="shared" si="386"/>
        <v>127849.648</v>
      </c>
      <c r="P124" s="20">
        <f t="shared" si="386"/>
        <v>134036.81099999999</v>
      </c>
      <c r="Q124" s="20">
        <f t="shared" si="386"/>
        <v>134086.75099999999</v>
      </c>
      <c r="R124" s="20">
        <f t="shared" si="386"/>
        <v>148281.897</v>
      </c>
      <c r="S124" s="20">
        <f t="shared" si="386"/>
        <v>141728.07500000001</v>
      </c>
      <c r="T124" s="20">
        <f t="shared" si="386"/>
        <v>135412.81699999998</v>
      </c>
      <c r="U124" s="20">
        <f t="shared" si="386"/>
        <v>135275.89300000001</v>
      </c>
      <c r="V124" s="20">
        <f t="shared" si="386"/>
        <v>139526.35200000001</v>
      </c>
      <c r="W124" s="20">
        <f t="shared" si="386"/>
        <v>148514.41</v>
      </c>
      <c r="X124" s="20">
        <f>X120</f>
        <v>154139.552</v>
      </c>
      <c r="Y124" s="20">
        <f>Y120</f>
        <v>167942.049</v>
      </c>
      <c r="Z124" s="20">
        <f t="shared" ref="Z124:AA124" si="390">Z120</f>
        <v>169316.82200000001</v>
      </c>
      <c r="AA124" s="20">
        <f t="shared" si="390"/>
        <v>173433.20699999999</v>
      </c>
      <c r="AB124" s="20">
        <f>AB120</f>
        <v>189352.20699999999</v>
      </c>
      <c r="AC124" s="20">
        <f>AC120</f>
        <v>221474.89299999998</v>
      </c>
      <c r="AD124" s="20">
        <f t="shared" ref="AD124:AE124" si="391">AD120</f>
        <v>229932.91499999998</v>
      </c>
      <c r="AE124" s="20">
        <f t="shared" si="391"/>
        <v>240603.81299999999</v>
      </c>
      <c r="AF124" s="20">
        <f>AF120</f>
        <v>308526.799</v>
      </c>
      <c r="AG124" s="20">
        <f>AG120</f>
        <v>328840.908</v>
      </c>
      <c r="AH124" s="20">
        <f t="shared" ref="AH124:AI124" si="392">AH120</f>
        <v>331526.39600000007</v>
      </c>
      <c r="AI124" s="20">
        <f t="shared" si="392"/>
        <v>308376.94300000003</v>
      </c>
      <c r="AJ124" s="20">
        <f>AJ120</f>
        <v>371136.35800000001</v>
      </c>
      <c r="AK124" s="20">
        <f>AK120</f>
        <v>363740.13999999996</v>
      </c>
      <c r="AL124" s="20">
        <f t="shared" ref="AL124:AM124" si="393">AL120</f>
        <v>382976.64099999995</v>
      </c>
      <c r="AM124" s="20">
        <f t="shared" si="393"/>
        <v>387374.56799999997</v>
      </c>
      <c r="AN124" s="20">
        <f>AN120</f>
        <v>394737.91099999996</v>
      </c>
      <c r="AO124" s="20">
        <f>AO120</f>
        <v>400443.24900000001</v>
      </c>
      <c r="AP124" s="20">
        <f t="shared" ref="AP124:AQ124" si="394">AP120</f>
        <v>410697.08300000004</v>
      </c>
      <c r="AQ124" s="20">
        <f t="shared" si="394"/>
        <v>404676.31900000002</v>
      </c>
      <c r="AR124" s="20">
        <f>AR120</f>
        <v>416242.09100000001</v>
      </c>
      <c r="AS124" s="20">
        <f>AS120</f>
        <v>426739.68799999997</v>
      </c>
      <c r="AT124" s="20">
        <f t="shared" ref="AT124:AU124" si="395">AT120</f>
        <v>430971.473</v>
      </c>
      <c r="AU124" s="20">
        <f t="shared" si="395"/>
        <v>432551.45500000007</v>
      </c>
    </row>
    <row r="125" spans="2:47" ht="13.5" customHeight="1" x14ac:dyDescent="0.35"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</row>
    <row r="126" spans="2:47" ht="13.5" customHeight="1" x14ac:dyDescent="0.35">
      <c r="C126" s="19"/>
      <c r="D126" s="21"/>
      <c r="E126" s="21"/>
      <c r="F126" s="21"/>
      <c r="G126" s="21"/>
      <c r="H126" s="21"/>
      <c r="I126" s="21"/>
      <c r="J126" s="21"/>
      <c r="K126" s="21"/>
      <c r="L126" s="21"/>
      <c r="M126" s="20"/>
      <c r="N126" s="20"/>
      <c r="O126" s="48"/>
      <c r="P126" s="48"/>
      <c r="Q126" s="48"/>
      <c r="R126" s="20"/>
      <c r="S126" s="48"/>
      <c r="T126" s="48"/>
      <c r="U126" s="48"/>
      <c r="V126" s="20"/>
      <c r="W126" s="48"/>
      <c r="X126" s="48"/>
      <c r="Y126" s="48"/>
      <c r="Z126" s="20"/>
      <c r="AA126" s="48"/>
      <c r="AB126" s="48"/>
      <c r="AC126" s="48"/>
      <c r="AD126" s="20"/>
      <c r="AE126" s="48"/>
      <c r="AF126" s="48"/>
      <c r="AG126" s="48"/>
      <c r="AH126" s="20"/>
      <c r="AI126" s="48"/>
      <c r="AJ126" s="48"/>
      <c r="AK126" s="48"/>
      <c r="AL126" s="20"/>
      <c r="AM126" s="48"/>
      <c r="AN126" s="48"/>
      <c r="AO126" s="48"/>
      <c r="AP126" s="20"/>
      <c r="AQ126" s="21"/>
      <c r="AR126" s="48"/>
      <c r="AS126" s="48"/>
      <c r="AT126" s="20"/>
      <c r="AU126" s="21"/>
    </row>
    <row r="127" spans="2:47" ht="13.5" customHeight="1" x14ac:dyDescent="0.35">
      <c r="B127" s="3" t="s">
        <v>339</v>
      </c>
      <c r="C127" s="19">
        <v>63476.302000000003</v>
      </c>
      <c r="D127" s="21">
        <v>66557.736999999994</v>
      </c>
      <c r="E127" s="21">
        <v>73143.506999999998</v>
      </c>
      <c r="F127" s="21">
        <v>81246.997000000003</v>
      </c>
      <c r="G127" s="21">
        <v>82804.47</v>
      </c>
      <c r="H127" s="223">
        <v>114102.178</v>
      </c>
      <c r="I127" s="223">
        <v>152532.87</v>
      </c>
      <c r="J127" s="223">
        <f>159926.738</f>
        <v>159926.73800000001</v>
      </c>
      <c r="K127" s="223">
        <v>167779.22899999999</v>
      </c>
      <c r="L127" s="223">
        <v>174469.74400000001</v>
      </c>
      <c r="M127" s="20"/>
      <c r="N127" s="20"/>
      <c r="O127" s="19">
        <v>65111.256000000001</v>
      </c>
      <c r="P127" s="19">
        <v>67467.28</v>
      </c>
      <c r="Q127" s="19">
        <v>69646.316999999995</v>
      </c>
      <c r="R127" s="20">
        <f>E127</f>
        <v>73143.506999999998</v>
      </c>
      <c r="S127" s="19">
        <v>76904.639999999999</v>
      </c>
      <c r="T127" s="19">
        <v>78883.587</v>
      </c>
      <c r="U127" s="19">
        <v>81251.284</v>
      </c>
      <c r="V127" s="20">
        <f>F127</f>
        <v>81246.997000000003</v>
      </c>
      <c r="W127" s="19">
        <v>84589.888999999996</v>
      </c>
      <c r="X127" s="19">
        <v>85237.076000000001</v>
      </c>
      <c r="Y127" s="19">
        <v>86427.6</v>
      </c>
      <c r="Z127" s="20">
        <f>G127</f>
        <v>82804.47</v>
      </c>
      <c r="AA127" s="19">
        <v>87918.625</v>
      </c>
      <c r="AB127" s="19">
        <v>88756.5</v>
      </c>
      <c r="AC127" s="19">
        <v>80157.563999999998</v>
      </c>
      <c r="AD127" s="20">
        <f>H127</f>
        <v>114102.178</v>
      </c>
      <c r="AE127" s="19">
        <v>124313.22500000001</v>
      </c>
      <c r="AF127" s="19">
        <v>125689.38499999999</v>
      </c>
      <c r="AG127" s="19">
        <v>127817.958</v>
      </c>
      <c r="AH127" s="20">
        <f>I127</f>
        <v>152532.87</v>
      </c>
      <c r="AI127" s="19">
        <v>156799.04399999999</v>
      </c>
      <c r="AJ127" s="19">
        <v>159203.35699999999</v>
      </c>
      <c r="AK127" s="19">
        <v>160781.20199999999</v>
      </c>
      <c r="AL127" s="20">
        <f>J127</f>
        <v>159926.73800000001</v>
      </c>
      <c r="AM127" s="19">
        <v>162351.671</v>
      </c>
      <c r="AN127" s="19">
        <v>166583.38399999999</v>
      </c>
      <c r="AO127" s="19">
        <v>169078.90100000001</v>
      </c>
      <c r="AP127" s="20">
        <f>K127</f>
        <v>167779.22899999999</v>
      </c>
      <c r="AQ127" s="223">
        <v>171303.23499999999</v>
      </c>
      <c r="AR127" s="19">
        <v>172629.86300000001</v>
      </c>
      <c r="AS127" s="19">
        <v>174394.5</v>
      </c>
      <c r="AT127" s="20">
        <f>L127</f>
        <v>174469.74400000001</v>
      </c>
      <c r="AU127" s="223">
        <v>202371.76699999999</v>
      </c>
    </row>
    <row r="128" spans="2:47" s="6" customFormat="1" ht="13.5" customHeight="1" x14ac:dyDescent="0.3">
      <c r="B128" s="6" t="s">
        <v>340</v>
      </c>
      <c r="C128" s="214">
        <f t="shared" ref="C128:G128" si="396">C127+C120</f>
        <v>164704.89300000001</v>
      </c>
      <c r="D128" s="214">
        <f t="shared" si="396"/>
        <v>198086.44199999998</v>
      </c>
      <c r="E128" s="214">
        <f t="shared" si="396"/>
        <v>221425.40399999998</v>
      </c>
      <c r="F128" s="214">
        <f t="shared" si="396"/>
        <v>220773.34900000002</v>
      </c>
      <c r="G128" s="214">
        <f t="shared" si="396"/>
        <v>252121.29200000002</v>
      </c>
      <c r="H128" s="214">
        <f t="shared" ref="H128:I128" si="397">H127+H120</f>
        <v>344035.09299999999</v>
      </c>
      <c r="I128" s="214">
        <f t="shared" si="397"/>
        <v>484059.26600000006</v>
      </c>
      <c r="J128" s="328">
        <f t="shared" ref="J128:K128" si="398">J127+J120</f>
        <v>542903.37899999996</v>
      </c>
      <c r="K128" s="328">
        <f t="shared" si="398"/>
        <v>578476.31200000003</v>
      </c>
      <c r="L128" s="328">
        <f t="shared" ref="L128" si="399">L127+L120</f>
        <v>605441.21699999995</v>
      </c>
      <c r="M128" s="328"/>
      <c r="N128" s="330"/>
      <c r="O128" s="328">
        <f t="shared" ref="O128:W128" si="400">O127+O120</f>
        <v>192960.90400000001</v>
      </c>
      <c r="P128" s="328">
        <f t="shared" si="400"/>
        <v>201504.09099999999</v>
      </c>
      <c r="Q128" s="328">
        <f t="shared" si="400"/>
        <v>203733.06799999997</v>
      </c>
      <c r="R128" s="328">
        <f t="shared" si="400"/>
        <v>221425.40399999998</v>
      </c>
      <c r="S128" s="328">
        <f t="shared" si="400"/>
        <v>218632.71500000003</v>
      </c>
      <c r="T128" s="328">
        <f t="shared" si="400"/>
        <v>214296.40399999998</v>
      </c>
      <c r="U128" s="328">
        <f t="shared" si="400"/>
        <v>216527.17700000003</v>
      </c>
      <c r="V128" s="328">
        <f t="shared" si="400"/>
        <v>220773.34900000002</v>
      </c>
      <c r="W128" s="328">
        <f t="shared" si="400"/>
        <v>233104.299</v>
      </c>
      <c r="X128" s="328">
        <f>X127+X120</f>
        <v>239376.628</v>
      </c>
      <c r="Y128" s="328">
        <f>Y127+Y120</f>
        <v>254369.649</v>
      </c>
      <c r="Z128" s="328">
        <f t="shared" ref="Z128:AA128" si="401">Z127+Z120</f>
        <v>252121.29200000002</v>
      </c>
      <c r="AA128" s="328">
        <f t="shared" si="401"/>
        <v>261351.83199999999</v>
      </c>
      <c r="AB128" s="328">
        <f>AB127+AB120</f>
        <v>278108.70699999999</v>
      </c>
      <c r="AC128" s="328">
        <f>AC127+AC120</f>
        <v>301632.45699999999</v>
      </c>
      <c r="AD128" s="328">
        <f t="shared" ref="AD128:AE128" si="402">AD127+AD120</f>
        <v>344035.09299999999</v>
      </c>
      <c r="AE128" s="328">
        <f t="shared" si="402"/>
        <v>364917.038</v>
      </c>
      <c r="AF128" s="328">
        <f>AF127+AF120</f>
        <v>434216.18400000001</v>
      </c>
      <c r="AG128" s="328">
        <f>AG127+AG120</f>
        <v>456658.86599999998</v>
      </c>
      <c r="AH128" s="328">
        <f t="shared" ref="AH128:AI128" si="403">AH127+AH120</f>
        <v>484059.26600000006</v>
      </c>
      <c r="AI128" s="328">
        <f t="shared" si="403"/>
        <v>465175.98700000002</v>
      </c>
      <c r="AJ128" s="328">
        <f>AJ127+AJ120</f>
        <v>530339.71499999997</v>
      </c>
      <c r="AK128" s="328">
        <f>AK127+AK120</f>
        <v>524521.34199999995</v>
      </c>
      <c r="AL128" s="328">
        <f t="shared" ref="AL128:AM128" si="404">AL127+AL120</f>
        <v>542903.37899999996</v>
      </c>
      <c r="AM128" s="328">
        <f t="shared" si="404"/>
        <v>549726.23899999994</v>
      </c>
      <c r="AN128" s="328">
        <f>AN127+AN120</f>
        <v>561321.29499999993</v>
      </c>
      <c r="AO128" s="328">
        <f>AO127+AO120</f>
        <v>569522.15</v>
      </c>
      <c r="AP128" s="328">
        <f t="shared" ref="AP128:AQ128" si="405">AP127+AP120</f>
        <v>578476.31200000003</v>
      </c>
      <c r="AQ128" s="328">
        <f t="shared" si="405"/>
        <v>575979.554</v>
      </c>
      <c r="AR128" s="328">
        <f>AR127+AR120</f>
        <v>588871.95400000003</v>
      </c>
      <c r="AS128" s="328">
        <f>AS127+AS120</f>
        <v>601134.18799999997</v>
      </c>
      <c r="AT128" s="328">
        <f t="shared" ref="AT128:AU128" si="406">AT127+AT120</f>
        <v>605441.21699999995</v>
      </c>
      <c r="AU128" s="328">
        <f t="shared" si="406"/>
        <v>634923.22200000007</v>
      </c>
    </row>
    <row r="129" spans="2:47" s="6" customFormat="1" ht="13.5" customHeight="1" x14ac:dyDescent="0.3"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95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</row>
    <row r="130" spans="2:47" ht="13.5" customHeight="1" x14ac:dyDescent="0.35"/>
    <row r="131" spans="2:47" ht="13.5" customHeight="1" x14ac:dyDescent="0.35">
      <c r="B131" s="10" t="s">
        <v>341</v>
      </c>
      <c r="C131" s="33">
        <f t="shared" ref="C131:M131" si="407">C3</f>
        <v>42735</v>
      </c>
      <c r="D131" s="33">
        <f t="shared" si="407"/>
        <v>43100</v>
      </c>
      <c r="E131" s="33">
        <f t="shared" si="407"/>
        <v>43465</v>
      </c>
      <c r="F131" s="33">
        <f t="shared" si="407"/>
        <v>43830</v>
      </c>
      <c r="G131" s="33">
        <f t="shared" si="407"/>
        <v>44196</v>
      </c>
      <c r="H131" s="33">
        <f t="shared" si="407"/>
        <v>44561</v>
      </c>
      <c r="I131" s="33">
        <f t="shared" si="407"/>
        <v>44926</v>
      </c>
      <c r="J131" s="33">
        <f t="shared" si="407"/>
        <v>45291</v>
      </c>
      <c r="K131" s="33">
        <f t="shared" si="407"/>
        <v>45657</v>
      </c>
      <c r="L131" s="33">
        <f t="shared" si="407"/>
        <v>46022</v>
      </c>
      <c r="M131" s="33"/>
      <c r="O131" s="33">
        <f t="shared" ref="O131:AU131" si="408">O3</f>
        <v>43190</v>
      </c>
      <c r="P131" s="33">
        <f t="shared" si="408"/>
        <v>43281</v>
      </c>
      <c r="Q131" s="33">
        <f t="shared" si="408"/>
        <v>43373</v>
      </c>
      <c r="R131" s="33">
        <f t="shared" si="408"/>
        <v>43465</v>
      </c>
      <c r="S131" s="33">
        <f t="shared" si="408"/>
        <v>43555</v>
      </c>
      <c r="T131" s="33">
        <f t="shared" si="408"/>
        <v>43646</v>
      </c>
      <c r="U131" s="33">
        <f t="shared" si="408"/>
        <v>43738</v>
      </c>
      <c r="V131" s="33">
        <f t="shared" si="408"/>
        <v>43830</v>
      </c>
      <c r="W131" s="33">
        <f t="shared" si="408"/>
        <v>43921</v>
      </c>
      <c r="X131" s="33">
        <f t="shared" si="408"/>
        <v>44012</v>
      </c>
      <c r="Y131" s="33">
        <f t="shared" si="408"/>
        <v>44104</v>
      </c>
      <c r="Z131" s="33">
        <f t="shared" si="408"/>
        <v>44196</v>
      </c>
      <c r="AA131" s="33">
        <f t="shared" si="408"/>
        <v>44286</v>
      </c>
      <c r="AB131" s="33">
        <f t="shared" si="408"/>
        <v>44377</v>
      </c>
      <c r="AC131" s="33">
        <f t="shared" si="408"/>
        <v>44469</v>
      </c>
      <c r="AD131" s="33">
        <f t="shared" si="408"/>
        <v>44561</v>
      </c>
      <c r="AE131" s="33">
        <f t="shared" si="408"/>
        <v>44651</v>
      </c>
      <c r="AF131" s="33">
        <f t="shared" si="408"/>
        <v>44742</v>
      </c>
      <c r="AG131" s="33">
        <f t="shared" si="408"/>
        <v>44834</v>
      </c>
      <c r="AH131" s="33">
        <f t="shared" si="408"/>
        <v>44926</v>
      </c>
      <c r="AI131" s="33">
        <f t="shared" si="408"/>
        <v>45016</v>
      </c>
      <c r="AJ131" s="33">
        <f t="shared" si="408"/>
        <v>45107</v>
      </c>
      <c r="AK131" s="33">
        <f t="shared" si="408"/>
        <v>45199</v>
      </c>
      <c r="AL131" s="33">
        <f t="shared" si="408"/>
        <v>45291</v>
      </c>
      <c r="AM131" s="33">
        <f t="shared" si="408"/>
        <v>45382</v>
      </c>
      <c r="AN131" s="33">
        <f t="shared" si="408"/>
        <v>45473</v>
      </c>
      <c r="AO131" s="33">
        <f t="shared" si="408"/>
        <v>45565</v>
      </c>
      <c r="AP131" s="33">
        <f t="shared" si="408"/>
        <v>45657</v>
      </c>
      <c r="AQ131" s="33">
        <f t="shared" si="408"/>
        <v>45747</v>
      </c>
      <c r="AR131" s="33">
        <f t="shared" si="408"/>
        <v>45838</v>
      </c>
      <c r="AS131" s="33">
        <f t="shared" si="408"/>
        <v>45930</v>
      </c>
      <c r="AT131" s="33">
        <f t="shared" si="408"/>
        <v>46022</v>
      </c>
      <c r="AU131" s="33">
        <f t="shared" si="408"/>
        <v>46112</v>
      </c>
    </row>
    <row r="132" spans="2:47" ht="13.5" customHeight="1" x14ac:dyDescent="0.35">
      <c r="B132" s="26"/>
    </row>
    <row r="133" spans="2:47" ht="13.5" customHeight="1" x14ac:dyDescent="0.35">
      <c r="B133" s="26" t="s">
        <v>342</v>
      </c>
      <c r="C133" s="346">
        <f t="shared" ref="C133:M133" si="409">(C109-C122)/C87</f>
        <v>1.8527153012273543</v>
      </c>
      <c r="D133" s="346">
        <f t="shared" si="409"/>
        <v>2.2560707206103414</v>
      </c>
      <c r="E133" s="346">
        <f t="shared" si="409"/>
        <v>1.9201758131002733</v>
      </c>
      <c r="F133" s="346">
        <f t="shared" si="409"/>
        <v>1.6777882247727722</v>
      </c>
      <c r="G133" s="346">
        <f t="shared" si="409"/>
        <v>1.9763213408140714</v>
      </c>
      <c r="H133" s="346">
        <f t="shared" si="409"/>
        <v>2.4801082076409697</v>
      </c>
      <c r="I133" s="346">
        <f t="shared" si="409"/>
        <v>2.7205131025925637</v>
      </c>
      <c r="J133" s="346">
        <f t="shared" si="409"/>
        <v>2.8652808009790793</v>
      </c>
      <c r="K133" s="346">
        <f t="shared" si="409"/>
        <v>2.6275382003176548</v>
      </c>
      <c r="L133" s="346">
        <f t="shared" si="409"/>
        <v>2.6394903898593629</v>
      </c>
      <c r="M133" s="346"/>
      <c r="N133" s="409"/>
      <c r="O133" s="347"/>
      <c r="P133" s="347"/>
      <c r="Q133" s="347"/>
      <c r="R133" s="346">
        <f t="shared" ref="R133:AU133" si="410">(R109-R122)/R87</f>
        <v>1.9201758131002733</v>
      </c>
      <c r="S133" s="346">
        <f t="shared" si="410"/>
        <v>1.7671946420472033</v>
      </c>
      <c r="T133" s="346">
        <f t="shared" si="410"/>
        <v>1.6972800740485323</v>
      </c>
      <c r="U133" s="346">
        <f t="shared" si="410"/>
        <v>1.6327430318541871</v>
      </c>
      <c r="V133" s="346">
        <f t="shared" si="410"/>
        <v>1.6777882247727722</v>
      </c>
      <c r="W133" s="346">
        <f t="shared" si="410"/>
        <v>1.6996285098200676</v>
      </c>
      <c r="X133" s="346">
        <f t="shared" si="410"/>
        <v>1.7828210404481533</v>
      </c>
      <c r="Y133" s="346">
        <f t="shared" si="410"/>
        <v>1.7602573977888498</v>
      </c>
      <c r="Z133" s="346">
        <f t="shared" si="410"/>
        <v>1.9763213408140714</v>
      </c>
      <c r="AA133" s="346">
        <f t="shared" si="410"/>
        <v>2.1630139090706804</v>
      </c>
      <c r="AB133" s="346">
        <f t="shared" si="410"/>
        <v>2.3388261473138701</v>
      </c>
      <c r="AC133" s="346">
        <f t="shared" si="410"/>
        <v>2.6250619953204763</v>
      </c>
      <c r="AD133" s="346">
        <f t="shared" si="410"/>
        <v>2.4801082076409697</v>
      </c>
      <c r="AE133" s="346">
        <f t="shared" si="410"/>
        <v>2.6585613302756097</v>
      </c>
      <c r="AF133" s="346">
        <f t="shared" si="410"/>
        <v>2.8679063117835706</v>
      </c>
      <c r="AG133" s="346">
        <f t="shared" si="410"/>
        <v>2.9872284366749486</v>
      </c>
      <c r="AH133" s="346">
        <f t="shared" si="410"/>
        <v>2.7205131025925637</v>
      </c>
      <c r="AI133" s="346">
        <f t="shared" si="410"/>
        <v>2.7302616010484586</v>
      </c>
      <c r="AJ133" s="346">
        <f t="shared" si="410"/>
        <v>2.8422636225610796</v>
      </c>
      <c r="AK133" s="346">
        <f t="shared" si="410"/>
        <v>2.8878743822268582</v>
      </c>
      <c r="AL133" s="346">
        <f t="shared" si="410"/>
        <v>2.8652808009790793</v>
      </c>
      <c r="AM133" s="346">
        <f t="shared" si="410"/>
        <v>2.7934414943965939</v>
      </c>
      <c r="AN133" s="346">
        <f t="shared" si="410"/>
        <v>2.7426410804105843</v>
      </c>
      <c r="AO133" s="346">
        <f t="shared" si="410"/>
        <v>2.5548393880411076</v>
      </c>
      <c r="AP133" s="346">
        <f t="shared" si="410"/>
        <v>2.6275382003176548</v>
      </c>
      <c r="AQ133" s="346">
        <f t="shared" si="410"/>
        <v>2.5891254126181877</v>
      </c>
      <c r="AR133" s="346">
        <f t="shared" si="410"/>
        <v>2.6582628714544811</v>
      </c>
      <c r="AS133" s="346">
        <f t="shared" si="410"/>
        <v>2.6210537198406163</v>
      </c>
      <c r="AT133" s="346">
        <f t="shared" si="410"/>
        <v>2.6394903898593625</v>
      </c>
      <c r="AU133" s="346">
        <f t="shared" si="410"/>
        <v>2.3460808449953894</v>
      </c>
    </row>
    <row r="134" spans="2:47" s="6" customFormat="1" ht="13.5" customHeight="1" x14ac:dyDescent="0.3">
      <c r="B134" s="45" t="s">
        <v>343</v>
      </c>
      <c r="C134" s="52">
        <f t="shared" ref="C134:M134" si="411">C109/C87</f>
        <v>2.0254469751290136</v>
      </c>
      <c r="D134" s="52">
        <f t="shared" si="411"/>
        <v>2.4665175802476069</v>
      </c>
      <c r="E134" s="52">
        <f t="shared" si="411"/>
        <v>2.2768073942780975</v>
      </c>
      <c r="F134" s="52">
        <f t="shared" si="411"/>
        <v>1.7869285062666118</v>
      </c>
      <c r="G134" s="52">
        <f t="shared" si="411"/>
        <v>2.2416932500666045</v>
      </c>
      <c r="H134" s="52">
        <f t="shared" si="411"/>
        <v>2.8036344549331327</v>
      </c>
      <c r="I134" s="52">
        <f t="shared" si="411"/>
        <v>2.9485232764130096</v>
      </c>
      <c r="J134" s="52">
        <f t="shared" si="411"/>
        <v>3.0696986098400645</v>
      </c>
      <c r="K134" s="52">
        <f t="shared" si="411"/>
        <v>2.8735093420073583</v>
      </c>
      <c r="L134" s="52">
        <f t="shared" si="411"/>
        <v>2.9251400604371054</v>
      </c>
      <c r="M134" s="52"/>
      <c r="N134" s="410"/>
      <c r="O134" s="53"/>
      <c r="P134" s="53"/>
      <c r="Q134" s="53"/>
      <c r="R134" s="52">
        <f t="shared" ref="R134:AU134" si="412">R109/R87</f>
        <v>2.2768073942780975</v>
      </c>
      <c r="S134" s="52">
        <f t="shared" si="412"/>
        <v>2.0072973094339654</v>
      </c>
      <c r="T134" s="52">
        <f t="shared" si="412"/>
        <v>1.8635422674236963</v>
      </c>
      <c r="U134" s="52">
        <f t="shared" si="412"/>
        <v>1.7905674803125031</v>
      </c>
      <c r="V134" s="52">
        <f t="shared" si="412"/>
        <v>1.7869285062666118</v>
      </c>
      <c r="W134" s="52">
        <f t="shared" si="412"/>
        <v>1.8892032066012425</v>
      </c>
      <c r="X134" s="52">
        <f t="shared" si="412"/>
        <v>1.9777810206858415</v>
      </c>
      <c r="Y134" s="52">
        <f t="shared" si="412"/>
        <v>2.1986217162818269</v>
      </c>
      <c r="Z134" s="52">
        <f t="shared" si="412"/>
        <v>2.2416932500666045</v>
      </c>
      <c r="AA134" s="52">
        <f t="shared" si="412"/>
        <v>2.3660907237806446</v>
      </c>
      <c r="AB134" s="52">
        <f t="shared" si="412"/>
        <v>2.5406126271955913</v>
      </c>
      <c r="AC134" s="52">
        <f t="shared" si="412"/>
        <v>2.7963470153541308</v>
      </c>
      <c r="AD134" s="52">
        <f t="shared" si="412"/>
        <v>2.8036344549331327</v>
      </c>
      <c r="AE134" s="52">
        <f t="shared" si="412"/>
        <v>2.8532109143227187</v>
      </c>
      <c r="AF134" s="52">
        <f t="shared" si="412"/>
        <v>3.0737502945123429</v>
      </c>
      <c r="AG134" s="52">
        <f t="shared" si="412"/>
        <v>3.170958013691763</v>
      </c>
      <c r="AH134" s="52">
        <f t="shared" si="412"/>
        <v>2.9485232764130096</v>
      </c>
      <c r="AI134" s="52">
        <f t="shared" si="412"/>
        <v>2.9334625631126645</v>
      </c>
      <c r="AJ134" s="52">
        <f t="shared" si="412"/>
        <v>3.1630866587087749</v>
      </c>
      <c r="AK134" s="52">
        <f t="shared" si="412"/>
        <v>3.0889143978703162</v>
      </c>
      <c r="AL134" s="52">
        <f t="shared" si="412"/>
        <v>3.0696986098400645</v>
      </c>
      <c r="AM134" s="52">
        <f t="shared" si="412"/>
        <v>2.9998785888360722</v>
      </c>
      <c r="AN134" s="52">
        <f t="shared" si="412"/>
        <v>2.9647460510057533</v>
      </c>
      <c r="AO134" s="52">
        <f t="shared" si="412"/>
        <v>2.8148549625553327</v>
      </c>
      <c r="AP134" s="52">
        <f t="shared" si="412"/>
        <v>2.8735093420073583</v>
      </c>
      <c r="AQ134" s="52">
        <f t="shared" si="412"/>
        <v>2.8063097225489813</v>
      </c>
      <c r="AR134" s="52">
        <f t="shared" si="412"/>
        <v>2.8828886028260077</v>
      </c>
      <c r="AS134" s="52">
        <f t="shared" si="412"/>
        <v>2.9429733763962322</v>
      </c>
      <c r="AT134" s="52">
        <f t="shared" si="412"/>
        <v>2.9251400604371049</v>
      </c>
      <c r="AU134" s="52">
        <f t="shared" si="412"/>
        <v>2.82176628756531</v>
      </c>
    </row>
    <row r="135" spans="2:47" ht="13.5" customHeight="1" x14ac:dyDescent="0.35">
      <c r="B135" s="26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4"/>
      <c r="P135" s="54"/>
      <c r="Q135" s="54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</row>
    <row r="136" spans="2:47" s="6" customFormat="1" ht="13.5" customHeight="1" x14ac:dyDescent="0.3">
      <c r="B136" s="26" t="s">
        <v>344</v>
      </c>
      <c r="C136" s="346">
        <f t="shared" ref="C136:M136" si="413">C123/C87</f>
        <v>1.8527153012273543</v>
      </c>
      <c r="D136" s="346">
        <f t="shared" si="413"/>
        <v>2.2560707206103414</v>
      </c>
      <c r="E136" s="346">
        <f t="shared" si="413"/>
        <v>1.9201758131002733</v>
      </c>
      <c r="F136" s="346">
        <f t="shared" si="413"/>
        <v>1.7259737824486354</v>
      </c>
      <c r="G136" s="346">
        <f t="shared" si="413"/>
        <v>2.0378711578482287</v>
      </c>
      <c r="H136" s="346">
        <f t="shared" si="413"/>
        <v>2.7454425496871866</v>
      </c>
      <c r="I136" s="346">
        <f t="shared" si="413"/>
        <v>3.9636440561720909</v>
      </c>
      <c r="J136" s="346">
        <f t="shared" si="413"/>
        <v>4.4989095352035795</v>
      </c>
      <c r="K136" s="346">
        <f t="shared" si="413"/>
        <v>4.4848167009999669</v>
      </c>
      <c r="L136" s="346">
        <f t="shared" si="413"/>
        <v>4.6327507537976098</v>
      </c>
      <c r="M136" s="346"/>
      <c r="N136" s="409"/>
      <c r="O136" s="347"/>
      <c r="P136" s="347"/>
      <c r="Q136" s="347"/>
      <c r="R136" s="346">
        <f t="shared" ref="R136:AU136" si="414">R123/R87</f>
        <v>1.9201758131002733</v>
      </c>
      <c r="S136" s="346">
        <f t="shared" si="414"/>
        <v>1.8149165245318295</v>
      </c>
      <c r="T136" s="346">
        <f t="shared" si="414"/>
        <v>1.7439274555505393</v>
      </c>
      <c r="U136" s="346">
        <f t="shared" si="414"/>
        <v>1.6779458371613638</v>
      </c>
      <c r="V136" s="346">
        <f t="shared" si="414"/>
        <v>1.7259737824486354</v>
      </c>
      <c r="W136" s="346">
        <f t="shared" si="414"/>
        <v>1.7495656290134511</v>
      </c>
      <c r="X136" s="346">
        <f t="shared" si="414"/>
        <v>1.8375436635505999</v>
      </c>
      <c r="Y136" s="346">
        <f t="shared" si="414"/>
        <v>1.8180347095609597</v>
      </c>
      <c r="Z136" s="346">
        <f t="shared" si="414"/>
        <v>2.0378711578482287</v>
      </c>
      <c r="AA136" s="346">
        <f t="shared" si="414"/>
        <v>2.2285272879246292</v>
      </c>
      <c r="AB136" s="346">
        <f t="shared" si="414"/>
        <v>2.4100687549255344</v>
      </c>
      <c r="AC136" s="346">
        <f t="shared" si="414"/>
        <v>2.8146408709688817</v>
      </c>
      <c r="AD136" s="346">
        <f t="shared" si="414"/>
        <v>2.7454425496871866</v>
      </c>
      <c r="AE136" s="346">
        <f t="shared" si="414"/>
        <v>2.9581519403750995</v>
      </c>
      <c r="AF136" s="346">
        <f t="shared" si="414"/>
        <v>3.7448059803931657</v>
      </c>
      <c r="AG136" s="346">
        <f t="shared" si="414"/>
        <v>4.014722604865546</v>
      </c>
      <c r="AH136" s="346">
        <f t="shared" si="414"/>
        <v>3.9636440561720909</v>
      </c>
      <c r="AI136" s="346">
        <f t="shared" si="414"/>
        <v>3.6544146938409723</v>
      </c>
      <c r="AJ136" s="346">
        <f t="shared" si="414"/>
        <v>4.3747639341778317</v>
      </c>
      <c r="AK136" s="346">
        <f t="shared" si="414"/>
        <v>4.3759818685879059</v>
      </c>
      <c r="AL136" s="346">
        <f t="shared" si="414"/>
        <v>4.4989095352035795</v>
      </c>
      <c r="AM136" s="346">
        <f t="shared" si="414"/>
        <v>4.5033162779787013</v>
      </c>
      <c r="AN136" s="346">
        <f t="shared" si="414"/>
        <v>4.4829005743894106</v>
      </c>
      <c r="AO136" s="346">
        <f t="shared" si="414"/>
        <v>4.4183349452856255</v>
      </c>
      <c r="AP136" s="346">
        <f t="shared" si="414"/>
        <v>4.4848167009999669</v>
      </c>
      <c r="AQ136" s="346">
        <f t="shared" si="414"/>
        <v>4.4760428567859858</v>
      </c>
      <c r="AR136" s="346">
        <f t="shared" si="414"/>
        <v>4.6159816506269635</v>
      </c>
      <c r="AS136" s="346">
        <f t="shared" si="414"/>
        <v>4.6324231054071614</v>
      </c>
      <c r="AT136" s="346">
        <f t="shared" si="414"/>
        <v>4.6327507537976089</v>
      </c>
      <c r="AU136" s="346">
        <f t="shared" si="414"/>
        <v>4.3825071936500626</v>
      </c>
    </row>
    <row r="137" spans="2:47" ht="13.5" customHeight="1" x14ac:dyDescent="0.35">
      <c r="B137" s="45" t="s">
        <v>345</v>
      </c>
      <c r="C137" s="51">
        <f t="shared" ref="C137:M137" si="415">C124/C87</f>
        <v>2.0254469751290136</v>
      </c>
      <c r="D137" s="51">
        <f t="shared" si="415"/>
        <v>2.4665175802476069</v>
      </c>
      <c r="E137" s="51">
        <f t="shared" si="415"/>
        <v>2.2768073942780975</v>
      </c>
      <c r="F137" s="51">
        <f t="shared" si="415"/>
        <v>1.835114063942475</v>
      </c>
      <c r="G137" s="51">
        <f t="shared" si="415"/>
        <v>2.303243067100762</v>
      </c>
      <c r="H137" s="51">
        <f t="shared" si="415"/>
        <v>3.0689687969793495</v>
      </c>
      <c r="I137" s="51">
        <f t="shared" si="415"/>
        <v>4.1916542299925368</v>
      </c>
      <c r="J137" s="51">
        <f t="shared" si="415"/>
        <v>4.7033273440645651</v>
      </c>
      <c r="K137" s="51">
        <f t="shared" si="415"/>
        <v>4.7307878426896703</v>
      </c>
      <c r="L137" s="51">
        <f t="shared" si="415"/>
        <v>4.9184004243753519</v>
      </c>
      <c r="M137" s="51"/>
      <c r="N137" s="51"/>
      <c r="O137" s="54"/>
      <c r="P137" s="54"/>
      <c r="Q137" s="54"/>
      <c r="R137" s="51">
        <f t="shared" ref="R137:AU137" si="416">R124/R87</f>
        <v>2.2768073942780975</v>
      </c>
      <c r="S137" s="51">
        <f t="shared" si="416"/>
        <v>2.0550191919185914</v>
      </c>
      <c r="T137" s="51">
        <f t="shared" si="416"/>
        <v>1.9101896489257033</v>
      </c>
      <c r="U137" s="51">
        <f t="shared" si="416"/>
        <v>1.8357702856196798</v>
      </c>
      <c r="V137" s="51">
        <f t="shared" si="416"/>
        <v>1.835114063942475</v>
      </c>
      <c r="W137" s="51">
        <f t="shared" si="416"/>
        <v>1.939140325794626</v>
      </c>
      <c r="X137" s="51">
        <f t="shared" si="416"/>
        <v>2.0325036437882886</v>
      </c>
      <c r="Y137" s="51">
        <f t="shared" si="416"/>
        <v>2.2563990280539366</v>
      </c>
      <c r="Z137" s="51">
        <f t="shared" si="416"/>
        <v>2.303243067100762</v>
      </c>
      <c r="AA137" s="51">
        <f t="shared" si="416"/>
        <v>2.4316041026345934</v>
      </c>
      <c r="AB137" s="51">
        <f t="shared" si="416"/>
        <v>2.6118552348072557</v>
      </c>
      <c r="AC137" s="51">
        <f t="shared" si="416"/>
        <v>2.9859258910025361</v>
      </c>
      <c r="AD137" s="51">
        <f t="shared" si="416"/>
        <v>3.0689687969793495</v>
      </c>
      <c r="AE137" s="51">
        <f t="shared" si="416"/>
        <v>3.1528015244222081</v>
      </c>
      <c r="AF137" s="51">
        <f t="shared" si="416"/>
        <v>3.9506499631219385</v>
      </c>
      <c r="AG137" s="51">
        <f t="shared" si="416"/>
        <v>4.1984521818823604</v>
      </c>
      <c r="AH137" s="51">
        <f t="shared" si="416"/>
        <v>4.1916542299925368</v>
      </c>
      <c r="AI137" s="51">
        <f t="shared" si="416"/>
        <v>3.8576156559051782</v>
      </c>
      <c r="AJ137" s="51">
        <f t="shared" si="416"/>
        <v>4.6955869703255271</v>
      </c>
      <c r="AK137" s="51">
        <f t="shared" si="416"/>
        <v>4.5770218842313648</v>
      </c>
      <c r="AL137" s="51">
        <f t="shared" si="416"/>
        <v>4.7033273440645651</v>
      </c>
      <c r="AM137" s="51">
        <f t="shared" si="416"/>
        <v>4.7097533724181799</v>
      </c>
      <c r="AN137" s="51">
        <f t="shared" si="416"/>
        <v>4.70500554498458</v>
      </c>
      <c r="AO137" s="51">
        <f t="shared" si="416"/>
        <v>4.6783505197998503</v>
      </c>
      <c r="AP137" s="51">
        <f t="shared" si="416"/>
        <v>4.7307878426896703</v>
      </c>
      <c r="AQ137" s="51">
        <f t="shared" si="416"/>
        <v>4.6932271667167793</v>
      </c>
      <c r="AR137" s="51">
        <f t="shared" si="416"/>
        <v>4.8406073819984901</v>
      </c>
      <c r="AS137" s="51">
        <f t="shared" si="416"/>
        <v>4.9543427619627769</v>
      </c>
      <c r="AT137" s="51">
        <f t="shared" si="416"/>
        <v>4.9184004243753519</v>
      </c>
      <c r="AU137" s="51">
        <f t="shared" si="416"/>
        <v>4.8581926362199832</v>
      </c>
    </row>
    <row r="138" spans="2:47" ht="13.5" customHeight="1" x14ac:dyDescent="0.35">
      <c r="B138" s="4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6"/>
      <c r="P138" s="56"/>
      <c r="Q138" s="56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</row>
    <row r="139" spans="2:47" ht="13.5" hidden="1" customHeight="1" outlineLevel="1" x14ac:dyDescent="0.35">
      <c r="B139" s="45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4"/>
      <c r="P139" s="54"/>
      <c r="Q139" s="54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</row>
    <row r="140" spans="2:47" ht="13.5" hidden="1" customHeight="1" outlineLevel="1" x14ac:dyDescent="0.35">
      <c r="B140" s="45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4"/>
      <c r="P140" s="54"/>
      <c r="Q140" s="54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</row>
    <row r="141" spans="2:47" ht="13.5" customHeight="1" collapsed="1" x14ac:dyDescent="0.35">
      <c r="B141" s="26" t="s">
        <v>346</v>
      </c>
      <c r="C141" s="346">
        <f t="shared" ref="C141:M141" si="417">(C87-C90)/C88</f>
        <v>3.5511038333579887</v>
      </c>
      <c r="D141" s="346">
        <f t="shared" si="417"/>
        <v>2.0492996532700434</v>
      </c>
      <c r="E141" s="346">
        <f t="shared" si="417"/>
        <v>3.4097925662615363</v>
      </c>
      <c r="F141" s="346">
        <f t="shared" si="417"/>
        <v>3.4783761448697992</v>
      </c>
      <c r="G141" s="346">
        <f t="shared" si="417"/>
        <v>1.969696687740746</v>
      </c>
      <c r="H141" s="346">
        <f t="shared" si="417"/>
        <v>-2.2942586076946219</v>
      </c>
      <c r="I141" s="346">
        <f t="shared" si="417"/>
        <v>-1.8445745951790284</v>
      </c>
      <c r="J141" s="346">
        <f t="shared" si="417"/>
        <v>0.89200486993702843</v>
      </c>
      <c r="K141" s="346">
        <f t="shared" si="417"/>
        <v>2.296316938835671</v>
      </c>
      <c r="L141" s="346">
        <f t="shared" si="417"/>
        <v>3.1187256065725002</v>
      </c>
      <c r="M141" s="346"/>
      <c r="N141" s="409"/>
      <c r="O141" s="347"/>
      <c r="P141" s="347"/>
      <c r="Q141" s="347"/>
      <c r="R141" s="346">
        <f t="shared" ref="R141:AU141" si="418">(R87-R90)/R88</f>
        <v>3.4097925662615363</v>
      </c>
      <c r="S141" s="346">
        <f t="shared" si="418"/>
        <v>3.338954721406493</v>
      </c>
      <c r="T141" s="346">
        <f t="shared" si="418"/>
        <v>4.418936084675618</v>
      </c>
      <c r="U141" s="346">
        <f t="shared" si="418"/>
        <v>4.1973116553550751</v>
      </c>
      <c r="V141" s="346">
        <f t="shared" si="418"/>
        <v>3.4783761448697992</v>
      </c>
      <c r="W141" s="346">
        <f t="shared" si="418"/>
        <v>3.3881755310793258</v>
      </c>
      <c r="X141" s="346">
        <f t="shared" si="418"/>
        <v>3.3524236059450114</v>
      </c>
      <c r="Y141" s="346">
        <f t="shared" si="418"/>
        <v>3.2134007836611787</v>
      </c>
      <c r="Z141" s="346">
        <f t="shared" si="418"/>
        <v>1.9696966877407471</v>
      </c>
      <c r="AA141" s="346">
        <f t="shared" si="418"/>
        <v>0.38897499292187471</v>
      </c>
      <c r="AB141" s="346">
        <f t="shared" si="418"/>
        <v>-1.4825135038554984</v>
      </c>
      <c r="AC141" s="346">
        <f t="shared" si="418"/>
        <v>-2.4766297423801626</v>
      </c>
      <c r="AD141" s="346">
        <f t="shared" si="418"/>
        <v>-2.2942586076946219</v>
      </c>
      <c r="AE141" s="346">
        <f t="shared" si="418"/>
        <v>-2.22468078225574</v>
      </c>
      <c r="AF141" s="346">
        <f t="shared" si="418"/>
        <v>-2.1156101043760995</v>
      </c>
      <c r="AG141" s="346">
        <f t="shared" si="418"/>
        <v>-2.128678725494547</v>
      </c>
      <c r="AH141" s="346">
        <f t="shared" si="418"/>
        <v>-1.8445745951790284</v>
      </c>
      <c r="AI141" s="346">
        <f t="shared" si="418"/>
        <v>-1.3199111844901412</v>
      </c>
      <c r="AJ141" s="346">
        <f t="shared" si="418"/>
        <v>-0.75586364305239484</v>
      </c>
      <c r="AK141" s="346">
        <f t="shared" si="418"/>
        <v>-4.4687339154545307E-2</v>
      </c>
      <c r="AL141" s="346">
        <f t="shared" si="418"/>
        <v>0.89200486993702843</v>
      </c>
      <c r="AM141" s="346">
        <f t="shared" si="418"/>
        <v>1.2013901267329334</v>
      </c>
      <c r="AN141" s="346">
        <f t="shared" si="418"/>
        <v>1.7126795701062389</v>
      </c>
      <c r="AO141" s="346">
        <f t="shared" si="418"/>
        <v>2.0791712661666679</v>
      </c>
      <c r="AP141" s="346">
        <f t="shared" si="418"/>
        <v>2.296316938835671</v>
      </c>
      <c r="AQ141" s="346">
        <f t="shared" si="418"/>
        <v>2.6142724151434433</v>
      </c>
      <c r="AR141" s="346">
        <f t="shared" si="418"/>
        <v>2.9059005361387968</v>
      </c>
      <c r="AS141" s="346">
        <f t="shared" si="418"/>
        <v>2.9324614495172519</v>
      </c>
      <c r="AT141" s="346">
        <f t="shared" si="418"/>
        <v>3.1187256065725011</v>
      </c>
      <c r="AU141" s="346">
        <f t="shared" si="418"/>
        <v>2.9237338927180119</v>
      </c>
    </row>
    <row r="142" spans="2:47" ht="13.5" customHeight="1" x14ac:dyDescent="0.35">
      <c r="B142" s="45" t="s">
        <v>347</v>
      </c>
      <c r="C142" s="51">
        <f t="shared" ref="C142:M142" si="419">(C87)/C88</f>
        <v>13.108977445959798</v>
      </c>
      <c r="D142" s="51">
        <f t="shared" si="419"/>
        <v>9.651619560297112</v>
      </c>
      <c r="E142" s="51">
        <f t="shared" si="419"/>
        <v>9.8563889421944779</v>
      </c>
      <c r="F142" s="51">
        <f t="shared" si="419"/>
        <v>10.512336865170449</v>
      </c>
      <c r="G142" s="51">
        <f t="shared" si="419"/>
        <v>10.857139333649096</v>
      </c>
      <c r="H142" s="51">
        <f t="shared" si="419"/>
        <v>9.7394820264789743</v>
      </c>
      <c r="I142" s="51">
        <f t="shared" si="419"/>
        <v>8.0423764152985715</v>
      </c>
      <c r="J142" s="51">
        <f t="shared" si="419"/>
        <v>6.2404495387799308</v>
      </c>
      <c r="K142" s="51">
        <f t="shared" si="419"/>
        <v>6.2448990161805167</v>
      </c>
      <c r="L142" s="51">
        <f t="shared" si="419"/>
        <v>6.4110899808715729</v>
      </c>
      <c r="M142" s="51"/>
      <c r="N142" s="411"/>
      <c r="O142" s="54"/>
      <c r="P142" s="54"/>
      <c r="Q142" s="54"/>
      <c r="R142" s="51">
        <f t="shared" ref="R142:AU142" si="420">(R87)/R88</f>
        <v>9.8563889421944779</v>
      </c>
      <c r="S142" s="51">
        <f t="shared" si="420"/>
        <v>9.5039693356282449</v>
      </c>
      <c r="T142" s="51">
        <f t="shared" si="420"/>
        <v>9.7234430257376641</v>
      </c>
      <c r="U142" s="51">
        <f t="shared" si="420"/>
        <v>9.7796824561769053</v>
      </c>
      <c r="V142" s="51">
        <f t="shared" si="420"/>
        <v>10.512336865170449</v>
      </c>
      <c r="W142" s="51">
        <f t="shared" si="420"/>
        <v>10.897592641497837</v>
      </c>
      <c r="X142" s="51">
        <f t="shared" si="420"/>
        <v>11.021049010693154</v>
      </c>
      <c r="Y142" s="51">
        <f t="shared" si="420"/>
        <v>10.829830371650493</v>
      </c>
      <c r="Z142" s="51">
        <f t="shared" si="420"/>
        <v>10.857139333649096</v>
      </c>
      <c r="AA142" s="51">
        <f t="shared" si="420"/>
        <v>10.229877258007745</v>
      </c>
      <c r="AB142" s="51">
        <f t="shared" si="420"/>
        <v>10.705213713833441</v>
      </c>
      <c r="AC142" s="51">
        <f t="shared" si="420"/>
        <v>10.192842398676479</v>
      </c>
      <c r="AD142" s="51">
        <f t="shared" si="420"/>
        <v>9.7394820264789725</v>
      </c>
      <c r="AE142" s="51">
        <f t="shared" si="420"/>
        <v>9.3484437388487382</v>
      </c>
      <c r="AF142" s="51">
        <f t="shared" si="420"/>
        <v>8.9917281379058824</v>
      </c>
      <c r="AG142" s="51">
        <f t="shared" si="420"/>
        <v>8.4531072143917658</v>
      </c>
      <c r="AH142" s="51">
        <f t="shared" si="420"/>
        <v>8.0423764152985715</v>
      </c>
      <c r="AI142" s="51">
        <f t="shared" si="420"/>
        <v>7.6264202863722073</v>
      </c>
      <c r="AJ142" s="51">
        <f t="shared" si="420"/>
        <v>7.0277199613579224</v>
      </c>
      <c r="AK142" s="51">
        <f t="shared" si="420"/>
        <v>6.5656687329240464</v>
      </c>
      <c r="AL142" s="51">
        <f t="shared" si="420"/>
        <v>6.2404495387799308</v>
      </c>
      <c r="AM142" s="51">
        <f t="shared" si="420"/>
        <v>6.0233873066699157</v>
      </c>
      <c r="AN142" s="51">
        <f t="shared" si="420"/>
        <v>5.9229516939241362</v>
      </c>
      <c r="AO142" s="51">
        <f t="shared" si="420"/>
        <v>6.0167199440130954</v>
      </c>
      <c r="AP142" s="51">
        <f t="shared" si="420"/>
        <v>6.2448990161805167</v>
      </c>
      <c r="AQ142" s="51">
        <f t="shared" si="420"/>
        <v>6.1661433913560613</v>
      </c>
      <c r="AR142" s="51">
        <f t="shared" si="420"/>
        <v>6.3115906361117569</v>
      </c>
      <c r="AS142" s="51">
        <f t="shared" si="420"/>
        <v>6.3275220805323293</v>
      </c>
      <c r="AT142" s="51">
        <f t="shared" si="420"/>
        <v>6.4110899808715738</v>
      </c>
      <c r="AU142" s="51">
        <f t="shared" si="420"/>
        <v>6.5523799066606321</v>
      </c>
    </row>
    <row r="143" spans="2:47" s="6" customFormat="1" ht="13.5" customHeight="1" x14ac:dyDescent="0.3">
      <c r="B143" s="45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8"/>
      <c r="P143" s="58"/>
      <c r="Q143" s="58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</row>
    <row r="144" spans="2:47" ht="13.5" customHeight="1" x14ac:dyDescent="0.35">
      <c r="B144" s="26" t="s">
        <v>348</v>
      </c>
      <c r="C144" s="59">
        <f>C123/C127</f>
        <v>1.4587450132176887</v>
      </c>
      <c r="D144" s="59">
        <f t="shared" ref="D144:F144" si="421">D123/D127</f>
        <v>1.8075507134504889</v>
      </c>
      <c r="E144" s="59">
        <f t="shared" si="421"/>
        <v>1.7097281239194615</v>
      </c>
      <c r="F144" s="59">
        <f t="shared" si="421"/>
        <v>1.6151767430862707</v>
      </c>
      <c r="G144" s="59">
        <f t="shared" ref="G144:H144" si="422">G123/G127</f>
        <v>1.8091862432064358</v>
      </c>
      <c r="H144" s="59">
        <f t="shared" si="422"/>
        <v>1.8027151068054106</v>
      </c>
      <c r="I144" s="59">
        <f t="shared" ref="I144:J144" si="423">I123/I127</f>
        <v>2.0552462626580099</v>
      </c>
      <c r="J144" s="59">
        <f t="shared" si="423"/>
        <v>2.2906211217788979</v>
      </c>
      <c r="K144" s="59">
        <f t="shared" ref="K144:L144" si="424">K123/K127</f>
        <v>2.3205698722098673</v>
      </c>
      <c r="L144" s="59">
        <f t="shared" si="424"/>
        <v>2.3267164076311131</v>
      </c>
      <c r="M144" s="59"/>
      <c r="N144" s="20"/>
      <c r="O144" s="60"/>
      <c r="P144" s="60"/>
      <c r="Q144" s="60"/>
      <c r="R144" s="59">
        <f t="shared" ref="R144:W144" si="425">R123/R127</f>
        <v>1.7097281239194615</v>
      </c>
      <c r="S144" s="59">
        <f t="shared" si="425"/>
        <v>1.627586644967066</v>
      </c>
      <c r="T144" s="59">
        <f t="shared" si="425"/>
        <v>1.5672022622399255</v>
      </c>
      <c r="U144" s="59">
        <f t="shared" si="425"/>
        <v>1.5217726651556671</v>
      </c>
      <c r="V144" s="59">
        <f t="shared" si="425"/>
        <v>1.6151767430862707</v>
      </c>
      <c r="W144" s="59">
        <f t="shared" si="425"/>
        <v>1.5840582200078313</v>
      </c>
      <c r="X144" s="59">
        <f t="shared" ref="X144:AA144" si="426">X123/X127</f>
        <v>1.634902598019669</v>
      </c>
      <c r="Y144" s="59">
        <f t="shared" si="426"/>
        <v>1.5656448750167771</v>
      </c>
      <c r="Z144" s="59">
        <f t="shared" si="426"/>
        <v>1.8091862432064358</v>
      </c>
      <c r="AA144" s="59">
        <f t="shared" si="426"/>
        <v>1.8079085404258766</v>
      </c>
      <c r="AB144" s="59">
        <f t="shared" ref="AB144:AE144" si="427">AB123/AB127</f>
        <v>1.968568510475289</v>
      </c>
      <c r="AC144" s="59">
        <f t="shared" si="427"/>
        <v>2.6044975618271033</v>
      </c>
      <c r="AD144" s="59">
        <f t="shared" si="427"/>
        <v>1.8027151068054106</v>
      </c>
      <c r="AE144" s="59">
        <f t="shared" si="427"/>
        <v>1.8159714543645695</v>
      </c>
      <c r="AF144" s="59">
        <f t="shared" ref="AF144:AI144" si="428">AF123/AF127</f>
        <v>2.3267786058464681</v>
      </c>
      <c r="AG144" s="59">
        <f t="shared" si="428"/>
        <v>2.4601426819852654</v>
      </c>
      <c r="AH144" s="59">
        <f t="shared" si="428"/>
        <v>2.0552462626580099</v>
      </c>
      <c r="AI144" s="59">
        <f t="shared" si="428"/>
        <v>1.8631051283705531</v>
      </c>
      <c r="AJ144" s="59">
        <f t="shared" ref="AJ144:AM144" si="429">AJ123/AJ127</f>
        <v>2.1719309536921387</v>
      </c>
      <c r="AK144" s="59">
        <f t="shared" si="429"/>
        <v>2.1629599771246886</v>
      </c>
      <c r="AL144" s="59">
        <f t="shared" si="429"/>
        <v>2.2906211217788979</v>
      </c>
      <c r="AM144" s="59">
        <f t="shared" si="429"/>
        <v>2.2814377623498556</v>
      </c>
      <c r="AN144" s="59">
        <f t="shared" ref="AN144:AQ144" si="430">AN123/AN127</f>
        <v>2.2577514273572445</v>
      </c>
      <c r="AO144" s="59">
        <f t="shared" si="430"/>
        <v>2.2367499597125962</v>
      </c>
      <c r="AP144" s="59">
        <f t="shared" si="430"/>
        <v>2.3205698722098673</v>
      </c>
      <c r="AQ144" s="59">
        <f t="shared" si="430"/>
        <v>2.2530191680268037</v>
      </c>
      <c r="AR144" s="59">
        <f t="shared" ref="AR144:AU144" si="431">AR123/AR127</f>
        <v>2.2992928228182632</v>
      </c>
      <c r="AS144" s="59">
        <f t="shared" si="431"/>
        <v>2.2879810372460136</v>
      </c>
      <c r="AT144" s="59">
        <f t="shared" si="431"/>
        <v>2.3267164076311131</v>
      </c>
      <c r="AU144" s="59">
        <f t="shared" si="431"/>
        <v>1.9281275485428759</v>
      </c>
    </row>
    <row r="145" spans="2:47" ht="13.5" customHeight="1" x14ac:dyDescent="0.35">
      <c r="B145" s="26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</row>
    <row r="146" spans="2:47" ht="13.5" customHeight="1" x14ac:dyDescent="0.35">
      <c r="B146" s="61" t="s">
        <v>349</v>
      </c>
      <c r="C146" s="62">
        <f t="shared" ref="C146:M146" si="432">C3</f>
        <v>42735</v>
      </c>
      <c r="D146" s="62">
        <f t="shared" si="432"/>
        <v>43100</v>
      </c>
      <c r="E146" s="62">
        <f t="shared" si="432"/>
        <v>43465</v>
      </c>
      <c r="F146" s="62">
        <f t="shared" si="432"/>
        <v>43830</v>
      </c>
      <c r="G146" s="62">
        <f t="shared" si="432"/>
        <v>44196</v>
      </c>
      <c r="H146" s="62">
        <f t="shared" si="432"/>
        <v>44561</v>
      </c>
      <c r="I146" s="62">
        <f t="shared" si="432"/>
        <v>44926</v>
      </c>
      <c r="J146" s="62">
        <f t="shared" si="432"/>
        <v>45291</v>
      </c>
      <c r="K146" s="62">
        <f t="shared" si="432"/>
        <v>45657</v>
      </c>
      <c r="L146" s="62">
        <f t="shared" si="432"/>
        <v>46022</v>
      </c>
      <c r="M146" s="62"/>
      <c r="N146" s="412"/>
      <c r="O146" s="62">
        <f t="shared" ref="O146:AU146" si="433">O3</f>
        <v>43190</v>
      </c>
      <c r="P146" s="62">
        <f t="shared" si="433"/>
        <v>43281</v>
      </c>
      <c r="Q146" s="62">
        <f t="shared" si="433"/>
        <v>43373</v>
      </c>
      <c r="R146" s="62">
        <f t="shared" si="433"/>
        <v>43465</v>
      </c>
      <c r="S146" s="62">
        <f t="shared" si="433"/>
        <v>43555</v>
      </c>
      <c r="T146" s="62">
        <f t="shared" si="433"/>
        <v>43646</v>
      </c>
      <c r="U146" s="62">
        <f t="shared" si="433"/>
        <v>43738</v>
      </c>
      <c r="V146" s="62">
        <f t="shared" si="433"/>
        <v>43830</v>
      </c>
      <c r="W146" s="62">
        <f t="shared" si="433"/>
        <v>43921</v>
      </c>
      <c r="X146" s="62">
        <f t="shared" si="433"/>
        <v>44012</v>
      </c>
      <c r="Y146" s="62">
        <f t="shared" si="433"/>
        <v>44104</v>
      </c>
      <c r="Z146" s="62">
        <f t="shared" si="433"/>
        <v>44196</v>
      </c>
      <c r="AA146" s="62">
        <f t="shared" si="433"/>
        <v>44286</v>
      </c>
      <c r="AB146" s="62">
        <f t="shared" si="433"/>
        <v>44377</v>
      </c>
      <c r="AC146" s="62">
        <f t="shared" si="433"/>
        <v>44469</v>
      </c>
      <c r="AD146" s="62">
        <f t="shared" si="433"/>
        <v>44561</v>
      </c>
      <c r="AE146" s="62">
        <f t="shared" si="433"/>
        <v>44651</v>
      </c>
      <c r="AF146" s="62">
        <f t="shared" si="433"/>
        <v>44742</v>
      </c>
      <c r="AG146" s="62">
        <f t="shared" si="433"/>
        <v>44834</v>
      </c>
      <c r="AH146" s="62">
        <f t="shared" si="433"/>
        <v>44926</v>
      </c>
      <c r="AI146" s="62">
        <f t="shared" si="433"/>
        <v>45016</v>
      </c>
      <c r="AJ146" s="62">
        <f t="shared" si="433"/>
        <v>45107</v>
      </c>
      <c r="AK146" s="62">
        <f t="shared" si="433"/>
        <v>45199</v>
      </c>
      <c r="AL146" s="62">
        <f t="shared" si="433"/>
        <v>45291</v>
      </c>
      <c r="AM146" s="62">
        <f t="shared" si="433"/>
        <v>45382</v>
      </c>
      <c r="AN146" s="62">
        <f t="shared" si="433"/>
        <v>45473</v>
      </c>
      <c r="AO146" s="62">
        <f t="shared" si="433"/>
        <v>45565</v>
      </c>
      <c r="AP146" s="62">
        <f t="shared" si="433"/>
        <v>45657</v>
      </c>
      <c r="AQ146" s="62">
        <f t="shared" si="433"/>
        <v>45747</v>
      </c>
      <c r="AR146" s="62">
        <f t="shared" si="433"/>
        <v>45838</v>
      </c>
      <c r="AS146" s="62">
        <f t="shared" si="433"/>
        <v>45930</v>
      </c>
      <c r="AT146" s="62">
        <f t="shared" si="433"/>
        <v>46022</v>
      </c>
      <c r="AU146" s="62">
        <f t="shared" si="433"/>
        <v>46112</v>
      </c>
    </row>
    <row r="147" spans="2:47" ht="13.5" customHeight="1" x14ac:dyDescent="0.35">
      <c r="B147" s="10"/>
      <c r="C147" s="63" t="str">
        <f t="shared" ref="C147:M147" si="434">C4</f>
        <v>Act</v>
      </c>
      <c r="D147" s="63" t="str">
        <f t="shared" si="434"/>
        <v>Act</v>
      </c>
      <c r="E147" s="63" t="str">
        <f t="shared" si="434"/>
        <v>Act</v>
      </c>
      <c r="F147" s="63" t="str">
        <f t="shared" si="434"/>
        <v>Act</v>
      </c>
      <c r="G147" s="63" t="str">
        <f t="shared" si="434"/>
        <v>Act</v>
      </c>
      <c r="H147" s="63" t="str">
        <f t="shared" si="434"/>
        <v>Act</v>
      </c>
      <c r="I147" s="63" t="str">
        <f t="shared" si="434"/>
        <v>Act</v>
      </c>
      <c r="J147" s="63" t="str">
        <f t="shared" si="434"/>
        <v>Act</v>
      </c>
      <c r="K147" s="63" t="str">
        <f t="shared" si="434"/>
        <v>Act</v>
      </c>
      <c r="L147" s="63" t="str">
        <f t="shared" si="434"/>
        <v>Act</v>
      </c>
      <c r="M147" s="63"/>
      <c r="N147" s="412"/>
      <c r="O147" s="63" t="str">
        <f t="shared" ref="O147:AU147" si="435">O4</f>
        <v>Act</v>
      </c>
      <c r="P147" s="63" t="str">
        <f t="shared" si="435"/>
        <v>Act</v>
      </c>
      <c r="Q147" s="63" t="str">
        <f t="shared" si="435"/>
        <v>Act</v>
      </c>
      <c r="R147" s="63" t="str">
        <f t="shared" si="435"/>
        <v>Act</v>
      </c>
      <c r="S147" s="63" t="str">
        <f t="shared" si="435"/>
        <v>Act</v>
      </c>
      <c r="T147" s="63" t="str">
        <f t="shared" si="435"/>
        <v>Act</v>
      </c>
      <c r="U147" s="63" t="str">
        <f t="shared" si="435"/>
        <v>Act</v>
      </c>
      <c r="V147" s="63" t="str">
        <f t="shared" si="435"/>
        <v>Act</v>
      </c>
      <c r="W147" s="63" t="str">
        <f t="shared" si="435"/>
        <v>Act</v>
      </c>
      <c r="X147" s="63" t="str">
        <f t="shared" si="435"/>
        <v>Act</v>
      </c>
      <c r="Y147" s="63" t="str">
        <f t="shared" si="435"/>
        <v>Act</v>
      </c>
      <c r="Z147" s="63" t="str">
        <f t="shared" si="435"/>
        <v>Act</v>
      </c>
      <c r="AA147" s="63" t="str">
        <f t="shared" si="435"/>
        <v>Act</v>
      </c>
      <c r="AB147" s="63" t="str">
        <f t="shared" si="435"/>
        <v>Act</v>
      </c>
      <c r="AC147" s="63" t="str">
        <f t="shared" si="435"/>
        <v>Act</v>
      </c>
      <c r="AD147" s="63" t="str">
        <f t="shared" si="435"/>
        <v>Act</v>
      </c>
      <c r="AE147" s="63" t="str">
        <f t="shared" si="435"/>
        <v>Act</v>
      </c>
      <c r="AF147" s="63" t="str">
        <f t="shared" si="435"/>
        <v>Act</v>
      </c>
      <c r="AG147" s="63" t="str">
        <f t="shared" si="435"/>
        <v>Act</v>
      </c>
      <c r="AH147" s="63" t="str">
        <f t="shared" si="435"/>
        <v>Act</v>
      </c>
      <c r="AI147" s="63" t="str">
        <f t="shared" si="435"/>
        <v>Act</v>
      </c>
      <c r="AJ147" s="63" t="str">
        <f t="shared" si="435"/>
        <v>Act</v>
      </c>
      <c r="AK147" s="63" t="str">
        <f t="shared" si="435"/>
        <v>Act</v>
      </c>
      <c r="AL147" s="63" t="str">
        <f t="shared" si="435"/>
        <v>Act</v>
      </c>
      <c r="AM147" s="63" t="str">
        <f t="shared" si="435"/>
        <v>Act</v>
      </c>
      <c r="AN147" s="63" t="str">
        <f t="shared" si="435"/>
        <v>Act</v>
      </c>
      <c r="AO147" s="63" t="str">
        <f t="shared" si="435"/>
        <v>Act</v>
      </c>
      <c r="AP147" s="63" t="str">
        <f t="shared" si="435"/>
        <v>Act</v>
      </c>
      <c r="AQ147" s="63" t="str">
        <f t="shared" si="435"/>
        <v>Act</v>
      </c>
      <c r="AR147" s="63" t="str">
        <f t="shared" si="435"/>
        <v>Act</v>
      </c>
      <c r="AS147" s="63" t="str">
        <f t="shared" si="435"/>
        <v>Act</v>
      </c>
      <c r="AT147" s="63" t="str">
        <f t="shared" si="435"/>
        <v>Act</v>
      </c>
      <c r="AU147" s="63" t="str">
        <f t="shared" si="435"/>
        <v>Act</v>
      </c>
    </row>
    <row r="148" spans="2:47" ht="13.5" customHeight="1" x14ac:dyDescent="0.35">
      <c r="B148" s="3" t="s">
        <v>350</v>
      </c>
      <c r="C148" s="20">
        <f t="shared" ref="C148:M148" si="436">C84</f>
        <v>126781.66</v>
      </c>
      <c r="D148" s="20">
        <f t="shared" si="436"/>
        <v>135280.731</v>
      </c>
      <c r="E148" s="20">
        <f t="shared" si="436"/>
        <v>151172.80599999998</v>
      </c>
      <c r="F148" s="20">
        <f t="shared" si="436"/>
        <v>166660.337</v>
      </c>
      <c r="G148" s="20">
        <f t="shared" si="436"/>
        <v>160519.54199999999</v>
      </c>
      <c r="H148" s="20">
        <f t="shared" si="436"/>
        <v>168496.45800000001</v>
      </c>
      <c r="I148" s="20">
        <f t="shared" si="436"/>
        <v>175040.723</v>
      </c>
      <c r="J148" s="20">
        <f t="shared" si="436"/>
        <v>180164.45499999999</v>
      </c>
      <c r="K148" s="20">
        <f t="shared" si="436"/>
        <v>180586.06</v>
      </c>
      <c r="L148" s="20">
        <f t="shared" si="436"/>
        <v>178239.84399999998</v>
      </c>
      <c r="M148" s="20"/>
      <c r="N148" s="20"/>
      <c r="O148" s="42"/>
      <c r="P148" s="42"/>
      <c r="Q148" s="42"/>
      <c r="R148" s="20">
        <f t="shared" ref="R148:AU148" si="437">R84</f>
        <v>151172.80599999998</v>
      </c>
      <c r="S148" s="20">
        <f t="shared" si="437"/>
        <v>154871.24699999997</v>
      </c>
      <c r="T148" s="20">
        <f t="shared" si="437"/>
        <v>158247.859</v>
      </c>
      <c r="U148" s="20">
        <f t="shared" si="437"/>
        <v>162987.96799999999</v>
      </c>
      <c r="V148" s="20">
        <f t="shared" si="437"/>
        <v>166660.337</v>
      </c>
      <c r="W148" s="20">
        <f t="shared" si="437"/>
        <v>167215.62199999997</v>
      </c>
      <c r="X148" s="20">
        <f t="shared" si="437"/>
        <v>163953.44899999999</v>
      </c>
      <c r="Y148" s="20">
        <f t="shared" si="437"/>
        <v>162835.429</v>
      </c>
      <c r="Z148" s="20">
        <f t="shared" si="437"/>
        <v>160519.54199999999</v>
      </c>
      <c r="AA148" s="20">
        <f t="shared" si="437"/>
        <v>162175.27699999997</v>
      </c>
      <c r="AB148" s="20">
        <f t="shared" si="437"/>
        <v>166115.16299999997</v>
      </c>
      <c r="AC148" s="20">
        <f t="shared" si="437"/>
        <v>167080.59599999996</v>
      </c>
      <c r="AD148" s="20">
        <f t="shared" si="437"/>
        <v>168496.45799999998</v>
      </c>
      <c r="AE148" s="20">
        <f t="shared" si="437"/>
        <v>169206.247</v>
      </c>
      <c r="AF148" s="20">
        <f t="shared" si="437"/>
        <v>171408.57400000002</v>
      </c>
      <c r="AG148" s="20">
        <f t="shared" si="437"/>
        <v>172539.53600000002</v>
      </c>
      <c r="AH148" s="20">
        <f t="shared" si="437"/>
        <v>175040.72299999997</v>
      </c>
      <c r="AI148" s="20">
        <f t="shared" si="437"/>
        <v>176514.15499999997</v>
      </c>
      <c r="AJ148" s="20">
        <f t="shared" si="437"/>
        <v>177243.13399999999</v>
      </c>
      <c r="AK148" s="20">
        <f t="shared" si="437"/>
        <v>178635.98699999996</v>
      </c>
      <c r="AL148" s="20">
        <f t="shared" si="437"/>
        <v>180164.45499999999</v>
      </c>
      <c r="AM148" s="20">
        <f t="shared" si="437"/>
        <v>180441.769</v>
      </c>
      <c r="AN148" s="20">
        <f t="shared" si="437"/>
        <v>180265.43</v>
      </c>
      <c r="AO148" s="20">
        <f t="shared" si="437"/>
        <v>181116.24400000001</v>
      </c>
      <c r="AP148" s="20">
        <f t="shared" si="437"/>
        <v>180586.06</v>
      </c>
      <c r="AQ148" s="20">
        <f t="shared" si="437"/>
        <v>179034.11900000001</v>
      </c>
      <c r="AR148" s="20">
        <f t="shared" si="437"/>
        <v>178186.51</v>
      </c>
      <c r="AS148" s="20">
        <f t="shared" si="437"/>
        <v>177432.30299999999</v>
      </c>
      <c r="AT148" s="20">
        <f t="shared" si="437"/>
        <v>178239.84399999998</v>
      </c>
      <c r="AU148" s="20">
        <f t="shared" si="437"/>
        <v>180190.61499999999</v>
      </c>
    </row>
    <row r="149" spans="2:47" ht="13.5" customHeight="1" x14ac:dyDescent="0.35">
      <c r="B149" s="3" t="s">
        <v>351</v>
      </c>
      <c r="C149" s="20">
        <f t="shared" ref="C149:M149" si="438">C87</f>
        <v>49978.396000000001</v>
      </c>
      <c r="D149" s="20">
        <f t="shared" si="438"/>
        <v>53325.671000000002</v>
      </c>
      <c r="E149" s="20">
        <f t="shared" si="438"/>
        <v>65127.114999999998</v>
      </c>
      <c r="F149" s="20">
        <f t="shared" si="438"/>
        <v>76031.433000000005</v>
      </c>
      <c r="G149" s="20">
        <f t="shared" si="438"/>
        <v>73512.354999999996</v>
      </c>
      <c r="H149" s="20">
        <f t="shared" si="438"/>
        <v>74921.880999999994</v>
      </c>
      <c r="I149" s="20">
        <f t="shared" si="438"/>
        <v>79092.019</v>
      </c>
      <c r="J149" s="20">
        <f t="shared" si="438"/>
        <v>81426.745999999999</v>
      </c>
      <c r="K149" s="20">
        <f t="shared" si="438"/>
        <v>86813.676000000007</v>
      </c>
      <c r="L149" s="20">
        <f t="shared" si="438"/>
        <v>87624.316000000006</v>
      </c>
      <c r="M149" s="20"/>
      <c r="N149" s="20"/>
      <c r="O149" s="42"/>
      <c r="P149" s="42"/>
      <c r="Q149" s="42"/>
      <c r="R149" s="20">
        <f t="shared" ref="R149:AU149" si="439">R87</f>
        <v>65127.114999999998</v>
      </c>
      <c r="S149" s="20">
        <f t="shared" si="439"/>
        <v>68966.789000000004</v>
      </c>
      <c r="T149" s="20">
        <f t="shared" si="439"/>
        <v>70889.723999999987</v>
      </c>
      <c r="U149" s="20">
        <f t="shared" si="439"/>
        <v>73688.899999999994</v>
      </c>
      <c r="V149" s="20">
        <f t="shared" si="439"/>
        <v>76031.433000000005</v>
      </c>
      <c r="W149" s="20">
        <f t="shared" si="439"/>
        <v>76587.758000000016</v>
      </c>
      <c r="X149" s="20">
        <f t="shared" si="439"/>
        <v>75837.282000000007</v>
      </c>
      <c r="Y149" s="20">
        <f t="shared" si="439"/>
        <v>74429.233000000007</v>
      </c>
      <c r="Z149" s="20">
        <f t="shared" si="439"/>
        <v>73512.354999999996</v>
      </c>
      <c r="AA149" s="20">
        <f t="shared" si="439"/>
        <v>71324.606999999989</v>
      </c>
      <c r="AB149" s="20">
        <f t="shared" si="439"/>
        <v>72497.206000000006</v>
      </c>
      <c r="AC149" s="20">
        <f t="shared" si="439"/>
        <v>74172.937000000005</v>
      </c>
      <c r="AD149" s="20">
        <f t="shared" si="439"/>
        <v>74921.880999999994</v>
      </c>
      <c r="AE149" s="20">
        <f t="shared" si="439"/>
        <v>76314.290999999997</v>
      </c>
      <c r="AF149" s="20">
        <f t="shared" si="439"/>
        <v>78095.199999999895</v>
      </c>
      <c r="AG149" s="20">
        <f t="shared" si="439"/>
        <v>78324.319000000003</v>
      </c>
      <c r="AH149" s="20">
        <f t="shared" si="439"/>
        <v>79092.019</v>
      </c>
      <c r="AI149" s="20">
        <f t="shared" si="439"/>
        <v>79939.77900000001</v>
      </c>
      <c r="AJ149" s="20">
        <f t="shared" si="439"/>
        <v>79039.396000000095</v>
      </c>
      <c r="AK149" s="20">
        <f t="shared" si="439"/>
        <v>79470.919999999984</v>
      </c>
      <c r="AL149" s="20">
        <f t="shared" si="439"/>
        <v>81426.745999999999</v>
      </c>
      <c r="AM149" s="20">
        <f t="shared" si="439"/>
        <v>82249.437999999995</v>
      </c>
      <c r="AN149" s="20">
        <f t="shared" si="439"/>
        <v>83897.437999999995</v>
      </c>
      <c r="AO149" s="20">
        <f t="shared" si="439"/>
        <v>85594.964999999997</v>
      </c>
      <c r="AP149" s="20">
        <f t="shared" si="439"/>
        <v>86813.676000000007</v>
      </c>
      <c r="AQ149" s="20">
        <f t="shared" si="439"/>
        <v>86225.597999999998</v>
      </c>
      <c r="AR149" s="20">
        <f t="shared" si="439"/>
        <v>85989.641000000003</v>
      </c>
      <c r="AS149" s="20">
        <f t="shared" si="439"/>
        <v>86134.47</v>
      </c>
      <c r="AT149" s="20">
        <f t="shared" si="439"/>
        <v>87624.316000000021</v>
      </c>
      <c r="AU149" s="20">
        <f t="shared" si="439"/>
        <v>89035.468000000023</v>
      </c>
    </row>
    <row r="150" spans="2:47" ht="13.5" customHeight="1" x14ac:dyDescent="0.35">
      <c r="B150" s="3" t="s">
        <v>352</v>
      </c>
      <c r="C150" s="64">
        <f>C149/C148</f>
        <v>0.39420840522201711</v>
      </c>
      <c r="D150" s="64">
        <f t="shared" ref="D150:F150" si="440">D149/D148</f>
        <v>0.39418526648854374</v>
      </c>
      <c r="E150" s="64">
        <f t="shared" si="440"/>
        <v>0.43081237110859744</v>
      </c>
      <c r="F150" s="64">
        <f t="shared" si="440"/>
        <v>0.45620592378857366</v>
      </c>
      <c r="G150" s="64">
        <f t="shared" ref="G150:H150" si="441">G149/G148</f>
        <v>0.45796514296059981</v>
      </c>
      <c r="H150" s="64">
        <f t="shared" si="441"/>
        <v>0.44464959020088118</v>
      </c>
      <c r="I150" s="64">
        <f t="shared" ref="I150:J150" si="442">I149/I148</f>
        <v>0.45184924767478252</v>
      </c>
      <c r="J150" s="64">
        <f t="shared" si="442"/>
        <v>0.45195788481140747</v>
      </c>
      <c r="K150" s="64">
        <f t="shared" ref="K150:L150" si="443">K149/K148</f>
        <v>0.48073298680972387</v>
      </c>
      <c r="L150" s="64">
        <f t="shared" si="443"/>
        <v>0.49160902542082574</v>
      </c>
      <c r="M150" s="64"/>
      <c r="N150" s="64"/>
      <c r="O150" s="65"/>
      <c r="P150" s="65"/>
      <c r="Q150" s="65"/>
      <c r="R150" s="64">
        <f t="shared" ref="R150:W150" si="444">R149/R148</f>
        <v>0.43081237110859744</v>
      </c>
      <c r="S150" s="64">
        <f t="shared" si="444"/>
        <v>0.44531693478260698</v>
      </c>
      <c r="T150" s="64">
        <f t="shared" si="444"/>
        <v>0.44796640187087772</v>
      </c>
      <c r="U150" s="64">
        <f t="shared" si="444"/>
        <v>0.45211251421945453</v>
      </c>
      <c r="V150" s="64">
        <f t="shared" si="444"/>
        <v>0.45620592378857366</v>
      </c>
      <c r="W150" s="64">
        <f t="shared" si="444"/>
        <v>0.45801795958992414</v>
      </c>
      <c r="X150" s="64">
        <f t="shared" ref="X150:AA150" si="445">X149/X148</f>
        <v>0.46255374597212656</v>
      </c>
      <c r="Y150" s="64">
        <f t="shared" si="445"/>
        <v>0.45708254927740577</v>
      </c>
      <c r="Z150" s="64">
        <f t="shared" si="445"/>
        <v>0.45796514296059981</v>
      </c>
      <c r="AA150" s="64">
        <f t="shared" si="445"/>
        <v>0.43979950778810756</v>
      </c>
      <c r="AB150" s="64">
        <f t="shared" ref="AB150:AE150" si="446">AB149/AB148</f>
        <v>0.43642738381444457</v>
      </c>
      <c r="AC150" s="64">
        <f t="shared" si="446"/>
        <v>0.44393507550092787</v>
      </c>
      <c r="AD150" s="64">
        <f t="shared" si="446"/>
        <v>0.44464959020088124</v>
      </c>
      <c r="AE150" s="64">
        <f t="shared" si="446"/>
        <v>0.45101343687387613</v>
      </c>
      <c r="AF150" s="64">
        <f t="shared" ref="AF150:AI150" si="447">AF149/AF148</f>
        <v>0.45560848082196803</v>
      </c>
      <c r="AG150" s="64">
        <f t="shared" si="447"/>
        <v>0.45394998048447283</v>
      </c>
      <c r="AH150" s="64">
        <f t="shared" si="447"/>
        <v>0.45184924767478257</v>
      </c>
      <c r="AI150" s="64">
        <f t="shared" si="447"/>
        <v>0.4528802746725894</v>
      </c>
      <c r="AJ150" s="64">
        <f t="shared" ref="AJ150:AM150" si="448">AJ149/AJ148</f>
        <v>0.44593770272647121</v>
      </c>
      <c r="AK150" s="64">
        <f t="shared" si="448"/>
        <v>0.44487631711072867</v>
      </c>
      <c r="AL150" s="64">
        <f t="shared" si="448"/>
        <v>0.45195788481140747</v>
      </c>
      <c r="AM150" s="64">
        <f t="shared" si="448"/>
        <v>0.45582260945357944</v>
      </c>
      <c r="AN150" s="64">
        <f t="shared" ref="AN150:AQ150" si="449">AN149/AN148</f>
        <v>0.46541057816798259</v>
      </c>
      <c r="AO150" s="64">
        <f t="shared" si="449"/>
        <v>0.47259684227992271</v>
      </c>
      <c r="AP150" s="64">
        <f t="shared" si="449"/>
        <v>0.48073298680972387</v>
      </c>
      <c r="AQ150" s="64">
        <f t="shared" si="449"/>
        <v>0.48161545118670923</v>
      </c>
      <c r="AR150" s="64">
        <f t="shared" ref="AR150:AU150" si="450">AR149/AR148</f>
        <v>0.48258221680193408</v>
      </c>
      <c r="AS150" s="64">
        <f t="shared" si="450"/>
        <v>0.48544976615672969</v>
      </c>
      <c r="AT150" s="64">
        <f t="shared" si="450"/>
        <v>0.49160902542082585</v>
      </c>
      <c r="AU150" s="64">
        <f t="shared" si="450"/>
        <v>0.49411823140733507</v>
      </c>
    </row>
    <row r="151" spans="2:47" ht="13.5" customHeight="1" x14ac:dyDescent="0.35">
      <c r="B151" s="3" t="s">
        <v>40</v>
      </c>
      <c r="C151" s="20">
        <f>C120</f>
        <v>101228.591</v>
      </c>
      <c r="D151" s="20">
        <f t="shared" ref="D151:F151" si="451">D120</f>
        <v>131528.70499999999</v>
      </c>
      <c r="E151" s="20">
        <f t="shared" si="451"/>
        <v>148281.897</v>
      </c>
      <c r="F151" s="20">
        <f t="shared" si="451"/>
        <v>139526.35200000001</v>
      </c>
      <c r="G151" s="20">
        <f t="shared" ref="G151:H151" si="452">G120</f>
        <v>169316.82200000001</v>
      </c>
      <c r="H151" s="20">
        <f t="shared" si="452"/>
        <v>229932.91499999998</v>
      </c>
      <c r="I151" s="20">
        <f t="shared" ref="I151:J151" si="453">I120</f>
        <v>331526.39600000007</v>
      </c>
      <c r="J151" s="20">
        <f t="shared" si="453"/>
        <v>382976.64099999995</v>
      </c>
      <c r="K151" s="20">
        <f t="shared" ref="K151:L151" si="454">K120</f>
        <v>410697.08300000004</v>
      </c>
      <c r="L151" s="20">
        <f t="shared" si="454"/>
        <v>430971.473</v>
      </c>
      <c r="M151" s="20"/>
      <c r="N151" s="20"/>
      <c r="O151" s="20">
        <f t="shared" ref="O151:W151" si="455">O120</f>
        <v>127849.648</v>
      </c>
      <c r="P151" s="20">
        <f t="shared" si="455"/>
        <v>134036.81099999999</v>
      </c>
      <c r="Q151" s="20">
        <f t="shared" si="455"/>
        <v>134086.75099999999</v>
      </c>
      <c r="R151" s="20">
        <f t="shared" si="455"/>
        <v>148281.897</v>
      </c>
      <c r="S151" s="20">
        <f t="shared" si="455"/>
        <v>141728.07500000001</v>
      </c>
      <c r="T151" s="20">
        <f t="shared" si="455"/>
        <v>135412.81699999998</v>
      </c>
      <c r="U151" s="20">
        <f t="shared" si="455"/>
        <v>135275.89300000001</v>
      </c>
      <c r="V151" s="20">
        <f t="shared" si="455"/>
        <v>139526.35200000001</v>
      </c>
      <c r="W151" s="20">
        <f t="shared" si="455"/>
        <v>148514.41</v>
      </c>
      <c r="X151" s="20">
        <f t="shared" ref="X151:AA151" si="456">X120</f>
        <v>154139.552</v>
      </c>
      <c r="Y151" s="20">
        <f t="shared" si="456"/>
        <v>167942.049</v>
      </c>
      <c r="Z151" s="20">
        <f t="shared" si="456"/>
        <v>169316.82200000001</v>
      </c>
      <c r="AA151" s="20">
        <f t="shared" si="456"/>
        <v>173433.20699999999</v>
      </c>
      <c r="AB151" s="20">
        <f t="shared" ref="AB151:AE151" si="457">AB120</f>
        <v>189352.20699999999</v>
      </c>
      <c r="AC151" s="20">
        <f t="shared" si="457"/>
        <v>221474.89299999998</v>
      </c>
      <c r="AD151" s="20">
        <f t="shared" si="457"/>
        <v>229932.91499999998</v>
      </c>
      <c r="AE151" s="20">
        <f t="shared" si="457"/>
        <v>240603.81299999999</v>
      </c>
      <c r="AF151" s="20">
        <f t="shared" ref="AF151:AI151" si="458">AF120</f>
        <v>308526.799</v>
      </c>
      <c r="AG151" s="20">
        <f t="shared" si="458"/>
        <v>328840.908</v>
      </c>
      <c r="AH151" s="20">
        <f t="shared" si="458"/>
        <v>331526.39600000007</v>
      </c>
      <c r="AI151" s="20">
        <f t="shared" si="458"/>
        <v>308376.94300000003</v>
      </c>
      <c r="AJ151" s="20">
        <f t="shared" ref="AJ151:AM151" si="459">AJ120</f>
        <v>371136.35800000001</v>
      </c>
      <c r="AK151" s="20">
        <f t="shared" si="459"/>
        <v>363740.13999999996</v>
      </c>
      <c r="AL151" s="20">
        <f t="shared" si="459"/>
        <v>382976.64099999995</v>
      </c>
      <c r="AM151" s="20">
        <f t="shared" si="459"/>
        <v>387374.56799999997</v>
      </c>
      <c r="AN151" s="20">
        <f t="shared" ref="AN151:AQ151" si="460">AN120</f>
        <v>394737.91099999996</v>
      </c>
      <c r="AO151" s="20">
        <f t="shared" si="460"/>
        <v>400443.24900000001</v>
      </c>
      <c r="AP151" s="20">
        <f t="shared" si="460"/>
        <v>410697.08300000004</v>
      </c>
      <c r="AQ151" s="20">
        <f t="shared" si="460"/>
        <v>404676.31900000002</v>
      </c>
      <c r="AR151" s="20">
        <f t="shared" ref="AR151:AU151" si="461">AR120</f>
        <v>416242.09100000001</v>
      </c>
      <c r="AS151" s="20">
        <f t="shared" si="461"/>
        <v>426739.68799999997</v>
      </c>
      <c r="AT151" s="20">
        <f t="shared" si="461"/>
        <v>430971.473</v>
      </c>
      <c r="AU151" s="20">
        <f t="shared" si="461"/>
        <v>432551.45500000007</v>
      </c>
    </row>
    <row r="152" spans="2:47" ht="13.5" customHeight="1" x14ac:dyDescent="0.35">
      <c r="B152" s="3" t="s">
        <v>353</v>
      </c>
      <c r="C152" s="20">
        <f>C122</f>
        <v>8632.8520000000008</v>
      </c>
      <c r="D152" s="20">
        <f t="shared" ref="D152:F153" si="462">D122</f>
        <v>11222.22</v>
      </c>
      <c r="E152" s="20">
        <f t="shared" si="462"/>
        <v>23226.385999999999</v>
      </c>
      <c r="F152" s="20">
        <f t="shared" si="462"/>
        <v>8298.0920000000006</v>
      </c>
      <c r="G152" s="20">
        <f t="shared" ref="G152:H152" si="463">G122</f>
        <v>19508.114000000001</v>
      </c>
      <c r="H152" s="20">
        <f t="shared" si="463"/>
        <v>24239.195</v>
      </c>
      <c r="I152" s="20">
        <f t="shared" ref="I152:J152" si="464">I122</f>
        <v>18033.785</v>
      </c>
      <c r="J152" s="20">
        <f t="shared" si="464"/>
        <v>16645.077000000001</v>
      </c>
      <c r="K152" s="20">
        <f t="shared" ref="K152:L152" si="465">K122</f>
        <v>21353.659</v>
      </c>
      <c r="L152" s="20">
        <f t="shared" si="465"/>
        <v>25029.857</v>
      </c>
      <c r="M152" s="20"/>
      <c r="N152" s="20"/>
      <c r="O152" s="20">
        <f t="shared" ref="O152:W153" si="466">O122</f>
        <v>6303.94</v>
      </c>
      <c r="P152" s="20">
        <f t="shared" si="466"/>
        <v>10638.769</v>
      </c>
      <c r="Q152" s="20">
        <f t="shared" si="466"/>
        <v>12133.293</v>
      </c>
      <c r="R152" s="20">
        <f t="shared" si="466"/>
        <v>23226.385999999999</v>
      </c>
      <c r="S152" s="20">
        <f t="shared" si="466"/>
        <v>16559.11</v>
      </c>
      <c r="T152" s="20">
        <f t="shared" si="466"/>
        <v>11786.281000000001</v>
      </c>
      <c r="U152" s="20">
        <f t="shared" si="466"/>
        <v>11629.91</v>
      </c>
      <c r="V152" s="20">
        <f t="shared" si="466"/>
        <v>8298.0920000000006</v>
      </c>
      <c r="W152" s="20">
        <f t="shared" si="466"/>
        <v>14519.101000000001</v>
      </c>
      <c r="X152" s="20">
        <f t="shared" ref="X152:AA152" si="467">X122</f>
        <v>14785.235000000001</v>
      </c>
      <c r="Y152" s="20">
        <f t="shared" si="467"/>
        <v>32627.119999999999</v>
      </c>
      <c r="Z152" s="20">
        <f t="shared" si="467"/>
        <v>19508.114000000001</v>
      </c>
      <c r="AA152" s="20">
        <f t="shared" si="467"/>
        <v>14484.374</v>
      </c>
      <c r="AB152" s="20">
        <f t="shared" ref="AB152:AE152" si="468">AB122</f>
        <v>14628.956</v>
      </c>
      <c r="AC152" s="20">
        <f t="shared" si="468"/>
        <v>12704.713</v>
      </c>
      <c r="AD152" s="20">
        <f t="shared" si="468"/>
        <v>24239.195</v>
      </c>
      <c r="AE152" s="20">
        <f t="shared" si="468"/>
        <v>14854.545</v>
      </c>
      <c r="AF152" s="20">
        <f t="shared" ref="AF152:AI152" si="469">AF122</f>
        <v>16075.427</v>
      </c>
      <c r="AG152" s="20">
        <f t="shared" si="469"/>
        <v>14390.494000000001</v>
      </c>
      <c r="AH152" s="20">
        <f t="shared" si="469"/>
        <v>18033.785</v>
      </c>
      <c r="AI152" s="20">
        <f t="shared" si="469"/>
        <v>16243.84</v>
      </c>
      <c r="AJ152" s="20">
        <f t="shared" ref="AJ152:AM152" si="470">AJ122</f>
        <v>25357.659</v>
      </c>
      <c r="AK152" s="20">
        <f t="shared" si="470"/>
        <v>15976.834999999999</v>
      </c>
      <c r="AL152" s="20">
        <f t="shared" si="470"/>
        <v>16645.077000000001</v>
      </c>
      <c r="AM152" s="20">
        <f t="shared" si="470"/>
        <v>16979.334999999999</v>
      </c>
      <c r="AN152" s="20">
        <f t="shared" ref="AN152:AQ152" si="471">AN122</f>
        <v>18634.038</v>
      </c>
      <c r="AO152" s="20">
        <f t="shared" si="471"/>
        <v>22256.024000000001</v>
      </c>
      <c r="AP152" s="20">
        <f t="shared" si="471"/>
        <v>21353.659</v>
      </c>
      <c r="AQ152" s="20">
        <f t="shared" si="471"/>
        <v>18726.847000000002</v>
      </c>
      <c r="AR152" s="20">
        <f t="shared" ref="AR152:AU152" si="472">AR122</f>
        <v>19315.486000000001</v>
      </c>
      <c r="AS152" s="20">
        <f t="shared" si="472"/>
        <v>27728.379000000001</v>
      </c>
      <c r="AT152" s="20">
        <f t="shared" si="472"/>
        <v>25029.857</v>
      </c>
      <c r="AU152" s="20">
        <f t="shared" si="472"/>
        <v>42352.875999999997</v>
      </c>
    </row>
    <row r="153" spans="2:47" ht="13.5" customHeight="1" x14ac:dyDescent="0.35">
      <c r="B153" s="3" t="s">
        <v>337</v>
      </c>
      <c r="C153" s="20">
        <f>C123</f>
        <v>92595.739000000001</v>
      </c>
      <c r="D153" s="20">
        <f t="shared" si="462"/>
        <v>120306.48499999999</v>
      </c>
      <c r="E153" s="20">
        <f t="shared" si="462"/>
        <v>125055.511</v>
      </c>
      <c r="F153" s="20">
        <f t="shared" si="462"/>
        <v>131228.26</v>
      </c>
      <c r="G153" s="20">
        <f t="shared" ref="G153:H153" si="473">G123</f>
        <v>149808.70800000001</v>
      </c>
      <c r="H153" s="20">
        <f t="shared" si="473"/>
        <v>205693.71999999997</v>
      </c>
      <c r="I153" s="20">
        <f t="shared" ref="I153:J153" si="474">I123</f>
        <v>313492.61100000009</v>
      </c>
      <c r="J153" s="20">
        <f t="shared" si="474"/>
        <v>366331.56399999995</v>
      </c>
      <c r="K153" s="20">
        <f t="shared" ref="K153:L153" si="475">K123</f>
        <v>389343.42400000006</v>
      </c>
      <c r="L153" s="20">
        <f t="shared" si="475"/>
        <v>405941.61599999998</v>
      </c>
      <c r="M153" s="20"/>
      <c r="N153" s="20"/>
      <c r="O153" s="20">
        <f t="shared" si="466"/>
        <v>121545.708</v>
      </c>
      <c r="P153" s="20">
        <f t="shared" si="466"/>
        <v>123398.04199999999</v>
      </c>
      <c r="Q153" s="20">
        <f t="shared" si="466"/>
        <v>121953.45799999998</v>
      </c>
      <c r="R153" s="20">
        <f t="shared" si="466"/>
        <v>125055.511</v>
      </c>
      <c r="S153" s="20">
        <f t="shared" si="466"/>
        <v>125168.96500000001</v>
      </c>
      <c r="T153" s="20">
        <f t="shared" si="466"/>
        <v>123626.53599999998</v>
      </c>
      <c r="U153" s="20">
        <f t="shared" si="466"/>
        <v>123645.98300000001</v>
      </c>
      <c r="V153" s="20">
        <f t="shared" si="466"/>
        <v>131228.26</v>
      </c>
      <c r="W153" s="20">
        <f t="shared" si="466"/>
        <v>133995.30900000001</v>
      </c>
      <c r="X153" s="20">
        <f t="shared" ref="X153:AA153" si="476">X123</f>
        <v>139354.31699999998</v>
      </c>
      <c r="Y153" s="20">
        <f t="shared" si="476"/>
        <v>135314.929</v>
      </c>
      <c r="Z153" s="20">
        <f t="shared" si="476"/>
        <v>149808.70800000001</v>
      </c>
      <c r="AA153" s="20">
        <f t="shared" si="476"/>
        <v>158948.83299999998</v>
      </c>
      <c r="AB153" s="20">
        <f t="shared" ref="AB153:AE153" si="477">AB123</f>
        <v>174723.25099999999</v>
      </c>
      <c r="AC153" s="20">
        <f t="shared" si="477"/>
        <v>208770.18</v>
      </c>
      <c r="AD153" s="20">
        <f t="shared" si="477"/>
        <v>205693.71999999997</v>
      </c>
      <c r="AE153" s="20">
        <f t="shared" si="477"/>
        <v>225749.26799999998</v>
      </c>
      <c r="AF153" s="20">
        <f t="shared" ref="AF153:AI153" si="478">AF123</f>
        <v>292451.37199999997</v>
      </c>
      <c r="AG153" s="20">
        <f t="shared" si="478"/>
        <v>314450.41399999999</v>
      </c>
      <c r="AH153" s="20">
        <f t="shared" si="478"/>
        <v>313492.61100000009</v>
      </c>
      <c r="AI153" s="20">
        <f t="shared" si="478"/>
        <v>292133.103</v>
      </c>
      <c r="AJ153" s="20">
        <f t="shared" ref="AJ153:AM153" si="479">AJ123</f>
        <v>345778.69900000002</v>
      </c>
      <c r="AK153" s="20">
        <f t="shared" si="479"/>
        <v>347763.30499999993</v>
      </c>
      <c r="AL153" s="20">
        <f t="shared" si="479"/>
        <v>366331.56399999995</v>
      </c>
      <c r="AM153" s="20">
        <f t="shared" si="479"/>
        <v>370395.23299999995</v>
      </c>
      <c r="AN153" s="20">
        <f t="shared" ref="AN153:AQ153" si="480">AN123</f>
        <v>376103.87299999996</v>
      </c>
      <c r="AO153" s="20">
        <f t="shared" si="480"/>
        <v>378187.22500000003</v>
      </c>
      <c r="AP153" s="20">
        <f t="shared" si="480"/>
        <v>389343.42400000006</v>
      </c>
      <c r="AQ153" s="20">
        <f t="shared" si="480"/>
        <v>385949.47200000001</v>
      </c>
      <c r="AR153" s="20">
        <f t="shared" ref="AR153:AU153" si="481">AR123</f>
        <v>396926.60500000004</v>
      </c>
      <c r="AS153" s="20">
        <f t="shared" si="481"/>
        <v>399011.30899999995</v>
      </c>
      <c r="AT153" s="20">
        <f t="shared" si="481"/>
        <v>405941.61599999998</v>
      </c>
      <c r="AU153" s="20">
        <f t="shared" si="481"/>
        <v>390198.57900000009</v>
      </c>
    </row>
    <row r="154" spans="2:47" ht="13.5" customHeight="1" x14ac:dyDescent="0.35">
      <c r="B154" s="3" t="s">
        <v>354</v>
      </c>
      <c r="C154" s="66">
        <f>C137</f>
        <v>2.0254469751290136</v>
      </c>
      <c r="D154" s="66">
        <f t="shared" ref="D154:F154" si="482">D137</f>
        <v>2.4665175802476069</v>
      </c>
      <c r="E154" s="66">
        <f t="shared" si="482"/>
        <v>2.2768073942780975</v>
      </c>
      <c r="F154" s="66">
        <f t="shared" si="482"/>
        <v>1.835114063942475</v>
      </c>
      <c r="G154" s="66">
        <f t="shared" ref="G154:H154" si="483">G137</f>
        <v>2.303243067100762</v>
      </c>
      <c r="H154" s="66">
        <f t="shared" si="483"/>
        <v>3.0689687969793495</v>
      </c>
      <c r="I154" s="66">
        <f t="shared" ref="I154:J154" si="484">I137</f>
        <v>4.1916542299925368</v>
      </c>
      <c r="J154" s="66">
        <f t="shared" si="484"/>
        <v>4.7033273440645651</v>
      </c>
      <c r="K154" s="66">
        <f t="shared" ref="K154:L154" si="485">K137</f>
        <v>4.7307878426896703</v>
      </c>
      <c r="L154" s="66">
        <f t="shared" si="485"/>
        <v>4.9184004243753519</v>
      </c>
      <c r="M154" s="66"/>
      <c r="N154" s="66"/>
      <c r="O154" s="67"/>
      <c r="P154" s="67"/>
      <c r="Q154" s="67"/>
      <c r="R154" s="66">
        <f t="shared" ref="R154:W154" si="486">R137</f>
        <v>2.2768073942780975</v>
      </c>
      <c r="S154" s="66">
        <f t="shared" si="486"/>
        <v>2.0550191919185914</v>
      </c>
      <c r="T154" s="66">
        <f t="shared" si="486"/>
        <v>1.9101896489257033</v>
      </c>
      <c r="U154" s="66">
        <f t="shared" si="486"/>
        <v>1.8357702856196798</v>
      </c>
      <c r="V154" s="66">
        <f t="shared" si="486"/>
        <v>1.835114063942475</v>
      </c>
      <c r="W154" s="66">
        <f t="shared" si="486"/>
        <v>1.939140325794626</v>
      </c>
      <c r="X154" s="66">
        <f t="shared" ref="X154:AA154" si="487">X137</f>
        <v>2.0325036437882886</v>
      </c>
      <c r="Y154" s="66">
        <f t="shared" si="487"/>
        <v>2.2563990280539366</v>
      </c>
      <c r="Z154" s="66">
        <f t="shared" si="487"/>
        <v>2.303243067100762</v>
      </c>
      <c r="AA154" s="66">
        <f t="shared" si="487"/>
        <v>2.4316041026345934</v>
      </c>
      <c r="AB154" s="66">
        <f t="shared" ref="AB154:AE154" si="488">AB137</f>
        <v>2.6118552348072557</v>
      </c>
      <c r="AC154" s="66">
        <f t="shared" si="488"/>
        <v>2.9859258910025361</v>
      </c>
      <c r="AD154" s="66">
        <f t="shared" si="488"/>
        <v>3.0689687969793495</v>
      </c>
      <c r="AE154" s="66">
        <f t="shared" si="488"/>
        <v>3.1528015244222081</v>
      </c>
      <c r="AF154" s="66">
        <f t="shared" ref="AF154:AI154" si="489">AF137</f>
        <v>3.9506499631219385</v>
      </c>
      <c r="AG154" s="66">
        <f t="shared" si="489"/>
        <v>4.1984521818823604</v>
      </c>
      <c r="AH154" s="66">
        <f t="shared" si="489"/>
        <v>4.1916542299925368</v>
      </c>
      <c r="AI154" s="66">
        <f t="shared" si="489"/>
        <v>3.8576156559051782</v>
      </c>
      <c r="AJ154" s="66">
        <f t="shared" ref="AJ154:AM154" si="490">AJ137</f>
        <v>4.6955869703255271</v>
      </c>
      <c r="AK154" s="66">
        <f t="shared" si="490"/>
        <v>4.5770218842313648</v>
      </c>
      <c r="AL154" s="66">
        <f t="shared" si="490"/>
        <v>4.7033273440645651</v>
      </c>
      <c r="AM154" s="66">
        <f t="shared" si="490"/>
        <v>4.7097533724181799</v>
      </c>
      <c r="AN154" s="66">
        <f t="shared" ref="AN154:AQ154" si="491">AN137</f>
        <v>4.70500554498458</v>
      </c>
      <c r="AO154" s="66">
        <f t="shared" si="491"/>
        <v>4.6783505197998503</v>
      </c>
      <c r="AP154" s="66">
        <f t="shared" si="491"/>
        <v>4.7307878426896703</v>
      </c>
      <c r="AQ154" s="66">
        <f t="shared" si="491"/>
        <v>4.6932271667167793</v>
      </c>
      <c r="AR154" s="66">
        <f t="shared" ref="AR154:AU154" si="492">AR137</f>
        <v>4.8406073819984901</v>
      </c>
      <c r="AS154" s="66">
        <f t="shared" si="492"/>
        <v>4.9543427619627769</v>
      </c>
      <c r="AT154" s="66">
        <f t="shared" si="492"/>
        <v>4.9184004243753519</v>
      </c>
      <c r="AU154" s="66">
        <f t="shared" si="492"/>
        <v>4.8581926362199832</v>
      </c>
    </row>
    <row r="155" spans="2:47" ht="13.5" customHeight="1" x14ac:dyDescent="0.35">
      <c r="B155" s="3" t="s">
        <v>355</v>
      </c>
      <c r="C155" s="68">
        <f>C136</f>
        <v>1.8527153012273543</v>
      </c>
      <c r="D155" s="68">
        <f t="shared" ref="D155:F155" si="493">D136</f>
        <v>2.2560707206103414</v>
      </c>
      <c r="E155" s="68">
        <f t="shared" si="493"/>
        <v>1.9201758131002733</v>
      </c>
      <c r="F155" s="68">
        <f t="shared" si="493"/>
        <v>1.7259737824486354</v>
      </c>
      <c r="G155" s="68">
        <f t="shared" ref="G155:H155" si="494">G136</f>
        <v>2.0378711578482287</v>
      </c>
      <c r="H155" s="68">
        <f t="shared" si="494"/>
        <v>2.7454425496871866</v>
      </c>
      <c r="I155" s="68">
        <f t="shared" ref="I155:J155" si="495">I136</f>
        <v>3.9636440561720909</v>
      </c>
      <c r="J155" s="68">
        <f t="shared" si="495"/>
        <v>4.4989095352035795</v>
      </c>
      <c r="K155" s="68">
        <f t="shared" ref="K155:L155" si="496">K136</f>
        <v>4.4848167009999669</v>
      </c>
      <c r="L155" s="68">
        <f t="shared" si="496"/>
        <v>4.6327507537976098</v>
      </c>
      <c r="M155" s="68"/>
      <c r="N155" s="68"/>
      <c r="O155" s="69"/>
      <c r="P155" s="69"/>
      <c r="Q155" s="69"/>
      <c r="R155" s="68">
        <f t="shared" ref="R155:W155" si="497">R136</f>
        <v>1.9201758131002733</v>
      </c>
      <c r="S155" s="68">
        <f t="shared" si="497"/>
        <v>1.8149165245318295</v>
      </c>
      <c r="T155" s="68">
        <f t="shared" si="497"/>
        <v>1.7439274555505393</v>
      </c>
      <c r="U155" s="68">
        <f t="shared" si="497"/>
        <v>1.6779458371613638</v>
      </c>
      <c r="V155" s="68">
        <f t="shared" si="497"/>
        <v>1.7259737824486354</v>
      </c>
      <c r="W155" s="68">
        <f t="shared" si="497"/>
        <v>1.7495656290134511</v>
      </c>
      <c r="X155" s="68">
        <f t="shared" ref="X155:AA155" si="498">X136</f>
        <v>1.8375436635505999</v>
      </c>
      <c r="Y155" s="68">
        <f t="shared" si="498"/>
        <v>1.8180347095609597</v>
      </c>
      <c r="Z155" s="68">
        <f t="shared" si="498"/>
        <v>2.0378711578482287</v>
      </c>
      <c r="AA155" s="68">
        <f t="shared" si="498"/>
        <v>2.2285272879246292</v>
      </c>
      <c r="AB155" s="68">
        <f t="shared" ref="AB155:AE155" si="499">AB136</f>
        <v>2.4100687549255344</v>
      </c>
      <c r="AC155" s="68">
        <f t="shared" si="499"/>
        <v>2.8146408709688817</v>
      </c>
      <c r="AD155" s="68">
        <f t="shared" si="499"/>
        <v>2.7454425496871866</v>
      </c>
      <c r="AE155" s="68">
        <f t="shared" si="499"/>
        <v>2.9581519403750995</v>
      </c>
      <c r="AF155" s="68">
        <f t="shared" ref="AF155:AI155" si="500">AF136</f>
        <v>3.7448059803931657</v>
      </c>
      <c r="AG155" s="68">
        <f t="shared" si="500"/>
        <v>4.014722604865546</v>
      </c>
      <c r="AH155" s="68">
        <f t="shared" si="500"/>
        <v>3.9636440561720909</v>
      </c>
      <c r="AI155" s="68">
        <f t="shared" si="500"/>
        <v>3.6544146938409723</v>
      </c>
      <c r="AJ155" s="68">
        <f t="shared" ref="AJ155:AM155" si="501">AJ136</f>
        <v>4.3747639341778317</v>
      </c>
      <c r="AK155" s="68">
        <f t="shared" si="501"/>
        <v>4.3759818685879059</v>
      </c>
      <c r="AL155" s="68">
        <f t="shared" si="501"/>
        <v>4.4989095352035795</v>
      </c>
      <c r="AM155" s="68">
        <f t="shared" si="501"/>
        <v>4.5033162779787013</v>
      </c>
      <c r="AN155" s="68">
        <f t="shared" ref="AN155:AQ155" si="502">AN136</f>
        <v>4.4829005743894106</v>
      </c>
      <c r="AO155" s="68">
        <f t="shared" si="502"/>
        <v>4.4183349452856255</v>
      </c>
      <c r="AP155" s="68">
        <f t="shared" si="502"/>
        <v>4.4848167009999669</v>
      </c>
      <c r="AQ155" s="68">
        <f t="shared" si="502"/>
        <v>4.4760428567859858</v>
      </c>
      <c r="AR155" s="68">
        <f t="shared" ref="AR155:AU155" si="503">AR136</f>
        <v>4.6159816506269635</v>
      </c>
      <c r="AS155" s="68">
        <f t="shared" si="503"/>
        <v>4.6324231054071614</v>
      </c>
      <c r="AT155" s="68">
        <f t="shared" si="503"/>
        <v>4.6327507537976089</v>
      </c>
      <c r="AU155" s="68">
        <f t="shared" si="503"/>
        <v>4.3825071936500626</v>
      </c>
    </row>
    <row r="156" spans="2:47" ht="13.5" customHeight="1" x14ac:dyDescent="0.35"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</row>
    <row r="157" spans="2:47" s="6" customFormat="1" ht="21" x14ac:dyDescent="0.5">
      <c r="B157" s="70" t="s">
        <v>356</v>
      </c>
      <c r="C157" s="62">
        <f t="shared" ref="C157:M157" si="504">C3</f>
        <v>42735</v>
      </c>
      <c r="D157" s="62">
        <f t="shared" si="504"/>
        <v>43100</v>
      </c>
      <c r="E157" s="62">
        <f t="shared" si="504"/>
        <v>43465</v>
      </c>
      <c r="F157" s="62">
        <f t="shared" si="504"/>
        <v>43830</v>
      </c>
      <c r="G157" s="62">
        <f t="shared" si="504"/>
        <v>44196</v>
      </c>
      <c r="H157" s="62">
        <f t="shared" si="504"/>
        <v>44561</v>
      </c>
      <c r="I157" s="62">
        <f t="shared" si="504"/>
        <v>44926</v>
      </c>
      <c r="J157" s="62">
        <f t="shared" si="504"/>
        <v>45291</v>
      </c>
      <c r="K157" s="62">
        <f t="shared" si="504"/>
        <v>45657</v>
      </c>
      <c r="L157" s="62">
        <f t="shared" si="504"/>
        <v>46022</v>
      </c>
      <c r="M157" s="62"/>
      <c r="N157" s="413"/>
      <c r="O157" s="62">
        <f t="shared" ref="O157:AU157" si="505">O3</f>
        <v>43190</v>
      </c>
      <c r="P157" s="62">
        <f t="shared" si="505"/>
        <v>43281</v>
      </c>
      <c r="Q157" s="62">
        <f t="shared" si="505"/>
        <v>43373</v>
      </c>
      <c r="R157" s="62">
        <f t="shared" si="505"/>
        <v>43465</v>
      </c>
      <c r="S157" s="62">
        <f t="shared" si="505"/>
        <v>43555</v>
      </c>
      <c r="T157" s="62">
        <f t="shared" si="505"/>
        <v>43646</v>
      </c>
      <c r="U157" s="62">
        <f t="shared" si="505"/>
        <v>43738</v>
      </c>
      <c r="V157" s="62">
        <f t="shared" si="505"/>
        <v>43830</v>
      </c>
      <c r="W157" s="62">
        <f t="shared" si="505"/>
        <v>43921</v>
      </c>
      <c r="X157" s="62">
        <f t="shared" si="505"/>
        <v>44012</v>
      </c>
      <c r="Y157" s="62">
        <f t="shared" si="505"/>
        <v>44104</v>
      </c>
      <c r="Z157" s="62">
        <f t="shared" si="505"/>
        <v>44196</v>
      </c>
      <c r="AA157" s="62">
        <f t="shared" si="505"/>
        <v>44286</v>
      </c>
      <c r="AB157" s="62">
        <f t="shared" si="505"/>
        <v>44377</v>
      </c>
      <c r="AC157" s="62">
        <f t="shared" si="505"/>
        <v>44469</v>
      </c>
      <c r="AD157" s="62">
        <f t="shared" si="505"/>
        <v>44561</v>
      </c>
      <c r="AE157" s="62">
        <f t="shared" si="505"/>
        <v>44651</v>
      </c>
      <c r="AF157" s="62">
        <f t="shared" si="505"/>
        <v>44742</v>
      </c>
      <c r="AG157" s="62">
        <f t="shared" si="505"/>
        <v>44834</v>
      </c>
      <c r="AH157" s="62">
        <f t="shared" si="505"/>
        <v>44926</v>
      </c>
      <c r="AI157" s="62">
        <f t="shared" si="505"/>
        <v>45016</v>
      </c>
      <c r="AJ157" s="62">
        <f t="shared" si="505"/>
        <v>45107</v>
      </c>
      <c r="AK157" s="62">
        <f t="shared" si="505"/>
        <v>45199</v>
      </c>
      <c r="AL157" s="62">
        <f t="shared" si="505"/>
        <v>45291</v>
      </c>
      <c r="AM157" s="62">
        <f t="shared" si="505"/>
        <v>45382</v>
      </c>
      <c r="AN157" s="62">
        <f t="shared" si="505"/>
        <v>45473</v>
      </c>
      <c r="AO157" s="62">
        <f t="shared" si="505"/>
        <v>45565</v>
      </c>
      <c r="AP157" s="62">
        <f t="shared" si="505"/>
        <v>45657</v>
      </c>
      <c r="AQ157" s="62">
        <f t="shared" si="505"/>
        <v>45747</v>
      </c>
      <c r="AR157" s="62">
        <f t="shared" si="505"/>
        <v>45838</v>
      </c>
      <c r="AS157" s="62">
        <f t="shared" si="505"/>
        <v>45930</v>
      </c>
      <c r="AT157" s="62">
        <f t="shared" si="505"/>
        <v>46022</v>
      </c>
      <c r="AU157" s="62">
        <f t="shared" si="505"/>
        <v>46112</v>
      </c>
    </row>
    <row r="158" spans="2:47" s="6" customFormat="1" ht="13.5" customHeight="1" x14ac:dyDescent="0.3">
      <c r="B158" s="10" t="str">
        <f>B3</f>
        <v>(PHP millions)</v>
      </c>
      <c r="C158" s="63" t="str">
        <f t="shared" ref="C158:M158" si="506">C4</f>
        <v>Act</v>
      </c>
      <c r="D158" s="63" t="str">
        <f t="shared" si="506"/>
        <v>Act</v>
      </c>
      <c r="E158" s="63" t="str">
        <f t="shared" si="506"/>
        <v>Act</v>
      </c>
      <c r="F158" s="63" t="str">
        <f t="shared" si="506"/>
        <v>Act</v>
      </c>
      <c r="G158" s="63" t="str">
        <f t="shared" si="506"/>
        <v>Act</v>
      </c>
      <c r="H158" s="63" t="str">
        <f t="shared" si="506"/>
        <v>Act</v>
      </c>
      <c r="I158" s="63" t="str">
        <f t="shared" si="506"/>
        <v>Act</v>
      </c>
      <c r="J158" s="63" t="str">
        <f t="shared" si="506"/>
        <v>Act</v>
      </c>
      <c r="K158" s="63" t="str">
        <f t="shared" si="506"/>
        <v>Act</v>
      </c>
      <c r="L158" s="63" t="str">
        <f t="shared" si="506"/>
        <v>Act</v>
      </c>
      <c r="M158" s="63"/>
      <c r="O158" s="63" t="str">
        <f t="shared" ref="O158:AU158" si="507">O4</f>
        <v>Act</v>
      </c>
      <c r="P158" s="63" t="str">
        <f t="shared" si="507"/>
        <v>Act</v>
      </c>
      <c r="Q158" s="63" t="str">
        <f t="shared" si="507"/>
        <v>Act</v>
      </c>
      <c r="R158" s="63" t="str">
        <f t="shared" si="507"/>
        <v>Act</v>
      </c>
      <c r="S158" s="63" t="str">
        <f t="shared" si="507"/>
        <v>Act</v>
      </c>
      <c r="T158" s="63" t="str">
        <f t="shared" si="507"/>
        <v>Act</v>
      </c>
      <c r="U158" s="63" t="str">
        <f t="shared" si="507"/>
        <v>Act</v>
      </c>
      <c r="V158" s="63" t="str">
        <f t="shared" si="507"/>
        <v>Act</v>
      </c>
      <c r="W158" s="63" t="str">
        <f t="shared" si="507"/>
        <v>Act</v>
      </c>
      <c r="X158" s="63" t="str">
        <f t="shared" si="507"/>
        <v>Act</v>
      </c>
      <c r="Y158" s="63" t="str">
        <f t="shared" si="507"/>
        <v>Act</v>
      </c>
      <c r="Z158" s="63" t="str">
        <f t="shared" si="507"/>
        <v>Act</v>
      </c>
      <c r="AA158" s="63" t="str">
        <f t="shared" si="507"/>
        <v>Act</v>
      </c>
      <c r="AB158" s="63" t="str">
        <f t="shared" si="507"/>
        <v>Act</v>
      </c>
      <c r="AC158" s="63" t="str">
        <f t="shared" si="507"/>
        <v>Act</v>
      </c>
      <c r="AD158" s="63" t="str">
        <f t="shared" si="507"/>
        <v>Act</v>
      </c>
      <c r="AE158" s="63" t="str">
        <f t="shared" si="507"/>
        <v>Act</v>
      </c>
      <c r="AF158" s="63" t="str">
        <f t="shared" si="507"/>
        <v>Act</v>
      </c>
      <c r="AG158" s="63" t="str">
        <f t="shared" si="507"/>
        <v>Act</v>
      </c>
      <c r="AH158" s="63" t="str">
        <f t="shared" si="507"/>
        <v>Act</v>
      </c>
      <c r="AI158" s="63" t="str">
        <f t="shared" si="507"/>
        <v>Act</v>
      </c>
      <c r="AJ158" s="63" t="str">
        <f t="shared" si="507"/>
        <v>Act</v>
      </c>
      <c r="AK158" s="63" t="str">
        <f t="shared" si="507"/>
        <v>Act</v>
      </c>
      <c r="AL158" s="63" t="str">
        <f t="shared" si="507"/>
        <v>Act</v>
      </c>
      <c r="AM158" s="63" t="str">
        <f t="shared" si="507"/>
        <v>Act</v>
      </c>
      <c r="AN158" s="63" t="str">
        <f t="shared" si="507"/>
        <v>Act</v>
      </c>
      <c r="AO158" s="63" t="str">
        <f t="shared" si="507"/>
        <v>Act</v>
      </c>
      <c r="AP158" s="63" t="str">
        <f t="shared" si="507"/>
        <v>Act</v>
      </c>
      <c r="AQ158" s="63" t="str">
        <f t="shared" si="507"/>
        <v>Act</v>
      </c>
      <c r="AR158" s="63" t="str">
        <f t="shared" si="507"/>
        <v>Act</v>
      </c>
      <c r="AS158" s="63" t="str">
        <f t="shared" si="507"/>
        <v>Act</v>
      </c>
      <c r="AT158" s="63" t="str">
        <f t="shared" si="507"/>
        <v>Act</v>
      </c>
      <c r="AU158" s="63" t="str">
        <f t="shared" si="507"/>
        <v>Act</v>
      </c>
    </row>
    <row r="159" spans="2:47" s="6" customFormat="1" ht="13.5" customHeight="1" x14ac:dyDescent="0.3"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</row>
    <row r="160" spans="2:47" s="6" customFormat="1" ht="13.5" customHeight="1" x14ac:dyDescent="0.3">
      <c r="B160" s="6" t="s">
        <v>357</v>
      </c>
      <c r="C160" s="71">
        <f t="shared" ref="C160:M160" si="508">C10</f>
        <v>126781.66</v>
      </c>
      <c r="D160" s="71">
        <f t="shared" si="508"/>
        <v>135280.731</v>
      </c>
      <c r="E160" s="71">
        <f t="shared" si="508"/>
        <v>151172.80599999998</v>
      </c>
      <c r="F160" s="71">
        <f t="shared" si="508"/>
        <v>166660.337</v>
      </c>
      <c r="G160" s="71">
        <f t="shared" si="508"/>
        <v>160519.54199999999</v>
      </c>
      <c r="H160" s="71">
        <f t="shared" si="508"/>
        <v>168496.45800000001</v>
      </c>
      <c r="I160" s="71">
        <f t="shared" si="508"/>
        <v>175040.723</v>
      </c>
      <c r="J160" s="71">
        <f t="shared" si="508"/>
        <v>180164.45499999999</v>
      </c>
      <c r="K160" s="71">
        <f t="shared" si="508"/>
        <v>180586.06</v>
      </c>
      <c r="L160" s="71">
        <f t="shared" si="508"/>
        <v>178239.84399999998</v>
      </c>
      <c r="M160" s="71"/>
      <c r="N160" s="71"/>
      <c r="O160" s="71">
        <f t="shared" ref="O160:AU160" si="509">O10</f>
        <v>36937.625999999997</v>
      </c>
      <c r="P160" s="71">
        <f t="shared" si="509"/>
        <v>37508.339</v>
      </c>
      <c r="Q160" s="71">
        <f t="shared" si="509"/>
        <v>37156.788</v>
      </c>
      <c r="R160" s="71">
        <f t="shared" si="509"/>
        <v>39570.052999999993</v>
      </c>
      <c r="S160" s="71">
        <f t="shared" si="509"/>
        <v>40636.066999999995</v>
      </c>
      <c r="T160" s="71">
        <f t="shared" si="509"/>
        <v>40884.951000000001</v>
      </c>
      <c r="U160" s="71">
        <f t="shared" si="509"/>
        <v>41896.897000000004</v>
      </c>
      <c r="V160" s="71">
        <f t="shared" si="509"/>
        <v>43242.421999999991</v>
      </c>
      <c r="W160" s="71">
        <f t="shared" si="509"/>
        <v>41191.351999999999</v>
      </c>
      <c r="X160" s="71">
        <f t="shared" si="509"/>
        <v>37622.777999999998</v>
      </c>
      <c r="Y160" s="71">
        <f t="shared" si="509"/>
        <v>40778.877</v>
      </c>
      <c r="Z160" s="71">
        <f t="shared" si="509"/>
        <v>40926.534999999982</v>
      </c>
      <c r="AA160" s="71">
        <f t="shared" si="509"/>
        <v>42847.087</v>
      </c>
      <c r="AB160" s="71">
        <f t="shared" si="509"/>
        <v>41562.663999999997</v>
      </c>
      <c r="AC160" s="71">
        <f t="shared" si="509"/>
        <v>41744.31</v>
      </c>
      <c r="AD160" s="71">
        <f t="shared" si="509"/>
        <v>42342.397000000012</v>
      </c>
      <c r="AE160" s="71">
        <f t="shared" si="509"/>
        <v>43556.876000000004</v>
      </c>
      <c r="AF160" s="71">
        <f t="shared" si="509"/>
        <v>43764.991000000002</v>
      </c>
      <c r="AG160" s="71">
        <f t="shared" si="509"/>
        <v>42875.272000000004</v>
      </c>
      <c r="AH160" s="71">
        <f t="shared" si="509"/>
        <v>44843.583999999981</v>
      </c>
      <c r="AI160" s="71">
        <f t="shared" si="509"/>
        <v>45030.307999999997</v>
      </c>
      <c r="AJ160" s="71">
        <f t="shared" si="509"/>
        <v>44493.97</v>
      </c>
      <c r="AK160" s="71">
        <f t="shared" si="509"/>
        <v>44268.125</v>
      </c>
      <c r="AL160" s="71">
        <f t="shared" si="509"/>
        <v>46372.051999999996</v>
      </c>
      <c r="AM160" s="71">
        <f t="shared" si="509"/>
        <v>45307.621999999996</v>
      </c>
      <c r="AN160" s="71">
        <f t="shared" si="509"/>
        <v>44317.630999999994</v>
      </c>
      <c r="AO160" s="71">
        <f t="shared" si="509"/>
        <v>45118.938999999998</v>
      </c>
      <c r="AP160" s="71">
        <f t="shared" si="509"/>
        <v>45841.868000000002</v>
      </c>
      <c r="AQ160" s="71">
        <f t="shared" si="509"/>
        <v>43755.680999999997</v>
      </c>
      <c r="AR160" s="71">
        <f t="shared" si="509"/>
        <v>43470.022000000004</v>
      </c>
      <c r="AS160" s="71">
        <f t="shared" si="509"/>
        <v>44364.731999999996</v>
      </c>
      <c r="AT160" s="71">
        <f t="shared" si="509"/>
        <v>46649.408999999985</v>
      </c>
      <c r="AU160" s="71">
        <f t="shared" si="509"/>
        <v>45706.451999999997</v>
      </c>
    </row>
    <row r="161" spans="2:47" s="16" customFormat="1" ht="13.5" customHeight="1" x14ac:dyDescent="0.3">
      <c r="B161" s="31" t="s">
        <v>260</v>
      </c>
      <c r="C161" s="72"/>
      <c r="D161" s="72">
        <f t="shared" ref="D161" si="510">D160/C160-1</f>
        <v>6.7037069872724508E-2</v>
      </c>
      <c r="E161" s="72">
        <f t="shared" ref="E161:L161" si="511">E160/D160-1</f>
        <v>0.11747478656069643</v>
      </c>
      <c r="F161" s="72">
        <f t="shared" si="511"/>
        <v>0.10244918652895829</v>
      </c>
      <c r="G161" s="72">
        <f t="shared" si="511"/>
        <v>-3.6846169343819457E-2</v>
      </c>
      <c r="H161" s="72">
        <f t="shared" si="511"/>
        <v>4.969436057822807E-2</v>
      </c>
      <c r="I161" s="72">
        <f t="shared" si="511"/>
        <v>3.8839184382142733E-2</v>
      </c>
      <c r="J161" s="72">
        <f t="shared" si="511"/>
        <v>2.927165697321743E-2</v>
      </c>
      <c r="K161" s="72">
        <f t="shared" si="511"/>
        <v>2.3401119826882422E-3</v>
      </c>
      <c r="L161" s="72">
        <f t="shared" si="511"/>
        <v>-1.2992232069297116E-2</v>
      </c>
      <c r="M161" s="18"/>
      <c r="N161" s="235"/>
      <c r="O161" s="72"/>
      <c r="P161" s="72"/>
      <c r="Q161" s="72"/>
      <c r="R161" s="72"/>
      <c r="S161" s="72">
        <f t="shared" ref="S161:Z161" si="512">S160/O160-1</f>
        <v>0.10012665675915389</v>
      </c>
      <c r="T161" s="72">
        <f t="shared" si="512"/>
        <v>9.0022967959205058E-2</v>
      </c>
      <c r="U161" s="72">
        <f t="shared" si="512"/>
        <v>0.12757047245310882</v>
      </c>
      <c r="V161" s="72">
        <f t="shared" si="512"/>
        <v>9.2806774860776597E-2</v>
      </c>
      <c r="W161" s="72">
        <f t="shared" si="512"/>
        <v>1.3664831293835666E-2</v>
      </c>
      <c r="X161" s="72">
        <f t="shared" si="512"/>
        <v>-7.9789089144316261E-2</v>
      </c>
      <c r="Y161" s="72">
        <f t="shared" si="512"/>
        <v>-2.6685031113402147E-2</v>
      </c>
      <c r="Z161" s="72">
        <f t="shared" si="512"/>
        <v>-5.3555903968561469E-2</v>
      </c>
      <c r="AA161" s="72">
        <f t="shared" ref="AA161" si="513">AA160/W160-1</f>
        <v>4.0196180013707838E-2</v>
      </c>
      <c r="AB161" s="72">
        <f t="shared" ref="AB161:AU161" si="514">AB160/X160-1</f>
        <v>0.10472076251253948</v>
      </c>
      <c r="AC161" s="72">
        <f t="shared" si="514"/>
        <v>2.3674830476572373E-2</v>
      </c>
      <c r="AD161" s="72">
        <f t="shared" si="514"/>
        <v>3.4595208218825002E-2</v>
      </c>
      <c r="AE161" s="72">
        <f t="shared" si="514"/>
        <v>1.6565630237593609E-2</v>
      </c>
      <c r="AF161" s="72">
        <f t="shared" si="514"/>
        <v>5.2988109713083098E-2</v>
      </c>
      <c r="AG161" s="72">
        <f t="shared" si="514"/>
        <v>2.7092602560684576E-2</v>
      </c>
      <c r="AH161" s="72">
        <f t="shared" si="514"/>
        <v>5.9070510344512828E-2</v>
      </c>
      <c r="AI161" s="72">
        <f t="shared" si="514"/>
        <v>3.3827770384634359E-2</v>
      </c>
      <c r="AJ161" s="72">
        <f t="shared" si="514"/>
        <v>1.6656669711185401E-2</v>
      </c>
      <c r="AK161" s="72">
        <f t="shared" si="514"/>
        <v>3.2486161253973966E-2</v>
      </c>
      <c r="AL161" s="72">
        <f t="shared" si="514"/>
        <v>3.4084430004524435E-2</v>
      </c>
      <c r="AM161" s="72">
        <f t="shared" si="514"/>
        <v>6.1583855922104913E-3</v>
      </c>
      <c r="AN161" s="72">
        <f t="shared" si="514"/>
        <v>-3.9632111946856785E-3</v>
      </c>
      <c r="AO161" s="72">
        <f t="shared" si="514"/>
        <v>1.9219562608536078E-2</v>
      </c>
      <c r="AP161" s="72">
        <f t="shared" si="514"/>
        <v>-1.1433265881785726E-2</v>
      </c>
      <c r="AQ161" s="72">
        <f t="shared" si="514"/>
        <v>-3.4253419877123492E-2</v>
      </c>
      <c r="AR161" s="72">
        <f t="shared" si="514"/>
        <v>-1.9125774119108208E-2</v>
      </c>
      <c r="AS161" s="72">
        <f t="shared" si="514"/>
        <v>-1.6715973751067148E-2</v>
      </c>
      <c r="AT161" s="72">
        <f t="shared" si="514"/>
        <v>1.7615796110227899E-2</v>
      </c>
      <c r="AU161" s="72">
        <f t="shared" si="514"/>
        <v>4.4583262228280685E-2</v>
      </c>
    </row>
    <row r="162" spans="2:47" s="6" customFormat="1" ht="13.5" customHeight="1" thickBot="1" x14ac:dyDescent="0.35">
      <c r="B162" s="73" t="str">
        <f t="shared" ref="B162:M162" si="515">+B56</f>
        <v xml:space="preserve">Adj. EBITDA </v>
      </c>
      <c r="C162" s="74">
        <f t="shared" si="515"/>
        <v>49978.396000000001</v>
      </c>
      <c r="D162" s="74">
        <f t="shared" si="515"/>
        <v>53325.671000000002</v>
      </c>
      <c r="E162" s="74">
        <f t="shared" si="515"/>
        <v>65127.114999999998</v>
      </c>
      <c r="F162" s="74">
        <f t="shared" si="515"/>
        <v>76031.433000000005</v>
      </c>
      <c r="G162" s="74">
        <f t="shared" si="515"/>
        <v>73512.354999999996</v>
      </c>
      <c r="H162" s="74">
        <f t="shared" si="515"/>
        <v>74921.880999999994</v>
      </c>
      <c r="I162" s="74">
        <f t="shared" si="515"/>
        <v>79092.019</v>
      </c>
      <c r="J162" s="74">
        <f t="shared" si="515"/>
        <v>81426.745999999999</v>
      </c>
      <c r="K162" s="74">
        <f t="shared" si="515"/>
        <v>86813.676000000007</v>
      </c>
      <c r="L162" s="74">
        <f t="shared" si="515"/>
        <v>87624.316000000006</v>
      </c>
      <c r="M162" s="74"/>
      <c r="N162" s="71"/>
      <c r="O162" s="74">
        <f t="shared" ref="O162:AU162" si="516">+O56</f>
        <v>16079.679</v>
      </c>
      <c r="P162" s="74">
        <f t="shared" si="516"/>
        <v>16739.416000000001</v>
      </c>
      <c r="Q162" s="74">
        <f t="shared" si="516"/>
        <v>16475.837999999996</v>
      </c>
      <c r="R162" s="74">
        <f t="shared" si="516"/>
        <v>15832.182000000001</v>
      </c>
      <c r="S162" s="74">
        <f t="shared" si="516"/>
        <v>19919.352999999999</v>
      </c>
      <c r="T162" s="74">
        <f t="shared" si="516"/>
        <v>18662.350999999999</v>
      </c>
      <c r="U162" s="74">
        <f t="shared" si="516"/>
        <v>19275.013999999999</v>
      </c>
      <c r="V162" s="74">
        <f t="shared" si="516"/>
        <v>18174.715000000015</v>
      </c>
      <c r="W162" s="74">
        <f t="shared" si="516"/>
        <v>20475.678</v>
      </c>
      <c r="X162" s="74">
        <f t="shared" si="516"/>
        <v>17911.875</v>
      </c>
      <c r="Y162" s="74">
        <f t="shared" si="516"/>
        <v>17866.964999999997</v>
      </c>
      <c r="Z162" s="74">
        <f t="shared" si="516"/>
        <v>17257.837</v>
      </c>
      <c r="AA162" s="74">
        <f t="shared" si="516"/>
        <v>18287.93</v>
      </c>
      <c r="AB162" s="74">
        <f t="shared" si="516"/>
        <v>19084.474000000002</v>
      </c>
      <c r="AC162" s="74">
        <f t="shared" si="516"/>
        <v>19542.695999999996</v>
      </c>
      <c r="AD162" s="74">
        <f t="shared" si="516"/>
        <v>18006.780999999995</v>
      </c>
      <c r="AE162" s="74">
        <f t="shared" si="516"/>
        <v>19680.34</v>
      </c>
      <c r="AF162" s="74">
        <f t="shared" si="516"/>
        <v>20865.382999999903</v>
      </c>
      <c r="AG162" s="74">
        <f t="shared" si="516"/>
        <v>19771.815000000101</v>
      </c>
      <c r="AH162" s="74">
        <f t="shared" si="516"/>
        <v>18774.480999999996</v>
      </c>
      <c r="AI162" s="74">
        <f t="shared" si="516"/>
        <v>20528.099999999999</v>
      </c>
      <c r="AJ162" s="74">
        <f t="shared" si="516"/>
        <v>19965</v>
      </c>
      <c r="AK162" s="74">
        <f t="shared" si="516"/>
        <v>20203.339</v>
      </c>
      <c r="AL162" s="74">
        <f t="shared" si="516"/>
        <v>20730.307000000001</v>
      </c>
      <c r="AM162" s="74">
        <f t="shared" si="516"/>
        <v>21350.792000000001</v>
      </c>
      <c r="AN162" s="74">
        <f t="shared" si="516"/>
        <v>21613</v>
      </c>
      <c r="AO162" s="74">
        <f t="shared" si="516"/>
        <v>21900.866000000002</v>
      </c>
      <c r="AP162" s="74">
        <f t="shared" si="516"/>
        <v>21949.018000000004</v>
      </c>
      <c r="AQ162" s="74">
        <f t="shared" si="516"/>
        <v>20762.714</v>
      </c>
      <c r="AR162" s="74">
        <f t="shared" si="516"/>
        <v>21377.042999999998</v>
      </c>
      <c r="AS162" s="74">
        <f t="shared" si="516"/>
        <v>22045.695</v>
      </c>
      <c r="AT162" s="74">
        <f t="shared" si="516"/>
        <v>23438.864000000016</v>
      </c>
      <c r="AU162" s="74">
        <f t="shared" si="516"/>
        <v>22173.866000000002</v>
      </c>
    </row>
    <row r="163" spans="2:47" s="16" customFormat="1" ht="13.5" customHeight="1" thickTop="1" x14ac:dyDescent="0.3">
      <c r="B163" s="31" t="str">
        <f>+B57</f>
        <v xml:space="preserve">% growth </v>
      </c>
      <c r="C163" s="72"/>
      <c r="D163" s="72">
        <f t="shared" ref="D163" si="517">D162/C162-1</f>
        <v>6.697443831530725E-2</v>
      </c>
      <c r="E163" s="72">
        <f t="shared" ref="E163:L163" si="518">E162/D162-1</f>
        <v>0.2213088701687409</v>
      </c>
      <c r="F163" s="72">
        <f t="shared" si="518"/>
        <v>0.16743130722127031</v>
      </c>
      <c r="G163" s="72">
        <f t="shared" si="518"/>
        <v>-3.3132059999448016E-2</v>
      </c>
      <c r="H163" s="72">
        <f t="shared" si="518"/>
        <v>1.9174001431460086E-2</v>
      </c>
      <c r="I163" s="72">
        <f t="shared" si="518"/>
        <v>5.5659814520673923E-2</v>
      </c>
      <c r="J163" s="72">
        <f t="shared" si="518"/>
        <v>2.9519122529922948E-2</v>
      </c>
      <c r="K163" s="72">
        <f t="shared" si="518"/>
        <v>6.6156763773908001E-2</v>
      </c>
      <c r="L163" s="72">
        <f t="shared" si="518"/>
        <v>9.3376992813896109E-3</v>
      </c>
      <c r="M163" s="18"/>
      <c r="N163" s="235"/>
      <c r="O163" s="72"/>
      <c r="P163" s="72"/>
      <c r="Q163" s="72"/>
      <c r="R163" s="72"/>
      <c r="S163" s="72">
        <f t="shared" ref="S163:Z163" si="519">S162/O162-1</f>
        <v>0.23879046341658938</v>
      </c>
      <c r="T163" s="72">
        <f t="shared" si="519"/>
        <v>0.11487467663149054</v>
      </c>
      <c r="U163" s="72">
        <f t="shared" si="519"/>
        <v>0.16989581956316901</v>
      </c>
      <c r="V163" s="72">
        <f t="shared" si="519"/>
        <v>0.14796021167518258</v>
      </c>
      <c r="W163" s="72">
        <f t="shared" si="519"/>
        <v>2.7928868974810506E-2</v>
      </c>
      <c r="X163" s="72">
        <f t="shared" si="519"/>
        <v>-4.0213368615776179E-2</v>
      </c>
      <c r="Y163" s="72">
        <f t="shared" si="519"/>
        <v>-7.3050478718199807E-2</v>
      </c>
      <c r="Z163" s="72">
        <f t="shared" si="519"/>
        <v>-5.0447998771920965E-2</v>
      </c>
      <c r="AA163" s="72">
        <f t="shared" ref="AA163" si="520">AA162/W162-1</f>
        <v>-0.10684618111302591</v>
      </c>
      <c r="AB163" s="72">
        <f t="shared" ref="AB163:AU163" si="521">AB162/X162-1</f>
        <v>6.5464894099584781E-2</v>
      </c>
      <c r="AC163" s="72">
        <f t="shared" si="521"/>
        <v>9.3789348106967152E-2</v>
      </c>
      <c r="AD163" s="72">
        <f t="shared" si="521"/>
        <v>4.3397327254858009E-2</v>
      </c>
      <c r="AE163" s="72">
        <f t="shared" si="521"/>
        <v>7.6138196067023323E-2</v>
      </c>
      <c r="AF163" s="72">
        <f t="shared" si="521"/>
        <v>9.3317164518126106E-2</v>
      </c>
      <c r="AG163" s="72">
        <f t="shared" si="521"/>
        <v>1.1724022110363164E-2</v>
      </c>
      <c r="AH163" s="72">
        <f t="shared" si="521"/>
        <v>4.2633938847815189E-2</v>
      </c>
      <c r="AI163" s="72">
        <f t="shared" si="521"/>
        <v>4.3076491564678188E-2</v>
      </c>
      <c r="AJ163" s="72">
        <f t="shared" si="521"/>
        <v>-4.3151999654159612E-2</v>
      </c>
      <c r="AK163" s="72">
        <f t="shared" si="521"/>
        <v>2.1825209268845347E-2</v>
      </c>
      <c r="AL163" s="72">
        <f t="shared" si="521"/>
        <v>0.10417470395053829</v>
      </c>
      <c r="AM163" s="72">
        <f t="shared" si="521"/>
        <v>4.0076383104135527E-2</v>
      </c>
      <c r="AN163" s="72">
        <f t="shared" si="521"/>
        <v>8.2544452792386647E-2</v>
      </c>
      <c r="AO163" s="72">
        <f t="shared" si="521"/>
        <v>8.4022101495203394E-2</v>
      </c>
      <c r="AP163" s="72">
        <f t="shared" si="521"/>
        <v>5.8788854405291913E-2</v>
      </c>
      <c r="AQ163" s="72">
        <f t="shared" si="521"/>
        <v>-2.7543615243874831E-2</v>
      </c>
      <c r="AR163" s="72">
        <f t="shared" si="521"/>
        <v>-1.0917364549114073E-2</v>
      </c>
      <c r="AS163" s="72">
        <f t="shared" si="521"/>
        <v>6.6129348492427464E-3</v>
      </c>
      <c r="AT163" s="72">
        <f t="shared" si="521"/>
        <v>6.787756973911141E-2</v>
      </c>
      <c r="AU163" s="72">
        <f t="shared" si="521"/>
        <v>6.7965681172509562E-2</v>
      </c>
    </row>
    <row r="164" spans="2:47" s="16" customFormat="1" ht="13.5" customHeight="1" x14ac:dyDescent="0.3">
      <c r="B164" s="31" t="str">
        <f>+B58</f>
        <v>% margin</v>
      </c>
      <c r="C164" s="72">
        <f t="shared" ref="C164:G164" si="522">+C162/C160</f>
        <v>0.39420840522201711</v>
      </c>
      <c r="D164" s="72">
        <f t="shared" si="522"/>
        <v>0.39418526648854374</v>
      </c>
      <c r="E164" s="72">
        <f t="shared" si="522"/>
        <v>0.43081237110859744</v>
      </c>
      <c r="F164" s="72">
        <f t="shared" si="522"/>
        <v>0.45620592378857366</v>
      </c>
      <c r="G164" s="72">
        <f t="shared" si="522"/>
        <v>0.45796514296059981</v>
      </c>
      <c r="H164" s="72">
        <f t="shared" ref="H164:I164" si="523">+H162/H160</f>
        <v>0.44464959020088118</v>
      </c>
      <c r="I164" s="72">
        <f t="shared" si="523"/>
        <v>0.45184924767478252</v>
      </c>
      <c r="J164" s="72">
        <f t="shared" ref="J164:K164" si="524">+J162/J160</f>
        <v>0.45195788481140747</v>
      </c>
      <c r="K164" s="72">
        <f t="shared" si="524"/>
        <v>0.48073298680972387</v>
      </c>
      <c r="L164" s="72">
        <f t="shared" ref="L164" si="525">+L162/L160</f>
        <v>0.49160902542082574</v>
      </c>
      <c r="M164" s="72"/>
      <c r="N164" s="237"/>
      <c r="O164" s="72">
        <f t="shared" ref="O164:S164" si="526">+O162/O160</f>
        <v>0.43531977393457827</v>
      </c>
      <c r="P164" s="72">
        <f t="shared" si="526"/>
        <v>0.44628518474251822</v>
      </c>
      <c r="Q164" s="72">
        <f t="shared" si="526"/>
        <v>0.44341394632926817</v>
      </c>
      <c r="R164" s="72">
        <f t="shared" si="526"/>
        <v>0.40010515022560128</v>
      </c>
      <c r="S164" s="72">
        <f t="shared" si="526"/>
        <v>0.49018899885168515</v>
      </c>
      <c r="T164" s="72">
        <f>+T162/T160</f>
        <v>0.45646015327253292</v>
      </c>
      <c r="U164" s="72">
        <f>+U162/U160</f>
        <v>0.46005827114117775</v>
      </c>
      <c r="V164" s="72">
        <f>+V162/V160</f>
        <v>0.4202982663644515</v>
      </c>
      <c r="W164" s="72">
        <f t="shared" ref="W164" si="527">+W162/W160</f>
        <v>0.49708681569859614</v>
      </c>
      <c r="X164" s="72">
        <f>+X162/X160</f>
        <v>0.47609123919557456</v>
      </c>
      <c r="Y164" s="72">
        <f>+Y162/Y160</f>
        <v>0.43814264429106264</v>
      </c>
      <c r="Z164" s="72">
        <f>+Z162/Z160</f>
        <v>0.42167842941016159</v>
      </c>
      <c r="AA164" s="72">
        <f t="shared" ref="AA164" si="528">+AA162/AA160</f>
        <v>0.42681851394004922</v>
      </c>
      <c r="AB164" s="72">
        <f>+AB162/AB160</f>
        <v>0.45917350244921751</v>
      </c>
      <c r="AC164" s="72">
        <f>+AC162/AC160</f>
        <v>0.4681523302217715</v>
      </c>
      <c r="AD164" s="72">
        <f>+AD162/AD160</f>
        <v>0.42526598104495572</v>
      </c>
      <c r="AE164" s="72">
        <f t="shared" ref="AE164" si="529">+AE162/AE160</f>
        <v>0.45183084296495457</v>
      </c>
      <c r="AF164" s="72">
        <f>+AF162/AF160</f>
        <v>0.47675967761537763</v>
      </c>
      <c r="AG164" s="72">
        <f>+AG162/AG160</f>
        <v>0.46114727855254417</v>
      </c>
      <c r="AH164" s="72">
        <f>+AH162/AH160</f>
        <v>0.4186659344623303</v>
      </c>
      <c r="AI164" s="72">
        <f t="shared" ref="AI164" si="530">+AI162/AI160</f>
        <v>0.45587296449315867</v>
      </c>
      <c r="AJ164" s="72">
        <f>+AJ162/AJ160</f>
        <v>0.44871248845630091</v>
      </c>
      <c r="AK164" s="72">
        <f>+AK162/AK160</f>
        <v>0.4563856951248782</v>
      </c>
      <c r="AL164" s="72">
        <f>+AL162/AL160</f>
        <v>0.44704312416452913</v>
      </c>
      <c r="AM164" s="72">
        <f t="shared" ref="AM164" si="531">+AM162/AM160</f>
        <v>0.47124062260429389</v>
      </c>
      <c r="AN164" s="72">
        <f>+AN162/AN160</f>
        <v>0.48768401000495726</v>
      </c>
      <c r="AO164" s="72">
        <f>+AO162/AO160</f>
        <v>0.48540294797269062</v>
      </c>
      <c r="AP164" s="72">
        <f>+AP162/AP160</f>
        <v>0.47879850794910894</v>
      </c>
      <c r="AQ164" s="72">
        <f t="shared" ref="AQ164" si="532">+AQ162/AQ160</f>
        <v>0.47451470358786102</v>
      </c>
      <c r="AR164" s="72">
        <f>+AR162/AR160</f>
        <v>0.49176517555017563</v>
      </c>
      <c r="AS164" s="72">
        <f>+AS162/AS160</f>
        <v>0.49691937731078828</v>
      </c>
      <c r="AT164" s="72">
        <f>+AT162/AT160</f>
        <v>0.50244717998463873</v>
      </c>
      <c r="AU164" s="72">
        <f t="shared" ref="AU164" si="533">+AU162/AU160</f>
        <v>0.48513645294541791</v>
      </c>
    </row>
    <row r="165" spans="2:47" ht="13.5" customHeight="1" x14ac:dyDescent="0.35"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</row>
    <row r="166" spans="2:47" s="6" customFormat="1" ht="13.5" customHeight="1" x14ac:dyDescent="0.3">
      <c r="B166" s="6" t="str">
        <f t="shared" ref="B166:M166" si="534">+B61</f>
        <v xml:space="preserve">Adj EBITDA </v>
      </c>
      <c r="C166" s="71">
        <f t="shared" si="534"/>
        <v>49978.396000000001</v>
      </c>
      <c r="D166" s="71">
        <f t="shared" si="534"/>
        <v>53325.671000000002</v>
      </c>
      <c r="E166" s="71">
        <f t="shared" si="534"/>
        <v>65127.114999999998</v>
      </c>
      <c r="F166" s="71">
        <f t="shared" si="534"/>
        <v>76031.433000000005</v>
      </c>
      <c r="G166" s="71">
        <f t="shared" si="534"/>
        <v>73512.354999999996</v>
      </c>
      <c r="H166" s="71">
        <f t="shared" si="534"/>
        <v>74921.880999999994</v>
      </c>
      <c r="I166" s="71">
        <f t="shared" si="534"/>
        <v>79092.019</v>
      </c>
      <c r="J166" s="71">
        <f t="shared" si="534"/>
        <v>81426.745999999999</v>
      </c>
      <c r="K166" s="71">
        <f t="shared" si="534"/>
        <v>86813.676000000007</v>
      </c>
      <c r="L166" s="71">
        <f t="shared" si="534"/>
        <v>87624.316000000006</v>
      </c>
      <c r="M166" s="71"/>
      <c r="N166" s="71"/>
      <c r="O166" s="71">
        <f t="shared" ref="O166:AU166" si="535">+O61</f>
        <v>16079.679</v>
      </c>
      <c r="P166" s="71">
        <f t="shared" si="535"/>
        <v>16739.416000000001</v>
      </c>
      <c r="Q166" s="71">
        <f t="shared" si="535"/>
        <v>16475.837999999996</v>
      </c>
      <c r="R166" s="71">
        <f t="shared" si="535"/>
        <v>15832.182000000001</v>
      </c>
      <c r="S166" s="71">
        <f t="shared" si="535"/>
        <v>19919.352999999999</v>
      </c>
      <c r="T166" s="71">
        <f t="shared" si="535"/>
        <v>18662.350999999999</v>
      </c>
      <c r="U166" s="71">
        <f t="shared" si="535"/>
        <v>19275.013999999999</v>
      </c>
      <c r="V166" s="71">
        <f t="shared" si="535"/>
        <v>18174.715000000015</v>
      </c>
      <c r="W166" s="71">
        <f t="shared" si="535"/>
        <v>20475.678</v>
      </c>
      <c r="X166" s="71">
        <f t="shared" si="535"/>
        <v>17911.875</v>
      </c>
      <c r="Y166" s="71">
        <f t="shared" si="535"/>
        <v>17866.964999999997</v>
      </c>
      <c r="Z166" s="71">
        <f t="shared" si="535"/>
        <v>17257.837</v>
      </c>
      <c r="AA166" s="71">
        <f t="shared" si="535"/>
        <v>18287.93</v>
      </c>
      <c r="AB166" s="71">
        <f t="shared" si="535"/>
        <v>19084.474000000002</v>
      </c>
      <c r="AC166" s="71">
        <f t="shared" si="535"/>
        <v>19542.695999999996</v>
      </c>
      <c r="AD166" s="71">
        <f t="shared" si="535"/>
        <v>18006.780999999995</v>
      </c>
      <c r="AE166" s="71">
        <f t="shared" si="535"/>
        <v>19680.34</v>
      </c>
      <c r="AF166" s="71">
        <f t="shared" si="535"/>
        <v>20865.382999999903</v>
      </c>
      <c r="AG166" s="71">
        <f t="shared" si="535"/>
        <v>19771.815000000101</v>
      </c>
      <c r="AH166" s="71">
        <f t="shared" si="535"/>
        <v>18774.480999999996</v>
      </c>
      <c r="AI166" s="71">
        <f t="shared" si="535"/>
        <v>20528.099999999999</v>
      </c>
      <c r="AJ166" s="71">
        <f t="shared" si="535"/>
        <v>19965</v>
      </c>
      <c r="AK166" s="71">
        <f t="shared" si="535"/>
        <v>20203.339</v>
      </c>
      <c r="AL166" s="71">
        <f t="shared" si="535"/>
        <v>20730.307000000001</v>
      </c>
      <c r="AM166" s="71">
        <f t="shared" si="535"/>
        <v>21350.792000000001</v>
      </c>
      <c r="AN166" s="71">
        <f t="shared" si="535"/>
        <v>21613</v>
      </c>
      <c r="AO166" s="71">
        <f t="shared" si="535"/>
        <v>21900.866000000002</v>
      </c>
      <c r="AP166" s="71">
        <f t="shared" si="535"/>
        <v>21949.018000000004</v>
      </c>
      <c r="AQ166" s="71">
        <f t="shared" si="535"/>
        <v>20762.714</v>
      </c>
      <c r="AR166" s="71">
        <f t="shared" si="535"/>
        <v>21377.042999999998</v>
      </c>
      <c r="AS166" s="71">
        <f t="shared" si="535"/>
        <v>22045.695</v>
      </c>
      <c r="AT166" s="71">
        <f t="shared" si="535"/>
        <v>23438.864000000016</v>
      </c>
      <c r="AU166" s="71">
        <f t="shared" si="535"/>
        <v>22173.866000000002</v>
      </c>
    </row>
    <row r="167" spans="2:47" ht="13.5" customHeight="1" x14ac:dyDescent="0.35">
      <c r="B167" s="3" t="str">
        <f t="shared" ref="B167:M167" si="536">+B62</f>
        <v>Working Capital</v>
      </c>
      <c r="C167" s="76">
        <f t="shared" si="536"/>
        <v>-11573.292000000001</v>
      </c>
      <c r="D167" s="76">
        <f t="shared" si="536"/>
        <v>-3102.2390000000009</v>
      </c>
      <c r="E167" s="76">
        <f t="shared" si="536"/>
        <v>-7875.8220000000001</v>
      </c>
      <c r="F167" s="76">
        <f t="shared" si="536"/>
        <v>-1767.2099999999991</v>
      </c>
      <c r="G167" s="76">
        <f t="shared" si="536"/>
        <v>-9316.4019999999873</v>
      </c>
      <c r="H167" s="76">
        <f t="shared" si="536"/>
        <v>-10061.233000000007</v>
      </c>
      <c r="I167" s="76">
        <f t="shared" si="536"/>
        <v>-14587.577000000005</v>
      </c>
      <c r="J167" s="76">
        <f t="shared" si="536"/>
        <v>-4669.1469999999972</v>
      </c>
      <c r="K167" s="76">
        <f t="shared" si="536"/>
        <v>-3530.4919999999984</v>
      </c>
      <c r="L167" s="76">
        <f t="shared" si="536"/>
        <v>-8071.1820000000007</v>
      </c>
      <c r="M167" s="76"/>
      <c r="N167" s="76"/>
      <c r="O167" s="76">
        <f t="shared" ref="O167:AU167" si="537">+O62</f>
        <v>-6924.780999999999</v>
      </c>
      <c r="P167" s="76">
        <f t="shared" si="537"/>
        <v>3800.7209999999995</v>
      </c>
      <c r="Q167" s="76">
        <f t="shared" si="537"/>
        <v>-1333.9750000000004</v>
      </c>
      <c r="R167" s="76">
        <f t="shared" si="537"/>
        <v>-3417.7870000000003</v>
      </c>
      <c r="S167" s="76">
        <f t="shared" si="537"/>
        <v>-2889.4430000000002</v>
      </c>
      <c r="T167" s="76">
        <f t="shared" si="537"/>
        <v>-590.76499999999987</v>
      </c>
      <c r="U167" s="76">
        <f t="shared" si="537"/>
        <v>1100.5150000000003</v>
      </c>
      <c r="V167" s="76">
        <f t="shared" si="537"/>
        <v>612.48300000000063</v>
      </c>
      <c r="W167" s="76">
        <f t="shared" si="537"/>
        <v>-7006.0690000000004</v>
      </c>
      <c r="X167" s="76">
        <f t="shared" si="537"/>
        <v>-8694.2029999999977</v>
      </c>
      <c r="Y167" s="76">
        <f t="shared" si="537"/>
        <v>4199.0589999999984</v>
      </c>
      <c r="Z167" s="76">
        <f t="shared" si="537"/>
        <v>2184.8110000000133</v>
      </c>
      <c r="AA167" s="76">
        <f t="shared" si="537"/>
        <v>-3448.0590000000011</v>
      </c>
      <c r="AB167" s="76">
        <f t="shared" si="537"/>
        <v>-2146.7979999999952</v>
      </c>
      <c r="AC167" s="76">
        <f t="shared" si="537"/>
        <v>-4033.083000000006</v>
      </c>
      <c r="AD167" s="76">
        <f t="shared" si="537"/>
        <v>-433.29300000000512</v>
      </c>
      <c r="AE167" s="76">
        <f t="shared" si="537"/>
        <v>-8164.4860000000008</v>
      </c>
      <c r="AF167" s="76">
        <f t="shared" si="537"/>
        <v>-1750.7460000000028</v>
      </c>
      <c r="AG167" s="76">
        <f t="shared" si="537"/>
        <v>-4357.8739999999962</v>
      </c>
      <c r="AH167" s="76">
        <f t="shared" si="537"/>
        <v>-314.47100000000501</v>
      </c>
      <c r="AI167" s="76">
        <f t="shared" si="537"/>
        <v>-8283.4069999999992</v>
      </c>
      <c r="AJ167" s="76">
        <f t="shared" si="537"/>
        <v>758.73399999999674</v>
      </c>
      <c r="AK167" s="76">
        <f t="shared" si="537"/>
        <v>1537.7420000000056</v>
      </c>
      <c r="AL167" s="76">
        <f t="shared" si="537"/>
        <v>1317.7839999999997</v>
      </c>
      <c r="AM167" s="76">
        <f t="shared" si="537"/>
        <v>1717.4300000000003</v>
      </c>
      <c r="AN167" s="76">
        <f t="shared" si="537"/>
        <v>-2128.5820000000022</v>
      </c>
      <c r="AO167" s="76">
        <f t="shared" si="537"/>
        <v>160.05100000000675</v>
      </c>
      <c r="AP167" s="76">
        <f t="shared" si="537"/>
        <v>-3279.3910000000033</v>
      </c>
      <c r="AQ167" s="76">
        <f t="shared" si="537"/>
        <v>1299.7299999999996</v>
      </c>
      <c r="AR167" s="76">
        <f t="shared" si="537"/>
        <v>-7778.6959999999999</v>
      </c>
      <c r="AS167" s="76">
        <f t="shared" si="537"/>
        <v>2604.9029999999984</v>
      </c>
      <c r="AT167" s="76">
        <f t="shared" si="537"/>
        <v>-4197.1189999999988</v>
      </c>
      <c r="AU167" s="76">
        <f t="shared" si="537"/>
        <v>1030.630000000001</v>
      </c>
    </row>
    <row r="168" spans="2:47" ht="13.5" customHeight="1" x14ac:dyDescent="0.35">
      <c r="B168" s="3" t="str">
        <f t="shared" ref="B168:M168" si="538">+B63</f>
        <v>Taxes</v>
      </c>
      <c r="C168" s="76">
        <f t="shared" si="538"/>
        <v>-5577.2809999999999</v>
      </c>
      <c r="D168" s="76">
        <f t="shared" si="538"/>
        <v>-5599.2150000000001</v>
      </c>
      <c r="E168" s="76">
        <f t="shared" si="538"/>
        <v>-4775.4449999999997</v>
      </c>
      <c r="F168" s="76">
        <f t="shared" si="538"/>
        <v>-6090.5690000000004</v>
      </c>
      <c r="G168" s="76">
        <f t="shared" si="538"/>
        <v>-6295.3329999999996</v>
      </c>
      <c r="H168" s="76">
        <f t="shared" si="538"/>
        <v>-5730.5309999999999</v>
      </c>
      <c r="I168" s="76">
        <f t="shared" si="538"/>
        <v>-5463.2179999999998</v>
      </c>
      <c r="J168" s="76">
        <f t="shared" si="538"/>
        <v>-2493.2719999999999</v>
      </c>
      <c r="K168" s="76">
        <f t="shared" si="538"/>
        <v>-3905.16</v>
      </c>
      <c r="L168" s="76">
        <f t="shared" si="538"/>
        <v>-5378.5829999999996</v>
      </c>
      <c r="M168" s="76"/>
      <c r="N168" s="76"/>
      <c r="O168" s="76">
        <f t="shared" ref="O168:AU168" si="539">+O63</f>
        <v>-27.931999999999999</v>
      </c>
      <c r="P168" s="76">
        <f t="shared" si="539"/>
        <v>-2499.9460000000004</v>
      </c>
      <c r="Q168" s="76">
        <f t="shared" si="539"/>
        <v>-648.31999999999948</v>
      </c>
      <c r="R168" s="76">
        <f t="shared" si="539"/>
        <v>-1599.2469999999996</v>
      </c>
      <c r="S168" s="76">
        <f t="shared" si="539"/>
        <v>-52.008000000000003</v>
      </c>
      <c r="T168" s="76">
        <f t="shared" si="539"/>
        <v>-2578.9990000000003</v>
      </c>
      <c r="U168" s="76">
        <f t="shared" si="539"/>
        <v>-1461.8099999999997</v>
      </c>
      <c r="V168" s="76">
        <f t="shared" si="539"/>
        <v>-1997.7520000000006</v>
      </c>
      <c r="W168" s="76">
        <f t="shared" si="539"/>
        <v>-1053.181</v>
      </c>
      <c r="X168" s="76">
        <f t="shared" si="539"/>
        <v>-1823.1750000000002</v>
      </c>
      <c r="Y168" s="76">
        <f t="shared" si="539"/>
        <v>-1849.2980000000002</v>
      </c>
      <c r="Z168" s="76">
        <f t="shared" si="539"/>
        <v>-1569.6789999999996</v>
      </c>
      <c r="AA168" s="76">
        <f t="shared" si="539"/>
        <v>-70.290000000000006</v>
      </c>
      <c r="AB168" s="76">
        <f t="shared" si="539"/>
        <v>-1054.8890000000001</v>
      </c>
      <c r="AC168" s="76">
        <f t="shared" si="539"/>
        <v>-892.42099999999982</v>
      </c>
      <c r="AD168" s="76">
        <f t="shared" si="539"/>
        <v>-3712.9310000000005</v>
      </c>
      <c r="AE168" s="76">
        <f t="shared" si="539"/>
        <v>-942.48500000000001</v>
      </c>
      <c r="AF168" s="76">
        <f t="shared" si="539"/>
        <v>-1378.3799999999997</v>
      </c>
      <c r="AG168" s="76">
        <f t="shared" si="539"/>
        <v>-586.11800000000051</v>
      </c>
      <c r="AH168" s="76">
        <f t="shared" si="539"/>
        <v>-2556.2349999999997</v>
      </c>
      <c r="AI168" s="76">
        <f t="shared" si="539"/>
        <v>-272.32799999999997</v>
      </c>
      <c r="AJ168" s="76">
        <f t="shared" si="539"/>
        <v>-1687.9380000000001</v>
      </c>
      <c r="AK168" s="76">
        <f t="shared" si="539"/>
        <v>63.208000000000084</v>
      </c>
      <c r="AL168" s="76">
        <f t="shared" si="539"/>
        <v>-596.21399999999994</v>
      </c>
      <c r="AM168" s="76">
        <f t="shared" si="539"/>
        <v>-976.375</v>
      </c>
      <c r="AN168" s="76">
        <f t="shared" si="539"/>
        <v>-1530.9450000000002</v>
      </c>
      <c r="AO168" s="76">
        <f t="shared" si="539"/>
        <v>-534.20299999999997</v>
      </c>
      <c r="AP168" s="76">
        <f t="shared" si="539"/>
        <v>-863.63699999999972</v>
      </c>
      <c r="AQ168" s="76">
        <f t="shared" si="539"/>
        <v>-818.14300000000003</v>
      </c>
      <c r="AR168" s="76">
        <f t="shared" si="539"/>
        <v>-2010.3870000000002</v>
      </c>
      <c r="AS168" s="76">
        <f t="shared" si="539"/>
        <v>-1194.2219999999998</v>
      </c>
      <c r="AT168" s="76">
        <f t="shared" si="539"/>
        <v>-1355.8309999999997</v>
      </c>
      <c r="AU168" s="76">
        <f t="shared" si="539"/>
        <v>-737.76599999999996</v>
      </c>
    </row>
    <row r="169" spans="2:47" ht="13.5" customHeight="1" x14ac:dyDescent="0.35">
      <c r="B169" s="3" t="str">
        <f t="shared" ref="B169:M169" si="540">+B64</f>
        <v>Cash interest paid</v>
      </c>
      <c r="C169" s="76">
        <f t="shared" si="540"/>
        <v>-3812.5320000000002</v>
      </c>
      <c r="D169" s="76">
        <f t="shared" si="540"/>
        <v>-5525.049</v>
      </c>
      <c r="E169" s="76">
        <f t="shared" si="540"/>
        <v>-6607.6040000000003</v>
      </c>
      <c r="F169" s="76">
        <f t="shared" si="540"/>
        <v>-7232.5910000000003</v>
      </c>
      <c r="G169" s="76">
        <f t="shared" si="540"/>
        <v>-6770.8770000000004</v>
      </c>
      <c r="H169" s="76">
        <f t="shared" si="540"/>
        <v>-7692.5940000000001</v>
      </c>
      <c r="I169" s="76">
        <f t="shared" si="540"/>
        <v>-9834.4089999999997</v>
      </c>
      <c r="J169" s="76">
        <f t="shared" si="540"/>
        <v>-13048.218000000001</v>
      </c>
      <c r="K169" s="76">
        <f t="shared" si="540"/>
        <v>-13901.534</v>
      </c>
      <c r="L169" s="76">
        <f t="shared" si="540"/>
        <v>-13667.616</v>
      </c>
      <c r="M169" s="76"/>
      <c r="N169" s="76"/>
      <c r="O169" s="76">
        <f t="shared" ref="O169:AU169" si="541">+O64</f>
        <v>-1305.538</v>
      </c>
      <c r="P169" s="76">
        <f t="shared" si="541"/>
        <v>-1895.2069999999999</v>
      </c>
      <c r="Q169" s="76">
        <f t="shared" si="541"/>
        <v>-1514.7300000000005</v>
      </c>
      <c r="R169" s="76">
        <f t="shared" si="541"/>
        <v>-1892.1289999999999</v>
      </c>
      <c r="S169" s="76">
        <f t="shared" si="541"/>
        <v>-1954.5640000000001</v>
      </c>
      <c r="T169" s="76">
        <f t="shared" si="541"/>
        <v>-1929.1759999999997</v>
      </c>
      <c r="U169" s="76">
        <f t="shared" si="541"/>
        <v>-1759.0280000000005</v>
      </c>
      <c r="V169" s="76">
        <f t="shared" si="541"/>
        <v>-1589.8230000000005</v>
      </c>
      <c r="W169" s="76">
        <f t="shared" si="541"/>
        <v>-1749.925</v>
      </c>
      <c r="X169" s="76">
        <f t="shared" si="541"/>
        <v>-1782.3550000000002</v>
      </c>
      <c r="Y169" s="76">
        <f t="shared" si="541"/>
        <v>-1750.5099999999995</v>
      </c>
      <c r="Z169" s="76">
        <f t="shared" si="541"/>
        <v>-1488.0870000000007</v>
      </c>
      <c r="AA169" s="76">
        <f t="shared" si="541"/>
        <v>-1951.2339999999999</v>
      </c>
      <c r="AB169" s="76">
        <f t="shared" si="541"/>
        <v>-1582.3090000000002</v>
      </c>
      <c r="AC169" s="76">
        <f t="shared" si="541"/>
        <v>-2255.3330000000001</v>
      </c>
      <c r="AD169" s="76">
        <f t="shared" si="541"/>
        <v>-1903.7180000000003</v>
      </c>
      <c r="AE169" s="76">
        <f t="shared" si="541"/>
        <v>-2421.9549999999999</v>
      </c>
      <c r="AF169" s="76">
        <f t="shared" si="541"/>
        <v>-2104.2210000000005</v>
      </c>
      <c r="AG169" s="76">
        <f t="shared" si="541"/>
        <v>-2835.8489999999993</v>
      </c>
      <c r="AH169" s="76">
        <f t="shared" si="541"/>
        <v>-2472.384</v>
      </c>
      <c r="AI169" s="76">
        <f t="shared" si="541"/>
        <v>-3069.4989999999998</v>
      </c>
      <c r="AJ169" s="76">
        <f t="shared" si="541"/>
        <v>-2869.0730000000003</v>
      </c>
      <c r="AK169" s="76">
        <f t="shared" si="541"/>
        <v>-3693.0540000000001</v>
      </c>
      <c r="AL169" s="76">
        <f t="shared" si="541"/>
        <v>-3416.5920000000006</v>
      </c>
      <c r="AM169" s="76">
        <f t="shared" si="541"/>
        <v>-3676.2950000000001</v>
      </c>
      <c r="AN169" s="76">
        <f t="shared" si="541"/>
        <v>-3378.8609999999999</v>
      </c>
      <c r="AO169" s="76">
        <f t="shared" si="541"/>
        <v>-3754.4360000000006</v>
      </c>
      <c r="AP169" s="76">
        <f t="shared" si="541"/>
        <v>-3091.9419999999982</v>
      </c>
      <c r="AQ169" s="76">
        <f t="shared" si="541"/>
        <v>-3758.4769999999999</v>
      </c>
      <c r="AR169" s="76">
        <f t="shared" si="541"/>
        <v>-3019.2290000000003</v>
      </c>
      <c r="AS169" s="76">
        <f t="shared" si="541"/>
        <v>-3743.021999999999</v>
      </c>
      <c r="AT169" s="76">
        <f t="shared" si="541"/>
        <v>-3146.8880000000008</v>
      </c>
      <c r="AU169" s="76">
        <f t="shared" si="541"/>
        <v>-3679.125</v>
      </c>
    </row>
    <row r="170" spans="2:47" s="6" customFormat="1" ht="13.5" customHeight="1" thickBot="1" x14ac:dyDescent="0.35">
      <c r="B170" s="73" t="str">
        <f t="shared" ref="B170:B178" si="542">+B65</f>
        <v xml:space="preserve">Net cash from operations </v>
      </c>
      <c r="C170" s="74">
        <f t="shared" ref="C170:V170" si="543">SUM(C166:C169)</f>
        <v>29015.290999999997</v>
      </c>
      <c r="D170" s="74">
        <f t="shared" si="543"/>
        <v>39099.168000000005</v>
      </c>
      <c r="E170" s="74">
        <f t="shared" si="543"/>
        <v>45868.243999999999</v>
      </c>
      <c r="F170" s="74">
        <f t="shared" si="543"/>
        <v>60941.062999999995</v>
      </c>
      <c r="G170" s="74">
        <f t="shared" ref="G170:H170" si="544">SUM(G166:G169)</f>
        <v>51129.743000000009</v>
      </c>
      <c r="H170" s="74">
        <f t="shared" si="544"/>
        <v>51437.522999999986</v>
      </c>
      <c r="I170" s="74">
        <f t="shared" ref="I170:J170" si="545">SUM(I166:I169)</f>
        <v>49206.814999999995</v>
      </c>
      <c r="J170" s="74">
        <f t="shared" si="545"/>
        <v>61216.109000000004</v>
      </c>
      <c r="K170" s="74">
        <f t="shared" ref="K170:L170" si="546">SUM(K166:K169)</f>
        <v>65476.490000000005</v>
      </c>
      <c r="L170" s="74">
        <f t="shared" si="546"/>
        <v>60506.935000000005</v>
      </c>
      <c r="M170" s="74"/>
      <c r="N170" s="71"/>
      <c r="O170" s="74">
        <f t="shared" si="543"/>
        <v>7821.4279999999999</v>
      </c>
      <c r="P170" s="74">
        <f t="shared" si="543"/>
        <v>16144.984000000002</v>
      </c>
      <c r="Q170" s="74">
        <f t="shared" si="543"/>
        <v>12978.812999999995</v>
      </c>
      <c r="R170" s="74">
        <f t="shared" si="543"/>
        <v>8923.0190000000002</v>
      </c>
      <c r="S170" s="74">
        <f t="shared" si="543"/>
        <v>15023.337999999998</v>
      </c>
      <c r="T170" s="74">
        <f t="shared" si="543"/>
        <v>13563.411</v>
      </c>
      <c r="U170" s="74">
        <f t="shared" si="543"/>
        <v>17154.690999999995</v>
      </c>
      <c r="V170" s="74">
        <f t="shared" si="543"/>
        <v>15199.623000000014</v>
      </c>
      <c r="W170" s="74">
        <f t="shared" ref="W170" si="547">SUM(W166:W169)</f>
        <v>10666.503000000001</v>
      </c>
      <c r="X170" s="74">
        <f t="shared" ref="X170:Y170" si="548">SUM(X166:X169)</f>
        <v>5612.1420000000016</v>
      </c>
      <c r="Y170" s="74">
        <f t="shared" si="548"/>
        <v>18466.215999999997</v>
      </c>
      <c r="Z170" s="74">
        <f t="shared" ref="Z170" si="549">SUM(Z166:Z169)</f>
        <v>16384.882000000012</v>
      </c>
      <c r="AA170" s="74">
        <f t="shared" ref="AA170:AD170" si="550">SUM(AA166:AA169)</f>
        <v>12818.346999999998</v>
      </c>
      <c r="AB170" s="74">
        <f t="shared" si="550"/>
        <v>14300.478000000006</v>
      </c>
      <c r="AC170" s="74">
        <f t="shared" si="550"/>
        <v>12361.858999999989</v>
      </c>
      <c r="AD170" s="74">
        <f t="shared" si="550"/>
        <v>11956.838999999989</v>
      </c>
      <c r="AE170" s="74">
        <f t="shared" ref="AE170:AH170" si="551">SUM(AE166:AE169)</f>
        <v>8151.4139999999989</v>
      </c>
      <c r="AF170" s="74">
        <f t="shared" si="551"/>
        <v>15632.035999999898</v>
      </c>
      <c r="AG170" s="74">
        <f t="shared" si="551"/>
        <v>11991.974000000104</v>
      </c>
      <c r="AH170" s="74">
        <f t="shared" si="551"/>
        <v>13431.390999999991</v>
      </c>
      <c r="AI170" s="74">
        <f t="shared" ref="AI170:AL170" si="552">SUM(AI166:AI169)</f>
        <v>8902.866</v>
      </c>
      <c r="AJ170" s="74">
        <f t="shared" si="552"/>
        <v>16166.722999999994</v>
      </c>
      <c r="AK170" s="74">
        <f t="shared" si="552"/>
        <v>18111.235000000004</v>
      </c>
      <c r="AL170" s="74">
        <f t="shared" si="552"/>
        <v>18035.285</v>
      </c>
      <c r="AM170" s="74">
        <f t="shared" ref="AM170:AP170" si="553">SUM(AM166:AM169)</f>
        <v>18415.552000000003</v>
      </c>
      <c r="AN170" s="74">
        <f t="shared" si="553"/>
        <v>14574.611999999997</v>
      </c>
      <c r="AO170" s="74">
        <f t="shared" si="553"/>
        <v>17772.278000000006</v>
      </c>
      <c r="AP170" s="74">
        <f t="shared" si="553"/>
        <v>14714.048000000003</v>
      </c>
      <c r="AQ170" s="74">
        <f t="shared" ref="AQ170:AT170" si="554">SUM(AQ166:AQ169)</f>
        <v>17485.824000000001</v>
      </c>
      <c r="AR170" s="74">
        <f t="shared" si="554"/>
        <v>8568.7309999999961</v>
      </c>
      <c r="AS170" s="74">
        <f t="shared" si="554"/>
        <v>19713.353999999999</v>
      </c>
      <c r="AT170" s="74">
        <f t="shared" si="554"/>
        <v>14739.026000000018</v>
      </c>
      <c r="AU170" s="74">
        <f>SUM(AU166:AU169)</f>
        <v>18787.605000000003</v>
      </c>
    </row>
    <row r="171" spans="2:47" ht="13.5" customHeight="1" thickTop="1" x14ac:dyDescent="0.35">
      <c r="B171" s="3" t="str">
        <f t="shared" si="542"/>
        <v>Net Capex</v>
      </c>
      <c r="C171" s="76">
        <f t="shared" ref="C171:M171" si="555">+C66</f>
        <v>-36439.699000000001</v>
      </c>
      <c r="D171" s="76">
        <f t="shared" si="555"/>
        <v>-42003.19</v>
      </c>
      <c r="E171" s="76">
        <f t="shared" si="555"/>
        <v>-42596.556000000004</v>
      </c>
      <c r="F171" s="76">
        <f t="shared" si="555"/>
        <v>-50873.760999999999</v>
      </c>
      <c r="G171" s="76">
        <f t="shared" si="555"/>
        <v>-60175.780999999995</v>
      </c>
      <c r="H171" s="76">
        <f t="shared" si="555"/>
        <v>-92570.680999999997</v>
      </c>
      <c r="I171" s="76">
        <f t="shared" si="555"/>
        <v>-97232.319999999992</v>
      </c>
      <c r="J171" s="76">
        <f t="shared" si="555"/>
        <v>-69787.672000000006</v>
      </c>
      <c r="K171" s="76">
        <f t="shared" si="555"/>
        <v>-54891.348000000005</v>
      </c>
      <c r="L171" s="76">
        <f t="shared" si="555"/>
        <v>-44998.771999999997</v>
      </c>
      <c r="M171" s="76"/>
      <c r="N171" s="76"/>
      <c r="O171" s="76">
        <f t="shared" ref="O171:AU171" si="556">+O66</f>
        <v>-6561.4980000000005</v>
      </c>
      <c r="P171" s="76">
        <f t="shared" si="556"/>
        <v>-16244.152999999998</v>
      </c>
      <c r="Q171" s="76">
        <f t="shared" si="556"/>
        <v>-9504.5120000000024</v>
      </c>
      <c r="R171" s="76">
        <f t="shared" si="556"/>
        <v>-10286.393000000004</v>
      </c>
      <c r="S171" s="76">
        <f t="shared" si="556"/>
        <v>-8702.1719999999987</v>
      </c>
      <c r="T171" s="76">
        <f t="shared" si="556"/>
        <v>-10179.956000000002</v>
      </c>
      <c r="U171" s="76">
        <f t="shared" si="556"/>
        <v>-12894.067999999999</v>
      </c>
      <c r="V171" s="76">
        <f t="shared" si="556"/>
        <v>-19097.564999999999</v>
      </c>
      <c r="W171" s="76">
        <f t="shared" si="556"/>
        <v>-10604.234</v>
      </c>
      <c r="X171" s="76">
        <f t="shared" si="556"/>
        <v>-10172.949000000001</v>
      </c>
      <c r="Y171" s="76">
        <f t="shared" si="556"/>
        <v>-12470.024999999998</v>
      </c>
      <c r="Z171" s="76">
        <f t="shared" si="556"/>
        <v>-26928.572999999993</v>
      </c>
      <c r="AA171" s="76">
        <f t="shared" si="556"/>
        <v>-19041.054</v>
      </c>
      <c r="AB171" s="76">
        <f t="shared" si="556"/>
        <v>-24097.342999999997</v>
      </c>
      <c r="AC171" s="76">
        <f t="shared" si="556"/>
        <v>-22128.31</v>
      </c>
      <c r="AD171" s="76">
        <f t="shared" si="556"/>
        <v>-27303.974000000006</v>
      </c>
      <c r="AE171" s="76">
        <f t="shared" si="556"/>
        <v>-20945.434000000001</v>
      </c>
      <c r="AF171" s="76">
        <f t="shared" si="556"/>
        <v>-26092.036</v>
      </c>
      <c r="AG171" s="76">
        <f t="shared" si="556"/>
        <v>-23706.665000000008</v>
      </c>
      <c r="AH171" s="76">
        <f t="shared" si="556"/>
        <v>-26488.184999999983</v>
      </c>
      <c r="AI171" s="76">
        <f t="shared" si="556"/>
        <v>-17488.14</v>
      </c>
      <c r="AJ171" s="76">
        <f t="shared" si="556"/>
        <v>-19857.457000000002</v>
      </c>
      <c r="AK171" s="76">
        <f t="shared" si="556"/>
        <v>-16178.034</v>
      </c>
      <c r="AL171" s="76">
        <f t="shared" si="556"/>
        <v>-16264.041000000005</v>
      </c>
      <c r="AM171" s="76">
        <f t="shared" si="556"/>
        <v>-13544.907000000001</v>
      </c>
      <c r="AN171" s="76">
        <f t="shared" si="556"/>
        <v>-13650.688999999997</v>
      </c>
      <c r="AO171" s="76">
        <f t="shared" si="556"/>
        <v>-12556.654999999997</v>
      </c>
      <c r="AP171" s="76">
        <f t="shared" si="556"/>
        <v>-15139.097000000007</v>
      </c>
      <c r="AQ171" s="76">
        <f t="shared" si="556"/>
        <v>-8321.9139999999989</v>
      </c>
      <c r="AR171" s="76">
        <f t="shared" si="556"/>
        <v>-10381.742</v>
      </c>
      <c r="AS171" s="76">
        <f t="shared" si="556"/>
        <v>-12373.086999999998</v>
      </c>
      <c r="AT171" s="76">
        <f t="shared" si="556"/>
        <v>-13922.029</v>
      </c>
      <c r="AU171" s="76">
        <f t="shared" si="556"/>
        <v>-12630.142</v>
      </c>
    </row>
    <row r="172" spans="2:47" ht="13.5" customHeight="1" x14ac:dyDescent="0.35">
      <c r="B172" s="3" t="str">
        <f t="shared" si="542"/>
        <v>Acquisitions / sales of subsidiaries, JVs</v>
      </c>
      <c r="C172" s="76">
        <f t="shared" ref="C172:M172" si="557">+C67</f>
        <v>-21562.555</v>
      </c>
      <c r="D172" s="76">
        <f t="shared" si="557"/>
        <v>-12234.212</v>
      </c>
      <c r="E172" s="76">
        <f t="shared" si="557"/>
        <v>-111.2</v>
      </c>
      <c r="F172" s="76">
        <f t="shared" si="557"/>
        <v>-4868.6489999999994</v>
      </c>
      <c r="G172" s="76">
        <f t="shared" si="557"/>
        <v>-1917.681</v>
      </c>
      <c r="H172" s="76">
        <f t="shared" si="557"/>
        <v>-1591.856</v>
      </c>
      <c r="I172" s="76">
        <f t="shared" si="557"/>
        <v>-585.53</v>
      </c>
      <c r="J172" s="76">
        <f t="shared" si="557"/>
        <v>-3206.6099999999997</v>
      </c>
      <c r="K172" s="76">
        <f t="shared" si="557"/>
        <v>-270.14999999999998</v>
      </c>
      <c r="L172" s="76">
        <f t="shared" si="557"/>
        <v>962.5</v>
      </c>
      <c r="M172" s="76"/>
      <c r="N172" s="76"/>
      <c r="O172" s="76">
        <f t="shared" ref="O172:AU172" si="558">+O67</f>
        <v>-51.2</v>
      </c>
      <c r="P172" s="76">
        <f t="shared" si="558"/>
        <v>-60</v>
      </c>
      <c r="Q172" s="76">
        <f t="shared" si="558"/>
        <v>0</v>
      </c>
      <c r="R172" s="76">
        <f t="shared" si="558"/>
        <v>0</v>
      </c>
      <c r="S172" s="76">
        <f t="shared" si="558"/>
        <v>-1129</v>
      </c>
      <c r="T172" s="76">
        <f t="shared" si="558"/>
        <v>-543.25</v>
      </c>
      <c r="U172" s="76">
        <f t="shared" si="558"/>
        <v>-1448.5079999999998</v>
      </c>
      <c r="V172" s="76">
        <f t="shared" si="558"/>
        <v>-1747.8909999999996</v>
      </c>
      <c r="W172" s="76">
        <f t="shared" si="558"/>
        <v>-36.829000000000001</v>
      </c>
      <c r="X172" s="76">
        <f t="shared" si="558"/>
        <v>-761.25</v>
      </c>
      <c r="Y172" s="76">
        <f t="shared" si="558"/>
        <v>-134.44199999999995</v>
      </c>
      <c r="Z172" s="76">
        <f t="shared" si="558"/>
        <v>-985.16000000000008</v>
      </c>
      <c r="AA172" s="76">
        <f t="shared" si="558"/>
        <v>0</v>
      </c>
      <c r="AB172" s="76">
        <f t="shared" si="558"/>
        <v>0</v>
      </c>
      <c r="AC172" s="76">
        <f t="shared" si="558"/>
        <v>0</v>
      </c>
      <c r="AD172" s="76">
        <f t="shared" si="558"/>
        <v>-1591.856</v>
      </c>
      <c r="AE172" s="76">
        <f t="shared" si="558"/>
        <v>-147.19200000000001</v>
      </c>
      <c r="AF172" s="76">
        <f t="shared" si="558"/>
        <v>-189.774</v>
      </c>
      <c r="AG172" s="76">
        <f t="shared" si="558"/>
        <v>-309.70299999999997</v>
      </c>
      <c r="AH172" s="76">
        <f t="shared" si="558"/>
        <v>61.13900000000001</v>
      </c>
      <c r="AI172" s="76">
        <f t="shared" si="558"/>
        <v>-220.1</v>
      </c>
      <c r="AJ172" s="76">
        <f t="shared" si="558"/>
        <v>-80.888000000000005</v>
      </c>
      <c r="AK172" s="76">
        <f t="shared" si="558"/>
        <v>-448.40199999999993</v>
      </c>
      <c r="AL172" s="76">
        <f t="shared" si="558"/>
        <v>-2457.2199999999998</v>
      </c>
      <c r="AM172" s="76">
        <f t="shared" si="558"/>
        <v>-135.65</v>
      </c>
      <c r="AN172" s="76">
        <f t="shared" si="558"/>
        <v>1.0000000000047748E-3</v>
      </c>
      <c r="AO172" s="76">
        <f t="shared" si="558"/>
        <v>-118</v>
      </c>
      <c r="AP172" s="76">
        <f t="shared" si="558"/>
        <v>-16.500999999999976</v>
      </c>
      <c r="AQ172" s="76">
        <f t="shared" si="558"/>
        <v>0</v>
      </c>
      <c r="AR172" s="76">
        <f t="shared" si="558"/>
        <v>-29.349</v>
      </c>
      <c r="AS172" s="76">
        <f t="shared" si="558"/>
        <v>962.33</v>
      </c>
      <c r="AT172" s="76">
        <f t="shared" si="558"/>
        <v>29.518999999999959</v>
      </c>
      <c r="AU172" s="76">
        <f t="shared" si="558"/>
        <v>-514.76199999999994</v>
      </c>
    </row>
    <row r="173" spans="2:47" ht="13.5" customHeight="1" thickBot="1" x14ac:dyDescent="0.4">
      <c r="B173" s="73" t="str">
        <f t="shared" si="542"/>
        <v xml:space="preserve">Free cash flow </v>
      </c>
      <c r="C173" s="74">
        <f t="shared" ref="C173:M173" si="559">+C68</f>
        <v>-28986.963000000003</v>
      </c>
      <c r="D173" s="74">
        <f t="shared" si="559"/>
        <v>-15138.233999999997</v>
      </c>
      <c r="E173" s="74">
        <f t="shared" si="559"/>
        <v>3160.4879999999948</v>
      </c>
      <c r="F173" s="74">
        <f t="shared" si="559"/>
        <v>5198.6529999999966</v>
      </c>
      <c r="G173" s="74">
        <f t="shared" si="559"/>
        <v>-10963.718999999986</v>
      </c>
      <c r="H173" s="74">
        <f t="shared" si="559"/>
        <v>-42725.01400000001</v>
      </c>
      <c r="I173" s="74">
        <f t="shared" si="559"/>
        <v>-48611.034999999996</v>
      </c>
      <c r="J173" s="74">
        <f t="shared" si="559"/>
        <v>-11778.173000000003</v>
      </c>
      <c r="K173" s="74">
        <f t="shared" si="559"/>
        <v>10314.992</v>
      </c>
      <c r="L173" s="74">
        <f t="shared" si="559"/>
        <v>16470.663000000008</v>
      </c>
      <c r="M173" s="74"/>
      <c r="N173" s="71"/>
      <c r="O173" s="74">
        <f t="shared" ref="O173:AU173" si="560">+O68</f>
        <v>1208.7299999999993</v>
      </c>
      <c r="P173" s="74">
        <f t="shared" si="560"/>
        <v>-159.16899999999623</v>
      </c>
      <c r="Q173" s="74">
        <f t="shared" si="560"/>
        <v>3474.3009999999922</v>
      </c>
      <c r="R173" s="74">
        <f t="shared" si="560"/>
        <v>-1363.3740000000034</v>
      </c>
      <c r="S173" s="74">
        <f t="shared" si="560"/>
        <v>5192.1659999999993</v>
      </c>
      <c r="T173" s="74">
        <f t="shared" si="560"/>
        <v>2840.2049999999981</v>
      </c>
      <c r="U173" s="74">
        <f t="shared" si="560"/>
        <v>2812.1149999999961</v>
      </c>
      <c r="V173" s="74">
        <f t="shared" si="560"/>
        <v>-5645.8329999999842</v>
      </c>
      <c r="W173" s="74">
        <f t="shared" si="560"/>
        <v>25.440000000000232</v>
      </c>
      <c r="X173" s="74">
        <f t="shared" si="560"/>
        <v>-5322.0569999999989</v>
      </c>
      <c r="Y173" s="74">
        <f t="shared" si="560"/>
        <v>5861.7489999999989</v>
      </c>
      <c r="Z173" s="74">
        <f t="shared" si="560"/>
        <v>-11528.850999999981</v>
      </c>
      <c r="AA173" s="74">
        <f t="shared" si="560"/>
        <v>-6222.7070000000022</v>
      </c>
      <c r="AB173" s="74">
        <f t="shared" si="560"/>
        <v>-9796.8649999999907</v>
      </c>
      <c r="AC173" s="74">
        <f t="shared" si="560"/>
        <v>-9766.4510000000118</v>
      </c>
      <c r="AD173" s="74">
        <f t="shared" si="560"/>
        <v>-16938.991000000016</v>
      </c>
      <c r="AE173" s="74">
        <f t="shared" si="560"/>
        <v>-12941.212000000003</v>
      </c>
      <c r="AF173" s="74">
        <f t="shared" si="560"/>
        <v>-10649.774000000101</v>
      </c>
      <c r="AG173" s="74">
        <f t="shared" si="560"/>
        <v>-12024.393999999904</v>
      </c>
      <c r="AH173" s="74">
        <f t="shared" si="560"/>
        <v>-12995.654999999993</v>
      </c>
      <c r="AI173" s="74">
        <f t="shared" si="560"/>
        <v>-8805.3739999999998</v>
      </c>
      <c r="AJ173" s="74">
        <f t="shared" si="560"/>
        <v>-3771.6220000000076</v>
      </c>
      <c r="AK173" s="74">
        <f t="shared" si="560"/>
        <v>1484.7990000000045</v>
      </c>
      <c r="AL173" s="74">
        <f t="shared" si="560"/>
        <v>-685.97600000000466</v>
      </c>
      <c r="AM173" s="74">
        <f t="shared" si="560"/>
        <v>4734.9950000000026</v>
      </c>
      <c r="AN173" s="74">
        <f t="shared" si="560"/>
        <v>923.92400000000066</v>
      </c>
      <c r="AO173" s="74">
        <f t="shared" si="560"/>
        <v>5097.6230000000087</v>
      </c>
      <c r="AP173" s="74">
        <f t="shared" si="560"/>
        <v>-441.5500000000045</v>
      </c>
      <c r="AQ173" s="74">
        <f t="shared" si="560"/>
        <v>9163.9100000000017</v>
      </c>
      <c r="AR173" s="74">
        <f t="shared" si="560"/>
        <v>-1842.360000000004</v>
      </c>
      <c r="AS173" s="74">
        <f t="shared" si="560"/>
        <v>8302.5970000000016</v>
      </c>
      <c r="AT173" s="74">
        <f t="shared" si="560"/>
        <v>846.51600000001758</v>
      </c>
      <c r="AU173" s="74">
        <f t="shared" si="560"/>
        <v>5642.7010000000037</v>
      </c>
    </row>
    <row r="174" spans="2:47" ht="13.5" customHeight="1" thickTop="1" x14ac:dyDescent="0.35">
      <c r="B174" s="3" t="str">
        <f t="shared" si="542"/>
        <v>Other investing activities</v>
      </c>
      <c r="C174" s="76">
        <f t="shared" ref="C174:M174" si="561">+C69</f>
        <v>340.66700000000003</v>
      </c>
      <c r="D174" s="76">
        <f t="shared" si="561"/>
        <v>-1184.6129999999998</v>
      </c>
      <c r="E174" s="76">
        <f t="shared" si="561"/>
        <v>56.003000000000007</v>
      </c>
      <c r="F174" s="76">
        <f t="shared" si="561"/>
        <v>711.63100000000009</v>
      </c>
      <c r="G174" s="76">
        <f t="shared" si="561"/>
        <v>519.28300000000002</v>
      </c>
      <c r="H174" s="76">
        <f t="shared" si="561"/>
        <v>-2399.444</v>
      </c>
      <c r="I174" s="76">
        <f t="shared" si="561"/>
        <v>26177.688999999998</v>
      </c>
      <c r="J174" s="76">
        <f t="shared" si="561"/>
        <v>24790.143</v>
      </c>
      <c r="K174" s="76">
        <f t="shared" si="561"/>
        <v>29144.566999999999</v>
      </c>
      <c r="L174" s="76">
        <f t="shared" si="561"/>
        <v>8351.1859999999997</v>
      </c>
      <c r="M174" s="76"/>
      <c r="N174" s="76"/>
      <c r="O174" s="76">
        <f t="shared" ref="O174:AU174" si="562">+O69</f>
        <v>185.244</v>
      </c>
      <c r="P174" s="76">
        <f t="shared" si="562"/>
        <v>8.6170000000000186</v>
      </c>
      <c r="Q174" s="76">
        <f t="shared" si="562"/>
        <v>85.787999999999982</v>
      </c>
      <c r="R174" s="76">
        <f t="shared" si="562"/>
        <v>-223.64599999999999</v>
      </c>
      <c r="S174" s="76">
        <f t="shared" si="562"/>
        <v>410.36200000000002</v>
      </c>
      <c r="T174" s="76">
        <f t="shared" si="562"/>
        <v>127.69999999999999</v>
      </c>
      <c r="U174" s="76">
        <f t="shared" si="562"/>
        <v>98.135000000000105</v>
      </c>
      <c r="V174" s="76">
        <f t="shared" si="562"/>
        <v>75.433999999999969</v>
      </c>
      <c r="W174" s="76">
        <f t="shared" si="562"/>
        <v>318.90899999999999</v>
      </c>
      <c r="X174" s="76">
        <f t="shared" si="562"/>
        <v>64.288999999999987</v>
      </c>
      <c r="Y174" s="76">
        <f t="shared" si="562"/>
        <v>13.562999999999988</v>
      </c>
      <c r="Z174" s="76">
        <f t="shared" si="562"/>
        <v>122.52200000000005</v>
      </c>
      <c r="AA174" s="76">
        <f t="shared" si="562"/>
        <v>8.9660000000000011</v>
      </c>
      <c r="AB174" s="76">
        <f t="shared" si="562"/>
        <v>-2472.2369999999996</v>
      </c>
      <c r="AC174" s="76">
        <f t="shared" si="562"/>
        <v>-47.84600000000011</v>
      </c>
      <c r="AD174" s="76">
        <f t="shared" si="562"/>
        <v>111.67299999999966</v>
      </c>
      <c r="AE174" s="76">
        <f t="shared" si="562"/>
        <v>11.678000000000001</v>
      </c>
      <c r="AF174" s="76">
        <f t="shared" si="562"/>
        <v>2276.8890000000001</v>
      </c>
      <c r="AG174" s="76">
        <f t="shared" si="562"/>
        <v>-15360.805</v>
      </c>
      <c r="AH174" s="76">
        <f t="shared" si="562"/>
        <v>39249.926999999996</v>
      </c>
      <c r="AI174" s="76">
        <f t="shared" si="562"/>
        <v>68.161999999999992</v>
      </c>
      <c r="AJ174" s="76">
        <f t="shared" si="562"/>
        <v>13289.269</v>
      </c>
      <c r="AK174" s="76">
        <f t="shared" si="562"/>
        <v>1591.6989999999989</v>
      </c>
      <c r="AL174" s="76">
        <f t="shared" si="562"/>
        <v>9841.012999999999</v>
      </c>
      <c r="AM174" s="76">
        <f t="shared" si="562"/>
        <v>4965.9739999999993</v>
      </c>
      <c r="AN174" s="76">
        <f t="shared" si="562"/>
        <v>8144.9540000000006</v>
      </c>
      <c r="AO174" s="76">
        <f t="shared" si="562"/>
        <v>12378.824000000001</v>
      </c>
      <c r="AP174" s="76">
        <f t="shared" si="562"/>
        <v>3654.8149999999978</v>
      </c>
      <c r="AQ174" s="76">
        <f t="shared" si="562"/>
        <v>2185.8989999999999</v>
      </c>
      <c r="AR174" s="76">
        <f t="shared" si="562"/>
        <v>620.31700000000001</v>
      </c>
      <c r="AS174" s="76">
        <f t="shared" si="562"/>
        <v>2741.3470000000002</v>
      </c>
      <c r="AT174" s="76">
        <f t="shared" si="562"/>
        <v>2803.623</v>
      </c>
      <c r="AU174" s="76">
        <f t="shared" si="562"/>
        <v>34.154000000000011</v>
      </c>
    </row>
    <row r="175" spans="2:47" ht="13.5" customHeight="1" x14ac:dyDescent="0.35">
      <c r="B175" s="3" t="str">
        <f t="shared" si="542"/>
        <v>Dividends / Equity movements</v>
      </c>
      <c r="C175" s="76">
        <f t="shared" ref="C175:M175" si="563">+C70</f>
        <v>-12234.57</v>
      </c>
      <c r="D175" s="76">
        <f t="shared" si="563"/>
        <v>-12645.527</v>
      </c>
      <c r="E175" s="76">
        <f t="shared" si="563"/>
        <v>-12666.391</v>
      </c>
      <c r="F175" s="76">
        <f t="shared" si="563"/>
        <v>-12688.157999999999</v>
      </c>
      <c r="G175" s="76">
        <f t="shared" si="563"/>
        <v>-14973.430999999999</v>
      </c>
      <c r="H175" s="76">
        <f t="shared" si="563"/>
        <v>4961.3370000000014</v>
      </c>
      <c r="I175" s="76">
        <f t="shared" si="563"/>
        <v>1005.6479999999992</v>
      </c>
      <c r="J175" s="76">
        <f t="shared" si="563"/>
        <v>-15799.304</v>
      </c>
      <c r="K175" s="76">
        <f t="shared" si="563"/>
        <v>-15865.209000000001</v>
      </c>
      <c r="L175" s="76">
        <f t="shared" si="563"/>
        <v>-15867.395</v>
      </c>
      <c r="M175" s="76"/>
      <c r="N175" s="76"/>
      <c r="O175" s="76">
        <f t="shared" ref="O175:AU175" si="564">+O70</f>
        <v>-3283.8819999999996</v>
      </c>
      <c r="P175" s="76">
        <f t="shared" si="564"/>
        <v>-3026.8040000000001</v>
      </c>
      <c r="Q175" s="76">
        <f t="shared" si="564"/>
        <v>-3286.9920000000002</v>
      </c>
      <c r="R175" s="76">
        <f t="shared" si="564"/>
        <v>-3068.7129999999997</v>
      </c>
      <c r="S175" s="76">
        <f t="shared" si="564"/>
        <v>-3286.991</v>
      </c>
      <c r="T175" s="76">
        <f t="shared" si="564"/>
        <v>-3030.3029999999999</v>
      </c>
      <c r="U175" s="76">
        <f t="shared" si="564"/>
        <v>-3290.3459999999995</v>
      </c>
      <c r="V175" s="76">
        <f t="shared" si="564"/>
        <v>-3080.518</v>
      </c>
      <c r="W175" s="76">
        <f t="shared" si="564"/>
        <v>-3856.6570000000002</v>
      </c>
      <c r="X175" s="76">
        <f t="shared" si="564"/>
        <v>-3313.1349999999993</v>
      </c>
      <c r="Y175" s="76">
        <f t="shared" si="564"/>
        <v>-3573.1640000000007</v>
      </c>
      <c r="Z175" s="76">
        <f t="shared" si="564"/>
        <v>-4230.4749999999985</v>
      </c>
      <c r="AA175" s="76">
        <f t="shared" si="564"/>
        <v>-3873.0050000000001</v>
      </c>
      <c r="AB175" s="76">
        <f t="shared" si="564"/>
        <v>-3618.009</v>
      </c>
      <c r="AC175" s="76">
        <f t="shared" si="564"/>
        <v>-3867.7489999999989</v>
      </c>
      <c r="AD175" s="76">
        <f t="shared" si="564"/>
        <v>16320.099999999999</v>
      </c>
      <c r="AE175" s="76">
        <f t="shared" si="564"/>
        <v>-3607.7190000000001</v>
      </c>
      <c r="AF175" s="76">
        <f t="shared" si="564"/>
        <v>-3616.42</v>
      </c>
      <c r="AG175" s="76">
        <f t="shared" si="564"/>
        <v>-4234.6269999999995</v>
      </c>
      <c r="AH175" s="76">
        <f t="shared" si="564"/>
        <v>12464.414000000001</v>
      </c>
      <c r="AI175" s="76">
        <f t="shared" si="564"/>
        <v>-3601.5140000000001</v>
      </c>
      <c r="AJ175" s="76">
        <f t="shared" si="564"/>
        <v>-3605.7129999999997</v>
      </c>
      <c r="AK175" s="76">
        <f t="shared" si="564"/>
        <v>-4264.1660000000002</v>
      </c>
      <c r="AL175" s="76">
        <f t="shared" si="564"/>
        <v>-4327.9109999999991</v>
      </c>
      <c r="AM175" s="76">
        <f t="shared" si="564"/>
        <v>-3605.7159999999999</v>
      </c>
      <c r="AN175" s="76">
        <f t="shared" si="564"/>
        <v>-3609.5080000000003</v>
      </c>
      <c r="AO175" s="76">
        <f t="shared" si="564"/>
        <v>-4291.0540000000001</v>
      </c>
      <c r="AP175" s="76">
        <f t="shared" si="564"/>
        <v>-4358.9310000000005</v>
      </c>
      <c r="AQ175" s="76">
        <f t="shared" si="564"/>
        <v>-3609.5079999999998</v>
      </c>
      <c r="AR175" s="76">
        <f t="shared" si="564"/>
        <v>-4276.1899999999996</v>
      </c>
      <c r="AS175" s="76">
        <f t="shared" si="564"/>
        <v>-3611.7130000000006</v>
      </c>
      <c r="AT175" s="76">
        <f t="shared" si="564"/>
        <v>-4369.9840000000013</v>
      </c>
      <c r="AU175" s="76">
        <f t="shared" si="564"/>
        <v>21225.694</v>
      </c>
    </row>
    <row r="176" spans="2:47" ht="13.5" customHeight="1" x14ac:dyDescent="0.35">
      <c r="B176" s="3" t="str">
        <f t="shared" si="542"/>
        <v>Principal Repayments</v>
      </c>
      <c r="C176" s="76">
        <f t="shared" ref="C176:M176" si="565">+C71</f>
        <v>33006.695999999996</v>
      </c>
      <c r="D176" s="76">
        <f t="shared" si="565"/>
        <v>25977.013000000006</v>
      </c>
      <c r="E176" s="76">
        <f t="shared" si="565"/>
        <v>15836.396000000001</v>
      </c>
      <c r="F176" s="76">
        <f t="shared" si="565"/>
        <v>-13344.156999999999</v>
      </c>
      <c r="G176" s="76">
        <f t="shared" si="565"/>
        <v>30233.471000000001</v>
      </c>
      <c r="H176" s="76">
        <f t="shared" si="565"/>
        <v>38792.897000000004</v>
      </c>
      <c r="I176" s="76">
        <f t="shared" si="565"/>
        <v>11032.038999999997</v>
      </c>
      <c r="J176" s="76">
        <f t="shared" si="565"/>
        <v>1288.7480000000069</v>
      </c>
      <c r="K176" s="76">
        <f t="shared" si="565"/>
        <v>-19694.887999999999</v>
      </c>
      <c r="L176" s="76">
        <f t="shared" si="565"/>
        <v>-9595.353000000001</v>
      </c>
      <c r="M176" s="76"/>
      <c r="N176" s="76"/>
      <c r="O176" s="76">
        <f t="shared" ref="O176:AU176" si="566">+O71</f>
        <v>-4530.8739999999998</v>
      </c>
      <c r="P176" s="76">
        <f t="shared" si="566"/>
        <v>5757.3029999999999</v>
      </c>
      <c r="Q176" s="76">
        <f t="shared" si="566"/>
        <v>-262.5</v>
      </c>
      <c r="R176" s="76">
        <f t="shared" si="566"/>
        <v>14872.467000000001</v>
      </c>
      <c r="S176" s="76">
        <f t="shared" si="566"/>
        <v>-10142.764999999999</v>
      </c>
      <c r="T176" s="76">
        <f t="shared" si="566"/>
        <v>-6041.0000000000018</v>
      </c>
      <c r="U176" s="76">
        <f t="shared" si="566"/>
        <v>31335.162000000004</v>
      </c>
      <c r="V176" s="76">
        <f t="shared" si="566"/>
        <v>-28495.554000000004</v>
      </c>
      <c r="W176" s="76">
        <f t="shared" si="566"/>
        <v>8537.2179999999989</v>
      </c>
      <c r="X176" s="76">
        <f t="shared" si="566"/>
        <v>5768.5240000000013</v>
      </c>
      <c r="Y176" s="76">
        <f t="shared" si="566"/>
        <v>14817.421</v>
      </c>
      <c r="Z176" s="76">
        <f t="shared" si="566"/>
        <v>1110.3080000000009</v>
      </c>
      <c r="AA176" s="76">
        <f t="shared" si="566"/>
        <v>3051.2469999999998</v>
      </c>
      <c r="AB176" s="76">
        <f t="shared" si="566"/>
        <v>14880.492000000002</v>
      </c>
      <c r="AC176" s="76">
        <f t="shared" si="566"/>
        <v>20164.175000000003</v>
      </c>
      <c r="AD176" s="76">
        <f t="shared" si="566"/>
        <v>696.98299999999972</v>
      </c>
      <c r="AE176" s="76">
        <f t="shared" si="566"/>
        <v>5304.3580000000002</v>
      </c>
      <c r="AF176" s="76">
        <f t="shared" si="566"/>
        <v>17711.192999999999</v>
      </c>
      <c r="AG176" s="76">
        <f t="shared" si="566"/>
        <v>3052.5030000000006</v>
      </c>
      <c r="AH176" s="76">
        <f t="shared" si="566"/>
        <v>-15036.015000000003</v>
      </c>
      <c r="AI176" s="76">
        <f t="shared" si="566"/>
        <v>508.85900000000038</v>
      </c>
      <c r="AJ176" s="76">
        <f t="shared" si="566"/>
        <v>10762.159</v>
      </c>
      <c r="AK176" s="76">
        <f t="shared" si="566"/>
        <v>-10529.034</v>
      </c>
      <c r="AL176" s="76">
        <f t="shared" si="566"/>
        <v>546.76400000000649</v>
      </c>
      <c r="AM176" s="76">
        <f t="shared" si="566"/>
        <v>-7322.0149999999994</v>
      </c>
      <c r="AN176" s="76">
        <f t="shared" si="566"/>
        <v>-6334.4650000000001</v>
      </c>
      <c r="AO176" s="76">
        <f t="shared" si="566"/>
        <v>-9326.89</v>
      </c>
      <c r="AP176" s="76">
        <f t="shared" si="566"/>
        <v>3288.482</v>
      </c>
      <c r="AQ176" s="76">
        <f t="shared" si="566"/>
        <v>-11333.601000000001</v>
      </c>
      <c r="AR176" s="76">
        <f t="shared" si="566"/>
        <v>4754.4369999999999</v>
      </c>
      <c r="AS176" s="76">
        <f t="shared" si="566"/>
        <v>-533.51699999999983</v>
      </c>
      <c r="AT176" s="76">
        <f t="shared" si="566"/>
        <v>-2482.6720000000005</v>
      </c>
      <c r="AU176" s="76">
        <f t="shared" si="566"/>
        <v>-11372.075000000001</v>
      </c>
    </row>
    <row r="177" spans="2:47" ht="13.5" customHeight="1" x14ac:dyDescent="0.35">
      <c r="B177" s="3" t="str">
        <f t="shared" si="542"/>
        <v>Other financing activities</v>
      </c>
      <c r="C177" s="76">
        <f t="shared" ref="C177:M177" si="567">+C72</f>
        <v>5.0359999999999996</v>
      </c>
      <c r="D177" s="76">
        <f t="shared" si="567"/>
        <v>7.9130000000000003</v>
      </c>
      <c r="E177" s="76">
        <f t="shared" si="567"/>
        <v>2.5529999999999999</v>
      </c>
      <c r="F177" s="76">
        <f t="shared" si="567"/>
        <v>7.5529999999999999</v>
      </c>
      <c r="G177" s="76">
        <f t="shared" si="567"/>
        <v>0</v>
      </c>
      <c r="H177" s="76">
        <f t="shared" si="567"/>
        <v>0</v>
      </c>
      <c r="I177" s="76">
        <f t="shared" si="567"/>
        <v>0</v>
      </c>
      <c r="J177" s="76">
        <f t="shared" si="567"/>
        <v>0</v>
      </c>
      <c r="K177" s="76">
        <f t="shared" si="567"/>
        <v>0</v>
      </c>
      <c r="L177" s="76">
        <f t="shared" si="567"/>
        <v>-29.518999999999998</v>
      </c>
      <c r="M177" s="76"/>
      <c r="N177" s="76"/>
      <c r="O177" s="76">
        <f t="shared" ref="O177:AU177" si="568">+O72</f>
        <v>0</v>
      </c>
      <c r="P177" s="76">
        <f t="shared" si="568"/>
        <v>0.53200000000000003</v>
      </c>
      <c r="Q177" s="76">
        <f t="shared" si="568"/>
        <v>2.0219999999999998</v>
      </c>
      <c r="R177" s="76">
        <f t="shared" si="568"/>
        <v>-9.9999999999988987E-4</v>
      </c>
      <c r="S177" s="76">
        <f t="shared" si="568"/>
        <v>0.89500000000000002</v>
      </c>
      <c r="T177" s="76">
        <f t="shared" si="568"/>
        <v>0.79499999999999993</v>
      </c>
      <c r="U177" s="76">
        <f t="shared" si="568"/>
        <v>5.8629999999999995</v>
      </c>
      <c r="V177" s="76">
        <f t="shared" si="568"/>
        <v>0</v>
      </c>
      <c r="W177" s="76">
        <f t="shared" si="568"/>
        <v>0</v>
      </c>
      <c r="X177" s="76">
        <f t="shared" si="568"/>
        <v>0</v>
      </c>
      <c r="Y177" s="76">
        <f t="shared" si="568"/>
        <v>0</v>
      </c>
      <c r="Z177" s="76">
        <f t="shared" si="568"/>
        <v>0</v>
      </c>
      <c r="AA177" s="76">
        <f t="shared" si="568"/>
        <v>0</v>
      </c>
      <c r="AB177" s="76">
        <f t="shared" si="568"/>
        <v>0</v>
      </c>
      <c r="AC177" s="76">
        <f t="shared" si="568"/>
        <v>0</v>
      </c>
      <c r="AD177" s="76">
        <f t="shared" si="568"/>
        <v>0</v>
      </c>
      <c r="AE177" s="76">
        <f t="shared" si="568"/>
        <v>0</v>
      </c>
      <c r="AF177" s="76">
        <f t="shared" si="568"/>
        <v>-824.27599999999995</v>
      </c>
      <c r="AG177" s="76">
        <f t="shared" si="568"/>
        <v>824.27599999999995</v>
      </c>
      <c r="AH177" s="76">
        <f t="shared" si="568"/>
        <v>0</v>
      </c>
      <c r="AI177" s="76">
        <f t="shared" si="568"/>
        <v>0</v>
      </c>
      <c r="AJ177" s="76">
        <f t="shared" si="568"/>
        <v>-658.452</v>
      </c>
      <c r="AK177" s="76">
        <f t="shared" si="568"/>
        <v>658.452</v>
      </c>
      <c r="AL177" s="76">
        <f t="shared" si="568"/>
        <v>0</v>
      </c>
      <c r="AM177" s="76">
        <f t="shared" si="568"/>
        <v>0</v>
      </c>
      <c r="AN177" s="76">
        <f t="shared" si="568"/>
        <v>-681.54600000000005</v>
      </c>
      <c r="AO177" s="76">
        <f t="shared" si="568"/>
        <v>681.54600000000005</v>
      </c>
      <c r="AP177" s="76">
        <f t="shared" si="568"/>
        <v>0</v>
      </c>
      <c r="AQ177" s="76">
        <f t="shared" si="568"/>
        <v>0</v>
      </c>
      <c r="AR177" s="76">
        <f t="shared" si="568"/>
        <v>0</v>
      </c>
      <c r="AS177" s="76">
        <f t="shared" si="568"/>
        <v>0</v>
      </c>
      <c r="AT177" s="76">
        <f t="shared" si="568"/>
        <v>-29.518999999999998</v>
      </c>
      <c r="AU177" s="76">
        <f t="shared" si="568"/>
        <v>0</v>
      </c>
    </row>
    <row r="178" spans="2:47" s="6" customFormat="1" ht="13.5" customHeight="1" x14ac:dyDescent="0.3">
      <c r="B178" s="6" t="str">
        <f t="shared" si="542"/>
        <v>Cash flow after financing activities</v>
      </c>
      <c r="C178" s="76">
        <f t="shared" ref="C178:M178" si="569">+C73</f>
        <v>-7869.1340000000055</v>
      </c>
      <c r="D178" s="76">
        <f t="shared" si="569"/>
        <v>-2983.4479999999899</v>
      </c>
      <c r="E178" s="76">
        <f t="shared" si="569"/>
        <v>6389.0489999999954</v>
      </c>
      <c r="F178" s="76">
        <f t="shared" si="569"/>
        <v>-20114.478000000003</v>
      </c>
      <c r="G178" s="76">
        <f t="shared" si="569"/>
        <v>4815.6040000000175</v>
      </c>
      <c r="H178" s="76">
        <f t="shared" si="569"/>
        <v>-1370.2240000000093</v>
      </c>
      <c r="I178" s="76">
        <f t="shared" si="569"/>
        <v>-10395.659</v>
      </c>
      <c r="J178" s="76">
        <f t="shared" si="569"/>
        <v>-1498.5859999999957</v>
      </c>
      <c r="K178" s="76">
        <f t="shared" si="569"/>
        <v>3899.4619999999995</v>
      </c>
      <c r="L178" s="76">
        <f t="shared" si="569"/>
        <v>-670.41799999999216</v>
      </c>
      <c r="M178" s="76"/>
      <c r="N178" s="76"/>
      <c r="O178" s="76">
        <f t="shared" ref="O178:AU178" si="570">+O73</f>
        <v>-6420.7820000000002</v>
      </c>
      <c r="P178" s="76">
        <f t="shared" si="570"/>
        <v>2580.4790000000039</v>
      </c>
      <c r="Q178" s="76">
        <f t="shared" si="570"/>
        <v>12.618999999992022</v>
      </c>
      <c r="R178" s="76">
        <f t="shared" si="570"/>
        <v>10216.732999999997</v>
      </c>
      <c r="S178" s="76">
        <f t="shared" si="570"/>
        <v>-7826.3329999999996</v>
      </c>
      <c r="T178" s="76">
        <f t="shared" si="570"/>
        <v>-6102.6030000000037</v>
      </c>
      <c r="U178" s="76">
        <f t="shared" si="570"/>
        <v>30960.929</v>
      </c>
      <c r="V178" s="76">
        <f t="shared" si="570"/>
        <v>-37146.47099999999</v>
      </c>
      <c r="W178" s="76">
        <f t="shared" si="570"/>
        <v>5024.9099999999989</v>
      </c>
      <c r="X178" s="76">
        <f t="shared" si="570"/>
        <v>-2802.3789999999972</v>
      </c>
      <c r="Y178" s="76">
        <f t="shared" si="570"/>
        <v>17119.569</v>
      </c>
      <c r="Z178" s="76">
        <f t="shared" si="570"/>
        <v>-14526.495999999977</v>
      </c>
      <c r="AA178" s="76">
        <f t="shared" si="570"/>
        <v>-7035.4990000000034</v>
      </c>
      <c r="AB178" s="76">
        <f t="shared" si="570"/>
        <v>-1006.6189999999879</v>
      </c>
      <c r="AC178" s="76">
        <f t="shared" si="570"/>
        <v>6482.1289999999935</v>
      </c>
      <c r="AD178" s="76">
        <f t="shared" si="570"/>
        <v>189.76499999998077</v>
      </c>
      <c r="AE178" s="76">
        <f t="shared" si="570"/>
        <v>-11232.895000000004</v>
      </c>
      <c r="AF178" s="76">
        <f t="shared" si="570"/>
        <v>4897.6119999998991</v>
      </c>
      <c r="AG178" s="76">
        <f t="shared" si="570"/>
        <v>-27743.046999999904</v>
      </c>
      <c r="AH178" s="76">
        <f t="shared" si="570"/>
        <v>23682.670999999998</v>
      </c>
      <c r="AI178" s="76">
        <f t="shared" si="570"/>
        <v>-11829.866999999998</v>
      </c>
      <c r="AJ178" s="76">
        <f t="shared" si="570"/>
        <v>16015.640999999994</v>
      </c>
      <c r="AK178" s="76">
        <f t="shared" si="570"/>
        <v>-11058.249999999998</v>
      </c>
      <c r="AL178" s="76">
        <f t="shared" si="570"/>
        <v>5373.8900000000021</v>
      </c>
      <c r="AM178" s="76">
        <f t="shared" si="570"/>
        <v>-1226.7619999999988</v>
      </c>
      <c r="AN178" s="76">
        <f t="shared" si="570"/>
        <v>-1556.6409999999994</v>
      </c>
      <c r="AO178" s="76">
        <f t="shared" si="570"/>
        <v>4540.0490000000082</v>
      </c>
      <c r="AP178" s="76">
        <f t="shared" si="570"/>
        <v>2142.8159999999925</v>
      </c>
      <c r="AQ178" s="76">
        <f t="shared" si="570"/>
        <v>-3593.2999999999993</v>
      </c>
      <c r="AR178" s="76">
        <f t="shared" si="570"/>
        <v>-743.79600000000391</v>
      </c>
      <c r="AS178" s="76">
        <f t="shared" si="570"/>
        <v>6898.7140000000009</v>
      </c>
      <c r="AT178" s="76">
        <f t="shared" si="570"/>
        <v>-3232.0359999999841</v>
      </c>
      <c r="AU178" s="76">
        <f t="shared" si="570"/>
        <v>15530.474000000002</v>
      </c>
    </row>
    <row r="179" spans="2:47" ht="13.5" customHeight="1" x14ac:dyDescent="0.35">
      <c r="B179" s="3" t="str">
        <f t="shared" ref="B179:M179" si="571">+B75</f>
        <v xml:space="preserve">FX </v>
      </c>
      <c r="C179" s="76">
        <f t="shared" si="571"/>
        <v>52.832999999999998</v>
      </c>
      <c r="D179" s="76">
        <f t="shared" si="571"/>
        <v>-107.229</v>
      </c>
      <c r="E179" s="76">
        <f t="shared" si="571"/>
        <v>240.43600000000001</v>
      </c>
      <c r="F179" s="76">
        <f t="shared" si="571"/>
        <v>-682.38099999999997</v>
      </c>
      <c r="G179" s="76">
        <f t="shared" si="571"/>
        <v>-864.96</v>
      </c>
      <c r="H179" s="76">
        <f t="shared" si="571"/>
        <v>90.918999999999997</v>
      </c>
      <c r="I179" s="76">
        <f t="shared" si="571"/>
        <v>287.56900000000002</v>
      </c>
      <c r="J179" s="76">
        <f t="shared" si="571"/>
        <v>201.78800000000001</v>
      </c>
      <c r="K179" s="76">
        <f t="shared" si="571"/>
        <v>133.78399999999999</v>
      </c>
      <c r="L179" s="76">
        <f t="shared" si="571"/>
        <v>145.52799999999999</v>
      </c>
      <c r="M179" s="76"/>
      <c r="N179" s="76"/>
      <c r="O179" s="76">
        <f t="shared" ref="O179:AU179" si="572">+O75</f>
        <v>280.536</v>
      </c>
      <c r="P179" s="76">
        <f t="shared" si="572"/>
        <v>101.858</v>
      </c>
      <c r="Q179" s="76">
        <f t="shared" si="572"/>
        <v>85.630999999999972</v>
      </c>
      <c r="R179" s="76">
        <f t="shared" si="572"/>
        <v>-227.58899999999997</v>
      </c>
      <c r="S179" s="76">
        <f t="shared" si="572"/>
        <v>20.423999999999999</v>
      </c>
      <c r="T179" s="76">
        <f t="shared" si="572"/>
        <v>-427.97999999999996</v>
      </c>
      <c r="U179" s="76">
        <f t="shared" si="572"/>
        <v>7.9999999999962768E-2</v>
      </c>
      <c r="V179" s="76">
        <f t="shared" si="572"/>
        <v>-274.90499999999992</v>
      </c>
      <c r="W179" s="76">
        <f t="shared" si="572"/>
        <v>-139.28399999999999</v>
      </c>
      <c r="X179" s="76">
        <f t="shared" si="572"/>
        <v>-63.244</v>
      </c>
      <c r="Y179" s="76">
        <f t="shared" si="572"/>
        <v>-577.96100000000001</v>
      </c>
      <c r="Z179" s="76">
        <f t="shared" si="572"/>
        <v>-84.471000000000032</v>
      </c>
      <c r="AA179" s="76">
        <f t="shared" si="572"/>
        <v>24.114000000000001</v>
      </c>
      <c r="AB179" s="76">
        <f t="shared" si="572"/>
        <v>-80.058000000000007</v>
      </c>
      <c r="AC179" s="76">
        <f t="shared" si="572"/>
        <v>164.87800000000001</v>
      </c>
      <c r="AD179" s="76">
        <f t="shared" si="572"/>
        <v>-18.015000000000011</v>
      </c>
      <c r="AE179" s="76">
        <f t="shared" si="572"/>
        <v>228.636</v>
      </c>
      <c r="AF179" s="76">
        <f t="shared" si="572"/>
        <v>127.46700000000001</v>
      </c>
      <c r="AG179" s="76">
        <f t="shared" si="572"/>
        <v>97.93799999999996</v>
      </c>
      <c r="AH179" s="76">
        <f t="shared" si="572"/>
        <v>-166.47199999999995</v>
      </c>
      <c r="AI179" s="76">
        <f t="shared" si="572"/>
        <v>64.123000000000005</v>
      </c>
      <c r="AJ179" s="76">
        <f t="shared" si="572"/>
        <v>-10.055000000000007</v>
      </c>
      <c r="AK179" s="76">
        <f t="shared" si="572"/>
        <v>165.75</v>
      </c>
      <c r="AL179" s="76">
        <f t="shared" si="572"/>
        <v>-18.029999999999987</v>
      </c>
      <c r="AM179" s="76">
        <f t="shared" si="572"/>
        <v>29.474</v>
      </c>
      <c r="AN179" s="76">
        <f t="shared" si="572"/>
        <v>-38.795000000000002</v>
      </c>
      <c r="AO179" s="76">
        <f t="shared" si="572"/>
        <v>-127.893</v>
      </c>
      <c r="AP179" s="76">
        <f t="shared" si="572"/>
        <v>270.99800000000005</v>
      </c>
      <c r="AQ179" s="76">
        <f t="shared" si="572"/>
        <v>-41.341999999999999</v>
      </c>
      <c r="AR179" s="76">
        <f t="shared" si="572"/>
        <v>-96.548999999999992</v>
      </c>
      <c r="AS179" s="76">
        <f t="shared" si="572"/>
        <v>185.10899999999998</v>
      </c>
      <c r="AT179" s="76">
        <f t="shared" si="572"/>
        <v>98.31</v>
      </c>
      <c r="AU179" s="76">
        <f t="shared" si="572"/>
        <v>169.93899999999999</v>
      </c>
    </row>
    <row r="180" spans="2:47" ht="13.5" customHeight="1" x14ac:dyDescent="0.35">
      <c r="B180" s="3" t="str">
        <f t="shared" ref="B180:M180" si="573">+B74</f>
        <v>Balancing figure</v>
      </c>
      <c r="C180" s="76">
        <f t="shared" si="573"/>
        <v>4634.7740000000049</v>
      </c>
      <c r="D180" s="76">
        <f t="shared" si="573"/>
        <v>5680.0449999999901</v>
      </c>
      <c r="E180" s="76">
        <f t="shared" si="573"/>
        <v>5374.6810000000041</v>
      </c>
      <c r="F180" s="76">
        <f t="shared" si="573"/>
        <v>5868.5650000000023</v>
      </c>
      <c r="G180" s="76">
        <f t="shared" si="573"/>
        <v>7259.3779999999824</v>
      </c>
      <c r="H180" s="76">
        <f t="shared" si="573"/>
        <v>6010.3860000000095</v>
      </c>
      <c r="I180" s="76">
        <f t="shared" si="573"/>
        <v>3902.6799999999994</v>
      </c>
      <c r="J180" s="76">
        <f t="shared" si="573"/>
        <v>-91.910000000004402</v>
      </c>
      <c r="K180" s="76">
        <f t="shared" si="573"/>
        <v>675.33600000000024</v>
      </c>
      <c r="L180" s="76">
        <f t="shared" si="573"/>
        <v>4730.8499999999922</v>
      </c>
      <c r="M180" s="76"/>
      <c r="N180" s="76"/>
      <c r="O180" s="76">
        <f t="shared" ref="O180:AU180" si="574">+O74</f>
        <v>1221.9660000000003</v>
      </c>
      <c r="P180" s="76">
        <f t="shared" si="574"/>
        <v>1652.4919999999956</v>
      </c>
      <c r="Q180" s="76">
        <f t="shared" si="574"/>
        <v>1396.2740000000085</v>
      </c>
      <c r="R180" s="76">
        <f t="shared" si="574"/>
        <v>1103.9489999999996</v>
      </c>
      <c r="S180" s="76">
        <f t="shared" si="574"/>
        <v>1138.6329999999998</v>
      </c>
      <c r="T180" s="76">
        <f t="shared" si="574"/>
        <v>1757.7540000000026</v>
      </c>
      <c r="U180" s="76">
        <f t="shared" si="574"/>
        <v>-31117.380000000005</v>
      </c>
      <c r="V180" s="76">
        <f t="shared" si="574"/>
        <v>34089.558000000005</v>
      </c>
      <c r="W180" s="76">
        <f t="shared" si="574"/>
        <v>1335.3830000000007</v>
      </c>
      <c r="X180" s="76">
        <f t="shared" si="574"/>
        <v>3131.7569999999978</v>
      </c>
      <c r="Y180" s="76">
        <f t="shared" si="574"/>
        <v>1300.277</v>
      </c>
      <c r="Z180" s="76">
        <f t="shared" si="574"/>
        <v>1491.9609999999839</v>
      </c>
      <c r="AA180" s="76">
        <f t="shared" si="574"/>
        <v>1987.6450000000032</v>
      </c>
      <c r="AB180" s="76">
        <f t="shared" si="574"/>
        <v>1231.2589999999882</v>
      </c>
      <c r="AC180" s="76">
        <f t="shared" si="574"/>
        <v>-8571.2499999999927</v>
      </c>
      <c r="AD180" s="76">
        <f t="shared" si="574"/>
        <v>11362.732000000011</v>
      </c>
      <c r="AE180" s="76">
        <f t="shared" si="574"/>
        <v>1619.609000000004</v>
      </c>
      <c r="AF180" s="76">
        <f t="shared" si="574"/>
        <v>-3804.1969999998983</v>
      </c>
      <c r="AG180" s="76">
        <f t="shared" si="574"/>
        <v>25960.175999999905</v>
      </c>
      <c r="AH180" s="76">
        <f t="shared" si="574"/>
        <v>-19872.90800000001</v>
      </c>
      <c r="AI180" s="76">
        <f t="shared" si="574"/>
        <v>9975.7989999999991</v>
      </c>
      <c r="AJ180" s="76">
        <f t="shared" si="574"/>
        <v>-6891.7669999999962</v>
      </c>
      <c r="AK180" s="76">
        <f t="shared" si="574"/>
        <v>1511.6759999999995</v>
      </c>
      <c r="AL180" s="76">
        <f t="shared" si="574"/>
        <v>-4687.6180000000068</v>
      </c>
      <c r="AM180" s="76">
        <f t="shared" si="574"/>
        <v>1531.5459999999989</v>
      </c>
      <c r="AN180" s="76">
        <f t="shared" si="574"/>
        <v>3250.1389999999992</v>
      </c>
      <c r="AO180" s="76">
        <f t="shared" si="574"/>
        <v>-790.17000000000803</v>
      </c>
      <c r="AP180" s="76">
        <f t="shared" si="574"/>
        <v>-3316.1789999999901</v>
      </c>
      <c r="AQ180" s="76">
        <f t="shared" si="574"/>
        <v>1007.8299999999995</v>
      </c>
      <c r="AR180" s="76">
        <f t="shared" si="574"/>
        <v>1428.9840000000036</v>
      </c>
      <c r="AS180" s="76">
        <f t="shared" si="574"/>
        <v>1329.069999999999</v>
      </c>
      <c r="AT180" s="76">
        <f t="shared" si="574"/>
        <v>964.96599999999034</v>
      </c>
      <c r="AU180" s="76">
        <f t="shared" si="574"/>
        <v>1092.8439999999973</v>
      </c>
    </row>
    <row r="181" spans="2:47" ht="13.5" customHeight="1" thickBot="1" x14ac:dyDescent="0.4">
      <c r="B181" s="73" t="str">
        <f t="shared" ref="B181:M181" si="575">+B76</f>
        <v xml:space="preserve">Net change in cash </v>
      </c>
      <c r="C181" s="74">
        <f t="shared" si="575"/>
        <v>-3181.5270000000005</v>
      </c>
      <c r="D181" s="74">
        <f t="shared" si="575"/>
        <v>2589.3680000000004</v>
      </c>
      <c r="E181" s="74">
        <f t="shared" si="575"/>
        <v>12004.165999999999</v>
      </c>
      <c r="F181" s="74">
        <f t="shared" si="575"/>
        <v>-14928.294</v>
      </c>
      <c r="G181" s="74">
        <f t="shared" si="575"/>
        <v>11210.022000000001</v>
      </c>
      <c r="H181" s="74">
        <f t="shared" si="575"/>
        <v>4731.0810000000001</v>
      </c>
      <c r="I181" s="74">
        <f t="shared" si="575"/>
        <v>-6205.41</v>
      </c>
      <c r="J181" s="74">
        <f t="shared" si="575"/>
        <v>-1388.7080000000001</v>
      </c>
      <c r="K181" s="74">
        <f t="shared" si="575"/>
        <v>4708.5819999999994</v>
      </c>
      <c r="L181" s="74">
        <f t="shared" si="575"/>
        <v>4205.96</v>
      </c>
      <c r="M181" s="74"/>
      <c r="N181" s="71"/>
      <c r="O181" s="74">
        <f t="shared" ref="O181:AU181" si="576">+O76</f>
        <v>-4918.28</v>
      </c>
      <c r="P181" s="74">
        <f t="shared" si="576"/>
        <v>4334.8289999999997</v>
      </c>
      <c r="Q181" s="74">
        <f t="shared" si="576"/>
        <v>1494.5240000000003</v>
      </c>
      <c r="R181" s="74">
        <f t="shared" si="576"/>
        <v>11093.092999999997</v>
      </c>
      <c r="S181" s="74">
        <f t="shared" si="576"/>
        <v>-6667.2759999999998</v>
      </c>
      <c r="T181" s="74">
        <f t="shared" si="576"/>
        <v>-4772.8290000000006</v>
      </c>
      <c r="U181" s="74">
        <f t="shared" si="576"/>
        <v>-156.37100000000461</v>
      </c>
      <c r="V181" s="74">
        <f t="shared" si="576"/>
        <v>-3331.8179999999857</v>
      </c>
      <c r="W181" s="74">
        <f t="shared" si="576"/>
        <v>6221.009</v>
      </c>
      <c r="X181" s="74">
        <f t="shared" si="576"/>
        <v>266.13400000000058</v>
      </c>
      <c r="Y181" s="74">
        <f t="shared" si="576"/>
        <v>17841.884999999998</v>
      </c>
      <c r="Z181" s="74">
        <f t="shared" si="576"/>
        <v>-13119.005999999992</v>
      </c>
      <c r="AA181" s="74">
        <f t="shared" si="576"/>
        <v>-5023.7400000000007</v>
      </c>
      <c r="AB181" s="74">
        <f t="shared" si="576"/>
        <v>144.58200000000033</v>
      </c>
      <c r="AC181" s="74">
        <f t="shared" si="576"/>
        <v>-1924.2429999999993</v>
      </c>
      <c r="AD181" s="74">
        <f t="shared" si="576"/>
        <v>11534.481999999993</v>
      </c>
      <c r="AE181" s="74">
        <f t="shared" si="576"/>
        <v>-9384.65</v>
      </c>
      <c r="AF181" s="74">
        <f t="shared" si="576"/>
        <v>1220.882000000001</v>
      </c>
      <c r="AG181" s="74">
        <f t="shared" si="576"/>
        <v>-1684.9329999999993</v>
      </c>
      <c r="AH181" s="74">
        <f t="shared" si="576"/>
        <v>3643.2909999999883</v>
      </c>
      <c r="AI181" s="74">
        <f t="shared" si="576"/>
        <v>-1789.9449999999993</v>
      </c>
      <c r="AJ181" s="74">
        <f t="shared" si="576"/>
        <v>9113.8189999999977</v>
      </c>
      <c r="AK181" s="74">
        <f t="shared" si="576"/>
        <v>-9380.8239999999987</v>
      </c>
      <c r="AL181" s="74">
        <f t="shared" si="576"/>
        <v>668.24199999999541</v>
      </c>
      <c r="AM181" s="74">
        <f t="shared" si="576"/>
        <v>334.2580000000001</v>
      </c>
      <c r="AN181" s="74">
        <f t="shared" si="576"/>
        <v>1654.7029999999997</v>
      </c>
      <c r="AO181" s="74">
        <f t="shared" si="576"/>
        <v>3621.9859999999999</v>
      </c>
      <c r="AP181" s="74">
        <f t="shared" si="576"/>
        <v>-902.36499999999751</v>
      </c>
      <c r="AQ181" s="74">
        <f t="shared" si="576"/>
        <v>-2626.8119999999999</v>
      </c>
      <c r="AR181" s="74">
        <f t="shared" si="576"/>
        <v>588.63899999999967</v>
      </c>
      <c r="AS181" s="74">
        <f t="shared" si="576"/>
        <v>8412.893</v>
      </c>
      <c r="AT181" s="74">
        <f t="shared" si="576"/>
        <v>-2168.7599999999939</v>
      </c>
      <c r="AU181" s="74">
        <f t="shared" si="576"/>
        <v>16793.256999999998</v>
      </c>
    </row>
    <row r="182" spans="2:47" ht="13.5" customHeight="1" thickTop="1" thickBot="1" x14ac:dyDescent="0.4">
      <c r="B182" s="73" t="str">
        <f t="shared" ref="B182:M182" si="577">+B77</f>
        <v>Cash and cash equivalents</v>
      </c>
      <c r="C182" s="74">
        <f t="shared" si="577"/>
        <v>8632.8520000000008</v>
      </c>
      <c r="D182" s="74">
        <f t="shared" si="577"/>
        <v>11222.220000000001</v>
      </c>
      <c r="E182" s="74">
        <f t="shared" si="577"/>
        <v>23226.385999999999</v>
      </c>
      <c r="F182" s="74">
        <f t="shared" si="577"/>
        <v>8298.0919999999987</v>
      </c>
      <c r="G182" s="74">
        <f t="shared" si="577"/>
        <v>19508.114000000001</v>
      </c>
      <c r="H182" s="74">
        <f t="shared" si="577"/>
        <v>24239.195</v>
      </c>
      <c r="I182" s="74">
        <f t="shared" si="577"/>
        <v>18033.785</v>
      </c>
      <c r="J182" s="74">
        <f t="shared" si="577"/>
        <v>16645.077000000001</v>
      </c>
      <c r="K182" s="74">
        <f t="shared" si="577"/>
        <v>21353.659</v>
      </c>
      <c r="L182" s="74">
        <f t="shared" si="577"/>
        <v>25029.857</v>
      </c>
      <c r="M182" s="74"/>
      <c r="N182" s="71"/>
      <c r="O182" s="74">
        <f t="shared" ref="O182:AU182" si="578">+O77</f>
        <v>6303.94</v>
      </c>
      <c r="P182" s="74">
        <f t="shared" si="578"/>
        <v>10638.769</v>
      </c>
      <c r="Q182" s="74">
        <f t="shared" si="578"/>
        <v>12133.293000000001</v>
      </c>
      <c r="R182" s="74">
        <f t="shared" si="578"/>
        <v>23226.385999999999</v>
      </c>
      <c r="S182" s="74">
        <f t="shared" si="578"/>
        <v>16559.11</v>
      </c>
      <c r="T182" s="74">
        <f t="shared" si="578"/>
        <v>11786.280999999999</v>
      </c>
      <c r="U182" s="74">
        <f t="shared" si="578"/>
        <v>11629.909999999994</v>
      </c>
      <c r="V182" s="74">
        <f t="shared" si="578"/>
        <v>8298.0920000000078</v>
      </c>
      <c r="W182" s="74">
        <f t="shared" si="578"/>
        <v>14519.101000000001</v>
      </c>
      <c r="X182" s="74">
        <f t="shared" si="578"/>
        <v>14785.235000000001</v>
      </c>
      <c r="Y182" s="74">
        <f t="shared" si="578"/>
        <v>32627.119999999999</v>
      </c>
      <c r="Z182" s="74">
        <f t="shared" si="578"/>
        <v>19508.114000000009</v>
      </c>
      <c r="AA182" s="74">
        <f t="shared" si="578"/>
        <v>14484.374000000007</v>
      </c>
      <c r="AB182" s="74">
        <f t="shared" si="578"/>
        <v>14628.956000000007</v>
      </c>
      <c r="AC182" s="74">
        <f t="shared" si="578"/>
        <v>12704.713000000009</v>
      </c>
      <c r="AD182" s="74">
        <f t="shared" si="578"/>
        <v>24239.195</v>
      </c>
      <c r="AE182" s="74">
        <f t="shared" si="578"/>
        <v>14854.545</v>
      </c>
      <c r="AF182" s="74">
        <f t="shared" si="578"/>
        <v>16075.427000000001</v>
      </c>
      <c r="AG182" s="74">
        <f t="shared" si="578"/>
        <v>14390.494000000002</v>
      </c>
      <c r="AH182" s="74">
        <f t="shared" si="578"/>
        <v>18033.784999999989</v>
      </c>
      <c r="AI182" s="74">
        <f t="shared" si="578"/>
        <v>16243.839999999989</v>
      </c>
      <c r="AJ182" s="74">
        <f t="shared" si="578"/>
        <v>25357.658999999985</v>
      </c>
      <c r="AK182" s="74">
        <f t="shared" si="578"/>
        <v>15976.834999999986</v>
      </c>
      <c r="AL182" s="74">
        <f t="shared" si="578"/>
        <v>16645.076999999983</v>
      </c>
      <c r="AM182" s="74">
        <f t="shared" si="578"/>
        <v>16979.334999999985</v>
      </c>
      <c r="AN182" s="74">
        <f t="shared" si="578"/>
        <v>18634.037999999986</v>
      </c>
      <c r="AO182" s="74">
        <f t="shared" si="578"/>
        <v>22256.023999999987</v>
      </c>
      <c r="AP182" s="74">
        <f t="shared" si="578"/>
        <v>21353.658999999989</v>
      </c>
      <c r="AQ182" s="74">
        <f t="shared" si="578"/>
        <v>18726.846999999987</v>
      </c>
      <c r="AR182" s="74">
        <f t="shared" si="578"/>
        <v>19315.485999999986</v>
      </c>
      <c r="AS182" s="74">
        <f t="shared" si="578"/>
        <v>27728.378999999986</v>
      </c>
      <c r="AT182" s="74">
        <f t="shared" si="578"/>
        <v>25029.856999999993</v>
      </c>
      <c r="AU182" s="74">
        <f t="shared" si="578"/>
        <v>42352.875999999997</v>
      </c>
    </row>
    <row r="183" spans="2:47" ht="13.5" customHeight="1" thickTop="1" x14ac:dyDescent="0.35"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</row>
    <row r="184" spans="2:47" ht="13.5" customHeight="1" x14ac:dyDescent="0.35">
      <c r="B184" s="3" t="s">
        <v>358</v>
      </c>
      <c r="C184" s="76">
        <f>C124</f>
        <v>101228.591</v>
      </c>
      <c r="D184" s="76">
        <f t="shared" ref="D184:W184" si="579">D124</f>
        <v>131528.70499999999</v>
      </c>
      <c r="E184" s="76">
        <f t="shared" si="579"/>
        <v>148281.897</v>
      </c>
      <c r="F184" s="76">
        <f t="shared" si="579"/>
        <v>139526.35200000001</v>
      </c>
      <c r="G184" s="76">
        <f t="shared" ref="G184:H184" si="580">G124</f>
        <v>169316.82200000001</v>
      </c>
      <c r="H184" s="76">
        <f t="shared" si="580"/>
        <v>229932.91499999998</v>
      </c>
      <c r="I184" s="76">
        <f t="shared" ref="I184:J184" si="581">I124</f>
        <v>331526.39600000007</v>
      </c>
      <c r="J184" s="76">
        <f t="shared" si="581"/>
        <v>382976.64099999995</v>
      </c>
      <c r="K184" s="76">
        <f t="shared" ref="K184:L184" si="582">K124</f>
        <v>410697.08300000004</v>
      </c>
      <c r="L184" s="76">
        <f t="shared" si="582"/>
        <v>430971.473</v>
      </c>
      <c r="M184" s="76"/>
      <c r="N184" s="76"/>
      <c r="O184" s="76">
        <f t="shared" si="579"/>
        <v>127849.648</v>
      </c>
      <c r="P184" s="76">
        <f t="shared" si="579"/>
        <v>134036.81099999999</v>
      </c>
      <c r="Q184" s="76">
        <f t="shared" si="579"/>
        <v>134086.75099999999</v>
      </c>
      <c r="R184" s="76">
        <f t="shared" si="579"/>
        <v>148281.897</v>
      </c>
      <c r="S184" s="76">
        <f t="shared" si="579"/>
        <v>141728.07500000001</v>
      </c>
      <c r="T184" s="76">
        <f t="shared" si="579"/>
        <v>135412.81699999998</v>
      </c>
      <c r="U184" s="76">
        <f t="shared" si="579"/>
        <v>135275.89300000001</v>
      </c>
      <c r="V184" s="76">
        <f t="shared" si="579"/>
        <v>139526.35200000001</v>
      </c>
      <c r="W184" s="76">
        <f t="shared" si="579"/>
        <v>148514.41</v>
      </c>
      <c r="X184" s="76">
        <f t="shared" ref="X184:AA184" si="583">X124</f>
        <v>154139.552</v>
      </c>
      <c r="Y184" s="76">
        <f t="shared" si="583"/>
        <v>167942.049</v>
      </c>
      <c r="Z184" s="76">
        <f t="shared" si="583"/>
        <v>169316.82200000001</v>
      </c>
      <c r="AA184" s="76">
        <f t="shared" si="583"/>
        <v>173433.20699999999</v>
      </c>
      <c r="AB184" s="76">
        <f t="shared" ref="AB184:AE184" si="584">AB124</f>
        <v>189352.20699999999</v>
      </c>
      <c r="AC184" s="76">
        <f t="shared" si="584"/>
        <v>221474.89299999998</v>
      </c>
      <c r="AD184" s="76">
        <f t="shared" si="584"/>
        <v>229932.91499999998</v>
      </c>
      <c r="AE184" s="76">
        <f t="shared" si="584"/>
        <v>240603.81299999999</v>
      </c>
      <c r="AF184" s="76">
        <f t="shared" ref="AF184:AI184" si="585">AF124</f>
        <v>308526.799</v>
      </c>
      <c r="AG184" s="76">
        <f t="shared" si="585"/>
        <v>328840.908</v>
      </c>
      <c r="AH184" s="76">
        <f t="shared" si="585"/>
        <v>331526.39600000007</v>
      </c>
      <c r="AI184" s="76">
        <f t="shared" si="585"/>
        <v>308376.94300000003</v>
      </c>
      <c r="AJ184" s="76">
        <f t="shared" ref="AJ184:AM184" si="586">AJ124</f>
        <v>371136.35800000001</v>
      </c>
      <c r="AK184" s="76">
        <f t="shared" si="586"/>
        <v>363740.13999999996</v>
      </c>
      <c r="AL184" s="76">
        <f t="shared" si="586"/>
        <v>382976.64099999995</v>
      </c>
      <c r="AM184" s="76">
        <f t="shared" si="586"/>
        <v>387374.56799999997</v>
      </c>
      <c r="AN184" s="76">
        <f t="shared" ref="AN184:AQ184" si="587">AN124</f>
        <v>394737.91099999996</v>
      </c>
      <c r="AO184" s="76">
        <f t="shared" si="587"/>
        <v>400443.24900000001</v>
      </c>
      <c r="AP184" s="76">
        <f t="shared" si="587"/>
        <v>410697.08300000004</v>
      </c>
      <c r="AQ184" s="76">
        <f t="shared" si="587"/>
        <v>404676.31900000002</v>
      </c>
      <c r="AR184" s="76">
        <f t="shared" ref="AR184:AU184" si="588">AR124</f>
        <v>416242.09100000001</v>
      </c>
      <c r="AS184" s="76">
        <f t="shared" si="588"/>
        <v>426739.68799999997</v>
      </c>
      <c r="AT184" s="76">
        <f t="shared" si="588"/>
        <v>430971.473</v>
      </c>
      <c r="AU184" s="76">
        <f t="shared" si="588"/>
        <v>432551.45500000007</v>
      </c>
    </row>
    <row r="185" spans="2:47" ht="13.5" customHeight="1" x14ac:dyDescent="0.35">
      <c r="B185" s="3" t="s">
        <v>337</v>
      </c>
      <c r="C185" s="76">
        <f>C123</f>
        <v>92595.739000000001</v>
      </c>
      <c r="D185" s="76">
        <f t="shared" ref="D185:W185" si="589">D123</f>
        <v>120306.48499999999</v>
      </c>
      <c r="E185" s="76">
        <f t="shared" si="589"/>
        <v>125055.511</v>
      </c>
      <c r="F185" s="76">
        <f t="shared" si="589"/>
        <v>131228.26</v>
      </c>
      <c r="G185" s="76">
        <f t="shared" ref="G185:H185" si="590">G123</f>
        <v>149808.70800000001</v>
      </c>
      <c r="H185" s="76">
        <f t="shared" si="590"/>
        <v>205693.71999999997</v>
      </c>
      <c r="I185" s="76">
        <f t="shared" ref="I185:J185" si="591">I123</f>
        <v>313492.61100000009</v>
      </c>
      <c r="J185" s="76">
        <f t="shared" si="591"/>
        <v>366331.56399999995</v>
      </c>
      <c r="K185" s="76">
        <f t="shared" ref="K185:L185" si="592">K123</f>
        <v>389343.42400000006</v>
      </c>
      <c r="L185" s="76">
        <f t="shared" si="592"/>
        <v>405941.61599999998</v>
      </c>
      <c r="M185" s="76"/>
      <c r="N185" s="76"/>
      <c r="O185" s="76">
        <f t="shared" si="589"/>
        <v>121545.708</v>
      </c>
      <c r="P185" s="76">
        <f t="shared" si="589"/>
        <v>123398.04199999999</v>
      </c>
      <c r="Q185" s="76">
        <f t="shared" si="589"/>
        <v>121953.45799999998</v>
      </c>
      <c r="R185" s="76">
        <f t="shared" si="589"/>
        <v>125055.511</v>
      </c>
      <c r="S185" s="76">
        <f t="shared" si="589"/>
        <v>125168.96500000001</v>
      </c>
      <c r="T185" s="76">
        <f t="shared" si="589"/>
        <v>123626.53599999998</v>
      </c>
      <c r="U185" s="76">
        <f t="shared" si="589"/>
        <v>123645.98300000001</v>
      </c>
      <c r="V185" s="76">
        <f t="shared" si="589"/>
        <v>131228.26</v>
      </c>
      <c r="W185" s="76">
        <f t="shared" si="589"/>
        <v>133995.30900000001</v>
      </c>
      <c r="X185" s="76">
        <f t="shared" ref="X185:AA185" si="593">X123</f>
        <v>139354.31699999998</v>
      </c>
      <c r="Y185" s="76">
        <f t="shared" si="593"/>
        <v>135314.929</v>
      </c>
      <c r="Z185" s="76">
        <f t="shared" si="593"/>
        <v>149808.70800000001</v>
      </c>
      <c r="AA185" s="76">
        <f t="shared" si="593"/>
        <v>158948.83299999998</v>
      </c>
      <c r="AB185" s="76">
        <f t="shared" ref="AB185:AE185" si="594">AB123</f>
        <v>174723.25099999999</v>
      </c>
      <c r="AC185" s="76">
        <f t="shared" si="594"/>
        <v>208770.18</v>
      </c>
      <c r="AD185" s="76">
        <f t="shared" si="594"/>
        <v>205693.71999999997</v>
      </c>
      <c r="AE185" s="76">
        <f t="shared" si="594"/>
        <v>225749.26799999998</v>
      </c>
      <c r="AF185" s="76">
        <f t="shared" ref="AF185:AI185" si="595">AF123</f>
        <v>292451.37199999997</v>
      </c>
      <c r="AG185" s="76">
        <f t="shared" si="595"/>
        <v>314450.41399999999</v>
      </c>
      <c r="AH185" s="76">
        <f t="shared" si="595"/>
        <v>313492.61100000009</v>
      </c>
      <c r="AI185" s="76">
        <f t="shared" si="595"/>
        <v>292133.103</v>
      </c>
      <c r="AJ185" s="76">
        <f t="shared" ref="AJ185:AM185" si="596">AJ123</f>
        <v>345778.69900000002</v>
      </c>
      <c r="AK185" s="76">
        <f t="shared" si="596"/>
        <v>347763.30499999993</v>
      </c>
      <c r="AL185" s="76">
        <f t="shared" si="596"/>
        <v>366331.56399999995</v>
      </c>
      <c r="AM185" s="76">
        <f t="shared" si="596"/>
        <v>370395.23299999995</v>
      </c>
      <c r="AN185" s="76">
        <f t="shared" ref="AN185:AQ185" si="597">AN123</f>
        <v>376103.87299999996</v>
      </c>
      <c r="AO185" s="76">
        <f t="shared" si="597"/>
        <v>378187.22500000003</v>
      </c>
      <c r="AP185" s="76">
        <f t="shared" si="597"/>
        <v>389343.42400000006</v>
      </c>
      <c r="AQ185" s="76">
        <f t="shared" si="597"/>
        <v>385949.47200000001</v>
      </c>
      <c r="AR185" s="76">
        <f t="shared" ref="AR185:AU185" si="598">AR123</f>
        <v>396926.60500000004</v>
      </c>
      <c r="AS185" s="76">
        <f t="shared" si="598"/>
        <v>399011.30899999995</v>
      </c>
      <c r="AT185" s="76">
        <f t="shared" si="598"/>
        <v>405941.61599999998</v>
      </c>
      <c r="AU185" s="76">
        <f t="shared" si="598"/>
        <v>390198.57900000009</v>
      </c>
    </row>
    <row r="186" spans="2:47" ht="13.5" customHeight="1" x14ac:dyDescent="0.35"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</row>
    <row r="187" spans="2:47" ht="13.5" customHeight="1" x14ac:dyDescent="0.35">
      <c r="B187" s="3" t="s">
        <v>18</v>
      </c>
      <c r="C187" s="76">
        <f t="shared" ref="C187:M187" si="599">C87</f>
        <v>49978.396000000001</v>
      </c>
      <c r="D187" s="76">
        <f t="shared" si="599"/>
        <v>53325.671000000002</v>
      </c>
      <c r="E187" s="76">
        <f t="shared" si="599"/>
        <v>65127.114999999998</v>
      </c>
      <c r="F187" s="76">
        <f t="shared" si="599"/>
        <v>76031.433000000005</v>
      </c>
      <c r="G187" s="76">
        <f t="shared" si="599"/>
        <v>73512.354999999996</v>
      </c>
      <c r="H187" s="76">
        <f t="shared" si="599"/>
        <v>74921.880999999994</v>
      </c>
      <c r="I187" s="76">
        <f t="shared" si="599"/>
        <v>79092.019</v>
      </c>
      <c r="J187" s="76">
        <f t="shared" si="599"/>
        <v>81426.745999999999</v>
      </c>
      <c r="K187" s="76">
        <f t="shared" si="599"/>
        <v>86813.676000000007</v>
      </c>
      <c r="L187" s="76">
        <f t="shared" si="599"/>
        <v>87624.316000000006</v>
      </c>
      <c r="M187" s="76"/>
      <c r="N187" s="76"/>
      <c r="O187" s="77"/>
      <c r="P187" s="77"/>
      <c r="Q187" s="77"/>
      <c r="R187" s="76">
        <f t="shared" ref="R187:AU187" si="600">R87</f>
        <v>65127.114999999998</v>
      </c>
      <c r="S187" s="76">
        <f t="shared" si="600"/>
        <v>68966.789000000004</v>
      </c>
      <c r="T187" s="76">
        <f t="shared" si="600"/>
        <v>70889.723999999987</v>
      </c>
      <c r="U187" s="76">
        <f t="shared" si="600"/>
        <v>73688.899999999994</v>
      </c>
      <c r="V187" s="76">
        <f t="shared" si="600"/>
        <v>76031.433000000005</v>
      </c>
      <c r="W187" s="76">
        <f t="shared" si="600"/>
        <v>76587.758000000016</v>
      </c>
      <c r="X187" s="76">
        <f t="shared" si="600"/>
        <v>75837.282000000007</v>
      </c>
      <c r="Y187" s="76">
        <f t="shared" si="600"/>
        <v>74429.233000000007</v>
      </c>
      <c r="Z187" s="76">
        <f t="shared" si="600"/>
        <v>73512.354999999996</v>
      </c>
      <c r="AA187" s="76">
        <f t="shared" si="600"/>
        <v>71324.606999999989</v>
      </c>
      <c r="AB187" s="76">
        <f t="shared" si="600"/>
        <v>72497.206000000006</v>
      </c>
      <c r="AC187" s="76">
        <f t="shared" si="600"/>
        <v>74172.937000000005</v>
      </c>
      <c r="AD187" s="76">
        <f t="shared" si="600"/>
        <v>74921.880999999994</v>
      </c>
      <c r="AE187" s="76">
        <f t="shared" si="600"/>
        <v>76314.290999999997</v>
      </c>
      <c r="AF187" s="76">
        <f t="shared" si="600"/>
        <v>78095.199999999895</v>
      </c>
      <c r="AG187" s="76">
        <f t="shared" si="600"/>
        <v>78324.319000000003</v>
      </c>
      <c r="AH187" s="76">
        <f t="shared" si="600"/>
        <v>79092.019</v>
      </c>
      <c r="AI187" s="76">
        <f t="shared" si="600"/>
        <v>79939.77900000001</v>
      </c>
      <c r="AJ187" s="76">
        <f t="shared" si="600"/>
        <v>79039.396000000095</v>
      </c>
      <c r="AK187" s="76">
        <f t="shared" si="600"/>
        <v>79470.919999999984</v>
      </c>
      <c r="AL187" s="76">
        <f t="shared" si="600"/>
        <v>81426.745999999999</v>
      </c>
      <c r="AM187" s="76">
        <f t="shared" si="600"/>
        <v>82249.437999999995</v>
      </c>
      <c r="AN187" s="76">
        <f t="shared" si="600"/>
        <v>83897.437999999995</v>
      </c>
      <c r="AO187" s="76">
        <f t="shared" si="600"/>
        <v>85594.964999999997</v>
      </c>
      <c r="AP187" s="76">
        <f t="shared" si="600"/>
        <v>86813.676000000007</v>
      </c>
      <c r="AQ187" s="76">
        <f t="shared" si="600"/>
        <v>86225.597999999998</v>
      </c>
      <c r="AR187" s="76">
        <f t="shared" si="600"/>
        <v>85989.641000000003</v>
      </c>
      <c r="AS187" s="76">
        <f t="shared" si="600"/>
        <v>86134.47</v>
      </c>
      <c r="AT187" s="76">
        <f t="shared" si="600"/>
        <v>87624.316000000021</v>
      </c>
      <c r="AU187" s="76">
        <f t="shared" si="600"/>
        <v>89035.468000000023</v>
      </c>
    </row>
    <row r="188" spans="2:47" ht="13.5" customHeight="1" x14ac:dyDescent="0.35"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7"/>
      <c r="P188" s="77"/>
      <c r="Q188" s="77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</row>
    <row r="189" spans="2:47" s="6" customFormat="1" ht="13.5" customHeight="1" x14ac:dyDescent="0.3">
      <c r="B189" s="6" t="str">
        <f>B133</f>
        <v>Total Net Leverage exc lease</v>
      </c>
      <c r="C189" s="78">
        <f>C133</f>
        <v>1.8527153012273543</v>
      </c>
      <c r="D189" s="78">
        <f t="shared" ref="D189:F190" si="601">D133</f>
        <v>2.2560707206103414</v>
      </c>
      <c r="E189" s="78">
        <f t="shared" si="601"/>
        <v>1.9201758131002733</v>
      </c>
      <c r="F189" s="78">
        <f t="shared" si="601"/>
        <v>1.6777882247727722</v>
      </c>
      <c r="G189" s="78">
        <f t="shared" ref="G189:H189" si="602">G133</f>
        <v>1.9763213408140714</v>
      </c>
      <c r="H189" s="78">
        <f t="shared" si="602"/>
        <v>2.4801082076409697</v>
      </c>
      <c r="I189" s="78">
        <f t="shared" ref="I189:J189" si="603">I133</f>
        <v>2.7205131025925637</v>
      </c>
      <c r="J189" s="78">
        <f t="shared" si="603"/>
        <v>2.8652808009790793</v>
      </c>
      <c r="K189" s="78">
        <f t="shared" ref="K189:L189" si="604">K133</f>
        <v>2.6275382003176548</v>
      </c>
      <c r="L189" s="78">
        <f t="shared" si="604"/>
        <v>2.6394903898593629</v>
      </c>
      <c r="M189" s="78"/>
      <c r="N189" s="78"/>
      <c r="O189" s="79"/>
      <c r="P189" s="79"/>
      <c r="Q189" s="79"/>
      <c r="R189" s="78">
        <f t="shared" ref="R189:W190" si="605">R133</f>
        <v>1.9201758131002733</v>
      </c>
      <c r="S189" s="78">
        <f t="shared" si="605"/>
        <v>1.7671946420472033</v>
      </c>
      <c r="T189" s="78">
        <f t="shared" si="605"/>
        <v>1.6972800740485323</v>
      </c>
      <c r="U189" s="78">
        <f t="shared" si="605"/>
        <v>1.6327430318541871</v>
      </c>
      <c r="V189" s="78">
        <f t="shared" si="605"/>
        <v>1.6777882247727722</v>
      </c>
      <c r="W189" s="78">
        <f t="shared" si="605"/>
        <v>1.6996285098200676</v>
      </c>
      <c r="X189" s="78">
        <f t="shared" ref="X189:AA189" si="606">X133</f>
        <v>1.7828210404481533</v>
      </c>
      <c r="Y189" s="78">
        <f t="shared" si="606"/>
        <v>1.7602573977888498</v>
      </c>
      <c r="Z189" s="78">
        <f t="shared" si="606"/>
        <v>1.9763213408140714</v>
      </c>
      <c r="AA189" s="78">
        <f t="shared" si="606"/>
        <v>2.1630139090706804</v>
      </c>
      <c r="AB189" s="78">
        <f t="shared" ref="AB189:AE189" si="607">AB133</f>
        <v>2.3388261473138701</v>
      </c>
      <c r="AC189" s="78">
        <f t="shared" si="607"/>
        <v>2.6250619953204763</v>
      </c>
      <c r="AD189" s="78">
        <f t="shared" si="607"/>
        <v>2.4801082076409697</v>
      </c>
      <c r="AE189" s="78">
        <f t="shared" si="607"/>
        <v>2.6585613302756097</v>
      </c>
      <c r="AF189" s="78">
        <f t="shared" ref="AF189:AI189" si="608">AF133</f>
        <v>2.8679063117835706</v>
      </c>
      <c r="AG189" s="78">
        <f t="shared" si="608"/>
        <v>2.9872284366749486</v>
      </c>
      <c r="AH189" s="78">
        <f t="shared" si="608"/>
        <v>2.7205131025925637</v>
      </c>
      <c r="AI189" s="78">
        <f t="shared" si="608"/>
        <v>2.7302616010484586</v>
      </c>
      <c r="AJ189" s="78">
        <f t="shared" ref="AJ189:AM189" si="609">AJ133</f>
        <v>2.8422636225610796</v>
      </c>
      <c r="AK189" s="78">
        <f t="shared" si="609"/>
        <v>2.8878743822268582</v>
      </c>
      <c r="AL189" s="78">
        <f t="shared" si="609"/>
        <v>2.8652808009790793</v>
      </c>
      <c r="AM189" s="78">
        <f t="shared" si="609"/>
        <v>2.7934414943965939</v>
      </c>
      <c r="AN189" s="78">
        <f t="shared" ref="AN189:AQ189" si="610">AN133</f>
        <v>2.7426410804105843</v>
      </c>
      <c r="AO189" s="78">
        <f t="shared" si="610"/>
        <v>2.5548393880411076</v>
      </c>
      <c r="AP189" s="78">
        <f t="shared" si="610"/>
        <v>2.6275382003176548</v>
      </c>
      <c r="AQ189" s="78">
        <f t="shared" si="610"/>
        <v>2.5891254126181877</v>
      </c>
      <c r="AR189" s="78">
        <f t="shared" ref="AR189:AU189" si="611">AR133</f>
        <v>2.6582628714544811</v>
      </c>
      <c r="AS189" s="78">
        <f t="shared" si="611"/>
        <v>2.6210537198406163</v>
      </c>
      <c r="AT189" s="78">
        <f t="shared" si="611"/>
        <v>2.6394903898593625</v>
      </c>
      <c r="AU189" s="78">
        <f t="shared" si="611"/>
        <v>2.3460808449953894</v>
      </c>
    </row>
    <row r="190" spans="2:47" ht="13.5" customHeight="1" x14ac:dyDescent="0.35">
      <c r="B190" s="3" t="str">
        <f>B134</f>
        <v>Total Gross Leverage  exc lease</v>
      </c>
      <c r="C190" s="68">
        <f>C134</f>
        <v>2.0254469751290136</v>
      </c>
      <c r="D190" s="68">
        <f t="shared" si="601"/>
        <v>2.4665175802476069</v>
      </c>
      <c r="E190" s="68">
        <f t="shared" si="601"/>
        <v>2.2768073942780975</v>
      </c>
      <c r="F190" s="68">
        <f t="shared" si="601"/>
        <v>1.7869285062666118</v>
      </c>
      <c r="G190" s="68">
        <f t="shared" ref="G190:H190" si="612">G134</f>
        <v>2.2416932500666045</v>
      </c>
      <c r="H190" s="68">
        <f t="shared" si="612"/>
        <v>2.8036344549331327</v>
      </c>
      <c r="I190" s="68">
        <f t="shared" ref="I190:J190" si="613">I134</f>
        <v>2.9485232764130096</v>
      </c>
      <c r="J190" s="68">
        <f t="shared" si="613"/>
        <v>3.0696986098400645</v>
      </c>
      <c r="K190" s="68">
        <f t="shared" ref="K190:L190" si="614">K134</f>
        <v>2.8735093420073583</v>
      </c>
      <c r="L190" s="68">
        <f t="shared" si="614"/>
        <v>2.9251400604371054</v>
      </c>
      <c r="M190" s="68"/>
      <c r="N190" s="68"/>
      <c r="O190" s="69"/>
      <c r="P190" s="69"/>
      <c r="Q190" s="69"/>
      <c r="R190" s="68">
        <f t="shared" si="605"/>
        <v>2.2768073942780975</v>
      </c>
      <c r="S190" s="68">
        <f t="shared" si="605"/>
        <v>2.0072973094339654</v>
      </c>
      <c r="T190" s="68">
        <f t="shared" si="605"/>
        <v>1.8635422674236963</v>
      </c>
      <c r="U190" s="68">
        <f t="shared" si="605"/>
        <v>1.7905674803125031</v>
      </c>
      <c r="V190" s="68">
        <f t="shared" si="605"/>
        <v>1.7869285062666118</v>
      </c>
      <c r="W190" s="68">
        <f t="shared" si="605"/>
        <v>1.8892032066012425</v>
      </c>
      <c r="X190" s="68">
        <f t="shared" ref="X190:AA190" si="615">X134</f>
        <v>1.9777810206858415</v>
      </c>
      <c r="Y190" s="68">
        <f t="shared" si="615"/>
        <v>2.1986217162818269</v>
      </c>
      <c r="Z190" s="68">
        <f t="shared" si="615"/>
        <v>2.2416932500666045</v>
      </c>
      <c r="AA190" s="68">
        <f t="shared" si="615"/>
        <v>2.3660907237806446</v>
      </c>
      <c r="AB190" s="68">
        <f t="shared" ref="AB190:AE190" si="616">AB134</f>
        <v>2.5406126271955913</v>
      </c>
      <c r="AC190" s="68">
        <f t="shared" si="616"/>
        <v>2.7963470153541308</v>
      </c>
      <c r="AD190" s="68">
        <f t="shared" si="616"/>
        <v>2.8036344549331327</v>
      </c>
      <c r="AE190" s="68">
        <f t="shared" si="616"/>
        <v>2.8532109143227187</v>
      </c>
      <c r="AF190" s="68">
        <f t="shared" ref="AF190:AI190" si="617">AF134</f>
        <v>3.0737502945123429</v>
      </c>
      <c r="AG190" s="68">
        <f t="shared" si="617"/>
        <v>3.170958013691763</v>
      </c>
      <c r="AH190" s="68">
        <f t="shared" si="617"/>
        <v>2.9485232764130096</v>
      </c>
      <c r="AI190" s="68">
        <f t="shared" si="617"/>
        <v>2.9334625631126645</v>
      </c>
      <c r="AJ190" s="68">
        <f t="shared" ref="AJ190:AM190" si="618">AJ134</f>
        <v>3.1630866587087749</v>
      </c>
      <c r="AK190" s="68">
        <f t="shared" si="618"/>
        <v>3.0889143978703162</v>
      </c>
      <c r="AL190" s="68">
        <f t="shared" si="618"/>
        <v>3.0696986098400645</v>
      </c>
      <c r="AM190" s="68">
        <f t="shared" si="618"/>
        <v>2.9998785888360722</v>
      </c>
      <c r="AN190" s="68">
        <f t="shared" ref="AN190:AQ190" si="619">AN134</f>
        <v>2.9647460510057533</v>
      </c>
      <c r="AO190" s="68">
        <f t="shared" si="619"/>
        <v>2.8148549625553327</v>
      </c>
      <c r="AP190" s="68">
        <f t="shared" si="619"/>
        <v>2.8735093420073583</v>
      </c>
      <c r="AQ190" s="68">
        <f t="shared" si="619"/>
        <v>2.8063097225489813</v>
      </c>
      <c r="AR190" s="68">
        <f t="shared" ref="AR190:AU190" si="620">AR134</f>
        <v>2.8828886028260077</v>
      </c>
      <c r="AS190" s="68">
        <f t="shared" si="620"/>
        <v>2.9429733763962322</v>
      </c>
      <c r="AT190" s="68">
        <f t="shared" si="620"/>
        <v>2.9251400604371049</v>
      </c>
      <c r="AU190" s="68">
        <f t="shared" si="620"/>
        <v>2.82176628756531</v>
      </c>
    </row>
    <row r="191" spans="2:47" ht="13.5" customHeight="1" x14ac:dyDescent="0.35"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9"/>
      <c r="P191" s="69"/>
      <c r="Q191" s="69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</row>
    <row r="192" spans="2:47" s="6" customFormat="1" ht="13.5" customHeight="1" x14ac:dyDescent="0.3">
      <c r="B192" s="6" t="str">
        <f>B136</f>
        <v>Total Net Leverage including leases and perpetuals</v>
      </c>
      <c r="C192" s="78">
        <f>C136</f>
        <v>1.8527153012273543</v>
      </c>
      <c r="D192" s="78">
        <f t="shared" ref="D192:F193" si="621">D136</f>
        <v>2.2560707206103414</v>
      </c>
      <c r="E192" s="78">
        <f t="shared" si="621"/>
        <v>1.9201758131002733</v>
      </c>
      <c r="F192" s="78">
        <f t="shared" si="621"/>
        <v>1.7259737824486354</v>
      </c>
      <c r="G192" s="78">
        <f t="shared" ref="G192:H192" si="622">G136</f>
        <v>2.0378711578482287</v>
      </c>
      <c r="H192" s="78">
        <f t="shared" si="622"/>
        <v>2.7454425496871866</v>
      </c>
      <c r="I192" s="78">
        <f t="shared" ref="I192:J192" si="623">I136</f>
        <v>3.9636440561720909</v>
      </c>
      <c r="J192" s="78">
        <f t="shared" si="623"/>
        <v>4.4989095352035795</v>
      </c>
      <c r="K192" s="78">
        <f t="shared" ref="K192:L192" si="624">K136</f>
        <v>4.4848167009999669</v>
      </c>
      <c r="L192" s="78">
        <f t="shared" si="624"/>
        <v>4.6327507537976098</v>
      </c>
      <c r="M192" s="78"/>
      <c r="N192" s="78"/>
      <c r="O192" s="79"/>
      <c r="P192" s="79"/>
      <c r="Q192" s="79"/>
      <c r="R192" s="78">
        <f t="shared" ref="R192:W193" si="625">R136</f>
        <v>1.9201758131002733</v>
      </c>
      <c r="S192" s="78">
        <f t="shared" si="625"/>
        <v>1.8149165245318295</v>
      </c>
      <c r="T192" s="78">
        <f t="shared" si="625"/>
        <v>1.7439274555505393</v>
      </c>
      <c r="U192" s="78">
        <f t="shared" si="625"/>
        <v>1.6779458371613638</v>
      </c>
      <c r="V192" s="78">
        <f t="shared" si="625"/>
        <v>1.7259737824486354</v>
      </c>
      <c r="W192" s="78">
        <f t="shared" si="625"/>
        <v>1.7495656290134511</v>
      </c>
      <c r="X192" s="78">
        <f t="shared" ref="X192:AA192" si="626">X136</f>
        <v>1.8375436635505999</v>
      </c>
      <c r="Y192" s="78">
        <f t="shared" si="626"/>
        <v>1.8180347095609597</v>
      </c>
      <c r="Z192" s="78">
        <f t="shared" si="626"/>
        <v>2.0378711578482287</v>
      </c>
      <c r="AA192" s="78">
        <f t="shared" si="626"/>
        <v>2.2285272879246292</v>
      </c>
      <c r="AB192" s="78">
        <f t="shared" ref="AB192:AE192" si="627">AB136</f>
        <v>2.4100687549255344</v>
      </c>
      <c r="AC192" s="78">
        <f t="shared" si="627"/>
        <v>2.8146408709688817</v>
      </c>
      <c r="AD192" s="78">
        <f t="shared" si="627"/>
        <v>2.7454425496871866</v>
      </c>
      <c r="AE192" s="78">
        <f t="shared" si="627"/>
        <v>2.9581519403750995</v>
      </c>
      <c r="AF192" s="78">
        <f t="shared" ref="AF192:AI192" si="628">AF136</f>
        <v>3.7448059803931657</v>
      </c>
      <c r="AG192" s="78">
        <f t="shared" si="628"/>
        <v>4.014722604865546</v>
      </c>
      <c r="AH192" s="78">
        <f t="shared" si="628"/>
        <v>3.9636440561720909</v>
      </c>
      <c r="AI192" s="78">
        <f t="shared" si="628"/>
        <v>3.6544146938409723</v>
      </c>
      <c r="AJ192" s="78">
        <f t="shared" ref="AJ192:AM192" si="629">AJ136</f>
        <v>4.3747639341778317</v>
      </c>
      <c r="AK192" s="78">
        <f t="shared" si="629"/>
        <v>4.3759818685879059</v>
      </c>
      <c r="AL192" s="78">
        <f t="shared" si="629"/>
        <v>4.4989095352035795</v>
      </c>
      <c r="AM192" s="78">
        <f t="shared" si="629"/>
        <v>4.5033162779787013</v>
      </c>
      <c r="AN192" s="78">
        <f t="shared" ref="AN192:AQ192" si="630">AN136</f>
        <v>4.4829005743894106</v>
      </c>
      <c r="AO192" s="78">
        <f t="shared" si="630"/>
        <v>4.4183349452856255</v>
      </c>
      <c r="AP192" s="78">
        <f t="shared" si="630"/>
        <v>4.4848167009999669</v>
      </c>
      <c r="AQ192" s="78">
        <f t="shared" si="630"/>
        <v>4.4760428567859858</v>
      </c>
      <c r="AR192" s="78">
        <f t="shared" ref="AR192:AU192" si="631">AR136</f>
        <v>4.6159816506269635</v>
      </c>
      <c r="AS192" s="78">
        <f t="shared" si="631"/>
        <v>4.6324231054071614</v>
      </c>
      <c r="AT192" s="78">
        <f t="shared" si="631"/>
        <v>4.6327507537976089</v>
      </c>
      <c r="AU192" s="78">
        <f t="shared" si="631"/>
        <v>4.3825071936500626</v>
      </c>
    </row>
    <row r="193" spans="2:47" ht="13.5" customHeight="1" x14ac:dyDescent="0.35">
      <c r="B193" s="3" t="str">
        <f>B137</f>
        <v>Total Gross Leverage including leases and perpetuals</v>
      </c>
      <c r="C193" s="68">
        <f>C137</f>
        <v>2.0254469751290136</v>
      </c>
      <c r="D193" s="68">
        <f t="shared" si="621"/>
        <v>2.4665175802476069</v>
      </c>
      <c r="E193" s="68">
        <f t="shared" si="621"/>
        <v>2.2768073942780975</v>
      </c>
      <c r="F193" s="68">
        <f t="shared" si="621"/>
        <v>1.835114063942475</v>
      </c>
      <c r="G193" s="68">
        <f t="shared" ref="G193:H193" si="632">G137</f>
        <v>2.303243067100762</v>
      </c>
      <c r="H193" s="68">
        <f t="shared" si="632"/>
        <v>3.0689687969793495</v>
      </c>
      <c r="I193" s="68">
        <f t="shared" ref="I193:J193" si="633">I137</f>
        <v>4.1916542299925368</v>
      </c>
      <c r="J193" s="68">
        <f t="shared" si="633"/>
        <v>4.7033273440645651</v>
      </c>
      <c r="K193" s="68">
        <f t="shared" ref="K193:L193" si="634">K137</f>
        <v>4.7307878426896703</v>
      </c>
      <c r="L193" s="68">
        <f t="shared" si="634"/>
        <v>4.9184004243753519</v>
      </c>
      <c r="M193" s="68"/>
      <c r="N193" s="68"/>
      <c r="O193" s="69"/>
      <c r="P193" s="69"/>
      <c r="Q193" s="69"/>
      <c r="R193" s="68">
        <f t="shared" si="625"/>
        <v>2.2768073942780975</v>
      </c>
      <c r="S193" s="68">
        <f t="shared" si="625"/>
        <v>2.0550191919185914</v>
      </c>
      <c r="T193" s="68">
        <f t="shared" si="625"/>
        <v>1.9101896489257033</v>
      </c>
      <c r="U193" s="68">
        <f t="shared" si="625"/>
        <v>1.8357702856196798</v>
      </c>
      <c r="V193" s="68">
        <f t="shared" si="625"/>
        <v>1.835114063942475</v>
      </c>
      <c r="W193" s="68">
        <f t="shared" si="625"/>
        <v>1.939140325794626</v>
      </c>
      <c r="X193" s="68">
        <f t="shared" ref="X193:AA193" si="635">X137</f>
        <v>2.0325036437882886</v>
      </c>
      <c r="Y193" s="68">
        <f t="shared" si="635"/>
        <v>2.2563990280539366</v>
      </c>
      <c r="Z193" s="68">
        <f t="shared" si="635"/>
        <v>2.303243067100762</v>
      </c>
      <c r="AA193" s="68">
        <f t="shared" si="635"/>
        <v>2.4316041026345934</v>
      </c>
      <c r="AB193" s="68">
        <f t="shared" ref="AB193:AE193" si="636">AB137</f>
        <v>2.6118552348072557</v>
      </c>
      <c r="AC193" s="68">
        <f t="shared" si="636"/>
        <v>2.9859258910025361</v>
      </c>
      <c r="AD193" s="68">
        <f t="shared" si="636"/>
        <v>3.0689687969793495</v>
      </c>
      <c r="AE193" s="68">
        <f t="shared" si="636"/>
        <v>3.1528015244222081</v>
      </c>
      <c r="AF193" s="68">
        <f t="shared" ref="AF193:AI193" si="637">AF137</f>
        <v>3.9506499631219385</v>
      </c>
      <c r="AG193" s="68">
        <f t="shared" si="637"/>
        <v>4.1984521818823604</v>
      </c>
      <c r="AH193" s="68">
        <f t="shared" si="637"/>
        <v>4.1916542299925368</v>
      </c>
      <c r="AI193" s="68">
        <f t="shared" si="637"/>
        <v>3.8576156559051782</v>
      </c>
      <c r="AJ193" s="68">
        <f t="shared" ref="AJ193:AM193" si="638">AJ137</f>
        <v>4.6955869703255271</v>
      </c>
      <c r="AK193" s="68">
        <f t="shared" si="638"/>
        <v>4.5770218842313648</v>
      </c>
      <c r="AL193" s="68">
        <f t="shared" si="638"/>
        <v>4.7033273440645651</v>
      </c>
      <c r="AM193" s="68">
        <f t="shared" si="638"/>
        <v>4.7097533724181799</v>
      </c>
      <c r="AN193" s="68">
        <f t="shared" ref="AN193:AQ193" si="639">AN137</f>
        <v>4.70500554498458</v>
      </c>
      <c r="AO193" s="68">
        <f t="shared" si="639"/>
        <v>4.6783505197998503</v>
      </c>
      <c r="AP193" s="68">
        <f t="shared" si="639"/>
        <v>4.7307878426896703</v>
      </c>
      <c r="AQ193" s="68">
        <f t="shared" si="639"/>
        <v>4.6932271667167793</v>
      </c>
      <c r="AR193" s="68">
        <f t="shared" ref="AR193:AU193" si="640">AR137</f>
        <v>4.8406073819984901</v>
      </c>
      <c r="AS193" s="68">
        <f t="shared" si="640"/>
        <v>4.9543427619627769</v>
      </c>
      <c r="AT193" s="68">
        <f t="shared" si="640"/>
        <v>4.9184004243753519</v>
      </c>
      <c r="AU193" s="68">
        <f t="shared" si="640"/>
        <v>4.8581926362199832</v>
      </c>
    </row>
    <row r="194" spans="2:47" s="6" customFormat="1" ht="13.5" customHeight="1" x14ac:dyDescent="0.3"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9"/>
      <c r="P194" s="79"/>
      <c r="Q194" s="79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</row>
    <row r="195" spans="2:47" ht="13.5" customHeight="1" x14ac:dyDescent="0.35">
      <c r="B195" s="6" t="str">
        <f t="shared" ref="B195:M195" si="641">+B141</f>
        <v>EBITDA - Capex / Interest</v>
      </c>
      <c r="C195" s="78">
        <f t="shared" si="641"/>
        <v>3.5511038333579887</v>
      </c>
      <c r="D195" s="78">
        <f t="shared" si="641"/>
        <v>2.0492996532700434</v>
      </c>
      <c r="E195" s="78">
        <f t="shared" si="641"/>
        <v>3.4097925662615363</v>
      </c>
      <c r="F195" s="78">
        <f t="shared" si="641"/>
        <v>3.4783761448697992</v>
      </c>
      <c r="G195" s="78">
        <f t="shared" si="641"/>
        <v>1.969696687740746</v>
      </c>
      <c r="H195" s="78">
        <f t="shared" si="641"/>
        <v>-2.2942586076946219</v>
      </c>
      <c r="I195" s="78">
        <f t="shared" si="641"/>
        <v>-1.8445745951790284</v>
      </c>
      <c r="J195" s="78">
        <f t="shared" si="641"/>
        <v>0.89200486993702843</v>
      </c>
      <c r="K195" s="78">
        <f t="shared" si="641"/>
        <v>2.296316938835671</v>
      </c>
      <c r="L195" s="78">
        <f t="shared" ref="L195" si="642">+L141</f>
        <v>3.1187256065725002</v>
      </c>
      <c r="M195" s="78"/>
      <c r="N195" s="414"/>
      <c r="O195" s="79"/>
      <c r="P195" s="79"/>
      <c r="Q195" s="79"/>
      <c r="R195" s="78">
        <f t="shared" ref="R195:AS195" si="643">+R141</f>
        <v>3.4097925662615363</v>
      </c>
      <c r="S195" s="78">
        <f t="shared" si="643"/>
        <v>3.338954721406493</v>
      </c>
      <c r="T195" s="78">
        <f t="shared" si="643"/>
        <v>4.418936084675618</v>
      </c>
      <c r="U195" s="78">
        <f t="shared" si="643"/>
        <v>4.1973116553550751</v>
      </c>
      <c r="V195" s="78">
        <f t="shared" si="643"/>
        <v>3.4783761448697992</v>
      </c>
      <c r="W195" s="78">
        <f t="shared" si="643"/>
        <v>3.3881755310793258</v>
      </c>
      <c r="X195" s="78">
        <f t="shared" si="643"/>
        <v>3.3524236059450114</v>
      </c>
      <c r="Y195" s="78">
        <f t="shared" si="643"/>
        <v>3.2134007836611787</v>
      </c>
      <c r="Z195" s="78">
        <f t="shared" si="643"/>
        <v>1.9696966877407471</v>
      </c>
      <c r="AA195" s="78">
        <f t="shared" si="643"/>
        <v>0.38897499292187471</v>
      </c>
      <c r="AB195" s="78">
        <f t="shared" si="643"/>
        <v>-1.4825135038554984</v>
      </c>
      <c r="AC195" s="78">
        <f t="shared" si="643"/>
        <v>-2.4766297423801626</v>
      </c>
      <c r="AD195" s="78">
        <f t="shared" si="643"/>
        <v>-2.2942586076946219</v>
      </c>
      <c r="AE195" s="78">
        <f t="shared" si="643"/>
        <v>-2.22468078225574</v>
      </c>
      <c r="AF195" s="78">
        <f t="shared" si="643"/>
        <v>-2.1156101043760995</v>
      </c>
      <c r="AG195" s="78">
        <f t="shared" si="643"/>
        <v>-2.128678725494547</v>
      </c>
      <c r="AH195" s="78">
        <f t="shared" si="643"/>
        <v>-1.8445745951790284</v>
      </c>
      <c r="AI195" s="78">
        <f t="shared" si="643"/>
        <v>-1.3199111844901412</v>
      </c>
      <c r="AJ195" s="78">
        <f t="shared" si="643"/>
        <v>-0.75586364305239484</v>
      </c>
      <c r="AK195" s="78">
        <f t="shared" si="643"/>
        <v>-4.4687339154545307E-2</v>
      </c>
      <c r="AL195" s="78">
        <f t="shared" si="643"/>
        <v>0.89200486993702843</v>
      </c>
      <c r="AM195" s="78">
        <f t="shared" si="643"/>
        <v>1.2013901267329334</v>
      </c>
      <c r="AN195" s="78">
        <f t="shared" si="643"/>
        <v>1.7126795701062389</v>
      </c>
      <c r="AO195" s="78">
        <f t="shared" si="643"/>
        <v>2.0791712661666679</v>
      </c>
      <c r="AP195" s="78">
        <f t="shared" si="643"/>
        <v>2.296316938835671</v>
      </c>
      <c r="AQ195" s="78">
        <f t="shared" si="643"/>
        <v>2.6142724151434433</v>
      </c>
      <c r="AR195" s="78">
        <f t="shared" si="643"/>
        <v>2.9059005361387968</v>
      </c>
      <c r="AS195" s="78">
        <f t="shared" si="643"/>
        <v>2.9324614495172519</v>
      </c>
      <c r="AT195" s="78">
        <f>+AT141</f>
        <v>3.1187256065725011</v>
      </c>
      <c r="AU195" s="78">
        <f>+AU141</f>
        <v>2.9237338927180119</v>
      </c>
    </row>
    <row r="196" spans="2:47" ht="13.5" customHeight="1" x14ac:dyDescent="0.35">
      <c r="B196" s="3" t="str">
        <f t="shared" ref="B196:M196" si="644">+B142</f>
        <v>EBITDA/Interest</v>
      </c>
      <c r="C196" s="68">
        <f t="shared" si="644"/>
        <v>13.108977445959798</v>
      </c>
      <c r="D196" s="68">
        <f t="shared" si="644"/>
        <v>9.651619560297112</v>
      </c>
      <c r="E196" s="68">
        <f t="shared" si="644"/>
        <v>9.8563889421944779</v>
      </c>
      <c r="F196" s="68">
        <f t="shared" si="644"/>
        <v>10.512336865170449</v>
      </c>
      <c r="G196" s="68">
        <f t="shared" si="644"/>
        <v>10.857139333649096</v>
      </c>
      <c r="H196" s="68">
        <f t="shared" si="644"/>
        <v>9.7394820264789743</v>
      </c>
      <c r="I196" s="68">
        <f t="shared" si="644"/>
        <v>8.0423764152985715</v>
      </c>
      <c r="J196" s="68">
        <f t="shared" si="644"/>
        <v>6.2404495387799308</v>
      </c>
      <c r="K196" s="68">
        <f t="shared" si="644"/>
        <v>6.2448990161805167</v>
      </c>
      <c r="L196" s="68">
        <f t="shared" ref="L196" si="645">+L142</f>
        <v>6.4110899808715729</v>
      </c>
      <c r="M196" s="68"/>
      <c r="N196" s="238"/>
      <c r="O196" s="69"/>
      <c r="P196" s="69"/>
      <c r="Q196" s="69"/>
      <c r="R196" s="68">
        <f t="shared" ref="R196:AS196" si="646">+R142</f>
        <v>9.8563889421944779</v>
      </c>
      <c r="S196" s="68">
        <f t="shared" si="646"/>
        <v>9.5039693356282449</v>
      </c>
      <c r="T196" s="68">
        <f t="shared" si="646"/>
        <v>9.7234430257376641</v>
      </c>
      <c r="U196" s="68">
        <f t="shared" si="646"/>
        <v>9.7796824561769053</v>
      </c>
      <c r="V196" s="68">
        <f t="shared" si="646"/>
        <v>10.512336865170449</v>
      </c>
      <c r="W196" s="68">
        <f t="shared" si="646"/>
        <v>10.897592641497837</v>
      </c>
      <c r="X196" s="68">
        <f t="shared" si="646"/>
        <v>11.021049010693154</v>
      </c>
      <c r="Y196" s="68">
        <f t="shared" si="646"/>
        <v>10.829830371650493</v>
      </c>
      <c r="Z196" s="68">
        <f t="shared" si="646"/>
        <v>10.857139333649096</v>
      </c>
      <c r="AA196" s="68">
        <f t="shared" si="646"/>
        <v>10.229877258007745</v>
      </c>
      <c r="AB196" s="68">
        <f t="shared" si="646"/>
        <v>10.705213713833441</v>
      </c>
      <c r="AC196" s="68">
        <f t="shared" si="646"/>
        <v>10.192842398676479</v>
      </c>
      <c r="AD196" s="68">
        <f t="shared" si="646"/>
        <v>9.7394820264789725</v>
      </c>
      <c r="AE196" s="68">
        <f t="shared" si="646"/>
        <v>9.3484437388487382</v>
      </c>
      <c r="AF196" s="68">
        <f t="shared" si="646"/>
        <v>8.9917281379058824</v>
      </c>
      <c r="AG196" s="68">
        <f t="shared" si="646"/>
        <v>8.4531072143917658</v>
      </c>
      <c r="AH196" s="68">
        <f t="shared" si="646"/>
        <v>8.0423764152985715</v>
      </c>
      <c r="AI196" s="68">
        <f t="shared" si="646"/>
        <v>7.6264202863722073</v>
      </c>
      <c r="AJ196" s="68">
        <f t="shared" si="646"/>
        <v>7.0277199613579224</v>
      </c>
      <c r="AK196" s="68">
        <f t="shared" si="646"/>
        <v>6.5656687329240464</v>
      </c>
      <c r="AL196" s="68">
        <f t="shared" si="646"/>
        <v>6.2404495387799308</v>
      </c>
      <c r="AM196" s="68">
        <f t="shared" si="646"/>
        <v>6.0233873066699157</v>
      </c>
      <c r="AN196" s="68">
        <f t="shared" si="646"/>
        <v>5.9229516939241362</v>
      </c>
      <c r="AO196" s="68">
        <f t="shared" si="646"/>
        <v>6.0167199440130954</v>
      </c>
      <c r="AP196" s="68">
        <f t="shared" si="646"/>
        <v>6.2448990161805167</v>
      </c>
      <c r="AQ196" s="68">
        <f t="shared" si="646"/>
        <v>6.1661433913560613</v>
      </c>
      <c r="AR196" s="68">
        <f t="shared" si="646"/>
        <v>6.3115906361117569</v>
      </c>
      <c r="AS196" s="68">
        <f t="shared" si="646"/>
        <v>6.3275220805323293</v>
      </c>
      <c r="AT196" s="68">
        <f>+AT142</f>
        <v>6.4110899808715738</v>
      </c>
      <c r="AU196" s="68">
        <f>+AU142</f>
        <v>6.5523799066606321</v>
      </c>
    </row>
    <row r="197" spans="2:47" s="6" customFormat="1" ht="13.5" customHeight="1" x14ac:dyDescent="0.3">
      <c r="B197" s="3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9"/>
      <c r="P197" s="79"/>
      <c r="Q197" s="79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</row>
    <row r="198" spans="2:47" s="6" customFormat="1" ht="13.5" customHeight="1" x14ac:dyDescent="0.3">
      <c r="B198" s="6" t="str">
        <f t="shared" ref="B198:M198" si="647">+B144</f>
        <v xml:space="preserve">Gearing (Net debt / Equity) </v>
      </c>
      <c r="C198" s="360">
        <f t="shared" si="647"/>
        <v>1.4587450132176887</v>
      </c>
      <c r="D198" s="360">
        <f t="shared" si="647"/>
        <v>1.8075507134504889</v>
      </c>
      <c r="E198" s="360">
        <f t="shared" si="647"/>
        <v>1.7097281239194615</v>
      </c>
      <c r="F198" s="360">
        <f t="shared" si="647"/>
        <v>1.6151767430862707</v>
      </c>
      <c r="G198" s="360">
        <f t="shared" si="647"/>
        <v>1.8091862432064358</v>
      </c>
      <c r="H198" s="360">
        <f t="shared" si="647"/>
        <v>1.8027151068054106</v>
      </c>
      <c r="I198" s="360">
        <f t="shared" si="647"/>
        <v>2.0552462626580099</v>
      </c>
      <c r="J198" s="360">
        <f t="shared" si="647"/>
        <v>2.2906211217788979</v>
      </c>
      <c r="K198" s="360">
        <f t="shared" si="647"/>
        <v>2.3205698722098673</v>
      </c>
      <c r="L198" s="360">
        <f t="shared" ref="L198" si="648">+L144</f>
        <v>2.3267164076311131</v>
      </c>
      <c r="M198" s="360"/>
      <c r="O198" s="361"/>
      <c r="P198" s="361"/>
      <c r="Q198" s="361"/>
      <c r="R198" s="360">
        <f t="shared" ref="R198:AS198" si="649">+R144</f>
        <v>1.7097281239194615</v>
      </c>
      <c r="S198" s="360">
        <f t="shared" si="649"/>
        <v>1.627586644967066</v>
      </c>
      <c r="T198" s="360">
        <f t="shared" si="649"/>
        <v>1.5672022622399255</v>
      </c>
      <c r="U198" s="360">
        <f t="shared" si="649"/>
        <v>1.5217726651556671</v>
      </c>
      <c r="V198" s="360">
        <f t="shared" si="649"/>
        <v>1.6151767430862707</v>
      </c>
      <c r="W198" s="360">
        <f t="shared" si="649"/>
        <v>1.5840582200078313</v>
      </c>
      <c r="X198" s="360">
        <f t="shared" si="649"/>
        <v>1.634902598019669</v>
      </c>
      <c r="Y198" s="360">
        <f t="shared" si="649"/>
        <v>1.5656448750167771</v>
      </c>
      <c r="Z198" s="360">
        <f t="shared" si="649"/>
        <v>1.8091862432064358</v>
      </c>
      <c r="AA198" s="360">
        <f t="shared" si="649"/>
        <v>1.8079085404258766</v>
      </c>
      <c r="AB198" s="360">
        <f t="shared" si="649"/>
        <v>1.968568510475289</v>
      </c>
      <c r="AC198" s="360">
        <f t="shared" si="649"/>
        <v>2.6044975618271033</v>
      </c>
      <c r="AD198" s="360">
        <f t="shared" si="649"/>
        <v>1.8027151068054106</v>
      </c>
      <c r="AE198" s="360">
        <f t="shared" si="649"/>
        <v>1.8159714543645695</v>
      </c>
      <c r="AF198" s="360">
        <f t="shared" si="649"/>
        <v>2.3267786058464681</v>
      </c>
      <c r="AG198" s="360">
        <f t="shared" si="649"/>
        <v>2.4601426819852654</v>
      </c>
      <c r="AH198" s="360">
        <f t="shared" si="649"/>
        <v>2.0552462626580099</v>
      </c>
      <c r="AI198" s="360">
        <f t="shared" si="649"/>
        <v>1.8631051283705531</v>
      </c>
      <c r="AJ198" s="360">
        <f t="shared" si="649"/>
        <v>2.1719309536921387</v>
      </c>
      <c r="AK198" s="360">
        <f t="shared" si="649"/>
        <v>2.1629599771246886</v>
      </c>
      <c r="AL198" s="360">
        <f t="shared" si="649"/>
        <v>2.2906211217788979</v>
      </c>
      <c r="AM198" s="360">
        <f t="shared" si="649"/>
        <v>2.2814377623498556</v>
      </c>
      <c r="AN198" s="360">
        <f t="shared" si="649"/>
        <v>2.2577514273572445</v>
      </c>
      <c r="AO198" s="360">
        <f t="shared" si="649"/>
        <v>2.2367499597125962</v>
      </c>
      <c r="AP198" s="360">
        <f t="shared" si="649"/>
        <v>2.3205698722098673</v>
      </c>
      <c r="AQ198" s="360">
        <f t="shared" si="649"/>
        <v>2.2530191680268037</v>
      </c>
      <c r="AR198" s="360">
        <f t="shared" si="649"/>
        <v>2.2992928228182632</v>
      </c>
      <c r="AS198" s="360">
        <f t="shared" si="649"/>
        <v>2.2879810372460136</v>
      </c>
      <c r="AT198" s="360">
        <f>+AT144</f>
        <v>2.3267164076311131</v>
      </c>
      <c r="AU198" s="360">
        <f>+AU144</f>
        <v>1.9281275485428759</v>
      </c>
    </row>
    <row r="199" spans="2:47" ht="13.5" customHeight="1" x14ac:dyDescent="0.35"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O199" s="81"/>
      <c r="P199" s="81"/>
      <c r="Q199" s="81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</row>
    <row r="200" spans="2:47" ht="13.5" customHeight="1" x14ac:dyDescent="0.35">
      <c r="B200" s="348" t="s">
        <v>359</v>
      </c>
      <c r="C200" s="331">
        <v>47.48</v>
      </c>
      <c r="D200" s="331">
        <v>50.41</v>
      </c>
      <c r="E200" s="331">
        <v>52.68</v>
      </c>
      <c r="F200" s="331">
        <v>51.79</v>
      </c>
      <c r="G200" s="331">
        <f>AVERAGE(F201:G201)</f>
        <v>49.422985192231927</v>
      </c>
      <c r="H200" s="331">
        <f>AVERAGE(AA201:AD201)</f>
        <v>49.825699887804078</v>
      </c>
      <c r="I200" s="331">
        <v>54.499000000000002</v>
      </c>
      <c r="J200" s="362">
        <f>AVERAGE(AI200:AL200)</f>
        <v>55.622</v>
      </c>
      <c r="K200" s="362">
        <f>AVERAGE(AM200:AP200)</f>
        <v>57.279249999999998</v>
      </c>
      <c r="L200" s="362">
        <f>AVERAGE(AQ200:AT200)</f>
        <v>57.293851978015688</v>
      </c>
      <c r="M200" s="362"/>
      <c r="O200" s="331">
        <v>51.45</v>
      </c>
      <c r="P200" s="331">
        <v>51.94</v>
      </c>
      <c r="Q200" s="331">
        <v>52.5</v>
      </c>
      <c r="R200" s="331">
        <v>53.225000000000001</v>
      </c>
      <c r="S200" s="331">
        <v>52.37</v>
      </c>
      <c r="T200" s="331">
        <v>52.22</v>
      </c>
      <c r="U200" s="331">
        <v>52.05</v>
      </c>
      <c r="V200" s="331">
        <v>51.018999999999998</v>
      </c>
      <c r="W200" s="331">
        <v>50.83</v>
      </c>
      <c r="X200" s="331">
        <v>50.83</v>
      </c>
      <c r="Y200" s="331">
        <v>48.92</v>
      </c>
      <c r="Z200" s="331">
        <v>51.018999999999998</v>
      </c>
      <c r="AA200" s="331">
        <f t="shared" ref="AA200:AG200" si="650">AVERAGE(Z201:AA201)</f>
        <v>49.687879376675859</v>
      </c>
      <c r="AB200" s="331">
        <f t="shared" si="650"/>
        <v>48.604225310739658</v>
      </c>
      <c r="AC200" s="331">
        <f t="shared" si="650"/>
        <v>49.826345934063795</v>
      </c>
      <c r="AD200" s="331">
        <f t="shared" si="650"/>
        <v>51.047174464868505</v>
      </c>
      <c r="AE200" s="331">
        <f t="shared" si="650"/>
        <v>51.542271463880311</v>
      </c>
      <c r="AF200" s="331">
        <f t="shared" si="650"/>
        <v>53.503612079197481</v>
      </c>
      <c r="AG200" s="331">
        <f t="shared" si="650"/>
        <v>56.873515080185669</v>
      </c>
      <c r="AH200" s="331">
        <v>57.23</v>
      </c>
      <c r="AI200" s="331">
        <v>54.828000000000003</v>
      </c>
      <c r="AJ200" s="331">
        <v>55.628</v>
      </c>
      <c r="AK200" s="331">
        <v>55.984000000000002</v>
      </c>
      <c r="AL200" s="331">
        <v>56.048000000000002</v>
      </c>
      <c r="AM200" s="331">
        <v>55.957000000000001</v>
      </c>
      <c r="AN200" s="331">
        <v>57.808999999999997</v>
      </c>
      <c r="AO200" s="331">
        <v>57.186</v>
      </c>
      <c r="AP200" s="331">
        <v>58.164999999999999</v>
      </c>
      <c r="AQ200" s="331">
        <v>57.663407912062752</v>
      </c>
      <c r="AR200" s="331">
        <v>56.268000000000001</v>
      </c>
      <c r="AS200" s="331">
        <v>57.079000000000001</v>
      </c>
      <c r="AT200" s="331">
        <v>58.164999999999999</v>
      </c>
      <c r="AU200" s="331">
        <v>58.994999999999997</v>
      </c>
    </row>
    <row r="201" spans="2:47" ht="13.5" customHeight="1" x14ac:dyDescent="0.35">
      <c r="B201" s="348" t="s">
        <v>360</v>
      </c>
      <c r="C201" s="331">
        <v>49.77</v>
      </c>
      <c r="D201" s="331">
        <v>49.96</v>
      </c>
      <c r="E201" s="331">
        <v>52.56</v>
      </c>
      <c r="F201" s="331">
        <v>50.8</v>
      </c>
      <c r="G201" s="331">
        <f>1/0.0208134</f>
        <v>48.045970384463857</v>
      </c>
      <c r="H201" s="331">
        <f>1/0.0195793</f>
        <v>51.074348929737013</v>
      </c>
      <c r="I201" s="331">
        <v>55.67</v>
      </c>
      <c r="J201" s="362">
        <f>AL201</f>
        <v>55.387999999999998</v>
      </c>
      <c r="K201" s="362">
        <f>AP201</f>
        <v>58.076000000000001</v>
      </c>
      <c r="L201" s="362">
        <f>AT201</f>
        <v>58.856000000000002</v>
      </c>
      <c r="M201" s="362"/>
      <c r="O201" s="331">
        <v>52.25</v>
      </c>
      <c r="P201" s="331">
        <v>53.4</v>
      </c>
      <c r="Q201" s="331">
        <v>54.1</v>
      </c>
      <c r="R201" s="331">
        <v>52.56</v>
      </c>
      <c r="S201" s="331">
        <v>52.63</v>
      </c>
      <c r="T201" s="331">
        <v>51.23</v>
      </c>
      <c r="U201" s="331">
        <v>51.8</v>
      </c>
      <c r="V201" s="331">
        <v>50.8</v>
      </c>
      <c r="W201" s="331">
        <v>50.78</v>
      </c>
      <c r="X201" s="331">
        <v>49.82</v>
      </c>
      <c r="Y201" s="331">
        <v>48.49</v>
      </c>
      <c r="Z201" s="331">
        <v>50.8</v>
      </c>
      <c r="AA201" s="331">
        <f>1/0.0205864</f>
        <v>48.575758753351721</v>
      </c>
      <c r="AB201" s="331">
        <f>1/0.0205623</f>
        <v>48.632691868127594</v>
      </c>
      <c r="AC201" s="331">
        <v>51.02</v>
      </c>
      <c r="AD201" s="331">
        <f>H201</f>
        <v>51.074348929737013</v>
      </c>
      <c r="AE201" s="331">
        <f>1/0.019227</f>
        <v>52.01019399802361</v>
      </c>
      <c r="AF201" s="331">
        <f>1/0.0181828</f>
        <v>54.997030160371345</v>
      </c>
      <c r="AG201" s="331">
        <v>58.75</v>
      </c>
      <c r="AH201" s="331">
        <f>I201</f>
        <v>55.67</v>
      </c>
      <c r="AI201" s="331">
        <v>54.405000000000001</v>
      </c>
      <c r="AJ201" s="331">
        <v>55.264000000000003</v>
      </c>
      <c r="AK201" s="331">
        <v>56.69</v>
      </c>
      <c r="AL201" s="331">
        <v>55.387999999999998</v>
      </c>
      <c r="AM201" s="331">
        <v>56.16</v>
      </c>
      <c r="AN201" s="331">
        <v>58.48</v>
      </c>
      <c r="AO201" s="331">
        <v>55.98</v>
      </c>
      <c r="AP201" s="331">
        <v>58.076000000000001</v>
      </c>
      <c r="AQ201" s="331">
        <f>1/0.017467</f>
        <v>57.250815824125496</v>
      </c>
      <c r="AR201" s="331">
        <v>56.301000000000002</v>
      </c>
      <c r="AS201" s="331">
        <v>58.338000000000001</v>
      </c>
      <c r="AT201" s="331">
        <v>58.856000000000002</v>
      </c>
      <c r="AU201" s="331">
        <v>60.625999999999998</v>
      </c>
    </row>
    <row r="202" spans="2:47" ht="13.5" customHeight="1" x14ac:dyDescent="0.35">
      <c r="B202" s="6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3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</row>
    <row r="203" spans="2:47" ht="13.5" customHeight="1" x14ac:dyDescent="0.35">
      <c r="B203" s="61" t="s">
        <v>361</v>
      </c>
      <c r="C203" s="62">
        <f t="shared" ref="C203:M203" si="651">C3</f>
        <v>42735</v>
      </c>
      <c r="D203" s="62">
        <f t="shared" si="651"/>
        <v>43100</v>
      </c>
      <c r="E203" s="62">
        <f t="shared" si="651"/>
        <v>43465</v>
      </c>
      <c r="F203" s="62">
        <f t="shared" si="651"/>
        <v>43830</v>
      </c>
      <c r="G203" s="62">
        <f t="shared" si="651"/>
        <v>44196</v>
      </c>
      <c r="H203" s="62">
        <f t="shared" si="651"/>
        <v>44561</v>
      </c>
      <c r="I203" s="62">
        <f t="shared" si="651"/>
        <v>44926</v>
      </c>
      <c r="J203" s="62">
        <f t="shared" si="651"/>
        <v>45291</v>
      </c>
      <c r="K203" s="62">
        <f t="shared" si="651"/>
        <v>45657</v>
      </c>
      <c r="L203" s="62">
        <f t="shared" si="651"/>
        <v>46022</v>
      </c>
      <c r="M203" s="62"/>
      <c r="O203" s="62">
        <f t="shared" ref="O203:AU203" si="652">O3</f>
        <v>43190</v>
      </c>
      <c r="P203" s="62">
        <f t="shared" si="652"/>
        <v>43281</v>
      </c>
      <c r="Q203" s="62">
        <f t="shared" si="652"/>
        <v>43373</v>
      </c>
      <c r="R203" s="62">
        <f t="shared" si="652"/>
        <v>43465</v>
      </c>
      <c r="S203" s="62">
        <f t="shared" si="652"/>
        <v>43555</v>
      </c>
      <c r="T203" s="62">
        <f t="shared" si="652"/>
        <v>43646</v>
      </c>
      <c r="U203" s="62">
        <f t="shared" si="652"/>
        <v>43738</v>
      </c>
      <c r="V203" s="62">
        <f t="shared" si="652"/>
        <v>43830</v>
      </c>
      <c r="W203" s="62">
        <f t="shared" si="652"/>
        <v>43921</v>
      </c>
      <c r="X203" s="62">
        <f t="shared" si="652"/>
        <v>44012</v>
      </c>
      <c r="Y203" s="62">
        <f t="shared" si="652"/>
        <v>44104</v>
      </c>
      <c r="Z203" s="62">
        <f t="shared" si="652"/>
        <v>44196</v>
      </c>
      <c r="AA203" s="62">
        <f t="shared" si="652"/>
        <v>44286</v>
      </c>
      <c r="AB203" s="62">
        <f t="shared" si="652"/>
        <v>44377</v>
      </c>
      <c r="AC203" s="62">
        <f t="shared" si="652"/>
        <v>44469</v>
      </c>
      <c r="AD203" s="62">
        <f t="shared" si="652"/>
        <v>44561</v>
      </c>
      <c r="AE203" s="62">
        <f t="shared" si="652"/>
        <v>44651</v>
      </c>
      <c r="AF203" s="62">
        <f t="shared" si="652"/>
        <v>44742</v>
      </c>
      <c r="AG203" s="62">
        <f t="shared" si="652"/>
        <v>44834</v>
      </c>
      <c r="AH203" s="62">
        <f t="shared" si="652"/>
        <v>44926</v>
      </c>
      <c r="AI203" s="62">
        <f t="shared" si="652"/>
        <v>45016</v>
      </c>
      <c r="AJ203" s="62">
        <f t="shared" si="652"/>
        <v>45107</v>
      </c>
      <c r="AK203" s="62">
        <f t="shared" si="652"/>
        <v>45199</v>
      </c>
      <c r="AL203" s="62">
        <f t="shared" si="652"/>
        <v>45291</v>
      </c>
      <c r="AM203" s="62">
        <f t="shared" si="652"/>
        <v>45382</v>
      </c>
      <c r="AN203" s="62">
        <f t="shared" si="652"/>
        <v>45473</v>
      </c>
      <c r="AO203" s="62">
        <f t="shared" si="652"/>
        <v>45565</v>
      </c>
      <c r="AP203" s="62">
        <f t="shared" si="652"/>
        <v>45657</v>
      </c>
      <c r="AQ203" s="62">
        <f t="shared" si="652"/>
        <v>45747</v>
      </c>
      <c r="AR203" s="62">
        <f t="shared" si="652"/>
        <v>45838</v>
      </c>
      <c r="AS203" s="62">
        <f t="shared" si="652"/>
        <v>45930</v>
      </c>
      <c r="AT203" s="62">
        <f t="shared" si="652"/>
        <v>46022</v>
      </c>
      <c r="AU203" s="62">
        <f t="shared" si="652"/>
        <v>46112</v>
      </c>
    </row>
    <row r="204" spans="2:47" ht="13.5" customHeight="1" x14ac:dyDescent="0.35">
      <c r="B204" s="10"/>
      <c r="C204" s="63" t="str">
        <f t="shared" ref="C204:M204" si="653">C4</f>
        <v>Act</v>
      </c>
      <c r="D204" s="63" t="str">
        <f t="shared" si="653"/>
        <v>Act</v>
      </c>
      <c r="E204" s="63" t="str">
        <f t="shared" si="653"/>
        <v>Act</v>
      </c>
      <c r="F204" s="63" t="str">
        <f t="shared" si="653"/>
        <v>Act</v>
      </c>
      <c r="G204" s="63" t="str">
        <f t="shared" si="653"/>
        <v>Act</v>
      </c>
      <c r="H204" s="63" t="str">
        <f t="shared" si="653"/>
        <v>Act</v>
      </c>
      <c r="I204" s="63" t="str">
        <f t="shared" si="653"/>
        <v>Act</v>
      </c>
      <c r="J204" s="63" t="str">
        <f t="shared" si="653"/>
        <v>Act</v>
      </c>
      <c r="K204" s="63" t="str">
        <f t="shared" si="653"/>
        <v>Act</v>
      </c>
      <c r="L204" s="63" t="str">
        <f t="shared" si="653"/>
        <v>Act</v>
      </c>
      <c r="M204" s="63"/>
      <c r="N204" s="412"/>
      <c r="O204" s="84" t="str">
        <f t="shared" ref="O204:AU204" si="654">O4</f>
        <v>Act</v>
      </c>
      <c r="P204" s="84" t="str">
        <f t="shared" si="654"/>
        <v>Act</v>
      </c>
      <c r="Q204" s="84" t="str">
        <f t="shared" si="654"/>
        <v>Act</v>
      </c>
      <c r="R204" s="84" t="str">
        <f t="shared" si="654"/>
        <v>Act</v>
      </c>
      <c r="S204" s="84" t="str">
        <f t="shared" si="654"/>
        <v>Act</v>
      </c>
      <c r="T204" s="84" t="str">
        <f t="shared" si="654"/>
        <v>Act</v>
      </c>
      <c r="U204" s="84" t="str">
        <f t="shared" si="654"/>
        <v>Act</v>
      </c>
      <c r="V204" s="84" t="str">
        <f t="shared" si="654"/>
        <v>Act</v>
      </c>
      <c r="W204" s="84" t="str">
        <f t="shared" si="654"/>
        <v>Act</v>
      </c>
      <c r="X204" s="84" t="str">
        <f t="shared" si="654"/>
        <v>Act</v>
      </c>
      <c r="Y204" s="84" t="str">
        <f t="shared" si="654"/>
        <v>Act</v>
      </c>
      <c r="Z204" s="84" t="str">
        <f t="shared" si="654"/>
        <v>Act</v>
      </c>
      <c r="AA204" s="84" t="str">
        <f t="shared" si="654"/>
        <v>Act</v>
      </c>
      <c r="AB204" s="84" t="str">
        <f t="shared" si="654"/>
        <v>Act</v>
      </c>
      <c r="AC204" s="84" t="str">
        <f t="shared" si="654"/>
        <v>Act</v>
      </c>
      <c r="AD204" s="84" t="str">
        <f t="shared" si="654"/>
        <v>Act</v>
      </c>
      <c r="AE204" s="84" t="str">
        <f t="shared" si="654"/>
        <v>Act</v>
      </c>
      <c r="AF204" s="84" t="str">
        <f t="shared" si="654"/>
        <v>Act</v>
      </c>
      <c r="AG204" s="84" t="str">
        <f t="shared" si="654"/>
        <v>Act</v>
      </c>
      <c r="AH204" s="84" t="str">
        <f t="shared" si="654"/>
        <v>Act</v>
      </c>
      <c r="AI204" s="84" t="str">
        <f t="shared" si="654"/>
        <v>Act</v>
      </c>
      <c r="AJ204" s="84" t="str">
        <f t="shared" si="654"/>
        <v>Act</v>
      </c>
      <c r="AK204" s="84" t="str">
        <f t="shared" si="654"/>
        <v>Act</v>
      </c>
      <c r="AL204" s="84" t="str">
        <f t="shared" si="654"/>
        <v>Act</v>
      </c>
      <c r="AM204" s="84" t="str">
        <f t="shared" si="654"/>
        <v>Act</v>
      </c>
      <c r="AN204" s="84" t="str">
        <f t="shared" si="654"/>
        <v>Act</v>
      </c>
      <c r="AO204" s="84" t="str">
        <f t="shared" si="654"/>
        <v>Act</v>
      </c>
      <c r="AP204" s="84" t="str">
        <f t="shared" si="654"/>
        <v>Act</v>
      </c>
      <c r="AQ204" s="84" t="str">
        <f t="shared" si="654"/>
        <v>Act</v>
      </c>
      <c r="AR204" s="84" t="str">
        <f t="shared" si="654"/>
        <v>Act</v>
      </c>
      <c r="AS204" s="84" t="str">
        <f t="shared" si="654"/>
        <v>Act</v>
      </c>
      <c r="AT204" s="84" t="str">
        <f t="shared" si="654"/>
        <v>Act</v>
      </c>
      <c r="AU204" s="84" t="str">
        <f t="shared" si="654"/>
        <v>Act</v>
      </c>
    </row>
    <row r="205" spans="2:47" ht="13.5" customHeight="1" x14ac:dyDescent="0.35">
      <c r="B205" s="3" t="s">
        <v>350</v>
      </c>
      <c r="C205" s="20">
        <f t="shared" ref="C205:M205" si="655">C148/C$200</f>
        <v>2670.2118786857627</v>
      </c>
      <c r="D205" s="20">
        <f t="shared" si="655"/>
        <v>2683.6090259869075</v>
      </c>
      <c r="E205" s="20">
        <f t="shared" si="655"/>
        <v>2869.6432422171597</v>
      </c>
      <c r="F205" s="20">
        <f t="shared" si="655"/>
        <v>3218.0022591233828</v>
      </c>
      <c r="G205" s="20">
        <f t="shared" si="655"/>
        <v>3247.8722476122243</v>
      </c>
      <c r="H205" s="20">
        <f t="shared" si="655"/>
        <v>3381.7178359644713</v>
      </c>
      <c r="I205" s="20">
        <f t="shared" si="655"/>
        <v>3211.8153177122513</v>
      </c>
      <c r="J205" s="20">
        <f t="shared" si="655"/>
        <v>3239.086242853547</v>
      </c>
      <c r="K205" s="20">
        <f t="shared" si="655"/>
        <v>3152.7308754915612</v>
      </c>
      <c r="L205" s="20">
        <f t="shared" ref="L205" si="656">L148/L$200</f>
        <v>3110.976795003985</v>
      </c>
      <c r="M205" s="20"/>
      <c r="N205" s="20"/>
      <c r="O205" s="42"/>
      <c r="P205" s="42"/>
      <c r="Q205" s="42"/>
      <c r="R205" s="20">
        <f t="shared" ref="R205:AA206" si="657">R148/AVERAGE(O$200:R$200)</f>
        <v>2891.6683356048106</v>
      </c>
      <c r="S205" s="20">
        <f t="shared" si="657"/>
        <v>2949.4369414621369</v>
      </c>
      <c r="T205" s="20">
        <f t="shared" si="657"/>
        <v>3009.7303378265933</v>
      </c>
      <c r="U205" s="20">
        <f t="shared" si="657"/>
        <v>3106.5297786672381</v>
      </c>
      <c r="V205" s="20">
        <f t="shared" si="657"/>
        <v>3210.2694706225111</v>
      </c>
      <c r="W205" s="20">
        <f t="shared" si="657"/>
        <v>3245.0307249695566</v>
      </c>
      <c r="X205" s="20">
        <f t="shared" si="657"/>
        <v>3203.3263289519318</v>
      </c>
      <c r="Y205" s="20">
        <f t="shared" si="657"/>
        <v>3230.8777126870673</v>
      </c>
      <c r="Z205" s="20">
        <f t="shared" si="657"/>
        <v>3184.9273458697712</v>
      </c>
      <c r="AA205" s="20">
        <f t="shared" si="657"/>
        <v>3236.1129736088242</v>
      </c>
      <c r="AB205" s="20">
        <f t="shared" ref="AB205:AK206" si="658">AB148/AVERAGE(Y$200:AB$200)</f>
        <v>3351.9494987820776</v>
      </c>
      <c r="AC205" s="20">
        <f t="shared" si="658"/>
        <v>3356.0858689024185</v>
      </c>
      <c r="AD205" s="20">
        <f t="shared" si="658"/>
        <v>3384.0469795317081</v>
      </c>
      <c r="AE205" s="20">
        <f t="shared" si="658"/>
        <v>3366.9531896202038</v>
      </c>
      <c r="AF205" s="20">
        <f t="shared" si="658"/>
        <v>3329.6245175276667</v>
      </c>
      <c r="AG205" s="20">
        <f t="shared" si="658"/>
        <v>3240.6876534299681</v>
      </c>
      <c r="AH205" s="20">
        <f t="shared" si="658"/>
        <v>3194.91130889955</v>
      </c>
      <c r="AI205" s="20">
        <f t="shared" si="658"/>
        <v>3174.213664076914</v>
      </c>
      <c r="AJ205" s="20">
        <f t="shared" si="658"/>
        <v>3157.1698743063284</v>
      </c>
      <c r="AK205" s="20">
        <f t="shared" si="658"/>
        <v>3194.6347207940266</v>
      </c>
      <c r="AL205" s="20">
        <f t="shared" ref="AL205:AU206" si="659">AL148/AVERAGE(AI$200:AL$200)</f>
        <v>3239.086242853547</v>
      </c>
      <c r="AM205" s="20">
        <f t="shared" si="659"/>
        <v>3227.6932254703356</v>
      </c>
      <c r="AN205" s="20">
        <f t="shared" si="659"/>
        <v>3193.3928555611651</v>
      </c>
      <c r="AO205" s="20">
        <f t="shared" si="659"/>
        <v>3191.4756651982379</v>
      </c>
      <c r="AP205" s="20">
        <f t="shared" si="659"/>
        <v>3152.7308754915612</v>
      </c>
      <c r="AQ205" s="20">
        <f t="shared" si="659"/>
        <v>3102.5296891588569</v>
      </c>
      <c r="AR205" s="20">
        <f t="shared" si="659"/>
        <v>3108.5945340968387</v>
      </c>
      <c r="AS205" s="20">
        <f t="shared" si="659"/>
        <v>3096.8820715367997</v>
      </c>
      <c r="AT205" s="20">
        <f t="shared" si="659"/>
        <v>3110.976795003985</v>
      </c>
      <c r="AU205" s="20">
        <f t="shared" si="659"/>
        <v>3126.8571453361501</v>
      </c>
    </row>
    <row r="206" spans="2:47" ht="13.5" customHeight="1" x14ac:dyDescent="0.35">
      <c r="B206" s="3" t="s">
        <v>351</v>
      </c>
      <c r="C206" s="20">
        <f t="shared" ref="C206:M206" si="660">C149/C$200</f>
        <v>1052.6199663016007</v>
      </c>
      <c r="D206" s="20">
        <f t="shared" si="660"/>
        <v>1057.8391390597105</v>
      </c>
      <c r="E206" s="20">
        <f t="shared" si="660"/>
        <v>1236.277809415338</v>
      </c>
      <c r="F206" s="20">
        <f t="shared" si="660"/>
        <v>1468.0716933771</v>
      </c>
      <c r="G206" s="20">
        <f t="shared" si="660"/>
        <v>1487.4122781954968</v>
      </c>
      <c r="H206" s="20">
        <f t="shared" si="660"/>
        <v>1503.6794499366131</v>
      </c>
      <c r="I206" s="20">
        <f t="shared" si="660"/>
        <v>1451.2563349786235</v>
      </c>
      <c r="J206" s="20">
        <f t="shared" si="660"/>
        <v>1463.930567041818</v>
      </c>
      <c r="K206" s="20">
        <f t="shared" si="660"/>
        <v>1515.6217303822939</v>
      </c>
      <c r="L206" s="20">
        <f t="shared" ref="L206" si="661">L149/L$200</f>
        <v>1529.3842702987131</v>
      </c>
      <c r="M206" s="20"/>
      <c r="N206" s="20"/>
      <c r="O206" s="42"/>
      <c r="P206" s="42"/>
      <c r="Q206" s="42"/>
      <c r="R206" s="20">
        <f t="shared" si="657"/>
        <v>1245.7664921215601</v>
      </c>
      <c r="S206" s="20">
        <f t="shared" si="657"/>
        <v>1313.4342181065063</v>
      </c>
      <c r="T206" s="20">
        <f t="shared" si="657"/>
        <v>1348.2580700378003</v>
      </c>
      <c r="U206" s="20">
        <f t="shared" si="657"/>
        <v>1404.5009887308506</v>
      </c>
      <c r="V206" s="20">
        <f t="shared" si="657"/>
        <v>1464.5439494555981</v>
      </c>
      <c r="W206" s="20">
        <f t="shared" si="657"/>
        <v>1486.2823514571685</v>
      </c>
      <c r="X206" s="20">
        <f t="shared" si="657"/>
        <v>1481.7105930278565</v>
      </c>
      <c r="Y206" s="20">
        <f t="shared" si="657"/>
        <v>1476.7778213185584</v>
      </c>
      <c r="Z206" s="20">
        <f t="shared" si="657"/>
        <v>1458.5857072703734</v>
      </c>
      <c r="AA206" s="20">
        <f t="shared" si="657"/>
        <v>1423.24089293987</v>
      </c>
      <c r="AB206" s="20">
        <f t="shared" si="658"/>
        <v>1462.8825504316007</v>
      </c>
      <c r="AC206" s="20">
        <f t="shared" si="658"/>
        <v>1489.8842335987922</v>
      </c>
      <c r="AD206" s="20">
        <f t="shared" si="658"/>
        <v>1504.7151026693039</v>
      </c>
      <c r="AE206" s="20">
        <f t="shared" si="658"/>
        <v>1518.5411298440679</v>
      </c>
      <c r="AF206" s="20">
        <f t="shared" si="658"/>
        <v>1517.0051681383584</v>
      </c>
      <c r="AG206" s="20">
        <f t="shared" si="658"/>
        <v>1471.1100970308059</v>
      </c>
      <c r="AH206" s="20">
        <f t="shared" si="658"/>
        <v>1443.6182713139165</v>
      </c>
      <c r="AI206" s="20">
        <f t="shared" si="658"/>
        <v>1437.5387560566394</v>
      </c>
      <c r="AJ206" s="20">
        <f t="shared" si="658"/>
        <v>1407.9010808653859</v>
      </c>
      <c r="AK206" s="20">
        <f t="shared" si="658"/>
        <v>1421.2173291009074</v>
      </c>
      <c r="AL206" s="20">
        <f t="shared" si="659"/>
        <v>1463.930567041818</v>
      </c>
      <c r="AM206" s="20">
        <f t="shared" si="659"/>
        <v>1471.2555485495288</v>
      </c>
      <c r="AN206" s="20">
        <f t="shared" si="659"/>
        <v>1486.2388152242268</v>
      </c>
      <c r="AO206" s="20">
        <f t="shared" si="659"/>
        <v>1508.281321585903</v>
      </c>
      <c r="AP206" s="20">
        <f t="shared" si="659"/>
        <v>1515.6217303822939</v>
      </c>
      <c r="AQ206" s="20">
        <f t="shared" si="659"/>
        <v>1494.2262360644036</v>
      </c>
      <c r="AR206" s="20">
        <f t="shared" si="659"/>
        <v>1500.1524414028279</v>
      </c>
      <c r="AS206" s="20">
        <f t="shared" si="659"/>
        <v>1503.3806774425079</v>
      </c>
      <c r="AT206" s="20">
        <f t="shared" si="659"/>
        <v>1529.3842702987133</v>
      </c>
      <c r="AU206" s="20">
        <f t="shared" si="659"/>
        <v>1545.0371225168869</v>
      </c>
    </row>
    <row r="207" spans="2:47" ht="13.5" customHeight="1" x14ac:dyDescent="0.35">
      <c r="B207" s="3" t="s">
        <v>352</v>
      </c>
      <c r="C207" s="64">
        <f t="shared" ref="C207:G207" si="662">C206/C205</f>
        <v>0.39420840522201711</v>
      </c>
      <c r="D207" s="64">
        <f t="shared" si="662"/>
        <v>0.3941852664885438</v>
      </c>
      <c r="E207" s="64">
        <f t="shared" si="662"/>
        <v>0.43081237110859749</v>
      </c>
      <c r="F207" s="64">
        <f t="shared" si="662"/>
        <v>0.45620592378857372</v>
      </c>
      <c r="G207" s="64">
        <f t="shared" si="662"/>
        <v>0.45796514296059976</v>
      </c>
      <c r="H207" s="64">
        <f t="shared" ref="H207:I207" si="663">H206/H205</f>
        <v>0.44464959020088124</v>
      </c>
      <c r="I207" s="64">
        <f t="shared" si="663"/>
        <v>0.45184924767478257</v>
      </c>
      <c r="J207" s="64">
        <f t="shared" ref="J207:K207" si="664">J206/J205</f>
        <v>0.45195788481140747</v>
      </c>
      <c r="K207" s="64">
        <f t="shared" si="664"/>
        <v>0.48073298680972387</v>
      </c>
      <c r="L207" s="64">
        <f t="shared" ref="L207" si="665">L206/L205</f>
        <v>0.49160902542082574</v>
      </c>
      <c r="M207" s="64"/>
      <c r="N207" s="64"/>
      <c r="O207" s="65"/>
      <c r="P207" s="65"/>
      <c r="Q207" s="65"/>
      <c r="R207" s="64">
        <f t="shared" ref="R207:W207" si="666">R206/R205</f>
        <v>0.43081237110859749</v>
      </c>
      <c r="S207" s="64">
        <f t="shared" si="666"/>
        <v>0.44531693478260698</v>
      </c>
      <c r="T207" s="64">
        <f t="shared" si="666"/>
        <v>0.44796640187087772</v>
      </c>
      <c r="U207" s="64">
        <f t="shared" si="666"/>
        <v>0.45211251421945453</v>
      </c>
      <c r="V207" s="64">
        <f t="shared" si="666"/>
        <v>0.45620592378857366</v>
      </c>
      <c r="W207" s="64">
        <f t="shared" si="666"/>
        <v>0.45801795958992408</v>
      </c>
      <c r="X207" s="64">
        <f t="shared" ref="X207:AA207" si="667">X206/X205</f>
        <v>0.46255374597212651</v>
      </c>
      <c r="Y207" s="64">
        <f t="shared" si="667"/>
        <v>0.45708254927740571</v>
      </c>
      <c r="Z207" s="64">
        <f t="shared" si="667"/>
        <v>0.45796514296059976</v>
      </c>
      <c r="AA207" s="64">
        <f t="shared" si="667"/>
        <v>0.43979950778810756</v>
      </c>
      <c r="AB207" s="64">
        <f t="shared" ref="AB207:AE207" si="668">AB206/AB205</f>
        <v>0.43642738381444451</v>
      </c>
      <c r="AC207" s="64">
        <f t="shared" si="668"/>
        <v>0.44393507550092787</v>
      </c>
      <c r="AD207" s="64">
        <f t="shared" si="668"/>
        <v>0.44464959020088124</v>
      </c>
      <c r="AE207" s="64">
        <f t="shared" si="668"/>
        <v>0.45101343687387618</v>
      </c>
      <c r="AF207" s="64">
        <f t="shared" ref="AF207:AI207" si="669">AF206/AF205</f>
        <v>0.45560848082196798</v>
      </c>
      <c r="AG207" s="64">
        <f t="shared" si="669"/>
        <v>0.45394998048447277</v>
      </c>
      <c r="AH207" s="64">
        <f t="shared" si="669"/>
        <v>0.45184924767478257</v>
      </c>
      <c r="AI207" s="64">
        <f t="shared" si="669"/>
        <v>0.45288027467258946</v>
      </c>
      <c r="AJ207" s="64">
        <f t="shared" ref="AJ207:AM207" si="670">AJ206/AJ205</f>
        <v>0.44593770272647121</v>
      </c>
      <c r="AK207" s="64">
        <f t="shared" si="670"/>
        <v>0.44487631711072861</v>
      </c>
      <c r="AL207" s="64">
        <f t="shared" si="670"/>
        <v>0.45195788481140747</v>
      </c>
      <c r="AM207" s="64">
        <f t="shared" si="670"/>
        <v>0.45582260945357944</v>
      </c>
      <c r="AN207" s="64">
        <f t="shared" ref="AN207:AQ207" si="671">AN206/AN205</f>
        <v>0.46541057816798259</v>
      </c>
      <c r="AO207" s="64">
        <f t="shared" si="671"/>
        <v>0.47259684227992271</v>
      </c>
      <c r="AP207" s="64">
        <f t="shared" si="671"/>
        <v>0.48073298680972387</v>
      </c>
      <c r="AQ207" s="64">
        <f t="shared" si="671"/>
        <v>0.48161545118670923</v>
      </c>
      <c r="AR207" s="64">
        <f t="shared" ref="AR207:AU207" si="672">AR206/AR205</f>
        <v>0.48258221680193408</v>
      </c>
      <c r="AS207" s="64">
        <f t="shared" si="672"/>
        <v>0.48544976615672963</v>
      </c>
      <c r="AT207" s="64">
        <f t="shared" si="672"/>
        <v>0.49160902542082585</v>
      </c>
      <c r="AU207" s="64">
        <f t="shared" si="672"/>
        <v>0.49411823140733507</v>
      </c>
    </row>
    <row r="208" spans="2:47" ht="13.5" customHeight="1" x14ac:dyDescent="0.35">
      <c r="B208" s="3" t="s">
        <v>40</v>
      </c>
      <c r="C208" s="20">
        <f t="shared" ref="C208:M208" si="673">C151/C$201</f>
        <v>2033.9278882861161</v>
      </c>
      <c r="D208" s="20">
        <f t="shared" si="673"/>
        <v>2632.680244195356</v>
      </c>
      <c r="E208" s="20">
        <f t="shared" si="673"/>
        <v>2821.1928652968036</v>
      </c>
      <c r="F208" s="20">
        <f t="shared" si="673"/>
        <v>2746.581732283465</v>
      </c>
      <c r="G208" s="20">
        <f t="shared" si="673"/>
        <v>3524.0587430148003</v>
      </c>
      <c r="H208" s="20">
        <f t="shared" si="673"/>
        <v>4501.9255226594996</v>
      </c>
      <c r="I208" s="20">
        <f t="shared" si="673"/>
        <v>5955.207400754447</v>
      </c>
      <c r="J208" s="20">
        <f t="shared" si="673"/>
        <v>6914.4334693435394</v>
      </c>
      <c r="K208" s="20">
        <f t="shared" si="673"/>
        <v>7071.7178008127285</v>
      </c>
      <c r="L208" s="20">
        <f t="shared" ref="L208" si="674">L151/L$201</f>
        <v>7322.4730358841916</v>
      </c>
      <c r="M208" s="20"/>
      <c r="N208" s="20"/>
      <c r="O208" s="20">
        <f t="shared" ref="O208:AS208" si="675">O151/O$201</f>
        <v>2446.8832153110047</v>
      </c>
      <c r="P208" s="20">
        <f t="shared" si="675"/>
        <v>2510.0526404494381</v>
      </c>
      <c r="Q208" s="20">
        <f t="shared" si="675"/>
        <v>2478.4981700554526</v>
      </c>
      <c r="R208" s="20">
        <f t="shared" si="675"/>
        <v>2821.1928652968036</v>
      </c>
      <c r="S208" s="20">
        <f t="shared" si="675"/>
        <v>2692.9142124263731</v>
      </c>
      <c r="T208" s="20">
        <f t="shared" si="675"/>
        <v>2643.2328128049967</v>
      </c>
      <c r="U208" s="20">
        <f t="shared" si="675"/>
        <v>2611.5037258687262</v>
      </c>
      <c r="V208" s="20">
        <f t="shared" si="675"/>
        <v>2746.581732283465</v>
      </c>
      <c r="W208" s="20">
        <f t="shared" si="675"/>
        <v>2924.6634501772351</v>
      </c>
      <c r="X208" s="20">
        <f t="shared" si="675"/>
        <v>3093.9291850662385</v>
      </c>
      <c r="Y208" s="20">
        <f t="shared" si="675"/>
        <v>3463.4367704681376</v>
      </c>
      <c r="Z208" s="20">
        <f t="shared" si="675"/>
        <v>3333.0083070866144</v>
      </c>
      <c r="AA208" s="20">
        <f t="shared" si="675"/>
        <v>3570.3653725848003</v>
      </c>
      <c r="AB208" s="20">
        <f t="shared" si="675"/>
        <v>3893.5168859961</v>
      </c>
      <c r="AC208" s="20">
        <f t="shared" si="675"/>
        <v>4340.9426303410419</v>
      </c>
      <c r="AD208" s="20">
        <f t="shared" si="675"/>
        <v>4501.9255226594996</v>
      </c>
      <c r="AE208" s="20">
        <f t="shared" si="675"/>
        <v>4626.0895125510006</v>
      </c>
      <c r="AF208" s="20">
        <f t="shared" si="675"/>
        <v>5609.8810808571998</v>
      </c>
      <c r="AG208" s="20">
        <f t="shared" si="675"/>
        <v>5597.2920510638296</v>
      </c>
      <c r="AH208" s="20">
        <f t="shared" si="675"/>
        <v>5955.207400754447</v>
      </c>
      <c r="AI208" s="20">
        <f t="shared" si="675"/>
        <v>5668.1728333792853</v>
      </c>
      <c r="AJ208" s="20">
        <f t="shared" si="675"/>
        <v>6715.6984293572668</v>
      </c>
      <c r="AK208" s="20">
        <f t="shared" si="675"/>
        <v>6416.3016405009694</v>
      </c>
      <c r="AL208" s="20">
        <f t="shared" si="675"/>
        <v>6914.4334693435394</v>
      </c>
      <c r="AM208" s="20">
        <f t="shared" si="675"/>
        <v>6897.695299145299</v>
      </c>
      <c r="AN208" s="20">
        <f t="shared" si="675"/>
        <v>6749.9642783857726</v>
      </c>
      <c r="AO208" s="20">
        <f t="shared" si="675"/>
        <v>7153.3270632368713</v>
      </c>
      <c r="AP208" s="20">
        <f t="shared" si="675"/>
        <v>7071.7178008127285</v>
      </c>
      <c r="AQ208" s="20">
        <f t="shared" si="675"/>
        <v>7068.4812639729998</v>
      </c>
      <c r="AR208" s="20">
        <f t="shared" si="675"/>
        <v>7393.1562672066211</v>
      </c>
      <c r="AS208" s="20">
        <f t="shared" si="675"/>
        <v>7314.9523123864374</v>
      </c>
      <c r="AT208" s="20">
        <f t="shared" ref="AT208:AU210" si="676">AT151/AT$201</f>
        <v>7322.4730358841916</v>
      </c>
      <c r="AU208" s="20">
        <f t="shared" si="676"/>
        <v>7134.7516741991903</v>
      </c>
    </row>
    <row r="209" spans="2:47" ht="13.5" customHeight="1" x14ac:dyDescent="0.35">
      <c r="B209" s="3" t="s">
        <v>353</v>
      </c>
      <c r="C209" s="20">
        <f t="shared" ref="C209:M209" si="677">C152/C$201</f>
        <v>173.45493269037573</v>
      </c>
      <c r="D209" s="20">
        <f t="shared" si="677"/>
        <v>224.62409927942352</v>
      </c>
      <c r="E209" s="20">
        <f t="shared" si="677"/>
        <v>441.90232115677316</v>
      </c>
      <c r="F209" s="20">
        <f t="shared" si="677"/>
        <v>163.34826771653545</v>
      </c>
      <c r="G209" s="20">
        <f t="shared" si="677"/>
        <v>406.03017992759999</v>
      </c>
      <c r="H209" s="20">
        <f t="shared" si="677"/>
        <v>474.58647066350005</v>
      </c>
      <c r="I209" s="20">
        <f t="shared" si="677"/>
        <v>323.94081192742948</v>
      </c>
      <c r="J209" s="20">
        <f t="shared" si="677"/>
        <v>300.51774752654006</v>
      </c>
      <c r="K209" s="20">
        <f t="shared" si="677"/>
        <v>367.68474068462012</v>
      </c>
      <c r="L209" s="20">
        <f t="shared" ref="L209" si="678">L152/L$201</f>
        <v>425.27281840424087</v>
      </c>
      <c r="M209" s="20"/>
      <c r="N209" s="20"/>
      <c r="O209" s="20">
        <f t="shared" ref="O209:AS209" si="679">O152/O$201</f>
        <v>120.64956937799042</v>
      </c>
      <c r="P209" s="20">
        <f t="shared" si="679"/>
        <v>199.2278838951311</v>
      </c>
      <c r="Q209" s="20">
        <f t="shared" si="679"/>
        <v>224.27528650646948</v>
      </c>
      <c r="R209" s="20">
        <f t="shared" si="679"/>
        <v>441.90232115677316</v>
      </c>
      <c r="S209" s="20">
        <f t="shared" si="679"/>
        <v>314.63252897586926</v>
      </c>
      <c r="T209" s="20">
        <f t="shared" si="679"/>
        <v>230.06599648643376</v>
      </c>
      <c r="U209" s="20">
        <f t="shared" si="679"/>
        <v>224.51563706563707</v>
      </c>
      <c r="V209" s="20">
        <f t="shared" si="679"/>
        <v>163.34826771653545</v>
      </c>
      <c r="W209" s="20">
        <f t="shared" si="679"/>
        <v>285.92164237888932</v>
      </c>
      <c r="X209" s="20">
        <f t="shared" si="679"/>
        <v>296.77308309915696</v>
      </c>
      <c r="Y209" s="20">
        <f t="shared" si="679"/>
        <v>672.86285832130329</v>
      </c>
      <c r="Z209" s="20">
        <f t="shared" si="679"/>
        <v>384.01799212598428</v>
      </c>
      <c r="AA209" s="20">
        <f t="shared" si="679"/>
        <v>298.18111691360002</v>
      </c>
      <c r="AB209" s="20">
        <f t="shared" si="679"/>
        <v>300.8049819588</v>
      </c>
      <c r="AC209" s="20">
        <f t="shared" si="679"/>
        <v>249.01436691493529</v>
      </c>
      <c r="AD209" s="20">
        <f t="shared" si="679"/>
        <v>474.58647066350005</v>
      </c>
      <c r="AE209" s="20">
        <f t="shared" si="679"/>
        <v>285.60833671500001</v>
      </c>
      <c r="AF209" s="20">
        <f t="shared" si="679"/>
        <v>292.29627405559995</v>
      </c>
      <c r="AG209" s="20">
        <f t="shared" si="679"/>
        <v>244.94457872340428</v>
      </c>
      <c r="AH209" s="20">
        <f t="shared" si="679"/>
        <v>323.94081192742948</v>
      </c>
      <c r="AI209" s="20">
        <f t="shared" si="679"/>
        <v>298.57255766933184</v>
      </c>
      <c r="AJ209" s="20">
        <f t="shared" si="679"/>
        <v>458.84588520555872</v>
      </c>
      <c r="AK209" s="20">
        <f t="shared" si="679"/>
        <v>281.82810019403775</v>
      </c>
      <c r="AL209" s="20">
        <f t="shared" si="679"/>
        <v>300.51774752654006</v>
      </c>
      <c r="AM209" s="20">
        <f t="shared" si="679"/>
        <v>302.3385861823362</v>
      </c>
      <c r="AN209" s="20">
        <f t="shared" si="679"/>
        <v>318.63950068399453</v>
      </c>
      <c r="AO209" s="20">
        <f t="shared" si="679"/>
        <v>397.57098963915689</v>
      </c>
      <c r="AP209" s="20">
        <f t="shared" si="679"/>
        <v>367.68474068462012</v>
      </c>
      <c r="AQ209" s="20">
        <f t="shared" si="679"/>
        <v>327.10183654900004</v>
      </c>
      <c r="AR209" s="20">
        <f t="shared" si="679"/>
        <v>343.07536278218862</v>
      </c>
      <c r="AS209" s="20">
        <f t="shared" si="679"/>
        <v>475.30561555075593</v>
      </c>
      <c r="AT209" s="20">
        <f t="shared" si="676"/>
        <v>425.27281840424087</v>
      </c>
      <c r="AU209" s="20">
        <f t="shared" si="676"/>
        <v>698.59261702899744</v>
      </c>
    </row>
    <row r="210" spans="2:47" ht="13.5" customHeight="1" x14ac:dyDescent="0.35">
      <c r="B210" s="3" t="s">
        <v>337</v>
      </c>
      <c r="C210" s="20">
        <f t="shared" ref="C210:M210" si="680">C153/C$201</f>
        <v>1860.4729555957404</v>
      </c>
      <c r="D210" s="20">
        <f t="shared" si="680"/>
        <v>2408.0561449159322</v>
      </c>
      <c r="E210" s="20">
        <f t="shared" si="680"/>
        <v>2379.2905441400303</v>
      </c>
      <c r="F210" s="20">
        <f t="shared" si="680"/>
        <v>2583.2334645669293</v>
      </c>
      <c r="G210" s="20">
        <f t="shared" si="680"/>
        <v>3118.0285630872004</v>
      </c>
      <c r="H210" s="20">
        <f t="shared" si="680"/>
        <v>4027.3390519959999</v>
      </c>
      <c r="I210" s="20">
        <f t="shared" si="680"/>
        <v>5631.2665888270176</v>
      </c>
      <c r="J210" s="20">
        <f t="shared" si="680"/>
        <v>6613.9157218169994</v>
      </c>
      <c r="K210" s="20">
        <f t="shared" si="680"/>
        <v>6704.0330601281094</v>
      </c>
      <c r="L210" s="20">
        <f t="shared" ref="L210" si="681">L153/L$201</f>
        <v>6897.2002174799509</v>
      </c>
      <c r="M210" s="20"/>
      <c r="N210" s="20"/>
      <c r="O210" s="20">
        <f t="shared" ref="O210:AS210" si="682">O153/O$201</f>
        <v>2326.2336459330145</v>
      </c>
      <c r="P210" s="20">
        <f t="shared" si="682"/>
        <v>2310.824756554307</v>
      </c>
      <c r="Q210" s="20">
        <f t="shared" si="682"/>
        <v>2254.2228835489832</v>
      </c>
      <c r="R210" s="20">
        <f t="shared" si="682"/>
        <v>2379.2905441400303</v>
      </c>
      <c r="S210" s="20">
        <f t="shared" si="682"/>
        <v>2378.2816834505038</v>
      </c>
      <c r="T210" s="20">
        <f t="shared" si="682"/>
        <v>2413.1668163185632</v>
      </c>
      <c r="U210" s="20">
        <f t="shared" si="682"/>
        <v>2386.9880888030889</v>
      </c>
      <c r="V210" s="20">
        <f t="shared" si="682"/>
        <v>2583.2334645669293</v>
      </c>
      <c r="W210" s="20">
        <f t="shared" si="682"/>
        <v>2638.7418077983457</v>
      </c>
      <c r="X210" s="20">
        <f t="shared" si="682"/>
        <v>2797.1561019670812</v>
      </c>
      <c r="Y210" s="20">
        <f t="shared" si="682"/>
        <v>2790.5739121468346</v>
      </c>
      <c r="Z210" s="20">
        <f t="shared" si="682"/>
        <v>2948.9903149606303</v>
      </c>
      <c r="AA210" s="20">
        <f t="shared" si="682"/>
        <v>3272.1842556711999</v>
      </c>
      <c r="AB210" s="20">
        <f t="shared" si="682"/>
        <v>3592.7119040372995</v>
      </c>
      <c r="AC210" s="20">
        <f t="shared" si="682"/>
        <v>4091.9282634261072</v>
      </c>
      <c r="AD210" s="20">
        <f t="shared" si="682"/>
        <v>4027.3390519959999</v>
      </c>
      <c r="AE210" s="20">
        <f t="shared" si="682"/>
        <v>4340.4811758360001</v>
      </c>
      <c r="AF210" s="20">
        <f t="shared" si="682"/>
        <v>5317.5848068015994</v>
      </c>
      <c r="AG210" s="20">
        <f t="shared" si="682"/>
        <v>5352.3474723404252</v>
      </c>
      <c r="AH210" s="20">
        <f t="shared" si="682"/>
        <v>5631.2665888270176</v>
      </c>
      <c r="AI210" s="20">
        <f t="shared" si="682"/>
        <v>5369.6002757099532</v>
      </c>
      <c r="AJ210" s="20">
        <f t="shared" si="682"/>
        <v>6256.8525441517086</v>
      </c>
      <c r="AK210" s="20">
        <f t="shared" si="682"/>
        <v>6134.4735403069317</v>
      </c>
      <c r="AL210" s="20">
        <f t="shared" si="682"/>
        <v>6613.9157218169994</v>
      </c>
      <c r="AM210" s="20">
        <f t="shared" si="682"/>
        <v>6595.3567129629628</v>
      </c>
      <c r="AN210" s="20">
        <f t="shared" si="682"/>
        <v>6431.3247777017777</v>
      </c>
      <c r="AO210" s="20">
        <f t="shared" si="682"/>
        <v>6755.756073597714</v>
      </c>
      <c r="AP210" s="20">
        <f t="shared" si="682"/>
        <v>6704.0330601281094</v>
      </c>
      <c r="AQ210" s="20">
        <f t="shared" si="682"/>
        <v>6741.3794274239999</v>
      </c>
      <c r="AR210" s="20">
        <f t="shared" si="682"/>
        <v>7050.0809044244334</v>
      </c>
      <c r="AS210" s="20">
        <f t="shared" si="682"/>
        <v>6839.6466968356808</v>
      </c>
      <c r="AT210" s="20">
        <f t="shared" si="676"/>
        <v>6897.2002174799509</v>
      </c>
      <c r="AU210" s="20">
        <f t="shared" si="676"/>
        <v>6436.1590571701927</v>
      </c>
    </row>
    <row r="211" spans="2:47" ht="13.5" customHeight="1" x14ac:dyDescent="0.35">
      <c r="B211" s="3" t="s">
        <v>354</v>
      </c>
      <c r="C211" s="66">
        <f t="shared" ref="C211:D211" si="683">C208/C206</f>
        <v>1.9322528105108614</v>
      </c>
      <c r="D211" s="66">
        <f t="shared" si="683"/>
        <v>2.488734011614929</v>
      </c>
      <c r="E211" s="66">
        <f t="shared" ref="E211:G211" si="684">E208/E206</f>
        <v>2.2820055846759923</v>
      </c>
      <c r="F211" s="66">
        <f t="shared" si="684"/>
        <v>1.8708771136137949</v>
      </c>
      <c r="G211" s="66">
        <f t="shared" si="684"/>
        <v>2.3692548425713738</v>
      </c>
      <c r="H211" s="66">
        <f t="shared" ref="H211:I211" si="685">H208/H206</f>
        <v>2.9939396477415956</v>
      </c>
      <c r="I211" s="66">
        <f t="shared" si="685"/>
        <v>4.1034841724512887</v>
      </c>
      <c r="J211" s="66">
        <f t="shared" ref="J211:K211" si="686">J208/J206</f>
        <v>4.7231976877944541</v>
      </c>
      <c r="K211" s="66">
        <f t="shared" si="686"/>
        <v>4.6658857279837163</v>
      </c>
      <c r="L211" s="66">
        <f t="shared" ref="L211" si="687">L208/L206</f>
        <v>4.7878569029966522</v>
      </c>
      <c r="M211" s="66"/>
      <c r="N211" s="66"/>
      <c r="O211" s="67"/>
      <c r="P211" s="67"/>
      <c r="Q211" s="67"/>
      <c r="R211" s="66">
        <f t="shared" ref="R211" si="688">R208/R206</f>
        <v>2.2646241355330301</v>
      </c>
      <c r="S211" s="66">
        <f t="shared" ref="S211:Y211" si="689">S208/S206</f>
        <v>2.0502847994234341</v>
      </c>
      <c r="T211" s="66">
        <f t="shared" si="689"/>
        <v>1.9604798751405879</v>
      </c>
      <c r="U211" s="66">
        <f t="shared" si="689"/>
        <v>1.859381906329991</v>
      </c>
      <c r="V211" s="66">
        <f t="shared" si="689"/>
        <v>1.8753836191153073</v>
      </c>
      <c r="W211" s="66">
        <f t="shared" si="689"/>
        <v>1.9677710949806146</v>
      </c>
      <c r="X211" s="66">
        <f t="shared" si="689"/>
        <v>2.0880792778459081</v>
      </c>
      <c r="Y211" s="66">
        <f t="shared" si="689"/>
        <v>2.3452659705952028</v>
      </c>
      <c r="Z211" s="66">
        <f t="shared" ref="Z211:AC211" si="690">Z208/Z206</f>
        <v>2.2850959600612524</v>
      </c>
      <c r="AA211" s="66">
        <f t="shared" si="690"/>
        <v>2.5086163489933138</v>
      </c>
      <c r="AB211" s="66">
        <f t="shared" si="690"/>
        <v>2.6615375819797551</v>
      </c>
      <c r="AC211" s="66">
        <f t="shared" si="690"/>
        <v>2.9136106903122014</v>
      </c>
      <c r="AD211" s="66">
        <f t="shared" ref="AD211:AG211" si="691">AD208/AD206</f>
        <v>2.9918790039877088</v>
      </c>
      <c r="AE211" s="66">
        <f t="shared" si="691"/>
        <v>3.0464038290658828</v>
      </c>
      <c r="AF211" s="66">
        <f t="shared" si="691"/>
        <v>3.6979973428446162</v>
      </c>
      <c r="AG211" s="66">
        <f t="shared" si="691"/>
        <v>3.8048083976590497</v>
      </c>
      <c r="AH211" s="66">
        <f t="shared" ref="AH211:AK211" si="692">AH208/AH206</f>
        <v>4.1251953643772357</v>
      </c>
      <c r="AI211" s="66">
        <f t="shared" si="692"/>
        <v>3.9429704482735755</v>
      </c>
      <c r="AJ211" s="66">
        <f t="shared" si="692"/>
        <v>4.7700072971244332</v>
      </c>
      <c r="AK211" s="66">
        <f t="shared" si="692"/>
        <v>4.5146519882079259</v>
      </c>
      <c r="AL211" s="66">
        <f t="shared" ref="AL211:AO211" si="693">AL208/AL206</f>
        <v>4.7231976877944541</v>
      </c>
      <c r="AM211" s="66">
        <f t="shared" si="693"/>
        <v>4.6883053769588505</v>
      </c>
      <c r="AN211" s="66">
        <f t="shared" si="693"/>
        <v>4.5416417666143483</v>
      </c>
      <c r="AO211" s="66">
        <f t="shared" si="693"/>
        <v>4.7427008216977766</v>
      </c>
      <c r="AP211" s="66">
        <f t="shared" ref="AP211:AS211" si="694">AP208/AP206</f>
        <v>4.6658857279837163</v>
      </c>
      <c r="AQ211" s="66">
        <f t="shared" si="694"/>
        <v>4.7305294829988096</v>
      </c>
      <c r="AR211" s="66">
        <f t="shared" si="694"/>
        <v>4.9282699965432224</v>
      </c>
      <c r="AS211" s="66">
        <f t="shared" si="694"/>
        <v>4.8656687039708046</v>
      </c>
      <c r="AT211" s="66">
        <f>AT208/AT206</f>
        <v>4.7878569029966513</v>
      </c>
      <c r="AU211" s="66">
        <f>AU208/AU206</f>
        <v>4.6178512931628344</v>
      </c>
    </row>
    <row r="212" spans="2:47" ht="13.5" customHeight="1" x14ac:dyDescent="0.35">
      <c r="B212" s="3" t="s">
        <v>355</v>
      </c>
      <c r="C212" s="66">
        <f t="shared" ref="C212:D212" si="695">C210/C206</f>
        <v>1.7674688065556516</v>
      </c>
      <c r="D212" s="66">
        <f t="shared" si="695"/>
        <v>2.2763916138103939</v>
      </c>
      <c r="E212" s="66">
        <f t="shared" ref="E212:G212" si="696">E210/E206</f>
        <v>1.9245597761438809</v>
      </c>
      <c r="F212" s="66">
        <f t="shared" si="696"/>
        <v>1.7596098856892681</v>
      </c>
      <c r="G212" s="66">
        <f t="shared" si="696"/>
        <v>2.096277278865776</v>
      </c>
      <c r="H212" s="66">
        <f t="shared" ref="H212:I212" si="697">H210/H206</f>
        <v>2.6783228647340831</v>
      </c>
      <c r="I212" s="66">
        <f t="shared" si="697"/>
        <v>3.8802701170706442</v>
      </c>
      <c r="J212" s="66">
        <f t="shared" ref="J212:K212" si="698">J210/J206</f>
        <v>4.5179162664673491</v>
      </c>
      <c r="K212" s="66">
        <f t="shared" si="698"/>
        <v>4.4232890870712929</v>
      </c>
      <c r="L212" s="66">
        <f t="shared" ref="L212" si="699">L210/L206</f>
        <v>4.5097889074881214</v>
      </c>
      <c r="M212" s="66"/>
      <c r="N212" s="66"/>
      <c r="O212" s="67"/>
      <c r="P212" s="67"/>
      <c r="Q212" s="67"/>
      <c r="R212" s="66">
        <f t="shared" ref="R212" si="700">R210/R206</f>
        <v>1.9099008997168168</v>
      </c>
      <c r="S212" s="66">
        <f t="shared" ref="S212:Y212" si="701">S210/S206</f>
        <v>1.8107352851512577</v>
      </c>
      <c r="T212" s="66">
        <f t="shared" si="701"/>
        <v>1.7898404392646481</v>
      </c>
      <c r="U212" s="66">
        <f t="shared" si="701"/>
        <v>1.6995275246904904</v>
      </c>
      <c r="V212" s="66">
        <f t="shared" si="701"/>
        <v>1.7638483744562066</v>
      </c>
      <c r="W212" s="66">
        <f t="shared" si="701"/>
        <v>1.7753973901468267</v>
      </c>
      <c r="X212" s="66">
        <f t="shared" si="701"/>
        <v>1.8877884217937113</v>
      </c>
      <c r="Y212" s="66">
        <f t="shared" si="701"/>
        <v>1.8896369324230764</v>
      </c>
      <c r="Z212" s="66">
        <f t="shared" ref="Z212:AC212" si="702">Z210/Z206</f>
        <v>2.0218148993653791</v>
      </c>
      <c r="AA212" s="66">
        <f t="shared" si="702"/>
        <v>2.299107812249634</v>
      </c>
      <c r="AB212" s="66">
        <f t="shared" si="702"/>
        <v>2.4559127477303804</v>
      </c>
      <c r="AC212" s="66">
        <f t="shared" si="702"/>
        <v>2.7464739683445862</v>
      </c>
      <c r="AD212" s="66">
        <f t="shared" ref="AD212:AG212" si="703">AD210/AD206</f>
        <v>2.6764794510613092</v>
      </c>
      <c r="AE212" s="66">
        <f t="shared" si="703"/>
        <v>2.8583230908481911</v>
      </c>
      <c r="AF212" s="66">
        <f t="shared" si="703"/>
        <v>3.5053175285666591</v>
      </c>
      <c r="AG212" s="66">
        <f t="shared" si="703"/>
        <v>3.6383051704581861</v>
      </c>
      <c r="AH212" s="66">
        <f t="shared" ref="AH212:AK212" si="704">AH210/AH206</f>
        <v>3.9008003020782578</v>
      </c>
      <c r="AI212" s="66">
        <f t="shared" si="704"/>
        <v>3.7352733991252403</v>
      </c>
      <c r="AJ212" s="66">
        <f t="shared" si="704"/>
        <v>4.4440995388012965</v>
      </c>
      <c r="AK212" s="66">
        <f t="shared" si="704"/>
        <v>4.3163514929752029</v>
      </c>
      <c r="AL212" s="66">
        <f t="shared" ref="AL212:AO212" si="705">AL210/AL206</f>
        <v>4.5179162664673491</v>
      </c>
      <c r="AM212" s="66">
        <f t="shared" si="705"/>
        <v>4.4828083873431419</v>
      </c>
      <c r="AN212" s="66">
        <f t="shared" si="705"/>
        <v>4.3272485631668101</v>
      </c>
      <c r="AO212" s="66">
        <f t="shared" si="705"/>
        <v>4.4791087557155995</v>
      </c>
      <c r="AP212" s="66">
        <f t="shared" ref="AP212:AS212" si="706">AP210/AP206</f>
        <v>4.4232890870712929</v>
      </c>
      <c r="AQ212" s="66">
        <f t="shared" si="706"/>
        <v>4.5116189668707136</v>
      </c>
      <c r="AR212" s="66">
        <f t="shared" si="706"/>
        <v>4.6995763296107009</v>
      </c>
      <c r="AS212" s="66">
        <f t="shared" si="706"/>
        <v>4.5495108454307251</v>
      </c>
      <c r="AT212" s="66">
        <f>AT210/AT206</f>
        <v>4.5097889074881206</v>
      </c>
      <c r="AU212" s="66">
        <f>AU210/AU206</f>
        <v>4.1656986511014056</v>
      </c>
    </row>
    <row r="213" spans="2:47" ht="13.5" customHeight="1" x14ac:dyDescent="0.35"/>
    <row r="214" spans="2:47" ht="13.5" customHeight="1" x14ac:dyDescent="0.35">
      <c r="B214" s="6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3"/>
      <c r="N214" s="239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  <c r="AR214" s="82"/>
      <c r="AS214" s="82"/>
      <c r="AT214" s="82"/>
      <c r="AU214" s="82"/>
    </row>
    <row r="215" spans="2:47" s="6" customFormat="1" ht="21" x14ac:dyDescent="0.5">
      <c r="B215" s="70" t="s">
        <v>356</v>
      </c>
      <c r="C215" s="62">
        <f>C203</f>
        <v>42735</v>
      </c>
      <c r="D215" s="62">
        <f t="shared" ref="D215:F216" si="707">D203</f>
        <v>43100</v>
      </c>
      <c r="E215" s="62">
        <f t="shared" si="707"/>
        <v>43465</v>
      </c>
      <c r="F215" s="62">
        <f t="shared" si="707"/>
        <v>43830</v>
      </c>
      <c r="G215" s="62">
        <f t="shared" ref="G215:H215" si="708">G203</f>
        <v>44196</v>
      </c>
      <c r="H215" s="62">
        <f t="shared" si="708"/>
        <v>44561</v>
      </c>
      <c r="I215" s="62">
        <f t="shared" ref="I215:J215" si="709">I203</f>
        <v>44926</v>
      </c>
      <c r="J215" s="62">
        <f t="shared" si="709"/>
        <v>45291</v>
      </c>
      <c r="K215" s="62">
        <f t="shared" ref="K215:L215" si="710">K203</f>
        <v>45657</v>
      </c>
      <c r="L215" s="62">
        <f t="shared" si="710"/>
        <v>46022</v>
      </c>
      <c r="M215" s="62"/>
      <c r="N215" s="413"/>
      <c r="O215" s="62">
        <f t="shared" ref="O215:W216" si="711">O203</f>
        <v>43190</v>
      </c>
      <c r="P215" s="62">
        <f t="shared" si="711"/>
        <v>43281</v>
      </c>
      <c r="Q215" s="62">
        <f t="shared" si="711"/>
        <v>43373</v>
      </c>
      <c r="R215" s="62">
        <f t="shared" si="711"/>
        <v>43465</v>
      </c>
      <c r="S215" s="62">
        <f t="shared" si="711"/>
        <v>43555</v>
      </c>
      <c r="T215" s="62">
        <f t="shared" si="711"/>
        <v>43646</v>
      </c>
      <c r="U215" s="62">
        <f t="shared" si="711"/>
        <v>43738</v>
      </c>
      <c r="V215" s="62">
        <f t="shared" si="711"/>
        <v>43830</v>
      </c>
      <c r="W215" s="62">
        <f t="shared" si="711"/>
        <v>43921</v>
      </c>
      <c r="X215" s="62">
        <f t="shared" ref="X215:AA215" si="712">X203</f>
        <v>44012</v>
      </c>
      <c r="Y215" s="62">
        <f t="shared" si="712"/>
        <v>44104</v>
      </c>
      <c r="Z215" s="62">
        <f t="shared" si="712"/>
        <v>44196</v>
      </c>
      <c r="AA215" s="62">
        <f t="shared" si="712"/>
        <v>44286</v>
      </c>
      <c r="AB215" s="62">
        <f t="shared" ref="AB215:AE215" si="713">AB203</f>
        <v>44377</v>
      </c>
      <c r="AC215" s="62">
        <f t="shared" si="713"/>
        <v>44469</v>
      </c>
      <c r="AD215" s="62">
        <f t="shared" si="713"/>
        <v>44561</v>
      </c>
      <c r="AE215" s="62">
        <f t="shared" si="713"/>
        <v>44651</v>
      </c>
      <c r="AF215" s="62">
        <f t="shared" ref="AF215:AI215" si="714">AF203</f>
        <v>44742</v>
      </c>
      <c r="AG215" s="62">
        <f t="shared" si="714"/>
        <v>44834</v>
      </c>
      <c r="AH215" s="62">
        <f t="shared" si="714"/>
        <v>44926</v>
      </c>
      <c r="AI215" s="62">
        <f t="shared" si="714"/>
        <v>45016</v>
      </c>
      <c r="AJ215" s="62">
        <f t="shared" ref="AJ215:AM215" si="715">AJ203</f>
        <v>45107</v>
      </c>
      <c r="AK215" s="62">
        <f t="shared" si="715"/>
        <v>45199</v>
      </c>
      <c r="AL215" s="62">
        <f t="shared" si="715"/>
        <v>45291</v>
      </c>
      <c r="AM215" s="62">
        <f t="shared" si="715"/>
        <v>45382</v>
      </c>
      <c r="AN215" s="62">
        <f t="shared" ref="AN215:AQ215" si="716">AN203</f>
        <v>45473</v>
      </c>
      <c r="AO215" s="62">
        <f t="shared" si="716"/>
        <v>45565</v>
      </c>
      <c r="AP215" s="62">
        <f t="shared" si="716"/>
        <v>45657</v>
      </c>
      <c r="AQ215" s="62">
        <f t="shared" si="716"/>
        <v>45747</v>
      </c>
      <c r="AR215" s="62">
        <f t="shared" ref="AR215:AU215" si="717">AR203</f>
        <v>45838</v>
      </c>
      <c r="AS215" s="62">
        <f t="shared" si="717"/>
        <v>45930</v>
      </c>
      <c r="AT215" s="62">
        <f t="shared" si="717"/>
        <v>46022</v>
      </c>
      <c r="AU215" s="62">
        <f t="shared" si="717"/>
        <v>46112</v>
      </c>
    </row>
    <row r="216" spans="2:47" s="6" customFormat="1" ht="13.5" customHeight="1" x14ac:dyDescent="0.3">
      <c r="B216" s="10" t="s">
        <v>362</v>
      </c>
      <c r="C216" s="63" t="str">
        <f>C204</f>
        <v>Act</v>
      </c>
      <c r="D216" s="63" t="str">
        <f t="shared" si="707"/>
        <v>Act</v>
      </c>
      <c r="E216" s="63" t="str">
        <f t="shared" si="707"/>
        <v>Act</v>
      </c>
      <c r="F216" s="63" t="str">
        <f t="shared" si="707"/>
        <v>Act</v>
      </c>
      <c r="G216" s="63" t="str">
        <f t="shared" ref="G216:H216" si="718">G204</f>
        <v>Act</v>
      </c>
      <c r="H216" s="63" t="str">
        <f t="shared" si="718"/>
        <v>Act</v>
      </c>
      <c r="I216" s="63" t="str">
        <f t="shared" ref="I216:J216" si="719">I204</f>
        <v>Act</v>
      </c>
      <c r="J216" s="63" t="str">
        <f t="shared" si="719"/>
        <v>Act</v>
      </c>
      <c r="K216" s="63" t="str">
        <f t="shared" ref="K216:L216" si="720">K204</f>
        <v>Act</v>
      </c>
      <c r="L216" s="63" t="str">
        <f t="shared" si="720"/>
        <v>Act</v>
      </c>
      <c r="M216" s="63"/>
      <c r="O216" s="63" t="str">
        <f t="shared" si="711"/>
        <v>Act</v>
      </c>
      <c r="P216" s="63" t="str">
        <f t="shared" si="711"/>
        <v>Act</v>
      </c>
      <c r="Q216" s="63" t="str">
        <f t="shared" si="711"/>
        <v>Act</v>
      </c>
      <c r="R216" s="63" t="str">
        <f t="shared" si="711"/>
        <v>Act</v>
      </c>
      <c r="S216" s="63" t="str">
        <f t="shared" si="711"/>
        <v>Act</v>
      </c>
      <c r="T216" s="63" t="str">
        <f t="shared" si="711"/>
        <v>Act</v>
      </c>
      <c r="U216" s="63" t="str">
        <f t="shared" si="711"/>
        <v>Act</v>
      </c>
      <c r="V216" s="63" t="str">
        <f t="shared" si="711"/>
        <v>Act</v>
      </c>
      <c r="W216" s="63" t="str">
        <f t="shared" si="711"/>
        <v>Act</v>
      </c>
      <c r="X216" s="63" t="str">
        <f t="shared" ref="X216:AA216" si="721">X204</f>
        <v>Act</v>
      </c>
      <c r="Y216" s="63" t="str">
        <f t="shared" si="721"/>
        <v>Act</v>
      </c>
      <c r="Z216" s="63" t="str">
        <f t="shared" si="721"/>
        <v>Act</v>
      </c>
      <c r="AA216" s="63" t="str">
        <f t="shared" si="721"/>
        <v>Act</v>
      </c>
      <c r="AB216" s="63" t="str">
        <f t="shared" ref="AB216:AE216" si="722">AB204</f>
        <v>Act</v>
      </c>
      <c r="AC216" s="63" t="str">
        <f t="shared" si="722"/>
        <v>Act</v>
      </c>
      <c r="AD216" s="63" t="str">
        <f t="shared" si="722"/>
        <v>Act</v>
      </c>
      <c r="AE216" s="63" t="str">
        <f t="shared" si="722"/>
        <v>Act</v>
      </c>
      <c r="AF216" s="63" t="str">
        <f t="shared" ref="AF216:AI216" si="723">AF204</f>
        <v>Act</v>
      </c>
      <c r="AG216" s="63" t="str">
        <f t="shared" si="723"/>
        <v>Act</v>
      </c>
      <c r="AH216" s="63" t="str">
        <f t="shared" si="723"/>
        <v>Act</v>
      </c>
      <c r="AI216" s="63" t="str">
        <f t="shared" si="723"/>
        <v>Act</v>
      </c>
      <c r="AJ216" s="63" t="str">
        <f t="shared" ref="AJ216:AM216" si="724">AJ204</f>
        <v>Act</v>
      </c>
      <c r="AK216" s="63" t="str">
        <f t="shared" si="724"/>
        <v>Act</v>
      </c>
      <c r="AL216" s="63" t="str">
        <f t="shared" si="724"/>
        <v>Act</v>
      </c>
      <c r="AM216" s="63" t="str">
        <f t="shared" si="724"/>
        <v>Act</v>
      </c>
      <c r="AN216" s="63" t="str">
        <f t="shared" ref="AN216:AQ216" si="725">AN204</f>
        <v>Act</v>
      </c>
      <c r="AO216" s="63" t="str">
        <f t="shared" si="725"/>
        <v>Act</v>
      </c>
      <c r="AP216" s="63" t="str">
        <f t="shared" si="725"/>
        <v>Act</v>
      </c>
      <c r="AQ216" s="63" t="str">
        <f t="shared" si="725"/>
        <v>Act</v>
      </c>
      <c r="AR216" s="63" t="str">
        <f t="shared" ref="AR216:AU216" si="726">AR204</f>
        <v>Act</v>
      </c>
      <c r="AS216" s="63" t="str">
        <f t="shared" si="726"/>
        <v>Act</v>
      </c>
      <c r="AT216" s="63" t="str">
        <f t="shared" si="726"/>
        <v>Act</v>
      </c>
      <c r="AU216" s="63" t="str">
        <f t="shared" si="726"/>
        <v>Act</v>
      </c>
    </row>
    <row r="217" spans="2:47" s="6" customFormat="1" ht="13.5" customHeight="1" x14ac:dyDescent="0.3"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</row>
    <row r="218" spans="2:47" s="6" customFormat="1" ht="13.5" customHeight="1" x14ac:dyDescent="0.3">
      <c r="B218" s="6" t="str">
        <f>B160</f>
        <v xml:space="preserve">Sales </v>
      </c>
      <c r="C218" s="71">
        <f t="shared" ref="C218:M218" si="727">C160/C$200</f>
        <v>2670.2118786857627</v>
      </c>
      <c r="D218" s="71">
        <f t="shared" si="727"/>
        <v>2683.6090259869075</v>
      </c>
      <c r="E218" s="71">
        <f t="shared" si="727"/>
        <v>2869.6432422171597</v>
      </c>
      <c r="F218" s="71">
        <f t="shared" si="727"/>
        <v>3218.0022591233828</v>
      </c>
      <c r="G218" s="71">
        <f t="shared" si="727"/>
        <v>3247.8722476122243</v>
      </c>
      <c r="H218" s="71">
        <f t="shared" si="727"/>
        <v>3381.7178359644713</v>
      </c>
      <c r="I218" s="71">
        <f t="shared" si="727"/>
        <v>3211.8153177122513</v>
      </c>
      <c r="J218" s="71">
        <f t="shared" si="727"/>
        <v>3239.086242853547</v>
      </c>
      <c r="K218" s="71">
        <f t="shared" si="727"/>
        <v>3152.7308754915612</v>
      </c>
      <c r="L218" s="71">
        <f t="shared" ref="L218" si="728">L160/L$200</f>
        <v>3110.976795003985</v>
      </c>
      <c r="M218" s="71"/>
      <c r="N218" s="71"/>
      <c r="O218" s="71">
        <f t="shared" ref="O218:AS218" si="729">O160/O$200</f>
        <v>717.93247813411062</v>
      </c>
      <c r="P218" s="71">
        <f t="shared" si="729"/>
        <v>722.147458606084</v>
      </c>
      <c r="Q218" s="71">
        <f t="shared" si="729"/>
        <v>707.74834285714292</v>
      </c>
      <c r="R218" s="71">
        <f t="shared" si="729"/>
        <v>743.44862376702656</v>
      </c>
      <c r="S218" s="71">
        <f t="shared" si="729"/>
        <v>775.94170326522817</v>
      </c>
      <c r="T218" s="71">
        <f t="shared" si="729"/>
        <v>782.93663347376491</v>
      </c>
      <c r="U218" s="71">
        <f t="shared" si="729"/>
        <v>804.93558117195016</v>
      </c>
      <c r="V218" s="71">
        <f t="shared" si="729"/>
        <v>847.5748642662536</v>
      </c>
      <c r="W218" s="71">
        <f t="shared" si="729"/>
        <v>810.37481802085381</v>
      </c>
      <c r="X218" s="71">
        <f t="shared" si="729"/>
        <v>740.16875860712173</v>
      </c>
      <c r="Y218" s="71">
        <f t="shared" si="729"/>
        <v>833.58293131643495</v>
      </c>
      <c r="Z218" s="71">
        <f t="shared" si="729"/>
        <v>802.18222622944359</v>
      </c>
      <c r="AA218" s="71">
        <f t="shared" si="729"/>
        <v>862.3247266236317</v>
      </c>
      <c r="AB218" s="71">
        <f t="shared" si="729"/>
        <v>855.1245027418687</v>
      </c>
      <c r="AC218" s="71">
        <f t="shared" si="729"/>
        <v>837.79593340521262</v>
      </c>
      <c r="AD218" s="71">
        <f t="shared" si="729"/>
        <v>829.47582199952592</v>
      </c>
      <c r="AE218" s="71">
        <f t="shared" si="729"/>
        <v>845.07094396341654</v>
      </c>
      <c r="AF218" s="71">
        <f t="shared" si="729"/>
        <v>817.9819884911301</v>
      </c>
      <c r="AG218" s="71">
        <f t="shared" si="729"/>
        <v>753.87061867989667</v>
      </c>
      <c r="AH218" s="71">
        <f t="shared" si="729"/>
        <v>783.56777913681606</v>
      </c>
      <c r="AI218" s="71">
        <f t="shared" si="729"/>
        <v>821.30130590209376</v>
      </c>
      <c r="AJ218" s="71">
        <f t="shared" si="729"/>
        <v>799.84845761127497</v>
      </c>
      <c r="AK218" s="71">
        <f t="shared" si="729"/>
        <v>790.72815447270648</v>
      </c>
      <c r="AL218" s="71">
        <f t="shared" si="729"/>
        <v>827.36318869540389</v>
      </c>
      <c r="AM218" s="71">
        <f t="shared" si="729"/>
        <v>809.68640205872362</v>
      </c>
      <c r="AN218" s="71">
        <f t="shared" si="729"/>
        <v>766.6216506080367</v>
      </c>
      <c r="AO218" s="71">
        <f t="shared" si="729"/>
        <v>788.98574826006359</v>
      </c>
      <c r="AP218" s="71">
        <f t="shared" si="729"/>
        <v>788.13492650219212</v>
      </c>
      <c r="AQ218" s="71">
        <f t="shared" si="729"/>
        <v>758.81191529171895</v>
      </c>
      <c r="AR218" s="71">
        <f t="shared" si="729"/>
        <v>772.55317409540066</v>
      </c>
      <c r="AS218" s="71">
        <f t="shared" si="729"/>
        <v>777.25138842656656</v>
      </c>
      <c r="AT218" s="71">
        <f>AT160/AT$200</f>
        <v>802.01855067480415</v>
      </c>
      <c r="AU218" s="71">
        <f>AU160/AU$200</f>
        <v>774.75128400711924</v>
      </c>
    </row>
    <row r="219" spans="2:47" s="16" customFormat="1" ht="13.5" customHeight="1" x14ac:dyDescent="0.3">
      <c r="B219" s="31" t="str">
        <f>B161</f>
        <v xml:space="preserve">% growth </v>
      </c>
      <c r="C219" s="72"/>
      <c r="D219" s="72">
        <f t="shared" ref="D219:L219" si="730">D218/C218-1</f>
        <v>5.0172600189835048E-3</v>
      </c>
      <c r="E219" s="72">
        <f t="shared" si="730"/>
        <v>6.9322399212693675E-2</v>
      </c>
      <c r="F219" s="72">
        <f t="shared" si="730"/>
        <v>0.12139453845038672</v>
      </c>
      <c r="G219" s="72">
        <f t="shared" si="730"/>
        <v>9.2821527406194981E-3</v>
      </c>
      <c r="H219" s="72">
        <f t="shared" si="730"/>
        <v>4.12102380106385E-2</v>
      </c>
      <c r="I219" s="72">
        <f t="shared" si="730"/>
        <v>-5.0241482729668219E-2</v>
      </c>
      <c r="J219" s="72">
        <f t="shared" si="730"/>
        <v>8.4908135878498658E-3</v>
      </c>
      <c r="K219" s="72">
        <f t="shared" si="730"/>
        <v>-2.6660410031536852E-2</v>
      </c>
      <c r="L219" s="72">
        <f t="shared" si="730"/>
        <v>-1.3243782021535866E-2</v>
      </c>
      <c r="M219" s="18"/>
      <c r="N219" s="235"/>
      <c r="O219" s="72"/>
      <c r="P219" s="72"/>
      <c r="Q219" s="72"/>
      <c r="R219" s="72"/>
      <c r="S219" s="72">
        <f t="shared" ref="S219:Z219" si="731">+S218/O218-1</f>
        <v>8.0800391259470805E-2</v>
      </c>
      <c r="T219" s="72">
        <f t="shared" si="731"/>
        <v>8.4178340785161065E-2</v>
      </c>
      <c r="U219" s="72">
        <f t="shared" si="731"/>
        <v>0.13731892034175242</v>
      </c>
      <c r="V219" s="72">
        <f t="shared" si="731"/>
        <v>0.1400584212149365</v>
      </c>
      <c r="W219" s="72">
        <f t="shared" si="731"/>
        <v>4.4375904286015455E-2</v>
      </c>
      <c r="X219" s="72">
        <f t="shared" si="731"/>
        <v>-5.4624950523631699E-2</v>
      </c>
      <c r="Y219" s="72">
        <f t="shared" si="731"/>
        <v>3.5589618367690479E-2</v>
      </c>
      <c r="Z219" s="72">
        <f t="shared" si="731"/>
        <v>-5.3555903968561469E-2</v>
      </c>
      <c r="AA219" s="72">
        <f t="shared" ref="AA219" si="732">+AA218/W218-1</f>
        <v>6.4106025320052717E-2</v>
      </c>
      <c r="AB219" s="72">
        <f t="shared" ref="AB219:AU219" si="733">+AB218/X218-1</f>
        <v>0.1553101813579314</v>
      </c>
      <c r="AC219" s="72">
        <f t="shared" si="733"/>
        <v>5.0540887181127481E-3</v>
      </c>
      <c r="AD219" s="72">
        <f t="shared" si="733"/>
        <v>3.4024184128801371E-2</v>
      </c>
      <c r="AE219" s="72">
        <f t="shared" si="733"/>
        <v>-2.0008451720700426E-2</v>
      </c>
      <c r="AF219" s="72">
        <f t="shared" si="733"/>
        <v>-4.3435212219559816E-2</v>
      </c>
      <c r="AG219" s="72">
        <f t="shared" si="733"/>
        <v>-0.10017393422310183</v>
      </c>
      <c r="AH219" s="72">
        <f t="shared" si="733"/>
        <v>-5.5345848118929397E-2</v>
      </c>
      <c r="AI219" s="72">
        <f t="shared" si="733"/>
        <v>-2.8127387683976268E-2</v>
      </c>
      <c r="AJ219" s="72">
        <f t="shared" si="733"/>
        <v>-2.216861878988885E-2</v>
      </c>
      <c r="AK219" s="72">
        <f t="shared" si="733"/>
        <v>4.8891062842256749E-2</v>
      </c>
      <c r="AL219" s="72">
        <f t="shared" si="733"/>
        <v>5.5892305330412118E-2</v>
      </c>
      <c r="AM219" s="72">
        <f t="shared" si="733"/>
        <v>-1.4142073998789861E-2</v>
      </c>
      <c r="AN219" s="72">
        <f t="shared" si="733"/>
        <v>-4.1541377853586359E-2</v>
      </c>
      <c r="AO219" s="72">
        <f t="shared" si="733"/>
        <v>-2.2035464436002128E-3</v>
      </c>
      <c r="AP219" s="72">
        <f t="shared" si="733"/>
        <v>-4.7413593847542734E-2</v>
      </c>
      <c r="AQ219" s="72">
        <f t="shared" si="733"/>
        <v>-6.2832334392241562E-2</v>
      </c>
      <c r="AR219" s="72">
        <f t="shared" si="733"/>
        <v>7.7372240696038652E-3</v>
      </c>
      <c r="AS219" s="72">
        <f t="shared" si="733"/>
        <v>-1.4872714569781009E-2</v>
      </c>
      <c r="AT219" s="72">
        <f t="shared" si="733"/>
        <v>1.7615796110227899E-2</v>
      </c>
      <c r="AU219" s="72">
        <f t="shared" si="733"/>
        <v>2.1005691126071202E-2</v>
      </c>
    </row>
    <row r="220" spans="2:47" s="6" customFormat="1" ht="13.5" customHeight="1" thickBot="1" x14ac:dyDescent="0.35">
      <c r="B220" s="73" t="str">
        <f>B162</f>
        <v xml:space="preserve">Adj. EBITDA </v>
      </c>
      <c r="C220" s="74">
        <f t="shared" ref="C220:M220" si="734">C162/C$200</f>
        <v>1052.6199663016007</v>
      </c>
      <c r="D220" s="74">
        <f t="shared" si="734"/>
        <v>1057.8391390597105</v>
      </c>
      <c r="E220" s="74">
        <f t="shared" si="734"/>
        <v>1236.277809415338</v>
      </c>
      <c r="F220" s="74">
        <f t="shared" si="734"/>
        <v>1468.0716933771</v>
      </c>
      <c r="G220" s="74">
        <f t="shared" si="734"/>
        <v>1487.4122781954968</v>
      </c>
      <c r="H220" s="74">
        <f t="shared" si="734"/>
        <v>1503.6794499366131</v>
      </c>
      <c r="I220" s="74">
        <f t="shared" si="734"/>
        <v>1451.2563349786235</v>
      </c>
      <c r="J220" s="74">
        <f t="shared" si="734"/>
        <v>1463.930567041818</v>
      </c>
      <c r="K220" s="74">
        <f t="shared" si="734"/>
        <v>1515.6217303822939</v>
      </c>
      <c r="L220" s="74">
        <f t="shared" ref="L220" si="735">L162/L$200</f>
        <v>1529.3842702987131</v>
      </c>
      <c r="M220" s="74"/>
      <c r="N220" s="71"/>
      <c r="O220" s="74">
        <f t="shared" ref="O220:AS220" si="736">O162/O$200</f>
        <v>312.53020408163263</v>
      </c>
      <c r="P220" s="74">
        <f t="shared" si="736"/>
        <v>322.2837119753562</v>
      </c>
      <c r="Q220" s="74">
        <f t="shared" si="736"/>
        <v>313.82548571428566</v>
      </c>
      <c r="R220" s="74">
        <f t="shared" si="736"/>
        <v>297.4576232973227</v>
      </c>
      <c r="S220" s="74">
        <f t="shared" si="736"/>
        <v>380.35808669085355</v>
      </c>
      <c r="T220" s="74">
        <f t="shared" si="736"/>
        <v>357.37937571811563</v>
      </c>
      <c r="U220" s="74">
        <f t="shared" si="736"/>
        <v>370.31727185398654</v>
      </c>
      <c r="V220" s="74">
        <f t="shared" si="736"/>
        <v>356.23424606519171</v>
      </c>
      <c r="W220" s="74">
        <f t="shared" si="736"/>
        <v>402.8266378123156</v>
      </c>
      <c r="X220" s="74">
        <f t="shared" si="736"/>
        <v>352.38786149911471</v>
      </c>
      <c r="Y220" s="74">
        <f t="shared" si="736"/>
        <v>365.22822976287807</v>
      </c>
      <c r="Z220" s="74">
        <f t="shared" si="736"/>
        <v>338.26294125717868</v>
      </c>
      <c r="AA220" s="74">
        <f t="shared" si="736"/>
        <v>368.05615835125769</v>
      </c>
      <c r="AB220" s="74">
        <f t="shared" si="736"/>
        <v>392.65051295412934</v>
      </c>
      <c r="AC220" s="74">
        <f t="shared" si="736"/>
        <v>392.21611847397435</v>
      </c>
      <c r="AD220" s="74">
        <f t="shared" si="736"/>
        <v>352.74784919569947</v>
      </c>
      <c r="AE220" s="74">
        <f t="shared" si="736"/>
        <v>381.82911697618039</v>
      </c>
      <c r="AF220" s="74">
        <f t="shared" si="736"/>
        <v>389.98082912821667</v>
      </c>
      <c r="AG220" s="74">
        <f t="shared" si="736"/>
        <v>347.64538418495715</v>
      </c>
      <c r="AH220" s="74">
        <f t="shared" si="736"/>
        <v>328.05313646688796</v>
      </c>
      <c r="AI220" s="74">
        <f t="shared" si="736"/>
        <v>374.40906106369005</v>
      </c>
      <c r="AJ220" s="74">
        <f t="shared" si="736"/>
        <v>358.90199180268928</v>
      </c>
      <c r="AK220" s="74">
        <f t="shared" si="736"/>
        <v>360.8770184338382</v>
      </c>
      <c r="AL220" s="74">
        <f t="shared" si="736"/>
        <v>369.86702469312019</v>
      </c>
      <c r="AM220" s="74">
        <f t="shared" si="736"/>
        <v>381.55712422038351</v>
      </c>
      <c r="AN220" s="74">
        <f t="shared" si="736"/>
        <v>373.86912072514662</v>
      </c>
      <c r="AO220" s="74">
        <f t="shared" si="736"/>
        <v>382.97600811387406</v>
      </c>
      <c r="AP220" s="74">
        <f t="shared" si="736"/>
        <v>377.35782687183018</v>
      </c>
      <c r="AQ220" s="74">
        <f t="shared" si="736"/>
        <v>360.06741106358709</v>
      </c>
      <c r="AR220" s="74">
        <f t="shared" si="736"/>
        <v>379.91474728087007</v>
      </c>
      <c r="AS220" s="74">
        <f t="shared" si="736"/>
        <v>386.2312759508751</v>
      </c>
      <c r="AT220" s="74">
        <f>AT162/AT$200</f>
        <v>402.97195908192242</v>
      </c>
      <c r="AU220" s="74">
        <f>AU162/AU$200</f>
        <v>375.86008983812189</v>
      </c>
    </row>
    <row r="221" spans="2:47" s="16" customFormat="1" ht="13.5" customHeight="1" thickTop="1" x14ac:dyDescent="0.3">
      <c r="B221" s="31" t="str">
        <f>B163</f>
        <v xml:space="preserve">% growth </v>
      </c>
      <c r="C221" s="72"/>
      <c r="D221" s="72">
        <f t="shared" ref="D221:L221" si="737">D220/C220-1</f>
        <v>4.9582688198928082E-3</v>
      </c>
      <c r="E221" s="72">
        <f t="shared" si="737"/>
        <v>0.16868223510262403</v>
      </c>
      <c r="F221" s="72">
        <f t="shared" si="737"/>
        <v>0.1874933628966311</v>
      </c>
      <c r="G221" s="72">
        <f t="shared" si="737"/>
        <v>1.3174141907134285E-2</v>
      </c>
      <c r="H221" s="72">
        <f t="shared" si="737"/>
        <v>1.0936558733299684E-2</v>
      </c>
      <c r="I221" s="72">
        <f t="shared" si="737"/>
        <v>-3.4863224978036067E-2</v>
      </c>
      <c r="J221" s="72">
        <f t="shared" si="737"/>
        <v>8.7332828513586591E-3</v>
      </c>
      <c r="K221" s="72">
        <f t="shared" si="737"/>
        <v>3.530984631663836E-2</v>
      </c>
      <c r="L221" s="72">
        <f t="shared" si="737"/>
        <v>9.080458296772953E-3</v>
      </c>
      <c r="M221" s="18"/>
      <c r="N221" s="235"/>
      <c r="O221" s="72"/>
      <c r="P221" s="72"/>
      <c r="Q221" s="72"/>
      <c r="R221" s="72"/>
      <c r="S221" s="72">
        <f t="shared" ref="S221:Z221" si="738">+S220/O220-1</f>
        <v>0.21702824790497477</v>
      </c>
      <c r="T221" s="72">
        <f t="shared" si="738"/>
        <v>0.10889679632783622</v>
      </c>
      <c r="U221" s="72">
        <f t="shared" si="738"/>
        <v>0.18001019264296581</v>
      </c>
      <c r="V221" s="72">
        <f t="shared" si="738"/>
        <v>0.19759662608854733</v>
      </c>
      <c r="W221" s="72">
        <f t="shared" si="738"/>
        <v>5.9072100495983326E-2</v>
      </c>
      <c r="X221" s="72">
        <f t="shared" si="738"/>
        <v>-1.3966990145894642E-2</v>
      </c>
      <c r="Y221" s="72">
        <f t="shared" si="738"/>
        <v>-1.3742383836514716E-2</v>
      </c>
      <c r="Z221" s="72">
        <f t="shared" si="738"/>
        <v>-5.0447998771921077E-2</v>
      </c>
      <c r="AA221" s="72">
        <f t="shared" ref="AA221" si="739">+AA220/W220-1</f>
        <v>-8.6316236805715207E-2</v>
      </c>
      <c r="AB221" s="72">
        <f t="shared" ref="AB221:AU221" si="740">+AB220/X220-1</f>
        <v>0.11425663552578347</v>
      </c>
      <c r="AC221" s="72">
        <f t="shared" si="740"/>
        <v>7.3893216656932603E-2</v>
      </c>
      <c r="AD221" s="72">
        <f t="shared" si="740"/>
        <v>4.2821445011642645E-2</v>
      </c>
      <c r="AE221" s="72">
        <f t="shared" si="740"/>
        <v>3.7420807429550784E-2</v>
      </c>
      <c r="AF221" s="72">
        <f t="shared" si="740"/>
        <v>-6.7991349503840892E-3</v>
      </c>
      <c r="AG221" s="72">
        <f t="shared" si="740"/>
        <v>-0.11363820146513104</v>
      </c>
      <c r="AH221" s="72">
        <f t="shared" si="740"/>
        <v>-7.0006699644286852E-2</v>
      </c>
      <c r="AI221" s="72">
        <f t="shared" si="740"/>
        <v>-1.9432923217726272E-2</v>
      </c>
      <c r="AJ221" s="72">
        <f t="shared" si="740"/>
        <v>-7.9693243883302234E-2</v>
      </c>
      <c r="AK221" s="72">
        <f t="shared" si="740"/>
        <v>3.8060721789539009E-2</v>
      </c>
      <c r="AL221" s="72">
        <f t="shared" si="740"/>
        <v>0.12746071772568679</v>
      </c>
      <c r="AM221" s="72">
        <f t="shared" si="740"/>
        <v>1.909158698346114E-2</v>
      </c>
      <c r="AN221" s="72">
        <f t="shared" si="740"/>
        <v>4.1702551850661518E-2</v>
      </c>
      <c r="AO221" s="72">
        <f t="shared" si="740"/>
        <v>6.123689941782029E-2</v>
      </c>
      <c r="AP221" s="72">
        <f t="shared" si="740"/>
        <v>2.0252689963170312E-2</v>
      </c>
      <c r="AQ221" s="72">
        <f t="shared" si="740"/>
        <v>-5.6321090061429935E-2</v>
      </c>
      <c r="AR221" s="72">
        <f t="shared" si="740"/>
        <v>1.6170435643354297E-2</v>
      </c>
      <c r="AS221" s="72">
        <f t="shared" si="740"/>
        <v>8.499926282674819E-3</v>
      </c>
      <c r="AT221" s="72">
        <f t="shared" si="740"/>
        <v>6.7877569739111632E-2</v>
      </c>
      <c r="AU221" s="72">
        <f t="shared" si="740"/>
        <v>4.3860339173394047E-2</v>
      </c>
    </row>
    <row r="222" spans="2:47" s="16" customFormat="1" ht="13.5" customHeight="1" x14ac:dyDescent="0.3">
      <c r="B222" s="31" t="str">
        <f>B164</f>
        <v>% margin</v>
      </c>
      <c r="C222" s="72">
        <f t="shared" ref="C222:G222" si="741">+C220/C218</f>
        <v>0.39420840522201711</v>
      </c>
      <c r="D222" s="72">
        <f t="shared" si="741"/>
        <v>0.3941852664885438</v>
      </c>
      <c r="E222" s="72">
        <f t="shared" si="741"/>
        <v>0.43081237110859749</v>
      </c>
      <c r="F222" s="72">
        <f t="shared" si="741"/>
        <v>0.45620592378857372</v>
      </c>
      <c r="G222" s="72">
        <f t="shared" si="741"/>
        <v>0.45796514296059976</v>
      </c>
      <c r="H222" s="72">
        <f t="shared" ref="H222:I222" si="742">+H220/H218</f>
        <v>0.44464959020088124</v>
      </c>
      <c r="I222" s="72">
        <f t="shared" si="742"/>
        <v>0.45184924767478257</v>
      </c>
      <c r="J222" s="72">
        <f t="shared" ref="J222:K222" si="743">+J220/J218</f>
        <v>0.45195788481140747</v>
      </c>
      <c r="K222" s="72">
        <f t="shared" si="743"/>
        <v>0.48073298680972387</v>
      </c>
      <c r="L222" s="72">
        <f t="shared" ref="L222" si="744">+L220/L218</f>
        <v>0.49160902542082574</v>
      </c>
      <c r="M222" s="72"/>
      <c r="N222" s="237"/>
      <c r="O222" s="72">
        <f t="shared" ref="O222:R222" si="745">+O220/O218</f>
        <v>0.43531977393457832</v>
      </c>
      <c r="P222" s="72">
        <f t="shared" si="745"/>
        <v>0.44628518474251816</v>
      </c>
      <c r="Q222" s="72">
        <f t="shared" si="745"/>
        <v>0.44341394632926817</v>
      </c>
      <c r="R222" s="72">
        <f t="shared" si="745"/>
        <v>0.40010515022560128</v>
      </c>
      <c r="S222" s="72">
        <f t="shared" ref="S222:Y222" si="746">+S220/S218</f>
        <v>0.49018899885168515</v>
      </c>
      <c r="T222" s="72">
        <f t="shared" si="746"/>
        <v>0.45646015327253286</v>
      </c>
      <c r="U222" s="72">
        <f t="shared" si="746"/>
        <v>0.46005827114117775</v>
      </c>
      <c r="V222" s="72">
        <f t="shared" si="746"/>
        <v>0.42029826636445156</v>
      </c>
      <c r="W222" s="72">
        <f t="shared" si="746"/>
        <v>0.4970868156985962</v>
      </c>
      <c r="X222" s="72">
        <f t="shared" si="746"/>
        <v>0.47609123919557461</v>
      </c>
      <c r="Y222" s="72">
        <f t="shared" si="746"/>
        <v>0.43814264429106264</v>
      </c>
      <c r="Z222" s="72">
        <f t="shared" ref="Z222:AC222" si="747">+Z220/Z218</f>
        <v>0.42167842941016154</v>
      </c>
      <c r="AA222" s="72">
        <f t="shared" si="747"/>
        <v>0.42681851394004922</v>
      </c>
      <c r="AB222" s="72">
        <f t="shared" si="747"/>
        <v>0.45917350244921751</v>
      </c>
      <c r="AC222" s="72">
        <f t="shared" si="747"/>
        <v>0.46815233022177144</v>
      </c>
      <c r="AD222" s="72">
        <f t="shared" ref="AD222:AG222" si="748">+AD220/AD218</f>
        <v>0.42526598104495572</v>
      </c>
      <c r="AE222" s="72">
        <f t="shared" si="748"/>
        <v>0.45183084296495457</v>
      </c>
      <c r="AF222" s="72">
        <f t="shared" si="748"/>
        <v>0.47675967761537758</v>
      </c>
      <c r="AG222" s="72">
        <f t="shared" si="748"/>
        <v>0.46114727855254423</v>
      </c>
      <c r="AH222" s="72">
        <f t="shared" ref="AH222:AK222" si="749">+AH220/AH218</f>
        <v>0.41866593446233036</v>
      </c>
      <c r="AI222" s="72">
        <f t="shared" si="749"/>
        <v>0.45587296449315867</v>
      </c>
      <c r="AJ222" s="72">
        <f t="shared" si="749"/>
        <v>0.44871248845630085</v>
      </c>
      <c r="AK222" s="72">
        <f t="shared" si="749"/>
        <v>0.4563856951248782</v>
      </c>
      <c r="AL222" s="72">
        <f t="shared" ref="AL222:AO222" si="750">+AL220/AL218</f>
        <v>0.44704312416452913</v>
      </c>
      <c r="AM222" s="72">
        <f t="shared" si="750"/>
        <v>0.47124062260429384</v>
      </c>
      <c r="AN222" s="72">
        <f t="shared" si="750"/>
        <v>0.48768401000495726</v>
      </c>
      <c r="AO222" s="72">
        <f t="shared" si="750"/>
        <v>0.48540294797269068</v>
      </c>
      <c r="AP222" s="72">
        <f t="shared" ref="AP222:AS222" si="751">+AP220/AP218</f>
        <v>0.47879850794910889</v>
      </c>
      <c r="AQ222" s="72">
        <f t="shared" si="751"/>
        <v>0.47451470358786096</v>
      </c>
      <c r="AR222" s="72">
        <f t="shared" si="751"/>
        <v>0.49176517555017557</v>
      </c>
      <c r="AS222" s="72">
        <f t="shared" si="751"/>
        <v>0.49691937731078828</v>
      </c>
      <c r="AT222" s="72">
        <f>+AT220/AT218</f>
        <v>0.50244717998463873</v>
      </c>
      <c r="AU222" s="72">
        <f>+AU220/AU218</f>
        <v>0.48513645294541791</v>
      </c>
    </row>
    <row r="223" spans="2:47" ht="13.5" customHeight="1" x14ac:dyDescent="0.35"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  <c r="AT223" s="75"/>
      <c r="AU223" s="75"/>
    </row>
    <row r="224" spans="2:47" s="6" customFormat="1" ht="13.5" customHeight="1" x14ac:dyDescent="0.3">
      <c r="B224" s="6" t="str">
        <f t="shared" ref="B224:B240" si="752">B166</f>
        <v xml:space="preserve">Adj EBITDA </v>
      </c>
      <c r="C224" s="71">
        <f t="shared" ref="C224:M224" si="753">C166/C$200</f>
        <v>1052.6199663016007</v>
      </c>
      <c r="D224" s="71">
        <f t="shared" si="753"/>
        <v>1057.8391390597105</v>
      </c>
      <c r="E224" s="71">
        <f t="shared" si="753"/>
        <v>1236.277809415338</v>
      </c>
      <c r="F224" s="71">
        <f t="shared" si="753"/>
        <v>1468.0716933771</v>
      </c>
      <c r="G224" s="71">
        <f t="shared" si="753"/>
        <v>1487.4122781954968</v>
      </c>
      <c r="H224" s="71">
        <f t="shared" si="753"/>
        <v>1503.6794499366131</v>
      </c>
      <c r="I224" s="71">
        <f t="shared" si="753"/>
        <v>1451.2563349786235</v>
      </c>
      <c r="J224" s="71">
        <f t="shared" si="753"/>
        <v>1463.930567041818</v>
      </c>
      <c r="K224" s="71">
        <f t="shared" si="753"/>
        <v>1515.6217303822939</v>
      </c>
      <c r="L224" s="71">
        <f t="shared" ref="L224" si="754">L166/L$200</f>
        <v>1529.3842702987131</v>
      </c>
      <c r="M224" s="71"/>
      <c r="N224" s="71"/>
      <c r="O224" s="71">
        <f t="shared" ref="O224:AS224" si="755">O166/O$200</f>
        <v>312.53020408163263</v>
      </c>
      <c r="P224" s="71">
        <f t="shared" si="755"/>
        <v>322.2837119753562</v>
      </c>
      <c r="Q224" s="71">
        <f t="shared" si="755"/>
        <v>313.82548571428566</v>
      </c>
      <c r="R224" s="71">
        <f t="shared" si="755"/>
        <v>297.4576232973227</v>
      </c>
      <c r="S224" s="71">
        <f t="shared" si="755"/>
        <v>380.35808669085355</v>
      </c>
      <c r="T224" s="71">
        <f t="shared" si="755"/>
        <v>357.37937571811563</v>
      </c>
      <c r="U224" s="71">
        <f t="shared" si="755"/>
        <v>370.31727185398654</v>
      </c>
      <c r="V224" s="71">
        <f t="shared" si="755"/>
        <v>356.23424606519171</v>
      </c>
      <c r="W224" s="71">
        <f t="shared" si="755"/>
        <v>402.8266378123156</v>
      </c>
      <c r="X224" s="71">
        <f t="shared" si="755"/>
        <v>352.38786149911471</v>
      </c>
      <c r="Y224" s="71">
        <f t="shared" si="755"/>
        <v>365.22822976287807</v>
      </c>
      <c r="Z224" s="71">
        <f t="shared" si="755"/>
        <v>338.26294125717868</v>
      </c>
      <c r="AA224" s="71">
        <f t="shared" si="755"/>
        <v>368.05615835125769</v>
      </c>
      <c r="AB224" s="71">
        <f t="shared" si="755"/>
        <v>392.65051295412934</v>
      </c>
      <c r="AC224" s="71">
        <f t="shared" si="755"/>
        <v>392.21611847397435</v>
      </c>
      <c r="AD224" s="71">
        <f t="shared" si="755"/>
        <v>352.74784919569947</v>
      </c>
      <c r="AE224" s="71">
        <f t="shared" si="755"/>
        <v>381.82911697618039</v>
      </c>
      <c r="AF224" s="71">
        <f t="shared" si="755"/>
        <v>389.98082912821667</v>
      </c>
      <c r="AG224" s="71">
        <f t="shared" si="755"/>
        <v>347.64538418495715</v>
      </c>
      <c r="AH224" s="71">
        <f t="shared" si="755"/>
        <v>328.05313646688796</v>
      </c>
      <c r="AI224" s="71">
        <f t="shared" si="755"/>
        <v>374.40906106369005</v>
      </c>
      <c r="AJ224" s="71">
        <f t="shared" si="755"/>
        <v>358.90199180268928</v>
      </c>
      <c r="AK224" s="71">
        <f t="shared" si="755"/>
        <v>360.8770184338382</v>
      </c>
      <c r="AL224" s="71">
        <f t="shared" si="755"/>
        <v>369.86702469312019</v>
      </c>
      <c r="AM224" s="71">
        <f t="shared" si="755"/>
        <v>381.55712422038351</v>
      </c>
      <c r="AN224" s="71">
        <f t="shared" si="755"/>
        <v>373.86912072514662</v>
      </c>
      <c r="AO224" s="71">
        <f t="shared" si="755"/>
        <v>382.97600811387406</v>
      </c>
      <c r="AP224" s="71">
        <f t="shared" si="755"/>
        <v>377.35782687183018</v>
      </c>
      <c r="AQ224" s="71">
        <f t="shared" si="755"/>
        <v>360.06741106358709</v>
      </c>
      <c r="AR224" s="71">
        <f t="shared" si="755"/>
        <v>379.91474728087007</v>
      </c>
      <c r="AS224" s="71">
        <f t="shared" si="755"/>
        <v>386.2312759508751</v>
      </c>
      <c r="AT224" s="71">
        <f t="shared" ref="AT224:AU226" si="756">AT166/AT$200</f>
        <v>402.97195908192242</v>
      </c>
      <c r="AU224" s="71">
        <f t="shared" si="756"/>
        <v>375.86008983812189</v>
      </c>
    </row>
    <row r="225" spans="2:47" ht="13.5" customHeight="1" x14ac:dyDescent="0.35">
      <c r="B225" s="3" t="str">
        <f t="shared" si="752"/>
        <v>Working Capital</v>
      </c>
      <c r="C225" s="76">
        <f t="shared" ref="C225:M225" si="757">C167/C$200</f>
        <v>-243.75088458298234</v>
      </c>
      <c r="D225" s="76">
        <f t="shared" si="757"/>
        <v>-61.54015076373738</v>
      </c>
      <c r="E225" s="76">
        <f t="shared" si="757"/>
        <v>-149.50307517084283</v>
      </c>
      <c r="F225" s="76">
        <f t="shared" si="757"/>
        <v>-34.122610542575771</v>
      </c>
      <c r="G225" s="76">
        <f t="shared" si="757"/>
        <v>-188.50342535489531</v>
      </c>
      <c r="H225" s="76">
        <f t="shared" si="757"/>
        <v>-201.92858349517562</v>
      </c>
      <c r="I225" s="76">
        <f t="shared" si="757"/>
        <v>-267.66687462155278</v>
      </c>
      <c r="J225" s="76">
        <f t="shared" si="757"/>
        <v>-83.944248678580365</v>
      </c>
      <c r="K225" s="76">
        <f t="shared" si="757"/>
        <v>-61.636491399590575</v>
      </c>
      <c r="L225" s="76">
        <f t="shared" ref="L225" si="758">L167/L$200</f>
        <v>-140.8734396684832</v>
      </c>
      <c r="M225" s="76"/>
      <c r="N225" s="76"/>
      <c r="O225" s="76">
        <f t="shared" ref="O225:AS225" si="759">O167/O$200</f>
        <v>-134.59243926141883</v>
      </c>
      <c r="P225" s="76">
        <f t="shared" si="759"/>
        <v>73.175221409318439</v>
      </c>
      <c r="Q225" s="76">
        <f t="shared" si="759"/>
        <v>-25.409047619047627</v>
      </c>
      <c r="R225" s="76">
        <f t="shared" si="759"/>
        <v>-64.21394081728512</v>
      </c>
      <c r="S225" s="76">
        <f t="shared" si="759"/>
        <v>-55.17362994080581</v>
      </c>
      <c r="T225" s="76">
        <f t="shared" si="759"/>
        <v>-11.313002680965145</v>
      </c>
      <c r="U225" s="76">
        <f t="shared" si="759"/>
        <v>21.143419788664755</v>
      </c>
      <c r="V225" s="76">
        <f t="shared" si="759"/>
        <v>12.00499813794862</v>
      </c>
      <c r="W225" s="76">
        <f t="shared" si="759"/>
        <v>-137.83334644894748</v>
      </c>
      <c r="X225" s="76">
        <f t="shared" si="759"/>
        <v>-171.04471768640562</v>
      </c>
      <c r="Y225" s="76">
        <f t="shared" si="759"/>
        <v>85.835220768601758</v>
      </c>
      <c r="Z225" s="76">
        <f t="shared" si="759"/>
        <v>42.823477527980032</v>
      </c>
      <c r="AA225" s="76">
        <f t="shared" si="759"/>
        <v>-69.394368269589805</v>
      </c>
      <c r="AB225" s="76">
        <f t="shared" si="759"/>
        <v>-44.168958280374767</v>
      </c>
      <c r="AC225" s="76">
        <f t="shared" si="759"/>
        <v>-80.942780860090878</v>
      </c>
      <c r="AD225" s="76">
        <f t="shared" si="759"/>
        <v>-8.4880897824855008</v>
      </c>
      <c r="AE225" s="76">
        <f t="shared" si="759"/>
        <v>-158.40369017732354</v>
      </c>
      <c r="AF225" s="76">
        <f t="shared" si="759"/>
        <v>-32.72201505589009</v>
      </c>
      <c r="AG225" s="76">
        <f t="shared" si="759"/>
        <v>-76.623960974732313</v>
      </c>
      <c r="AH225" s="76">
        <f t="shared" si="759"/>
        <v>-5.4948628341779662</v>
      </c>
      <c r="AI225" s="76">
        <f t="shared" si="759"/>
        <v>-151.07986795068211</v>
      </c>
      <c r="AJ225" s="76">
        <f t="shared" si="759"/>
        <v>13.639426188250463</v>
      </c>
      <c r="AK225" s="76">
        <f t="shared" si="759"/>
        <v>27.467526436124707</v>
      </c>
      <c r="AL225" s="76">
        <f t="shared" si="759"/>
        <v>23.511704253496994</v>
      </c>
      <c r="AM225" s="76">
        <f t="shared" si="759"/>
        <v>30.691959897778656</v>
      </c>
      <c r="AN225" s="76">
        <f t="shared" si="759"/>
        <v>-36.820944835579276</v>
      </c>
      <c r="AO225" s="76">
        <f t="shared" si="759"/>
        <v>2.798779421536858</v>
      </c>
      <c r="AP225" s="76">
        <f t="shared" si="759"/>
        <v>-56.380830396286484</v>
      </c>
      <c r="AQ225" s="76">
        <f t="shared" si="759"/>
        <v>22.53994425688645</v>
      </c>
      <c r="AR225" s="76">
        <f t="shared" si="759"/>
        <v>-138.2436909077984</v>
      </c>
      <c r="AS225" s="76">
        <f t="shared" si="759"/>
        <v>45.636801625816823</v>
      </c>
      <c r="AT225" s="76">
        <f t="shared" si="756"/>
        <v>-72.158841227542311</v>
      </c>
      <c r="AU225" s="76">
        <f t="shared" si="756"/>
        <v>17.46978557504875</v>
      </c>
    </row>
    <row r="226" spans="2:47" ht="13.5" customHeight="1" x14ac:dyDescent="0.35">
      <c r="B226" s="3" t="str">
        <f t="shared" si="752"/>
        <v>Taxes</v>
      </c>
      <c r="C226" s="76">
        <f t="shared" ref="C226:M226" si="760">C168/C$200</f>
        <v>-117.46590143218198</v>
      </c>
      <c r="D226" s="76">
        <f t="shared" si="760"/>
        <v>-111.07349732195993</v>
      </c>
      <c r="E226" s="76">
        <f t="shared" si="760"/>
        <v>-90.650056947608192</v>
      </c>
      <c r="F226" s="76">
        <f t="shared" si="760"/>
        <v>-117.60125506854607</v>
      </c>
      <c r="G226" s="76">
        <f t="shared" si="760"/>
        <v>-127.37662396381251</v>
      </c>
      <c r="H226" s="76">
        <f t="shared" si="760"/>
        <v>-115.01155052320041</v>
      </c>
      <c r="I226" s="76">
        <f t="shared" si="760"/>
        <v>-100.24437145635699</v>
      </c>
      <c r="J226" s="76">
        <f t="shared" si="760"/>
        <v>-44.825284959188807</v>
      </c>
      <c r="K226" s="76">
        <f t="shared" si="760"/>
        <v>-68.177568665790844</v>
      </c>
      <c r="L226" s="76">
        <f t="shared" ref="L226" si="761">L168/L$200</f>
        <v>-93.877140640915954</v>
      </c>
      <c r="M226" s="76"/>
      <c r="N226" s="76"/>
      <c r="O226" s="76">
        <f t="shared" ref="O226:AS226" si="762">O168/O$200</f>
        <v>-0.54289601554907674</v>
      </c>
      <c r="P226" s="76">
        <f t="shared" si="762"/>
        <v>-48.131420870234898</v>
      </c>
      <c r="Q226" s="76">
        <f t="shared" si="762"/>
        <v>-12.348952380952371</v>
      </c>
      <c r="R226" s="76">
        <f t="shared" si="762"/>
        <v>-30.046914044152174</v>
      </c>
      <c r="S226" s="76">
        <f t="shared" si="762"/>
        <v>-0.99308764559862528</v>
      </c>
      <c r="T226" s="76">
        <f t="shared" si="762"/>
        <v>-49.38718881654539</v>
      </c>
      <c r="U226" s="76">
        <f t="shared" si="762"/>
        <v>-28.084726224783857</v>
      </c>
      <c r="V226" s="76">
        <f t="shared" si="762"/>
        <v>-39.157019933750185</v>
      </c>
      <c r="W226" s="76">
        <f t="shared" si="762"/>
        <v>-20.719673421207951</v>
      </c>
      <c r="X226" s="76">
        <f t="shared" si="762"/>
        <v>-35.86808971080071</v>
      </c>
      <c r="Y226" s="76">
        <f t="shared" si="762"/>
        <v>-37.802493867538843</v>
      </c>
      <c r="Z226" s="76">
        <f t="shared" si="762"/>
        <v>-30.766557556988566</v>
      </c>
      <c r="AA226" s="76">
        <f t="shared" si="762"/>
        <v>-1.4146307083693948</v>
      </c>
      <c r="AB226" s="76">
        <f t="shared" si="762"/>
        <v>-21.703648052320883</v>
      </c>
      <c r="AC226" s="76">
        <f t="shared" si="762"/>
        <v>-17.910625057293153</v>
      </c>
      <c r="AD226" s="76">
        <f t="shared" si="762"/>
        <v>-72.73528924809149</v>
      </c>
      <c r="AE226" s="76">
        <f t="shared" si="762"/>
        <v>-18.28567063949583</v>
      </c>
      <c r="AF226" s="76">
        <f t="shared" si="762"/>
        <v>-25.762372790077887</v>
      </c>
      <c r="AG226" s="76">
        <f t="shared" si="762"/>
        <v>-10.305640493182738</v>
      </c>
      <c r="AH226" s="76">
        <f t="shared" si="762"/>
        <v>-44.665996854796433</v>
      </c>
      <c r="AI226" s="76">
        <f t="shared" si="762"/>
        <v>-4.9669511928211856</v>
      </c>
      <c r="AJ226" s="76">
        <f t="shared" si="762"/>
        <v>-30.343316315524557</v>
      </c>
      <c r="AK226" s="76">
        <f t="shared" si="762"/>
        <v>1.1290368676764804</v>
      </c>
      <c r="AL226" s="76">
        <f t="shared" si="762"/>
        <v>-10.637560662289465</v>
      </c>
      <c r="AM226" s="76">
        <f t="shared" si="762"/>
        <v>-17.448665939918151</v>
      </c>
      <c r="AN226" s="76">
        <f t="shared" si="762"/>
        <v>-26.482814094691143</v>
      </c>
      <c r="AO226" s="76">
        <f t="shared" si="762"/>
        <v>-9.3414996677508473</v>
      </c>
      <c r="AP226" s="76">
        <f t="shared" si="762"/>
        <v>-14.848052952806666</v>
      </c>
      <c r="AQ226" s="76">
        <f t="shared" si="762"/>
        <v>-14.188252647982164</v>
      </c>
      <c r="AR226" s="76">
        <f t="shared" si="762"/>
        <v>-35.728780123693753</v>
      </c>
      <c r="AS226" s="76">
        <f t="shared" si="762"/>
        <v>-20.92226563184358</v>
      </c>
      <c r="AT226" s="76">
        <f t="shared" si="756"/>
        <v>-23.31008338347803</v>
      </c>
      <c r="AU226" s="76">
        <f t="shared" si="756"/>
        <v>-12.505568268497329</v>
      </c>
    </row>
    <row r="227" spans="2:47" ht="13.5" customHeight="1" x14ac:dyDescent="0.35">
      <c r="B227" s="3" t="str">
        <f t="shared" si="752"/>
        <v>Cash interest paid</v>
      </c>
      <c r="C227" s="76">
        <f t="shared" ref="C227:M227" si="763">C169/C$200</f>
        <v>-80.297641112047188</v>
      </c>
      <c r="D227" s="76">
        <f t="shared" si="763"/>
        <v>-109.60224161872645</v>
      </c>
      <c r="E227" s="76">
        <f t="shared" si="763"/>
        <v>-125.42908124525437</v>
      </c>
      <c r="F227" s="76">
        <f t="shared" si="763"/>
        <v>-139.65226877775632</v>
      </c>
      <c r="G227" s="76">
        <f t="shared" si="763"/>
        <v>-136.99854376793522</v>
      </c>
      <c r="H227" s="76">
        <f t="shared" si="763"/>
        <v>-154.39008417988987</v>
      </c>
      <c r="I227" s="76">
        <f t="shared" si="763"/>
        <v>-180.45118259050622</v>
      </c>
      <c r="J227" s="76">
        <f t="shared" si="763"/>
        <v>-234.58735752040562</v>
      </c>
      <c r="K227" s="76">
        <f t="shared" si="763"/>
        <v>-242.69755627037713</v>
      </c>
      <c r="L227" s="76">
        <f t="shared" ref="L227" si="764">L169/L$200</f>
        <v>-238.55292545602313</v>
      </c>
      <c r="M227" s="76"/>
      <c r="N227" s="76"/>
      <c r="O227" s="76">
        <f t="shared" ref="O227:AS227" si="765">O169/O$200</f>
        <v>-25.374888241010687</v>
      </c>
      <c r="P227" s="76">
        <f t="shared" si="765"/>
        <v>-36.48839045051983</v>
      </c>
      <c r="Q227" s="76">
        <f t="shared" si="765"/>
        <v>-28.852000000000007</v>
      </c>
      <c r="R227" s="76">
        <f t="shared" si="765"/>
        <v>-35.549628933771722</v>
      </c>
      <c r="S227" s="76">
        <f t="shared" si="765"/>
        <v>-37.322207370632043</v>
      </c>
      <c r="T227" s="76">
        <f t="shared" si="765"/>
        <v>-36.943240137878206</v>
      </c>
      <c r="U227" s="76">
        <f t="shared" si="765"/>
        <v>-33.794966378482236</v>
      </c>
      <c r="V227" s="76">
        <f t="shared" si="765"/>
        <v>-31.161390854387594</v>
      </c>
      <c r="W227" s="76">
        <f t="shared" si="765"/>
        <v>-34.427011607318512</v>
      </c>
      <c r="X227" s="76">
        <f t="shared" si="765"/>
        <v>-35.065020657092276</v>
      </c>
      <c r="Y227" s="76">
        <f t="shared" si="765"/>
        <v>-35.783115290269819</v>
      </c>
      <c r="Z227" s="76">
        <f t="shared" si="765"/>
        <v>-29.167310217762026</v>
      </c>
      <c r="AA227" s="76">
        <f t="shared" si="765"/>
        <v>-39.269818403961402</v>
      </c>
      <c r="AB227" s="76">
        <f t="shared" si="765"/>
        <v>-32.554968007079232</v>
      </c>
      <c r="AC227" s="76">
        <f t="shared" si="765"/>
        <v>-45.263865084237317</v>
      </c>
      <c r="AD227" s="76">
        <f t="shared" si="765"/>
        <v>-37.293308002976147</v>
      </c>
      <c r="AE227" s="76">
        <f t="shared" si="765"/>
        <v>-46.989683054563336</v>
      </c>
      <c r="AF227" s="76">
        <f t="shared" si="765"/>
        <v>-39.328578356266419</v>
      </c>
      <c r="AG227" s="76">
        <f t="shared" si="765"/>
        <v>-49.862383149727087</v>
      </c>
      <c r="AH227" s="76">
        <f t="shared" si="765"/>
        <v>-43.20083872095055</v>
      </c>
      <c r="AI227" s="76">
        <f t="shared" si="765"/>
        <v>-55.984150434084768</v>
      </c>
      <c r="AJ227" s="76">
        <f t="shared" si="765"/>
        <v>-51.576058819299639</v>
      </c>
      <c r="AK227" s="76">
        <f t="shared" si="765"/>
        <v>-65.966240354386969</v>
      </c>
      <c r="AL227" s="76">
        <f t="shared" si="765"/>
        <v>-60.958321438766781</v>
      </c>
      <c r="AM227" s="76">
        <f t="shared" si="765"/>
        <v>-65.698572117876225</v>
      </c>
      <c r="AN227" s="76">
        <f t="shared" si="765"/>
        <v>-58.448701759241644</v>
      </c>
      <c r="AO227" s="76">
        <f t="shared" si="765"/>
        <v>-65.653061938236647</v>
      </c>
      <c r="AP227" s="76">
        <f t="shared" si="765"/>
        <v>-53.158119143814979</v>
      </c>
      <c r="AQ227" s="76">
        <f t="shared" si="765"/>
        <v>-65.179585045193875</v>
      </c>
      <c r="AR227" s="76">
        <f t="shared" si="765"/>
        <v>-53.65801165849151</v>
      </c>
      <c r="AS227" s="76">
        <f t="shared" si="765"/>
        <v>-65.576166365913892</v>
      </c>
      <c r="AT227" s="76">
        <f t="shared" ref="AT227:AU227" si="766">AT169/AT$200</f>
        <v>-54.102776583856283</v>
      </c>
      <c r="AU227" s="76">
        <f t="shared" si="766"/>
        <v>-62.363335875921692</v>
      </c>
    </row>
    <row r="228" spans="2:47" s="6" customFormat="1" ht="13.5" customHeight="1" thickBot="1" x14ac:dyDescent="0.35">
      <c r="B228" s="73" t="str">
        <f t="shared" si="752"/>
        <v xml:space="preserve">Net cash from operations </v>
      </c>
      <c r="C228" s="74">
        <f t="shared" ref="C228:M228" si="767">C170/C$200</f>
        <v>611.10553917438915</v>
      </c>
      <c r="D228" s="74">
        <f t="shared" si="767"/>
        <v>775.62324935528682</v>
      </c>
      <c r="E228" s="74">
        <f t="shared" si="767"/>
        <v>870.69559605163249</v>
      </c>
      <c r="F228" s="74">
        <f t="shared" si="767"/>
        <v>1176.6955589882216</v>
      </c>
      <c r="G228" s="74">
        <f t="shared" si="767"/>
        <v>1034.5336851088539</v>
      </c>
      <c r="H228" s="74">
        <f t="shared" si="767"/>
        <v>1032.349231738347</v>
      </c>
      <c r="I228" s="74">
        <f t="shared" si="767"/>
        <v>902.8939063102074</v>
      </c>
      <c r="J228" s="74">
        <f t="shared" si="767"/>
        <v>1100.5736758836433</v>
      </c>
      <c r="K228" s="74">
        <f t="shared" si="767"/>
        <v>1143.1101140465353</v>
      </c>
      <c r="L228" s="74">
        <f t="shared" ref="L228" si="768">L170/L$200</f>
        <v>1056.0807645332909</v>
      </c>
      <c r="M228" s="74"/>
      <c r="N228" s="71"/>
      <c r="O228" s="74">
        <f t="shared" ref="O228:AS228" si="769">O170/O$200</f>
        <v>152.01998056365403</v>
      </c>
      <c r="P228" s="74">
        <f t="shared" si="769"/>
        <v>310.83912206391994</v>
      </c>
      <c r="Q228" s="74">
        <f t="shared" si="769"/>
        <v>247.21548571428562</v>
      </c>
      <c r="R228" s="74">
        <f t="shared" si="769"/>
        <v>167.64713950211367</v>
      </c>
      <c r="S228" s="74">
        <f t="shared" si="769"/>
        <v>286.86916173381707</v>
      </c>
      <c r="T228" s="74">
        <f t="shared" si="769"/>
        <v>259.73594408272692</v>
      </c>
      <c r="U228" s="74">
        <f t="shared" si="769"/>
        <v>329.58099903938512</v>
      </c>
      <c r="V228" s="74">
        <f t="shared" si="769"/>
        <v>297.92083341500256</v>
      </c>
      <c r="W228" s="74">
        <f t="shared" si="769"/>
        <v>209.84660633484165</v>
      </c>
      <c r="X228" s="74">
        <f t="shared" si="769"/>
        <v>110.41003344481609</v>
      </c>
      <c r="Y228" s="74">
        <f t="shared" si="769"/>
        <v>377.4778413736712</v>
      </c>
      <c r="Z228" s="74">
        <f t="shared" si="769"/>
        <v>321.15255101040816</v>
      </c>
      <c r="AA228" s="74">
        <f t="shared" si="769"/>
        <v>257.97734096933704</v>
      </c>
      <c r="AB228" s="74">
        <f t="shared" si="769"/>
        <v>294.22293861435446</v>
      </c>
      <c r="AC228" s="74">
        <f t="shared" si="769"/>
        <v>248.09884747235299</v>
      </c>
      <c r="AD228" s="74">
        <f t="shared" si="769"/>
        <v>234.23116216214632</v>
      </c>
      <c r="AE228" s="74">
        <f t="shared" si="769"/>
        <v>158.15007310479768</v>
      </c>
      <c r="AF228" s="74">
        <f t="shared" si="769"/>
        <v>292.16786292598226</v>
      </c>
      <c r="AG228" s="74">
        <f t="shared" si="769"/>
        <v>210.85339956731499</v>
      </c>
      <c r="AH228" s="74">
        <f t="shared" si="769"/>
        <v>234.69143805696297</v>
      </c>
      <c r="AI228" s="74">
        <f t="shared" si="769"/>
        <v>162.37809148610199</v>
      </c>
      <c r="AJ228" s="74">
        <f t="shared" si="769"/>
        <v>290.62204285611551</v>
      </c>
      <c r="AK228" s="74">
        <f t="shared" si="769"/>
        <v>323.50734138325242</v>
      </c>
      <c r="AL228" s="74">
        <f t="shared" si="769"/>
        <v>321.78284684556093</v>
      </c>
      <c r="AM228" s="74">
        <f t="shared" si="769"/>
        <v>329.10184606036785</v>
      </c>
      <c r="AN228" s="74">
        <f t="shared" si="769"/>
        <v>252.11666003563457</v>
      </c>
      <c r="AO228" s="74">
        <f t="shared" si="769"/>
        <v>310.78022592942341</v>
      </c>
      <c r="AP228" s="74">
        <f t="shared" si="769"/>
        <v>252.97082437892209</v>
      </c>
      <c r="AQ228" s="74">
        <f t="shared" si="769"/>
        <v>303.23951762729752</v>
      </c>
      <c r="AR228" s="74">
        <f t="shared" si="769"/>
        <v>152.28426459088641</v>
      </c>
      <c r="AS228" s="74">
        <f t="shared" si="769"/>
        <v>345.36964557893447</v>
      </c>
      <c r="AT228" s="74">
        <f t="shared" ref="AT228:AU239" si="770">AT170/AT$200</f>
        <v>253.4002578870458</v>
      </c>
      <c r="AU228" s="74">
        <f t="shared" si="770"/>
        <v>318.46097126875168</v>
      </c>
    </row>
    <row r="229" spans="2:47" ht="13.5" customHeight="1" thickTop="1" x14ac:dyDescent="0.35">
      <c r="B229" s="3" t="str">
        <f t="shared" si="752"/>
        <v>Net Capex</v>
      </c>
      <c r="C229" s="76">
        <f t="shared" ref="C229:M229" si="771">C171/C$200</f>
        <v>-767.47470513900601</v>
      </c>
      <c r="D229" s="76">
        <f t="shared" si="771"/>
        <v>-833.23130331283483</v>
      </c>
      <c r="E229" s="76">
        <f t="shared" si="771"/>
        <v>-808.59066059225518</v>
      </c>
      <c r="F229" s="76">
        <f t="shared" si="771"/>
        <v>-982.30857308360692</v>
      </c>
      <c r="G229" s="76">
        <f t="shared" si="771"/>
        <v>-1217.5667003104893</v>
      </c>
      <c r="H229" s="76">
        <f t="shared" si="771"/>
        <v>-1857.8902295090224</v>
      </c>
      <c r="I229" s="76">
        <f t="shared" si="771"/>
        <v>-1784.1120020550834</v>
      </c>
      <c r="J229" s="76">
        <f t="shared" si="771"/>
        <v>-1254.6775017079574</v>
      </c>
      <c r="K229" s="76">
        <f t="shared" si="771"/>
        <v>-958.31122090460349</v>
      </c>
      <c r="L229" s="76">
        <f t="shared" ref="L229" si="772">L171/L$200</f>
        <v>-785.40315315623297</v>
      </c>
      <c r="M229" s="76"/>
      <c r="N229" s="76"/>
      <c r="O229" s="76">
        <f t="shared" ref="O229:AS229" si="773">O171/O$200</f>
        <v>-127.53154518950437</v>
      </c>
      <c r="P229" s="76">
        <f t="shared" si="773"/>
        <v>-312.74842125529455</v>
      </c>
      <c r="Q229" s="76">
        <f t="shared" si="773"/>
        <v>-181.03832380952386</v>
      </c>
      <c r="R229" s="76">
        <f t="shared" si="773"/>
        <v>-193.26243306716773</v>
      </c>
      <c r="S229" s="76">
        <f t="shared" si="773"/>
        <v>-166.1671185793393</v>
      </c>
      <c r="T229" s="76">
        <f t="shared" si="773"/>
        <v>-194.94362313289932</v>
      </c>
      <c r="U229" s="76">
        <f t="shared" si="773"/>
        <v>-247.72464937560039</v>
      </c>
      <c r="V229" s="76">
        <f t="shared" si="773"/>
        <v>-374.32260530390636</v>
      </c>
      <c r="W229" s="76">
        <f t="shared" si="773"/>
        <v>-208.62156206964391</v>
      </c>
      <c r="X229" s="76">
        <f t="shared" si="773"/>
        <v>-200.13671060397405</v>
      </c>
      <c r="Y229" s="76">
        <f t="shared" si="773"/>
        <v>-254.90647996729348</v>
      </c>
      <c r="Z229" s="76">
        <f t="shared" si="773"/>
        <v>-527.81459848291797</v>
      </c>
      <c r="AA229" s="76">
        <f t="shared" si="773"/>
        <v>-383.21325520159189</v>
      </c>
      <c r="AB229" s="76">
        <f t="shared" si="773"/>
        <v>-495.78699888619383</v>
      </c>
      <c r="AC229" s="76">
        <f t="shared" si="773"/>
        <v>-444.1086253702577</v>
      </c>
      <c r="AD229" s="76">
        <f t="shared" si="773"/>
        <v>-534.87728334094265</v>
      </c>
      <c r="AE229" s="76">
        <f t="shared" si="773"/>
        <v>-406.37390252926861</v>
      </c>
      <c r="AF229" s="76">
        <f t="shared" si="773"/>
        <v>-487.66868228219562</v>
      </c>
      <c r="AG229" s="76">
        <f t="shared" si="773"/>
        <v>-416.83136634998039</v>
      </c>
      <c r="AH229" s="76">
        <f t="shared" si="773"/>
        <v>-462.83741044906492</v>
      </c>
      <c r="AI229" s="76">
        <f t="shared" si="773"/>
        <v>-318.96366819873055</v>
      </c>
      <c r="AJ229" s="76">
        <f t="shared" si="773"/>
        <v>-356.96873876465094</v>
      </c>
      <c r="AK229" s="76">
        <f t="shared" si="773"/>
        <v>-288.97602886539011</v>
      </c>
      <c r="AL229" s="76">
        <f t="shared" si="773"/>
        <v>-290.18057736226098</v>
      </c>
      <c r="AM229" s="76">
        <f t="shared" si="773"/>
        <v>-242.05920617617102</v>
      </c>
      <c r="AN229" s="76">
        <f t="shared" si="773"/>
        <v>-236.13432164541848</v>
      </c>
      <c r="AO229" s="76">
        <f t="shared" si="773"/>
        <v>-219.57568285944106</v>
      </c>
      <c r="AP229" s="76">
        <f t="shared" si="773"/>
        <v>-260.27846643170307</v>
      </c>
      <c r="AQ229" s="76">
        <f t="shared" si="773"/>
        <v>-144.31880288260101</v>
      </c>
      <c r="AR229" s="76">
        <f t="shared" si="773"/>
        <v>-184.5052605388498</v>
      </c>
      <c r="AS229" s="76">
        <f t="shared" si="773"/>
        <v>-216.77126438795349</v>
      </c>
      <c r="AT229" s="76">
        <f t="shared" si="770"/>
        <v>-239.35406172096623</v>
      </c>
      <c r="AU229" s="76">
        <f t="shared" si="770"/>
        <v>-214.08834647003985</v>
      </c>
    </row>
    <row r="230" spans="2:47" ht="13.5" customHeight="1" x14ac:dyDescent="0.35">
      <c r="B230" s="3" t="str">
        <f t="shared" si="752"/>
        <v>Acquisitions / sales of subsidiaries, JVs</v>
      </c>
      <c r="C230" s="76">
        <f t="shared" ref="C230:M230" si="774">C172/C$200</f>
        <v>-454.1397430497052</v>
      </c>
      <c r="D230" s="76">
        <f t="shared" si="774"/>
        <v>-242.69414798651061</v>
      </c>
      <c r="E230" s="76">
        <f t="shared" si="774"/>
        <v>-2.1108580106302202</v>
      </c>
      <c r="F230" s="76">
        <f t="shared" si="774"/>
        <v>-94.007511102529435</v>
      </c>
      <c r="G230" s="76">
        <f t="shared" si="774"/>
        <v>-38.801399643124192</v>
      </c>
      <c r="H230" s="76">
        <f t="shared" si="774"/>
        <v>-31.948492516602688</v>
      </c>
      <c r="I230" s="76">
        <f t="shared" si="774"/>
        <v>-10.743866859942383</v>
      </c>
      <c r="J230" s="76">
        <f t="shared" si="774"/>
        <v>-57.650030563446116</v>
      </c>
      <c r="K230" s="76">
        <f t="shared" si="774"/>
        <v>-4.716367620036924</v>
      </c>
      <c r="L230" s="76">
        <f t="shared" ref="L230" si="775">L172/L$200</f>
        <v>16.799359211688582</v>
      </c>
      <c r="M230" s="76"/>
      <c r="N230" s="76"/>
      <c r="O230" s="76">
        <f t="shared" ref="O230:AS230" si="776">O172/O$200</f>
        <v>-0.99514091350826039</v>
      </c>
      <c r="P230" s="76">
        <f t="shared" si="776"/>
        <v>-1.1551790527531769</v>
      </c>
      <c r="Q230" s="76">
        <f t="shared" si="776"/>
        <v>0</v>
      </c>
      <c r="R230" s="76">
        <f t="shared" si="776"/>
        <v>0</v>
      </c>
      <c r="S230" s="76">
        <f t="shared" si="776"/>
        <v>-21.558143975558526</v>
      </c>
      <c r="T230" s="76">
        <f t="shared" si="776"/>
        <v>-10.403102259670625</v>
      </c>
      <c r="U230" s="76">
        <f t="shared" si="776"/>
        <v>-27.82916426512968</v>
      </c>
      <c r="V230" s="76">
        <f t="shared" si="776"/>
        <v>-34.25960916521295</v>
      </c>
      <c r="W230" s="76">
        <f t="shared" si="776"/>
        <v>-0.7245524296675192</v>
      </c>
      <c r="X230" s="76">
        <f t="shared" si="776"/>
        <v>-14.976391894550463</v>
      </c>
      <c r="Y230" s="76">
        <f t="shared" si="776"/>
        <v>-2.7482011447260821</v>
      </c>
      <c r="Z230" s="76">
        <f t="shared" si="776"/>
        <v>-19.309668946862935</v>
      </c>
      <c r="AA230" s="76">
        <f t="shared" si="776"/>
        <v>0</v>
      </c>
      <c r="AB230" s="76">
        <f t="shared" si="776"/>
        <v>0</v>
      </c>
      <c r="AC230" s="76">
        <f t="shared" si="776"/>
        <v>0</v>
      </c>
      <c r="AD230" s="76">
        <f t="shared" si="776"/>
        <v>-31.184017855788301</v>
      </c>
      <c r="AE230" s="76">
        <f t="shared" si="776"/>
        <v>-2.8557530706257079</v>
      </c>
      <c r="AF230" s="76">
        <f t="shared" si="776"/>
        <v>-3.5469380967978656</v>
      </c>
      <c r="AG230" s="76">
        <f t="shared" si="776"/>
        <v>-5.4454696454641738</v>
      </c>
      <c r="AH230" s="76">
        <f t="shared" si="776"/>
        <v>1.0683033374104494</v>
      </c>
      <c r="AI230" s="76">
        <f t="shared" si="776"/>
        <v>-4.0143722185744508</v>
      </c>
      <c r="AJ230" s="76">
        <f t="shared" si="776"/>
        <v>-1.4540878694182786</v>
      </c>
      <c r="AK230" s="76">
        <f t="shared" si="776"/>
        <v>-8.0094669905687326</v>
      </c>
      <c r="AL230" s="76">
        <f t="shared" si="776"/>
        <v>-43.841350271196113</v>
      </c>
      <c r="AM230" s="76">
        <f t="shared" si="776"/>
        <v>-2.4241828546919959</v>
      </c>
      <c r="AN230" s="76">
        <f t="shared" si="776"/>
        <v>1.7298344548509314E-5</v>
      </c>
      <c r="AO230" s="76">
        <f t="shared" si="776"/>
        <v>-2.063442101213584</v>
      </c>
      <c r="AP230" s="76">
        <f t="shared" si="776"/>
        <v>-0.28369294249118848</v>
      </c>
      <c r="AQ230" s="76">
        <f t="shared" si="776"/>
        <v>0</v>
      </c>
      <c r="AR230" s="76">
        <f t="shared" si="776"/>
        <v>-0.52159309021113243</v>
      </c>
      <c r="AS230" s="76">
        <f t="shared" si="776"/>
        <v>16.859615620455859</v>
      </c>
      <c r="AT230" s="76">
        <f t="shared" si="770"/>
        <v>0.50750451302329513</v>
      </c>
      <c r="AU230" s="76">
        <f t="shared" si="770"/>
        <v>-8.7255191117891346</v>
      </c>
    </row>
    <row r="231" spans="2:47" ht="13.5" customHeight="1" thickBot="1" x14ac:dyDescent="0.4">
      <c r="B231" s="73" t="str">
        <f t="shared" si="752"/>
        <v xml:space="preserve">Free cash flow </v>
      </c>
      <c r="C231" s="74">
        <f t="shared" ref="C231:M231" si="777">C173/C$200</f>
        <v>-610.50890901432194</v>
      </c>
      <c r="D231" s="74">
        <f t="shared" si="777"/>
        <v>-300.30220194405865</v>
      </c>
      <c r="E231" s="74">
        <f t="shared" si="777"/>
        <v>59.994077448747056</v>
      </c>
      <c r="F231" s="74">
        <f t="shared" si="777"/>
        <v>100.37947480208528</v>
      </c>
      <c r="G231" s="74">
        <f t="shared" si="777"/>
        <v>-221.83441484475958</v>
      </c>
      <c r="H231" s="74">
        <f t="shared" si="777"/>
        <v>-857.48949028727816</v>
      </c>
      <c r="I231" s="74">
        <f t="shared" si="777"/>
        <v>-891.96196260481838</v>
      </c>
      <c r="J231" s="74">
        <f t="shared" si="777"/>
        <v>-211.75385638776029</v>
      </c>
      <c r="K231" s="74">
        <f t="shared" si="777"/>
        <v>180.08252552189495</v>
      </c>
      <c r="L231" s="74">
        <f t="shared" ref="L231" si="778">L173/L$200</f>
        <v>287.47697058874644</v>
      </c>
      <c r="M231" s="74"/>
      <c r="N231" s="71"/>
      <c r="O231" s="74">
        <f t="shared" ref="O231:AS231" si="779">O173/O$200</f>
        <v>23.493294460641387</v>
      </c>
      <c r="P231" s="74">
        <f t="shared" si="779"/>
        <v>-3.0644782441277676</v>
      </c>
      <c r="Q231" s="74">
        <f t="shared" si="779"/>
        <v>66.177161904761761</v>
      </c>
      <c r="R231" s="74">
        <f t="shared" si="779"/>
        <v>-25.615293565054081</v>
      </c>
      <c r="S231" s="74">
        <f t="shared" si="779"/>
        <v>99.143899178919213</v>
      </c>
      <c r="T231" s="74">
        <f t="shared" si="779"/>
        <v>54.389218690156994</v>
      </c>
      <c r="U231" s="74">
        <f t="shared" si="779"/>
        <v>54.027185398655071</v>
      </c>
      <c r="V231" s="74">
        <f t="shared" si="779"/>
        <v>-110.66138105411679</v>
      </c>
      <c r="W231" s="74">
        <f t="shared" si="779"/>
        <v>0.50049183553020327</v>
      </c>
      <c r="X231" s="74">
        <f t="shared" si="779"/>
        <v>-104.70306905370842</v>
      </c>
      <c r="Y231" s="74">
        <f t="shared" si="779"/>
        <v>119.82316026165165</v>
      </c>
      <c r="Z231" s="74">
        <f t="shared" si="779"/>
        <v>-225.9717164193728</v>
      </c>
      <c r="AA231" s="74">
        <f t="shared" si="779"/>
        <v>-125.23591423225484</v>
      </c>
      <c r="AB231" s="74">
        <f t="shared" si="779"/>
        <v>-201.56406027183939</v>
      </c>
      <c r="AC231" s="74">
        <f t="shared" si="779"/>
        <v>-196.00977789790471</v>
      </c>
      <c r="AD231" s="74">
        <f t="shared" si="779"/>
        <v>-331.83013903458465</v>
      </c>
      <c r="AE231" s="74">
        <f t="shared" si="779"/>
        <v>-251.07958249509667</v>
      </c>
      <c r="AF231" s="74">
        <f t="shared" si="779"/>
        <v>-199.04775745301123</v>
      </c>
      <c r="AG231" s="74">
        <f t="shared" si="779"/>
        <v>-211.42343642812958</v>
      </c>
      <c r="AH231" s="74">
        <f t="shared" si="779"/>
        <v>-227.07766905469148</v>
      </c>
      <c r="AI231" s="74">
        <f t="shared" si="779"/>
        <v>-160.59994893120302</v>
      </c>
      <c r="AJ231" s="74">
        <f t="shared" si="779"/>
        <v>-67.800783777953683</v>
      </c>
      <c r="AK231" s="74">
        <f t="shared" si="779"/>
        <v>26.521845527293593</v>
      </c>
      <c r="AL231" s="74">
        <f t="shared" si="779"/>
        <v>-12.239080787896171</v>
      </c>
      <c r="AM231" s="74">
        <f t="shared" si="779"/>
        <v>84.618457029504839</v>
      </c>
      <c r="AN231" s="74">
        <f t="shared" si="779"/>
        <v>15.982355688560617</v>
      </c>
      <c r="AO231" s="74">
        <f t="shared" si="779"/>
        <v>89.141100968768725</v>
      </c>
      <c r="AP231" s="74">
        <f t="shared" si="779"/>
        <v>-7.5913349952721481</v>
      </c>
      <c r="AQ231" s="74">
        <f t="shared" si="779"/>
        <v>158.92071474469654</v>
      </c>
      <c r="AR231" s="74">
        <f t="shared" si="779"/>
        <v>-32.742589038174522</v>
      </c>
      <c r="AS231" s="74">
        <f t="shared" si="779"/>
        <v>145.4579968114368</v>
      </c>
      <c r="AT231" s="74">
        <f t="shared" si="770"/>
        <v>14.553700679102855</v>
      </c>
      <c r="AU231" s="74">
        <f t="shared" si="770"/>
        <v>95.647105686922686</v>
      </c>
    </row>
    <row r="232" spans="2:47" ht="13.5" customHeight="1" thickTop="1" x14ac:dyDescent="0.35">
      <c r="B232" s="3" t="str">
        <f t="shared" si="752"/>
        <v>Other investing activities</v>
      </c>
      <c r="C232" s="76">
        <f t="shared" ref="C232:M232" si="780">C174/C$200</f>
        <v>7.1749578770008435</v>
      </c>
      <c r="D232" s="76">
        <f t="shared" si="780"/>
        <v>-23.499563578655028</v>
      </c>
      <c r="E232" s="76">
        <f t="shared" si="780"/>
        <v>1.063078967350038</v>
      </c>
      <c r="F232" s="76">
        <f t="shared" si="780"/>
        <v>13.74070283838579</v>
      </c>
      <c r="G232" s="76">
        <f t="shared" si="780"/>
        <v>10.506912886387497</v>
      </c>
      <c r="H232" s="76">
        <f t="shared" si="780"/>
        <v>-48.156754554436596</v>
      </c>
      <c r="I232" s="76">
        <f t="shared" si="780"/>
        <v>480.33338226389469</v>
      </c>
      <c r="J232" s="76">
        <f t="shared" si="780"/>
        <v>445.68952932292979</v>
      </c>
      <c r="K232" s="76">
        <f t="shared" si="780"/>
        <v>508.81544363796661</v>
      </c>
      <c r="L232" s="76">
        <f t="shared" ref="L232" si="781">L174/L$200</f>
        <v>145.76059580012958</v>
      </c>
      <c r="M232" s="76"/>
      <c r="N232" s="76"/>
      <c r="O232" s="76">
        <f t="shared" ref="O232:AS232" si="782">O174/O$200</f>
        <v>3.6004664723032067</v>
      </c>
      <c r="P232" s="76">
        <f t="shared" si="782"/>
        <v>0.1659029649595691</v>
      </c>
      <c r="Q232" s="76">
        <f t="shared" si="782"/>
        <v>1.6340571428571424</v>
      </c>
      <c r="R232" s="76">
        <f t="shared" si="782"/>
        <v>-4.2018976045091589</v>
      </c>
      <c r="S232" s="76">
        <f t="shared" si="782"/>
        <v>7.835822035516518</v>
      </c>
      <c r="T232" s="76">
        <f t="shared" si="782"/>
        <v>2.4454232094982764</v>
      </c>
      <c r="U232" s="76">
        <f t="shared" si="782"/>
        <v>1.8853986551392912</v>
      </c>
      <c r="V232" s="76">
        <f t="shared" si="782"/>
        <v>1.4785472079029376</v>
      </c>
      <c r="W232" s="76">
        <f t="shared" si="782"/>
        <v>6.2740310840055082</v>
      </c>
      <c r="X232" s="76">
        <f t="shared" si="782"/>
        <v>1.2647845760377727</v>
      </c>
      <c r="Y232" s="76">
        <f t="shared" si="782"/>
        <v>0.27724856909239548</v>
      </c>
      <c r="Z232" s="76">
        <f t="shared" si="782"/>
        <v>2.4014974813304857</v>
      </c>
      <c r="AA232" s="76">
        <f t="shared" si="782"/>
        <v>0.18044642098790714</v>
      </c>
      <c r="AB232" s="76">
        <f t="shared" si="782"/>
        <v>-50.864651873254537</v>
      </c>
      <c r="AC232" s="76">
        <f t="shared" si="782"/>
        <v>-0.96025504385402216</v>
      </c>
      <c r="AD232" s="76">
        <f t="shared" si="782"/>
        <v>2.1876431197353505</v>
      </c>
      <c r="AE232" s="76">
        <f t="shared" si="782"/>
        <v>0.22657131066068142</v>
      </c>
      <c r="AF232" s="76">
        <f t="shared" si="782"/>
        <v>42.555799721141966</v>
      </c>
      <c r="AG232" s="76">
        <f t="shared" si="782"/>
        <v>-270.08713947683526</v>
      </c>
      <c r="AH232" s="76">
        <f t="shared" si="782"/>
        <v>685.82783505154634</v>
      </c>
      <c r="AI232" s="76">
        <f t="shared" si="782"/>
        <v>1.2431969066900121</v>
      </c>
      <c r="AJ232" s="76">
        <f t="shared" si="782"/>
        <v>238.89532249946072</v>
      </c>
      <c r="AK232" s="76">
        <f t="shared" si="782"/>
        <v>28.431319662760767</v>
      </c>
      <c r="AL232" s="76">
        <f t="shared" si="782"/>
        <v>175.58187624892946</v>
      </c>
      <c r="AM232" s="76">
        <f t="shared" si="782"/>
        <v>88.746251586039264</v>
      </c>
      <c r="AN232" s="76">
        <f t="shared" si="782"/>
        <v>140.8942206230864</v>
      </c>
      <c r="AO232" s="76">
        <f t="shared" si="782"/>
        <v>216.46598817892493</v>
      </c>
      <c r="AP232" s="76">
        <f t="shared" si="782"/>
        <v>62.835296140290517</v>
      </c>
      <c r="AQ232" s="76">
        <f t="shared" si="782"/>
        <v>37.907905188911428</v>
      </c>
      <c r="AR232" s="76">
        <f t="shared" si="782"/>
        <v>11.024329992180281</v>
      </c>
      <c r="AS232" s="76">
        <f t="shared" si="782"/>
        <v>48.027242943989911</v>
      </c>
      <c r="AT232" s="76">
        <f t="shared" si="770"/>
        <v>48.201203472878881</v>
      </c>
      <c r="AU232" s="76">
        <f t="shared" si="770"/>
        <v>0.57893041783201982</v>
      </c>
    </row>
    <row r="233" spans="2:47" ht="13.5" customHeight="1" x14ac:dyDescent="0.35">
      <c r="B233" s="3" t="str">
        <f t="shared" si="752"/>
        <v>Dividends / Equity movements</v>
      </c>
      <c r="C233" s="76">
        <f t="shared" ref="C233:M233" si="783">C175/C$200</f>
        <v>-257.67839090143218</v>
      </c>
      <c r="D233" s="76">
        <f t="shared" si="783"/>
        <v>-250.85354096409444</v>
      </c>
      <c r="E233" s="76">
        <f t="shared" si="783"/>
        <v>-240.44022399392557</v>
      </c>
      <c r="F233" s="76">
        <f t="shared" si="783"/>
        <v>-244.99243097122996</v>
      </c>
      <c r="G233" s="76">
        <f t="shared" si="783"/>
        <v>-302.96492495871036</v>
      </c>
      <c r="H233" s="76">
        <f t="shared" si="783"/>
        <v>99.573854680853088</v>
      </c>
      <c r="I233" s="76">
        <f t="shared" si="783"/>
        <v>18.452595460467151</v>
      </c>
      <c r="J233" s="76">
        <f t="shared" si="783"/>
        <v>-284.04775088993563</v>
      </c>
      <c r="K233" s="76">
        <f t="shared" si="783"/>
        <v>-276.98004076519857</v>
      </c>
      <c r="L233" s="76">
        <f t="shared" ref="L233" si="784">L175/L$200</f>
        <v>-276.94760348961182</v>
      </c>
      <c r="M233" s="76"/>
      <c r="N233" s="76"/>
      <c r="O233" s="76">
        <f t="shared" ref="O233:AS233" si="785">O175/O$200</f>
        <v>-63.826666666666654</v>
      </c>
      <c r="P233" s="76">
        <f t="shared" si="785"/>
        <v>-58.275009626492114</v>
      </c>
      <c r="Q233" s="76">
        <f t="shared" si="785"/>
        <v>-62.609371428571436</v>
      </c>
      <c r="R233" s="76">
        <f t="shared" si="785"/>
        <v>-57.655481446688583</v>
      </c>
      <c r="S233" s="76">
        <f t="shared" si="785"/>
        <v>-62.764769906434985</v>
      </c>
      <c r="T233" s="76">
        <f t="shared" si="785"/>
        <v>-58.02954806587514</v>
      </c>
      <c r="U233" s="76">
        <f t="shared" si="785"/>
        <v>-63.215100864553307</v>
      </c>
      <c r="V233" s="76">
        <f t="shared" si="785"/>
        <v>-60.37981928301221</v>
      </c>
      <c r="W233" s="76">
        <f t="shared" si="785"/>
        <v>-75.873637615581359</v>
      </c>
      <c r="X233" s="76">
        <f t="shared" si="785"/>
        <v>-65.180700373794991</v>
      </c>
      <c r="Y233" s="76">
        <f t="shared" si="785"/>
        <v>-73.040964840556015</v>
      </c>
      <c r="Z233" s="76">
        <f t="shared" si="785"/>
        <v>-82.919598580920805</v>
      </c>
      <c r="AA233" s="76">
        <f t="shared" si="785"/>
        <v>-77.946675297598617</v>
      </c>
      <c r="AB233" s="76">
        <f t="shared" si="785"/>
        <v>-74.438157935222961</v>
      </c>
      <c r="AC233" s="76">
        <f t="shared" si="785"/>
        <v>-77.624576466399304</v>
      </c>
      <c r="AD233" s="76">
        <f t="shared" si="785"/>
        <v>319.70623587073868</v>
      </c>
      <c r="AE233" s="76">
        <f t="shared" si="785"/>
        <v>-69.995343579846107</v>
      </c>
      <c r="AF233" s="76">
        <f t="shared" si="785"/>
        <v>-67.59207200154782</v>
      </c>
      <c r="AG233" s="76">
        <f t="shared" si="785"/>
        <v>-74.456924176914711</v>
      </c>
      <c r="AH233" s="76">
        <f t="shared" si="785"/>
        <v>217.7951074611218</v>
      </c>
      <c r="AI233" s="76">
        <f t="shared" si="785"/>
        <v>-65.687495440285986</v>
      </c>
      <c r="AJ233" s="76">
        <f t="shared" si="785"/>
        <v>-64.818310922556975</v>
      </c>
      <c r="AK233" s="76">
        <f t="shared" si="785"/>
        <v>-76.167583595312948</v>
      </c>
      <c r="AL233" s="76">
        <f t="shared" si="785"/>
        <v>-77.217938195832133</v>
      </c>
      <c r="AM233" s="76">
        <f t="shared" si="785"/>
        <v>-64.437264327966119</v>
      </c>
      <c r="AN233" s="76">
        <f t="shared" si="785"/>
        <v>-62.438513034302623</v>
      </c>
      <c r="AO233" s="76">
        <f t="shared" si="785"/>
        <v>-75.036792221872489</v>
      </c>
      <c r="AP233" s="76">
        <f t="shared" si="785"/>
        <v>-74.940789134359164</v>
      </c>
      <c r="AQ233" s="76">
        <f t="shared" si="785"/>
        <v>-62.596161598782608</v>
      </c>
      <c r="AR233" s="76">
        <f t="shared" si="785"/>
        <v>-75.996836567853833</v>
      </c>
      <c r="AS233" s="76">
        <f t="shared" si="785"/>
        <v>-63.275688081431007</v>
      </c>
      <c r="AT233" s="76">
        <f t="shared" si="770"/>
        <v>-75.130817501934175</v>
      </c>
      <c r="AU233" s="76">
        <f t="shared" si="770"/>
        <v>359.78801593355371</v>
      </c>
    </row>
    <row r="234" spans="2:47" ht="13.5" customHeight="1" x14ac:dyDescent="0.35">
      <c r="B234" s="3" t="str">
        <f t="shared" si="752"/>
        <v>Principal Repayments</v>
      </c>
      <c r="C234" s="76">
        <f t="shared" ref="C234:M234" si="786">C176/C$200</f>
        <v>695.17051390058964</v>
      </c>
      <c r="D234" s="76">
        <f t="shared" si="786"/>
        <v>515.31467962705824</v>
      </c>
      <c r="E234" s="76">
        <f t="shared" si="786"/>
        <v>300.61495823842068</v>
      </c>
      <c r="F234" s="76">
        <f t="shared" si="786"/>
        <v>-257.65894960417069</v>
      </c>
      <c r="G234" s="76">
        <f t="shared" si="786"/>
        <v>611.72895328774996</v>
      </c>
      <c r="H234" s="76">
        <f t="shared" si="786"/>
        <v>778.57204389206004</v>
      </c>
      <c r="I234" s="76">
        <f t="shared" si="786"/>
        <v>202.42644819170988</v>
      </c>
      <c r="J234" s="76">
        <f t="shared" si="786"/>
        <v>23.169752975441497</v>
      </c>
      <c r="K234" s="76">
        <f t="shared" si="786"/>
        <v>-343.83983728837234</v>
      </c>
      <c r="L234" s="76">
        <f t="shared" ref="L234" si="787">L176/L$200</f>
        <v>-167.47613694540644</v>
      </c>
      <c r="M234" s="76"/>
      <c r="N234" s="76"/>
      <c r="O234" s="76">
        <f t="shared" ref="O234:AS234" si="788">O176/O$200</f>
        <v>-88.063634596695806</v>
      </c>
      <c r="P234" s="76">
        <f t="shared" si="788"/>
        <v>110.84526376588371</v>
      </c>
      <c r="Q234" s="76">
        <f t="shared" si="788"/>
        <v>-5</v>
      </c>
      <c r="R234" s="76">
        <f t="shared" si="788"/>
        <v>279.42634100516676</v>
      </c>
      <c r="S234" s="76">
        <f t="shared" si="788"/>
        <v>-193.67510024823372</v>
      </c>
      <c r="T234" s="76">
        <f t="shared" si="788"/>
        <v>-115.68364611260057</v>
      </c>
      <c r="U234" s="76">
        <f t="shared" si="788"/>
        <v>602.02040345821331</v>
      </c>
      <c r="V234" s="76">
        <f t="shared" si="788"/>
        <v>-558.52827378035647</v>
      </c>
      <c r="W234" s="76">
        <f t="shared" si="788"/>
        <v>167.95628565807593</v>
      </c>
      <c r="X234" s="76">
        <f t="shared" si="788"/>
        <v>113.48660240015741</v>
      </c>
      <c r="Y234" s="76">
        <f t="shared" si="788"/>
        <v>302.89086263286998</v>
      </c>
      <c r="Z234" s="76">
        <f t="shared" si="788"/>
        <v>21.762637448793605</v>
      </c>
      <c r="AA234" s="76">
        <f t="shared" si="788"/>
        <v>61.408275786313695</v>
      </c>
      <c r="AB234" s="76">
        <f t="shared" si="788"/>
        <v>306.15634556183301</v>
      </c>
      <c r="AC234" s="76">
        <f t="shared" si="788"/>
        <v>404.68901786784971</v>
      </c>
      <c r="AD234" s="76">
        <f t="shared" si="788"/>
        <v>13.653703800583022</v>
      </c>
      <c r="AE234" s="76">
        <f t="shared" si="788"/>
        <v>102.91277138837735</v>
      </c>
      <c r="AF234" s="76">
        <f t="shared" si="788"/>
        <v>331.0279869288716</v>
      </c>
      <c r="AG234" s="76">
        <f t="shared" si="788"/>
        <v>53.671783706287414</v>
      </c>
      <c r="AH234" s="76">
        <f t="shared" si="788"/>
        <v>-262.72959986021323</v>
      </c>
      <c r="AI234" s="76">
        <f t="shared" si="788"/>
        <v>9.2810060553002174</v>
      </c>
      <c r="AJ234" s="76">
        <f t="shared" si="788"/>
        <v>193.46658157762278</v>
      </c>
      <c r="AK234" s="76">
        <f t="shared" si="788"/>
        <v>-188.07219919977135</v>
      </c>
      <c r="AL234" s="76">
        <f t="shared" si="788"/>
        <v>9.7552811875536403</v>
      </c>
      <c r="AM234" s="76">
        <f t="shared" si="788"/>
        <v>-130.85074253444608</v>
      </c>
      <c r="AN234" s="76">
        <f t="shared" si="788"/>
        <v>-109.57575809994984</v>
      </c>
      <c r="AO234" s="76">
        <f t="shared" si="788"/>
        <v>-163.0974364354912</v>
      </c>
      <c r="AP234" s="76">
        <f t="shared" si="788"/>
        <v>56.537127138313416</v>
      </c>
      <c r="AQ234" s="76">
        <f t="shared" si="788"/>
        <v>-196.54754046593726</v>
      </c>
      <c r="AR234" s="76">
        <f t="shared" si="788"/>
        <v>84.496285633041865</v>
      </c>
      <c r="AS234" s="76">
        <f t="shared" si="788"/>
        <v>-9.3469927644142299</v>
      </c>
      <c r="AT234" s="76">
        <f t="shared" si="770"/>
        <v>-42.683263130748742</v>
      </c>
      <c r="AU234" s="76">
        <f t="shared" si="770"/>
        <v>-192.76336977709977</v>
      </c>
    </row>
    <row r="235" spans="2:47" ht="13.5" customHeight="1" x14ac:dyDescent="0.35">
      <c r="B235" s="3" t="str">
        <f t="shared" si="752"/>
        <v>Other financing activities</v>
      </c>
      <c r="C235" s="76">
        <f t="shared" ref="C235:M235" si="789">C177/C$200</f>
        <v>0.10606571187868576</v>
      </c>
      <c r="D235" s="76">
        <f t="shared" si="789"/>
        <v>0.15697282285260863</v>
      </c>
      <c r="E235" s="76">
        <f t="shared" si="789"/>
        <v>4.8462414578587701E-2</v>
      </c>
      <c r="F235" s="76">
        <f t="shared" si="789"/>
        <v>0.14583896505116817</v>
      </c>
      <c r="G235" s="76">
        <f t="shared" si="789"/>
        <v>0</v>
      </c>
      <c r="H235" s="76">
        <f t="shared" si="789"/>
        <v>0</v>
      </c>
      <c r="I235" s="76">
        <f t="shared" si="789"/>
        <v>0</v>
      </c>
      <c r="J235" s="76">
        <f t="shared" si="789"/>
        <v>0</v>
      </c>
      <c r="K235" s="76">
        <f t="shared" si="789"/>
        <v>0</v>
      </c>
      <c r="L235" s="76">
        <f t="shared" ref="L235" si="790">L177/L$200</f>
        <v>-0.51522107487775093</v>
      </c>
      <c r="M235" s="76"/>
      <c r="N235" s="76"/>
      <c r="O235" s="76">
        <f t="shared" ref="O235:AS235" si="791">O177/O$200</f>
        <v>0</v>
      </c>
      <c r="P235" s="76">
        <f t="shared" si="791"/>
        <v>1.0242587601078167E-2</v>
      </c>
      <c r="Q235" s="76">
        <f t="shared" si="791"/>
        <v>3.8514285714285709E-2</v>
      </c>
      <c r="R235" s="76">
        <f t="shared" si="791"/>
        <v>-1.8788163457020008E-5</v>
      </c>
      <c r="S235" s="76">
        <f t="shared" si="791"/>
        <v>1.7089936986824518E-2</v>
      </c>
      <c r="T235" s="76">
        <f t="shared" si="791"/>
        <v>1.5224052087322864E-2</v>
      </c>
      <c r="U235" s="76">
        <f t="shared" si="791"/>
        <v>0.1126416906820365</v>
      </c>
      <c r="V235" s="76">
        <f t="shared" si="791"/>
        <v>0</v>
      </c>
      <c r="W235" s="76">
        <f t="shared" si="791"/>
        <v>0</v>
      </c>
      <c r="X235" s="76">
        <f t="shared" si="791"/>
        <v>0</v>
      </c>
      <c r="Y235" s="76">
        <f t="shared" si="791"/>
        <v>0</v>
      </c>
      <c r="Z235" s="76">
        <f t="shared" si="791"/>
        <v>0</v>
      </c>
      <c r="AA235" s="76">
        <f t="shared" si="791"/>
        <v>0</v>
      </c>
      <c r="AB235" s="76">
        <f t="shared" si="791"/>
        <v>0</v>
      </c>
      <c r="AC235" s="76">
        <f t="shared" si="791"/>
        <v>0</v>
      </c>
      <c r="AD235" s="76">
        <f t="shared" si="791"/>
        <v>0</v>
      </c>
      <c r="AE235" s="76">
        <f t="shared" si="791"/>
        <v>0</v>
      </c>
      <c r="AF235" s="76">
        <f t="shared" si="791"/>
        <v>-15.405987894422614</v>
      </c>
      <c r="AG235" s="76">
        <f t="shared" si="791"/>
        <v>14.49314322910862</v>
      </c>
      <c r="AH235" s="76">
        <f t="shared" si="791"/>
        <v>0</v>
      </c>
      <c r="AI235" s="76">
        <f t="shared" si="791"/>
        <v>0</v>
      </c>
      <c r="AJ235" s="76">
        <f t="shared" si="791"/>
        <v>-11.836700941971669</v>
      </c>
      <c r="AK235" s="76">
        <f t="shared" si="791"/>
        <v>11.761431837667905</v>
      </c>
      <c r="AL235" s="76">
        <f t="shared" si="791"/>
        <v>0</v>
      </c>
      <c r="AM235" s="76">
        <f t="shared" si="791"/>
        <v>0</v>
      </c>
      <c r="AN235" s="76">
        <f t="shared" si="791"/>
        <v>-11.789617533602035</v>
      </c>
      <c r="AO235" s="76">
        <f t="shared" si="791"/>
        <v>11.918056867065367</v>
      </c>
      <c r="AP235" s="76">
        <f t="shared" si="791"/>
        <v>0</v>
      </c>
      <c r="AQ235" s="76">
        <f t="shared" si="791"/>
        <v>0</v>
      </c>
      <c r="AR235" s="76">
        <f t="shared" si="791"/>
        <v>0</v>
      </c>
      <c r="AS235" s="76">
        <f t="shared" si="791"/>
        <v>0</v>
      </c>
      <c r="AT235" s="76">
        <f t="shared" si="770"/>
        <v>-0.5075045130232958</v>
      </c>
      <c r="AU235" s="76">
        <f t="shared" si="770"/>
        <v>0</v>
      </c>
    </row>
    <row r="236" spans="2:47" s="6" customFormat="1" ht="13.5" customHeight="1" x14ac:dyDescent="0.3">
      <c r="B236" s="6" t="str">
        <f t="shared" si="752"/>
        <v>Cash flow after financing activities</v>
      </c>
      <c r="C236" s="76">
        <f t="shared" ref="C236:M236" si="792">C178/C$200</f>
        <v>-165.73576242628488</v>
      </c>
      <c r="D236" s="76">
        <f t="shared" si="792"/>
        <v>-59.183654036897245</v>
      </c>
      <c r="E236" s="76">
        <f t="shared" si="792"/>
        <v>121.28035307517075</v>
      </c>
      <c r="F236" s="76">
        <f t="shared" si="792"/>
        <v>-388.38536396987843</v>
      </c>
      <c r="G236" s="76">
        <f t="shared" si="792"/>
        <v>97.436526370667536</v>
      </c>
      <c r="H236" s="76">
        <f t="shared" si="792"/>
        <v>-27.500346268801763</v>
      </c>
      <c r="I236" s="76">
        <f t="shared" si="792"/>
        <v>-190.74953668874656</v>
      </c>
      <c r="J236" s="76">
        <f t="shared" si="792"/>
        <v>-26.942324979324649</v>
      </c>
      <c r="K236" s="76">
        <f t="shared" si="792"/>
        <v>68.078091106290671</v>
      </c>
      <c r="L236" s="76">
        <f t="shared" ref="L236" si="793">L178/L$200</f>
        <v>-11.701395121019953</v>
      </c>
      <c r="M236" s="76"/>
      <c r="N236" s="76"/>
      <c r="O236" s="76">
        <f t="shared" ref="O236:AS236" si="794">O178/O$200</f>
        <v>-124.79654033041788</v>
      </c>
      <c r="P236" s="76">
        <f t="shared" si="794"/>
        <v>49.681921447824493</v>
      </c>
      <c r="Q236" s="76">
        <f t="shared" si="794"/>
        <v>0.24036190476175281</v>
      </c>
      <c r="R236" s="76">
        <f t="shared" si="794"/>
        <v>191.95364960075145</v>
      </c>
      <c r="S236" s="76">
        <f t="shared" si="794"/>
        <v>-149.44305900324613</v>
      </c>
      <c r="T236" s="76">
        <f t="shared" si="794"/>
        <v>-116.86332822673313</v>
      </c>
      <c r="U236" s="76">
        <f t="shared" si="794"/>
        <v>594.83052833813645</v>
      </c>
      <c r="V236" s="76">
        <f t="shared" si="794"/>
        <v>-728.09092690958255</v>
      </c>
      <c r="W236" s="76">
        <f t="shared" si="794"/>
        <v>98.857170962030281</v>
      </c>
      <c r="X236" s="76">
        <f t="shared" si="794"/>
        <v>-55.132382451308231</v>
      </c>
      <c r="Y236" s="76">
        <f t="shared" si="794"/>
        <v>349.95030662305805</v>
      </c>
      <c r="Z236" s="76">
        <f t="shared" si="794"/>
        <v>-284.72718007016948</v>
      </c>
      <c r="AA236" s="76">
        <f t="shared" si="794"/>
        <v>-141.59386732255189</v>
      </c>
      <c r="AB236" s="76">
        <f t="shared" si="794"/>
        <v>-20.710524518483869</v>
      </c>
      <c r="AC236" s="76">
        <f t="shared" si="794"/>
        <v>130.09440845969169</v>
      </c>
      <c r="AD236" s="76">
        <f t="shared" si="794"/>
        <v>3.7174437564723615</v>
      </c>
      <c r="AE236" s="76">
        <f t="shared" si="794"/>
        <v>-217.93558337590477</v>
      </c>
      <c r="AF236" s="76">
        <f t="shared" si="794"/>
        <v>91.537969301031907</v>
      </c>
      <c r="AG236" s="76">
        <f t="shared" si="794"/>
        <v>-487.80257314648355</v>
      </c>
      <c r="AH236" s="76">
        <f t="shared" si="794"/>
        <v>413.81567359776341</v>
      </c>
      <c r="AI236" s="76">
        <f t="shared" si="794"/>
        <v>-215.76324140949876</v>
      </c>
      <c r="AJ236" s="76">
        <f t="shared" si="794"/>
        <v>287.90610843460115</v>
      </c>
      <c r="AK236" s="76">
        <f t="shared" si="794"/>
        <v>-197.52518576736207</v>
      </c>
      <c r="AL236" s="76">
        <f t="shared" si="794"/>
        <v>95.880138452754821</v>
      </c>
      <c r="AM236" s="76">
        <f t="shared" si="794"/>
        <v>-21.923298246868111</v>
      </c>
      <c r="AN236" s="76">
        <f t="shared" si="794"/>
        <v>-26.927312356207501</v>
      </c>
      <c r="AO236" s="76">
        <f t="shared" si="794"/>
        <v>79.39091735739531</v>
      </c>
      <c r="AP236" s="76">
        <f t="shared" si="794"/>
        <v>36.840299148972619</v>
      </c>
      <c r="AQ236" s="76">
        <f t="shared" si="794"/>
        <v>-62.315082131111922</v>
      </c>
      <c r="AR236" s="76">
        <f t="shared" si="794"/>
        <v>-13.218809980806212</v>
      </c>
      <c r="AS236" s="76">
        <f t="shared" si="794"/>
        <v>120.86255890958147</v>
      </c>
      <c r="AT236" s="76">
        <f t="shared" si="770"/>
        <v>-55.566680993724475</v>
      </c>
      <c r="AU236" s="76">
        <f t="shared" si="770"/>
        <v>263.25068226120862</v>
      </c>
    </row>
    <row r="237" spans="2:47" ht="13.5" customHeight="1" x14ac:dyDescent="0.35">
      <c r="B237" s="3" t="str">
        <f t="shared" si="752"/>
        <v xml:space="preserve">FX </v>
      </c>
      <c r="C237" s="76">
        <f t="shared" ref="C237:M237" si="795">C179/C$200</f>
        <v>1.1127422072451558</v>
      </c>
      <c r="D237" s="76">
        <f t="shared" si="795"/>
        <v>-2.1271374727236663</v>
      </c>
      <c r="E237" s="76">
        <f t="shared" si="795"/>
        <v>4.5640850417615795</v>
      </c>
      <c r="F237" s="76">
        <f t="shared" si="795"/>
        <v>-13.175921992662676</v>
      </c>
      <c r="G237" s="76">
        <f t="shared" si="795"/>
        <v>-17.501168669511092</v>
      </c>
      <c r="H237" s="76">
        <f t="shared" si="795"/>
        <v>1.8247410513997495</v>
      </c>
      <c r="I237" s="76">
        <f t="shared" si="795"/>
        <v>5.2765922310501114</v>
      </c>
      <c r="J237" s="76">
        <f t="shared" si="795"/>
        <v>3.6278450972636729</v>
      </c>
      <c r="K237" s="76">
        <f t="shared" si="795"/>
        <v>2.3356451070850266</v>
      </c>
      <c r="L237" s="76">
        <f t="shared" ref="L237" si="796">L179/L$200</f>
        <v>2.5400282050479128</v>
      </c>
      <c r="M237" s="76"/>
      <c r="N237" s="76"/>
      <c r="O237" s="76">
        <f t="shared" ref="O237:AS237" si="797">O179/O$200</f>
        <v>5.452594752186589</v>
      </c>
      <c r="P237" s="76">
        <f t="shared" si="797"/>
        <v>1.961070465922218</v>
      </c>
      <c r="Q237" s="76">
        <f t="shared" si="797"/>
        <v>1.6310666666666662</v>
      </c>
      <c r="R237" s="76">
        <f t="shared" si="797"/>
        <v>-4.2759793330201967</v>
      </c>
      <c r="S237" s="76">
        <f t="shared" si="797"/>
        <v>0.38999427152950161</v>
      </c>
      <c r="T237" s="76">
        <f t="shared" si="797"/>
        <v>-8.1957104557640736</v>
      </c>
      <c r="U237" s="76">
        <f t="shared" si="797"/>
        <v>1.5369836695477959E-3</v>
      </c>
      <c r="V237" s="76">
        <f t="shared" si="797"/>
        <v>-5.3882867167133801</v>
      </c>
      <c r="W237" s="76">
        <f t="shared" si="797"/>
        <v>-2.7401927995278377</v>
      </c>
      <c r="X237" s="76">
        <f t="shared" si="797"/>
        <v>-1.2442258508754673</v>
      </c>
      <c r="Y237" s="76">
        <f t="shared" si="797"/>
        <v>-11.814411283728536</v>
      </c>
      <c r="Z237" s="76">
        <f t="shared" si="797"/>
        <v>-1.6556772966933895</v>
      </c>
      <c r="AA237" s="76">
        <f t="shared" si="797"/>
        <v>0.48530950208592377</v>
      </c>
      <c r="AB237" s="76">
        <f t="shared" si="797"/>
        <v>-1.6471407472944597</v>
      </c>
      <c r="AC237" s="76">
        <f t="shared" si="797"/>
        <v>3.309052608798293</v>
      </c>
      <c r="AD237" s="76">
        <f t="shared" si="797"/>
        <v>-0.35290885712779707</v>
      </c>
      <c r="AE237" s="76">
        <f t="shared" si="797"/>
        <v>4.4358929768980611</v>
      </c>
      <c r="AF237" s="76">
        <f t="shared" si="797"/>
        <v>2.3823998987455268</v>
      </c>
      <c r="AG237" s="76">
        <f t="shared" si="797"/>
        <v>1.7220317728193464</v>
      </c>
      <c r="AH237" s="76">
        <f t="shared" si="797"/>
        <v>-2.9088240433339152</v>
      </c>
      <c r="AI237" s="76">
        <f t="shared" si="797"/>
        <v>1.1695301670679215</v>
      </c>
      <c r="AJ237" s="76">
        <f t="shared" si="797"/>
        <v>-0.18075429639749779</v>
      </c>
      <c r="AK237" s="76">
        <f t="shared" si="797"/>
        <v>2.960667333523864</v>
      </c>
      <c r="AL237" s="76">
        <f t="shared" si="797"/>
        <v>-0.32168855266914048</v>
      </c>
      <c r="AM237" s="76">
        <f t="shared" si="797"/>
        <v>0.52672587879979271</v>
      </c>
      <c r="AN237" s="76">
        <f t="shared" si="797"/>
        <v>-0.67108927675621444</v>
      </c>
      <c r="AO237" s="76">
        <f t="shared" si="797"/>
        <v>-2.2364389885636347</v>
      </c>
      <c r="AP237" s="76">
        <f t="shared" si="797"/>
        <v>4.6591249032923585</v>
      </c>
      <c r="AQ237" s="76">
        <f t="shared" si="797"/>
        <v>-0.71695380999761482</v>
      </c>
      <c r="AR237" s="76">
        <f t="shared" si="797"/>
        <v>-1.7158775858391979</v>
      </c>
      <c r="AS237" s="76">
        <f t="shared" si="797"/>
        <v>3.2430315877993654</v>
      </c>
      <c r="AT237" s="76">
        <f t="shared" si="770"/>
        <v>1.6901916960371357</v>
      </c>
      <c r="AU237" s="76">
        <f t="shared" si="770"/>
        <v>2.8805661496737009</v>
      </c>
    </row>
    <row r="238" spans="2:47" ht="13.5" customHeight="1" x14ac:dyDescent="0.35">
      <c r="B238" s="3" t="str">
        <f t="shared" si="752"/>
        <v>Balancing figure</v>
      </c>
      <c r="C238" s="76">
        <f t="shared" ref="C238:M238" si="798">C180/C$200</f>
        <v>97.615290648694298</v>
      </c>
      <c r="D238" s="76">
        <f t="shared" si="798"/>
        <v>112.67694901805179</v>
      </c>
      <c r="E238" s="76">
        <f t="shared" si="798"/>
        <v>102.02507593014434</v>
      </c>
      <c r="F238" s="76">
        <f t="shared" si="798"/>
        <v>113.31463603012169</v>
      </c>
      <c r="G238" s="76">
        <f t="shared" si="798"/>
        <v>146.88262903918999</v>
      </c>
      <c r="H238" s="76">
        <f t="shared" si="798"/>
        <v>120.6282302814412</v>
      </c>
      <c r="I238" s="76">
        <f t="shared" si="798"/>
        <v>71.610121286629095</v>
      </c>
      <c r="J238" s="76">
        <f t="shared" si="798"/>
        <v>-1.652403725144806</v>
      </c>
      <c r="K238" s="76">
        <f t="shared" si="798"/>
        <v>11.790238175255443</v>
      </c>
      <c r="L238" s="76">
        <f t="shared" ref="L238" si="799">L180/L$200</f>
        <v>82.571686780900578</v>
      </c>
      <c r="M238" s="76"/>
      <c r="N238" s="76"/>
      <c r="O238" s="76">
        <f t="shared" ref="O238:AS238" si="800">O180/O$200</f>
        <v>23.750553935860065</v>
      </c>
      <c r="P238" s="76">
        <f t="shared" si="800"/>
        <v>31.815402387369961</v>
      </c>
      <c r="Q238" s="76">
        <f t="shared" si="800"/>
        <v>26.595695238095402</v>
      </c>
      <c r="R238" s="76">
        <f t="shared" si="800"/>
        <v>20.741174260216056</v>
      </c>
      <c r="S238" s="76">
        <f t="shared" si="800"/>
        <v>21.742085163261407</v>
      </c>
      <c r="T238" s="76">
        <f t="shared" si="800"/>
        <v>33.660551512830388</v>
      </c>
      <c r="U238" s="76">
        <f t="shared" si="800"/>
        <v>-597.83631123919315</v>
      </c>
      <c r="V238" s="76">
        <f t="shared" si="800"/>
        <v>668.17377839628386</v>
      </c>
      <c r="W238" s="76">
        <f t="shared" si="800"/>
        <v>26.27155223293332</v>
      </c>
      <c r="X238" s="76">
        <f t="shared" si="800"/>
        <v>61.612374581939761</v>
      </c>
      <c r="Y238" s="76">
        <f t="shared" si="800"/>
        <v>26.579660670482419</v>
      </c>
      <c r="Z238" s="76">
        <f t="shared" si="800"/>
        <v>29.243242713498578</v>
      </c>
      <c r="AA238" s="76">
        <f t="shared" si="800"/>
        <v>40.002612808890163</v>
      </c>
      <c r="AB238" s="76">
        <f t="shared" si="800"/>
        <v>25.332344917097721</v>
      </c>
      <c r="AC238" s="76">
        <f t="shared" si="800"/>
        <v>-172.02244795037751</v>
      </c>
      <c r="AD238" s="76">
        <f t="shared" si="800"/>
        <v>222.59277068939491</v>
      </c>
      <c r="AE238" s="76">
        <f t="shared" si="800"/>
        <v>31.422926347648268</v>
      </c>
      <c r="AF238" s="76">
        <f t="shared" si="800"/>
        <v>-71.10168551552789</v>
      </c>
      <c r="AG238" s="76">
        <f t="shared" si="800"/>
        <v>456.45457228023957</v>
      </c>
      <c r="AH238" s="76">
        <f t="shared" si="800"/>
        <v>-347.24633933251812</v>
      </c>
      <c r="AI238" s="76">
        <f t="shared" si="800"/>
        <v>181.94716203399719</v>
      </c>
      <c r="AJ238" s="76">
        <f t="shared" si="800"/>
        <v>-123.89025310994457</v>
      </c>
      <c r="AK238" s="76">
        <f t="shared" si="800"/>
        <v>27.001929122606448</v>
      </c>
      <c r="AL238" s="76">
        <f t="shared" si="800"/>
        <v>-83.635776477305285</v>
      </c>
      <c r="AM238" s="76">
        <f t="shared" si="800"/>
        <v>27.370052004217506</v>
      </c>
      <c r="AN238" s="76">
        <f t="shared" si="800"/>
        <v>56.222024252279049</v>
      </c>
      <c r="AO238" s="76">
        <f t="shared" si="800"/>
        <v>-13.81754275521995</v>
      </c>
      <c r="AP238" s="76">
        <f t="shared" si="800"/>
        <v>-57.013306971546292</v>
      </c>
      <c r="AQ238" s="76">
        <f t="shared" si="800"/>
        <v>17.477808483621882</v>
      </c>
      <c r="AR238" s="76">
        <f t="shared" si="800"/>
        <v>25.396033269353868</v>
      </c>
      <c r="AS238" s="76">
        <f t="shared" si="800"/>
        <v>23.284745703323448</v>
      </c>
      <c r="AT238" s="76">
        <f t="shared" si="770"/>
        <v>16.590148714862725</v>
      </c>
      <c r="AU238" s="76">
        <f t="shared" si="770"/>
        <v>18.524349521145815</v>
      </c>
    </row>
    <row r="239" spans="2:47" ht="13.5" customHeight="1" thickBot="1" x14ac:dyDescent="0.4">
      <c r="B239" s="73" t="str">
        <f t="shared" si="752"/>
        <v xml:space="preserve">Net change in cash </v>
      </c>
      <c r="C239" s="74">
        <f t="shared" ref="C239:M239" si="801">C181/C$200</f>
        <v>-67.007729570345418</v>
      </c>
      <c r="D239" s="74">
        <f t="shared" si="801"/>
        <v>51.366157508430881</v>
      </c>
      <c r="E239" s="74">
        <f t="shared" si="801"/>
        <v>227.86951404707668</v>
      </c>
      <c r="F239" s="74">
        <f t="shared" si="801"/>
        <v>-288.24664993241942</v>
      </c>
      <c r="G239" s="74">
        <f t="shared" si="801"/>
        <v>226.81798674034647</v>
      </c>
      <c r="H239" s="74">
        <f t="shared" si="801"/>
        <v>94.952625064039196</v>
      </c>
      <c r="I239" s="74">
        <f t="shared" si="801"/>
        <v>-113.86282317106735</v>
      </c>
      <c r="J239" s="74">
        <f t="shared" si="801"/>
        <v>-24.966883607205784</v>
      </c>
      <c r="K239" s="74">
        <f t="shared" si="801"/>
        <v>82.203974388631124</v>
      </c>
      <c r="L239" s="74">
        <f t="shared" ref="L239" si="802">L181/L$200</f>
        <v>73.410319864928539</v>
      </c>
      <c r="M239" s="74"/>
      <c r="N239" s="71"/>
      <c r="O239" s="74">
        <f t="shared" ref="O239:AS239" si="803">O181/O$200</f>
        <v>-95.59339164237123</v>
      </c>
      <c r="P239" s="74">
        <f t="shared" si="803"/>
        <v>83.45839430111667</v>
      </c>
      <c r="Q239" s="74">
        <f t="shared" si="803"/>
        <v>28.467123809523816</v>
      </c>
      <c r="R239" s="74">
        <f t="shared" si="803"/>
        <v>208.41884452794733</v>
      </c>
      <c r="S239" s="74">
        <f t="shared" si="803"/>
        <v>-127.31097956845522</v>
      </c>
      <c r="T239" s="74">
        <f t="shared" si="803"/>
        <v>-91.398487169666808</v>
      </c>
      <c r="U239" s="74">
        <f t="shared" si="803"/>
        <v>-3.0042459173872165</v>
      </c>
      <c r="V239" s="74">
        <f t="shared" si="803"/>
        <v>-65.305435230012066</v>
      </c>
      <c r="W239" s="74">
        <f t="shared" si="803"/>
        <v>122.38853039543577</v>
      </c>
      <c r="X239" s="74">
        <f t="shared" si="803"/>
        <v>5.2357662797560609</v>
      </c>
      <c r="Y239" s="74">
        <f t="shared" si="803"/>
        <v>364.71555600981191</v>
      </c>
      <c r="Z239" s="74">
        <f t="shared" si="803"/>
        <v>-257.13961465336428</v>
      </c>
      <c r="AA239" s="74">
        <f t="shared" si="803"/>
        <v>-101.1059450115758</v>
      </c>
      <c r="AB239" s="74">
        <f t="shared" si="803"/>
        <v>2.9746796513193945</v>
      </c>
      <c r="AC239" s="74">
        <f t="shared" si="803"/>
        <v>-38.618986881887523</v>
      </c>
      <c r="AD239" s="74">
        <f t="shared" si="803"/>
        <v>225.9573055887395</v>
      </c>
      <c r="AE239" s="74">
        <f t="shared" si="803"/>
        <v>-182.07676405135842</v>
      </c>
      <c r="AF239" s="74">
        <f t="shared" si="803"/>
        <v>22.818683684249557</v>
      </c>
      <c r="AG239" s="74">
        <f t="shared" si="803"/>
        <v>-29.625969093424615</v>
      </c>
      <c r="AH239" s="74">
        <f t="shared" si="803"/>
        <v>63.660510221911387</v>
      </c>
      <c r="AI239" s="74">
        <f t="shared" si="803"/>
        <v>-32.646549208433633</v>
      </c>
      <c r="AJ239" s="74">
        <f t="shared" si="803"/>
        <v>163.83510102825912</v>
      </c>
      <c r="AK239" s="74">
        <f t="shared" si="803"/>
        <v>-167.56258931123176</v>
      </c>
      <c r="AL239" s="74">
        <f t="shared" si="803"/>
        <v>11.922673422780392</v>
      </c>
      <c r="AM239" s="74">
        <f t="shared" si="803"/>
        <v>5.9734796361491878</v>
      </c>
      <c r="AN239" s="74">
        <f t="shared" si="803"/>
        <v>28.623622619315327</v>
      </c>
      <c r="AO239" s="74">
        <f t="shared" si="803"/>
        <v>63.336935613611722</v>
      </c>
      <c r="AP239" s="74">
        <f t="shared" si="803"/>
        <v>-15.513882919281313</v>
      </c>
      <c r="AQ239" s="74">
        <f t="shared" si="803"/>
        <v>-45.554227457487656</v>
      </c>
      <c r="AR239" s="74">
        <f t="shared" si="803"/>
        <v>10.46134570270846</v>
      </c>
      <c r="AS239" s="74">
        <f t="shared" si="803"/>
        <v>147.3903362007043</v>
      </c>
      <c r="AT239" s="74">
        <f t="shared" si="770"/>
        <v>-37.286340582824614</v>
      </c>
      <c r="AU239" s="74">
        <f t="shared" si="770"/>
        <v>284.65559793202812</v>
      </c>
    </row>
    <row r="240" spans="2:47" ht="13.5" customHeight="1" thickTop="1" thickBot="1" x14ac:dyDescent="0.4">
      <c r="B240" s="73" t="str">
        <f t="shared" si="752"/>
        <v>Cash and cash equivalents</v>
      </c>
      <c r="C240" s="74">
        <f t="shared" ref="C240:M240" si="804">C182/C$201</f>
        <v>173.45493269037573</v>
      </c>
      <c r="D240" s="74">
        <f t="shared" si="804"/>
        <v>224.62409927942355</v>
      </c>
      <c r="E240" s="74">
        <f t="shared" si="804"/>
        <v>441.90232115677316</v>
      </c>
      <c r="F240" s="74">
        <f t="shared" si="804"/>
        <v>163.34826771653542</v>
      </c>
      <c r="G240" s="74">
        <f t="shared" si="804"/>
        <v>406.03017992759999</v>
      </c>
      <c r="H240" s="74">
        <f t="shared" si="804"/>
        <v>474.58647066350005</v>
      </c>
      <c r="I240" s="74">
        <f t="shared" si="804"/>
        <v>323.94081192742948</v>
      </c>
      <c r="J240" s="74">
        <f t="shared" si="804"/>
        <v>300.51774752654006</v>
      </c>
      <c r="K240" s="74">
        <f t="shared" si="804"/>
        <v>367.68474068462012</v>
      </c>
      <c r="L240" s="74">
        <f t="shared" ref="L240" si="805">L182/L$201</f>
        <v>425.27281840424087</v>
      </c>
      <c r="M240" s="74"/>
      <c r="N240" s="71"/>
      <c r="O240" s="74">
        <f t="shared" ref="O240:AS240" si="806">O182/O$201</f>
        <v>120.64956937799042</v>
      </c>
      <c r="P240" s="74">
        <f t="shared" si="806"/>
        <v>199.2278838951311</v>
      </c>
      <c r="Q240" s="74">
        <f t="shared" si="806"/>
        <v>224.27528650646951</v>
      </c>
      <c r="R240" s="74">
        <f t="shared" si="806"/>
        <v>441.90232115677316</v>
      </c>
      <c r="S240" s="74">
        <f t="shared" si="806"/>
        <v>314.63252897586926</v>
      </c>
      <c r="T240" s="74">
        <f t="shared" si="806"/>
        <v>230.06599648643373</v>
      </c>
      <c r="U240" s="74">
        <f t="shared" si="806"/>
        <v>224.51563706563698</v>
      </c>
      <c r="V240" s="74">
        <f t="shared" si="806"/>
        <v>163.34826771653559</v>
      </c>
      <c r="W240" s="74">
        <f t="shared" si="806"/>
        <v>285.92164237888932</v>
      </c>
      <c r="X240" s="74">
        <f t="shared" si="806"/>
        <v>296.77308309915696</v>
      </c>
      <c r="Y240" s="74">
        <f t="shared" si="806"/>
        <v>672.86285832130329</v>
      </c>
      <c r="Z240" s="74">
        <f t="shared" si="806"/>
        <v>384.01799212598445</v>
      </c>
      <c r="AA240" s="74">
        <f t="shared" si="806"/>
        <v>298.18111691360019</v>
      </c>
      <c r="AB240" s="74">
        <f t="shared" si="806"/>
        <v>300.80498195880017</v>
      </c>
      <c r="AC240" s="74">
        <f t="shared" si="806"/>
        <v>249.01436691493547</v>
      </c>
      <c r="AD240" s="74">
        <f t="shared" si="806"/>
        <v>474.58647066350005</v>
      </c>
      <c r="AE240" s="74">
        <f t="shared" si="806"/>
        <v>285.60833671500001</v>
      </c>
      <c r="AF240" s="74">
        <f t="shared" si="806"/>
        <v>292.29627405560001</v>
      </c>
      <c r="AG240" s="74">
        <f t="shared" si="806"/>
        <v>244.94457872340431</v>
      </c>
      <c r="AH240" s="74">
        <f t="shared" si="806"/>
        <v>323.94081192742931</v>
      </c>
      <c r="AI240" s="74">
        <f t="shared" si="806"/>
        <v>298.57255766933167</v>
      </c>
      <c r="AJ240" s="74">
        <f t="shared" si="806"/>
        <v>458.84588520555849</v>
      </c>
      <c r="AK240" s="74">
        <f t="shared" si="806"/>
        <v>281.82810019403752</v>
      </c>
      <c r="AL240" s="74">
        <f t="shared" si="806"/>
        <v>300.51774752653972</v>
      </c>
      <c r="AM240" s="74">
        <f t="shared" si="806"/>
        <v>302.33858618233592</v>
      </c>
      <c r="AN240" s="74">
        <f t="shared" si="806"/>
        <v>318.6395006839943</v>
      </c>
      <c r="AO240" s="74">
        <f t="shared" si="806"/>
        <v>397.57098963915661</v>
      </c>
      <c r="AP240" s="74">
        <f t="shared" si="806"/>
        <v>367.68474068461995</v>
      </c>
      <c r="AQ240" s="74">
        <f t="shared" si="806"/>
        <v>327.10183654899976</v>
      </c>
      <c r="AR240" s="74">
        <f t="shared" si="806"/>
        <v>343.07536278218834</v>
      </c>
      <c r="AS240" s="74">
        <f t="shared" si="806"/>
        <v>475.3056155507557</v>
      </c>
      <c r="AT240" s="74">
        <f>AT182/AT$201</f>
        <v>425.2728184042407</v>
      </c>
      <c r="AU240" s="74">
        <f>AU182/AU$201</f>
        <v>698.59261702899744</v>
      </c>
    </row>
    <row r="241" spans="2:47" ht="13.5" customHeight="1" thickTop="1" x14ac:dyDescent="0.35"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</row>
    <row r="242" spans="2:47" ht="13.5" customHeight="1" x14ac:dyDescent="0.35">
      <c r="B242" s="3" t="s">
        <v>363</v>
      </c>
      <c r="C242" s="76">
        <f t="shared" ref="C242:M242" si="807">C184/C$201</f>
        <v>2033.9278882861161</v>
      </c>
      <c r="D242" s="76">
        <f t="shared" si="807"/>
        <v>2632.680244195356</v>
      </c>
      <c r="E242" s="76">
        <f t="shared" si="807"/>
        <v>2821.1928652968036</v>
      </c>
      <c r="F242" s="76">
        <f t="shared" si="807"/>
        <v>2746.581732283465</v>
      </c>
      <c r="G242" s="76">
        <f t="shared" si="807"/>
        <v>3524.0587430148003</v>
      </c>
      <c r="H242" s="76">
        <f t="shared" si="807"/>
        <v>4501.9255226594996</v>
      </c>
      <c r="I242" s="76">
        <f t="shared" si="807"/>
        <v>5955.207400754447</v>
      </c>
      <c r="J242" s="76">
        <f t="shared" si="807"/>
        <v>6914.4334693435394</v>
      </c>
      <c r="K242" s="76">
        <f t="shared" si="807"/>
        <v>7071.7178008127285</v>
      </c>
      <c r="L242" s="76">
        <f t="shared" ref="L242" si="808">L184/L$201</f>
        <v>7322.4730358841916</v>
      </c>
      <c r="M242" s="76"/>
      <c r="N242" s="76"/>
      <c r="O242" s="76">
        <f t="shared" ref="O242:AS242" si="809">O184/O$201</f>
        <v>2446.8832153110047</v>
      </c>
      <c r="P242" s="76">
        <f t="shared" si="809"/>
        <v>2510.0526404494381</v>
      </c>
      <c r="Q242" s="76">
        <f t="shared" si="809"/>
        <v>2478.4981700554526</v>
      </c>
      <c r="R242" s="76">
        <f t="shared" si="809"/>
        <v>2821.1928652968036</v>
      </c>
      <c r="S242" s="76">
        <f t="shared" si="809"/>
        <v>2692.9142124263731</v>
      </c>
      <c r="T242" s="76">
        <f t="shared" si="809"/>
        <v>2643.2328128049967</v>
      </c>
      <c r="U242" s="76">
        <f t="shared" si="809"/>
        <v>2611.5037258687262</v>
      </c>
      <c r="V242" s="76">
        <f t="shared" si="809"/>
        <v>2746.581732283465</v>
      </c>
      <c r="W242" s="76">
        <f t="shared" si="809"/>
        <v>2924.6634501772351</v>
      </c>
      <c r="X242" s="76">
        <f t="shared" si="809"/>
        <v>3093.9291850662385</v>
      </c>
      <c r="Y242" s="76">
        <f t="shared" si="809"/>
        <v>3463.4367704681376</v>
      </c>
      <c r="Z242" s="76">
        <f t="shared" si="809"/>
        <v>3333.0083070866144</v>
      </c>
      <c r="AA242" s="76">
        <f t="shared" si="809"/>
        <v>3570.3653725848003</v>
      </c>
      <c r="AB242" s="76">
        <f t="shared" si="809"/>
        <v>3893.5168859961</v>
      </c>
      <c r="AC242" s="76">
        <f t="shared" si="809"/>
        <v>4340.9426303410419</v>
      </c>
      <c r="AD242" s="76">
        <f t="shared" si="809"/>
        <v>4501.9255226594996</v>
      </c>
      <c r="AE242" s="76">
        <f t="shared" si="809"/>
        <v>4626.0895125510006</v>
      </c>
      <c r="AF242" s="76">
        <f t="shared" si="809"/>
        <v>5609.8810808571998</v>
      </c>
      <c r="AG242" s="76">
        <f t="shared" si="809"/>
        <v>5597.2920510638296</v>
      </c>
      <c r="AH242" s="76">
        <f t="shared" si="809"/>
        <v>5955.207400754447</v>
      </c>
      <c r="AI242" s="76">
        <f t="shared" si="809"/>
        <v>5668.1728333792853</v>
      </c>
      <c r="AJ242" s="76">
        <f t="shared" si="809"/>
        <v>6715.6984293572668</v>
      </c>
      <c r="AK242" s="76">
        <f t="shared" si="809"/>
        <v>6416.3016405009694</v>
      </c>
      <c r="AL242" s="76">
        <f t="shared" si="809"/>
        <v>6914.4334693435394</v>
      </c>
      <c r="AM242" s="76">
        <f t="shared" si="809"/>
        <v>6897.695299145299</v>
      </c>
      <c r="AN242" s="76">
        <f t="shared" si="809"/>
        <v>6749.9642783857726</v>
      </c>
      <c r="AO242" s="76">
        <f t="shared" si="809"/>
        <v>7153.3270632368713</v>
      </c>
      <c r="AP242" s="76">
        <f t="shared" si="809"/>
        <v>7071.7178008127285</v>
      </c>
      <c r="AQ242" s="76">
        <f t="shared" si="809"/>
        <v>7068.4812639729998</v>
      </c>
      <c r="AR242" s="76">
        <f t="shared" si="809"/>
        <v>7393.1562672066211</v>
      </c>
      <c r="AS242" s="76">
        <f t="shared" si="809"/>
        <v>7314.9523123864374</v>
      </c>
      <c r="AT242" s="76">
        <f>AT184/AT$201</f>
        <v>7322.4730358841916</v>
      </c>
      <c r="AU242" s="76">
        <f>AU184/AU$201</f>
        <v>7134.7516741991903</v>
      </c>
    </row>
    <row r="243" spans="2:47" ht="13.5" customHeight="1" x14ac:dyDescent="0.35">
      <c r="B243" s="3" t="s">
        <v>364</v>
      </c>
      <c r="C243" s="76">
        <f t="shared" ref="C243:M243" si="810">C185/C$201</f>
        <v>1860.4729555957404</v>
      </c>
      <c r="D243" s="76">
        <f t="shared" si="810"/>
        <v>2408.0561449159322</v>
      </c>
      <c r="E243" s="76">
        <f t="shared" si="810"/>
        <v>2379.2905441400303</v>
      </c>
      <c r="F243" s="76">
        <f t="shared" si="810"/>
        <v>2583.2334645669293</v>
      </c>
      <c r="G243" s="76">
        <f t="shared" si="810"/>
        <v>3118.0285630872004</v>
      </c>
      <c r="H243" s="76">
        <f t="shared" si="810"/>
        <v>4027.3390519959999</v>
      </c>
      <c r="I243" s="76">
        <f t="shared" si="810"/>
        <v>5631.2665888270176</v>
      </c>
      <c r="J243" s="76">
        <f t="shared" si="810"/>
        <v>6613.9157218169994</v>
      </c>
      <c r="K243" s="76">
        <f t="shared" si="810"/>
        <v>6704.0330601281094</v>
      </c>
      <c r="L243" s="76">
        <f t="shared" ref="L243" si="811">L185/L$201</f>
        <v>6897.2002174799509</v>
      </c>
      <c r="M243" s="76"/>
      <c r="N243" s="76"/>
      <c r="O243" s="76">
        <f t="shared" ref="O243:AS243" si="812">O185/O$201</f>
        <v>2326.2336459330145</v>
      </c>
      <c r="P243" s="76">
        <f t="shared" si="812"/>
        <v>2310.824756554307</v>
      </c>
      <c r="Q243" s="76">
        <f t="shared" si="812"/>
        <v>2254.2228835489832</v>
      </c>
      <c r="R243" s="76">
        <f t="shared" si="812"/>
        <v>2379.2905441400303</v>
      </c>
      <c r="S243" s="76">
        <f t="shared" si="812"/>
        <v>2378.2816834505038</v>
      </c>
      <c r="T243" s="76">
        <f t="shared" si="812"/>
        <v>2413.1668163185632</v>
      </c>
      <c r="U243" s="76">
        <f t="shared" si="812"/>
        <v>2386.9880888030889</v>
      </c>
      <c r="V243" s="76">
        <f t="shared" si="812"/>
        <v>2583.2334645669293</v>
      </c>
      <c r="W243" s="76">
        <f t="shared" si="812"/>
        <v>2638.7418077983457</v>
      </c>
      <c r="X243" s="76">
        <f t="shared" si="812"/>
        <v>2797.1561019670812</v>
      </c>
      <c r="Y243" s="76">
        <f t="shared" si="812"/>
        <v>2790.5739121468346</v>
      </c>
      <c r="Z243" s="76">
        <f t="shared" si="812"/>
        <v>2948.9903149606303</v>
      </c>
      <c r="AA243" s="76">
        <f t="shared" si="812"/>
        <v>3272.1842556711999</v>
      </c>
      <c r="AB243" s="76">
        <f t="shared" si="812"/>
        <v>3592.7119040372995</v>
      </c>
      <c r="AC243" s="76">
        <f t="shared" si="812"/>
        <v>4091.9282634261072</v>
      </c>
      <c r="AD243" s="76">
        <f t="shared" si="812"/>
        <v>4027.3390519959999</v>
      </c>
      <c r="AE243" s="76">
        <f t="shared" si="812"/>
        <v>4340.4811758360001</v>
      </c>
      <c r="AF243" s="76">
        <f t="shared" si="812"/>
        <v>5317.5848068015994</v>
      </c>
      <c r="AG243" s="76">
        <f t="shared" si="812"/>
        <v>5352.3474723404252</v>
      </c>
      <c r="AH243" s="76">
        <f t="shared" si="812"/>
        <v>5631.2665888270176</v>
      </c>
      <c r="AI243" s="76">
        <f t="shared" si="812"/>
        <v>5369.6002757099532</v>
      </c>
      <c r="AJ243" s="76">
        <f t="shared" si="812"/>
        <v>6256.8525441517086</v>
      </c>
      <c r="AK243" s="76">
        <f t="shared" si="812"/>
        <v>6134.4735403069317</v>
      </c>
      <c r="AL243" s="76">
        <f t="shared" si="812"/>
        <v>6613.9157218169994</v>
      </c>
      <c r="AM243" s="76">
        <f t="shared" si="812"/>
        <v>6595.3567129629628</v>
      </c>
      <c r="AN243" s="76">
        <f t="shared" si="812"/>
        <v>6431.3247777017777</v>
      </c>
      <c r="AO243" s="76">
        <f t="shared" si="812"/>
        <v>6755.756073597714</v>
      </c>
      <c r="AP243" s="76">
        <f t="shared" si="812"/>
        <v>6704.0330601281094</v>
      </c>
      <c r="AQ243" s="76">
        <f t="shared" si="812"/>
        <v>6741.3794274239999</v>
      </c>
      <c r="AR243" s="76">
        <f t="shared" si="812"/>
        <v>7050.0809044244334</v>
      </c>
      <c r="AS243" s="76">
        <f t="shared" si="812"/>
        <v>6839.6466968356808</v>
      </c>
      <c r="AT243" s="76">
        <f>AT185/AT$201</f>
        <v>6897.2002174799509</v>
      </c>
      <c r="AU243" s="76">
        <f>AU185/AU$201</f>
        <v>6436.1590571701927</v>
      </c>
    </row>
    <row r="244" spans="2:47" ht="13.5" customHeight="1" x14ac:dyDescent="0.35"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</row>
    <row r="245" spans="2:47" ht="13.5" customHeight="1" x14ac:dyDescent="0.35">
      <c r="B245" s="3" t="s">
        <v>339</v>
      </c>
      <c r="C245" s="76">
        <f t="shared" ref="C245:M245" si="813">C127/C$201</f>
        <v>1275.3928470966446</v>
      </c>
      <c r="D245" s="76">
        <f t="shared" si="813"/>
        <v>1332.2205164131303</v>
      </c>
      <c r="E245" s="76">
        <f t="shared" si="813"/>
        <v>1391.6192351598172</v>
      </c>
      <c r="F245" s="76">
        <f t="shared" si="813"/>
        <v>1599.3503346456694</v>
      </c>
      <c r="G245" s="76">
        <f t="shared" si="813"/>
        <v>1723.4425558979999</v>
      </c>
      <c r="H245" s="76">
        <f t="shared" si="813"/>
        <v>2234.0407737154001</v>
      </c>
      <c r="I245" s="76">
        <f t="shared" si="813"/>
        <v>2739.9473684210525</v>
      </c>
      <c r="J245" s="76">
        <f t="shared" si="813"/>
        <v>2887.3896511879834</v>
      </c>
      <c r="K245" s="76">
        <f t="shared" si="813"/>
        <v>2888.9597940629519</v>
      </c>
      <c r="L245" s="76">
        <f t="shared" ref="L245" si="814">L127/L$201</f>
        <v>2964.3493271714015</v>
      </c>
      <c r="M245" s="76"/>
      <c r="N245" s="76"/>
      <c r="O245" s="76">
        <f t="shared" ref="O245:AS245" si="815">O127/O$201</f>
        <v>1246.1484401913876</v>
      </c>
      <c r="P245" s="76">
        <f t="shared" si="815"/>
        <v>1263.4322097378276</v>
      </c>
      <c r="Q245" s="76">
        <f t="shared" si="815"/>
        <v>1287.3626062846579</v>
      </c>
      <c r="R245" s="76">
        <f t="shared" si="815"/>
        <v>1391.6192351598172</v>
      </c>
      <c r="S245" s="76">
        <f t="shared" si="815"/>
        <v>1461.2319969599087</v>
      </c>
      <c r="T245" s="76">
        <f t="shared" si="815"/>
        <v>1539.7928362287723</v>
      </c>
      <c r="U245" s="76">
        <f t="shared" si="815"/>
        <v>1568.5576061776062</v>
      </c>
      <c r="V245" s="76">
        <f t="shared" si="815"/>
        <v>1599.3503346456694</v>
      </c>
      <c r="W245" s="76">
        <f t="shared" si="815"/>
        <v>1665.8111264277272</v>
      </c>
      <c r="X245" s="76">
        <f t="shared" si="815"/>
        <v>1710.9007627458852</v>
      </c>
      <c r="Y245" s="76">
        <f t="shared" si="815"/>
        <v>1782.3798721385854</v>
      </c>
      <c r="Z245" s="76">
        <f t="shared" si="815"/>
        <v>1630.009251968504</v>
      </c>
      <c r="AA245" s="76">
        <f t="shared" si="815"/>
        <v>1809.9279817000001</v>
      </c>
      <c r="AB245" s="76">
        <f t="shared" si="815"/>
        <v>1825.03777995</v>
      </c>
      <c r="AC245" s="76">
        <f t="shared" si="815"/>
        <v>1571.1008232065856</v>
      </c>
      <c r="AD245" s="76">
        <f t="shared" si="815"/>
        <v>2234.0407737154001</v>
      </c>
      <c r="AE245" s="76">
        <f t="shared" si="815"/>
        <v>2390.170377075</v>
      </c>
      <c r="AF245" s="76">
        <f t="shared" si="815"/>
        <v>2285.3849495779996</v>
      </c>
      <c r="AG245" s="76">
        <f t="shared" si="815"/>
        <v>2175.6248170212766</v>
      </c>
      <c r="AH245" s="76">
        <f t="shared" si="815"/>
        <v>2739.9473684210525</v>
      </c>
      <c r="AI245" s="76">
        <f t="shared" si="815"/>
        <v>2882.0704714640196</v>
      </c>
      <c r="AJ245" s="76">
        <f t="shared" si="815"/>
        <v>2880.7787528951935</v>
      </c>
      <c r="AK245" s="76">
        <f t="shared" si="815"/>
        <v>2836.147503968954</v>
      </c>
      <c r="AL245" s="76">
        <f t="shared" si="815"/>
        <v>2887.3896511879834</v>
      </c>
      <c r="AM245" s="76">
        <f t="shared" si="815"/>
        <v>2890.877332621083</v>
      </c>
      <c r="AN245" s="76">
        <f t="shared" si="815"/>
        <v>2848.5530779753763</v>
      </c>
      <c r="AO245" s="76">
        <f t="shared" si="815"/>
        <v>3020.3447838513757</v>
      </c>
      <c r="AP245" s="76">
        <f t="shared" si="815"/>
        <v>2888.9597940629519</v>
      </c>
      <c r="AQ245" s="76">
        <f t="shared" si="815"/>
        <v>2992.1536057449998</v>
      </c>
      <c r="AR245" s="76">
        <f t="shared" si="815"/>
        <v>3066.1953251274399</v>
      </c>
      <c r="AS245" s="76">
        <f t="shared" si="815"/>
        <v>2989.3808495320372</v>
      </c>
      <c r="AT245" s="76">
        <f>AT127/AT$201</f>
        <v>2964.3493271714015</v>
      </c>
      <c r="AU245" s="76">
        <f>AU127/AU$201</f>
        <v>3338.035941675189</v>
      </c>
    </row>
    <row r="246" spans="2:47" ht="13.5" customHeight="1" x14ac:dyDescent="0.35"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</row>
    <row r="247" spans="2:47" ht="13.5" customHeight="1" x14ac:dyDescent="0.35">
      <c r="B247" s="26" t="s">
        <v>333</v>
      </c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</row>
    <row r="248" spans="2:47" ht="13.5" customHeight="1" x14ac:dyDescent="0.35">
      <c r="B248" s="45" t="s">
        <v>331</v>
      </c>
      <c r="C248" s="76">
        <f t="shared" ref="C248:M248" si="816">C112/C$201</f>
        <v>0</v>
      </c>
      <c r="D248" s="76">
        <f t="shared" si="816"/>
        <v>0</v>
      </c>
      <c r="E248" s="76">
        <f t="shared" si="816"/>
        <v>0</v>
      </c>
      <c r="F248" s="76">
        <f t="shared" si="816"/>
        <v>19.327106299212598</v>
      </c>
      <c r="G248" s="76">
        <f t="shared" si="816"/>
        <v>20.79674928</v>
      </c>
      <c r="H248" s="76">
        <f t="shared" si="816"/>
        <v>71.745290479200008</v>
      </c>
      <c r="I248" s="76">
        <f t="shared" si="816"/>
        <v>81.236536734327288</v>
      </c>
      <c r="J248" s="76">
        <f t="shared" si="816"/>
        <v>106.51090488914568</v>
      </c>
      <c r="K248" s="76">
        <f t="shared" si="816"/>
        <v>140.77489840898133</v>
      </c>
      <c r="L248" s="76">
        <f t="shared" ref="L248" si="817">L112/L$201</f>
        <v>154.06403765121652</v>
      </c>
      <c r="M248" s="76"/>
      <c r="N248" s="76"/>
      <c r="O248" s="76">
        <f t="shared" ref="O248:AS248" si="818">O112/O$201</f>
        <v>0</v>
      </c>
      <c r="P248" s="76">
        <f t="shared" si="818"/>
        <v>0</v>
      </c>
      <c r="Q248" s="76">
        <f t="shared" si="818"/>
        <v>0</v>
      </c>
      <c r="R248" s="76">
        <f t="shared" si="818"/>
        <v>0</v>
      </c>
      <c r="S248" s="76">
        <f t="shared" si="818"/>
        <v>16.443473304199124</v>
      </c>
      <c r="T248" s="76">
        <f t="shared" si="818"/>
        <v>17.841460081983215</v>
      </c>
      <c r="U248" s="76">
        <f t="shared" si="818"/>
        <v>19.027220077220079</v>
      </c>
      <c r="V248" s="76">
        <f t="shared" si="818"/>
        <v>19.327106299212598</v>
      </c>
      <c r="W248" s="76">
        <f t="shared" si="818"/>
        <v>20.861362741236704</v>
      </c>
      <c r="X248" s="76">
        <f t="shared" si="818"/>
        <v>20.112163789642715</v>
      </c>
      <c r="Y248" s="76">
        <f t="shared" si="818"/>
        <v>21.40606310579501</v>
      </c>
      <c r="Z248" s="76">
        <f t="shared" si="818"/>
        <v>19.669291338582678</v>
      </c>
      <c r="AA248" s="76">
        <f t="shared" si="818"/>
        <v>19.444616496800002</v>
      </c>
      <c r="AB248" s="76">
        <f t="shared" si="818"/>
        <v>19.848973250699999</v>
      </c>
      <c r="AC248" s="76">
        <f t="shared" si="818"/>
        <v>18.806487651901215</v>
      </c>
      <c r="AD248" s="76">
        <f t="shared" si="818"/>
        <v>71.745290479200008</v>
      </c>
      <c r="AE248" s="76">
        <f t="shared" si="818"/>
        <v>73.002804030000007</v>
      </c>
      <c r="AF248" s="76">
        <f t="shared" si="818"/>
        <v>140.23409950519999</v>
      </c>
      <c r="AG248" s="76">
        <f t="shared" si="818"/>
        <v>67.678995744680847</v>
      </c>
      <c r="AH248" s="76">
        <f t="shared" si="818"/>
        <v>81.236536734327288</v>
      </c>
      <c r="AI248" s="76">
        <f t="shared" si="818"/>
        <v>87.434371840823459</v>
      </c>
      <c r="AJ248" s="76">
        <f t="shared" si="818"/>
        <v>81.752786624203821</v>
      </c>
      <c r="AK248" s="76">
        <f t="shared" si="818"/>
        <v>47.75918151349444</v>
      </c>
      <c r="AL248" s="76">
        <f t="shared" si="818"/>
        <v>106.51090488914568</v>
      </c>
      <c r="AM248" s="76">
        <f t="shared" si="818"/>
        <v>111.18961894586894</v>
      </c>
      <c r="AN248" s="76">
        <f t="shared" si="818"/>
        <v>109.81807455540357</v>
      </c>
      <c r="AO248" s="76">
        <f t="shared" si="818"/>
        <v>128.64735619864237</v>
      </c>
      <c r="AP248" s="76">
        <f t="shared" si="818"/>
        <v>140.77489840898133</v>
      </c>
      <c r="AQ248" s="76">
        <f t="shared" si="818"/>
        <v>156.70012506999998</v>
      </c>
      <c r="AR248" s="76">
        <f t="shared" si="818"/>
        <v>154.91618266105397</v>
      </c>
      <c r="AS248" s="76">
        <f t="shared" si="818"/>
        <v>147.0017998560115</v>
      </c>
      <c r="AT248" s="76">
        <f>AT112/AT$201</f>
        <v>154.06403765121652</v>
      </c>
      <c r="AU248" s="76">
        <f>AU112/AU$201</f>
        <v>142.97887045162142</v>
      </c>
    </row>
    <row r="249" spans="2:47" ht="13.5" customHeight="1" x14ac:dyDescent="0.35">
      <c r="B249" s="45" t="s">
        <v>332</v>
      </c>
      <c r="C249" s="76">
        <f t="shared" ref="C249:M249" si="819">C113/C$201</f>
        <v>0</v>
      </c>
      <c r="D249" s="76">
        <f t="shared" si="819"/>
        <v>0</v>
      </c>
      <c r="E249" s="76">
        <f t="shared" si="819"/>
        <v>0</v>
      </c>
      <c r="F249" s="76">
        <f t="shared" si="819"/>
        <v>52.79133858267717</v>
      </c>
      <c r="G249" s="76">
        <f t="shared" si="819"/>
        <v>73.377058924799996</v>
      </c>
      <c r="H249" s="76">
        <f t="shared" si="819"/>
        <v>317.47842781720004</v>
      </c>
      <c r="I249" s="76">
        <f t="shared" si="819"/>
        <v>892.92543560265847</v>
      </c>
      <c r="J249" s="76">
        <f t="shared" si="819"/>
        <v>1495.3610168267494</v>
      </c>
      <c r="K249" s="76">
        <f t="shared" si="819"/>
        <v>1858.4653040843034</v>
      </c>
      <c r="L249" s="76">
        <f t="shared" ref="L249" si="820">L113/L$201</f>
        <v>2041.8965441076525</v>
      </c>
      <c r="M249" s="76"/>
      <c r="N249" s="76"/>
      <c r="O249" s="76">
        <f t="shared" ref="O249:AS249" si="821">O113/O$201</f>
        <v>0</v>
      </c>
      <c r="P249" s="76">
        <f t="shared" si="821"/>
        <v>0</v>
      </c>
      <c r="Q249" s="76">
        <f t="shared" si="821"/>
        <v>0</v>
      </c>
      <c r="R249" s="76">
        <f t="shared" si="821"/>
        <v>0</v>
      </c>
      <c r="S249" s="76">
        <f t="shared" si="821"/>
        <v>46.091677750332508</v>
      </c>
      <c r="T249" s="76">
        <f t="shared" si="821"/>
        <v>46.70704665235214</v>
      </c>
      <c r="U249" s="76">
        <f t="shared" si="821"/>
        <v>45.276737451737453</v>
      </c>
      <c r="V249" s="76">
        <f t="shared" si="821"/>
        <v>52.79133858267717</v>
      </c>
      <c r="W249" s="76">
        <f t="shared" si="821"/>
        <v>54.455139818826311</v>
      </c>
      <c r="X249" s="76">
        <f t="shared" si="821"/>
        <v>63.188016860698518</v>
      </c>
      <c r="Y249" s="76">
        <f t="shared" si="821"/>
        <v>67.278634770055675</v>
      </c>
      <c r="Z249" s="76">
        <f t="shared" si="821"/>
        <v>69.39905511811024</v>
      </c>
      <c r="AA249" s="76">
        <f t="shared" si="821"/>
        <v>76.749784165600005</v>
      </c>
      <c r="AB249" s="76">
        <f t="shared" si="821"/>
        <v>86.353044396300007</v>
      </c>
      <c r="AC249" s="76">
        <f t="shared" si="821"/>
        <v>256.8035084280674</v>
      </c>
      <c r="AD249" s="76">
        <f t="shared" si="821"/>
        <v>317.47842781720004</v>
      </c>
      <c r="AE249" s="76">
        <f t="shared" si="821"/>
        <v>366.58496218499999</v>
      </c>
      <c r="AF249" s="76">
        <f t="shared" si="821"/>
        <v>301.84931716479997</v>
      </c>
      <c r="AG249" s="76">
        <f t="shared" si="821"/>
        <v>532.43676595744682</v>
      </c>
      <c r="AH249" s="76">
        <f t="shared" si="821"/>
        <v>892.92543560265847</v>
      </c>
      <c r="AI249" s="76">
        <f t="shared" si="821"/>
        <v>1071.7850749012039</v>
      </c>
      <c r="AJ249" s="76">
        <f t="shared" si="821"/>
        <v>1305.5743883902721</v>
      </c>
      <c r="AK249" s="76">
        <f t="shared" si="821"/>
        <v>1424.3641382959956</v>
      </c>
      <c r="AL249" s="76">
        <f t="shared" si="821"/>
        <v>1495.3610168267494</v>
      </c>
      <c r="AM249" s="76">
        <f t="shared" si="821"/>
        <v>1585.5096331908833</v>
      </c>
      <c r="AN249" s="76">
        <f t="shared" si="821"/>
        <v>1607.7958618331054</v>
      </c>
      <c r="AO249" s="76">
        <f t="shared" si="821"/>
        <v>1900.9585209003217</v>
      </c>
      <c r="AP249" s="76">
        <f t="shared" si="821"/>
        <v>1858.4653040843034</v>
      </c>
      <c r="AQ249" s="76">
        <f t="shared" si="821"/>
        <v>1912.0076006649999</v>
      </c>
      <c r="AR249" s="76">
        <f t="shared" si="821"/>
        <v>2032.4558888829683</v>
      </c>
      <c r="AS249" s="76">
        <f t="shared" si="821"/>
        <v>2030.3780554698483</v>
      </c>
      <c r="AT249" s="76">
        <f>AT113/AT$201</f>
        <v>2041.8965441076525</v>
      </c>
      <c r="AU249" s="76">
        <f>AU113/AU$201</f>
        <v>2084.289842641771</v>
      </c>
    </row>
    <row r="250" spans="2:47" ht="13.5" customHeight="1" x14ac:dyDescent="0.35">
      <c r="B250" s="26" t="s">
        <v>334</v>
      </c>
      <c r="C250" s="71">
        <f>SUM(C248:C249)</f>
        <v>0</v>
      </c>
      <c r="D250" s="71">
        <f t="shared" ref="D250:M250" si="822">SUM(D248:D249)</f>
        <v>0</v>
      </c>
      <c r="E250" s="71">
        <f t="shared" si="822"/>
        <v>0</v>
      </c>
      <c r="F250" s="71">
        <f t="shared" si="822"/>
        <v>72.118444881889772</v>
      </c>
      <c r="G250" s="71">
        <f t="shared" si="822"/>
        <v>94.173808204799997</v>
      </c>
      <c r="H250" s="71">
        <f t="shared" si="822"/>
        <v>389.22371829640008</v>
      </c>
      <c r="I250" s="71">
        <f t="shared" si="822"/>
        <v>974.16197233698574</v>
      </c>
      <c r="J250" s="71">
        <f t="shared" si="822"/>
        <v>1601.871921715895</v>
      </c>
      <c r="K250" s="71">
        <f t="shared" si="822"/>
        <v>1999.2402024932846</v>
      </c>
      <c r="L250" s="71">
        <f t="shared" ref="L250" si="823">SUM(L248:L249)</f>
        <v>2195.960581758869</v>
      </c>
      <c r="M250" s="71"/>
      <c r="N250" s="76"/>
      <c r="O250" s="71">
        <f t="shared" ref="O250" si="824">SUM(O248:O249)</f>
        <v>0</v>
      </c>
      <c r="P250" s="71">
        <f t="shared" ref="P250" si="825">SUM(P248:P249)</f>
        <v>0</v>
      </c>
      <c r="Q250" s="71">
        <f t="shared" ref="Q250" si="826">SUM(Q248:Q249)</f>
        <v>0</v>
      </c>
      <c r="R250" s="71">
        <f t="shared" ref="R250" si="827">SUM(R248:R249)</f>
        <v>0</v>
      </c>
      <c r="S250" s="71">
        <f t="shared" ref="S250" si="828">SUM(S248:S249)</f>
        <v>62.535151054531632</v>
      </c>
      <c r="T250" s="71">
        <f t="shared" ref="T250" si="829">SUM(T248:T249)</f>
        <v>64.548506734335348</v>
      </c>
      <c r="U250" s="71">
        <f t="shared" ref="U250" si="830">SUM(U248:U249)</f>
        <v>64.30395752895754</v>
      </c>
      <c r="V250" s="71">
        <f t="shared" ref="V250" si="831">SUM(V248:V249)</f>
        <v>72.118444881889772</v>
      </c>
      <c r="W250" s="71">
        <f t="shared" ref="W250" si="832">SUM(W248:W249)</f>
        <v>75.316502560063014</v>
      </c>
      <c r="X250" s="71">
        <f t="shared" ref="X250" si="833">SUM(X248:X249)</f>
        <v>83.300180650341233</v>
      </c>
      <c r="Y250" s="71">
        <f t="shared" ref="Y250" si="834">SUM(Y248:Y249)</f>
        <v>88.684697875850688</v>
      </c>
      <c r="Z250" s="71">
        <f t="shared" ref="Z250" si="835">SUM(Z248:Z249)</f>
        <v>89.068346456692922</v>
      </c>
      <c r="AA250" s="71">
        <f t="shared" ref="AA250" si="836">SUM(AA248:AA249)</f>
        <v>96.1944006624</v>
      </c>
      <c r="AB250" s="71">
        <f t="shared" ref="AB250" si="837">SUM(AB248:AB249)</f>
        <v>106.20201764700001</v>
      </c>
      <c r="AC250" s="71">
        <f t="shared" ref="AC250" si="838">SUM(AC248:AC249)</f>
        <v>275.6099960799686</v>
      </c>
      <c r="AD250" s="71">
        <f t="shared" ref="AD250" si="839">SUM(AD248:AD249)</f>
        <v>389.22371829640008</v>
      </c>
      <c r="AE250" s="71">
        <f t="shared" ref="AE250" si="840">SUM(AE248:AE249)</f>
        <v>439.58776621499999</v>
      </c>
      <c r="AF250" s="71">
        <f t="shared" ref="AF250" si="841">SUM(AF248:AF249)</f>
        <v>442.08341666999996</v>
      </c>
      <c r="AG250" s="71">
        <f t="shared" ref="AG250" si="842">SUM(AG248:AG249)</f>
        <v>600.11576170212766</v>
      </c>
      <c r="AH250" s="71">
        <f t="shared" ref="AH250" si="843">SUM(AH248:AH249)</f>
        <v>974.16197233698574</v>
      </c>
      <c r="AI250" s="71">
        <f t="shared" ref="AI250" si="844">SUM(AI248:AI249)</f>
        <v>1159.2194467420272</v>
      </c>
      <c r="AJ250" s="71">
        <f t="shared" ref="AJ250" si="845">SUM(AJ248:AJ249)</f>
        <v>1387.3271750144759</v>
      </c>
      <c r="AK250" s="71">
        <f t="shared" ref="AK250" si="846">SUM(AK248:AK249)</f>
        <v>1472.1233198094901</v>
      </c>
      <c r="AL250" s="71">
        <f t="shared" ref="AL250" si="847">SUM(AL248:AL249)</f>
        <v>1601.871921715895</v>
      </c>
      <c r="AM250" s="71">
        <f t="shared" ref="AM250" si="848">SUM(AM248:AM249)</f>
        <v>1696.6992521367522</v>
      </c>
      <c r="AN250" s="71">
        <f t="shared" ref="AN250" si="849">SUM(AN248:AN249)</f>
        <v>1717.613936388509</v>
      </c>
      <c r="AO250" s="71">
        <f t="shared" ref="AO250" si="850">SUM(AO248:AO249)</f>
        <v>2029.6058770989641</v>
      </c>
      <c r="AP250" s="71">
        <f t="shared" ref="AP250:AS250" si="851">SUM(AP248:AP249)</f>
        <v>1999.2402024932846</v>
      </c>
      <c r="AQ250" s="71">
        <f t="shared" si="851"/>
        <v>2068.7077257349997</v>
      </c>
      <c r="AR250" s="71">
        <f t="shared" si="851"/>
        <v>2187.3720715440222</v>
      </c>
      <c r="AS250" s="71">
        <f t="shared" si="851"/>
        <v>2177.3798553258598</v>
      </c>
      <c r="AT250" s="71">
        <f>SUM(AT248:AT249)</f>
        <v>2195.960581758869</v>
      </c>
      <c r="AU250" s="71">
        <f>SUM(AU248:AU249)</f>
        <v>2227.2687130933923</v>
      </c>
    </row>
    <row r="251" spans="2:47" ht="13.5" customHeight="1" x14ac:dyDescent="0.35"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</row>
    <row r="252" spans="2:47" ht="13.5" customHeight="1" x14ac:dyDescent="0.35">
      <c r="B252" s="3" t="str">
        <f>B187</f>
        <v>LTM Adjusted EBITDA</v>
      </c>
      <c r="C252" s="76">
        <f t="shared" ref="C252:L252" si="852">C224</f>
        <v>1052.6199663016007</v>
      </c>
      <c r="D252" s="76">
        <f t="shared" si="852"/>
        <v>1057.8391390597105</v>
      </c>
      <c r="E252" s="76">
        <f t="shared" si="852"/>
        <v>1236.277809415338</v>
      </c>
      <c r="F252" s="76">
        <f t="shared" si="852"/>
        <v>1468.0716933771</v>
      </c>
      <c r="G252" s="76">
        <f t="shared" si="852"/>
        <v>1487.4122781954968</v>
      </c>
      <c r="H252" s="76">
        <f t="shared" si="852"/>
        <v>1503.6794499366131</v>
      </c>
      <c r="I252" s="76">
        <f t="shared" si="852"/>
        <v>1451.2563349786235</v>
      </c>
      <c r="J252" s="76">
        <f t="shared" si="852"/>
        <v>1463.930567041818</v>
      </c>
      <c r="K252" s="76">
        <f t="shared" si="852"/>
        <v>1515.6217303822939</v>
      </c>
      <c r="L252" s="76">
        <f t="shared" si="852"/>
        <v>1529.3842702987131</v>
      </c>
      <c r="M252" s="76"/>
      <c r="N252" s="76"/>
      <c r="O252" s="349"/>
      <c r="P252" s="349"/>
      <c r="Q252" s="349"/>
      <c r="R252" s="76">
        <f t="shared" ref="R252:AU252" si="853">SUM(O224:R224)</f>
        <v>1246.0970250685971</v>
      </c>
      <c r="S252" s="76">
        <f t="shared" si="853"/>
        <v>1313.9249076778181</v>
      </c>
      <c r="T252" s="76">
        <f t="shared" si="853"/>
        <v>1349.0205714205774</v>
      </c>
      <c r="U252" s="76">
        <f t="shared" si="853"/>
        <v>1405.5123575602784</v>
      </c>
      <c r="V252" s="76">
        <f t="shared" si="853"/>
        <v>1464.2889803281473</v>
      </c>
      <c r="W252" s="76">
        <f t="shared" si="853"/>
        <v>1486.7575314496094</v>
      </c>
      <c r="X252" s="76">
        <f t="shared" si="853"/>
        <v>1481.7660172306084</v>
      </c>
      <c r="Y252" s="76">
        <f t="shared" si="853"/>
        <v>1476.6769751395</v>
      </c>
      <c r="Z252" s="76">
        <f t="shared" si="853"/>
        <v>1458.705670331487</v>
      </c>
      <c r="AA252" s="76">
        <f t="shared" si="853"/>
        <v>1423.9351908704291</v>
      </c>
      <c r="AB252" s="76">
        <f t="shared" si="853"/>
        <v>1464.1978423254436</v>
      </c>
      <c r="AC252" s="76">
        <f t="shared" si="853"/>
        <v>1491.1857310365399</v>
      </c>
      <c r="AD252" s="76">
        <f t="shared" si="853"/>
        <v>1505.6706389750609</v>
      </c>
      <c r="AE252" s="76">
        <f t="shared" si="853"/>
        <v>1519.4435975999834</v>
      </c>
      <c r="AF252" s="76">
        <f t="shared" si="853"/>
        <v>1516.7739137740709</v>
      </c>
      <c r="AG252" s="76">
        <f t="shared" si="853"/>
        <v>1472.2031794850536</v>
      </c>
      <c r="AH252" s="76">
        <f t="shared" si="853"/>
        <v>1447.5084667562421</v>
      </c>
      <c r="AI252" s="76">
        <f t="shared" si="853"/>
        <v>1440.0884108437517</v>
      </c>
      <c r="AJ252" s="76">
        <f t="shared" si="853"/>
        <v>1409.0095735182244</v>
      </c>
      <c r="AK252" s="76">
        <f t="shared" si="853"/>
        <v>1422.2412077671056</v>
      </c>
      <c r="AL252" s="76">
        <f t="shared" si="853"/>
        <v>1464.0550959933375</v>
      </c>
      <c r="AM252" s="76">
        <f t="shared" si="853"/>
        <v>1471.2031591500311</v>
      </c>
      <c r="AN252" s="76">
        <f t="shared" si="853"/>
        <v>1486.1702880724883</v>
      </c>
      <c r="AO252" s="76">
        <f t="shared" si="853"/>
        <v>1508.2692777525244</v>
      </c>
      <c r="AP252" s="76">
        <f t="shared" si="853"/>
        <v>1515.7600799312345</v>
      </c>
      <c r="AQ252" s="76">
        <f t="shared" si="853"/>
        <v>1494.2703667744379</v>
      </c>
      <c r="AR252" s="76">
        <f t="shared" si="853"/>
        <v>1500.3159933301613</v>
      </c>
      <c r="AS252" s="76">
        <f t="shared" si="853"/>
        <v>1503.5712611671624</v>
      </c>
      <c r="AT252" s="76">
        <f t="shared" si="853"/>
        <v>1529.1853933772547</v>
      </c>
      <c r="AU252" s="76">
        <f t="shared" si="853"/>
        <v>1544.9780721517895</v>
      </c>
    </row>
    <row r="253" spans="2:47" ht="13.5" customHeight="1" x14ac:dyDescent="0.35"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</row>
    <row r="254" spans="2:47" ht="13.5" customHeight="1" x14ac:dyDescent="0.35">
      <c r="B254" s="6" t="str">
        <f>B189</f>
        <v>Total Net Leverage exc lease</v>
      </c>
      <c r="C254" s="78">
        <f t="shared" ref="C254:J254" si="854">(C243-C250)/C224</f>
        <v>1.7674688065556516</v>
      </c>
      <c r="D254" s="78">
        <f t="shared" si="854"/>
        <v>2.2763916138103939</v>
      </c>
      <c r="E254" s="78">
        <f t="shared" si="854"/>
        <v>1.9245597761438809</v>
      </c>
      <c r="F254" s="78">
        <f t="shared" si="854"/>
        <v>1.710485278759486</v>
      </c>
      <c r="G254" s="78">
        <f t="shared" si="854"/>
        <v>2.0329634219174855</v>
      </c>
      <c r="H254" s="78">
        <f t="shared" si="854"/>
        <v>2.4194753302327587</v>
      </c>
      <c r="I254" s="78">
        <f t="shared" si="854"/>
        <v>3.2090158742071084</v>
      </c>
      <c r="J254" s="78">
        <f t="shared" si="854"/>
        <v>3.4236895607890756</v>
      </c>
      <c r="K254" s="78">
        <f>(K243-K250)/K224</f>
        <v>3.104199922264316</v>
      </c>
      <c r="L254" s="78">
        <f t="shared" ref="L254" si="855">(L243-L250)/L224</f>
        <v>3.0739427147389549</v>
      </c>
      <c r="M254" s="78"/>
      <c r="N254" s="76"/>
      <c r="O254" s="349"/>
      <c r="P254" s="349"/>
      <c r="Q254" s="349"/>
      <c r="R254" s="78">
        <f t="shared" ref="R254:AQ254" si="856">(R243-R250)/SUM(R252)</f>
        <v>1.9093942897496696</v>
      </c>
      <c r="S254" s="78">
        <f t="shared" si="856"/>
        <v>1.7624649010488251</v>
      </c>
      <c r="T254" s="78">
        <f t="shared" si="856"/>
        <v>1.7409803522203005</v>
      </c>
      <c r="U254" s="78">
        <f t="shared" si="856"/>
        <v>1.6525533331531153</v>
      </c>
      <c r="V254" s="78">
        <f t="shared" si="856"/>
        <v>1.714903993283005</v>
      </c>
      <c r="W254" s="78">
        <f t="shared" si="856"/>
        <v>1.7241717300997341</v>
      </c>
      <c r="X254" s="78">
        <f t="shared" si="856"/>
        <v>1.8315009858229057</v>
      </c>
      <c r="Y254" s="78">
        <f t="shared" si="856"/>
        <v>1.8297090425045324</v>
      </c>
      <c r="Z254" s="78">
        <f t="shared" si="856"/>
        <v>1.9605887785806906</v>
      </c>
      <c r="AA254" s="78">
        <f t="shared" si="856"/>
        <v>2.2304314658220981</v>
      </c>
      <c r="AB254" s="78">
        <f t="shared" si="856"/>
        <v>2.3811740364628688</v>
      </c>
      <c r="AC254" s="78">
        <f t="shared" si="856"/>
        <v>2.5592507947976229</v>
      </c>
      <c r="AD254" s="78">
        <f t="shared" si="856"/>
        <v>2.4162756711362423</v>
      </c>
      <c r="AE254" s="78">
        <f t="shared" si="856"/>
        <v>2.5673170203768034</v>
      </c>
      <c r="AF254" s="78">
        <f t="shared" si="856"/>
        <v>3.2143890040937397</v>
      </c>
      <c r="AG254" s="78">
        <f t="shared" si="856"/>
        <v>3.2279727260883453</v>
      </c>
      <c r="AH254" s="78">
        <f t="shared" si="856"/>
        <v>3.2173246122188521</v>
      </c>
      <c r="AI254" s="78">
        <f t="shared" si="856"/>
        <v>2.9236960712023587</v>
      </c>
      <c r="AJ254" s="78">
        <f t="shared" si="856"/>
        <v>3.4559916842710146</v>
      </c>
      <c r="AK254" s="78">
        <f t="shared" si="856"/>
        <v>3.2781712377869092</v>
      </c>
      <c r="AL254" s="78">
        <f t="shared" si="856"/>
        <v>3.4233983501150371</v>
      </c>
      <c r="AM254" s="78">
        <f t="shared" si="856"/>
        <v>3.3296947674149555</v>
      </c>
      <c r="AN254" s="78">
        <f t="shared" si="856"/>
        <v>3.171716511320374</v>
      </c>
      <c r="AO254" s="78">
        <f t="shared" si="856"/>
        <v>3.1334923187862036</v>
      </c>
      <c r="AP254" s="78">
        <f t="shared" si="856"/>
        <v>3.1039165893907614</v>
      </c>
      <c r="AQ254" s="78">
        <f t="shared" si="856"/>
        <v>3.1270590688186655</v>
      </c>
      <c r="AR254" s="78">
        <f>(AR243-AR250)/SUM(AR252)</f>
        <v>3.2411231063977053</v>
      </c>
      <c r="AS254" s="78">
        <f t="shared" ref="AS254" si="857">(AS243-AS250)/SUM(AS252)</f>
        <v>3.10079539422075</v>
      </c>
      <c r="AT254" s="78">
        <f t="shared" ref="AT254" si="858">(AT243-AT250)/SUM(AT252)</f>
        <v>3.0743424937758816</v>
      </c>
      <c r="AU254" s="78">
        <f t="shared" ref="AU254" si="859">(AU243-AU250)/SUM(AU252)</f>
        <v>2.7242395344904868</v>
      </c>
    </row>
    <row r="255" spans="2:47" ht="13.5" customHeight="1" x14ac:dyDescent="0.35">
      <c r="B255" s="3" t="str">
        <f>B190</f>
        <v>Total Gross Leverage  exc lease</v>
      </c>
      <c r="C255" s="68">
        <f t="shared" ref="C255:K255" si="860">(C242-C250)/C224</f>
        <v>1.9322528105108614</v>
      </c>
      <c r="D255" s="68">
        <f t="shared" si="860"/>
        <v>2.488734011614929</v>
      </c>
      <c r="E255" s="68">
        <f t="shared" si="860"/>
        <v>2.2820055846759923</v>
      </c>
      <c r="F255" s="68">
        <f t="shared" si="860"/>
        <v>1.8217525066840126</v>
      </c>
      <c r="G255" s="68">
        <f t="shared" si="860"/>
        <v>2.3059409856230837</v>
      </c>
      <c r="H255" s="68">
        <f t="shared" si="860"/>
        <v>2.7350921132402712</v>
      </c>
      <c r="I255" s="68">
        <f t="shared" si="860"/>
        <v>3.432229929587753</v>
      </c>
      <c r="J255" s="68">
        <f t="shared" si="860"/>
        <v>3.6289709821161811</v>
      </c>
      <c r="K255" s="68">
        <f t="shared" si="860"/>
        <v>3.3467965631767393</v>
      </c>
      <c r="L255" s="68">
        <f t="shared" ref="L255" si="861">(L242-L250)/L224</f>
        <v>3.3520107102474861</v>
      </c>
      <c r="M255" s="68"/>
      <c r="N255" s="68"/>
      <c r="O255" s="349"/>
      <c r="P255" s="349"/>
      <c r="Q255" s="349"/>
      <c r="R255" s="68">
        <f t="shared" ref="R255:AQ255" si="862">(R242-R250)/SUM(R252)</f>
        <v>2.2640234336018081</v>
      </c>
      <c r="S255" s="68">
        <f t="shared" si="862"/>
        <v>2.0019249547682869</v>
      </c>
      <c r="T255" s="68">
        <f t="shared" si="862"/>
        <v>1.9115233382654755</v>
      </c>
      <c r="U255" s="68">
        <f t="shared" si="862"/>
        <v>1.8122926878859025</v>
      </c>
      <c r="V255" s="68">
        <f t="shared" si="862"/>
        <v>1.8264586590020144</v>
      </c>
      <c r="W255" s="68">
        <f t="shared" si="862"/>
        <v>1.9164839507078326</v>
      </c>
      <c r="X255" s="68">
        <f t="shared" si="862"/>
        <v>2.031784350165287</v>
      </c>
      <c r="Y255" s="68">
        <f t="shared" si="862"/>
        <v>2.2853691967896212</v>
      </c>
      <c r="Z255" s="68">
        <f t="shared" si="862"/>
        <v>2.2238481872033478</v>
      </c>
      <c r="AA255" s="68">
        <f t="shared" si="862"/>
        <v>2.4398378480966501</v>
      </c>
      <c r="AB255" s="68">
        <f t="shared" si="862"/>
        <v>2.5866141575062525</v>
      </c>
      <c r="AC255" s="68">
        <f t="shared" si="862"/>
        <v>2.726241640895541</v>
      </c>
      <c r="AD255" s="68">
        <f t="shared" si="862"/>
        <v>2.7314750636053415</v>
      </c>
      <c r="AE255" s="68">
        <f t="shared" si="862"/>
        <v>2.7552860487541184</v>
      </c>
      <c r="AF255" s="68">
        <f t="shared" si="862"/>
        <v>3.4070981952271118</v>
      </c>
      <c r="AG255" s="68">
        <f t="shared" si="862"/>
        <v>3.3943523278557319</v>
      </c>
      <c r="AH255" s="68">
        <f t="shared" si="862"/>
        <v>3.4411166102396695</v>
      </c>
      <c r="AI255" s="68">
        <f t="shared" si="862"/>
        <v>3.1310253958612515</v>
      </c>
      <c r="AJ255" s="68">
        <f t="shared" si="862"/>
        <v>3.7816430452194316</v>
      </c>
      <c r="AK255" s="68">
        <f t="shared" si="862"/>
        <v>3.4763289754863411</v>
      </c>
      <c r="AL255" s="68">
        <f t="shared" si="862"/>
        <v>3.6286623107057032</v>
      </c>
      <c r="AM255" s="68">
        <f t="shared" si="862"/>
        <v>3.5351990747582112</v>
      </c>
      <c r="AN255" s="68">
        <f t="shared" si="862"/>
        <v>3.3861196004154066</v>
      </c>
      <c r="AO255" s="68">
        <f t="shared" si="862"/>
        <v>3.3970864896040158</v>
      </c>
      <c r="AP255" s="68">
        <f t="shared" si="862"/>
        <v>3.3464910875272338</v>
      </c>
      <c r="AQ255" s="68">
        <f t="shared" si="862"/>
        <v>3.345963119800476</v>
      </c>
      <c r="AR255" s="68">
        <f>(AR242-AR250)/SUM(AR252)</f>
        <v>3.4697918430554302</v>
      </c>
      <c r="AS255" s="68">
        <f t="shared" ref="AS255:AU255" si="863">(AS242-AS250)/SUM(AS252)</f>
        <v>3.4169131784764795</v>
      </c>
      <c r="AT255" s="68">
        <f t="shared" si="863"/>
        <v>3.3524466531839257</v>
      </c>
      <c r="AU255" s="68">
        <f t="shared" si="863"/>
        <v>3.1764094582072824</v>
      </c>
    </row>
    <row r="256" spans="2:47" s="6" customFormat="1" ht="13.5" customHeight="1" x14ac:dyDescent="0.3"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</row>
    <row r="257" spans="2:47" s="6" customFormat="1" ht="13.5" customHeight="1" x14ac:dyDescent="0.3">
      <c r="B257" s="6" t="str">
        <f>B192</f>
        <v>Total Net Leverage including leases and perpetuals</v>
      </c>
      <c r="C257" s="78">
        <f t="shared" ref="C257:D257" si="864">C243/C252</f>
        <v>1.7674688065556516</v>
      </c>
      <c r="D257" s="78">
        <f t="shared" si="864"/>
        <v>2.2763916138103939</v>
      </c>
      <c r="E257" s="78">
        <f t="shared" ref="E257:G257" si="865">E243/E252</f>
        <v>1.9245597761438809</v>
      </c>
      <c r="F257" s="78">
        <f t="shared" si="865"/>
        <v>1.7596098856892681</v>
      </c>
      <c r="G257" s="78">
        <f t="shared" si="865"/>
        <v>2.096277278865776</v>
      </c>
      <c r="H257" s="78">
        <f t="shared" ref="H257:I257" si="866">H243/H252</f>
        <v>2.6783228647340831</v>
      </c>
      <c r="I257" s="78">
        <f t="shared" si="866"/>
        <v>3.8802701170706442</v>
      </c>
      <c r="J257" s="78">
        <f t="shared" ref="J257:K257" si="867">J243/J252</f>
        <v>4.5179162664673491</v>
      </c>
      <c r="K257" s="78">
        <f t="shared" si="867"/>
        <v>4.4232890870712929</v>
      </c>
      <c r="L257" s="78">
        <f t="shared" ref="L257" si="868">L243/L252</f>
        <v>4.5097889074881214</v>
      </c>
      <c r="M257" s="78"/>
      <c r="N257" s="78"/>
      <c r="O257" s="349"/>
      <c r="P257" s="349"/>
      <c r="Q257" s="349"/>
      <c r="R257" s="78">
        <f t="shared" ref="R257:AQ257" si="869">R243/SUM(R252)</f>
        <v>1.9093942897496696</v>
      </c>
      <c r="S257" s="78">
        <f t="shared" si="869"/>
        <v>1.8100590601131006</v>
      </c>
      <c r="T257" s="78">
        <f t="shared" si="869"/>
        <v>1.7888287750700447</v>
      </c>
      <c r="U257" s="78">
        <f t="shared" si="869"/>
        <v>1.6983045904672651</v>
      </c>
      <c r="V257" s="78">
        <f t="shared" si="869"/>
        <v>1.7641555043240347</v>
      </c>
      <c r="W257" s="78">
        <f t="shared" si="869"/>
        <v>1.7748299584704545</v>
      </c>
      <c r="X257" s="78">
        <f t="shared" si="869"/>
        <v>1.887717810666836</v>
      </c>
      <c r="Y257" s="78">
        <f t="shared" si="869"/>
        <v>1.8897659807306282</v>
      </c>
      <c r="Z257" s="78">
        <f t="shared" si="869"/>
        <v>2.0216486265460802</v>
      </c>
      <c r="AA257" s="78">
        <f t="shared" si="869"/>
        <v>2.2979867880580755</v>
      </c>
      <c r="AB257" s="78">
        <f t="shared" si="869"/>
        <v>2.4537065963239937</v>
      </c>
      <c r="AC257" s="78">
        <f t="shared" si="869"/>
        <v>2.7440768633037833</v>
      </c>
      <c r="AD257" s="78">
        <f t="shared" si="869"/>
        <v>2.6747808901536976</v>
      </c>
      <c r="AE257" s="78">
        <f t="shared" si="869"/>
        <v>2.8566254007005911</v>
      </c>
      <c r="AF257" s="78">
        <f t="shared" si="869"/>
        <v>3.5058519654852618</v>
      </c>
      <c r="AG257" s="78">
        <f t="shared" si="869"/>
        <v>3.6356037990711081</v>
      </c>
      <c r="AH257" s="78">
        <f t="shared" si="869"/>
        <v>3.8903168569689015</v>
      </c>
      <c r="AI257" s="78">
        <f t="shared" si="869"/>
        <v>3.7286601539719979</v>
      </c>
      <c r="AJ257" s="78">
        <f t="shared" si="869"/>
        <v>4.4406032874061099</v>
      </c>
      <c r="AK257" s="78">
        <f t="shared" si="869"/>
        <v>4.3132441296212685</v>
      </c>
      <c r="AL257" s="78">
        <f t="shared" si="869"/>
        <v>4.5175319835416206</v>
      </c>
      <c r="AM257" s="78">
        <f t="shared" si="869"/>
        <v>4.4829680197079966</v>
      </c>
      <c r="AN257" s="78">
        <f t="shared" si="869"/>
        <v>4.3274480921314771</v>
      </c>
      <c r="AO257" s="78">
        <f t="shared" si="869"/>
        <v>4.4791445222994142</v>
      </c>
      <c r="AP257" s="78">
        <f t="shared" si="869"/>
        <v>4.4228853555981313</v>
      </c>
      <c r="AQ257" s="78">
        <f t="shared" si="869"/>
        <v>4.5114857239497272</v>
      </c>
      <c r="AR257" s="78">
        <f>AR243/SUM(AR252)</f>
        <v>4.699064021023859</v>
      </c>
      <c r="AS257" s="78">
        <f t="shared" ref="AS257" si="870">AS243/SUM(AS252)</f>
        <v>4.5489341765726063</v>
      </c>
      <c r="AT257" s="78">
        <f t="shared" ref="AT257" si="871">AT243/SUM(AT252)</f>
        <v>4.5103754242951952</v>
      </c>
      <c r="AU257" s="78">
        <f t="shared" ref="AU257" si="872">AU243/SUM(AU252)</f>
        <v>4.1658578676175919</v>
      </c>
    </row>
    <row r="258" spans="2:47" ht="13.5" customHeight="1" x14ac:dyDescent="0.35">
      <c r="B258" s="3" t="str">
        <f>B193</f>
        <v>Total Gross Leverage including leases and perpetuals</v>
      </c>
      <c r="C258" s="68">
        <f t="shared" ref="C258:D258" si="873">C242/C252</f>
        <v>1.9322528105108614</v>
      </c>
      <c r="D258" s="68">
        <f t="shared" si="873"/>
        <v>2.488734011614929</v>
      </c>
      <c r="E258" s="68">
        <f t="shared" ref="E258:G258" si="874">E242/E252</f>
        <v>2.2820055846759923</v>
      </c>
      <c r="F258" s="68">
        <f t="shared" si="874"/>
        <v>1.8708771136137949</v>
      </c>
      <c r="G258" s="68">
        <f t="shared" si="874"/>
        <v>2.3692548425713738</v>
      </c>
      <c r="H258" s="68">
        <f t="shared" ref="H258:I258" si="875">H242/H252</f>
        <v>2.9939396477415956</v>
      </c>
      <c r="I258" s="68">
        <f t="shared" si="875"/>
        <v>4.1034841724512887</v>
      </c>
      <c r="J258" s="68">
        <f t="shared" ref="J258:K258" si="876">J242/J252</f>
        <v>4.7231976877944541</v>
      </c>
      <c r="K258" s="68">
        <f t="shared" si="876"/>
        <v>4.6658857279837163</v>
      </c>
      <c r="L258" s="68">
        <f t="shared" ref="L258" si="877">L242/L252</f>
        <v>4.7878569029966522</v>
      </c>
      <c r="M258" s="68"/>
      <c r="N258" s="68"/>
      <c r="O258" s="349"/>
      <c r="P258" s="349"/>
      <c r="Q258" s="349"/>
      <c r="R258" s="68">
        <f t="shared" ref="R258:AQ258" si="878">R242/SUM(R252)</f>
        <v>2.2640234336018081</v>
      </c>
      <c r="S258" s="68">
        <f t="shared" si="878"/>
        <v>2.0495191138325626</v>
      </c>
      <c r="T258" s="68">
        <f t="shared" si="878"/>
        <v>1.9593717611152197</v>
      </c>
      <c r="U258" s="68">
        <f t="shared" si="878"/>
        <v>1.8580439452000523</v>
      </c>
      <c r="V258" s="68">
        <f t="shared" si="878"/>
        <v>1.8757101700430443</v>
      </c>
      <c r="W258" s="68">
        <f t="shared" si="878"/>
        <v>1.967142179078553</v>
      </c>
      <c r="X258" s="68">
        <f t="shared" si="878"/>
        <v>2.0880011750092171</v>
      </c>
      <c r="Y258" s="68">
        <f t="shared" si="878"/>
        <v>2.3454261350157171</v>
      </c>
      <c r="Z258" s="68">
        <f t="shared" si="878"/>
        <v>2.2849080351687379</v>
      </c>
      <c r="AA258" s="68">
        <f t="shared" si="878"/>
        <v>2.5073931703326275</v>
      </c>
      <c r="AB258" s="68">
        <f t="shared" si="878"/>
        <v>2.6591467173673773</v>
      </c>
      <c r="AC258" s="68">
        <f t="shared" si="878"/>
        <v>2.9110677094017015</v>
      </c>
      <c r="AD258" s="68">
        <f t="shared" si="878"/>
        <v>2.9899802826227968</v>
      </c>
      <c r="AE258" s="68">
        <f t="shared" si="878"/>
        <v>3.0445944290779057</v>
      </c>
      <c r="AF258" s="68">
        <f t="shared" si="878"/>
        <v>3.6985611566186338</v>
      </c>
      <c r="AG258" s="68">
        <f t="shared" si="878"/>
        <v>3.8019834008384952</v>
      </c>
      <c r="AH258" s="68">
        <f t="shared" si="878"/>
        <v>4.1141088549897189</v>
      </c>
      <c r="AI258" s="68">
        <f t="shared" si="878"/>
        <v>3.9359894786308902</v>
      </c>
      <c r="AJ258" s="68">
        <f t="shared" si="878"/>
        <v>4.7662546483545274</v>
      </c>
      <c r="AK258" s="68">
        <f t="shared" si="878"/>
        <v>4.5114018673207008</v>
      </c>
      <c r="AL258" s="68">
        <f t="shared" si="878"/>
        <v>4.7227959441322858</v>
      </c>
      <c r="AM258" s="68">
        <f t="shared" si="878"/>
        <v>4.6884723270512518</v>
      </c>
      <c r="AN258" s="68">
        <f t="shared" si="878"/>
        <v>4.5418511812265088</v>
      </c>
      <c r="AO258" s="68">
        <f t="shared" si="878"/>
        <v>4.7427386931172268</v>
      </c>
      <c r="AP258" s="68">
        <f t="shared" si="878"/>
        <v>4.6654598537346033</v>
      </c>
      <c r="AQ258" s="68">
        <f t="shared" si="878"/>
        <v>4.7303897749315382</v>
      </c>
      <c r="AR258" s="68">
        <f>AR242/SUM(AR252)</f>
        <v>4.9277327576815839</v>
      </c>
      <c r="AS258" s="68">
        <f t="shared" ref="AS258:AU258" si="879">AS242/SUM(AS252)</f>
        <v>4.8650519608283354</v>
      </c>
      <c r="AT258" s="68">
        <f t="shared" si="879"/>
        <v>4.7884795837032401</v>
      </c>
      <c r="AU258" s="68">
        <f t="shared" si="879"/>
        <v>4.6180277913343888</v>
      </c>
    </row>
    <row r="259" spans="2:47" s="6" customFormat="1" ht="13.5" customHeight="1" x14ac:dyDescent="0.3"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6"/>
      <c r="P259" s="76"/>
      <c r="Q259" s="76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</row>
    <row r="260" spans="2:47" s="6" customFormat="1" ht="13.5" customHeight="1" x14ac:dyDescent="0.3">
      <c r="B260" s="6" t="str">
        <f t="shared" ref="B260" si="880">B195</f>
        <v>EBITDA - Capex / Interest</v>
      </c>
      <c r="C260" s="78">
        <f t="shared" ref="C260:K260" si="881">(C252+C229)/-C227</f>
        <v>3.5511038333579874</v>
      </c>
      <c r="D260" s="78">
        <f t="shared" si="881"/>
        <v>2.0492996532700438</v>
      </c>
      <c r="E260" s="78">
        <f t="shared" si="881"/>
        <v>3.4097925662615376</v>
      </c>
      <c r="F260" s="78">
        <f t="shared" si="881"/>
        <v>3.4783761448697996</v>
      </c>
      <c r="G260" s="78">
        <f t="shared" si="881"/>
        <v>1.9696966877407454</v>
      </c>
      <c r="H260" s="78">
        <f t="shared" si="881"/>
        <v>-2.2942586076946205</v>
      </c>
      <c r="I260" s="78">
        <f t="shared" si="881"/>
        <v>-1.844574595179028</v>
      </c>
      <c r="J260" s="78">
        <f t="shared" si="881"/>
        <v>0.89200486993702843</v>
      </c>
      <c r="K260" s="78">
        <f t="shared" si="881"/>
        <v>2.296316938835671</v>
      </c>
      <c r="L260" s="78">
        <f t="shared" ref="L260" si="882">(L252+L229)/-L227</f>
        <v>3.1187256065725002</v>
      </c>
      <c r="M260" s="78"/>
      <c r="N260" s="78"/>
      <c r="O260" s="349"/>
      <c r="P260" s="349"/>
      <c r="Q260" s="349"/>
      <c r="R260" s="78">
        <f t="shared" ref="R260:AU260" si="883">(SUM(R252)+SUM(O229:R229))/-SUM(O227:R227)</f>
        <v>3.4175473602503548</v>
      </c>
      <c r="S260" s="78">
        <f t="shared" si="883"/>
        <v>3.3333419320666615</v>
      </c>
      <c r="T260" s="78">
        <f t="shared" si="883"/>
        <v>4.425052352546369</v>
      </c>
      <c r="U260" s="78">
        <f t="shared" si="883"/>
        <v>4.2017572138626615</v>
      </c>
      <c r="V260" s="78">
        <f t="shared" si="883"/>
        <v>3.4558594095957593</v>
      </c>
      <c r="W260" s="78">
        <f t="shared" si="883"/>
        <v>3.3826491763009567</v>
      </c>
      <c r="X260" s="78">
        <f t="shared" si="883"/>
        <v>3.354153155450069</v>
      </c>
      <c r="Y260" s="78">
        <f t="shared" si="883"/>
        <v>3.2153382247165312</v>
      </c>
      <c r="Z260" s="78">
        <f t="shared" si="883"/>
        <v>1.9876631507285063</v>
      </c>
      <c r="AA260" s="78">
        <f t="shared" si="883"/>
        <v>0.4154362401052914</v>
      </c>
      <c r="AB260" s="78">
        <f t="shared" si="883"/>
        <v>-1.4441468409453078</v>
      </c>
      <c r="AC260" s="78">
        <f t="shared" si="883"/>
        <v>-2.4596450133789505</v>
      </c>
      <c r="AD260" s="78">
        <f t="shared" si="883"/>
        <v>-2.2821029411011566</v>
      </c>
      <c r="AE260" s="78">
        <f t="shared" si="883"/>
        <v>-2.2313333882938431</v>
      </c>
      <c r="AF260" s="78">
        <f t="shared" si="883"/>
        <v>-2.1095701740605834</v>
      </c>
      <c r="AG260" s="78">
        <f t="shared" si="883"/>
        <v>-2.1533380054883189</v>
      </c>
      <c r="AH260" s="78">
        <f t="shared" si="883"/>
        <v>-1.8184869970238215</v>
      </c>
      <c r="AI260" s="78">
        <f t="shared" si="883"/>
        <v>-1.3070283949317116</v>
      </c>
      <c r="AJ260" s="78">
        <f t="shared" si="883"/>
        <v>-0.7306804066846635</v>
      </c>
      <c r="AK260" s="78">
        <f t="shared" si="883"/>
        <v>-2.5398917474488837E-2</v>
      </c>
      <c r="AL260" s="78">
        <f t="shared" si="883"/>
        <v>0.89117123414736177</v>
      </c>
      <c r="AM260" s="78">
        <f t="shared" si="883"/>
        <v>1.1999163662475327</v>
      </c>
      <c r="AN260" s="78">
        <f t="shared" si="883"/>
        <v>1.7079580147986404</v>
      </c>
      <c r="AO260" s="78">
        <f t="shared" si="883"/>
        <v>2.0749811607977149</v>
      </c>
      <c r="AP260" s="78">
        <f t="shared" si="883"/>
        <v>2.2955052250074086</v>
      </c>
      <c r="AQ260" s="78">
        <f t="shared" si="883"/>
        <v>2.6149335274572656</v>
      </c>
      <c r="AR260" s="78">
        <f>(SUM(AR252)+SUM(AO229:AR229))/-SUM(AO227:AR227)</f>
        <v>2.9103359464408585</v>
      </c>
      <c r="AS260" s="78">
        <f t="shared" si="883"/>
        <v>2.9367846919666332</v>
      </c>
      <c r="AT260" s="78">
        <f t="shared" si="883"/>
        <v>3.1202700027771515</v>
      </c>
      <c r="AU260" s="78">
        <f t="shared" si="883"/>
        <v>2.9285459836134566</v>
      </c>
    </row>
    <row r="261" spans="2:47" ht="13.5" customHeight="1" x14ac:dyDescent="0.35">
      <c r="B261" s="3" t="str">
        <f>B196</f>
        <v>EBITDA/Interest</v>
      </c>
      <c r="C261" s="68">
        <f t="shared" ref="C261:K261" si="884">C252/-C227</f>
        <v>13.108977445959797</v>
      </c>
      <c r="D261" s="68">
        <f t="shared" si="884"/>
        <v>9.6516195602971138</v>
      </c>
      <c r="E261" s="68">
        <f t="shared" si="884"/>
        <v>9.8563889421944779</v>
      </c>
      <c r="F261" s="68">
        <f t="shared" si="884"/>
        <v>10.51233686517045</v>
      </c>
      <c r="G261" s="68">
        <f t="shared" si="884"/>
        <v>10.857139333649098</v>
      </c>
      <c r="H261" s="68">
        <f t="shared" si="884"/>
        <v>9.7394820264789743</v>
      </c>
      <c r="I261" s="68">
        <f t="shared" si="884"/>
        <v>8.0423764152985715</v>
      </c>
      <c r="J261" s="68">
        <f t="shared" si="884"/>
        <v>6.2404495387799308</v>
      </c>
      <c r="K261" s="68">
        <f t="shared" si="884"/>
        <v>6.2448990161805176</v>
      </c>
      <c r="L261" s="68">
        <f t="shared" ref="L261" si="885">L252/-L227</f>
        <v>6.4110899808715729</v>
      </c>
      <c r="M261" s="68"/>
      <c r="N261" s="238"/>
      <c r="O261" s="349"/>
      <c r="P261" s="349"/>
      <c r="Q261" s="349"/>
      <c r="R261" s="68">
        <f t="shared" ref="R261:AU261" si="886">SUM(R252)/-SUM(O227:R227)</f>
        <v>9.8689101232026832</v>
      </c>
      <c r="S261" s="68">
        <f t="shared" si="886"/>
        <v>9.5065750587149953</v>
      </c>
      <c r="T261" s="68">
        <f t="shared" si="886"/>
        <v>9.7284849874374189</v>
      </c>
      <c r="U261" s="68">
        <f t="shared" si="886"/>
        <v>9.7870060474423806</v>
      </c>
      <c r="V261" s="68">
        <f t="shared" si="886"/>
        <v>10.517669865350662</v>
      </c>
      <c r="W261" s="68">
        <f t="shared" si="886"/>
        <v>10.90584987475785</v>
      </c>
      <c r="X261" s="68">
        <f t="shared" si="886"/>
        <v>11.021076732648991</v>
      </c>
      <c r="Y261" s="68">
        <f t="shared" si="886"/>
        <v>10.823178250917522</v>
      </c>
      <c r="Z261" s="68">
        <f t="shared" si="886"/>
        <v>10.850037216669252</v>
      </c>
      <c r="AA261" s="68">
        <f t="shared" si="886"/>
        <v>10.223157455138818</v>
      </c>
      <c r="AB261" s="68">
        <f t="shared" si="886"/>
        <v>10.705140367040954</v>
      </c>
      <c r="AC261" s="68">
        <f t="shared" si="886"/>
        <v>10.195726133628012</v>
      </c>
      <c r="AD261" s="68">
        <f t="shared" si="886"/>
        <v>9.7528923966798615</v>
      </c>
      <c r="AE261" s="68">
        <f t="shared" si="886"/>
        <v>9.3733898774926665</v>
      </c>
      <c r="AF261" s="68">
        <f t="shared" si="886"/>
        <v>8.9816136863390046</v>
      </c>
      <c r="AG261" s="68">
        <f t="shared" si="886"/>
        <v>8.4865950059325197</v>
      </c>
      <c r="AH261" s="68">
        <f t="shared" si="886"/>
        <v>8.0694419528499193</v>
      </c>
      <c r="AI261" s="68">
        <f t="shared" si="886"/>
        <v>7.6447572303701561</v>
      </c>
      <c r="AJ261" s="68">
        <f t="shared" si="886"/>
        <v>7.023155598644494</v>
      </c>
      <c r="AK261" s="68">
        <f t="shared" si="886"/>
        <v>6.5623540936382501</v>
      </c>
      <c r="AL261" s="68">
        <f t="shared" si="886"/>
        <v>6.2437107939208847</v>
      </c>
      <c r="AM261" s="68">
        <f t="shared" si="886"/>
        <v>6.0246028772694915</v>
      </c>
      <c r="AN261" s="68">
        <f t="shared" si="886"/>
        <v>5.9193030715888435</v>
      </c>
      <c r="AO261" s="68">
        <f t="shared" si="886"/>
        <v>6.0148243505069869</v>
      </c>
      <c r="AP261" s="68">
        <f t="shared" si="886"/>
        <v>6.2387624262179564</v>
      </c>
      <c r="AQ261" s="68">
        <f t="shared" si="886"/>
        <v>6.1634781655026236</v>
      </c>
      <c r="AR261" s="68">
        <f>SUM(AR252)/-SUM(AO227:AR227)</f>
        <v>6.3131651982777663</v>
      </c>
      <c r="AS261" s="68">
        <f t="shared" si="886"/>
        <v>6.3289108423044889</v>
      </c>
      <c r="AT261" s="68">
        <f t="shared" si="886"/>
        <v>6.4112341877801535</v>
      </c>
      <c r="AU261" s="68">
        <f t="shared" si="886"/>
        <v>6.5548416125327815</v>
      </c>
    </row>
    <row r="262" spans="2:47" ht="13.5" customHeight="1" x14ac:dyDescent="0.35"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</row>
    <row r="263" spans="2:47" s="365" customFormat="1" ht="13.5" customHeight="1" thickBot="1" x14ac:dyDescent="0.35">
      <c r="B263" s="363" t="str">
        <f t="shared" ref="B263" si="887">B198</f>
        <v xml:space="preserve">Gearing (Net debt / Equity) </v>
      </c>
      <c r="C263" s="364">
        <f t="shared" ref="C263:K263" si="888">C243/C245</f>
        <v>1.4587450132176887</v>
      </c>
      <c r="D263" s="364">
        <f t="shared" si="888"/>
        <v>1.8075507134504887</v>
      </c>
      <c r="E263" s="364">
        <f t="shared" si="888"/>
        <v>1.7097281239194615</v>
      </c>
      <c r="F263" s="364">
        <f t="shared" si="888"/>
        <v>1.6151767430862707</v>
      </c>
      <c r="G263" s="364">
        <f t="shared" si="888"/>
        <v>1.8091862432064358</v>
      </c>
      <c r="H263" s="364">
        <f t="shared" si="888"/>
        <v>1.8027151068054108</v>
      </c>
      <c r="I263" s="364">
        <f t="shared" si="888"/>
        <v>2.0552462626580099</v>
      </c>
      <c r="J263" s="364">
        <f t="shared" si="888"/>
        <v>2.2906211217788979</v>
      </c>
      <c r="K263" s="364">
        <f t="shared" si="888"/>
        <v>2.3205698722098673</v>
      </c>
      <c r="L263" s="364">
        <f t="shared" ref="L263" si="889">L243/L245</f>
        <v>2.3267164076311131</v>
      </c>
      <c r="M263" s="364"/>
      <c r="N263" s="415"/>
      <c r="O263" s="364">
        <f t="shared" ref="O263:Q263" si="890">O243/O245</f>
        <v>1.8667388016597315</v>
      </c>
      <c r="P263" s="364">
        <f t="shared" si="890"/>
        <v>1.8290057343352215</v>
      </c>
      <c r="Q263" s="364">
        <f t="shared" si="890"/>
        <v>1.7510395847636855</v>
      </c>
      <c r="R263" s="364">
        <f t="shared" ref="R263:AP263" si="891">R243/R245</f>
        <v>1.7097281239194615</v>
      </c>
      <c r="S263" s="364">
        <f t="shared" si="891"/>
        <v>1.627586644967066</v>
      </c>
      <c r="T263" s="364">
        <f t="shared" si="891"/>
        <v>1.5672022622399255</v>
      </c>
      <c r="U263" s="364">
        <f t="shared" si="891"/>
        <v>1.5217726651556669</v>
      </c>
      <c r="V263" s="364">
        <f t="shared" si="891"/>
        <v>1.6151767430862707</v>
      </c>
      <c r="W263" s="364">
        <f t="shared" si="891"/>
        <v>1.584058220007831</v>
      </c>
      <c r="X263" s="364">
        <f t="shared" si="891"/>
        <v>1.634902598019669</v>
      </c>
      <c r="Y263" s="364">
        <f t="shared" si="891"/>
        <v>1.5656448750167771</v>
      </c>
      <c r="Z263" s="364">
        <f t="shared" si="891"/>
        <v>1.8091862432064356</v>
      </c>
      <c r="AA263" s="364">
        <f t="shared" si="891"/>
        <v>1.8079085404258766</v>
      </c>
      <c r="AB263" s="364">
        <f t="shared" si="891"/>
        <v>1.968568510475289</v>
      </c>
      <c r="AC263" s="364">
        <f t="shared" si="891"/>
        <v>2.6044975618271033</v>
      </c>
      <c r="AD263" s="364">
        <f t="shared" si="891"/>
        <v>1.8027151068054108</v>
      </c>
      <c r="AE263" s="364">
        <f t="shared" si="891"/>
        <v>1.8159714543645697</v>
      </c>
      <c r="AF263" s="364">
        <f t="shared" si="891"/>
        <v>2.3267786058464686</v>
      </c>
      <c r="AG263" s="364">
        <f t="shared" si="891"/>
        <v>2.460142681985265</v>
      </c>
      <c r="AH263" s="364">
        <f t="shared" si="891"/>
        <v>2.0552462626580099</v>
      </c>
      <c r="AI263" s="364">
        <f t="shared" si="891"/>
        <v>1.8631051283705533</v>
      </c>
      <c r="AJ263" s="364">
        <f t="shared" si="891"/>
        <v>2.1719309536921392</v>
      </c>
      <c r="AK263" s="364">
        <f t="shared" si="891"/>
        <v>2.1629599771246886</v>
      </c>
      <c r="AL263" s="364">
        <f t="shared" si="891"/>
        <v>2.2906211217788979</v>
      </c>
      <c r="AM263" s="364">
        <f t="shared" si="891"/>
        <v>2.2814377623498556</v>
      </c>
      <c r="AN263" s="364">
        <f t="shared" si="891"/>
        <v>2.2577514273572445</v>
      </c>
      <c r="AO263" s="364">
        <f t="shared" si="891"/>
        <v>2.2367499597125962</v>
      </c>
      <c r="AP263" s="364">
        <f t="shared" si="891"/>
        <v>2.3205698722098673</v>
      </c>
      <c r="AQ263" s="364">
        <f>AQ243/AQ245</f>
        <v>2.2530191680268037</v>
      </c>
      <c r="AR263" s="364">
        <f t="shared" ref="AR263:AT263" si="892">AR243/AR245</f>
        <v>2.2992928228182632</v>
      </c>
      <c r="AS263" s="364">
        <f t="shared" si="892"/>
        <v>2.2879810372460141</v>
      </c>
      <c r="AT263" s="364">
        <f t="shared" si="892"/>
        <v>2.3267164076311131</v>
      </c>
      <c r="AU263" s="364">
        <f>AU243/AU245</f>
        <v>1.9281275485428759</v>
      </c>
    </row>
    <row r="264" spans="2:47" s="6" customFormat="1" ht="13.5" customHeight="1" thickTop="1" x14ac:dyDescent="0.3"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ignoredErrors>
    <ignoredError sqref="X89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W91"/>
  <sheetViews>
    <sheetView showGridLines="0" zoomScaleNormal="100" workbookViewId="0">
      <pane xSplit="2" ySplit="6" topLeftCell="J7" activePane="bottomRight" state="frozen"/>
      <selection pane="topRight" activeCell="C18" sqref="C18"/>
      <selection pane="bottomLeft" activeCell="C18" sqref="C18"/>
      <selection pane="bottomRight" activeCell="AZ19" sqref="AZ19"/>
    </sheetView>
  </sheetViews>
  <sheetFormatPr defaultRowHeight="13" outlineLevelCol="1" x14ac:dyDescent="0.3"/>
  <cols>
    <col min="1" max="1" width="2.7265625" style="3" customWidth="1"/>
    <col min="2" max="2" width="45" style="3" customWidth="1"/>
    <col min="3" max="5" width="11.26953125" style="3" hidden="1" customWidth="1" outlineLevel="1"/>
    <col min="6" max="6" width="11.26953125" style="3" hidden="1" customWidth="1" outlineLevel="1" collapsed="1"/>
    <col min="7" max="8" width="11.26953125" style="3" hidden="1" customWidth="1" outlineLevel="1"/>
    <col min="9" max="9" width="12.7265625" style="3" hidden="1" customWidth="1" outlineLevel="1"/>
    <col min="10" max="10" width="12.7265625" style="3" customWidth="1" collapsed="1"/>
    <col min="11" max="14" width="12.7265625" style="3" customWidth="1"/>
    <col min="15" max="26" width="12.7265625" style="3" hidden="1" customWidth="1" outlineLevel="1"/>
    <col min="27" max="27" width="12.7265625" style="3" hidden="1" customWidth="1" outlineLevel="1" collapsed="1"/>
    <col min="28" max="41" width="12.7265625" style="3" hidden="1" customWidth="1" outlineLevel="1"/>
    <col min="42" max="42" width="12.7265625" style="3" customWidth="1" collapsed="1"/>
    <col min="43" max="57" width="12.7265625" style="3" customWidth="1"/>
    <col min="58" max="271" width="9.26953125" style="3"/>
    <col min="272" max="272" width="2.54296875" style="3" customWidth="1"/>
    <col min="273" max="273" width="29.453125" style="3" customWidth="1"/>
    <col min="274" max="278" width="11.26953125" style="3" customWidth="1"/>
    <col min="279" max="279" width="6.26953125" style="3" customWidth="1"/>
    <col min="280" max="283" width="11.26953125" style="3" customWidth="1"/>
    <col min="284" max="527" width="9.26953125" style="3"/>
    <col min="528" max="528" width="2.54296875" style="3" customWidth="1"/>
    <col min="529" max="529" width="29.453125" style="3" customWidth="1"/>
    <col min="530" max="534" width="11.26953125" style="3" customWidth="1"/>
    <col min="535" max="535" width="6.26953125" style="3" customWidth="1"/>
    <col min="536" max="539" width="11.26953125" style="3" customWidth="1"/>
    <col min="540" max="783" width="9.26953125" style="3"/>
    <col min="784" max="784" width="2.54296875" style="3" customWidth="1"/>
    <col min="785" max="785" width="29.453125" style="3" customWidth="1"/>
    <col min="786" max="790" width="11.26953125" style="3" customWidth="1"/>
    <col min="791" max="791" width="6.26953125" style="3" customWidth="1"/>
    <col min="792" max="795" width="11.26953125" style="3" customWidth="1"/>
    <col min="796" max="1039" width="9.26953125" style="3"/>
    <col min="1040" max="1040" width="2.54296875" style="3" customWidth="1"/>
    <col min="1041" max="1041" width="29.453125" style="3" customWidth="1"/>
    <col min="1042" max="1046" width="11.26953125" style="3" customWidth="1"/>
    <col min="1047" max="1047" width="6.26953125" style="3" customWidth="1"/>
    <col min="1048" max="1051" width="11.26953125" style="3" customWidth="1"/>
    <col min="1052" max="1295" width="9.26953125" style="3"/>
    <col min="1296" max="1296" width="2.54296875" style="3" customWidth="1"/>
    <col min="1297" max="1297" width="29.453125" style="3" customWidth="1"/>
    <col min="1298" max="1302" width="11.26953125" style="3" customWidth="1"/>
    <col min="1303" max="1303" width="6.26953125" style="3" customWidth="1"/>
    <col min="1304" max="1307" width="11.26953125" style="3" customWidth="1"/>
    <col min="1308" max="1551" width="9.26953125" style="3"/>
    <col min="1552" max="1552" width="2.54296875" style="3" customWidth="1"/>
    <col min="1553" max="1553" width="29.453125" style="3" customWidth="1"/>
    <col min="1554" max="1558" width="11.26953125" style="3" customWidth="1"/>
    <col min="1559" max="1559" width="6.26953125" style="3" customWidth="1"/>
    <col min="1560" max="1563" width="11.26953125" style="3" customWidth="1"/>
    <col min="1564" max="1807" width="9.26953125" style="3"/>
    <col min="1808" max="1808" width="2.54296875" style="3" customWidth="1"/>
    <col min="1809" max="1809" width="29.453125" style="3" customWidth="1"/>
    <col min="1810" max="1814" width="11.26953125" style="3" customWidth="1"/>
    <col min="1815" max="1815" width="6.26953125" style="3" customWidth="1"/>
    <col min="1816" max="1819" width="11.26953125" style="3" customWidth="1"/>
    <col min="1820" max="2063" width="9.26953125" style="3"/>
    <col min="2064" max="2064" width="2.54296875" style="3" customWidth="1"/>
    <col min="2065" max="2065" width="29.453125" style="3" customWidth="1"/>
    <col min="2066" max="2070" width="11.26953125" style="3" customWidth="1"/>
    <col min="2071" max="2071" width="6.26953125" style="3" customWidth="1"/>
    <col min="2072" max="2075" width="11.26953125" style="3" customWidth="1"/>
    <col min="2076" max="2319" width="9.26953125" style="3"/>
    <col min="2320" max="2320" width="2.54296875" style="3" customWidth="1"/>
    <col min="2321" max="2321" width="29.453125" style="3" customWidth="1"/>
    <col min="2322" max="2326" width="11.26953125" style="3" customWidth="1"/>
    <col min="2327" max="2327" width="6.26953125" style="3" customWidth="1"/>
    <col min="2328" max="2331" width="11.26953125" style="3" customWidth="1"/>
    <col min="2332" max="2575" width="9.26953125" style="3"/>
    <col min="2576" max="2576" width="2.54296875" style="3" customWidth="1"/>
    <col min="2577" max="2577" width="29.453125" style="3" customWidth="1"/>
    <col min="2578" max="2582" width="11.26953125" style="3" customWidth="1"/>
    <col min="2583" max="2583" width="6.26953125" style="3" customWidth="1"/>
    <col min="2584" max="2587" width="11.26953125" style="3" customWidth="1"/>
    <col min="2588" max="2831" width="9.26953125" style="3"/>
    <col min="2832" max="2832" width="2.54296875" style="3" customWidth="1"/>
    <col min="2833" max="2833" width="29.453125" style="3" customWidth="1"/>
    <col min="2834" max="2838" width="11.26953125" style="3" customWidth="1"/>
    <col min="2839" max="2839" width="6.26953125" style="3" customWidth="1"/>
    <col min="2840" max="2843" width="11.26953125" style="3" customWidth="1"/>
    <col min="2844" max="3087" width="9.26953125" style="3"/>
    <col min="3088" max="3088" width="2.54296875" style="3" customWidth="1"/>
    <col min="3089" max="3089" width="29.453125" style="3" customWidth="1"/>
    <col min="3090" max="3094" width="11.26953125" style="3" customWidth="1"/>
    <col min="3095" max="3095" width="6.26953125" style="3" customWidth="1"/>
    <col min="3096" max="3099" width="11.26953125" style="3" customWidth="1"/>
    <col min="3100" max="3343" width="9.26953125" style="3"/>
    <col min="3344" max="3344" width="2.54296875" style="3" customWidth="1"/>
    <col min="3345" max="3345" width="29.453125" style="3" customWidth="1"/>
    <col min="3346" max="3350" width="11.26953125" style="3" customWidth="1"/>
    <col min="3351" max="3351" width="6.26953125" style="3" customWidth="1"/>
    <col min="3352" max="3355" width="11.26953125" style="3" customWidth="1"/>
    <col min="3356" max="3599" width="9.26953125" style="3"/>
    <col min="3600" max="3600" width="2.54296875" style="3" customWidth="1"/>
    <col min="3601" max="3601" width="29.453125" style="3" customWidth="1"/>
    <col min="3602" max="3606" width="11.26953125" style="3" customWidth="1"/>
    <col min="3607" max="3607" width="6.26953125" style="3" customWidth="1"/>
    <col min="3608" max="3611" width="11.26953125" style="3" customWidth="1"/>
    <col min="3612" max="3855" width="9.26953125" style="3"/>
    <col min="3856" max="3856" width="2.54296875" style="3" customWidth="1"/>
    <col min="3857" max="3857" width="29.453125" style="3" customWidth="1"/>
    <col min="3858" max="3862" width="11.26953125" style="3" customWidth="1"/>
    <col min="3863" max="3863" width="6.26953125" style="3" customWidth="1"/>
    <col min="3864" max="3867" width="11.26953125" style="3" customWidth="1"/>
    <col min="3868" max="4111" width="9.26953125" style="3"/>
    <col min="4112" max="4112" width="2.54296875" style="3" customWidth="1"/>
    <col min="4113" max="4113" width="29.453125" style="3" customWidth="1"/>
    <col min="4114" max="4118" width="11.26953125" style="3" customWidth="1"/>
    <col min="4119" max="4119" width="6.26953125" style="3" customWidth="1"/>
    <col min="4120" max="4123" width="11.26953125" style="3" customWidth="1"/>
    <col min="4124" max="4367" width="9.26953125" style="3"/>
    <col min="4368" max="4368" width="2.54296875" style="3" customWidth="1"/>
    <col min="4369" max="4369" width="29.453125" style="3" customWidth="1"/>
    <col min="4370" max="4374" width="11.26953125" style="3" customWidth="1"/>
    <col min="4375" max="4375" width="6.26953125" style="3" customWidth="1"/>
    <col min="4376" max="4379" width="11.26953125" style="3" customWidth="1"/>
    <col min="4380" max="4623" width="9.26953125" style="3"/>
    <col min="4624" max="4624" width="2.54296875" style="3" customWidth="1"/>
    <col min="4625" max="4625" width="29.453125" style="3" customWidth="1"/>
    <col min="4626" max="4630" width="11.26953125" style="3" customWidth="1"/>
    <col min="4631" max="4631" width="6.26953125" style="3" customWidth="1"/>
    <col min="4632" max="4635" width="11.26953125" style="3" customWidth="1"/>
    <col min="4636" max="4879" width="9.26953125" style="3"/>
    <col min="4880" max="4880" width="2.54296875" style="3" customWidth="1"/>
    <col min="4881" max="4881" width="29.453125" style="3" customWidth="1"/>
    <col min="4882" max="4886" width="11.26953125" style="3" customWidth="1"/>
    <col min="4887" max="4887" width="6.26953125" style="3" customWidth="1"/>
    <col min="4888" max="4891" width="11.26953125" style="3" customWidth="1"/>
    <col min="4892" max="5135" width="9.26953125" style="3"/>
    <col min="5136" max="5136" width="2.54296875" style="3" customWidth="1"/>
    <col min="5137" max="5137" width="29.453125" style="3" customWidth="1"/>
    <col min="5138" max="5142" width="11.26953125" style="3" customWidth="1"/>
    <col min="5143" max="5143" width="6.26953125" style="3" customWidth="1"/>
    <col min="5144" max="5147" width="11.26953125" style="3" customWidth="1"/>
    <col min="5148" max="5391" width="9.26953125" style="3"/>
    <col min="5392" max="5392" width="2.54296875" style="3" customWidth="1"/>
    <col min="5393" max="5393" width="29.453125" style="3" customWidth="1"/>
    <col min="5394" max="5398" width="11.26953125" style="3" customWidth="1"/>
    <col min="5399" max="5399" width="6.26953125" style="3" customWidth="1"/>
    <col min="5400" max="5403" width="11.26953125" style="3" customWidth="1"/>
    <col min="5404" max="5647" width="9.26953125" style="3"/>
    <col min="5648" max="5648" width="2.54296875" style="3" customWidth="1"/>
    <col min="5649" max="5649" width="29.453125" style="3" customWidth="1"/>
    <col min="5650" max="5654" width="11.26953125" style="3" customWidth="1"/>
    <col min="5655" max="5655" width="6.26953125" style="3" customWidth="1"/>
    <col min="5656" max="5659" width="11.26953125" style="3" customWidth="1"/>
    <col min="5660" max="5903" width="9.26953125" style="3"/>
    <col min="5904" max="5904" width="2.54296875" style="3" customWidth="1"/>
    <col min="5905" max="5905" width="29.453125" style="3" customWidth="1"/>
    <col min="5906" max="5910" width="11.26953125" style="3" customWidth="1"/>
    <col min="5911" max="5911" width="6.26953125" style="3" customWidth="1"/>
    <col min="5912" max="5915" width="11.26953125" style="3" customWidth="1"/>
    <col min="5916" max="6159" width="9.26953125" style="3"/>
    <col min="6160" max="6160" width="2.54296875" style="3" customWidth="1"/>
    <col min="6161" max="6161" width="29.453125" style="3" customWidth="1"/>
    <col min="6162" max="6166" width="11.26953125" style="3" customWidth="1"/>
    <col min="6167" max="6167" width="6.26953125" style="3" customWidth="1"/>
    <col min="6168" max="6171" width="11.26953125" style="3" customWidth="1"/>
    <col min="6172" max="6415" width="9.26953125" style="3"/>
    <col min="6416" max="6416" width="2.54296875" style="3" customWidth="1"/>
    <col min="6417" max="6417" width="29.453125" style="3" customWidth="1"/>
    <col min="6418" max="6422" width="11.26953125" style="3" customWidth="1"/>
    <col min="6423" max="6423" width="6.26953125" style="3" customWidth="1"/>
    <col min="6424" max="6427" width="11.26953125" style="3" customWidth="1"/>
    <col min="6428" max="6671" width="9.26953125" style="3"/>
    <col min="6672" max="6672" width="2.54296875" style="3" customWidth="1"/>
    <col min="6673" max="6673" width="29.453125" style="3" customWidth="1"/>
    <col min="6674" max="6678" width="11.26953125" style="3" customWidth="1"/>
    <col min="6679" max="6679" width="6.26953125" style="3" customWidth="1"/>
    <col min="6680" max="6683" width="11.26953125" style="3" customWidth="1"/>
    <col min="6684" max="6927" width="9.26953125" style="3"/>
    <col min="6928" max="6928" width="2.54296875" style="3" customWidth="1"/>
    <col min="6929" max="6929" width="29.453125" style="3" customWidth="1"/>
    <col min="6930" max="6934" width="11.26953125" style="3" customWidth="1"/>
    <col min="6935" max="6935" width="6.26953125" style="3" customWidth="1"/>
    <col min="6936" max="6939" width="11.26953125" style="3" customWidth="1"/>
    <col min="6940" max="7183" width="9.26953125" style="3"/>
    <col min="7184" max="7184" width="2.54296875" style="3" customWidth="1"/>
    <col min="7185" max="7185" width="29.453125" style="3" customWidth="1"/>
    <col min="7186" max="7190" width="11.26953125" style="3" customWidth="1"/>
    <col min="7191" max="7191" width="6.26953125" style="3" customWidth="1"/>
    <col min="7192" max="7195" width="11.26953125" style="3" customWidth="1"/>
    <col min="7196" max="7439" width="9.26953125" style="3"/>
    <col min="7440" max="7440" width="2.54296875" style="3" customWidth="1"/>
    <col min="7441" max="7441" width="29.453125" style="3" customWidth="1"/>
    <col min="7442" max="7446" width="11.26953125" style="3" customWidth="1"/>
    <col min="7447" max="7447" width="6.26953125" style="3" customWidth="1"/>
    <col min="7448" max="7451" width="11.26953125" style="3" customWidth="1"/>
    <col min="7452" max="7695" width="9.26953125" style="3"/>
    <col min="7696" max="7696" width="2.54296875" style="3" customWidth="1"/>
    <col min="7697" max="7697" width="29.453125" style="3" customWidth="1"/>
    <col min="7698" max="7702" width="11.26953125" style="3" customWidth="1"/>
    <col min="7703" max="7703" width="6.26953125" style="3" customWidth="1"/>
    <col min="7704" max="7707" width="11.26953125" style="3" customWidth="1"/>
    <col min="7708" max="7951" width="9.26953125" style="3"/>
    <col min="7952" max="7952" width="2.54296875" style="3" customWidth="1"/>
    <col min="7953" max="7953" width="29.453125" style="3" customWidth="1"/>
    <col min="7954" max="7958" width="11.26953125" style="3" customWidth="1"/>
    <col min="7959" max="7959" width="6.26953125" style="3" customWidth="1"/>
    <col min="7960" max="7963" width="11.26953125" style="3" customWidth="1"/>
    <col min="7964" max="8207" width="9.26953125" style="3"/>
    <col min="8208" max="8208" width="2.54296875" style="3" customWidth="1"/>
    <col min="8209" max="8209" width="29.453125" style="3" customWidth="1"/>
    <col min="8210" max="8214" width="11.26953125" style="3" customWidth="1"/>
    <col min="8215" max="8215" width="6.26953125" style="3" customWidth="1"/>
    <col min="8216" max="8219" width="11.26953125" style="3" customWidth="1"/>
    <col min="8220" max="8463" width="9.26953125" style="3"/>
    <col min="8464" max="8464" width="2.54296875" style="3" customWidth="1"/>
    <col min="8465" max="8465" width="29.453125" style="3" customWidth="1"/>
    <col min="8466" max="8470" width="11.26953125" style="3" customWidth="1"/>
    <col min="8471" max="8471" width="6.26953125" style="3" customWidth="1"/>
    <col min="8472" max="8475" width="11.26953125" style="3" customWidth="1"/>
    <col min="8476" max="8719" width="9.26953125" style="3"/>
    <col min="8720" max="8720" width="2.54296875" style="3" customWidth="1"/>
    <col min="8721" max="8721" width="29.453125" style="3" customWidth="1"/>
    <col min="8722" max="8726" width="11.26953125" style="3" customWidth="1"/>
    <col min="8727" max="8727" width="6.26953125" style="3" customWidth="1"/>
    <col min="8728" max="8731" width="11.26953125" style="3" customWidth="1"/>
    <col min="8732" max="8975" width="9.26953125" style="3"/>
    <col min="8976" max="8976" width="2.54296875" style="3" customWidth="1"/>
    <col min="8977" max="8977" width="29.453125" style="3" customWidth="1"/>
    <col min="8978" max="8982" width="11.26953125" style="3" customWidth="1"/>
    <col min="8983" max="8983" width="6.26953125" style="3" customWidth="1"/>
    <col min="8984" max="8987" width="11.26953125" style="3" customWidth="1"/>
    <col min="8988" max="9231" width="9.26953125" style="3"/>
    <col min="9232" max="9232" width="2.54296875" style="3" customWidth="1"/>
    <col min="9233" max="9233" width="29.453125" style="3" customWidth="1"/>
    <col min="9234" max="9238" width="11.26953125" style="3" customWidth="1"/>
    <col min="9239" max="9239" width="6.26953125" style="3" customWidth="1"/>
    <col min="9240" max="9243" width="11.26953125" style="3" customWidth="1"/>
    <col min="9244" max="9487" width="9.26953125" style="3"/>
    <col min="9488" max="9488" width="2.54296875" style="3" customWidth="1"/>
    <col min="9489" max="9489" width="29.453125" style="3" customWidth="1"/>
    <col min="9490" max="9494" width="11.26953125" style="3" customWidth="1"/>
    <col min="9495" max="9495" width="6.26953125" style="3" customWidth="1"/>
    <col min="9496" max="9499" width="11.26953125" style="3" customWidth="1"/>
    <col min="9500" max="9743" width="9.26953125" style="3"/>
    <col min="9744" max="9744" width="2.54296875" style="3" customWidth="1"/>
    <col min="9745" max="9745" width="29.453125" style="3" customWidth="1"/>
    <col min="9746" max="9750" width="11.26953125" style="3" customWidth="1"/>
    <col min="9751" max="9751" width="6.26953125" style="3" customWidth="1"/>
    <col min="9752" max="9755" width="11.26953125" style="3" customWidth="1"/>
    <col min="9756" max="9999" width="9.26953125" style="3"/>
    <col min="10000" max="10000" width="2.54296875" style="3" customWidth="1"/>
    <col min="10001" max="10001" width="29.453125" style="3" customWidth="1"/>
    <col min="10002" max="10006" width="11.26953125" style="3" customWidth="1"/>
    <col min="10007" max="10007" width="6.26953125" style="3" customWidth="1"/>
    <col min="10008" max="10011" width="11.26953125" style="3" customWidth="1"/>
    <col min="10012" max="10255" width="9.26953125" style="3"/>
    <col min="10256" max="10256" width="2.54296875" style="3" customWidth="1"/>
    <col min="10257" max="10257" width="29.453125" style="3" customWidth="1"/>
    <col min="10258" max="10262" width="11.26953125" style="3" customWidth="1"/>
    <col min="10263" max="10263" width="6.26953125" style="3" customWidth="1"/>
    <col min="10264" max="10267" width="11.26953125" style="3" customWidth="1"/>
    <col min="10268" max="10511" width="9.26953125" style="3"/>
    <col min="10512" max="10512" width="2.54296875" style="3" customWidth="1"/>
    <col min="10513" max="10513" width="29.453125" style="3" customWidth="1"/>
    <col min="10514" max="10518" width="11.26953125" style="3" customWidth="1"/>
    <col min="10519" max="10519" width="6.26953125" style="3" customWidth="1"/>
    <col min="10520" max="10523" width="11.26953125" style="3" customWidth="1"/>
    <col min="10524" max="10767" width="9.26953125" style="3"/>
    <col min="10768" max="10768" width="2.54296875" style="3" customWidth="1"/>
    <col min="10769" max="10769" width="29.453125" style="3" customWidth="1"/>
    <col min="10770" max="10774" width="11.26953125" style="3" customWidth="1"/>
    <col min="10775" max="10775" width="6.26953125" style="3" customWidth="1"/>
    <col min="10776" max="10779" width="11.26953125" style="3" customWidth="1"/>
    <col min="10780" max="11023" width="9.26953125" style="3"/>
    <col min="11024" max="11024" width="2.54296875" style="3" customWidth="1"/>
    <col min="11025" max="11025" width="29.453125" style="3" customWidth="1"/>
    <col min="11026" max="11030" width="11.26953125" style="3" customWidth="1"/>
    <col min="11031" max="11031" width="6.26953125" style="3" customWidth="1"/>
    <col min="11032" max="11035" width="11.26953125" style="3" customWidth="1"/>
    <col min="11036" max="11279" width="9.26953125" style="3"/>
    <col min="11280" max="11280" width="2.54296875" style="3" customWidth="1"/>
    <col min="11281" max="11281" width="29.453125" style="3" customWidth="1"/>
    <col min="11282" max="11286" width="11.26953125" style="3" customWidth="1"/>
    <col min="11287" max="11287" width="6.26953125" style="3" customWidth="1"/>
    <col min="11288" max="11291" width="11.26953125" style="3" customWidth="1"/>
    <col min="11292" max="11535" width="9.26953125" style="3"/>
    <col min="11536" max="11536" width="2.54296875" style="3" customWidth="1"/>
    <col min="11537" max="11537" width="29.453125" style="3" customWidth="1"/>
    <col min="11538" max="11542" width="11.26953125" style="3" customWidth="1"/>
    <col min="11543" max="11543" width="6.26953125" style="3" customWidth="1"/>
    <col min="11544" max="11547" width="11.26953125" style="3" customWidth="1"/>
    <col min="11548" max="11791" width="9.26953125" style="3"/>
    <col min="11792" max="11792" width="2.54296875" style="3" customWidth="1"/>
    <col min="11793" max="11793" width="29.453125" style="3" customWidth="1"/>
    <col min="11794" max="11798" width="11.26953125" style="3" customWidth="1"/>
    <col min="11799" max="11799" width="6.26953125" style="3" customWidth="1"/>
    <col min="11800" max="11803" width="11.26953125" style="3" customWidth="1"/>
    <col min="11804" max="12047" width="9.26953125" style="3"/>
    <col min="12048" max="12048" width="2.54296875" style="3" customWidth="1"/>
    <col min="12049" max="12049" width="29.453125" style="3" customWidth="1"/>
    <col min="12050" max="12054" width="11.26953125" style="3" customWidth="1"/>
    <col min="12055" max="12055" width="6.26953125" style="3" customWidth="1"/>
    <col min="12056" max="12059" width="11.26953125" style="3" customWidth="1"/>
    <col min="12060" max="12303" width="9.26953125" style="3"/>
    <col min="12304" max="12304" width="2.54296875" style="3" customWidth="1"/>
    <col min="12305" max="12305" width="29.453125" style="3" customWidth="1"/>
    <col min="12306" max="12310" width="11.26953125" style="3" customWidth="1"/>
    <col min="12311" max="12311" width="6.26953125" style="3" customWidth="1"/>
    <col min="12312" max="12315" width="11.26953125" style="3" customWidth="1"/>
    <col min="12316" max="12559" width="9.26953125" style="3"/>
    <col min="12560" max="12560" width="2.54296875" style="3" customWidth="1"/>
    <col min="12561" max="12561" width="29.453125" style="3" customWidth="1"/>
    <col min="12562" max="12566" width="11.26953125" style="3" customWidth="1"/>
    <col min="12567" max="12567" width="6.26953125" style="3" customWidth="1"/>
    <col min="12568" max="12571" width="11.26953125" style="3" customWidth="1"/>
    <col min="12572" max="12815" width="9.26953125" style="3"/>
    <col min="12816" max="12816" width="2.54296875" style="3" customWidth="1"/>
    <col min="12817" max="12817" width="29.453125" style="3" customWidth="1"/>
    <col min="12818" max="12822" width="11.26953125" style="3" customWidth="1"/>
    <col min="12823" max="12823" width="6.26953125" style="3" customWidth="1"/>
    <col min="12824" max="12827" width="11.26953125" style="3" customWidth="1"/>
    <col min="12828" max="13071" width="9.26953125" style="3"/>
    <col min="13072" max="13072" width="2.54296875" style="3" customWidth="1"/>
    <col min="13073" max="13073" width="29.453125" style="3" customWidth="1"/>
    <col min="13074" max="13078" width="11.26953125" style="3" customWidth="1"/>
    <col min="13079" max="13079" width="6.26953125" style="3" customWidth="1"/>
    <col min="13080" max="13083" width="11.26953125" style="3" customWidth="1"/>
    <col min="13084" max="13327" width="9.26953125" style="3"/>
    <col min="13328" max="13328" width="2.54296875" style="3" customWidth="1"/>
    <col min="13329" max="13329" width="29.453125" style="3" customWidth="1"/>
    <col min="13330" max="13334" width="11.26953125" style="3" customWidth="1"/>
    <col min="13335" max="13335" width="6.26953125" style="3" customWidth="1"/>
    <col min="13336" max="13339" width="11.26953125" style="3" customWidth="1"/>
    <col min="13340" max="13583" width="9.26953125" style="3"/>
    <col min="13584" max="13584" width="2.54296875" style="3" customWidth="1"/>
    <col min="13585" max="13585" width="29.453125" style="3" customWidth="1"/>
    <col min="13586" max="13590" width="11.26953125" style="3" customWidth="1"/>
    <col min="13591" max="13591" width="6.26953125" style="3" customWidth="1"/>
    <col min="13592" max="13595" width="11.26953125" style="3" customWidth="1"/>
    <col min="13596" max="13839" width="9.26953125" style="3"/>
    <col min="13840" max="13840" width="2.54296875" style="3" customWidth="1"/>
    <col min="13841" max="13841" width="29.453125" style="3" customWidth="1"/>
    <col min="13842" max="13846" width="11.26953125" style="3" customWidth="1"/>
    <col min="13847" max="13847" width="6.26953125" style="3" customWidth="1"/>
    <col min="13848" max="13851" width="11.26953125" style="3" customWidth="1"/>
    <col min="13852" max="14095" width="9.26953125" style="3"/>
    <col min="14096" max="14096" width="2.54296875" style="3" customWidth="1"/>
    <col min="14097" max="14097" width="29.453125" style="3" customWidth="1"/>
    <col min="14098" max="14102" width="11.26953125" style="3" customWidth="1"/>
    <col min="14103" max="14103" width="6.26953125" style="3" customWidth="1"/>
    <col min="14104" max="14107" width="11.26953125" style="3" customWidth="1"/>
    <col min="14108" max="14351" width="9.26953125" style="3"/>
    <col min="14352" max="14352" width="2.54296875" style="3" customWidth="1"/>
    <col min="14353" max="14353" width="29.453125" style="3" customWidth="1"/>
    <col min="14354" max="14358" width="11.26953125" style="3" customWidth="1"/>
    <col min="14359" max="14359" width="6.26953125" style="3" customWidth="1"/>
    <col min="14360" max="14363" width="11.26953125" style="3" customWidth="1"/>
    <col min="14364" max="14607" width="9.26953125" style="3"/>
    <col min="14608" max="14608" width="2.54296875" style="3" customWidth="1"/>
    <col min="14609" max="14609" width="29.453125" style="3" customWidth="1"/>
    <col min="14610" max="14614" width="11.26953125" style="3" customWidth="1"/>
    <col min="14615" max="14615" width="6.26953125" style="3" customWidth="1"/>
    <col min="14616" max="14619" width="11.26953125" style="3" customWidth="1"/>
    <col min="14620" max="14863" width="9.26953125" style="3"/>
    <col min="14864" max="14864" width="2.54296875" style="3" customWidth="1"/>
    <col min="14865" max="14865" width="29.453125" style="3" customWidth="1"/>
    <col min="14866" max="14870" width="11.26953125" style="3" customWidth="1"/>
    <col min="14871" max="14871" width="6.26953125" style="3" customWidth="1"/>
    <col min="14872" max="14875" width="11.26953125" style="3" customWidth="1"/>
    <col min="14876" max="15119" width="9.26953125" style="3"/>
    <col min="15120" max="15120" width="2.54296875" style="3" customWidth="1"/>
    <col min="15121" max="15121" width="29.453125" style="3" customWidth="1"/>
    <col min="15122" max="15126" width="11.26953125" style="3" customWidth="1"/>
    <col min="15127" max="15127" width="6.26953125" style="3" customWidth="1"/>
    <col min="15128" max="15131" width="11.26953125" style="3" customWidth="1"/>
    <col min="15132" max="15375" width="9.26953125" style="3"/>
    <col min="15376" max="15376" width="2.54296875" style="3" customWidth="1"/>
    <col min="15377" max="15377" width="29.453125" style="3" customWidth="1"/>
    <col min="15378" max="15382" width="11.26953125" style="3" customWidth="1"/>
    <col min="15383" max="15383" width="6.26953125" style="3" customWidth="1"/>
    <col min="15384" max="15387" width="11.26953125" style="3" customWidth="1"/>
    <col min="15388" max="15631" width="9.26953125" style="3"/>
    <col min="15632" max="15632" width="2.54296875" style="3" customWidth="1"/>
    <col min="15633" max="15633" width="29.453125" style="3" customWidth="1"/>
    <col min="15634" max="15638" width="11.26953125" style="3" customWidth="1"/>
    <col min="15639" max="15639" width="6.26953125" style="3" customWidth="1"/>
    <col min="15640" max="15643" width="11.26953125" style="3" customWidth="1"/>
    <col min="15644" max="15887" width="9.26953125" style="3"/>
    <col min="15888" max="15888" width="2.54296875" style="3" customWidth="1"/>
    <col min="15889" max="15889" width="29.453125" style="3" customWidth="1"/>
    <col min="15890" max="15894" width="11.26953125" style="3" customWidth="1"/>
    <col min="15895" max="15895" width="6.26953125" style="3" customWidth="1"/>
    <col min="15896" max="15899" width="11.26953125" style="3" customWidth="1"/>
    <col min="15900" max="16143" width="9.26953125" style="3"/>
    <col min="16144" max="16144" width="2.54296875" style="3" customWidth="1"/>
    <col min="16145" max="16145" width="29.453125" style="3" customWidth="1"/>
    <col min="16146" max="16150" width="11.26953125" style="3" customWidth="1"/>
    <col min="16151" max="16151" width="6.26953125" style="3" customWidth="1"/>
    <col min="16152" max="16155" width="11.26953125" style="3" customWidth="1"/>
    <col min="16156" max="16384" width="9.26953125" style="3"/>
  </cols>
  <sheetData>
    <row r="2" spans="2:48" ht="21" x14ac:dyDescent="0.3">
      <c r="B2" s="397" t="s">
        <v>211</v>
      </c>
      <c r="C2" s="416" t="s">
        <v>212</v>
      </c>
      <c r="D2" s="416" t="s">
        <v>212</v>
      </c>
      <c r="E2" s="416" t="s">
        <v>212</v>
      </c>
      <c r="F2" s="416" t="s">
        <v>212</v>
      </c>
      <c r="G2" s="416" t="s">
        <v>212</v>
      </c>
      <c r="H2" s="416" t="s">
        <v>212</v>
      </c>
      <c r="I2" s="416" t="s">
        <v>212</v>
      </c>
      <c r="J2" s="416" t="s">
        <v>212</v>
      </c>
      <c r="K2" s="416" t="s">
        <v>212</v>
      </c>
      <c r="L2" s="416" t="s">
        <v>212</v>
      </c>
      <c r="M2" s="422" t="s">
        <v>213</v>
      </c>
      <c r="N2" s="417"/>
      <c r="O2" s="416" t="s">
        <v>365</v>
      </c>
      <c r="P2" s="416" t="s">
        <v>365</v>
      </c>
      <c r="Q2" s="416" t="s">
        <v>365</v>
      </c>
      <c r="R2" s="416" t="s">
        <v>365</v>
      </c>
      <c r="S2" s="416" t="s">
        <v>365</v>
      </c>
      <c r="T2" s="416" t="s">
        <v>365</v>
      </c>
      <c r="U2" s="416" t="s">
        <v>365</v>
      </c>
      <c r="V2" s="416" t="s">
        <v>365</v>
      </c>
      <c r="W2" s="416" t="s">
        <v>365</v>
      </c>
      <c r="X2" s="416" t="s">
        <v>365</v>
      </c>
      <c r="Y2" s="416" t="s">
        <v>365</v>
      </c>
      <c r="Z2" s="416" t="s">
        <v>365</v>
      </c>
      <c r="AA2" s="416" t="s">
        <v>365</v>
      </c>
      <c r="AB2" s="416" t="s">
        <v>365</v>
      </c>
      <c r="AC2" s="416" t="s">
        <v>365</v>
      </c>
      <c r="AD2" s="416" t="s">
        <v>365</v>
      </c>
      <c r="AE2" s="416" t="s">
        <v>365</v>
      </c>
      <c r="AF2" s="416" t="s">
        <v>365</v>
      </c>
      <c r="AG2" s="416" t="s">
        <v>365</v>
      </c>
      <c r="AH2" s="416" t="s">
        <v>365</v>
      </c>
      <c r="AI2" s="416" t="s">
        <v>365</v>
      </c>
      <c r="AJ2" s="416" t="s">
        <v>365</v>
      </c>
      <c r="AK2" s="416" t="s">
        <v>365</v>
      </c>
      <c r="AL2" s="416" t="s">
        <v>365</v>
      </c>
      <c r="AM2" s="416" t="s">
        <v>365</v>
      </c>
      <c r="AN2" s="416" t="s">
        <v>365</v>
      </c>
      <c r="AO2" s="416" t="s">
        <v>365</v>
      </c>
      <c r="AP2" s="416" t="s">
        <v>365</v>
      </c>
      <c r="AQ2" s="416" t="s">
        <v>365</v>
      </c>
      <c r="AR2" s="416" t="s">
        <v>365</v>
      </c>
      <c r="AS2" s="416" t="s">
        <v>365</v>
      </c>
      <c r="AT2" s="416" t="s">
        <v>365</v>
      </c>
      <c r="AU2" s="416" t="s">
        <v>365</v>
      </c>
      <c r="AV2" s="423"/>
    </row>
    <row r="3" spans="2:48" x14ac:dyDescent="0.3">
      <c r="B3" s="400" t="s">
        <v>215</v>
      </c>
      <c r="C3" s="401">
        <v>42735</v>
      </c>
      <c r="D3" s="401">
        <f t="shared" ref="D3:L3" si="0">EDATE(C3,12)</f>
        <v>43100</v>
      </c>
      <c r="E3" s="401">
        <f t="shared" si="0"/>
        <v>43465</v>
      </c>
      <c r="F3" s="401">
        <f t="shared" si="0"/>
        <v>43830</v>
      </c>
      <c r="G3" s="401">
        <f t="shared" si="0"/>
        <v>44196</v>
      </c>
      <c r="H3" s="401">
        <f t="shared" si="0"/>
        <v>44561</v>
      </c>
      <c r="I3" s="401">
        <f t="shared" si="0"/>
        <v>44926</v>
      </c>
      <c r="J3" s="401">
        <f t="shared" si="0"/>
        <v>45291</v>
      </c>
      <c r="K3" s="401">
        <f t="shared" si="0"/>
        <v>45657</v>
      </c>
      <c r="L3" s="401">
        <f t="shared" si="0"/>
        <v>46022</v>
      </c>
      <c r="M3" s="422">
        <f>AV3</f>
        <v>0</v>
      </c>
      <c r="N3" s="417"/>
      <c r="O3" s="416">
        <v>43160</v>
      </c>
      <c r="P3" s="416">
        <v>43252</v>
      </c>
      <c r="Q3" s="416">
        <v>43344</v>
      </c>
      <c r="R3" s="416">
        <v>43435</v>
      </c>
      <c r="S3" s="416">
        <v>43525</v>
      </c>
      <c r="T3" s="416">
        <v>43617</v>
      </c>
      <c r="U3" s="416">
        <v>43709</v>
      </c>
      <c r="V3" s="416">
        <v>43800</v>
      </c>
      <c r="W3" s="416">
        <v>43891</v>
      </c>
      <c r="X3" s="416">
        <v>43983</v>
      </c>
      <c r="Y3" s="416">
        <v>44075</v>
      </c>
      <c r="Z3" s="416">
        <v>44166</v>
      </c>
      <c r="AA3" s="416">
        <v>44256</v>
      </c>
      <c r="AB3" s="416">
        <v>44348</v>
      </c>
      <c r="AC3" s="416">
        <v>44440</v>
      </c>
      <c r="AD3" s="416">
        <v>44531</v>
      </c>
      <c r="AE3" s="416">
        <v>44621</v>
      </c>
      <c r="AF3" s="416">
        <v>44713</v>
      </c>
      <c r="AG3" s="416">
        <v>44805</v>
      </c>
      <c r="AH3" s="416">
        <v>44896</v>
      </c>
      <c r="AI3" s="416">
        <v>44986</v>
      </c>
      <c r="AJ3" s="416">
        <v>45078</v>
      </c>
      <c r="AK3" s="416">
        <v>45170</v>
      </c>
      <c r="AL3" s="416">
        <v>45261</v>
      </c>
      <c r="AM3" s="416">
        <v>45352</v>
      </c>
      <c r="AN3" s="416">
        <v>45444</v>
      </c>
      <c r="AO3" s="401">
        <v>45536</v>
      </c>
      <c r="AP3" s="401">
        <v>45627</v>
      </c>
      <c r="AQ3" s="416">
        <v>45717</v>
      </c>
      <c r="AR3" s="416">
        <v>45809</v>
      </c>
      <c r="AS3" s="401">
        <v>45901</v>
      </c>
      <c r="AT3" s="401">
        <v>45992</v>
      </c>
      <c r="AU3" s="416">
        <v>46082</v>
      </c>
      <c r="AV3" s="423"/>
    </row>
    <row r="4" spans="2:48" x14ac:dyDescent="0.3">
      <c r="B4" s="400"/>
      <c r="C4" s="401" t="s">
        <v>216</v>
      </c>
      <c r="D4" s="401" t="s">
        <v>216</v>
      </c>
      <c r="E4" s="401" t="s">
        <v>216</v>
      </c>
      <c r="F4" s="401" t="s">
        <v>216</v>
      </c>
      <c r="G4" s="401" t="s">
        <v>216</v>
      </c>
      <c r="H4" s="401" t="s">
        <v>216</v>
      </c>
      <c r="I4" s="401" t="s">
        <v>216</v>
      </c>
      <c r="J4" s="401" t="s">
        <v>216</v>
      </c>
      <c r="K4" s="401" t="s">
        <v>216</v>
      </c>
      <c r="L4" s="401" t="s">
        <v>216</v>
      </c>
      <c r="M4" s="422" t="s">
        <v>216</v>
      </c>
      <c r="N4" s="417"/>
      <c r="O4" s="401" t="s">
        <v>216</v>
      </c>
      <c r="P4" s="401" t="s">
        <v>216</v>
      </c>
      <c r="Q4" s="401" t="s">
        <v>216</v>
      </c>
      <c r="R4" s="401" t="s">
        <v>216</v>
      </c>
      <c r="S4" s="401" t="s">
        <v>216</v>
      </c>
      <c r="T4" s="401" t="s">
        <v>216</v>
      </c>
      <c r="U4" s="401" t="s">
        <v>216</v>
      </c>
      <c r="V4" s="401" t="s">
        <v>216</v>
      </c>
      <c r="W4" s="401" t="s">
        <v>216</v>
      </c>
      <c r="X4" s="401" t="s">
        <v>216</v>
      </c>
      <c r="Y4" s="401" t="s">
        <v>216</v>
      </c>
      <c r="Z4" s="401" t="s">
        <v>216</v>
      </c>
      <c r="AA4" s="401" t="s">
        <v>216</v>
      </c>
      <c r="AB4" s="401" t="s">
        <v>216</v>
      </c>
      <c r="AC4" s="401" t="s">
        <v>216</v>
      </c>
      <c r="AD4" s="401" t="s">
        <v>216</v>
      </c>
      <c r="AE4" s="401" t="s">
        <v>216</v>
      </c>
      <c r="AF4" s="401" t="s">
        <v>216</v>
      </c>
      <c r="AG4" s="401" t="s">
        <v>216</v>
      </c>
      <c r="AH4" s="401" t="s">
        <v>216</v>
      </c>
      <c r="AI4" s="401" t="s">
        <v>216</v>
      </c>
      <c r="AJ4" s="401" t="s">
        <v>216</v>
      </c>
      <c r="AK4" s="401" t="s">
        <v>216</v>
      </c>
      <c r="AL4" s="401" t="s">
        <v>216</v>
      </c>
      <c r="AM4" s="401" t="s">
        <v>216</v>
      </c>
      <c r="AN4" s="401" t="s">
        <v>216</v>
      </c>
      <c r="AO4" s="401" t="s">
        <v>216</v>
      </c>
      <c r="AP4" s="401" t="s">
        <v>216</v>
      </c>
      <c r="AQ4" s="401" t="s">
        <v>216</v>
      </c>
      <c r="AR4" s="401" t="s">
        <v>216</v>
      </c>
      <c r="AS4" s="401" t="s">
        <v>216</v>
      </c>
      <c r="AT4" s="401" t="s">
        <v>216</v>
      </c>
      <c r="AU4" s="401" t="s">
        <v>216</v>
      </c>
      <c r="AV4" s="422"/>
    </row>
    <row r="5" spans="2:48" x14ac:dyDescent="0.3">
      <c r="B5" s="403"/>
      <c r="C5" s="403" t="s">
        <v>366</v>
      </c>
      <c r="D5" s="403" t="s">
        <v>366</v>
      </c>
      <c r="E5" s="403" t="s">
        <v>366</v>
      </c>
      <c r="F5" s="403" t="s">
        <v>366</v>
      </c>
      <c r="G5" s="403" t="s">
        <v>366</v>
      </c>
      <c r="H5" s="403" t="s">
        <v>366</v>
      </c>
      <c r="I5" s="403" t="s">
        <v>366</v>
      </c>
      <c r="J5" s="403" t="s">
        <v>366</v>
      </c>
      <c r="K5" s="403" t="s">
        <v>366</v>
      </c>
      <c r="L5" s="403" t="s">
        <v>366</v>
      </c>
      <c r="M5" s="404" t="s">
        <v>213</v>
      </c>
      <c r="N5" s="403"/>
      <c r="O5" s="418" t="s">
        <v>367</v>
      </c>
      <c r="P5" s="418" t="s">
        <v>368</v>
      </c>
      <c r="Q5" s="418" t="s">
        <v>369</v>
      </c>
      <c r="R5" s="418" t="s">
        <v>370</v>
      </c>
      <c r="S5" s="418" t="s">
        <v>367</v>
      </c>
      <c r="T5" s="418" t="s">
        <v>368</v>
      </c>
      <c r="U5" s="418" t="s">
        <v>369</v>
      </c>
      <c r="V5" s="418" t="s">
        <v>370</v>
      </c>
      <c r="W5" s="418" t="s">
        <v>367</v>
      </c>
      <c r="X5" s="418" t="s">
        <v>368</v>
      </c>
      <c r="Y5" s="418" t="s">
        <v>369</v>
      </c>
      <c r="Z5" s="418" t="s">
        <v>370</v>
      </c>
      <c r="AA5" s="418" t="s">
        <v>367</v>
      </c>
      <c r="AB5" s="418" t="s">
        <v>368</v>
      </c>
      <c r="AC5" s="418" t="s">
        <v>369</v>
      </c>
      <c r="AD5" s="418" t="s">
        <v>370</v>
      </c>
      <c r="AE5" s="418" t="s">
        <v>367</v>
      </c>
      <c r="AF5" s="418" t="s">
        <v>368</v>
      </c>
      <c r="AG5" s="418" t="s">
        <v>369</v>
      </c>
      <c r="AH5" s="418" t="s">
        <v>370</v>
      </c>
      <c r="AI5" s="418" t="s">
        <v>367</v>
      </c>
      <c r="AJ5" s="418" t="s">
        <v>368</v>
      </c>
      <c r="AK5" s="418" t="s">
        <v>369</v>
      </c>
      <c r="AL5" s="418" t="s">
        <v>370</v>
      </c>
      <c r="AM5" s="418" t="s">
        <v>367</v>
      </c>
      <c r="AN5" s="418" t="s">
        <v>368</v>
      </c>
      <c r="AO5" s="418" t="s">
        <v>369</v>
      </c>
      <c r="AP5" s="419" t="s">
        <v>370</v>
      </c>
      <c r="AQ5" s="418" t="s">
        <v>367</v>
      </c>
      <c r="AR5" s="418" t="s">
        <v>368</v>
      </c>
      <c r="AS5" s="418" t="s">
        <v>369</v>
      </c>
      <c r="AT5" s="419" t="s">
        <v>370</v>
      </c>
      <c r="AU5" s="418" t="s">
        <v>367</v>
      </c>
      <c r="AV5" s="418"/>
    </row>
    <row r="6" spans="2:48" x14ac:dyDescent="0.3">
      <c r="B6" s="420"/>
      <c r="C6" s="420"/>
      <c r="D6" s="420"/>
      <c r="E6" s="420"/>
      <c r="F6" s="420"/>
      <c r="G6" s="420"/>
      <c r="H6" s="420"/>
      <c r="I6" s="420"/>
      <c r="J6" s="420"/>
      <c r="K6" s="420"/>
      <c r="L6" s="420"/>
      <c r="M6" s="420"/>
      <c r="N6" s="403"/>
      <c r="O6" s="421"/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421"/>
      <c r="AA6" s="421"/>
      <c r="AB6" s="421"/>
      <c r="AC6" s="421"/>
      <c r="AD6" s="421"/>
      <c r="AE6" s="421"/>
      <c r="AF6" s="421"/>
      <c r="AG6" s="421"/>
      <c r="AH6" s="421"/>
      <c r="AI6" s="421"/>
      <c r="AJ6" s="421"/>
      <c r="AK6" s="421"/>
      <c r="AL6" s="421"/>
      <c r="AM6" s="421"/>
      <c r="AN6" s="421"/>
      <c r="AO6" s="421"/>
      <c r="AP6" s="421"/>
      <c r="AQ6" s="421"/>
      <c r="AR6" s="421"/>
      <c r="AS6" s="421"/>
      <c r="AT6" s="421"/>
      <c r="AU6" s="421"/>
      <c r="AV6" s="421"/>
    </row>
    <row r="7" spans="2:48" x14ac:dyDescent="0.3">
      <c r="B7" s="8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</row>
    <row r="8" spans="2:48" x14ac:dyDescent="0.3">
      <c r="B8" s="88" t="s">
        <v>371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</row>
    <row r="9" spans="2:48" x14ac:dyDescent="0.3">
      <c r="B9" s="89" t="s">
        <v>372</v>
      </c>
      <c r="C9" s="91">
        <f t="shared" ref="C9:F9" si="1">+C11+C12+C13+C14+C15+C16</f>
        <v>97925.563999999998</v>
      </c>
      <c r="D9" s="91">
        <f t="shared" si="1"/>
        <v>105586.15100000001</v>
      </c>
      <c r="E9" s="91">
        <f t="shared" si="1"/>
        <v>117436.273</v>
      </c>
      <c r="F9" s="91">
        <f t="shared" si="1"/>
        <v>129024.23699999999</v>
      </c>
      <c r="G9" s="91">
        <f t="shared" ref="G9:H9" si="2">+G11+G12+G13+G14+G15+G16</f>
        <v>115082.18799999999</v>
      </c>
      <c r="H9" s="91">
        <f t="shared" si="2"/>
        <v>119592.23999999999</v>
      </c>
      <c r="I9" s="91">
        <f t="shared" ref="I9:J9" si="3">+I11+I12+I13+I14+I15+I16</f>
        <v>124084.84200000002</v>
      </c>
      <c r="J9" s="91">
        <f t="shared" si="3"/>
        <v>129833.26000000001</v>
      </c>
      <c r="K9" s="91">
        <f t="shared" ref="K9:L9" si="4">+K11+K12+K13+K14+K15+K16</f>
        <v>131914.84299999999</v>
      </c>
      <c r="L9" s="91">
        <f t="shared" si="4"/>
        <v>129899.51699999999</v>
      </c>
      <c r="M9" s="91">
        <f>+M11+M12+M13+M14+M15+M16</f>
        <v>99557.581000000006</v>
      </c>
      <c r="N9" s="90"/>
      <c r="O9" s="91">
        <f t="shared" ref="O9:V9" si="5">+O11+O12+O13+O14+O15+O16</f>
        <v>29108.214</v>
      </c>
      <c r="P9" s="91">
        <f t="shared" si="5"/>
        <v>29416.690999999999</v>
      </c>
      <c r="Q9" s="91">
        <f t="shared" si="5"/>
        <v>28523.405999999999</v>
      </c>
      <c r="R9" s="91">
        <f t="shared" si="5"/>
        <v>30387.962000000003</v>
      </c>
      <c r="S9" s="91">
        <f t="shared" si="5"/>
        <v>31417.807999999997</v>
      </c>
      <c r="T9" s="91">
        <f>+T11+T12+T13+T14+T15+T16</f>
        <v>31660.231</v>
      </c>
      <c r="U9" s="91">
        <f t="shared" si="5"/>
        <v>32415.748000000003</v>
      </c>
      <c r="V9" s="91">
        <f t="shared" si="5"/>
        <v>33530.44999999999</v>
      </c>
      <c r="W9" s="91">
        <f>+W11+W12+W13+W14+W15+W16</f>
        <v>30756.327000000001</v>
      </c>
      <c r="X9" s="91">
        <f>+X11+X12+X13+X14+X15+X16</f>
        <v>26551.448999999993</v>
      </c>
      <c r="Y9" s="91">
        <f>+Y11+Y12+Y13+Y14+Y15+Y16</f>
        <v>28770.625000000007</v>
      </c>
      <c r="Z9" s="91">
        <f t="shared" ref="Z9" si="6">+Z11+Z12+Z13+Z14+Z15+Z16</f>
        <v>29003.786999999997</v>
      </c>
      <c r="AA9" s="91">
        <f>+AA11+AA12+AA13+AA14+AA15+AA16</f>
        <v>31053.204999999998</v>
      </c>
      <c r="AB9" s="91">
        <f>+AB11+AB12+AB13+AB14+AB15+AB16</f>
        <v>29731.385999999999</v>
      </c>
      <c r="AC9" s="91">
        <f>+AC11+AC12+AC13+AC14+AC15+AC16</f>
        <v>28831.812000000002</v>
      </c>
      <c r="AD9" s="91">
        <f t="shared" ref="AD9" si="7">+AD11+AD12+AD13+AD14+AD15+AD16</f>
        <v>29975.837000000003</v>
      </c>
      <c r="AE9" s="91">
        <f>+AE11+AE12+AE13+AE14+AE15+AE16</f>
        <v>31147.292999999998</v>
      </c>
      <c r="AF9" s="91">
        <f>+AF11+AF12+AF13+AF14+AF15+AF16</f>
        <v>31061.097000000002</v>
      </c>
      <c r="AG9" s="91">
        <f>+AG11+AG12+AG13+AG14+AG15+AG16</f>
        <v>30220.40600000001</v>
      </c>
      <c r="AH9" s="91">
        <f t="shared" ref="AH9" si="8">+AH11+AH12+AH13+AH14+AH15+AH16</f>
        <v>31656.045999999995</v>
      </c>
      <c r="AI9" s="91">
        <f>+AI11+AI12+AI13+AI14+AI15+AI16</f>
        <v>32037.417000000001</v>
      </c>
      <c r="AJ9" s="91">
        <f>+AJ11+AJ12+AJ13+AJ14+AJ15+AJ16</f>
        <v>31692.747000000003</v>
      </c>
      <c r="AK9" s="91">
        <f>+AK11+AK12+AK13+AK14+AK15+AK16</f>
        <v>31867.027999999998</v>
      </c>
      <c r="AL9" s="91">
        <f t="shared" ref="AL9" si="9">+AL11+AL12+AL13+AL14+AL15+AL16</f>
        <v>34236.067999999999</v>
      </c>
      <c r="AM9" s="91">
        <f>+AM11+AM12+AM13+AM14+AM15+AM16</f>
        <v>33184.555</v>
      </c>
      <c r="AN9" s="91">
        <f>+AN11+AN12+AN13+AN14+AN15+AN16</f>
        <v>32428.472000000005</v>
      </c>
      <c r="AO9" s="91">
        <f>+AO11+AO12+AO13+AO14+AO15+AO16</f>
        <v>32550.21100000001</v>
      </c>
      <c r="AP9" s="91">
        <f t="shared" ref="AP9" si="10">+AP11+AP12+AP13+AP14+AP15+AP16</f>
        <v>33751.604999999996</v>
      </c>
      <c r="AQ9" s="91">
        <f>+AQ11+AQ12+AQ13+AQ14+AQ15+AQ16</f>
        <v>32161.616000000002</v>
      </c>
      <c r="AR9" s="91">
        <f>+AR11+AR12+AR13+AR14+AR15+AR16</f>
        <v>31885.802</v>
      </c>
      <c r="AS9" s="91">
        <f>+AS11+AS12+AS13+AS14+AS15+AS16</f>
        <v>31944.223000000013</v>
      </c>
      <c r="AT9" s="91">
        <f t="shared" ref="AT9" si="11">+AT11+AT12+AT13+AT14+AT15+AT16</f>
        <v>33907.875999999989</v>
      </c>
      <c r="AU9" s="91">
        <f>+AU11+AU12+AU13+AU14+AU15+AU16</f>
        <v>33705.481999999996</v>
      </c>
      <c r="AV9" s="91"/>
    </row>
    <row r="10" spans="2:48" x14ac:dyDescent="0.3">
      <c r="B10" s="116" t="s">
        <v>373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1"/>
      <c r="N10" s="90"/>
      <c r="O10" s="90"/>
      <c r="P10" s="90"/>
      <c r="Q10" s="90"/>
      <c r="R10" s="91">
        <f t="shared" ref="R10:R16" si="12">+E10-SUM(O10:Q10)</f>
        <v>0</v>
      </c>
      <c r="S10" s="90"/>
      <c r="T10" s="90"/>
      <c r="U10" s="90"/>
      <c r="V10" s="91"/>
      <c r="W10" s="90"/>
      <c r="X10" s="90"/>
      <c r="Y10" s="90"/>
      <c r="Z10" s="91"/>
      <c r="AA10" s="90"/>
      <c r="AB10" s="90"/>
      <c r="AC10" s="90"/>
      <c r="AD10" s="91"/>
      <c r="AE10" s="90"/>
      <c r="AF10" s="90"/>
      <c r="AG10" s="90"/>
      <c r="AH10" s="91"/>
      <c r="AI10" s="90"/>
      <c r="AJ10" s="90"/>
      <c r="AK10" s="90"/>
      <c r="AL10" s="91"/>
      <c r="AM10" s="90"/>
      <c r="AN10" s="90"/>
      <c r="AO10" s="90"/>
      <c r="AP10" s="91"/>
      <c r="AQ10" s="90"/>
      <c r="AR10" s="90"/>
      <c r="AS10" s="90"/>
      <c r="AT10" s="91"/>
      <c r="AU10" s="90"/>
      <c r="AV10" s="90"/>
    </row>
    <row r="11" spans="2:48" x14ac:dyDescent="0.3">
      <c r="B11" s="118" t="s">
        <v>374</v>
      </c>
      <c r="C11" s="90">
        <v>34991.091</v>
      </c>
      <c r="D11" s="90">
        <v>43058.894</v>
      </c>
      <c r="E11" s="90">
        <v>50960.555</v>
      </c>
      <c r="F11" s="90">
        <v>71801.471999999994</v>
      </c>
      <c r="G11" s="90">
        <v>71953.847999999998</v>
      </c>
      <c r="H11" s="90">
        <v>77812.713000000003</v>
      </c>
      <c r="I11" s="90">
        <v>83758.035000000003</v>
      </c>
      <c r="J11" s="90">
        <v>90894.706999999995</v>
      </c>
      <c r="K11" s="90">
        <v>97368.837</v>
      </c>
      <c r="L11" s="90">
        <v>101166.061</v>
      </c>
      <c r="M11" s="91">
        <f>SUM(AS11:AV11)</f>
        <v>79118.406000000003</v>
      </c>
      <c r="N11" s="90"/>
      <c r="O11" s="90">
        <v>11481.915000000001</v>
      </c>
      <c r="P11" s="90">
        <f>23416.783-O11</f>
        <v>11934.867999999999</v>
      </c>
      <c r="Q11" s="90">
        <f>36166.39-P11-O11</f>
        <v>12749.607</v>
      </c>
      <c r="R11" s="91">
        <f t="shared" si="12"/>
        <v>14794.165000000001</v>
      </c>
      <c r="S11" s="90">
        <v>16487.974999999999</v>
      </c>
      <c r="T11" s="90">
        <f>34036.778-S11</f>
        <v>17548.803</v>
      </c>
      <c r="U11" s="90">
        <f>52218.535-T11-S11</f>
        <v>18181.757000000005</v>
      </c>
      <c r="V11" s="91">
        <f t="shared" ref="V11:V16" si="13">+F11-SUM(S11:U11)</f>
        <v>19582.936999999991</v>
      </c>
      <c r="W11" s="90">
        <v>18470.828000000001</v>
      </c>
      <c r="X11" s="90">
        <f>35847.804-W11</f>
        <v>17376.975999999995</v>
      </c>
      <c r="Y11" s="90">
        <f>53401.309-X11-W11</f>
        <v>17553.505000000005</v>
      </c>
      <c r="Z11" s="91">
        <f t="shared" ref="Z11:Z16" si="14">+G11-SUM(W11:Y11)</f>
        <v>18552.538999999997</v>
      </c>
      <c r="AA11" s="90">
        <v>19204.087</v>
      </c>
      <c r="AB11" s="90">
        <f>38632.568-AA11</f>
        <v>19428.481</v>
      </c>
      <c r="AC11" s="90">
        <f>57915.33-AB11-AA11</f>
        <v>19282.762000000002</v>
      </c>
      <c r="AD11" s="91">
        <f t="shared" ref="AD11:AD16" si="15">+H11-SUM(AA11:AC11)</f>
        <v>19897.383000000002</v>
      </c>
      <c r="AE11" s="90">
        <v>20841.338</v>
      </c>
      <c r="AF11" s="90">
        <f>41836.71-AE11</f>
        <v>20995.371999999999</v>
      </c>
      <c r="AG11" s="90">
        <f>62546.552-AF11-AE11</f>
        <v>20709.842000000008</v>
      </c>
      <c r="AH11" s="91">
        <f t="shared" ref="AH11:AH16" si="16">+I11-SUM(AE11:AG11)</f>
        <v>21211.482999999993</v>
      </c>
      <c r="AI11" s="90">
        <v>21657.312999999998</v>
      </c>
      <c r="AJ11" s="90">
        <f>44036.306-AI11</f>
        <v>22378.992999999999</v>
      </c>
      <c r="AK11" s="90">
        <f>67046.878-AJ11-AI11</f>
        <v>23010.571999999996</v>
      </c>
      <c r="AL11" s="91">
        <f t="shared" ref="AL11:AL16" si="17">+J11-SUM(AI11:AK11)</f>
        <v>23847.828999999998</v>
      </c>
      <c r="AM11" s="90">
        <v>23831.210999999999</v>
      </c>
      <c r="AN11" s="90">
        <f>48010.98-AM11</f>
        <v>24179.769000000004</v>
      </c>
      <c r="AO11" s="90">
        <f>72859.051-AN11-AM11</f>
        <v>24848.071000000007</v>
      </c>
      <c r="AP11" s="91">
        <f>+K11-SUM(AM11:AO11)</f>
        <v>24509.785999999993</v>
      </c>
      <c r="AQ11" s="90">
        <v>24124.789000000001</v>
      </c>
      <c r="AR11" s="90">
        <f>48831.557-AQ11</f>
        <v>24706.768</v>
      </c>
      <c r="AS11" s="90">
        <f>73996.839-AR11-AQ11</f>
        <v>25165.28200000001</v>
      </c>
      <c r="AT11" s="91">
        <f>+L11-SUM(AQ11:AS11)</f>
        <v>27169.221999999994</v>
      </c>
      <c r="AU11" s="90">
        <v>26783.901999999998</v>
      </c>
      <c r="AV11" s="90"/>
    </row>
    <row r="12" spans="2:48" x14ac:dyDescent="0.3">
      <c r="B12" s="118" t="s">
        <v>375</v>
      </c>
      <c r="C12" s="90">
        <v>34065.300000000003</v>
      </c>
      <c r="D12" s="90">
        <v>32274.473999999998</v>
      </c>
      <c r="E12" s="90">
        <v>28407.83</v>
      </c>
      <c r="F12" s="90">
        <v>24275.584999999999</v>
      </c>
      <c r="G12" s="90">
        <v>20129.875</v>
      </c>
      <c r="H12" s="90">
        <v>17228.714</v>
      </c>
      <c r="I12" s="90">
        <v>14916.566000000001</v>
      </c>
      <c r="J12" s="90">
        <v>13505.924999999999</v>
      </c>
      <c r="K12" s="90">
        <v>12652.83</v>
      </c>
      <c r="L12" s="90">
        <v>10882.048000000001</v>
      </c>
      <c r="M12" s="91">
        <f t="shared" ref="M12:M16" si="18">SUM(AS12:AV12)</f>
        <v>7784.9860000000008</v>
      </c>
      <c r="N12" s="90"/>
      <c r="O12" s="90">
        <v>7324.8310000000001</v>
      </c>
      <c r="P12" s="90">
        <f>14760.032-O12</f>
        <v>7435.2009999999991</v>
      </c>
      <c r="Q12" s="90">
        <f>21753.542-P12-O12</f>
        <v>6993.510000000002</v>
      </c>
      <c r="R12" s="91">
        <f t="shared" si="12"/>
        <v>6654.2880000000005</v>
      </c>
      <c r="S12" s="90">
        <v>6197.7950000000001</v>
      </c>
      <c r="T12" s="90">
        <f>12316.334-S12</f>
        <v>6118.5390000000007</v>
      </c>
      <c r="U12" s="90">
        <f>18495.762-T12-S12</f>
        <v>6179.4279999999981</v>
      </c>
      <c r="V12" s="91">
        <f t="shared" si="13"/>
        <v>5779.8230000000003</v>
      </c>
      <c r="W12" s="90">
        <v>5288.6670000000004</v>
      </c>
      <c r="X12" s="90">
        <f>10206.875-W12</f>
        <v>4918.2079999999996</v>
      </c>
      <c r="Y12" s="90">
        <f>15306.266-X12-W12</f>
        <v>5099.3910000000005</v>
      </c>
      <c r="Z12" s="91">
        <f t="shared" si="14"/>
        <v>4823.6090000000004</v>
      </c>
      <c r="AA12" s="90">
        <v>4711.3609999999999</v>
      </c>
      <c r="AB12" s="90">
        <f>9112.982-AA12</f>
        <v>4401.6210000000001</v>
      </c>
      <c r="AC12" s="90">
        <f>13281.404-AB12-AA12</f>
        <v>4168.4219999999996</v>
      </c>
      <c r="AD12" s="91">
        <f t="shared" si="15"/>
        <v>3947.3100000000013</v>
      </c>
      <c r="AE12" s="90">
        <v>3899.23</v>
      </c>
      <c r="AF12" s="90">
        <f>7769.43-AE12</f>
        <v>3870.2000000000003</v>
      </c>
      <c r="AG12" s="90">
        <f>11389.308-AF12-AE12</f>
        <v>3619.8780000000002</v>
      </c>
      <c r="AH12" s="91">
        <f t="shared" si="16"/>
        <v>3527.2579999999998</v>
      </c>
      <c r="AI12" s="90">
        <v>3427.0740000000001</v>
      </c>
      <c r="AJ12" s="90">
        <f>6793.917-AI12</f>
        <v>3366.8430000000003</v>
      </c>
      <c r="AK12" s="90">
        <f>10168.49-AJ12-AI12</f>
        <v>3374.572999999999</v>
      </c>
      <c r="AL12" s="91">
        <f t="shared" si="17"/>
        <v>3337.4349999999995</v>
      </c>
      <c r="AM12" s="90">
        <v>3355.9369999999999</v>
      </c>
      <c r="AN12" s="90">
        <f>6635.061-AM12</f>
        <v>3279.1239999999998</v>
      </c>
      <c r="AO12" s="90">
        <f>9642.449-AN12-AM12</f>
        <v>3007.3880000000008</v>
      </c>
      <c r="AP12" s="91">
        <f t="shared" ref="AP12:AP16" si="19">+K12-SUM(AM12:AO12)</f>
        <v>3010.3809999999994</v>
      </c>
      <c r="AQ12" s="90">
        <v>2776.2530000000002</v>
      </c>
      <c r="AR12" s="90">
        <f>5534.864-AQ12</f>
        <v>2758.6109999999994</v>
      </c>
      <c r="AS12" s="90">
        <f>8283.253-AR12-AQ12</f>
        <v>2748.3890000000015</v>
      </c>
      <c r="AT12" s="91">
        <f t="shared" ref="AT12:AT16" si="20">+L12-SUM(AQ12:AS12)</f>
        <v>2598.7950000000001</v>
      </c>
      <c r="AU12" s="90">
        <v>2437.8020000000001</v>
      </c>
      <c r="AV12" s="90"/>
    </row>
    <row r="13" spans="2:48" x14ac:dyDescent="0.3">
      <c r="B13" s="118" t="s">
        <v>376</v>
      </c>
      <c r="C13" s="90">
        <v>23198.923999999999</v>
      </c>
      <c r="D13" s="90">
        <v>23149.293000000001</v>
      </c>
      <c r="E13" s="90">
        <v>20162.343000000001</v>
      </c>
      <c r="F13" s="90">
        <v>15690.308999999999</v>
      </c>
      <c r="G13" s="90">
        <v>11029.64</v>
      </c>
      <c r="H13" s="90">
        <v>9350.8150000000005</v>
      </c>
      <c r="I13" s="90">
        <v>8845.4220000000005</v>
      </c>
      <c r="J13" s="90">
        <v>7975.3190000000004</v>
      </c>
      <c r="K13" s="90">
        <v>6691.7209999999995</v>
      </c>
      <c r="L13" s="90">
        <v>4801.3890000000001</v>
      </c>
      <c r="M13" s="91">
        <f t="shared" si="18"/>
        <v>2838.0230000000001</v>
      </c>
      <c r="N13" s="90"/>
      <c r="O13" s="90">
        <v>5402.15</v>
      </c>
      <c r="P13" s="90">
        <f>10837.592-O13</f>
        <v>5435.4420000000009</v>
      </c>
      <c r="Q13" s="90">
        <f>15772.38-P13-O13</f>
        <v>4934.7879999999986</v>
      </c>
      <c r="R13" s="91">
        <f t="shared" si="12"/>
        <v>4389.9630000000016</v>
      </c>
      <c r="S13" s="90">
        <v>4196.915</v>
      </c>
      <c r="T13" s="90">
        <f>8283.258-S13</f>
        <v>4086.3429999999998</v>
      </c>
      <c r="U13" s="90">
        <f>12285.502-T13-S13</f>
        <v>4002.2439999999997</v>
      </c>
      <c r="V13" s="91">
        <f t="shared" si="13"/>
        <v>3404.8069999999989</v>
      </c>
      <c r="W13" s="90">
        <v>3033.8330000000001</v>
      </c>
      <c r="X13" s="90">
        <f>5777.977-W13</f>
        <v>2744.1439999999998</v>
      </c>
      <c r="Y13" s="90">
        <f>8602.79-X13-W13</f>
        <v>2824.8130000000006</v>
      </c>
      <c r="Z13" s="91">
        <f t="shared" si="14"/>
        <v>2426.8499999999985</v>
      </c>
      <c r="AA13" s="90">
        <v>2400.9769999999999</v>
      </c>
      <c r="AB13" s="90">
        <f>4826.972-AA13</f>
        <v>2425.9949999999999</v>
      </c>
      <c r="AC13" s="90">
        <f>7167.415-AB13-AA13</f>
        <v>2340.4430000000002</v>
      </c>
      <c r="AD13" s="91">
        <f t="shared" si="15"/>
        <v>2183.4000000000005</v>
      </c>
      <c r="AE13" s="90">
        <v>2148.86</v>
      </c>
      <c r="AF13" s="90">
        <f>4440.455-AE13</f>
        <v>2291.5949999999998</v>
      </c>
      <c r="AG13" s="90">
        <f>6650.753-AF13-AE13</f>
        <v>2210.2979999999993</v>
      </c>
      <c r="AH13" s="91">
        <f t="shared" si="16"/>
        <v>2194.6690000000017</v>
      </c>
      <c r="AI13" s="90">
        <v>2007.807</v>
      </c>
      <c r="AJ13" s="90">
        <f>3992.439-AI13</f>
        <v>1984.6319999999998</v>
      </c>
      <c r="AK13" s="90">
        <f>5964.287-AJ13-AI13</f>
        <v>1971.8480000000006</v>
      </c>
      <c r="AL13" s="91">
        <f t="shared" si="17"/>
        <v>2011.0320000000002</v>
      </c>
      <c r="AM13" s="90">
        <v>1939.027</v>
      </c>
      <c r="AN13" s="90">
        <f>3745.909-AM13</f>
        <v>1806.8820000000001</v>
      </c>
      <c r="AO13" s="90">
        <f>5204.629-AN13-AM13</f>
        <v>1458.7199999999998</v>
      </c>
      <c r="AP13" s="91">
        <f t="shared" si="19"/>
        <v>1487.0919999999996</v>
      </c>
      <c r="AQ13" s="90">
        <v>1393.0509999999999</v>
      </c>
      <c r="AR13" s="90">
        <f>2706.677-AQ13</f>
        <v>1313.6260000000002</v>
      </c>
      <c r="AS13" s="90">
        <f>3892.904-AR13-AQ13</f>
        <v>1186.2269999999999</v>
      </c>
      <c r="AT13" s="91">
        <f t="shared" si="20"/>
        <v>908.48500000000013</v>
      </c>
      <c r="AU13" s="90">
        <v>743.31100000000004</v>
      </c>
      <c r="AV13" s="90"/>
    </row>
    <row r="14" spans="2:48" x14ac:dyDescent="0.3">
      <c r="B14" s="118" t="s">
        <v>377</v>
      </c>
      <c r="C14" s="90">
        <v>0</v>
      </c>
      <c r="D14" s="90">
        <v>0</v>
      </c>
      <c r="E14" s="90">
        <v>0</v>
      </c>
      <c r="F14" s="90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1">
        <f t="shared" si="18"/>
        <v>0</v>
      </c>
      <c r="N14" s="90"/>
      <c r="O14" s="90">
        <v>0</v>
      </c>
      <c r="P14" s="90">
        <f t="shared" ref="P14:P15" si="21">0-O14</f>
        <v>0</v>
      </c>
      <c r="Q14" s="90">
        <f t="shared" ref="Q14:Q15" si="22">0-P14-O14</f>
        <v>0</v>
      </c>
      <c r="R14" s="91">
        <f t="shared" si="12"/>
        <v>0</v>
      </c>
      <c r="S14" s="90">
        <v>0</v>
      </c>
      <c r="T14" s="90">
        <f>0-S14</f>
        <v>0</v>
      </c>
      <c r="U14" s="90">
        <f>0-T14-S14</f>
        <v>0</v>
      </c>
      <c r="V14" s="91">
        <f t="shared" si="13"/>
        <v>0</v>
      </c>
      <c r="W14" s="90">
        <v>0</v>
      </c>
      <c r="X14" s="90">
        <f>0-W14</f>
        <v>0</v>
      </c>
      <c r="Y14" s="90">
        <f>0-X14-W14</f>
        <v>0</v>
      </c>
      <c r="Z14" s="91">
        <f t="shared" si="14"/>
        <v>0</v>
      </c>
      <c r="AA14" s="90">
        <v>0</v>
      </c>
      <c r="AB14" s="90">
        <f>0-AA14</f>
        <v>0</v>
      </c>
      <c r="AC14" s="90">
        <f>0-AB14-AA14</f>
        <v>0</v>
      </c>
      <c r="AD14" s="91">
        <f t="shared" si="15"/>
        <v>0</v>
      </c>
      <c r="AE14" s="90">
        <v>0</v>
      </c>
      <c r="AF14" s="90">
        <f>0-AE14</f>
        <v>0</v>
      </c>
      <c r="AG14" s="90">
        <f>0-AF14-AE14</f>
        <v>0</v>
      </c>
      <c r="AH14" s="91">
        <f t="shared" si="16"/>
        <v>0</v>
      </c>
      <c r="AI14" s="90">
        <v>0</v>
      </c>
      <c r="AJ14" s="90">
        <f>0-AI14</f>
        <v>0</v>
      </c>
      <c r="AK14" s="90">
        <f>0-AJ14-AI14</f>
        <v>0</v>
      </c>
      <c r="AL14" s="91">
        <f t="shared" si="17"/>
        <v>0</v>
      </c>
      <c r="AM14" s="90">
        <v>0</v>
      </c>
      <c r="AN14" s="90">
        <f>0-AM14</f>
        <v>0</v>
      </c>
      <c r="AO14" s="90">
        <f>0-AN14-AM14</f>
        <v>0</v>
      </c>
      <c r="AP14" s="91">
        <f t="shared" si="19"/>
        <v>0</v>
      </c>
      <c r="AQ14" s="90">
        <v>0</v>
      </c>
      <c r="AR14" s="90">
        <f>0-AQ14</f>
        <v>0</v>
      </c>
      <c r="AS14" s="90">
        <f>0-AR14-AQ14</f>
        <v>0</v>
      </c>
      <c r="AT14" s="91">
        <f t="shared" si="20"/>
        <v>0</v>
      </c>
      <c r="AU14" s="90">
        <v>0</v>
      </c>
      <c r="AV14" s="90"/>
    </row>
    <row r="15" spans="2:48" x14ac:dyDescent="0.3">
      <c r="B15" s="118" t="s">
        <v>378</v>
      </c>
      <c r="C15" s="90">
        <v>0</v>
      </c>
      <c r="D15" s="90">
        <v>0</v>
      </c>
      <c r="E15" s="90">
        <v>0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91">
        <f t="shared" si="18"/>
        <v>0</v>
      </c>
      <c r="N15" s="90"/>
      <c r="O15" s="90">
        <v>0</v>
      </c>
      <c r="P15" s="90">
        <f t="shared" si="21"/>
        <v>0</v>
      </c>
      <c r="Q15" s="90">
        <f t="shared" si="22"/>
        <v>0</v>
      </c>
      <c r="R15" s="91">
        <f t="shared" si="12"/>
        <v>0</v>
      </c>
      <c r="S15" s="90">
        <v>0</v>
      </c>
      <c r="T15" s="90">
        <f>0-S15</f>
        <v>0</v>
      </c>
      <c r="U15" s="90">
        <f>0-T15-S15</f>
        <v>0</v>
      </c>
      <c r="V15" s="91">
        <f t="shared" si="13"/>
        <v>0</v>
      </c>
      <c r="W15" s="90">
        <v>0</v>
      </c>
      <c r="X15" s="90">
        <f>0-W15</f>
        <v>0</v>
      </c>
      <c r="Y15" s="90">
        <f>0-X15-W15</f>
        <v>0</v>
      </c>
      <c r="Z15" s="91">
        <f t="shared" si="14"/>
        <v>0</v>
      </c>
      <c r="AA15" s="90">
        <v>0</v>
      </c>
      <c r="AB15" s="90">
        <f>0-AA15</f>
        <v>0</v>
      </c>
      <c r="AC15" s="90">
        <f>0-AB15-AA15</f>
        <v>0</v>
      </c>
      <c r="AD15" s="91">
        <f t="shared" si="15"/>
        <v>0</v>
      </c>
      <c r="AE15" s="90">
        <v>0</v>
      </c>
      <c r="AF15" s="90">
        <f>0-AE15</f>
        <v>0</v>
      </c>
      <c r="AG15" s="90">
        <f>0-AF15-AE15</f>
        <v>0</v>
      </c>
      <c r="AH15" s="91">
        <f t="shared" si="16"/>
        <v>0</v>
      </c>
      <c r="AI15" s="90">
        <v>0</v>
      </c>
      <c r="AJ15" s="90">
        <f>0-AI15</f>
        <v>0</v>
      </c>
      <c r="AK15" s="90">
        <f>0-AJ15-AI15</f>
        <v>0</v>
      </c>
      <c r="AL15" s="91">
        <f t="shared" si="17"/>
        <v>0</v>
      </c>
      <c r="AM15" s="90">
        <v>0</v>
      </c>
      <c r="AN15" s="90">
        <f>0-AM15</f>
        <v>0</v>
      </c>
      <c r="AO15" s="90">
        <f>0-AN15-AM15</f>
        <v>0</v>
      </c>
      <c r="AP15" s="91">
        <f t="shared" si="19"/>
        <v>0</v>
      </c>
      <c r="AQ15" s="90">
        <v>0</v>
      </c>
      <c r="AR15" s="90">
        <f>0-AQ15</f>
        <v>0</v>
      </c>
      <c r="AS15" s="90">
        <f>0-AR15-AQ15</f>
        <v>0</v>
      </c>
      <c r="AT15" s="91">
        <f t="shared" si="20"/>
        <v>0</v>
      </c>
      <c r="AU15" s="90">
        <v>0</v>
      </c>
      <c r="AV15" s="90"/>
    </row>
    <row r="16" spans="2:48" x14ac:dyDescent="0.3">
      <c r="B16" s="117" t="s">
        <v>379</v>
      </c>
      <c r="C16" s="90">
        <v>5670.2489999999998</v>
      </c>
      <c r="D16" s="90">
        <v>7103.49</v>
      </c>
      <c r="E16" s="90">
        <v>17905.544999999998</v>
      </c>
      <c r="F16" s="90">
        <v>17256.870999999999</v>
      </c>
      <c r="G16" s="90">
        <v>11968.825000000001</v>
      </c>
      <c r="H16" s="228">
        <v>15199.998</v>
      </c>
      <c r="I16" s="228">
        <v>16564.819</v>
      </c>
      <c r="J16" s="228">
        <v>17457.309000000001</v>
      </c>
      <c r="K16" s="228">
        <v>15201.455</v>
      </c>
      <c r="L16" s="228">
        <v>13050.019</v>
      </c>
      <c r="M16" s="91">
        <f t="shared" si="18"/>
        <v>9816.1660000000011</v>
      </c>
      <c r="N16" s="90"/>
      <c r="O16" s="90">
        <v>4899.3180000000002</v>
      </c>
      <c r="P16" s="90">
        <f>9510.498-O16</f>
        <v>4611.1799999999994</v>
      </c>
      <c r="Q16" s="90">
        <f>13355.999-P16-O16</f>
        <v>3845.5009999999993</v>
      </c>
      <c r="R16" s="91">
        <f t="shared" si="12"/>
        <v>4549.5459999999985</v>
      </c>
      <c r="S16" s="90">
        <v>4535.1229999999996</v>
      </c>
      <c r="T16" s="90">
        <f>8441.669-S16</f>
        <v>3906.5460000000003</v>
      </c>
      <c r="U16" s="90">
        <f>12493.988-T16-S16</f>
        <v>4052.3189999999995</v>
      </c>
      <c r="V16" s="91">
        <f t="shared" si="13"/>
        <v>4762.8829999999998</v>
      </c>
      <c r="W16" s="90">
        <v>3962.9989999999998</v>
      </c>
      <c r="X16" s="90">
        <f>5475.12-W16</f>
        <v>1512.1210000000001</v>
      </c>
      <c r="Y16" s="90">
        <f>8768.036-X16-W16</f>
        <v>3292.9160000000002</v>
      </c>
      <c r="Z16" s="91">
        <f t="shared" si="14"/>
        <v>3200.7890000000007</v>
      </c>
      <c r="AA16" s="90">
        <v>4736.78</v>
      </c>
      <c r="AB16" s="90">
        <f>8212.069-AA16</f>
        <v>3475.2889999999998</v>
      </c>
      <c r="AC16" s="90">
        <f>11252.254-AB16-AA16</f>
        <v>3040.1850000000013</v>
      </c>
      <c r="AD16" s="91">
        <f t="shared" si="15"/>
        <v>3947.7439999999988</v>
      </c>
      <c r="AE16" s="90">
        <v>4257.8649999999998</v>
      </c>
      <c r="AF16" s="90">
        <f>8161.795-AE16</f>
        <v>3903.9300000000003</v>
      </c>
      <c r="AG16" s="90">
        <f>11842.183-AF16-AE16</f>
        <v>3680.3880000000008</v>
      </c>
      <c r="AH16" s="91">
        <f t="shared" si="16"/>
        <v>4722.6359999999986</v>
      </c>
      <c r="AI16" s="90">
        <v>4945.223</v>
      </c>
      <c r="AJ16" s="90">
        <f>8907.502-AI16</f>
        <v>3962.2790000000005</v>
      </c>
      <c r="AK16" s="90">
        <f>12417.537-AJ16-AI16</f>
        <v>3510.0349999999999</v>
      </c>
      <c r="AL16" s="91">
        <f t="shared" si="17"/>
        <v>5039.7720000000008</v>
      </c>
      <c r="AM16" s="90">
        <v>4058.38</v>
      </c>
      <c r="AN16" s="90">
        <f>7221.077-AM16</f>
        <v>3162.6970000000001</v>
      </c>
      <c r="AO16" s="90">
        <f>10457.109-AN16-AM16</f>
        <v>3236.0320000000002</v>
      </c>
      <c r="AP16" s="91">
        <f t="shared" si="19"/>
        <v>4744.3459999999995</v>
      </c>
      <c r="AQ16" s="90">
        <v>3867.5230000000001</v>
      </c>
      <c r="AR16" s="90">
        <f>6974.32-AQ16</f>
        <v>3106.7969999999996</v>
      </c>
      <c r="AS16" s="90">
        <f>9818.645-AR16-AQ16</f>
        <v>2844.3250000000007</v>
      </c>
      <c r="AT16" s="91">
        <f t="shared" si="20"/>
        <v>3231.3739999999998</v>
      </c>
      <c r="AU16" s="90">
        <v>3740.4670000000001</v>
      </c>
      <c r="AV16" s="90"/>
    </row>
    <row r="17" spans="2:49" s="6" customFormat="1" x14ac:dyDescent="0.3">
      <c r="B17" s="88" t="s">
        <v>380</v>
      </c>
      <c r="C17" s="215">
        <f t="shared" ref="C17:F17" si="23">+C19+C20+C21+C22+C23+C24</f>
        <v>28856.095999999998</v>
      </c>
      <c r="D17" s="215">
        <f t="shared" si="23"/>
        <v>29694.58</v>
      </c>
      <c r="E17" s="215">
        <f t="shared" si="23"/>
        <v>33736.532999999996</v>
      </c>
      <c r="F17" s="215">
        <f t="shared" si="23"/>
        <v>37636.1</v>
      </c>
      <c r="G17" s="215">
        <f t="shared" ref="G17" si="24">+G19+G20+G21+G22+G23+G24</f>
        <v>44029.614000000001</v>
      </c>
      <c r="H17" s="215">
        <f>+H19+H20+H22+H21+H23+H24</f>
        <v>46806.110000000008</v>
      </c>
      <c r="I17" s="215">
        <f>+I19+I20+I22+I21+I23+I24</f>
        <v>46670.826000000001</v>
      </c>
      <c r="J17" s="215">
        <f>+J19+J20+J22+J21+J23+J24</f>
        <v>45289.362999999998</v>
      </c>
      <c r="K17" s="215">
        <f>+K19+K20+K22+K21+K23+K24</f>
        <v>45940.536</v>
      </c>
      <c r="L17" s="215">
        <f>+L19+L20+L22+L21+L23+L24</f>
        <v>45931.730999999992</v>
      </c>
      <c r="M17" s="215">
        <f>+M19+M20+M21+M22+M23+M24</f>
        <v>35590.460000000006</v>
      </c>
      <c r="N17" s="334"/>
      <c r="O17" s="215">
        <f t="shared" ref="O17:V17" si="25">+O19+O20+O21+O22+O23+O24</f>
        <v>7829.4120000000003</v>
      </c>
      <c r="P17" s="215">
        <f t="shared" si="25"/>
        <v>8091.6480000000001</v>
      </c>
      <c r="Q17" s="215">
        <f t="shared" si="25"/>
        <v>8633.3819999999978</v>
      </c>
      <c r="R17" s="215">
        <f t="shared" si="25"/>
        <v>9182.0909999999985</v>
      </c>
      <c r="S17" s="215">
        <f t="shared" si="25"/>
        <v>9151.8080000000009</v>
      </c>
      <c r="T17" s="215">
        <f t="shared" si="25"/>
        <v>9291.1709999999985</v>
      </c>
      <c r="U17" s="215">
        <f t="shared" si="25"/>
        <v>9481.1490000000013</v>
      </c>
      <c r="V17" s="215">
        <f t="shared" si="25"/>
        <v>9711.9719999999979</v>
      </c>
      <c r="W17" s="215">
        <f>+W19+W20+W21+W22+W23+W24</f>
        <v>10070.047</v>
      </c>
      <c r="X17" s="215">
        <f>+X19+X20+X21+X22+X23+X24</f>
        <v>10855.627</v>
      </c>
      <c r="Y17" s="215">
        <f>+Y19+Y20+Y21+Y22+Y23+Y24</f>
        <v>11649.232999999998</v>
      </c>
      <c r="Z17" s="215">
        <f t="shared" ref="Z17" si="26">+Z19+Z20+Z21+Z22+Z23+Z24</f>
        <v>11454.707000000002</v>
      </c>
      <c r="AA17" s="215">
        <f>+AA19+AA20+AA21+AA22+AA23+AA24</f>
        <v>11545.649000000001</v>
      </c>
      <c r="AB17" s="215">
        <f>+AB19+AB20+AB21+AB22+AB23+AB24</f>
        <v>11386.773999999999</v>
      </c>
      <c r="AC17" s="215">
        <f>+AC19+AC20+AC21+AC22+AC23+AC24</f>
        <v>12331.739000000001</v>
      </c>
      <c r="AD17" s="215">
        <f t="shared" ref="AD17" si="27">+AD19+AD20+AD21+AD22+AD23+AD24</f>
        <v>11541.948</v>
      </c>
      <c r="AE17" s="215">
        <f>+AE19+AE20+AE21+AE22+AE23+AE24</f>
        <v>11591.843000000001</v>
      </c>
      <c r="AF17" s="215">
        <f>+AF19+AF20+AF21+AF22+AF23+AF24</f>
        <v>11599.548999999997</v>
      </c>
      <c r="AG17" s="215">
        <f>+AG19+AG20+AG21+AG22+AG23+AG24</f>
        <v>11658.810000000001</v>
      </c>
      <c r="AH17" s="215">
        <f t="shared" ref="AH17" si="28">+AH19+AH20+AH21+AH22+AH23+AH24</f>
        <v>11820.624</v>
      </c>
      <c r="AI17" s="215">
        <f>+AI19+AI20+AI21+AI22+AI23+AI24</f>
        <v>11528.364</v>
      </c>
      <c r="AJ17" s="215">
        <f>+AJ19+AJ20+AJ21+AJ22+AJ23+AJ24</f>
        <v>11361.545</v>
      </c>
      <c r="AK17" s="215">
        <f>+AK19+AK20+AK21+AK22+AK23+AK24</f>
        <v>11138.718999999999</v>
      </c>
      <c r="AL17" s="215">
        <f t="shared" ref="AL17" si="29">+AL19+AL20+AL21+AL22+AL23+AL24</f>
        <v>11260.735000000001</v>
      </c>
      <c r="AM17" s="215">
        <f>+AM19+AM20+AM21+AM22+AM23+AM24</f>
        <v>11522.367</v>
      </c>
      <c r="AN17" s="215">
        <f>+AN19+AN20+AN21+AN22+AN23+AN24</f>
        <v>11257.984999999999</v>
      </c>
      <c r="AO17" s="215">
        <f>+AO19+AO20+AO21+AO22+AO23+AO24</f>
        <v>11912.341999999999</v>
      </c>
      <c r="AP17" s="215">
        <f t="shared" ref="AP17" si="30">+AP19+AP20+AP21+AP22+AP23+AP24</f>
        <v>11247.842000000002</v>
      </c>
      <c r="AQ17" s="215">
        <f>+AQ19+AQ20+AQ21+AQ22+AQ23+AQ24</f>
        <v>10999.970999999998</v>
      </c>
      <c r="AR17" s="215">
        <f>+AR19+AR20+AR21+AR22+AR23+AR24</f>
        <v>10977.223000000002</v>
      </c>
      <c r="AS17" s="215">
        <f>+AS19+AS20+AS21+AS22+AS23+AS24</f>
        <v>11829.433999999999</v>
      </c>
      <c r="AT17" s="215">
        <f t="shared" ref="AT17" si="31">+AT19+AT20+AT21+AT22+AT23+AT24</f>
        <v>12125.102999999999</v>
      </c>
      <c r="AU17" s="215">
        <f>+AU19+AU20+AU21+AU22+AU23+AU24</f>
        <v>11635.923000000001</v>
      </c>
      <c r="AV17" s="215"/>
    </row>
    <row r="18" spans="2:49" x14ac:dyDescent="0.3">
      <c r="B18" s="116" t="s">
        <v>373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1"/>
      <c r="N18" s="90"/>
      <c r="O18" s="90"/>
      <c r="P18" s="90"/>
      <c r="Q18" s="90"/>
      <c r="R18" s="91"/>
      <c r="S18" s="90"/>
      <c r="T18" s="90"/>
      <c r="U18" s="90"/>
      <c r="V18" s="91"/>
      <c r="W18" s="90"/>
      <c r="X18" s="90"/>
      <c r="Y18" s="90"/>
      <c r="Z18" s="91"/>
      <c r="AA18" s="90"/>
      <c r="AB18" s="90"/>
      <c r="AC18" s="90"/>
      <c r="AD18" s="91"/>
      <c r="AE18" s="90"/>
      <c r="AF18" s="90"/>
      <c r="AG18" s="90"/>
      <c r="AH18" s="91"/>
      <c r="AI18" s="90"/>
      <c r="AJ18" s="90"/>
      <c r="AK18" s="90"/>
      <c r="AL18" s="91"/>
      <c r="AM18" s="90"/>
      <c r="AN18" s="90"/>
      <c r="AO18" s="90"/>
      <c r="AP18" s="91"/>
      <c r="AQ18" s="90"/>
      <c r="AR18" s="90"/>
      <c r="AS18" s="90"/>
      <c r="AT18" s="91"/>
      <c r="AU18" s="90"/>
      <c r="AV18" s="90"/>
    </row>
    <row r="19" spans="2:49" x14ac:dyDescent="0.3">
      <c r="B19" s="118" t="s">
        <v>374</v>
      </c>
      <c r="C19" s="90">
        <v>9873.4169999999995</v>
      </c>
      <c r="D19" s="90">
        <v>10287.868</v>
      </c>
      <c r="E19" s="90">
        <v>11761.929</v>
      </c>
      <c r="F19" s="90">
        <v>12827.652</v>
      </c>
      <c r="G19" s="90">
        <v>12539.234</v>
      </c>
      <c r="H19" s="90">
        <v>14170.1</v>
      </c>
      <c r="I19" s="90">
        <v>17198.098999999998</v>
      </c>
      <c r="J19" s="90">
        <v>18319.203000000001</v>
      </c>
      <c r="K19" s="90">
        <v>20379.506000000001</v>
      </c>
      <c r="L19" s="90">
        <v>20670.496999999999</v>
      </c>
      <c r="M19" s="91">
        <f t="shared" ref="M19:M24" si="32">SUM(AS19:AV19)</f>
        <v>16179.257999999998</v>
      </c>
      <c r="N19" s="90"/>
      <c r="O19" s="90">
        <v>2666.57</v>
      </c>
      <c r="P19" s="90">
        <f>5492.761-O19</f>
        <v>2826.1910000000003</v>
      </c>
      <c r="Q19" s="90">
        <f>8437.238-P19-O19</f>
        <v>2944.4769999999985</v>
      </c>
      <c r="R19" s="91">
        <f t="shared" ref="R19:R24" si="33">+E19-SUM(O19:Q19)</f>
        <v>3324.6910000000007</v>
      </c>
      <c r="S19" s="90">
        <v>3136.2190000000001</v>
      </c>
      <c r="T19" s="90">
        <f>6294.489-S19</f>
        <v>3158.2699999999995</v>
      </c>
      <c r="U19" s="90">
        <f>9481.169-T19-S19</f>
        <v>3186.6800000000003</v>
      </c>
      <c r="V19" s="91">
        <f t="shared" ref="V19:V24" si="34">+F19-SUM(S19:U19)</f>
        <v>3346.4830000000002</v>
      </c>
      <c r="W19" s="90">
        <v>3250.4229999999998</v>
      </c>
      <c r="X19" s="90">
        <f>6199.21-W19</f>
        <v>2948.7870000000003</v>
      </c>
      <c r="Y19" s="90">
        <f>9276.673-X19-W19</f>
        <v>3077.4630000000006</v>
      </c>
      <c r="Z19" s="91">
        <f t="shared" ref="Z19:Z24" si="35">+G19-SUM(W19:Y19)</f>
        <v>3262.5609999999997</v>
      </c>
      <c r="AA19" s="90">
        <v>3322.683</v>
      </c>
      <c r="AB19" s="90">
        <f>6729.309-AA19</f>
        <v>3406.6260000000002</v>
      </c>
      <c r="AC19" s="90">
        <f>10388.197-AB19-AA19</f>
        <v>3658.8879999999999</v>
      </c>
      <c r="AD19" s="91">
        <f t="shared" ref="AD19:AD24" si="36">+H19-SUM(AA19:AC19)</f>
        <v>3781.9030000000002</v>
      </c>
      <c r="AE19" s="90">
        <v>3921.7310000000002</v>
      </c>
      <c r="AF19" s="90">
        <f>8151.542-AE19</f>
        <v>4229.8109999999997</v>
      </c>
      <c r="AG19" s="90">
        <f>12534.178-AF19-AE19</f>
        <v>4382.6360000000004</v>
      </c>
      <c r="AH19" s="91">
        <f t="shared" ref="AH19:AH24" si="37">+I19-SUM(AE19:AG19)</f>
        <v>4663.9209999999985</v>
      </c>
      <c r="AI19" s="90">
        <v>4504.6289999999999</v>
      </c>
      <c r="AJ19" s="90">
        <f>9071.921-AI19</f>
        <v>4567.2920000000004</v>
      </c>
      <c r="AK19" s="90">
        <f>13559.353-AJ19-AI19</f>
        <v>4487.431999999998</v>
      </c>
      <c r="AL19" s="91">
        <f t="shared" ref="AL19:AL24" si="38">+J19-SUM(AI19:AK19)</f>
        <v>4759.8500000000022</v>
      </c>
      <c r="AM19" s="90">
        <v>4955.8580000000002</v>
      </c>
      <c r="AN19" s="90">
        <f>9789.005-AM19</f>
        <v>4833.146999999999</v>
      </c>
      <c r="AO19" s="90">
        <f>15480.071-AN19-AM19</f>
        <v>5691.0660000000007</v>
      </c>
      <c r="AP19" s="91">
        <f t="shared" ref="AP19:AP24" si="39">+K19-SUM(AM19:AO19)</f>
        <v>4899.4350000000013</v>
      </c>
      <c r="AQ19" s="90">
        <v>4857.5159999999996</v>
      </c>
      <c r="AR19" s="90">
        <f>9626.663-AQ19</f>
        <v>4769.1470000000008</v>
      </c>
      <c r="AS19" s="90">
        <f>14995.089-AR19-AQ19</f>
        <v>5368.4259999999995</v>
      </c>
      <c r="AT19" s="91">
        <f t="shared" ref="AT19:AT24" si="40">+L19-SUM(AQ19:AS19)</f>
        <v>5675.4079999999994</v>
      </c>
      <c r="AU19" s="90">
        <v>5135.424</v>
      </c>
      <c r="AV19" s="90"/>
    </row>
    <row r="20" spans="2:49" x14ac:dyDescent="0.3">
      <c r="B20" s="118" t="s">
        <v>375</v>
      </c>
      <c r="C20" s="90">
        <v>3779.82</v>
      </c>
      <c r="D20" s="90">
        <v>3490.35</v>
      </c>
      <c r="E20" s="90">
        <v>2977.0169999999998</v>
      </c>
      <c r="F20" s="90">
        <v>2668.413</v>
      </c>
      <c r="G20" s="90">
        <v>2620.1060000000002</v>
      </c>
      <c r="H20" s="90">
        <v>2280.357</v>
      </c>
      <c r="I20" s="90">
        <v>1989.174</v>
      </c>
      <c r="J20" s="90">
        <v>1595.674</v>
      </c>
      <c r="K20" s="90">
        <v>1500.1990000000001</v>
      </c>
      <c r="L20" s="90">
        <v>1251.135</v>
      </c>
      <c r="M20" s="91">
        <f t="shared" si="32"/>
        <v>946.79</v>
      </c>
      <c r="N20" s="90"/>
      <c r="O20" s="90">
        <v>768.976</v>
      </c>
      <c r="P20" s="90">
        <f>1511.88-O20</f>
        <v>742.90400000000011</v>
      </c>
      <c r="Q20" s="90">
        <f>2261.083-P20-O20</f>
        <v>749.20300000000009</v>
      </c>
      <c r="R20" s="91">
        <f t="shared" si="33"/>
        <v>715.93399999999974</v>
      </c>
      <c r="S20" s="90">
        <v>710.33</v>
      </c>
      <c r="T20" s="90">
        <f>1393.641-S20</f>
        <v>683.31100000000004</v>
      </c>
      <c r="U20" s="90">
        <f>2062.378-T20-S20</f>
        <v>668.73699999999997</v>
      </c>
      <c r="V20" s="91">
        <f t="shared" si="34"/>
        <v>606.03499999999985</v>
      </c>
      <c r="W20" s="90">
        <v>696.62400000000002</v>
      </c>
      <c r="X20" s="90">
        <f>1301.319-W20</f>
        <v>604.69499999999994</v>
      </c>
      <c r="Y20" s="90">
        <f>2032.9-X20-W20</f>
        <v>731.58100000000013</v>
      </c>
      <c r="Z20" s="91">
        <f t="shared" si="35"/>
        <v>587.20600000000013</v>
      </c>
      <c r="AA20" s="90">
        <v>599.08600000000001</v>
      </c>
      <c r="AB20" s="90">
        <f>1176.849-AA20</f>
        <v>577.76299999999992</v>
      </c>
      <c r="AC20" s="90">
        <f>1741.904-AB20-AA20</f>
        <v>565.05500000000006</v>
      </c>
      <c r="AD20" s="91">
        <f t="shared" si="36"/>
        <v>538.45299999999997</v>
      </c>
      <c r="AE20" s="90">
        <v>527.423</v>
      </c>
      <c r="AF20" s="90">
        <f>1012.515-AE20</f>
        <v>485.09199999999998</v>
      </c>
      <c r="AG20" s="90">
        <f>1516.42-AF20-AE20</f>
        <v>503.90499999999997</v>
      </c>
      <c r="AH20" s="91">
        <f t="shared" si="37"/>
        <v>472.75399999999991</v>
      </c>
      <c r="AI20" s="90">
        <v>426.47399999999999</v>
      </c>
      <c r="AJ20" s="90">
        <f>856.725-AI20</f>
        <v>430.25100000000003</v>
      </c>
      <c r="AK20" s="90">
        <f>1248.665-AJ20-AI20</f>
        <v>391.94</v>
      </c>
      <c r="AL20" s="91">
        <f t="shared" si="38"/>
        <v>347.00900000000001</v>
      </c>
      <c r="AM20" s="90">
        <v>382.95400000000001</v>
      </c>
      <c r="AN20" s="90">
        <f>762.961-AM20</f>
        <v>380.00700000000001</v>
      </c>
      <c r="AO20" s="90">
        <f>1129.99-AN20-AM20</f>
        <v>367.02899999999994</v>
      </c>
      <c r="AP20" s="91">
        <f t="shared" si="39"/>
        <v>370.20900000000006</v>
      </c>
      <c r="AQ20" s="90">
        <v>320.53399999999999</v>
      </c>
      <c r="AR20" s="90">
        <f>626.115-AQ20</f>
        <v>305.58100000000002</v>
      </c>
      <c r="AS20" s="90">
        <f>942.868-AR20-AQ20</f>
        <v>316.75300000000004</v>
      </c>
      <c r="AT20" s="91">
        <f t="shared" si="40"/>
        <v>308.26699999999994</v>
      </c>
      <c r="AU20" s="90">
        <v>321.77</v>
      </c>
      <c r="AV20" s="90"/>
    </row>
    <row r="21" spans="2:49" x14ac:dyDescent="0.3">
      <c r="B21" s="118" t="s">
        <v>376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J21" s="108"/>
      <c r="K21" s="108"/>
      <c r="L21" s="108"/>
      <c r="M21" s="91">
        <f t="shared" si="32"/>
        <v>0</v>
      </c>
      <c r="N21" s="90"/>
      <c r="O21" s="90">
        <v>0</v>
      </c>
      <c r="P21" s="90">
        <f>0-O21</f>
        <v>0</v>
      </c>
      <c r="Q21" s="90">
        <f>0-P21-O21</f>
        <v>0</v>
      </c>
      <c r="R21" s="91">
        <f t="shared" si="33"/>
        <v>0</v>
      </c>
      <c r="S21" s="90">
        <v>0</v>
      </c>
      <c r="T21" s="90">
        <f>0-S21</f>
        <v>0</v>
      </c>
      <c r="U21" s="90">
        <f>0-T21-S21</f>
        <v>0</v>
      </c>
      <c r="V21" s="91">
        <f t="shared" si="34"/>
        <v>0</v>
      </c>
      <c r="W21" s="90">
        <v>0</v>
      </c>
      <c r="X21" s="90">
        <f>0-W21</f>
        <v>0</v>
      </c>
      <c r="Y21" s="90">
        <f>0-X21-W21</f>
        <v>0</v>
      </c>
      <c r="Z21" s="91">
        <f t="shared" si="35"/>
        <v>0</v>
      </c>
      <c r="AA21" s="90">
        <v>0</v>
      </c>
      <c r="AB21" s="90">
        <f>0-AA21</f>
        <v>0</v>
      </c>
      <c r="AC21" s="90">
        <f>0-AB21-AA21</f>
        <v>0</v>
      </c>
      <c r="AD21" s="91">
        <f t="shared" si="36"/>
        <v>0</v>
      </c>
      <c r="AE21" s="90">
        <v>0</v>
      </c>
      <c r="AF21" s="90">
        <f>0-AE21</f>
        <v>0</v>
      </c>
      <c r="AG21" s="90">
        <f>0-AF21-AE21</f>
        <v>0</v>
      </c>
      <c r="AH21" s="91">
        <f t="shared" si="37"/>
        <v>0</v>
      </c>
      <c r="AI21" s="90">
        <v>0</v>
      </c>
      <c r="AJ21" s="90">
        <f>0-AI21</f>
        <v>0</v>
      </c>
      <c r="AK21" s="90">
        <f>0-AJ21-AI21</f>
        <v>0</v>
      </c>
      <c r="AL21" s="91">
        <f t="shared" si="38"/>
        <v>0</v>
      </c>
      <c r="AM21" s="90">
        <v>0</v>
      </c>
      <c r="AN21" s="90">
        <f>0-AM21</f>
        <v>0</v>
      </c>
      <c r="AO21" s="90">
        <f>0-AN21-AM21</f>
        <v>0</v>
      </c>
      <c r="AP21" s="91">
        <f t="shared" si="39"/>
        <v>0</v>
      </c>
      <c r="AQ21" s="90">
        <v>0</v>
      </c>
      <c r="AR21" s="90">
        <f>0-AQ21</f>
        <v>0</v>
      </c>
      <c r="AS21" s="90">
        <f>0-AR21-AQ21</f>
        <v>0</v>
      </c>
      <c r="AT21" s="91">
        <f t="shared" si="40"/>
        <v>0</v>
      </c>
      <c r="AU21" s="90">
        <v>0</v>
      </c>
      <c r="AV21" s="90"/>
    </row>
    <row r="22" spans="2:49" x14ac:dyDescent="0.3">
      <c r="B22" s="118" t="s">
        <v>377</v>
      </c>
      <c r="C22" s="90">
        <v>14679.450999999999</v>
      </c>
      <c r="D22" s="90">
        <v>15644.974</v>
      </c>
      <c r="E22" s="90">
        <v>18605.635999999999</v>
      </c>
      <c r="F22" s="90">
        <v>21746.531999999999</v>
      </c>
      <c r="G22" s="90">
        <v>26798.31</v>
      </c>
      <c r="H22" s="90">
        <v>29391.454000000002</v>
      </c>
      <c r="I22" s="90">
        <v>27093.52</v>
      </c>
      <c r="J22" s="90">
        <v>25111.748</v>
      </c>
      <c r="K22" s="90">
        <v>23785.396000000001</v>
      </c>
      <c r="L22" s="90">
        <v>23980.12</v>
      </c>
      <c r="M22" s="91">
        <f t="shared" si="32"/>
        <v>18449.650000000001</v>
      </c>
      <c r="N22" s="90"/>
      <c r="O22" s="90">
        <v>4297.7489999999998</v>
      </c>
      <c r="P22" s="90">
        <f>8727.132-O22</f>
        <v>4429.3829999999998</v>
      </c>
      <c r="Q22" s="90">
        <f>13553.078-P22-O22</f>
        <v>4825.9459999999999</v>
      </c>
      <c r="R22" s="91">
        <f t="shared" si="33"/>
        <v>5052.5579999999991</v>
      </c>
      <c r="S22" s="90">
        <v>5207.3540000000003</v>
      </c>
      <c r="T22" s="90">
        <f>10554.213-S22</f>
        <v>5346.8589999999995</v>
      </c>
      <c r="U22" s="90">
        <f>16071.614-T22-S22</f>
        <v>5517.4010000000007</v>
      </c>
      <c r="V22" s="91">
        <f t="shared" si="34"/>
        <v>5674.9179999999978</v>
      </c>
      <c r="W22" s="90">
        <v>5779.9560000000001</v>
      </c>
      <c r="X22" s="90">
        <f>12512.794-W22</f>
        <v>6732.8379999999997</v>
      </c>
      <c r="Y22" s="90">
        <f>19548.475-X22-W22</f>
        <v>7035.6809999999987</v>
      </c>
      <c r="Z22" s="91">
        <f t="shared" si="35"/>
        <v>7249.8350000000028</v>
      </c>
      <c r="AA22" s="90">
        <v>7350.6440000000002</v>
      </c>
      <c r="AB22" s="90">
        <f>14531.856-AA22</f>
        <v>7181.2119999999995</v>
      </c>
      <c r="AC22" s="90">
        <f>22397.312-AB22-AA22</f>
        <v>7865.4560000000019</v>
      </c>
      <c r="AD22" s="91">
        <f t="shared" si="36"/>
        <v>6994.1419999999998</v>
      </c>
      <c r="AE22" s="90">
        <v>7025.7759999999998</v>
      </c>
      <c r="AF22" s="90">
        <f>13794.756-AE22</f>
        <v>6768.98</v>
      </c>
      <c r="AG22" s="90">
        <f>20475.986-AF22-AE22</f>
        <v>6681.2300000000014</v>
      </c>
      <c r="AH22" s="91">
        <f t="shared" si="37"/>
        <v>6617.5339999999997</v>
      </c>
      <c r="AI22" s="90">
        <v>6531.8530000000001</v>
      </c>
      <c r="AJ22" s="90">
        <f>12809.116-AI22</f>
        <v>6277.2629999999999</v>
      </c>
      <c r="AK22" s="90">
        <f>18993.848-AJ22-AI22</f>
        <v>6184.7320000000027</v>
      </c>
      <c r="AL22" s="91">
        <f t="shared" si="38"/>
        <v>6117.8999999999978</v>
      </c>
      <c r="AM22" s="90">
        <v>6116.7960000000003</v>
      </c>
      <c r="AN22" s="90">
        <f>12100.164-AM22</f>
        <v>5983.3680000000004</v>
      </c>
      <c r="AO22" s="90">
        <f>17886.868-AN22-AM22</f>
        <v>5786.7039999999979</v>
      </c>
      <c r="AP22" s="91">
        <f t="shared" si="39"/>
        <v>5898.5280000000021</v>
      </c>
      <c r="AQ22" s="90">
        <v>5813.0320000000002</v>
      </c>
      <c r="AR22" s="90">
        <f>11708.118-AQ22</f>
        <v>5895.0860000000002</v>
      </c>
      <c r="AS22" s="90">
        <f>17840.249-AR22-AQ22</f>
        <v>6132.1310000000003</v>
      </c>
      <c r="AT22" s="91">
        <f t="shared" si="40"/>
        <v>6139.8709999999992</v>
      </c>
      <c r="AU22" s="90">
        <v>6177.6480000000001</v>
      </c>
      <c r="AV22" s="90"/>
    </row>
    <row r="23" spans="2:49" x14ac:dyDescent="0.3">
      <c r="B23" s="118" t="s">
        <v>378</v>
      </c>
      <c r="C23" s="90">
        <v>0</v>
      </c>
      <c r="D23" s="90">
        <v>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1">
        <f t="shared" si="32"/>
        <v>0</v>
      </c>
      <c r="N23" s="90"/>
      <c r="O23" s="90">
        <v>0</v>
      </c>
      <c r="P23" s="90">
        <f>0-O23</f>
        <v>0</v>
      </c>
      <c r="Q23" s="90">
        <f>0-P23-O23</f>
        <v>0</v>
      </c>
      <c r="R23" s="91">
        <f t="shared" si="33"/>
        <v>0</v>
      </c>
      <c r="S23" s="90">
        <v>0</v>
      </c>
      <c r="T23" s="90">
        <f>0-S23</f>
        <v>0</v>
      </c>
      <c r="U23" s="90">
        <f>0-T23-S23</f>
        <v>0</v>
      </c>
      <c r="V23" s="91">
        <f t="shared" si="34"/>
        <v>0</v>
      </c>
      <c r="W23" s="90">
        <v>0</v>
      </c>
      <c r="X23" s="90">
        <f>0-W23</f>
        <v>0</v>
      </c>
      <c r="Y23" s="90">
        <f>0-X23-W23</f>
        <v>0</v>
      </c>
      <c r="Z23" s="91">
        <f t="shared" si="35"/>
        <v>0</v>
      </c>
      <c r="AA23" s="90">
        <v>0</v>
      </c>
      <c r="AB23" s="90">
        <f>0-AA23</f>
        <v>0</v>
      </c>
      <c r="AC23" s="90">
        <f>0-AB23-AA23</f>
        <v>0</v>
      </c>
      <c r="AD23" s="91">
        <f t="shared" si="36"/>
        <v>0</v>
      </c>
      <c r="AE23" s="90">
        <v>0</v>
      </c>
      <c r="AF23" s="90">
        <f>0-AE23</f>
        <v>0</v>
      </c>
      <c r="AG23" s="90">
        <f>0-AF23-AE23</f>
        <v>0</v>
      </c>
      <c r="AH23" s="91">
        <f t="shared" si="37"/>
        <v>0</v>
      </c>
      <c r="AI23" s="90">
        <v>0</v>
      </c>
      <c r="AJ23" s="90">
        <f>0-AI23</f>
        <v>0</v>
      </c>
      <c r="AK23" s="90">
        <f>0-AJ23-AI23</f>
        <v>0</v>
      </c>
      <c r="AL23" s="91">
        <f t="shared" si="38"/>
        <v>0</v>
      </c>
      <c r="AM23" s="90">
        <v>0</v>
      </c>
      <c r="AN23" s="90">
        <f>0-AM23</f>
        <v>0</v>
      </c>
      <c r="AO23" s="90">
        <f>0-AN23-AM23</f>
        <v>0</v>
      </c>
      <c r="AP23" s="91">
        <f t="shared" si="39"/>
        <v>0</v>
      </c>
      <c r="AQ23" s="90">
        <v>0</v>
      </c>
      <c r="AR23" s="90">
        <f>0-AQ23</f>
        <v>0</v>
      </c>
      <c r="AS23" s="90">
        <f>0-AR23-AQ23</f>
        <v>0</v>
      </c>
      <c r="AT23" s="91">
        <f t="shared" si="40"/>
        <v>0</v>
      </c>
      <c r="AU23" s="90">
        <v>0</v>
      </c>
      <c r="AV23" s="90"/>
    </row>
    <row r="24" spans="2:49" x14ac:dyDescent="0.3">
      <c r="B24" s="117" t="s">
        <v>379</v>
      </c>
      <c r="C24" s="90">
        <v>523.40800000000002</v>
      </c>
      <c r="D24" s="90">
        <v>271.38799999999998</v>
      </c>
      <c r="E24" s="90">
        <v>391.95100000000002</v>
      </c>
      <c r="F24" s="90">
        <v>393.50299999999999</v>
      </c>
      <c r="G24" s="90">
        <v>2071.9639999999999</v>
      </c>
      <c r="H24" s="90">
        <v>964.19899999999996</v>
      </c>
      <c r="I24" s="90">
        <v>390.03300000000002</v>
      </c>
      <c r="J24" s="90">
        <v>262.738</v>
      </c>
      <c r="K24" s="90">
        <v>275.435</v>
      </c>
      <c r="L24" s="90">
        <v>29.978999999999999</v>
      </c>
      <c r="M24" s="91">
        <f t="shared" si="32"/>
        <v>14.762</v>
      </c>
      <c r="N24" s="90"/>
      <c r="O24" s="90">
        <v>96.117000000000004</v>
      </c>
      <c r="P24" s="90">
        <f>189.287-O24</f>
        <v>93.17</v>
      </c>
      <c r="Q24" s="90">
        <f>303.043-P24-O24</f>
        <v>113.75599999999999</v>
      </c>
      <c r="R24" s="91">
        <f t="shared" si="33"/>
        <v>88.908000000000015</v>
      </c>
      <c r="S24" s="90">
        <v>97.905000000000001</v>
      </c>
      <c r="T24" s="90">
        <f>200.636-S24</f>
        <v>102.73099999999999</v>
      </c>
      <c r="U24" s="90">
        <f>308.967-T24-S24</f>
        <v>108.33099999999999</v>
      </c>
      <c r="V24" s="91">
        <f t="shared" si="34"/>
        <v>84.536000000000001</v>
      </c>
      <c r="W24" s="90">
        <v>343.04399999999998</v>
      </c>
      <c r="X24" s="90">
        <f>912.351-W24</f>
        <v>569.30700000000002</v>
      </c>
      <c r="Y24" s="90">
        <f>1716.859-X24-W24</f>
        <v>804.50799999999992</v>
      </c>
      <c r="Z24" s="91">
        <f t="shared" si="35"/>
        <v>355.10500000000002</v>
      </c>
      <c r="AA24" s="90">
        <v>273.23599999999999</v>
      </c>
      <c r="AB24" s="90">
        <f>494.409-AA24</f>
        <v>221.173</v>
      </c>
      <c r="AC24" s="90">
        <f>736.749-AB24-AA24</f>
        <v>242.34000000000003</v>
      </c>
      <c r="AD24" s="91">
        <f t="shared" si="36"/>
        <v>227.44999999999993</v>
      </c>
      <c r="AE24" s="90">
        <v>116.913</v>
      </c>
      <c r="AF24" s="90">
        <f>232.579-AE24</f>
        <v>115.66600000000001</v>
      </c>
      <c r="AG24" s="90">
        <f>323.618-AF24-AE24</f>
        <v>91.039000000000001</v>
      </c>
      <c r="AH24" s="91">
        <f t="shared" si="37"/>
        <v>66.41500000000002</v>
      </c>
      <c r="AI24" s="90">
        <v>65.408000000000001</v>
      </c>
      <c r="AJ24" s="90">
        <f>152.147-AI24</f>
        <v>86.73899999999999</v>
      </c>
      <c r="AK24" s="90">
        <f>226.762-AJ24-AI24</f>
        <v>74.615000000000023</v>
      </c>
      <c r="AL24" s="91">
        <f t="shared" si="38"/>
        <v>35.975999999999999</v>
      </c>
      <c r="AM24" s="90">
        <v>66.759</v>
      </c>
      <c r="AN24" s="90">
        <f>128.222-AM24</f>
        <v>61.463000000000008</v>
      </c>
      <c r="AO24" s="90">
        <f>195.765-AN24-AM24</f>
        <v>67.542999999999964</v>
      </c>
      <c r="AP24" s="91">
        <f t="shared" si="39"/>
        <v>79.670000000000016</v>
      </c>
      <c r="AQ24" s="90">
        <v>8.8889999999999993</v>
      </c>
      <c r="AR24" s="90">
        <f>16.298-AQ24</f>
        <v>7.4089999999999989</v>
      </c>
      <c r="AS24" s="90">
        <f>28.422-AR24-AQ24</f>
        <v>12.124000000000002</v>
      </c>
      <c r="AT24" s="91">
        <f t="shared" si="40"/>
        <v>1.5569999999999986</v>
      </c>
      <c r="AU24" s="90">
        <v>1.081</v>
      </c>
      <c r="AV24" s="90"/>
    </row>
    <row r="25" spans="2:49" s="6" customFormat="1" x14ac:dyDescent="0.3">
      <c r="B25" s="88" t="s">
        <v>378</v>
      </c>
      <c r="C25" s="215">
        <f t="shared" ref="C25" si="41">+C26+C27</f>
        <v>0</v>
      </c>
      <c r="D25" s="215">
        <f t="shared" ref="D25:F25" si="42">+D26+D27</f>
        <v>0</v>
      </c>
      <c r="E25" s="215">
        <f t="shared" si="42"/>
        <v>0</v>
      </c>
      <c r="F25" s="215">
        <f t="shared" si="42"/>
        <v>0</v>
      </c>
      <c r="G25" s="215">
        <f t="shared" ref="G25:H25" si="43">+G26+G27</f>
        <v>1407.74</v>
      </c>
      <c r="H25" s="215">
        <f t="shared" si="43"/>
        <v>2098.1080000000002</v>
      </c>
      <c r="I25" s="215">
        <f t="shared" ref="I25:J25" si="44">+I26+I27</f>
        <v>4285.0550000000003</v>
      </c>
      <c r="J25" s="215">
        <f t="shared" si="44"/>
        <v>5041.8320000000003</v>
      </c>
      <c r="K25" s="215">
        <f t="shared" ref="K25:M25" si="45">+K26+K27</f>
        <v>2730.681</v>
      </c>
      <c r="L25" s="215">
        <f t="shared" ref="L25" si="46">+L26+L27</f>
        <v>2408.596</v>
      </c>
      <c r="M25" s="215">
        <f t="shared" si="45"/>
        <v>1572.5519999999999</v>
      </c>
      <c r="N25" s="335"/>
      <c r="O25" s="215">
        <f t="shared" ref="O25:V25" si="47">+O26+O27</f>
        <v>0</v>
      </c>
      <c r="P25" s="215">
        <f t="shared" si="47"/>
        <v>0</v>
      </c>
      <c r="Q25" s="215">
        <f t="shared" si="47"/>
        <v>0</v>
      </c>
      <c r="R25" s="215">
        <f t="shared" si="47"/>
        <v>0</v>
      </c>
      <c r="S25" s="215">
        <f t="shared" si="47"/>
        <v>66.450999999999993</v>
      </c>
      <c r="T25" s="215">
        <f t="shared" si="47"/>
        <v>-66.450999999999993</v>
      </c>
      <c r="U25" s="215">
        <f t="shared" si="47"/>
        <v>0</v>
      </c>
      <c r="V25" s="215">
        <f t="shared" si="47"/>
        <v>0</v>
      </c>
      <c r="W25" s="215">
        <f>+W26+W27</f>
        <v>364.97799999999995</v>
      </c>
      <c r="X25" s="215">
        <f>+X26+X27</f>
        <v>215.70200000000006</v>
      </c>
      <c r="Y25" s="215">
        <f>+Y26+Y27</f>
        <v>359.01900000000006</v>
      </c>
      <c r="Z25" s="215">
        <f t="shared" ref="Z25" si="48">+Z26+Z27</f>
        <v>468.04099999999994</v>
      </c>
      <c r="AA25" s="215">
        <f>+AA26+AA27</f>
        <v>248.233</v>
      </c>
      <c r="AB25" s="215">
        <f>+AB26+AB27</f>
        <v>651.25599999999997</v>
      </c>
      <c r="AC25" s="215">
        <f>+AC26+AC27</f>
        <v>580.75900000000001</v>
      </c>
      <c r="AD25" s="215">
        <f t="shared" ref="AD25" si="49">+AD26+AD27</f>
        <v>617.86000000000013</v>
      </c>
      <c r="AE25" s="215">
        <f>+AE26+AE27</f>
        <v>817.74</v>
      </c>
      <c r="AF25" s="215">
        <f>+AF26+AF27</f>
        <v>1104.345</v>
      </c>
      <c r="AG25" s="215">
        <f>+AG26+AG27</f>
        <v>996.05599999999981</v>
      </c>
      <c r="AH25" s="215">
        <f t="shared" ref="AH25" si="50">+AH26+AH27</f>
        <v>1366.9140000000002</v>
      </c>
      <c r="AI25" s="215">
        <f>+AI26+AI27</f>
        <v>1464.5269999999998</v>
      </c>
      <c r="AJ25" s="215">
        <f>+AJ26+AJ27</f>
        <v>1439.6780000000001</v>
      </c>
      <c r="AK25" s="215">
        <f>+AK26+AK27</f>
        <v>1262.3779999999999</v>
      </c>
      <c r="AL25" s="215">
        <f t="shared" ref="AL25" si="51">+AL26+AL27</f>
        <v>875.24900000000059</v>
      </c>
      <c r="AM25" s="215">
        <f>+AM26+AM27</f>
        <v>600.69999999999993</v>
      </c>
      <c r="AN25" s="215">
        <f>+AN26+AN27</f>
        <v>631.17399999999998</v>
      </c>
      <c r="AO25" s="215">
        <f>+AO26+AO27</f>
        <v>656.38599999999985</v>
      </c>
      <c r="AP25" s="215">
        <f t="shared" ref="AP25" si="52">+AP26+AP27</f>
        <v>842.42100000000028</v>
      </c>
      <c r="AQ25" s="215">
        <f>+AQ26+AQ27</f>
        <v>594.09399999999994</v>
      </c>
      <c r="AR25" s="215">
        <f>+AR26+AR27</f>
        <v>606.99699999999996</v>
      </c>
      <c r="AS25" s="215">
        <f>+AS26+AS27</f>
        <v>591.07500000000005</v>
      </c>
      <c r="AT25" s="215">
        <f t="shared" ref="AT25" si="53">+AT26+AT27</f>
        <v>616.43000000000006</v>
      </c>
      <c r="AU25" s="215">
        <f>+AU26+AU27</f>
        <v>365.04699999999997</v>
      </c>
      <c r="AV25" s="215"/>
    </row>
    <row r="26" spans="2:49" x14ac:dyDescent="0.3">
      <c r="B26" s="116" t="s">
        <v>373</v>
      </c>
      <c r="C26" s="90">
        <v>0</v>
      </c>
      <c r="D26" s="90">
        <v>0</v>
      </c>
      <c r="E26" s="90">
        <v>0</v>
      </c>
      <c r="F26" s="90">
        <v>0</v>
      </c>
      <c r="G26" s="90">
        <v>1317.1210000000001</v>
      </c>
      <c r="H26" s="90">
        <v>2028.68</v>
      </c>
      <c r="I26" s="90">
        <v>4178.5190000000002</v>
      </c>
      <c r="J26" s="90">
        <v>4930.9080000000004</v>
      </c>
      <c r="K26" s="90">
        <v>2637.8</v>
      </c>
      <c r="L26" s="90">
        <v>2326.4079999999999</v>
      </c>
      <c r="M26" s="91">
        <f>SUM(AS26:AV26)</f>
        <v>1537.0309999999999</v>
      </c>
      <c r="N26" s="90"/>
      <c r="O26" s="90">
        <v>0</v>
      </c>
      <c r="P26" s="90">
        <f>0-O26</f>
        <v>0</v>
      </c>
      <c r="Q26" s="90">
        <f>0-P26-O26</f>
        <v>0</v>
      </c>
      <c r="R26" s="91">
        <f>+E26-SUM(O26:Q26)</f>
        <v>0</v>
      </c>
      <c r="S26" s="90">
        <v>66.450999999999993</v>
      </c>
      <c r="T26" s="90">
        <f>0-S26</f>
        <v>-66.450999999999993</v>
      </c>
      <c r="U26" s="90">
        <f>0-T26-S26</f>
        <v>0</v>
      </c>
      <c r="V26" s="91">
        <f>+F26-SUM(S26:U26)</f>
        <v>0</v>
      </c>
      <c r="W26" s="90">
        <v>361.64299999999997</v>
      </c>
      <c r="X26" s="90">
        <f>576.802-W26</f>
        <v>215.15900000000005</v>
      </c>
      <c r="Y26" s="90">
        <f>935.821-X26-W26</f>
        <v>359.01900000000006</v>
      </c>
      <c r="Z26" s="91">
        <f>+G26-SUM(W26:Y26)</f>
        <v>381.29999999999995</v>
      </c>
      <c r="AA26" s="90">
        <v>224.39699999999999</v>
      </c>
      <c r="AB26" s="90">
        <f>858.523-AA26</f>
        <v>634.12599999999998</v>
      </c>
      <c r="AC26" s="90">
        <f>1410.819-AB26-AA26</f>
        <v>552.29600000000005</v>
      </c>
      <c r="AD26" s="91">
        <f>+H26-SUM(AA26:AC26)</f>
        <v>617.8610000000001</v>
      </c>
      <c r="AE26" s="90">
        <v>790.72199999999998</v>
      </c>
      <c r="AF26" s="90">
        <f>1874.707-AE26</f>
        <v>1083.9850000000001</v>
      </c>
      <c r="AG26" s="90">
        <f>2842.04-AF26-AE26</f>
        <v>967.33299999999986</v>
      </c>
      <c r="AH26" s="91">
        <f>+I26-SUM(AE26:AG26)</f>
        <v>1336.4790000000003</v>
      </c>
      <c r="AI26" s="90">
        <v>1426.5519999999999</v>
      </c>
      <c r="AJ26" s="90">
        <f>2840.569-AI26</f>
        <v>1414.0170000000001</v>
      </c>
      <c r="AK26" s="90">
        <f>4080.579-AJ26-AI26</f>
        <v>1240.01</v>
      </c>
      <c r="AL26" s="91">
        <f>+J26-SUM(AI26:AK26)</f>
        <v>850.32900000000063</v>
      </c>
      <c r="AM26" s="90">
        <v>566.60299999999995</v>
      </c>
      <c r="AN26" s="90">
        <f>1181.61-AM26</f>
        <v>615.00699999999995</v>
      </c>
      <c r="AO26" s="90">
        <f>1806.359-AN26-AM26</f>
        <v>624.74899999999991</v>
      </c>
      <c r="AP26" s="91">
        <f t="shared" ref="AP26:AP27" si="54">+K26-SUM(AM26:AO26)</f>
        <v>831.44100000000026</v>
      </c>
      <c r="AQ26" s="90">
        <v>568.09199999999998</v>
      </c>
      <c r="AR26" s="90">
        <f>1154.245-AQ26</f>
        <v>586.15299999999991</v>
      </c>
      <c r="AS26" s="90">
        <f>1725.249-AR26-AQ26</f>
        <v>571.00400000000002</v>
      </c>
      <c r="AT26" s="91">
        <f t="shared" ref="AT26:AT27" si="55">+L26-SUM(AQ26:AS26)</f>
        <v>601.15900000000011</v>
      </c>
      <c r="AU26" s="90">
        <v>364.86799999999999</v>
      </c>
      <c r="AV26" s="90"/>
      <c r="AW26" s="6"/>
    </row>
    <row r="27" spans="2:49" x14ac:dyDescent="0.3">
      <c r="B27" s="116" t="s">
        <v>379</v>
      </c>
      <c r="C27" s="90">
        <v>0</v>
      </c>
      <c r="D27" s="90">
        <v>0</v>
      </c>
      <c r="E27" s="90">
        <v>0</v>
      </c>
      <c r="F27" s="90">
        <v>0</v>
      </c>
      <c r="G27" s="90">
        <v>90.619</v>
      </c>
      <c r="H27" s="90">
        <v>69.427999999999997</v>
      </c>
      <c r="I27" s="90">
        <v>106.536</v>
      </c>
      <c r="J27" s="90">
        <v>110.92400000000001</v>
      </c>
      <c r="K27" s="90">
        <v>92.881</v>
      </c>
      <c r="L27" s="90">
        <v>82.188000000000002</v>
      </c>
      <c r="M27" s="91">
        <f>SUM(AS27:AV27)</f>
        <v>35.521000000000015</v>
      </c>
      <c r="N27" s="90"/>
      <c r="O27" s="90">
        <v>0</v>
      </c>
      <c r="P27" s="90">
        <f>0-O27</f>
        <v>0</v>
      </c>
      <c r="Q27" s="90">
        <f>0-P27-O27</f>
        <v>0</v>
      </c>
      <c r="R27" s="91">
        <f>+E27-SUM(O27:Q27)</f>
        <v>0</v>
      </c>
      <c r="S27" s="90">
        <v>0</v>
      </c>
      <c r="T27" s="90">
        <f>0-S27</f>
        <v>0</v>
      </c>
      <c r="U27" s="90">
        <f>0-T27-S27</f>
        <v>0</v>
      </c>
      <c r="V27" s="91">
        <f>+F27-SUM(S27:U27)</f>
        <v>0</v>
      </c>
      <c r="W27" s="90">
        <v>3.335</v>
      </c>
      <c r="X27" s="90">
        <f>3.878-W27</f>
        <v>0.54300000000000015</v>
      </c>
      <c r="Y27" s="90">
        <f>3.878-X27-W27</f>
        <v>0</v>
      </c>
      <c r="Z27" s="91">
        <f>+G27-SUM(W27:Y27)</f>
        <v>86.741</v>
      </c>
      <c r="AA27" s="90">
        <v>23.835999999999999</v>
      </c>
      <c r="AB27" s="90">
        <f>40.966-AA27</f>
        <v>17.130000000000003</v>
      </c>
      <c r="AC27" s="90">
        <f>69.429-AB27-AA27</f>
        <v>28.463000000000001</v>
      </c>
      <c r="AD27" s="91">
        <f>+H27-SUM(AA27:AC27)</f>
        <v>-1.0000000000047748E-3</v>
      </c>
      <c r="AE27" s="90">
        <v>27.018000000000001</v>
      </c>
      <c r="AF27" s="90">
        <f>47.378-AE27</f>
        <v>20.36</v>
      </c>
      <c r="AG27" s="90">
        <f>76.101-AF27-AE27</f>
        <v>28.722999999999999</v>
      </c>
      <c r="AH27" s="91">
        <f>+I27-SUM(AE27:AG27)</f>
        <v>30.435000000000002</v>
      </c>
      <c r="AI27" s="90">
        <v>37.975000000000001</v>
      </c>
      <c r="AJ27" s="90">
        <f>63.636-AI27</f>
        <v>25.661000000000001</v>
      </c>
      <c r="AK27" s="90">
        <f>86.004-AJ27-AI27</f>
        <v>22.368000000000002</v>
      </c>
      <c r="AL27" s="91">
        <f>+J27-SUM(AI27:AK27)</f>
        <v>24.92</v>
      </c>
      <c r="AM27" s="90">
        <v>34.097000000000001</v>
      </c>
      <c r="AN27" s="90">
        <f>50.264-AM27</f>
        <v>16.167000000000002</v>
      </c>
      <c r="AO27" s="90">
        <f>81.901-AN27-AM27</f>
        <v>31.636999999999993</v>
      </c>
      <c r="AP27" s="91">
        <f t="shared" si="54"/>
        <v>10.980000000000004</v>
      </c>
      <c r="AQ27" s="90">
        <v>26.001999999999999</v>
      </c>
      <c r="AR27" s="90">
        <f>46.846-AQ27</f>
        <v>20.843999999999998</v>
      </c>
      <c r="AS27" s="90">
        <f>66.917-AR27-AQ27</f>
        <v>20.071000000000009</v>
      </c>
      <c r="AT27" s="91">
        <f t="shared" si="55"/>
        <v>15.271000000000001</v>
      </c>
      <c r="AU27" s="90">
        <v>0.17899999999999999</v>
      </c>
      <c r="AV27" s="90"/>
      <c r="AW27" s="6"/>
    </row>
    <row r="28" spans="2:49" s="95" customFormat="1" x14ac:dyDescent="0.3">
      <c r="B28" s="93" t="s">
        <v>33</v>
      </c>
      <c r="C28" s="94">
        <f t="shared" ref="C28:G28" si="56">+C9+C17+C25</f>
        <v>126781.66</v>
      </c>
      <c r="D28" s="94">
        <f t="shared" si="56"/>
        <v>135280.73100000003</v>
      </c>
      <c r="E28" s="94">
        <f t="shared" si="56"/>
        <v>151172.80599999998</v>
      </c>
      <c r="F28" s="94">
        <f t="shared" si="56"/>
        <v>166660.337</v>
      </c>
      <c r="G28" s="94">
        <f t="shared" si="56"/>
        <v>160519.54199999999</v>
      </c>
      <c r="H28" s="94">
        <f t="shared" ref="H28:I28" si="57">+H9+H17+H25</f>
        <v>168496.45800000001</v>
      </c>
      <c r="I28" s="94">
        <f t="shared" si="57"/>
        <v>175040.723</v>
      </c>
      <c r="J28" s="94">
        <f t="shared" ref="J28:K28" si="58">+J9+J17+J25</f>
        <v>180164.45500000002</v>
      </c>
      <c r="K28" s="94">
        <f t="shared" si="58"/>
        <v>180586.06</v>
      </c>
      <c r="L28" s="94">
        <f t="shared" ref="L28" si="59">+L9+L17+L25</f>
        <v>178239.84399999998</v>
      </c>
      <c r="M28" s="94">
        <f t="shared" ref="M28" si="60">+M9+M17+M25</f>
        <v>136720.59300000002</v>
      </c>
      <c r="N28" s="94"/>
      <c r="O28" s="94">
        <f t="shared" ref="O28:W28" si="61">+O9+O17+O25</f>
        <v>36937.626000000004</v>
      </c>
      <c r="P28" s="94">
        <f t="shared" si="61"/>
        <v>37508.339</v>
      </c>
      <c r="Q28" s="94">
        <f t="shared" si="61"/>
        <v>37156.788</v>
      </c>
      <c r="R28" s="94">
        <f t="shared" si="61"/>
        <v>39570.053</v>
      </c>
      <c r="S28" s="94">
        <f t="shared" si="61"/>
        <v>40636.066999999995</v>
      </c>
      <c r="T28" s="94">
        <f t="shared" si="61"/>
        <v>40884.951000000001</v>
      </c>
      <c r="U28" s="94">
        <f t="shared" si="61"/>
        <v>41896.897000000004</v>
      </c>
      <c r="V28" s="94">
        <f t="shared" si="61"/>
        <v>43242.421999999991</v>
      </c>
      <c r="W28" s="119">
        <f t="shared" si="61"/>
        <v>41191.352000000006</v>
      </c>
      <c r="X28" s="94">
        <f>+X9+X17+X25</f>
        <v>37622.777999999991</v>
      </c>
      <c r="Y28" s="94">
        <f>+Y9+Y17+Y25</f>
        <v>40778.877000000008</v>
      </c>
      <c r="Z28" s="94">
        <f t="shared" ref="Z28:AA28" si="62">+Z9+Z17+Z25</f>
        <v>40926.534999999996</v>
      </c>
      <c r="AA28" s="119">
        <f t="shared" si="62"/>
        <v>42847.087</v>
      </c>
      <c r="AB28" s="94">
        <f>+AB9+AB17+AB25</f>
        <v>41769.415999999997</v>
      </c>
      <c r="AC28" s="94">
        <f>+AC9+AC17+AC25</f>
        <v>41744.310000000005</v>
      </c>
      <c r="AD28" s="94">
        <f t="shared" ref="AD28:AE28" si="63">+AD9+AD17+AD25</f>
        <v>42135.645000000004</v>
      </c>
      <c r="AE28" s="119">
        <f t="shared" si="63"/>
        <v>43556.875999999997</v>
      </c>
      <c r="AF28" s="94">
        <f>+AF9+AF17+AF25</f>
        <v>43764.991000000002</v>
      </c>
      <c r="AG28" s="94">
        <f>+AG9+AG17+AG25</f>
        <v>42875.272000000012</v>
      </c>
      <c r="AH28" s="94">
        <f t="shared" ref="AH28:AI28" si="64">+AH9+AH17+AH25</f>
        <v>44843.583999999995</v>
      </c>
      <c r="AI28" s="119">
        <f t="shared" si="64"/>
        <v>45030.308000000005</v>
      </c>
      <c r="AJ28" s="94">
        <f>+AJ9+AJ17+AJ25</f>
        <v>44493.97</v>
      </c>
      <c r="AK28" s="94">
        <f>+AK9+AK17+AK25</f>
        <v>44268.124999999993</v>
      </c>
      <c r="AL28" s="94">
        <f t="shared" ref="AL28:AM28" si="65">+AL9+AL17+AL25</f>
        <v>46372.052000000003</v>
      </c>
      <c r="AM28" s="119">
        <f t="shared" si="65"/>
        <v>45307.621999999996</v>
      </c>
      <c r="AN28" s="94">
        <f>+AN9+AN17+AN25</f>
        <v>44317.631000000001</v>
      </c>
      <c r="AO28" s="94">
        <f>+AO9+AO17+AO25</f>
        <v>45118.939000000006</v>
      </c>
      <c r="AP28" s="94">
        <f t="shared" ref="AP28:AQ28" si="66">+AP9+AP17+AP25</f>
        <v>45841.868000000002</v>
      </c>
      <c r="AQ28" s="119">
        <f t="shared" si="66"/>
        <v>43755.680999999997</v>
      </c>
      <c r="AR28" s="94">
        <f>+AR9+AR17+AR25</f>
        <v>43470.022000000004</v>
      </c>
      <c r="AS28" s="94">
        <f>+AS9+AS17+AS25</f>
        <v>44364.732000000011</v>
      </c>
      <c r="AT28" s="94">
        <f t="shared" ref="AT28:AU28" si="67">+AT9+AT17+AT25</f>
        <v>46649.408999999992</v>
      </c>
      <c r="AU28" s="119">
        <f t="shared" si="67"/>
        <v>45706.451999999997</v>
      </c>
      <c r="AV28" s="94"/>
      <c r="AW28" s="6"/>
    </row>
    <row r="29" spans="2:49" s="369" customFormat="1" ht="10.5" x14ac:dyDescent="0.25">
      <c r="B29" s="366" t="s">
        <v>43</v>
      </c>
      <c r="C29" s="366">
        <f>+C28-Model!C10</f>
        <v>0</v>
      </c>
      <c r="D29" s="366">
        <f>+D28-Model!D10</f>
        <v>0</v>
      </c>
      <c r="E29" s="366">
        <f>+E28-Model!E10</f>
        <v>0</v>
      </c>
      <c r="F29" s="366">
        <f>+F28-Model!F10</f>
        <v>0</v>
      </c>
      <c r="G29" s="366">
        <f>+G28-Model!G10</f>
        <v>0</v>
      </c>
      <c r="H29" s="366">
        <f>+H28-Model!H10</f>
        <v>0</v>
      </c>
      <c r="I29" s="366">
        <f>+I28-Model!I10</f>
        <v>0</v>
      </c>
      <c r="J29" s="366">
        <f>+J28-Model!J10</f>
        <v>0</v>
      </c>
      <c r="K29" s="366">
        <f>+K28-Model!K10</f>
        <v>0</v>
      </c>
      <c r="L29" s="366">
        <f>+L28-Model!L10</f>
        <v>0</v>
      </c>
      <c r="M29" s="366">
        <f>+M28-Model!M10</f>
        <v>136720.59300000002</v>
      </c>
      <c r="N29" s="366"/>
      <c r="O29" s="366">
        <f>+O28-Model!O10</f>
        <v>0</v>
      </c>
      <c r="P29" s="366">
        <f>+P28-Model!P10</f>
        <v>0</v>
      </c>
      <c r="Q29" s="366">
        <f>+Q28-Model!Q10</f>
        <v>0</v>
      </c>
      <c r="R29" s="366">
        <f>+R28-Model!R10</f>
        <v>0</v>
      </c>
      <c r="S29" s="366">
        <f>+S28-Model!S10</f>
        <v>0</v>
      </c>
      <c r="T29" s="366">
        <f>+T28-Model!T10</f>
        <v>0</v>
      </c>
      <c r="U29" s="366">
        <f>+U28-Model!U10</f>
        <v>0</v>
      </c>
      <c r="V29" s="366">
        <f>+V28-Model!V10</f>
        <v>0</v>
      </c>
      <c r="W29" s="370">
        <f>+W28-Model!W10</f>
        <v>0</v>
      </c>
      <c r="X29" s="366">
        <f>+X28-Model!X10</f>
        <v>0</v>
      </c>
      <c r="Y29" s="366">
        <f>+Y28-Model!Y10</f>
        <v>0</v>
      </c>
      <c r="Z29" s="366">
        <f>+Z28-Model!Z10</f>
        <v>0</v>
      </c>
      <c r="AA29" s="370">
        <f>+AA28-Model!AA10</f>
        <v>0</v>
      </c>
      <c r="AB29" s="366">
        <f>+AB28-Model!AB10</f>
        <v>206.75200000000041</v>
      </c>
      <c r="AC29" s="366">
        <f>+AC28-Model!AC10</f>
        <v>0</v>
      </c>
      <c r="AD29" s="366">
        <f>+AD28-Model!AD10</f>
        <v>-206.75200000000768</v>
      </c>
      <c r="AE29" s="370">
        <f>+AE28-Model!AE10</f>
        <v>0</v>
      </c>
      <c r="AF29" s="366">
        <f>+AF28-Model!AF10</f>
        <v>0</v>
      </c>
      <c r="AG29" s="366">
        <f>+AG28-Model!AG10</f>
        <v>0</v>
      </c>
      <c r="AH29" s="366">
        <f>+AH28-Model!AH10</f>
        <v>0</v>
      </c>
      <c r="AI29" s="370">
        <f>+AI28-Model!AI10</f>
        <v>0</v>
      </c>
      <c r="AJ29" s="366">
        <f>+AJ28-Model!AJ10</f>
        <v>0</v>
      </c>
      <c r="AK29" s="366">
        <f>+AK28-Model!AK10</f>
        <v>0</v>
      </c>
      <c r="AL29" s="366">
        <f>+AL28-Model!AL10</f>
        <v>0</v>
      </c>
      <c r="AM29" s="370">
        <f>+AM28-Model!AM10</f>
        <v>0</v>
      </c>
      <c r="AN29" s="366">
        <f>+AN28-Model!AN10</f>
        <v>0</v>
      </c>
      <c r="AO29" s="366">
        <f>+AO28-Model!AO10</f>
        <v>0</v>
      </c>
      <c r="AP29" s="366">
        <f>+AP28-Model!AP10</f>
        <v>0</v>
      </c>
      <c r="AQ29" s="370">
        <f>+AQ28-Model!AQ10</f>
        <v>0</v>
      </c>
      <c r="AR29" s="366">
        <f>+AR28-Model!AR10</f>
        <v>0</v>
      </c>
      <c r="AS29" s="366">
        <f>+AS28-Model!AS10</f>
        <v>0</v>
      </c>
      <c r="AT29" s="366">
        <f>+AT28-Model!AT10</f>
        <v>0</v>
      </c>
      <c r="AU29" s="370">
        <f>+AU28-Model!AU10</f>
        <v>0</v>
      </c>
      <c r="AV29" s="366"/>
    </row>
    <row r="30" spans="2:49" x14ac:dyDescent="0.3">
      <c r="B30" s="88"/>
      <c r="C30" s="9"/>
      <c r="D30" s="9"/>
      <c r="E30" s="9"/>
      <c r="F30" s="9"/>
      <c r="G30" s="9"/>
      <c r="H30" s="9"/>
      <c r="I30" s="9"/>
      <c r="J30" s="9"/>
      <c r="K30" s="9"/>
      <c r="L30" s="9"/>
      <c r="M30" s="96"/>
      <c r="N30" s="9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</row>
    <row r="31" spans="2:49" x14ac:dyDescent="0.3">
      <c r="B31" s="88" t="s">
        <v>381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87"/>
      <c r="P31" s="87"/>
      <c r="Q31" s="9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</row>
    <row r="32" spans="2:49" x14ac:dyDescent="0.3">
      <c r="B32" s="89" t="str">
        <f>+B9</f>
        <v>Mobile Communications</v>
      </c>
      <c r="C32" s="98">
        <f t="shared" ref="C32:M32" si="68">+C9/C$28</f>
        <v>0.77239534487874661</v>
      </c>
      <c r="D32" s="98">
        <f t="shared" si="68"/>
        <v>0.78049660302323465</v>
      </c>
      <c r="E32" s="98">
        <f t="shared" si="68"/>
        <v>0.77683464445318307</v>
      </c>
      <c r="F32" s="98">
        <f t="shared" si="68"/>
        <v>0.77417482361145107</v>
      </c>
      <c r="G32" s="98">
        <f t="shared" si="68"/>
        <v>0.71693568624809556</v>
      </c>
      <c r="H32" s="98">
        <f t="shared" si="68"/>
        <v>0.70976115118099381</v>
      </c>
      <c r="I32" s="98">
        <f t="shared" si="68"/>
        <v>0.70889127897397919</v>
      </c>
      <c r="J32" s="98">
        <f t="shared" si="68"/>
        <v>0.72063748645647108</v>
      </c>
      <c r="K32" s="98">
        <f t="shared" si="68"/>
        <v>0.73048187108130047</v>
      </c>
      <c r="L32" s="98">
        <f t="shared" si="68"/>
        <v>0.72879056716409607</v>
      </c>
      <c r="M32" s="98">
        <f t="shared" si="68"/>
        <v>0.72818277638687534</v>
      </c>
      <c r="N32" s="99"/>
      <c r="O32" s="98">
        <f t="shared" ref="O32:AU32" si="69">+O9/O$28</f>
        <v>0.78803694639173605</v>
      </c>
      <c r="P32" s="98">
        <f t="shared" si="69"/>
        <v>0.78427069244521863</v>
      </c>
      <c r="Q32" s="98">
        <f t="shared" si="69"/>
        <v>0.76764993787945279</v>
      </c>
      <c r="R32" s="98">
        <f t="shared" si="69"/>
        <v>0.76795353294068125</v>
      </c>
      <c r="S32" s="98">
        <f t="shared" si="69"/>
        <v>0.77315080713888973</v>
      </c>
      <c r="T32" s="98">
        <f t="shared" si="69"/>
        <v>0.77437370537633754</v>
      </c>
      <c r="U32" s="98">
        <f t="shared" si="69"/>
        <v>0.77370283531976125</v>
      </c>
      <c r="V32" s="98">
        <f t="shared" si="69"/>
        <v>0.77540638218645563</v>
      </c>
      <c r="W32" s="98">
        <f t="shared" si="69"/>
        <v>0.74666951936901693</v>
      </c>
      <c r="X32" s="98">
        <f t="shared" si="69"/>
        <v>0.70572802997163042</v>
      </c>
      <c r="Y32" s="98">
        <f t="shared" si="69"/>
        <v>0.70552764363766074</v>
      </c>
      <c r="Z32" s="98">
        <f t="shared" si="69"/>
        <v>0.70867927128451014</v>
      </c>
      <c r="AA32" s="98">
        <f t="shared" si="69"/>
        <v>0.72474483504561227</v>
      </c>
      <c r="AB32" s="98">
        <f t="shared" si="69"/>
        <v>0.71179798156622542</v>
      </c>
      <c r="AC32" s="98">
        <f t="shared" si="69"/>
        <v>0.69067645386880272</v>
      </c>
      <c r="AD32" s="98">
        <f t="shared" si="69"/>
        <v>0.71141279550841097</v>
      </c>
      <c r="AE32" s="98">
        <f t="shared" si="69"/>
        <v>0.71509474187267241</v>
      </c>
      <c r="AF32" s="98">
        <f t="shared" si="69"/>
        <v>0.70972474323141066</v>
      </c>
      <c r="AG32" s="98">
        <f t="shared" si="69"/>
        <v>0.70484464798264146</v>
      </c>
      <c r="AH32" s="98">
        <f t="shared" si="69"/>
        <v>0.70592140895785671</v>
      </c>
      <c r="AI32" s="98">
        <f t="shared" si="69"/>
        <v>0.71146342148048369</v>
      </c>
      <c r="AJ32" s="98">
        <f t="shared" si="69"/>
        <v>0.71229308151194426</v>
      </c>
      <c r="AK32" s="98">
        <f t="shared" si="69"/>
        <v>0.71986396532493757</v>
      </c>
      <c r="AL32" s="98">
        <f t="shared" si="69"/>
        <v>0.73829098613104283</v>
      </c>
      <c r="AM32" s="98">
        <f t="shared" si="69"/>
        <v>0.73242764760419343</v>
      </c>
      <c r="AN32" s="98">
        <f t="shared" si="69"/>
        <v>0.73172846265180569</v>
      </c>
      <c r="AO32" s="98">
        <f t="shared" si="69"/>
        <v>0.72143121539272026</v>
      </c>
      <c r="AP32" s="98">
        <f t="shared" si="69"/>
        <v>0.73626155461204146</v>
      </c>
      <c r="AQ32" s="98">
        <f t="shared" si="69"/>
        <v>0.73502720709569125</v>
      </c>
      <c r="AR32" s="98">
        <f t="shared" si="69"/>
        <v>0.7335124422067234</v>
      </c>
      <c r="AS32" s="98">
        <f t="shared" si="69"/>
        <v>0.72003642442830496</v>
      </c>
      <c r="AT32" s="98">
        <f t="shared" si="69"/>
        <v>0.72686614314878017</v>
      </c>
      <c r="AU32" s="98">
        <f t="shared" si="69"/>
        <v>0.73743378724736719</v>
      </c>
      <c r="AV32" s="98"/>
    </row>
    <row r="33" spans="2:48" x14ac:dyDescent="0.3">
      <c r="B33" s="89" t="str">
        <f>+B17</f>
        <v>Wireline Communications</v>
      </c>
      <c r="C33" s="98">
        <f t="shared" ref="C33:M33" si="70">+C17/C$28</f>
        <v>0.22760465512125333</v>
      </c>
      <c r="D33" s="98">
        <f t="shared" si="70"/>
        <v>0.21950339697676527</v>
      </c>
      <c r="E33" s="98">
        <f t="shared" si="70"/>
        <v>0.22316535554681707</v>
      </c>
      <c r="F33" s="98">
        <f t="shared" si="70"/>
        <v>0.22582517638854888</v>
      </c>
      <c r="G33" s="98">
        <f t="shared" si="70"/>
        <v>0.2742944158163621</v>
      </c>
      <c r="H33" s="98">
        <f t="shared" si="70"/>
        <v>0.27778690754437108</v>
      </c>
      <c r="I33" s="98">
        <f t="shared" si="70"/>
        <v>0.26662838909777586</v>
      </c>
      <c r="J33" s="98">
        <f t="shared" si="70"/>
        <v>0.25137790359369161</v>
      </c>
      <c r="K33" s="98">
        <f t="shared" si="70"/>
        <v>0.25439691192110842</v>
      </c>
      <c r="L33" s="98">
        <f t="shared" si="70"/>
        <v>0.25769620287594058</v>
      </c>
      <c r="M33" s="98">
        <f t="shared" si="70"/>
        <v>0.26031528403332777</v>
      </c>
      <c r="N33" s="99"/>
      <c r="O33" s="98">
        <f t="shared" ref="O33:AU33" si="71">+O17/O$28</f>
        <v>0.21196305360826381</v>
      </c>
      <c r="P33" s="98">
        <f t="shared" si="71"/>
        <v>0.21572930755478137</v>
      </c>
      <c r="Q33" s="98">
        <f t="shared" si="71"/>
        <v>0.23235006212054707</v>
      </c>
      <c r="R33" s="98">
        <f t="shared" si="71"/>
        <v>0.23204646705931878</v>
      </c>
      <c r="S33" s="98">
        <f t="shared" si="71"/>
        <v>0.22521392141616467</v>
      </c>
      <c r="T33" s="98">
        <f t="shared" si="71"/>
        <v>0.22725161147924572</v>
      </c>
      <c r="U33" s="98">
        <f t="shared" si="71"/>
        <v>0.22629716468023875</v>
      </c>
      <c r="V33" s="98">
        <f t="shared" si="71"/>
        <v>0.22459361781354431</v>
      </c>
      <c r="W33" s="98">
        <f t="shared" si="71"/>
        <v>0.24446993145551521</v>
      </c>
      <c r="X33" s="98">
        <f t="shared" si="71"/>
        <v>0.28853868791932386</v>
      </c>
      <c r="Y33" s="98">
        <f t="shared" si="71"/>
        <v>0.28566831303373058</v>
      </c>
      <c r="Z33" s="98">
        <f t="shared" si="71"/>
        <v>0.27988460298434753</v>
      </c>
      <c r="AA33" s="98">
        <f t="shared" si="71"/>
        <v>0.26946170226227983</v>
      </c>
      <c r="AB33" s="98">
        <f t="shared" si="71"/>
        <v>0.2726103233044963</v>
      </c>
      <c r="AC33" s="98">
        <f t="shared" si="71"/>
        <v>0.29541125485125996</v>
      </c>
      <c r="AD33" s="98">
        <f t="shared" si="71"/>
        <v>0.27392361028293266</v>
      </c>
      <c r="AE33" s="98">
        <f t="shared" si="71"/>
        <v>0.26613118443113326</v>
      </c>
      <c r="AF33" s="98">
        <f t="shared" si="71"/>
        <v>0.26504173164344985</v>
      </c>
      <c r="AG33" s="98">
        <f t="shared" si="71"/>
        <v>0.27192387257624856</v>
      </c>
      <c r="AH33" s="98">
        <f t="shared" si="71"/>
        <v>0.26359677228296474</v>
      </c>
      <c r="AI33" s="98">
        <f t="shared" si="71"/>
        <v>0.25601343877106053</v>
      </c>
      <c r="AJ33" s="98">
        <f t="shared" si="71"/>
        <v>0.25535021936680408</v>
      </c>
      <c r="AK33" s="98">
        <f t="shared" si="71"/>
        <v>0.25161939883381101</v>
      </c>
      <c r="AL33" s="98">
        <f t="shared" si="71"/>
        <v>0.24283452024076915</v>
      </c>
      <c r="AM33" s="98">
        <f t="shared" si="71"/>
        <v>0.25431409752646039</v>
      </c>
      <c r="AN33" s="98">
        <f t="shared" si="71"/>
        <v>0.25402948546595366</v>
      </c>
      <c r="AO33" s="98">
        <f t="shared" si="71"/>
        <v>0.26402088045554434</v>
      </c>
      <c r="AP33" s="98">
        <f t="shared" si="71"/>
        <v>0.24536177277941645</v>
      </c>
      <c r="AQ33" s="98">
        <f t="shared" si="71"/>
        <v>0.2513952645371923</v>
      </c>
      <c r="AR33" s="98">
        <f t="shared" si="71"/>
        <v>0.25252398077921379</v>
      </c>
      <c r="AS33" s="98">
        <f t="shared" si="71"/>
        <v>0.26664049272291324</v>
      </c>
      <c r="AT33" s="98">
        <f t="shared" si="71"/>
        <v>0.259919755896586</v>
      </c>
      <c r="AU33" s="98">
        <f t="shared" si="71"/>
        <v>0.25457944099445745</v>
      </c>
      <c r="AV33" s="98"/>
    </row>
    <row r="34" spans="2:48" x14ac:dyDescent="0.3">
      <c r="B34" s="89" t="str">
        <f>+B25</f>
        <v>Other</v>
      </c>
      <c r="C34" s="98">
        <f t="shared" ref="C34:M34" si="72">+C25/C$28</f>
        <v>0</v>
      </c>
      <c r="D34" s="98">
        <f t="shared" si="72"/>
        <v>0</v>
      </c>
      <c r="E34" s="98">
        <f t="shared" si="72"/>
        <v>0</v>
      </c>
      <c r="F34" s="98">
        <f t="shared" si="72"/>
        <v>0</v>
      </c>
      <c r="G34" s="98">
        <f t="shared" si="72"/>
        <v>8.7698979355423281E-3</v>
      </c>
      <c r="H34" s="98">
        <f t="shared" si="72"/>
        <v>1.2451941274634984E-2</v>
      </c>
      <c r="I34" s="98">
        <f t="shared" si="72"/>
        <v>2.4480331928245065E-2</v>
      </c>
      <c r="J34" s="98">
        <f t="shared" si="72"/>
        <v>2.798460994983722E-2</v>
      </c>
      <c r="K34" s="98">
        <f t="shared" si="72"/>
        <v>1.5121216997591065E-2</v>
      </c>
      <c r="L34" s="98">
        <f t="shared" si="72"/>
        <v>1.3513229959963386E-2</v>
      </c>
      <c r="M34" s="98">
        <f t="shared" si="72"/>
        <v>1.1501939579796876E-2</v>
      </c>
      <c r="N34" s="99"/>
      <c r="O34" s="98">
        <f t="shared" ref="O34:AU34" si="73">+O25/O$28</f>
        <v>0</v>
      </c>
      <c r="P34" s="98">
        <f t="shared" si="73"/>
        <v>0</v>
      </c>
      <c r="Q34" s="98">
        <f t="shared" si="73"/>
        <v>0</v>
      </c>
      <c r="R34" s="98">
        <f t="shared" si="73"/>
        <v>0</v>
      </c>
      <c r="S34" s="98">
        <f t="shared" si="73"/>
        <v>1.6352714449456931E-3</v>
      </c>
      <c r="T34" s="98">
        <f t="shared" si="73"/>
        <v>-1.625316855583366E-3</v>
      </c>
      <c r="U34" s="98">
        <f t="shared" si="73"/>
        <v>0</v>
      </c>
      <c r="V34" s="98">
        <f t="shared" si="73"/>
        <v>0</v>
      </c>
      <c r="W34" s="98">
        <f t="shared" si="73"/>
        <v>8.8605491754677017E-3</v>
      </c>
      <c r="X34" s="98">
        <f t="shared" si="73"/>
        <v>5.7332821090457517E-3</v>
      </c>
      <c r="Y34" s="98">
        <f t="shared" si="73"/>
        <v>8.804043328608584E-3</v>
      </c>
      <c r="Z34" s="98">
        <f t="shared" si="73"/>
        <v>1.1436125731142398E-2</v>
      </c>
      <c r="AA34" s="98">
        <f t="shared" si="73"/>
        <v>5.7934626921078676E-3</v>
      </c>
      <c r="AB34" s="98">
        <f t="shared" si="73"/>
        <v>1.5591695129278322E-2</v>
      </c>
      <c r="AC34" s="98">
        <f t="shared" si="73"/>
        <v>1.3912291279937313E-2</v>
      </c>
      <c r="AD34" s="98">
        <f t="shared" si="73"/>
        <v>1.4663594208656355E-2</v>
      </c>
      <c r="AE34" s="98">
        <f t="shared" si="73"/>
        <v>1.8774073696194375E-2</v>
      </c>
      <c r="AF34" s="98">
        <f t="shared" si="73"/>
        <v>2.5233525125139405E-2</v>
      </c>
      <c r="AG34" s="98">
        <f t="shared" si="73"/>
        <v>2.3231479441110005E-2</v>
      </c>
      <c r="AH34" s="98">
        <f t="shared" si="73"/>
        <v>3.0481818759178578E-2</v>
      </c>
      <c r="AI34" s="98">
        <f t="shared" si="73"/>
        <v>3.252313974845563E-2</v>
      </c>
      <c r="AJ34" s="98">
        <f t="shared" si="73"/>
        <v>3.2356699121251713E-2</v>
      </c>
      <c r="AK34" s="98">
        <f t="shared" si="73"/>
        <v>2.8516635841251466E-2</v>
      </c>
      <c r="AL34" s="98">
        <f t="shared" si="73"/>
        <v>1.8874493628187956E-2</v>
      </c>
      <c r="AM34" s="98">
        <f t="shared" si="73"/>
        <v>1.3258254869346266E-2</v>
      </c>
      <c r="AN34" s="98">
        <f t="shared" si="73"/>
        <v>1.4242051882240727E-2</v>
      </c>
      <c r="AO34" s="98">
        <f t="shared" si="73"/>
        <v>1.4547904151735477E-2</v>
      </c>
      <c r="AP34" s="98">
        <f t="shared" si="73"/>
        <v>1.8376672608542047E-2</v>
      </c>
      <c r="AQ34" s="98">
        <f t="shared" si="73"/>
        <v>1.3577528367116488E-2</v>
      </c>
      <c r="AR34" s="98">
        <f t="shared" si="73"/>
        <v>1.39635770140627E-2</v>
      </c>
      <c r="AS34" s="98">
        <f t="shared" si="73"/>
        <v>1.3323082848781774E-2</v>
      </c>
      <c r="AT34" s="98">
        <f t="shared" si="73"/>
        <v>1.3214100954633748E-2</v>
      </c>
      <c r="AU34" s="98">
        <f t="shared" si="73"/>
        <v>7.9867717581754098E-3</v>
      </c>
      <c r="AV34" s="98"/>
    </row>
    <row r="35" spans="2:48" s="95" customFormat="1" x14ac:dyDescent="0.3">
      <c r="B35" s="93" t="s">
        <v>33</v>
      </c>
      <c r="C35" s="100">
        <f t="shared" ref="C35:G35" si="74">+C32+C33+C34</f>
        <v>1</v>
      </c>
      <c r="D35" s="100">
        <f t="shared" si="74"/>
        <v>0.99999999999999989</v>
      </c>
      <c r="E35" s="100">
        <f t="shared" si="74"/>
        <v>1.0000000000000002</v>
      </c>
      <c r="F35" s="100">
        <f t="shared" si="74"/>
        <v>1</v>
      </c>
      <c r="G35" s="100">
        <f t="shared" si="74"/>
        <v>0.99999999999999989</v>
      </c>
      <c r="H35" s="100">
        <f t="shared" ref="H35:I35" si="75">+H32+H33+H34</f>
        <v>0.99999999999999989</v>
      </c>
      <c r="I35" s="100">
        <f t="shared" si="75"/>
        <v>1.0000000000000002</v>
      </c>
      <c r="J35" s="100">
        <f t="shared" ref="J35:K35" si="76">+J32+J33+J34</f>
        <v>0.99999999999999989</v>
      </c>
      <c r="K35" s="100">
        <f t="shared" si="76"/>
        <v>0.99999999999999989</v>
      </c>
      <c r="L35" s="100">
        <f t="shared" ref="L35" si="77">+L32+L33+L34</f>
        <v>1</v>
      </c>
      <c r="M35" s="100">
        <f t="shared" ref="M35" si="78">+M32+M33+M34</f>
        <v>1</v>
      </c>
      <c r="N35" s="100"/>
      <c r="O35" s="100">
        <f t="shared" ref="O35:W35" si="79">+O32+O33+O34</f>
        <v>0.99999999999999989</v>
      </c>
      <c r="P35" s="100">
        <f t="shared" si="79"/>
        <v>1</v>
      </c>
      <c r="Q35" s="100">
        <f t="shared" si="79"/>
        <v>0.99999999999999989</v>
      </c>
      <c r="R35" s="100">
        <f t="shared" si="79"/>
        <v>1</v>
      </c>
      <c r="S35" s="100">
        <f t="shared" si="79"/>
        <v>1.0000000000000002</v>
      </c>
      <c r="T35" s="100">
        <f t="shared" si="79"/>
        <v>1</v>
      </c>
      <c r="U35" s="100">
        <f t="shared" si="79"/>
        <v>1</v>
      </c>
      <c r="V35" s="100">
        <f t="shared" si="79"/>
        <v>1</v>
      </c>
      <c r="W35" s="100">
        <f t="shared" si="79"/>
        <v>0.99999999999999989</v>
      </c>
      <c r="X35" s="100">
        <f t="shared" ref="X35:AA35" si="80">+X32+X33+X34</f>
        <v>1</v>
      </c>
      <c r="Y35" s="100">
        <f t="shared" si="80"/>
        <v>0.99999999999999989</v>
      </c>
      <c r="Z35" s="100">
        <f t="shared" si="80"/>
        <v>1</v>
      </c>
      <c r="AA35" s="100">
        <f t="shared" si="80"/>
        <v>1</v>
      </c>
      <c r="AB35" s="100">
        <f t="shared" ref="AB35:AE35" si="81">+AB32+AB33+AB34</f>
        <v>1</v>
      </c>
      <c r="AC35" s="100">
        <f t="shared" si="81"/>
        <v>1</v>
      </c>
      <c r="AD35" s="100">
        <f t="shared" si="81"/>
        <v>1</v>
      </c>
      <c r="AE35" s="100">
        <f t="shared" si="81"/>
        <v>1</v>
      </c>
      <c r="AF35" s="100">
        <f t="shared" ref="AF35:AI35" si="82">+AF32+AF33+AF34</f>
        <v>1</v>
      </c>
      <c r="AG35" s="100">
        <f t="shared" si="82"/>
        <v>1</v>
      </c>
      <c r="AH35" s="100">
        <f t="shared" si="82"/>
        <v>1</v>
      </c>
      <c r="AI35" s="100">
        <f t="shared" si="82"/>
        <v>0.99999999999999989</v>
      </c>
      <c r="AJ35" s="100">
        <f t="shared" ref="AJ35:AM35" si="83">+AJ32+AJ33+AJ34</f>
        <v>1</v>
      </c>
      <c r="AK35" s="100">
        <f t="shared" si="83"/>
        <v>1</v>
      </c>
      <c r="AL35" s="100">
        <f t="shared" si="83"/>
        <v>0.99999999999999989</v>
      </c>
      <c r="AM35" s="100">
        <f t="shared" si="83"/>
        <v>1</v>
      </c>
      <c r="AN35" s="100">
        <f t="shared" ref="AN35:AQ35" si="84">+AN32+AN33+AN34</f>
        <v>1.0000000000000002</v>
      </c>
      <c r="AO35" s="100">
        <f t="shared" si="84"/>
        <v>1.0000000000000002</v>
      </c>
      <c r="AP35" s="100">
        <f t="shared" si="84"/>
        <v>0.99999999999999989</v>
      </c>
      <c r="AQ35" s="100">
        <f t="shared" si="84"/>
        <v>1</v>
      </c>
      <c r="AR35" s="100">
        <f t="shared" ref="AR35:AU35" si="85">+AR32+AR33+AR34</f>
        <v>0.99999999999999989</v>
      </c>
      <c r="AS35" s="100">
        <f t="shared" si="85"/>
        <v>1</v>
      </c>
      <c r="AT35" s="100">
        <f t="shared" si="85"/>
        <v>0.99999999999999989</v>
      </c>
      <c r="AU35" s="100">
        <f t="shared" si="85"/>
        <v>1</v>
      </c>
      <c r="AV35" s="100"/>
    </row>
    <row r="36" spans="2:48" s="95" customFormat="1" x14ac:dyDescent="0.3">
      <c r="B36" s="93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</row>
    <row r="37" spans="2:48" x14ac:dyDescent="0.3">
      <c r="B37" s="88" t="s">
        <v>382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</row>
    <row r="38" spans="2:48" x14ac:dyDescent="0.3">
      <c r="B38" s="89" t="str">
        <f>+B9</f>
        <v>Mobile Communications</v>
      </c>
      <c r="C38" s="90">
        <v>41260.57</v>
      </c>
      <c r="D38" s="90">
        <v>46412.953999999998</v>
      </c>
      <c r="E38" s="90">
        <v>54813.430999999997</v>
      </c>
      <c r="F38" s="90">
        <v>63935.267999999996</v>
      </c>
      <c r="G38" s="90">
        <v>60240.7</v>
      </c>
      <c r="H38" s="228">
        <v>59309.36</v>
      </c>
      <c r="I38" s="228">
        <v>61719.758000000002</v>
      </c>
      <c r="J38" s="247">
        <v>65524.817999999999</v>
      </c>
      <c r="K38" s="247">
        <v>69890.995999999999</v>
      </c>
      <c r="L38" s="247">
        <v>70461.476999999999</v>
      </c>
      <c r="M38" s="91">
        <f>SUM(AS38:AV38)</f>
        <v>53941.614000000001</v>
      </c>
      <c r="N38" s="247"/>
      <c r="O38" s="90">
        <v>13579.419</v>
      </c>
      <c r="P38" s="90">
        <f>27789.635-O38</f>
        <v>14210.215999999999</v>
      </c>
      <c r="Q38" s="90">
        <f>41332.447-P38-O38</f>
        <v>13542.812</v>
      </c>
      <c r="R38" s="91">
        <f>+E38-SUM(O38:Q38)</f>
        <v>13480.983999999997</v>
      </c>
      <c r="S38" s="90">
        <v>16660.983</v>
      </c>
      <c r="T38" s="90">
        <f>32159.321-S38</f>
        <v>15498.338</v>
      </c>
      <c r="U38" s="90">
        <f>48552.366-T38-S38</f>
        <v>16393.045000000006</v>
      </c>
      <c r="V38" s="91">
        <f>+F38-SUM(S38:U38)</f>
        <v>15382.901999999987</v>
      </c>
      <c r="W38" s="90">
        <v>16589.830000000002</v>
      </c>
      <c r="X38" s="90">
        <f>31252.085-W38</f>
        <v>14662.254999999997</v>
      </c>
      <c r="Y38" s="90">
        <f>45350.726-X38-W38</f>
        <v>14098.641000000003</v>
      </c>
      <c r="Z38" s="91">
        <f>+G38-SUM(W38:Y38)</f>
        <v>14889.973999999995</v>
      </c>
      <c r="AA38" s="90">
        <v>14522.763999999999</v>
      </c>
      <c r="AB38" s="90">
        <f>29535.182-AA38</f>
        <v>15012.418000000001</v>
      </c>
      <c r="AC38" s="90">
        <f>44459.084-AB38-AA38</f>
        <v>14923.902000000002</v>
      </c>
      <c r="AD38" s="91">
        <f>+H38-SUM(AA38:AC38)</f>
        <v>14850.275999999998</v>
      </c>
      <c r="AE38" s="90">
        <v>15862.441999999999</v>
      </c>
      <c r="AF38" s="90">
        <f>32215.336-AE38</f>
        <v>16352.894</v>
      </c>
      <c r="AG38" s="90">
        <f>47440.573-AF38-AE38</f>
        <v>15225.236999999997</v>
      </c>
      <c r="AH38" s="91">
        <f>+I38-SUM(AE38:AG38)</f>
        <v>14279.185000000005</v>
      </c>
      <c r="AI38" s="90">
        <v>16292.543</v>
      </c>
      <c r="AJ38" s="90">
        <f>31923.786-AI38</f>
        <v>15631.243</v>
      </c>
      <c r="AK38" s="90">
        <f>48253.42-AJ38-AI38</f>
        <v>16329.633999999996</v>
      </c>
      <c r="AL38" s="91">
        <f>+J38-SUM(AI38:AK38)</f>
        <v>17271.398000000001</v>
      </c>
      <c r="AM38" s="90">
        <v>17299.438999999998</v>
      </c>
      <c r="AN38" s="90">
        <f>34366.037-AM38</f>
        <v>17066.597999999998</v>
      </c>
      <c r="AO38" s="90">
        <f>52118.708-AN38-AM38</f>
        <v>17752.671000000002</v>
      </c>
      <c r="AP38" s="91">
        <f>+K38-SUM(AM38:AO38)</f>
        <v>17772.288</v>
      </c>
      <c r="AQ38" s="90">
        <v>17017.294999999998</v>
      </c>
      <c r="AR38" s="90">
        <f>34333.017-AQ38</f>
        <v>17315.722000000002</v>
      </c>
      <c r="AS38" s="90">
        <f>51992.777-AR38-AQ38</f>
        <v>17659.760000000002</v>
      </c>
      <c r="AT38" s="91">
        <f t="shared" ref="AT38:AT40" si="86">+L38-SUM(AQ38:AS38)</f>
        <v>18468.699999999997</v>
      </c>
      <c r="AU38" s="90">
        <v>17813.153999999999</v>
      </c>
      <c r="AV38" s="90"/>
    </row>
    <row r="39" spans="2:48" x14ac:dyDescent="0.3">
      <c r="B39" s="89" t="str">
        <f>+B17</f>
        <v>Wireline Communications</v>
      </c>
      <c r="C39" s="90">
        <v>8717.8259999999991</v>
      </c>
      <c r="D39" s="90">
        <v>6912.7169999999996</v>
      </c>
      <c r="E39" s="90">
        <v>10313.683999999999</v>
      </c>
      <c r="F39" s="90">
        <v>12096.165000000001</v>
      </c>
      <c r="G39" s="90">
        <v>12656.74</v>
      </c>
      <c r="H39" s="228">
        <v>15186.191000000001</v>
      </c>
      <c r="I39" s="228">
        <v>14899.934999999999</v>
      </c>
      <c r="J39" s="247">
        <v>14476.633</v>
      </c>
      <c r="K39" s="247">
        <v>16917.109</v>
      </c>
      <c r="L39" s="247">
        <v>17243.440999999999</v>
      </c>
      <c r="M39" s="91">
        <f t="shared" ref="M39:M40" si="87">SUM(AS39:AV39)</f>
        <v>13883.329999999998</v>
      </c>
      <c r="N39" s="198"/>
      <c r="O39" s="90">
        <v>2500.2600000000002</v>
      </c>
      <c r="P39" s="90">
        <f>5029.46-O39</f>
        <v>2529.1999999999998</v>
      </c>
      <c r="Q39" s="90">
        <f>7962.486-P39-O39</f>
        <v>2933.0259999999998</v>
      </c>
      <c r="R39" s="91">
        <f>+E39-SUM(O39:Q39)</f>
        <v>2351.1979999999994</v>
      </c>
      <c r="S39" s="90">
        <v>3249.8850000000002</v>
      </c>
      <c r="T39" s="90">
        <f>6422.383-S39</f>
        <v>3172.4979999999996</v>
      </c>
      <c r="U39" s="90">
        <f>9304.352-T39-S39</f>
        <v>2881.969000000001</v>
      </c>
      <c r="V39" s="91">
        <f>+F39-SUM(S39:U39)</f>
        <v>2791.8130000000001</v>
      </c>
      <c r="W39" s="90">
        <v>3700.4070000000002</v>
      </c>
      <c r="X39" s="90">
        <f>6815.261-W39</f>
        <v>3114.8540000000003</v>
      </c>
      <c r="Y39" s="90">
        <f>10384.365-X39-W39</f>
        <v>3569.1039999999994</v>
      </c>
      <c r="Z39" s="91">
        <f>+G39-SUM(W39:Y39)</f>
        <v>2272.375</v>
      </c>
      <c r="AA39" s="90">
        <v>3723.78</v>
      </c>
      <c r="AB39" s="90">
        <f>7708.406-AA39</f>
        <v>3984.6259999999997</v>
      </c>
      <c r="AC39" s="90">
        <f>12157.581-AB39-AA39</f>
        <v>4449.1749999999993</v>
      </c>
      <c r="AD39" s="91">
        <f>+H39-SUM(AA39:AC39)</f>
        <v>3028.6100000000024</v>
      </c>
      <c r="AE39" s="90">
        <v>3161.7359999999999</v>
      </c>
      <c r="AF39" s="90">
        <f>7231.738-AE39</f>
        <v>4070.0020000000004</v>
      </c>
      <c r="AG39" s="90">
        <f>10773.869-AF39-AE39</f>
        <v>3542.1310000000003</v>
      </c>
      <c r="AH39" s="91">
        <f>+I39-SUM(AE39:AG39)</f>
        <v>4126.0659999999989</v>
      </c>
      <c r="AI39" s="90">
        <v>3975.913</v>
      </c>
      <c r="AJ39" s="90">
        <f>7696.001-AI39</f>
        <v>3720.0880000000002</v>
      </c>
      <c r="AK39" s="90">
        <f>11202.875-AJ39-AI39</f>
        <v>3506.8740000000003</v>
      </c>
      <c r="AL39" s="91">
        <f>+J39-SUM(AI39:AK39)</f>
        <v>3273.7579999999998</v>
      </c>
      <c r="AM39" s="90">
        <v>4017.31</v>
      </c>
      <c r="AN39" s="90">
        <f>8419.744-AM39</f>
        <v>4402.4340000000011</v>
      </c>
      <c r="AO39" s="90">
        <f>12223.931-AN39-AM39</f>
        <v>3804.1869999999994</v>
      </c>
      <c r="AP39" s="91">
        <f t="shared" ref="AP39:AP40" si="88">+K39-SUM(AM39:AO39)</f>
        <v>4693.1779999999999</v>
      </c>
      <c r="AQ39" s="90">
        <v>3747.4740000000002</v>
      </c>
      <c r="AR39" s="90">
        <f>7871.053-AQ39</f>
        <v>4123.5789999999997</v>
      </c>
      <c r="AS39" s="90">
        <f>12286.115-AR39-AQ39</f>
        <v>4415.0619999999999</v>
      </c>
      <c r="AT39" s="91">
        <f t="shared" si="86"/>
        <v>4957.3259999999991</v>
      </c>
      <c r="AU39" s="90">
        <v>4510.942</v>
      </c>
      <c r="AV39" s="90"/>
    </row>
    <row r="40" spans="2:48" x14ac:dyDescent="0.3">
      <c r="B40" s="89" t="str">
        <f>+B25</f>
        <v>Other</v>
      </c>
      <c r="C40" s="92">
        <v>0</v>
      </c>
      <c r="D40" s="92">
        <v>0</v>
      </c>
      <c r="E40" s="90">
        <v>0</v>
      </c>
      <c r="F40" s="92">
        <v>0</v>
      </c>
      <c r="G40" s="92">
        <v>614.91499999999996</v>
      </c>
      <c r="H40" s="229">
        <v>426.33</v>
      </c>
      <c r="I40" s="229">
        <v>2472.326</v>
      </c>
      <c r="J40" s="247">
        <v>1425.2950000000001</v>
      </c>
      <c r="K40" s="247">
        <v>5.5709999999999997</v>
      </c>
      <c r="L40" s="247">
        <v>-80.602000000000004</v>
      </c>
      <c r="M40" s="91">
        <f t="shared" si="87"/>
        <v>-166.51900000000001</v>
      </c>
      <c r="N40" s="198"/>
      <c r="O40" s="92">
        <v>0</v>
      </c>
      <c r="P40" s="92">
        <v>0</v>
      </c>
      <c r="Q40" s="90">
        <v>0</v>
      </c>
      <c r="R40" s="91">
        <f>+E40-SUM(O40:Q40)</f>
        <v>0</v>
      </c>
      <c r="S40" s="92">
        <v>8.4849999999999994</v>
      </c>
      <c r="T40" s="92">
        <f>0-S40</f>
        <v>-8.4849999999999994</v>
      </c>
      <c r="U40" s="92">
        <v>0</v>
      </c>
      <c r="V40" s="91">
        <f>+F40-SUM(S40:U40)</f>
        <v>0</v>
      </c>
      <c r="W40" s="90">
        <v>185.441</v>
      </c>
      <c r="X40" s="206">
        <f>320.207-W40</f>
        <v>134.76599999999999</v>
      </c>
      <c r="Y40" s="208">
        <f>519.427-X40-W40</f>
        <v>199.22000000000006</v>
      </c>
      <c r="Z40" s="91">
        <f>+G40-SUM(W40:Y40)</f>
        <v>95.487999999999943</v>
      </c>
      <c r="AA40" s="90">
        <v>41.386000000000003</v>
      </c>
      <c r="AB40" s="217">
        <f>128.816-AA40</f>
        <v>87.43</v>
      </c>
      <c r="AC40" s="208">
        <f>298.435-AB40-AA40</f>
        <v>169.619</v>
      </c>
      <c r="AD40" s="91">
        <f>+H40-SUM(AA40:AC40)</f>
        <v>127.89499999999998</v>
      </c>
      <c r="AE40" s="90">
        <v>656.16200000000003</v>
      </c>
      <c r="AF40" s="217">
        <f>1098.649-AE40</f>
        <v>442.48699999999985</v>
      </c>
      <c r="AG40" s="208">
        <f>2103.096-AF40-AE40</f>
        <v>1004.4470000000001</v>
      </c>
      <c r="AH40" s="91">
        <f>+I40-SUM(AE40:AG40)</f>
        <v>369.23</v>
      </c>
      <c r="AI40" s="90">
        <v>259.64400000000001</v>
      </c>
      <c r="AJ40" s="217">
        <f>873.288-AI40</f>
        <v>613.64400000000001</v>
      </c>
      <c r="AK40" s="208">
        <f>1240.144-AJ40-AI40</f>
        <v>366.85599999999999</v>
      </c>
      <c r="AL40" s="91">
        <f>+J40-SUM(AI40:AK40)</f>
        <v>185.15100000000007</v>
      </c>
      <c r="AM40" s="90">
        <v>34.042999999999999</v>
      </c>
      <c r="AN40" s="217">
        <f>177.779-AM40</f>
        <v>143.73599999999999</v>
      </c>
      <c r="AO40" s="208">
        <f>522.019-AN40-AM40</f>
        <v>344.24</v>
      </c>
      <c r="AP40" s="91">
        <f t="shared" si="88"/>
        <v>-516.44799999999998</v>
      </c>
      <c r="AQ40" s="90">
        <v>-2.0550000000000002</v>
      </c>
      <c r="AR40" s="217">
        <f>-64.313-AQ40</f>
        <v>-62.258000000000003</v>
      </c>
      <c r="AS40" s="208">
        <f>-93.44-AR40-AQ40</f>
        <v>-29.126999999999995</v>
      </c>
      <c r="AT40" s="91">
        <f t="shared" si="86"/>
        <v>12.837999999999994</v>
      </c>
      <c r="AU40" s="90">
        <v>-150.22999999999999</v>
      </c>
      <c r="AV40" s="217"/>
    </row>
    <row r="41" spans="2:48" s="95" customFormat="1" x14ac:dyDescent="0.3">
      <c r="B41" s="93" t="s">
        <v>33</v>
      </c>
      <c r="C41" s="94">
        <f>+C38+C39+C40</f>
        <v>49978.396000000001</v>
      </c>
      <c r="D41" s="94">
        <f t="shared" ref="D41:F41" si="89">+D38+D39+D40</f>
        <v>53325.670999999995</v>
      </c>
      <c r="E41" s="94">
        <f t="shared" si="89"/>
        <v>65127.114999999998</v>
      </c>
      <c r="F41" s="94">
        <f t="shared" si="89"/>
        <v>76031.43299999999</v>
      </c>
      <c r="G41" s="94">
        <f t="shared" ref="G41:H41" si="90">+G38+G39+G40</f>
        <v>73512.354999999996</v>
      </c>
      <c r="H41" s="94">
        <f t="shared" si="90"/>
        <v>74921.881000000008</v>
      </c>
      <c r="I41" s="94">
        <f t="shared" ref="I41:J41" si="91">+I38+I39+I40</f>
        <v>79092.019</v>
      </c>
      <c r="J41" s="94">
        <f t="shared" si="91"/>
        <v>81426.745999999999</v>
      </c>
      <c r="K41" s="94">
        <f t="shared" ref="K41:L41" si="92">+K38+K39+K40</f>
        <v>86813.675999999992</v>
      </c>
      <c r="L41" s="94">
        <f t="shared" si="92"/>
        <v>87624.316000000006</v>
      </c>
      <c r="M41" s="94">
        <f t="shared" ref="M41" si="93">+M38+M39+M40</f>
        <v>67658.425000000003</v>
      </c>
      <c r="N41" s="198"/>
      <c r="O41" s="94">
        <f t="shared" ref="O41:W41" si="94">+O38+O39+O40</f>
        <v>16079.679</v>
      </c>
      <c r="P41" s="94">
        <f t="shared" si="94"/>
        <v>16739.415999999997</v>
      </c>
      <c r="Q41" s="94">
        <f t="shared" si="94"/>
        <v>16475.838</v>
      </c>
      <c r="R41" s="94">
        <f t="shared" si="94"/>
        <v>15832.181999999997</v>
      </c>
      <c r="S41" s="94">
        <f t="shared" si="94"/>
        <v>19919.353000000003</v>
      </c>
      <c r="T41" s="94">
        <f t="shared" si="94"/>
        <v>18662.350999999999</v>
      </c>
      <c r="U41" s="94">
        <f t="shared" si="94"/>
        <v>19275.014000000006</v>
      </c>
      <c r="V41" s="94">
        <f t="shared" si="94"/>
        <v>18174.714999999989</v>
      </c>
      <c r="W41" s="94">
        <f t="shared" si="94"/>
        <v>20475.678</v>
      </c>
      <c r="X41" s="94">
        <f>+X38+X39+X40</f>
        <v>17911.874999999996</v>
      </c>
      <c r="Y41" s="94">
        <f>+Y38+Y39+Y40</f>
        <v>17866.965000000004</v>
      </c>
      <c r="Z41" s="94">
        <f t="shared" ref="Z41:AA41" si="95">+Z38+Z39+Z40</f>
        <v>17257.836999999996</v>
      </c>
      <c r="AA41" s="94">
        <f t="shared" si="95"/>
        <v>18287.929999999997</v>
      </c>
      <c r="AB41" s="94">
        <f>+AB38+AB39+AB40</f>
        <v>19084.474000000002</v>
      </c>
      <c r="AC41" s="94">
        <f>+AC38+AC39+AC40</f>
        <v>19542.696</v>
      </c>
      <c r="AD41" s="94">
        <f t="shared" ref="AD41:AE41" si="96">+AD38+AD39+AD40</f>
        <v>18006.780999999999</v>
      </c>
      <c r="AE41" s="94">
        <f t="shared" si="96"/>
        <v>19680.34</v>
      </c>
      <c r="AF41" s="94">
        <f>+AF38+AF39+AF40</f>
        <v>20865.383000000002</v>
      </c>
      <c r="AG41" s="94">
        <f>+AG38+AG39+AG40</f>
        <v>19771.814999999999</v>
      </c>
      <c r="AH41" s="94">
        <f t="shared" ref="AH41:AI41" si="97">+AH38+AH39+AH40</f>
        <v>18774.481000000003</v>
      </c>
      <c r="AI41" s="94">
        <f t="shared" si="97"/>
        <v>20528.099999999999</v>
      </c>
      <c r="AJ41" s="94">
        <f>+AJ38+AJ39+AJ40</f>
        <v>19964.975000000002</v>
      </c>
      <c r="AK41" s="94">
        <f>+AK38+AK39+AK40</f>
        <v>20203.363999999998</v>
      </c>
      <c r="AL41" s="94">
        <f t="shared" ref="AL41" si="98">+AL38+AL39+AL40</f>
        <v>20730.307000000004</v>
      </c>
      <c r="AM41" s="94">
        <f>+AM38+AM39+AM40</f>
        <v>21350.792000000001</v>
      </c>
      <c r="AN41" s="94">
        <f>+AN38+AN39+AN40</f>
        <v>21612.768</v>
      </c>
      <c r="AO41" s="94">
        <f>+AO38+AO39+AO40</f>
        <v>21901.098000000002</v>
      </c>
      <c r="AP41" s="94">
        <f t="shared" ref="AP41" si="99">+AP38+AP39+AP40</f>
        <v>21949.018</v>
      </c>
      <c r="AQ41" s="94">
        <f>+AQ38+AQ39+AQ40</f>
        <v>20762.714</v>
      </c>
      <c r="AR41" s="94">
        <f>+AR38+AR39+AR40</f>
        <v>21377.042999999998</v>
      </c>
      <c r="AS41" s="94">
        <f>+AS38+AS39+AS40</f>
        <v>22045.695</v>
      </c>
      <c r="AT41" s="94">
        <f t="shared" ref="AT41" si="100">+AT38+AT39+AT40</f>
        <v>23438.863999999998</v>
      </c>
      <c r="AU41" s="94">
        <f>+AU38+AU39+AU40</f>
        <v>22173.865999999998</v>
      </c>
      <c r="AV41" s="94"/>
    </row>
    <row r="42" spans="2:48" s="369" customFormat="1" ht="10.5" x14ac:dyDescent="0.25">
      <c r="B42" s="366" t="s">
        <v>43</v>
      </c>
      <c r="C42" s="366">
        <f>+C41-Model!C56</f>
        <v>0</v>
      </c>
      <c r="D42" s="366">
        <f>+D41-Model!D56</f>
        <v>0</v>
      </c>
      <c r="E42" s="366">
        <f>+E41-Model!E56</f>
        <v>0</v>
      </c>
      <c r="F42" s="366">
        <f>+F41-Model!F56</f>
        <v>0</v>
      </c>
      <c r="G42" s="366">
        <f>+G41-Model!G56</f>
        <v>0</v>
      </c>
      <c r="H42" s="366">
        <f>+H41-Model!H56</f>
        <v>0</v>
      </c>
      <c r="I42" s="366">
        <f>+I41-Model!I56</f>
        <v>0</v>
      </c>
      <c r="J42" s="366">
        <f>+J41-Model!J56</f>
        <v>0</v>
      </c>
      <c r="K42" s="366">
        <f>+K41-Model!K56</f>
        <v>0</v>
      </c>
      <c r="L42" s="366">
        <f>+L41-Model!L56</f>
        <v>0</v>
      </c>
      <c r="M42" s="367">
        <f>+M41-Model!M56</f>
        <v>67658.425000000003</v>
      </c>
      <c r="N42" s="366"/>
      <c r="O42" s="366">
        <f>+O41-Model!O56</f>
        <v>0</v>
      </c>
      <c r="P42" s="366">
        <f>+P41-Model!P56</f>
        <v>0</v>
      </c>
      <c r="Q42" s="366">
        <f>+Q41-Model!Q56</f>
        <v>0</v>
      </c>
      <c r="R42" s="366">
        <f>+R41-Model!R56</f>
        <v>0</v>
      </c>
      <c r="S42" s="366">
        <f>+S41-Model!S56</f>
        <v>0</v>
      </c>
      <c r="T42" s="366">
        <f>+T41-Model!T56</f>
        <v>0</v>
      </c>
      <c r="U42" s="366">
        <f>+U41-Model!U56</f>
        <v>0</v>
      </c>
      <c r="V42" s="366">
        <f>+V41-Model!V56</f>
        <v>0</v>
      </c>
      <c r="W42" s="366">
        <f>+W41-Model!W56</f>
        <v>0</v>
      </c>
      <c r="X42" s="366">
        <f>+X41-Model!X56</f>
        <v>0</v>
      </c>
      <c r="Y42" s="366">
        <f>+Y41-Model!Y56</f>
        <v>0</v>
      </c>
      <c r="Z42" s="366">
        <f>+Z41-Model!Z56</f>
        <v>0</v>
      </c>
      <c r="AA42" s="366">
        <f>+AA41-Model!AA56</f>
        <v>0</v>
      </c>
      <c r="AB42" s="366">
        <f>+AB41-Model!AB56</f>
        <v>0</v>
      </c>
      <c r="AC42" s="366">
        <f>+AC41-Model!AC56</f>
        <v>0</v>
      </c>
      <c r="AD42" s="366">
        <f>+AD41-Model!AD56</f>
        <v>0</v>
      </c>
      <c r="AE42" s="366">
        <f>+AE41-Model!AE56</f>
        <v>0</v>
      </c>
      <c r="AF42" s="366">
        <f>+AF41-Model!AF56</f>
        <v>9.822542779147625E-11</v>
      </c>
      <c r="AG42" s="366">
        <f>+AG41-Model!AG56</f>
        <v>-1.0186340659856796E-10</v>
      </c>
      <c r="AH42" s="366">
        <f>+AH41-Model!AH56</f>
        <v>0</v>
      </c>
      <c r="AI42" s="366">
        <f>+AI41-Model!AI56</f>
        <v>0</v>
      </c>
      <c r="AJ42" s="367">
        <f>+AJ41-Model!AJ56</f>
        <v>-2.4999999997817213E-2</v>
      </c>
      <c r="AK42" s="367">
        <f>+AK41-Model!AK56</f>
        <v>2.4999999997817213E-2</v>
      </c>
      <c r="AL42" s="367">
        <f>+AL41-Model!AL56</f>
        <v>0</v>
      </c>
      <c r="AM42" s="367">
        <f>+AM41-Model!AM56</f>
        <v>0</v>
      </c>
      <c r="AN42" s="367">
        <f>+AN41-Model!AN56</f>
        <v>-0.2319999999999709</v>
      </c>
      <c r="AO42" s="367">
        <f>+AO41-Model!AO56</f>
        <v>0.2319999999999709</v>
      </c>
      <c r="AP42" s="366">
        <f>+AP41-Model!AP56</f>
        <v>0</v>
      </c>
      <c r="AQ42" s="366">
        <f>+AQ41-Model!AQ56</f>
        <v>0</v>
      </c>
      <c r="AR42" s="368">
        <f>+AR41-Model!AR56</f>
        <v>0</v>
      </c>
      <c r="AS42" s="367">
        <f>+AS41-Model!AS56</f>
        <v>0</v>
      </c>
      <c r="AT42" s="366">
        <f>+AT41-Model!AT56</f>
        <v>0</v>
      </c>
      <c r="AU42" s="366">
        <f>+AU41-Model!AU56</f>
        <v>0</v>
      </c>
      <c r="AV42" s="368"/>
    </row>
    <row r="43" spans="2:48" s="95" customFormat="1" x14ac:dyDescent="0.3">
      <c r="B43" s="93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</row>
    <row r="44" spans="2:48" x14ac:dyDescent="0.3">
      <c r="B44" s="88" t="s">
        <v>275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</row>
    <row r="45" spans="2:48" x14ac:dyDescent="0.3">
      <c r="B45" s="89" t="str">
        <f>+B38</f>
        <v>Mobile Communications</v>
      </c>
      <c r="C45" s="98">
        <f t="shared" ref="C45:M45" si="101">+C38/C9</f>
        <v>0.42134625847036222</v>
      </c>
      <c r="D45" s="98">
        <f t="shared" si="101"/>
        <v>0.4395742581808858</v>
      </c>
      <c r="E45" s="98">
        <f t="shared" si="101"/>
        <v>0.46675043067826238</v>
      </c>
      <c r="F45" s="98">
        <f t="shared" si="101"/>
        <v>0.49552913070123406</v>
      </c>
      <c r="G45" s="98">
        <f t="shared" si="101"/>
        <v>0.52345806981007348</v>
      </c>
      <c r="H45" s="98">
        <f t="shared" si="101"/>
        <v>0.49592983625024506</v>
      </c>
      <c r="I45" s="98">
        <f t="shared" si="101"/>
        <v>0.49739965821127446</v>
      </c>
      <c r="J45" s="98">
        <f t="shared" si="101"/>
        <v>0.50468437748539929</v>
      </c>
      <c r="K45" s="98">
        <f t="shared" si="101"/>
        <v>0.52981904394185575</v>
      </c>
      <c r="L45" s="98">
        <f t="shared" si="101"/>
        <v>0.54243063120858259</v>
      </c>
      <c r="M45" s="98">
        <f t="shared" si="101"/>
        <v>0.54181322465036585</v>
      </c>
      <c r="N45" s="99"/>
      <c r="O45" s="98">
        <f t="shared" ref="O45:AU45" si="102">+O38/O9</f>
        <v>0.46651501875037749</v>
      </c>
      <c r="P45" s="98">
        <f t="shared" si="102"/>
        <v>0.48306643327082571</v>
      </c>
      <c r="Q45" s="98">
        <f t="shared" si="102"/>
        <v>0.47479645313045715</v>
      </c>
      <c r="R45" s="98">
        <f t="shared" si="102"/>
        <v>0.44362909233597159</v>
      </c>
      <c r="S45" s="98">
        <f t="shared" si="102"/>
        <v>0.53030380095263174</v>
      </c>
      <c r="T45" s="98">
        <f t="shared" si="102"/>
        <v>0.48952068606195576</v>
      </c>
      <c r="U45" s="98">
        <f t="shared" si="102"/>
        <v>0.50571237782327294</v>
      </c>
      <c r="V45" s="98">
        <f t="shared" si="102"/>
        <v>0.45877409936341423</v>
      </c>
      <c r="W45" s="98">
        <f t="shared" si="102"/>
        <v>0.53939568271594984</v>
      </c>
      <c r="X45" s="98">
        <f t="shared" si="102"/>
        <v>0.55222052099680141</v>
      </c>
      <c r="Y45" s="98">
        <f t="shared" si="102"/>
        <v>0.49003596550300871</v>
      </c>
      <c r="Z45" s="98">
        <f t="shared" si="102"/>
        <v>0.51338033891918999</v>
      </c>
      <c r="AA45" s="98">
        <f t="shared" si="102"/>
        <v>0.46767359440032036</v>
      </c>
      <c r="AB45" s="98">
        <f t="shared" si="102"/>
        <v>0.504935020520066</v>
      </c>
      <c r="AC45" s="98">
        <f t="shared" si="102"/>
        <v>0.51761928802809898</v>
      </c>
      <c r="AD45" s="98">
        <f t="shared" si="102"/>
        <v>0.49540821829262005</v>
      </c>
      <c r="AE45" s="98">
        <f t="shared" si="102"/>
        <v>0.50927192934551324</v>
      </c>
      <c r="AF45" s="98">
        <f t="shared" si="102"/>
        <v>0.52647509519705626</v>
      </c>
      <c r="AG45" s="98">
        <f t="shared" si="102"/>
        <v>0.50380650081272871</v>
      </c>
      <c r="AH45" s="98">
        <f t="shared" si="102"/>
        <v>0.4510729166870685</v>
      </c>
      <c r="AI45" s="98">
        <f t="shared" si="102"/>
        <v>0.50854733388774753</v>
      </c>
      <c r="AJ45" s="98">
        <f t="shared" si="102"/>
        <v>0.49321199579197089</v>
      </c>
      <c r="AK45" s="98">
        <f t="shared" si="102"/>
        <v>0.51243040298580711</v>
      </c>
      <c r="AL45" s="98">
        <f t="shared" si="102"/>
        <v>0.50447960320677021</v>
      </c>
      <c r="AM45" s="98">
        <f t="shared" si="102"/>
        <v>0.5213099588046306</v>
      </c>
      <c r="AN45" s="98">
        <f t="shared" si="102"/>
        <v>0.5262843713388653</v>
      </c>
      <c r="AO45" s="98">
        <f t="shared" si="102"/>
        <v>0.54539342310254135</v>
      </c>
      <c r="AP45" s="98">
        <f t="shared" si="102"/>
        <v>0.52656127019737287</v>
      </c>
      <c r="AQ45" s="98">
        <f t="shared" si="102"/>
        <v>0.52911815749556856</v>
      </c>
      <c r="AR45" s="98">
        <f t="shared" si="102"/>
        <v>0.54305430360509677</v>
      </c>
      <c r="AS45" s="98">
        <f t="shared" si="102"/>
        <v>0.55283110188656004</v>
      </c>
      <c r="AT45" s="98">
        <f t="shared" si="102"/>
        <v>0.54467286597367537</v>
      </c>
      <c r="AU45" s="98">
        <f t="shared" si="102"/>
        <v>0.52849426689699919</v>
      </c>
      <c r="AV45" s="98"/>
    </row>
    <row r="46" spans="2:48" x14ac:dyDescent="0.3">
      <c r="B46" s="89" t="str">
        <f>+B39</f>
        <v>Wireline Communications</v>
      </c>
      <c r="C46" s="98">
        <f t="shared" ref="C46:M46" si="103">+C39/C17</f>
        <v>0.30211384104072841</v>
      </c>
      <c r="D46" s="98">
        <f t="shared" si="103"/>
        <v>0.23279389706808445</v>
      </c>
      <c r="E46" s="98">
        <f t="shared" si="103"/>
        <v>0.30571262316729464</v>
      </c>
      <c r="F46" s="98">
        <f t="shared" si="103"/>
        <v>0.32139793974402242</v>
      </c>
      <c r="G46" s="98">
        <f t="shared" si="103"/>
        <v>0.2874597083680997</v>
      </c>
      <c r="H46" s="98">
        <f t="shared" si="103"/>
        <v>0.32444890207710059</v>
      </c>
      <c r="I46" s="98">
        <f t="shared" si="103"/>
        <v>0.31925586660926036</v>
      </c>
      <c r="J46" s="98">
        <f t="shared" si="103"/>
        <v>0.31964752959762321</v>
      </c>
      <c r="K46" s="98">
        <f t="shared" si="103"/>
        <v>0.3682392604213412</v>
      </c>
      <c r="L46" s="98">
        <f t="shared" si="103"/>
        <v>0.37541456906990944</v>
      </c>
      <c r="M46" s="98">
        <f t="shared" si="103"/>
        <v>0.3900857139806565</v>
      </c>
      <c r="N46" s="99"/>
      <c r="O46" s="98">
        <f t="shared" ref="O46:AU46" si="104">+O39/O17</f>
        <v>0.3193419889003159</v>
      </c>
      <c r="P46" s="98">
        <f t="shared" si="104"/>
        <v>0.31256920716274356</v>
      </c>
      <c r="Q46" s="98">
        <f t="shared" si="104"/>
        <v>0.33973082622777501</v>
      </c>
      <c r="R46" s="98">
        <f t="shared" si="104"/>
        <v>0.25606346092627486</v>
      </c>
      <c r="S46" s="98">
        <f t="shared" si="104"/>
        <v>0.35510852063330001</v>
      </c>
      <c r="T46" s="98">
        <f t="shared" si="104"/>
        <v>0.34145297724043611</v>
      </c>
      <c r="U46" s="98">
        <f t="shared" si="104"/>
        <v>0.3039683270455934</v>
      </c>
      <c r="V46" s="98">
        <f t="shared" si="104"/>
        <v>0.28746098114780405</v>
      </c>
      <c r="W46" s="98">
        <f t="shared" si="104"/>
        <v>0.36746670596472886</v>
      </c>
      <c r="X46" s="98">
        <f t="shared" si="104"/>
        <v>0.28693450871147286</v>
      </c>
      <c r="Y46" s="98">
        <f t="shared" si="104"/>
        <v>0.30638102954932739</v>
      </c>
      <c r="Z46" s="98">
        <f t="shared" si="104"/>
        <v>0.19837914666870132</v>
      </c>
      <c r="AA46" s="98">
        <f t="shared" si="104"/>
        <v>0.32252669382206228</v>
      </c>
      <c r="AB46" s="98">
        <f t="shared" si="104"/>
        <v>0.34993458199837812</v>
      </c>
      <c r="AC46" s="98">
        <f t="shared" si="104"/>
        <v>0.36079055841191571</v>
      </c>
      <c r="AD46" s="98">
        <f t="shared" si="104"/>
        <v>0.26240024647485871</v>
      </c>
      <c r="AE46" s="98">
        <f t="shared" si="104"/>
        <v>0.27275524694390701</v>
      </c>
      <c r="AF46" s="98">
        <f t="shared" si="104"/>
        <v>0.35087588319166557</v>
      </c>
      <c r="AG46" s="98">
        <f t="shared" si="104"/>
        <v>0.30381582682966785</v>
      </c>
      <c r="AH46" s="98">
        <f t="shared" si="104"/>
        <v>0.34905653034898992</v>
      </c>
      <c r="AI46" s="98">
        <f t="shared" si="104"/>
        <v>0.34488093887389398</v>
      </c>
      <c r="AJ46" s="98">
        <f t="shared" si="104"/>
        <v>0.32742800384982856</v>
      </c>
      <c r="AK46" s="98">
        <f t="shared" si="104"/>
        <v>0.3148363828910668</v>
      </c>
      <c r="AL46" s="98">
        <f t="shared" si="104"/>
        <v>0.29072329648109113</v>
      </c>
      <c r="AM46" s="98">
        <f t="shared" si="104"/>
        <v>0.34865318905395043</v>
      </c>
      <c r="AN46" s="98">
        <f t="shared" si="104"/>
        <v>0.39104990813187274</v>
      </c>
      <c r="AO46" s="98">
        <f t="shared" si="104"/>
        <v>0.31934836995109778</v>
      </c>
      <c r="AP46" s="98">
        <f t="shared" si="104"/>
        <v>0.41725141587159553</v>
      </c>
      <c r="AQ46" s="98">
        <f t="shared" si="104"/>
        <v>0.3406803527027481</v>
      </c>
      <c r="AR46" s="98">
        <f t="shared" si="104"/>
        <v>0.37564864993632718</v>
      </c>
      <c r="AS46" s="98">
        <f t="shared" si="104"/>
        <v>0.37322681710722594</v>
      </c>
      <c r="AT46" s="98">
        <f t="shared" si="104"/>
        <v>0.40884815576412004</v>
      </c>
      <c r="AU46" s="98">
        <f t="shared" si="104"/>
        <v>0.38767375823989209</v>
      </c>
      <c r="AV46" s="98"/>
    </row>
    <row r="47" spans="2:48" x14ac:dyDescent="0.3">
      <c r="B47" s="89" t="str">
        <f>+B40</f>
        <v>Other</v>
      </c>
      <c r="C47" s="168"/>
      <c r="D47" s="168"/>
      <c r="E47" s="168"/>
      <c r="F47" s="168"/>
      <c r="G47" s="98">
        <f t="shared" ref="G47:M47" si="105">+G40/G25</f>
        <v>0.43681006435847525</v>
      </c>
      <c r="H47" s="98">
        <f t="shared" si="105"/>
        <v>0.203197356856749</v>
      </c>
      <c r="I47" s="98">
        <f t="shared" si="105"/>
        <v>0.57696482308861841</v>
      </c>
      <c r="J47" s="98">
        <f t="shared" si="105"/>
        <v>0.28269387000598195</v>
      </c>
      <c r="K47" s="98">
        <f t="shared" si="105"/>
        <v>2.0401504240151083E-3</v>
      </c>
      <c r="L47" s="98">
        <f t="shared" si="105"/>
        <v>-3.3464308667788205E-2</v>
      </c>
      <c r="M47" s="98">
        <f t="shared" si="105"/>
        <v>-0.10589093397229472</v>
      </c>
      <c r="N47" s="99"/>
      <c r="O47" s="168"/>
      <c r="P47" s="168"/>
      <c r="Q47" s="168"/>
      <c r="R47" s="168"/>
      <c r="S47" s="98">
        <f>+S40/S25</f>
        <v>0.12768807090939188</v>
      </c>
      <c r="T47" s="98">
        <f>+T40/T25</f>
        <v>0.12768807090939188</v>
      </c>
      <c r="U47" s="168"/>
      <c r="V47" s="168"/>
      <c r="W47" s="98">
        <f t="shared" ref="W47:AU47" si="106">+W40/W25</f>
        <v>0.50808815873833502</v>
      </c>
      <c r="X47" s="98">
        <f t="shared" si="106"/>
        <v>0.62477862977626519</v>
      </c>
      <c r="Y47" s="98">
        <f t="shared" si="106"/>
        <v>0.55490099409780547</v>
      </c>
      <c r="Z47" s="98">
        <f t="shared" si="106"/>
        <v>0.20401631481002724</v>
      </c>
      <c r="AA47" s="98">
        <f t="shared" si="106"/>
        <v>0.16672239387994345</v>
      </c>
      <c r="AB47" s="98">
        <f t="shared" si="106"/>
        <v>0.13424828331715946</v>
      </c>
      <c r="AC47" s="98">
        <f t="shared" si="106"/>
        <v>0.29206435027266042</v>
      </c>
      <c r="AD47" s="98">
        <f t="shared" si="106"/>
        <v>0.20699673065095645</v>
      </c>
      <c r="AE47" s="98">
        <f t="shared" si="106"/>
        <v>0.80240907868026512</v>
      </c>
      <c r="AF47" s="98">
        <f t="shared" si="106"/>
        <v>0.4006782300820847</v>
      </c>
      <c r="AG47" s="98">
        <f t="shared" si="106"/>
        <v>1.0084242251439681</v>
      </c>
      <c r="AH47" s="98">
        <f t="shared" si="106"/>
        <v>0.27011940765841885</v>
      </c>
      <c r="AI47" s="98">
        <f t="shared" si="106"/>
        <v>0.17728863994996338</v>
      </c>
      <c r="AJ47" s="98">
        <f t="shared" si="106"/>
        <v>0.42623697799091181</v>
      </c>
      <c r="AK47" s="98">
        <f t="shared" si="106"/>
        <v>0.29060709232892207</v>
      </c>
      <c r="AL47" s="98">
        <f t="shared" si="106"/>
        <v>0.21154094434840823</v>
      </c>
      <c r="AM47" s="98">
        <f t="shared" si="106"/>
        <v>5.6672215748293661E-2</v>
      </c>
      <c r="AN47" s="98">
        <f t="shared" si="106"/>
        <v>0.22772801161011066</v>
      </c>
      <c r="AO47" s="98">
        <f t="shared" si="106"/>
        <v>0.52444750497420733</v>
      </c>
      <c r="AP47" s="98">
        <f t="shared" si="106"/>
        <v>-0.61305214376184802</v>
      </c>
      <c r="AQ47" s="98">
        <f t="shared" si="106"/>
        <v>-3.45904856807172E-3</v>
      </c>
      <c r="AR47" s="98">
        <f t="shared" si="106"/>
        <v>-0.10256722850360052</v>
      </c>
      <c r="AS47" s="98">
        <f t="shared" si="106"/>
        <v>-4.9278010404770957E-2</v>
      </c>
      <c r="AT47" s="98">
        <f t="shared" si="106"/>
        <v>2.0826371201920726E-2</v>
      </c>
      <c r="AU47" s="98">
        <f t="shared" si="106"/>
        <v>-0.41153604878275951</v>
      </c>
      <c r="AV47" s="98"/>
    </row>
    <row r="48" spans="2:48" s="95" customFormat="1" x14ac:dyDescent="0.3">
      <c r="B48" s="93" t="s">
        <v>33</v>
      </c>
      <c r="C48" s="100">
        <f t="shared" ref="C48:M48" si="107">+C41/C28</f>
        <v>0.39420840522201711</v>
      </c>
      <c r="D48" s="100">
        <f t="shared" si="107"/>
        <v>0.39418526648854363</v>
      </c>
      <c r="E48" s="100">
        <f t="shared" si="107"/>
        <v>0.43081237110859744</v>
      </c>
      <c r="F48" s="100">
        <f t="shared" si="107"/>
        <v>0.45620592378857361</v>
      </c>
      <c r="G48" s="100">
        <f t="shared" si="107"/>
        <v>0.45796514296059981</v>
      </c>
      <c r="H48" s="100">
        <f t="shared" si="107"/>
        <v>0.4446495902008813</v>
      </c>
      <c r="I48" s="100">
        <f t="shared" si="107"/>
        <v>0.45184924767478252</v>
      </c>
      <c r="J48" s="100">
        <f t="shared" si="107"/>
        <v>0.45195788481140742</v>
      </c>
      <c r="K48" s="100">
        <f t="shared" si="107"/>
        <v>0.48073298680972382</v>
      </c>
      <c r="L48" s="100">
        <f t="shared" si="107"/>
        <v>0.49160902542082574</v>
      </c>
      <c r="M48" s="100">
        <f t="shared" si="107"/>
        <v>0.49486638051664966</v>
      </c>
      <c r="N48" s="100"/>
      <c r="O48" s="100">
        <f t="shared" ref="O48:AU48" si="108">+O41/O28</f>
        <v>0.43531977393457821</v>
      </c>
      <c r="P48" s="100">
        <f t="shared" si="108"/>
        <v>0.4462851847425181</v>
      </c>
      <c r="Q48" s="100">
        <f t="shared" si="108"/>
        <v>0.44341394632926828</v>
      </c>
      <c r="R48" s="100">
        <f t="shared" si="108"/>
        <v>0.40010515022560111</v>
      </c>
      <c r="S48" s="100">
        <f t="shared" si="108"/>
        <v>0.49018899885168526</v>
      </c>
      <c r="T48" s="100">
        <f t="shared" si="108"/>
        <v>0.45646015327253292</v>
      </c>
      <c r="U48" s="100">
        <f t="shared" si="108"/>
        <v>0.46005827114117792</v>
      </c>
      <c r="V48" s="100">
        <f t="shared" si="108"/>
        <v>0.42029826636445095</v>
      </c>
      <c r="W48" s="100">
        <f t="shared" si="108"/>
        <v>0.49708681569859609</v>
      </c>
      <c r="X48" s="100">
        <f t="shared" si="108"/>
        <v>0.47609123919557456</v>
      </c>
      <c r="Y48" s="100">
        <f t="shared" si="108"/>
        <v>0.43814264429106276</v>
      </c>
      <c r="Z48" s="100">
        <f t="shared" si="108"/>
        <v>0.42167842941016132</v>
      </c>
      <c r="AA48" s="100">
        <f t="shared" si="108"/>
        <v>0.4268185139400491</v>
      </c>
      <c r="AB48" s="100">
        <f t="shared" si="108"/>
        <v>0.45690066626739534</v>
      </c>
      <c r="AC48" s="100">
        <f t="shared" si="108"/>
        <v>0.4681523302217715</v>
      </c>
      <c r="AD48" s="100">
        <f t="shared" si="108"/>
        <v>0.42735268440770274</v>
      </c>
      <c r="AE48" s="100">
        <f t="shared" si="108"/>
        <v>0.45183084296495463</v>
      </c>
      <c r="AF48" s="100">
        <f t="shared" si="108"/>
        <v>0.47675967761537985</v>
      </c>
      <c r="AG48" s="100">
        <f t="shared" si="108"/>
        <v>0.46114727855254173</v>
      </c>
      <c r="AH48" s="100">
        <f t="shared" si="108"/>
        <v>0.41866593446233036</v>
      </c>
      <c r="AI48" s="100">
        <f t="shared" si="108"/>
        <v>0.45587296449315862</v>
      </c>
      <c r="AJ48" s="100">
        <f t="shared" si="108"/>
        <v>0.4487119265824111</v>
      </c>
      <c r="AK48" s="100">
        <f t="shared" si="108"/>
        <v>0.45638625986530945</v>
      </c>
      <c r="AL48" s="100">
        <f t="shared" si="108"/>
        <v>0.44704312416452918</v>
      </c>
      <c r="AM48" s="100">
        <f t="shared" si="108"/>
        <v>0.47124062260429389</v>
      </c>
      <c r="AN48" s="100">
        <f t="shared" si="108"/>
        <v>0.48767877506809876</v>
      </c>
      <c r="AO48" s="100">
        <f t="shared" si="108"/>
        <v>0.48540808993757584</v>
      </c>
      <c r="AP48" s="100">
        <f t="shared" si="108"/>
        <v>0.47879850794910883</v>
      </c>
      <c r="AQ48" s="100">
        <f t="shared" si="108"/>
        <v>0.47451470358786102</v>
      </c>
      <c r="AR48" s="100">
        <f t="shared" si="108"/>
        <v>0.49176517555017563</v>
      </c>
      <c r="AS48" s="100">
        <f t="shared" si="108"/>
        <v>0.49691937731078811</v>
      </c>
      <c r="AT48" s="100">
        <f t="shared" si="108"/>
        <v>0.50244717998463817</v>
      </c>
      <c r="AU48" s="100">
        <f t="shared" si="108"/>
        <v>0.48513645294541785</v>
      </c>
      <c r="AV48" s="100"/>
    </row>
    <row r="49" spans="2:48" s="95" customFormat="1" x14ac:dyDescent="0.3">
      <c r="B49" s="93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</row>
    <row r="50" spans="2:48" s="95" customFormat="1" x14ac:dyDescent="0.3">
      <c r="B50" s="93" t="s">
        <v>383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</row>
    <row r="51" spans="2:48" s="95" customFormat="1" x14ac:dyDescent="0.3">
      <c r="B51" s="371" t="s">
        <v>384</v>
      </c>
      <c r="C51" s="90">
        <v>34065</v>
      </c>
      <c r="D51" s="90">
        <v>32275</v>
      </c>
      <c r="E51" s="90">
        <v>28408</v>
      </c>
      <c r="F51" s="90">
        <v>24276</v>
      </c>
      <c r="G51" s="90">
        <v>20130</v>
      </c>
      <c r="H51" s="228">
        <v>17229</v>
      </c>
      <c r="I51" s="228">
        <v>14917</v>
      </c>
      <c r="J51" s="228">
        <v>13506</v>
      </c>
      <c r="K51" s="228">
        <v>12653</v>
      </c>
      <c r="L51" s="228">
        <v>10883</v>
      </c>
      <c r="M51" s="91">
        <f>SUM(AS51:AV51)</f>
        <v>7785.5489999999991</v>
      </c>
      <c r="N51" s="98"/>
      <c r="O51" s="90">
        <v>7325</v>
      </c>
      <c r="P51" s="90">
        <f>14760-O51</f>
        <v>7435</v>
      </c>
      <c r="Q51" s="90">
        <f>21754-P51-O51</f>
        <v>6994</v>
      </c>
      <c r="R51" s="91">
        <f>+E51-SUM(O51:Q51)</f>
        <v>6654</v>
      </c>
      <c r="S51" s="90">
        <v>6198</v>
      </c>
      <c r="T51" s="90">
        <v>6056</v>
      </c>
      <c r="U51" s="90">
        <v>6180</v>
      </c>
      <c r="V51" s="91">
        <f>+F51-SUM(S51:U51)</f>
        <v>5842</v>
      </c>
      <c r="W51" s="90">
        <v>5288</v>
      </c>
      <c r="X51" s="90">
        <v>4918</v>
      </c>
      <c r="Y51" s="90">
        <v>5099</v>
      </c>
      <c r="Z51" s="91">
        <f>+G51-SUM(W51:Y51)</f>
        <v>4825</v>
      </c>
      <c r="AA51" s="90">
        <v>4711</v>
      </c>
      <c r="AB51" s="90">
        <v>4402</v>
      </c>
      <c r="AC51" s="90">
        <v>4168</v>
      </c>
      <c r="AD51" s="91">
        <f>+H51-SUM(AA51:AC51)</f>
        <v>3948</v>
      </c>
      <c r="AE51" s="90">
        <v>3899</v>
      </c>
      <c r="AF51" s="90">
        <v>3870</v>
      </c>
      <c r="AG51" s="90">
        <v>3620</v>
      </c>
      <c r="AH51" s="91">
        <f>+I51-SUM(AE51:AG51)</f>
        <v>3528</v>
      </c>
      <c r="AI51" s="90">
        <v>3427.0740000000001</v>
      </c>
      <c r="AJ51" s="90">
        <v>3366.8430000000003</v>
      </c>
      <c r="AK51" s="90">
        <v>3375</v>
      </c>
      <c r="AL51" s="91">
        <f>+J51-SUM(AI51:AK51)</f>
        <v>3337.0829999999987</v>
      </c>
      <c r="AM51" s="90">
        <v>3355.9369999999999</v>
      </c>
      <c r="AN51" s="90">
        <v>3279</v>
      </c>
      <c r="AO51" s="90">
        <v>3007</v>
      </c>
      <c r="AP51" s="91">
        <f>+K51-SUM(AM51:AO51)</f>
        <v>3011.0630000000001</v>
      </c>
      <c r="AQ51" s="90">
        <v>2776.2530000000002</v>
      </c>
      <c r="AR51" s="90">
        <v>2759</v>
      </c>
      <c r="AS51" s="90">
        <v>2748</v>
      </c>
      <c r="AT51" s="91">
        <f t="shared" ref="AT51:AT53" si="109">+L51-SUM(AQ51:AS51)</f>
        <v>2599.7469999999994</v>
      </c>
      <c r="AU51" s="90">
        <v>2437.8020000000001</v>
      </c>
      <c r="AV51" s="90"/>
    </row>
    <row r="52" spans="2:48" s="95" customFormat="1" x14ac:dyDescent="0.3">
      <c r="B52" s="371" t="s">
        <v>385</v>
      </c>
      <c r="C52" s="90">
        <v>23199</v>
      </c>
      <c r="D52" s="90">
        <v>23149</v>
      </c>
      <c r="E52" s="90">
        <v>20162</v>
      </c>
      <c r="F52" s="90">
        <v>15690</v>
      </c>
      <c r="G52" s="90">
        <v>11029</v>
      </c>
      <c r="H52" s="228">
        <v>9350</v>
      </c>
      <c r="I52" s="228">
        <v>8845</v>
      </c>
      <c r="J52" s="228">
        <v>7975</v>
      </c>
      <c r="K52" s="228">
        <v>6691</v>
      </c>
      <c r="L52" s="228">
        <v>4801</v>
      </c>
      <c r="M52" s="91">
        <f t="shared" ref="M52:M53" si="110">SUM(AS52:AV52)</f>
        <v>2838.26</v>
      </c>
      <c r="N52" s="98"/>
      <c r="O52" s="90">
        <v>5402</v>
      </c>
      <c r="P52" s="90">
        <f>10838-O52</f>
        <v>5436</v>
      </c>
      <c r="Q52" s="90">
        <f>15772-P52-O52</f>
        <v>4934</v>
      </c>
      <c r="R52" s="91">
        <f>+E52-SUM(O52:Q52)</f>
        <v>4390</v>
      </c>
      <c r="S52" s="90">
        <v>4197</v>
      </c>
      <c r="T52" s="90">
        <v>4049</v>
      </c>
      <c r="U52" s="90">
        <v>4002</v>
      </c>
      <c r="V52" s="91">
        <f>+F52-SUM(S52:U52)</f>
        <v>3442</v>
      </c>
      <c r="W52" s="90">
        <v>3034</v>
      </c>
      <c r="X52" s="90">
        <v>2744</v>
      </c>
      <c r="Y52" s="90">
        <v>2825</v>
      </c>
      <c r="Z52" s="91">
        <f>+G52-SUM(W52:Y52)</f>
        <v>2426</v>
      </c>
      <c r="AA52" s="90">
        <v>2401</v>
      </c>
      <c r="AB52" s="90">
        <v>2426</v>
      </c>
      <c r="AC52" s="90">
        <v>2340</v>
      </c>
      <c r="AD52" s="91">
        <f>+H52-SUM(AA52:AC52)</f>
        <v>2183</v>
      </c>
      <c r="AE52" s="90">
        <v>2149</v>
      </c>
      <c r="AF52" s="90">
        <v>2291</v>
      </c>
      <c r="AG52" s="90">
        <v>2210</v>
      </c>
      <c r="AH52" s="91">
        <f>+I52-SUM(AE52:AG52)</f>
        <v>2195</v>
      </c>
      <c r="AI52" s="90">
        <v>2007.807</v>
      </c>
      <c r="AJ52" s="90">
        <v>1984.6319999999998</v>
      </c>
      <c r="AK52" s="90">
        <v>1971</v>
      </c>
      <c r="AL52" s="91">
        <f>+J52-SUM(AI52:AK52)</f>
        <v>2011.5609999999997</v>
      </c>
      <c r="AM52" s="90">
        <v>1939.027</v>
      </c>
      <c r="AN52" s="90">
        <v>1807</v>
      </c>
      <c r="AO52" s="90">
        <v>1459</v>
      </c>
      <c r="AP52" s="91">
        <f t="shared" ref="AP52:AP53" si="111">+K52-SUM(AM52:AO52)</f>
        <v>1485.973</v>
      </c>
      <c r="AQ52" s="90">
        <v>1393.0509999999999</v>
      </c>
      <c r="AR52" s="90">
        <v>1313</v>
      </c>
      <c r="AS52" s="90">
        <v>1186</v>
      </c>
      <c r="AT52" s="91">
        <f t="shared" si="109"/>
        <v>908.94900000000007</v>
      </c>
      <c r="AU52" s="90">
        <v>743.31100000000004</v>
      </c>
      <c r="AV52" s="90"/>
    </row>
    <row r="53" spans="2:48" s="95" customFormat="1" x14ac:dyDescent="0.3">
      <c r="B53" s="371" t="s">
        <v>386</v>
      </c>
      <c r="C53" s="90">
        <v>34991</v>
      </c>
      <c r="D53" s="90">
        <v>43059</v>
      </c>
      <c r="E53" s="90">
        <v>50961</v>
      </c>
      <c r="F53" s="90">
        <v>71801</v>
      </c>
      <c r="G53" s="90">
        <v>71954</v>
      </c>
      <c r="H53" s="228">
        <v>77813</v>
      </c>
      <c r="I53" s="228">
        <v>83758</v>
      </c>
      <c r="J53" s="228">
        <v>90895</v>
      </c>
      <c r="K53" s="228">
        <v>97369</v>
      </c>
      <c r="L53" s="228">
        <v>101166</v>
      </c>
      <c r="M53" s="91">
        <f t="shared" si="110"/>
        <v>79118.112999999998</v>
      </c>
      <c r="N53" s="98"/>
      <c r="O53" s="90">
        <v>11482</v>
      </c>
      <c r="P53" s="90">
        <f>23417-O53</f>
        <v>11935</v>
      </c>
      <c r="Q53" s="90">
        <f>36166-P53-O53</f>
        <v>12749</v>
      </c>
      <c r="R53" s="91">
        <f>+E53-SUM(O53:Q53)</f>
        <v>14795</v>
      </c>
      <c r="S53" s="90">
        <v>16488</v>
      </c>
      <c r="T53" s="90">
        <v>17549</v>
      </c>
      <c r="U53" s="90">
        <v>18182</v>
      </c>
      <c r="V53" s="91">
        <f>+F53-SUM(S53:U53)</f>
        <v>19582</v>
      </c>
      <c r="W53" s="90">
        <v>18471</v>
      </c>
      <c r="X53" s="90">
        <v>17377</v>
      </c>
      <c r="Y53" s="90">
        <v>17554</v>
      </c>
      <c r="Z53" s="91">
        <f>+G53-SUM(W53:Y53)</f>
        <v>18552</v>
      </c>
      <c r="AA53" s="90">
        <v>19204</v>
      </c>
      <c r="AB53" s="90">
        <v>19428</v>
      </c>
      <c r="AC53" s="90">
        <v>19283</v>
      </c>
      <c r="AD53" s="91">
        <f>+H53-SUM(AA53:AC53)</f>
        <v>19898</v>
      </c>
      <c r="AE53" s="90">
        <v>20841</v>
      </c>
      <c r="AF53" s="90">
        <v>20996</v>
      </c>
      <c r="AG53" s="90">
        <v>20710</v>
      </c>
      <c r="AH53" s="91">
        <f>+I53-SUM(AE53:AG53)</f>
        <v>21211</v>
      </c>
      <c r="AI53" s="90">
        <v>21657.312999999998</v>
      </c>
      <c r="AJ53" s="90">
        <v>22378.992999999999</v>
      </c>
      <c r="AK53" s="90">
        <v>23011</v>
      </c>
      <c r="AL53" s="91">
        <f>+J53-SUM(AI53:AK53)</f>
        <v>23847.694000000003</v>
      </c>
      <c r="AM53" s="90">
        <v>23831.210999999999</v>
      </c>
      <c r="AN53" s="90">
        <v>24180</v>
      </c>
      <c r="AO53" s="90">
        <v>24848</v>
      </c>
      <c r="AP53" s="91">
        <f t="shared" si="111"/>
        <v>24509.789000000004</v>
      </c>
      <c r="AQ53" s="90">
        <v>24124.789000000001</v>
      </c>
      <c r="AR53" s="90">
        <v>24707</v>
      </c>
      <c r="AS53" s="90">
        <v>25166</v>
      </c>
      <c r="AT53" s="91">
        <f t="shared" si="109"/>
        <v>27168.210999999996</v>
      </c>
      <c r="AU53" s="90">
        <v>26783.901999999998</v>
      </c>
      <c r="AV53" s="90"/>
    </row>
    <row r="54" spans="2:48" s="95" customFormat="1" x14ac:dyDescent="0.3">
      <c r="B54" s="372" t="s">
        <v>33</v>
      </c>
      <c r="C54" s="120">
        <f t="shared" ref="C54" si="112">+C51+C52+C53</f>
        <v>92255</v>
      </c>
      <c r="D54" s="120">
        <f t="shared" ref="D54" si="113">+D51+D52+D53</f>
        <v>98483</v>
      </c>
      <c r="E54" s="120">
        <f t="shared" ref="E54" si="114">+E51+E52+E53</f>
        <v>99531</v>
      </c>
      <c r="F54" s="120">
        <f t="shared" ref="F54:G54" si="115">+F51+F52+F53</f>
        <v>111767</v>
      </c>
      <c r="G54" s="120">
        <f t="shared" si="115"/>
        <v>103113</v>
      </c>
      <c r="H54" s="120">
        <f>+H51+H52+H53</f>
        <v>104392</v>
      </c>
      <c r="I54" s="120">
        <f>+I51+I52+I53</f>
        <v>107520</v>
      </c>
      <c r="J54" s="120">
        <f>+J51+J52+J53</f>
        <v>112376</v>
      </c>
      <c r="K54" s="120">
        <f>+K51+K52+K53</f>
        <v>116713</v>
      </c>
      <c r="L54" s="120">
        <f>+L51+L52+L53</f>
        <v>116850</v>
      </c>
      <c r="M54" s="120">
        <f t="shared" ref="M54" si="116">+M51+M52+M53</f>
        <v>89741.921999999991</v>
      </c>
      <c r="N54" s="100"/>
      <c r="O54" s="120">
        <f t="shared" ref="O54" si="117">+O51+O52+O53</f>
        <v>24209</v>
      </c>
      <c r="P54" s="120">
        <f t="shared" ref="P54" si="118">+P51+P52+P53</f>
        <v>24806</v>
      </c>
      <c r="Q54" s="120">
        <f t="shared" ref="Q54" si="119">+Q51+Q52+Q53</f>
        <v>24677</v>
      </c>
      <c r="R54" s="120">
        <f t="shared" ref="R54" si="120">+R51+R52+R53</f>
        <v>25839</v>
      </c>
      <c r="S54" s="120">
        <f t="shared" ref="S54" si="121">+S51+S52+S53</f>
        <v>26883</v>
      </c>
      <c r="T54" s="120">
        <f t="shared" ref="T54" si="122">+T51+T52+T53</f>
        <v>27654</v>
      </c>
      <c r="U54" s="120">
        <f t="shared" ref="U54" si="123">+U51+U52+U53</f>
        <v>28364</v>
      </c>
      <c r="V54" s="120">
        <f t="shared" ref="V54" si="124">+V51+V52+V53</f>
        <v>28866</v>
      </c>
      <c r="W54" s="120">
        <f t="shared" ref="W54:Z54" si="125">+W51+W52+W53</f>
        <v>26793</v>
      </c>
      <c r="X54" s="120">
        <f t="shared" si="125"/>
        <v>25039</v>
      </c>
      <c r="Y54" s="120">
        <f t="shared" si="125"/>
        <v>25478</v>
      </c>
      <c r="Z54" s="120">
        <f t="shared" si="125"/>
        <v>25803</v>
      </c>
      <c r="AA54" s="120">
        <f t="shared" ref="AA54:AD54" si="126">+AA51+AA52+AA53</f>
        <v>26316</v>
      </c>
      <c r="AB54" s="120">
        <f t="shared" si="126"/>
        <v>26256</v>
      </c>
      <c r="AC54" s="120">
        <f t="shared" si="126"/>
        <v>25791</v>
      </c>
      <c r="AD54" s="120">
        <f t="shared" si="126"/>
        <v>26029</v>
      </c>
      <c r="AE54" s="120">
        <f t="shared" ref="AE54:AH54" si="127">+AE51+AE52+AE53</f>
        <v>26889</v>
      </c>
      <c r="AF54" s="120">
        <f t="shared" si="127"/>
        <v>27157</v>
      </c>
      <c r="AG54" s="120">
        <f t="shared" si="127"/>
        <v>26540</v>
      </c>
      <c r="AH54" s="120">
        <f t="shared" si="127"/>
        <v>26934</v>
      </c>
      <c r="AI54" s="120">
        <f t="shared" ref="AI54:AL54" si="128">+AI51+AI52+AI53</f>
        <v>27092.194</v>
      </c>
      <c r="AJ54" s="120">
        <f t="shared" si="128"/>
        <v>27730.468000000001</v>
      </c>
      <c r="AK54" s="120">
        <f t="shared" si="128"/>
        <v>28357</v>
      </c>
      <c r="AL54" s="120">
        <f t="shared" si="128"/>
        <v>29196.338000000003</v>
      </c>
      <c r="AM54" s="120">
        <f t="shared" ref="AM54:AP54" si="129">+AM51+AM52+AM53</f>
        <v>29126.174999999999</v>
      </c>
      <c r="AN54" s="120">
        <f t="shared" si="129"/>
        <v>29266</v>
      </c>
      <c r="AO54" s="120">
        <f t="shared" si="129"/>
        <v>29314</v>
      </c>
      <c r="AP54" s="120">
        <f t="shared" si="129"/>
        <v>29006.825000000004</v>
      </c>
      <c r="AQ54" s="120">
        <f t="shared" ref="AQ54:AT54" si="130">+AQ51+AQ52+AQ53</f>
        <v>28294.093000000001</v>
      </c>
      <c r="AR54" s="120">
        <f t="shared" si="130"/>
        <v>28779</v>
      </c>
      <c r="AS54" s="120">
        <f t="shared" si="130"/>
        <v>29100</v>
      </c>
      <c r="AT54" s="120">
        <f t="shared" si="130"/>
        <v>30676.906999999996</v>
      </c>
      <c r="AU54" s="120">
        <f t="shared" ref="AU54" si="131">+AU51+AU52+AU53</f>
        <v>29965.014999999999</v>
      </c>
      <c r="AV54" s="120"/>
    </row>
    <row r="55" spans="2:48" s="95" customFormat="1" x14ac:dyDescent="0.3">
      <c r="B55" s="93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</row>
    <row r="56" spans="2:48" s="95" customFormat="1" x14ac:dyDescent="0.3">
      <c r="B56" s="93" t="s">
        <v>387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</row>
    <row r="57" spans="2:48" s="95" customFormat="1" x14ac:dyDescent="0.3">
      <c r="B57" s="371" t="s">
        <v>388</v>
      </c>
      <c r="C57" s="90">
        <v>14680</v>
      </c>
      <c r="D57" s="90">
        <v>15645</v>
      </c>
      <c r="E57" s="90">
        <v>18606</v>
      </c>
      <c r="F57" s="90">
        <v>21747</v>
      </c>
      <c r="G57" s="90">
        <v>26798</v>
      </c>
      <c r="H57" s="228">
        <v>29392</v>
      </c>
      <c r="I57" s="228">
        <v>27094</v>
      </c>
      <c r="J57" s="228">
        <v>25112</v>
      </c>
      <c r="K57" s="228">
        <v>23785</v>
      </c>
      <c r="L57" s="228">
        <v>23980</v>
      </c>
      <c r="M57" s="91">
        <f t="shared" ref="M57:M59" si="132">SUM(AS57:AV57)</f>
        <v>18449.616000000002</v>
      </c>
      <c r="N57" s="98"/>
      <c r="O57" s="90">
        <v>4298</v>
      </c>
      <c r="P57" s="90">
        <f>8727-O57</f>
        <v>4429</v>
      </c>
      <c r="Q57" s="90">
        <f>13553-P57-O57</f>
        <v>4826</v>
      </c>
      <c r="R57" s="91">
        <f>+E57-SUM(O57:Q57)</f>
        <v>5053</v>
      </c>
      <c r="S57" s="90">
        <v>5208</v>
      </c>
      <c r="T57" s="90">
        <v>5347</v>
      </c>
      <c r="U57" s="90">
        <v>5518</v>
      </c>
      <c r="V57" s="91">
        <f>+F57-SUM(S57:U57)</f>
        <v>5674</v>
      </c>
      <c r="W57" s="90">
        <v>5780</v>
      </c>
      <c r="X57" s="90">
        <v>6733</v>
      </c>
      <c r="Y57" s="90">
        <v>7036</v>
      </c>
      <c r="Z57" s="91">
        <f>+G57-SUM(W57:Y57)</f>
        <v>7249</v>
      </c>
      <c r="AA57" s="90">
        <v>7351</v>
      </c>
      <c r="AB57" s="90">
        <v>7181</v>
      </c>
      <c r="AC57" s="90">
        <v>7865</v>
      </c>
      <c r="AD57" s="91">
        <f>+H57-SUM(AA57:AC57)</f>
        <v>6995</v>
      </c>
      <c r="AE57" s="90">
        <v>7026</v>
      </c>
      <c r="AF57" s="90">
        <v>6769</v>
      </c>
      <c r="AG57" s="90">
        <v>6681</v>
      </c>
      <c r="AH57" s="91">
        <f>+I57-SUM(AE57:AG57)</f>
        <v>6618</v>
      </c>
      <c r="AI57" s="90">
        <v>6531.8530000000001</v>
      </c>
      <c r="AJ57" s="90">
        <v>6277.2629999999999</v>
      </c>
      <c r="AK57" s="90">
        <v>6185</v>
      </c>
      <c r="AL57" s="91">
        <f>+J57-SUM(AI57:AK57)</f>
        <v>6117.8839999999982</v>
      </c>
      <c r="AM57" s="90">
        <v>6116.7960000000003</v>
      </c>
      <c r="AN57" s="90">
        <v>5983</v>
      </c>
      <c r="AO57" s="90">
        <v>5787</v>
      </c>
      <c r="AP57" s="91">
        <f t="shared" ref="AP57:AP59" si="133">+K57-SUM(AM57:AO57)</f>
        <v>5898.2039999999979</v>
      </c>
      <c r="AQ57" s="90">
        <v>5813.0320000000002</v>
      </c>
      <c r="AR57" s="90">
        <v>5895</v>
      </c>
      <c r="AS57" s="90">
        <v>6132</v>
      </c>
      <c r="AT57" s="91">
        <f t="shared" ref="AT57:AT59" si="134">+L57-SUM(AQ57:AS57)</f>
        <v>6139.9680000000008</v>
      </c>
      <c r="AU57" s="90">
        <v>6177.6480000000001</v>
      </c>
      <c r="AV57" s="90"/>
    </row>
    <row r="58" spans="2:48" s="95" customFormat="1" x14ac:dyDescent="0.3">
      <c r="B58" s="371" t="s">
        <v>389</v>
      </c>
      <c r="C58" s="90">
        <v>9873</v>
      </c>
      <c r="D58" s="90">
        <v>10288</v>
      </c>
      <c r="E58" s="90">
        <v>11762</v>
      </c>
      <c r="F58" s="90">
        <v>12828</v>
      </c>
      <c r="G58" s="90">
        <v>12539</v>
      </c>
      <c r="H58" s="228">
        <v>14170</v>
      </c>
      <c r="I58" s="228">
        <v>17198</v>
      </c>
      <c r="J58" s="228">
        <v>18319</v>
      </c>
      <c r="K58" s="228">
        <v>20380</v>
      </c>
      <c r="L58" s="228">
        <v>20671</v>
      </c>
      <c r="M58" s="91">
        <f t="shared" si="132"/>
        <v>16179.907999999999</v>
      </c>
      <c r="N58" s="98"/>
      <c r="O58" s="90">
        <v>2666</v>
      </c>
      <c r="P58" s="90">
        <f>5493-O58</f>
        <v>2827</v>
      </c>
      <c r="Q58" s="90">
        <f>8437-P58-O58</f>
        <v>2944</v>
      </c>
      <c r="R58" s="91">
        <f>+E58-SUM(O58:Q58)</f>
        <v>3325</v>
      </c>
      <c r="S58" s="90">
        <v>3136</v>
      </c>
      <c r="T58" s="90">
        <v>3191</v>
      </c>
      <c r="U58" s="90">
        <v>3186</v>
      </c>
      <c r="V58" s="91">
        <f>+F58-SUM(S58:U58)</f>
        <v>3315</v>
      </c>
      <c r="W58" s="90">
        <v>3250</v>
      </c>
      <c r="X58" s="90">
        <v>2949</v>
      </c>
      <c r="Y58" s="90">
        <v>3077</v>
      </c>
      <c r="Z58" s="91">
        <f>+G58-SUM(W58:Y58)</f>
        <v>3263</v>
      </c>
      <c r="AA58" s="90">
        <v>3323</v>
      </c>
      <c r="AB58" s="90">
        <v>3407</v>
      </c>
      <c r="AC58" s="90">
        <v>3659</v>
      </c>
      <c r="AD58" s="91">
        <f>+H58-SUM(AA58:AC58)</f>
        <v>3781</v>
      </c>
      <c r="AE58" s="90">
        <v>3922</v>
      </c>
      <c r="AF58" s="90">
        <v>4230</v>
      </c>
      <c r="AG58" s="90">
        <v>4383</v>
      </c>
      <c r="AH58" s="91">
        <f>+I58-SUM(AE58:AG58)</f>
        <v>4663</v>
      </c>
      <c r="AI58" s="90">
        <v>4504.6289999999999</v>
      </c>
      <c r="AJ58" s="90">
        <v>4567.2920000000004</v>
      </c>
      <c r="AK58" s="90">
        <v>4487</v>
      </c>
      <c r="AL58" s="91">
        <f>+J58-SUM(AI58:AK58)</f>
        <v>4760.0789999999997</v>
      </c>
      <c r="AM58" s="90">
        <v>4955.8580000000002</v>
      </c>
      <c r="AN58" s="90">
        <v>4833</v>
      </c>
      <c r="AO58" s="90">
        <v>5691</v>
      </c>
      <c r="AP58" s="91">
        <f t="shared" si="133"/>
        <v>4900.1419999999998</v>
      </c>
      <c r="AQ58" s="90">
        <v>4857.5159999999996</v>
      </c>
      <c r="AR58" s="90">
        <v>4769</v>
      </c>
      <c r="AS58" s="90">
        <v>4769</v>
      </c>
      <c r="AT58" s="91">
        <f t="shared" si="134"/>
        <v>6275.4840000000004</v>
      </c>
      <c r="AU58" s="90">
        <v>5135.424</v>
      </c>
      <c r="AV58" s="90"/>
    </row>
    <row r="59" spans="2:48" s="95" customFormat="1" x14ac:dyDescent="0.3">
      <c r="B59" s="371" t="s">
        <v>390</v>
      </c>
      <c r="C59" s="90">
        <v>3780</v>
      </c>
      <c r="D59" s="90">
        <v>3490</v>
      </c>
      <c r="E59" s="90">
        <v>2977</v>
      </c>
      <c r="F59" s="90">
        <v>2668</v>
      </c>
      <c r="G59" s="90">
        <v>2620</v>
      </c>
      <c r="H59" s="228">
        <v>2280</v>
      </c>
      <c r="I59" s="228">
        <v>1989</v>
      </c>
      <c r="J59" s="228">
        <v>1595</v>
      </c>
      <c r="K59" s="228">
        <v>1500</v>
      </c>
      <c r="L59" s="228">
        <v>1251</v>
      </c>
      <c r="M59" s="91">
        <f t="shared" si="132"/>
        <v>946.23599999999999</v>
      </c>
      <c r="N59" s="98"/>
      <c r="O59" s="90">
        <v>769</v>
      </c>
      <c r="P59" s="90">
        <f>1512-O59</f>
        <v>743</v>
      </c>
      <c r="Q59" s="90">
        <f>2261-P59-O59</f>
        <v>749</v>
      </c>
      <c r="R59" s="91">
        <f>+E59-SUM(O59:Q59)</f>
        <v>716</v>
      </c>
      <c r="S59" s="90">
        <v>710</v>
      </c>
      <c r="T59" s="90">
        <v>684</v>
      </c>
      <c r="U59" s="90">
        <v>668</v>
      </c>
      <c r="V59" s="91">
        <f>+F59-SUM(S59:U59)</f>
        <v>606</v>
      </c>
      <c r="W59" s="90">
        <v>697</v>
      </c>
      <c r="X59" s="90">
        <v>605</v>
      </c>
      <c r="Y59" s="90">
        <v>732</v>
      </c>
      <c r="Z59" s="91">
        <f>+G59-SUM(W59:Y59)</f>
        <v>586</v>
      </c>
      <c r="AA59" s="90">
        <v>599</v>
      </c>
      <c r="AB59" s="90">
        <v>578</v>
      </c>
      <c r="AC59" s="90">
        <v>565</v>
      </c>
      <c r="AD59" s="91">
        <f>+H59-SUM(AA59:AC59)</f>
        <v>538</v>
      </c>
      <c r="AE59" s="90">
        <v>527</v>
      </c>
      <c r="AF59" s="90">
        <v>485</v>
      </c>
      <c r="AG59" s="90">
        <v>504</v>
      </c>
      <c r="AH59" s="91">
        <f>+I59-SUM(AE59:AG59)</f>
        <v>473</v>
      </c>
      <c r="AI59" s="90">
        <v>426.47399999999999</v>
      </c>
      <c r="AJ59" s="90">
        <v>430.25100000000003</v>
      </c>
      <c r="AK59" s="90">
        <v>392</v>
      </c>
      <c r="AL59" s="91">
        <f>+J59-SUM(AI59:AK59)</f>
        <v>346.27500000000009</v>
      </c>
      <c r="AM59" s="90">
        <v>382.95400000000001</v>
      </c>
      <c r="AN59" s="90">
        <v>380</v>
      </c>
      <c r="AO59" s="90">
        <v>367</v>
      </c>
      <c r="AP59" s="91">
        <f t="shared" si="133"/>
        <v>370.04600000000005</v>
      </c>
      <c r="AQ59" s="90">
        <v>320.53399999999999</v>
      </c>
      <c r="AR59" s="90">
        <v>306</v>
      </c>
      <c r="AS59" s="90">
        <v>306</v>
      </c>
      <c r="AT59" s="91">
        <f t="shared" si="134"/>
        <v>318.46600000000001</v>
      </c>
      <c r="AU59" s="90">
        <v>321.77</v>
      </c>
      <c r="AV59" s="90"/>
    </row>
    <row r="60" spans="2:48" s="95" customFormat="1" x14ac:dyDescent="0.3">
      <c r="B60" s="372" t="s">
        <v>33</v>
      </c>
      <c r="C60" s="120">
        <f>+C57+C58+C59</f>
        <v>28333</v>
      </c>
      <c r="D60" s="120">
        <f t="shared" ref="D60:F60" si="135">+D57+D58+D59</f>
        <v>29423</v>
      </c>
      <c r="E60" s="120">
        <f t="shared" si="135"/>
        <v>33345</v>
      </c>
      <c r="F60" s="120">
        <f t="shared" si="135"/>
        <v>37243</v>
      </c>
      <c r="G60" s="120">
        <f t="shared" ref="G60:H60" si="136">+G57+G58+G59</f>
        <v>41957</v>
      </c>
      <c r="H60" s="120">
        <f t="shared" si="136"/>
        <v>45842</v>
      </c>
      <c r="I60" s="120">
        <f t="shared" ref="I60:J60" si="137">+I57+I58+I59</f>
        <v>46281</v>
      </c>
      <c r="J60" s="120">
        <f t="shared" si="137"/>
        <v>45026</v>
      </c>
      <c r="K60" s="120">
        <f t="shared" ref="K60:L60" si="138">+K57+K58+K59</f>
        <v>45665</v>
      </c>
      <c r="L60" s="120">
        <f t="shared" si="138"/>
        <v>45902</v>
      </c>
      <c r="M60" s="120">
        <f t="shared" ref="M60" si="139">+M57+M58+M59</f>
        <v>35575.760000000002</v>
      </c>
      <c r="N60" s="100"/>
      <c r="O60" s="120">
        <f t="shared" ref="O60:W60" si="140">+O57+O58+O59</f>
        <v>7733</v>
      </c>
      <c r="P60" s="120">
        <f t="shared" si="140"/>
        <v>7999</v>
      </c>
      <c r="Q60" s="120">
        <f t="shared" si="140"/>
        <v>8519</v>
      </c>
      <c r="R60" s="120">
        <f t="shared" si="140"/>
        <v>9094</v>
      </c>
      <c r="S60" s="120">
        <f t="shared" si="140"/>
        <v>9054</v>
      </c>
      <c r="T60" s="120">
        <f t="shared" si="140"/>
        <v>9222</v>
      </c>
      <c r="U60" s="120">
        <f t="shared" si="140"/>
        <v>9372</v>
      </c>
      <c r="V60" s="120">
        <f t="shared" si="140"/>
        <v>9595</v>
      </c>
      <c r="W60" s="120">
        <f t="shared" si="140"/>
        <v>9727</v>
      </c>
      <c r="X60" s="120">
        <f>+X57+X58+X59</f>
        <v>10287</v>
      </c>
      <c r="Y60" s="120">
        <f>+Y57+Y58+Y59</f>
        <v>10845</v>
      </c>
      <c r="Z60" s="120">
        <f t="shared" ref="Z60:AA60" si="141">+Z57+Z58+Z59</f>
        <v>11098</v>
      </c>
      <c r="AA60" s="120">
        <f t="shared" si="141"/>
        <v>11273</v>
      </c>
      <c r="AB60" s="120">
        <f>+AB57+AB58+AB59</f>
        <v>11166</v>
      </c>
      <c r="AC60" s="120">
        <f>+AC57+AC58+AC59</f>
        <v>12089</v>
      </c>
      <c r="AD60" s="120">
        <f t="shared" ref="AD60:AE60" si="142">+AD57+AD58+AD59</f>
        <v>11314</v>
      </c>
      <c r="AE60" s="120">
        <f t="shared" si="142"/>
        <v>11475</v>
      </c>
      <c r="AF60" s="120">
        <f>+AF57+AF58+AF59</f>
        <v>11484</v>
      </c>
      <c r="AG60" s="120">
        <f>+AG57+AG58+AG59</f>
        <v>11568</v>
      </c>
      <c r="AH60" s="120">
        <f t="shared" ref="AH60:AI60" si="143">+AH57+AH58+AH59</f>
        <v>11754</v>
      </c>
      <c r="AI60" s="120">
        <f t="shared" si="143"/>
        <v>11462.956</v>
      </c>
      <c r="AJ60" s="120">
        <f>+AJ57+AJ58+AJ59</f>
        <v>11274.806</v>
      </c>
      <c r="AK60" s="120">
        <f>+AK57+AK58+AK59</f>
        <v>11064</v>
      </c>
      <c r="AL60" s="120">
        <f t="shared" ref="AL60:AM60" si="144">+AL57+AL58+AL59</f>
        <v>11224.237999999998</v>
      </c>
      <c r="AM60" s="120">
        <f t="shared" si="144"/>
        <v>11455.608</v>
      </c>
      <c r="AN60" s="120">
        <f>+AN57+AN58+AN59</f>
        <v>11196</v>
      </c>
      <c r="AO60" s="120">
        <f>+AO57+AO58+AO59</f>
        <v>11845</v>
      </c>
      <c r="AP60" s="120">
        <f t="shared" ref="AP60:AQ60" si="145">+AP57+AP58+AP59</f>
        <v>11168.391999999998</v>
      </c>
      <c r="AQ60" s="120">
        <f t="shared" si="145"/>
        <v>10991.081999999999</v>
      </c>
      <c r="AR60" s="120">
        <f>+AR57+AR58+AR59</f>
        <v>10970</v>
      </c>
      <c r="AS60" s="120">
        <f>+AS57+AS58+AS59</f>
        <v>11207</v>
      </c>
      <c r="AT60" s="120">
        <f t="shared" ref="AT60:AU60" si="146">+AT57+AT58+AT59</f>
        <v>12733.918000000001</v>
      </c>
      <c r="AU60" s="120">
        <f t="shared" si="146"/>
        <v>11634.842000000001</v>
      </c>
      <c r="AV60" s="120"/>
    </row>
    <row r="61" spans="2:48" s="95" customFormat="1" x14ac:dyDescent="0.3">
      <c r="B61" s="93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</row>
    <row r="62" spans="2:48" s="6" customFormat="1" x14ac:dyDescent="0.3">
      <c r="B62" s="6" t="s">
        <v>391</v>
      </c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6"/>
      <c r="AJ62" s="101"/>
      <c r="AK62" s="101"/>
      <c r="AL62" s="101"/>
      <c r="AM62" s="106"/>
      <c r="AN62" s="101"/>
      <c r="AO62" s="101"/>
      <c r="AP62" s="101"/>
      <c r="AQ62" s="106"/>
      <c r="AR62" s="101"/>
      <c r="AS62" s="101"/>
      <c r="AT62" s="101"/>
      <c r="AU62" s="106"/>
      <c r="AV62" s="101"/>
    </row>
    <row r="63" spans="2:48" s="50" customFormat="1" x14ac:dyDescent="0.3">
      <c r="B63" s="102" t="s">
        <v>392</v>
      </c>
      <c r="C63" s="106">
        <v>520117</v>
      </c>
      <c r="D63" s="106">
        <v>655441</v>
      </c>
      <c r="E63" s="106">
        <v>984238</v>
      </c>
      <c r="F63" s="106">
        <v>1375260</v>
      </c>
      <c r="G63" s="106">
        <v>3057933</v>
      </c>
      <c r="H63" s="230">
        <v>2721130</v>
      </c>
      <c r="I63" s="230">
        <v>1427868</v>
      </c>
      <c r="J63" s="230">
        <v>618972</v>
      </c>
      <c r="K63" s="230">
        <v>462788</v>
      </c>
      <c r="L63" s="230">
        <v>344486</v>
      </c>
      <c r="M63" s="91">
        <f>AV63</f>
        <v>0</v>
      </c>
      <c r="N63" s="332"/>
      <c r="O63" s="106">
        <v>741659</v>
      </c>
      <c r="P63" s="106">
        <v>839555</v>
      </c>
      <c r="Q63" s="106">
        <v>909861</v>
      </c>
      <c r="R63" s="108">
        <f>+E63</f>
        <v>984238</v>
      </c>
      <c r="S63" s="106">
        <v>1071451</v>
      </c>
      <c r="T63" s="106">
        <v>1177113</v>
      </c>
      <c r="U63" s="106">
        <v>1270029</v>
      </c>
      <c r="V63" s="103">
        <f>+F63</f>
        <v>1375260</v>
      </c>
      <c r="W63" s="106">
        <v>1613305</v>
      </c>
      <c r="X63" s="106">
        <v>2188734</v>
      </c>
      <c r="Y63" s="106">
        <v>2784625</v>
      </c>
      <c r="Z63" s="103">
        <f>+G63</f>
        <v>3057933</v>
      </c>
      <c r="AA63" s="106">
        <v>3303207</v>
      </c>
      <c r="AB63" s="106">
        <v>3380537</v>
      </c>
      <c r="AC63" s="106">
        <v>2819492</v>
      </c>
      <c r="AD63" s="103">
        <f>+H63</f>
        <v>2721130</v>
      </c>
      <c r="AE63" s="106">
        <v>2432398</v>
      </c>
      <c r="AF63" s="106">
        <v>2050422</v>
      </c>
      <c r="AG63" s="106">
        <v>1578376</v>
      </c>
      <c r="AH63" s="103">
        <f>+I63</f>
        <v>1427868</v>
      </c>
      <c r="AI63" s="106">
        <v>1200301</v>
      </c>
      <c r="AJ63" s="106">
        <v>1055222</v>
      </c>
      <c r="AK63" s="106">
        <v>622257</v>
      </c>
      <c r="AL63" s="103">
        <f>+J63</f>
        <v>618972</v>
      </c>
      <c r="AM63" s="106">
        <v>574505</v>
      </c>
      <c r="AN63" s="106">
        <v>541256</v>
      </c>
      <c r="AO63" s="106">
        <v>494733</v>
      </c>
      <c r="AP63" s="103">
        <f>+K63</f>
        <v>462788</v>
      </c>
      <c r="AQ63" s="106">
        <v>420830</v>
      </c>
      <c r="AR63" s="106">
        <v>386745</v>
      </c>
      <c r="AS63" s="106">
        <v>365886</v>
      </c>
      <c r="AT63" s="91">
        <f>L63</f>
        <v>344486</v>
      </c>
      <c r="AU63" s="106">
        <v>327897</v>
      </c>
      <c r="AV63" s="106"/>
    </row>
    <row r="64" spans="2:48" x14ac:dyDescent="0.3">
      <c r="B64" s="102" t="s">
        <v>393</v>
      </c>
      <c r="C64" s="106">
        <v>610633</v>
      </c>
      <c r="D64" s="106">
        <v>645720</v>
      </c>
      <c r="E64" s="106">
        <v>631439</v>
      </c>
      <c r="F64" s="106">
        <v>642078</v>
      </c>
      <c r="G64" s="106">
        <v>739112</v>
      </c>
      <c r="H64" s="230">
        <v>964784</v>
      </c>
      <c r="I64" s="230">
        <v>1134669</v>
      </c>
      <c r="J64" s="230">
        <v>1131525</v>
      </c>
      <c r="K64" s="230">
        <v>1280693</v>
      </c>
      <c r="L64" s="230">
        <v>1795313</v>
      </c>
      <c r="M64" s="91">
        <f>AV64</f>
        <v>0</v>
      </c>
      <c r="N64" s="107"/>
      <c r="O64" s="106">
        <v>654345</v>
      </c>
      <c r="P64" s="106">
        <v>661834</v>
      </c>
      <c r="Q64" s="106">
        <v>630391</v>
      </c>
      <c r="R64" s="108">
        <f>+E64</f>
        <v>631439</v>
      </c>
      <c r="S64" s="106">
        <v>636782</v>
      </c>
      <c r="T64" s="106">
        <v>637131</v>
      </c>
      <c r="U64" s="106">
        <v>641304</v>
      </c>
      <c r="V64" s="108">
        <f>+F64</f>
        <v>642078</v>
      </c>
      <c r="W64" s="106">
        <v>645225</v>
      </c>
      <c r="X64" s="106">
        <v>677903</v>
      </c>
      <c r="Y64" s="106">
        <v>686584</v>
      </c>
      <c r="Z64" s="103">
        <f>+G64</f>
        <v>739112</v>
      </c>
      <c r="AA64" s="106">
        <v>784883</v>
      </c>
      <c r="AB64" s="106">
        <v>830162</v>
      </c>
      <c r="AC64" s="106">
        <v>907087</v>
      </c>
      <c r="AD64" s="103">
        <f>+H64</f>
        <v>964784</v>
      </c>
      <c r="AE64" s="106">
        <v>1030243</v>
      </c>
      <c r="AF64" s="106">
        <v>1059184</v>
      </c>
      <c r="AG64" s="106">
        <v>1130038</v>
      </c>
      <c r="AH64" s="103">
        <f>+I64</f>
        <v>1134669</v>
      </c>
      <c r="AI64" s="106">
        <v>1116399</v>
      </c>
      <c r="AJ64" s="106">
        <v>1103766</v>
      </c>
      <c r="AK64" s="106">
        <v>1126814</v>
      </c>
      <c r="AL64" s="103">
        <f>+J64</f>
        <v>1131525</v>
      </c>
      <c r="AM64" s="106">
        <v>1150072</v>
      </c>
      <c r="AN64" s="106">
        <v>1173410</v>
      </c>
      <c r="AO64" s="106">
        <v>1202019</v>
      </c>
      <c r="AP64" s="103">
        <f t="shared" ref="AP64" si="147">+K64</f>
        <v>1280693</v>
      </c>
      <c r="AQ64" s="106">
        <v>1412296</v>
      </c>
      <c r="AR64" s="106">
        <v>1553488</v>
      </c>
      <c r="AS64" s="106">
        <v>1688713</v>
      </c>
      <c r="AT64" s="91">
        <f>L64</f>
        <v>1795313</v>
      </c>
      <c r="AU64" s="106">
        <v>1915299</v>
      </c>
      <c r="AV64" s="106"/>
    </row>
    <row r="65" spans="2:48" s="6" customFormat="1" x14ac:dyDescent="0.3">
      <c r="B65" s="372" t="s">
        <v>394</v>
      </c>
      <c r="C65" s="101">
        <f>+C63+C64</f>
        <v>1130750</v>
      </c>
      <c r="D65" s="101">
        <f t="shared" ref="D65:F65" si="148">+D63+D64</f>
        <v>1301161</v>
      </c>
      <c r="E65" s="101">
        <f t="shared" si="148"/>
        <v>1615677</v>
      </c>
      <c r="F65" s="101">
        <f t="shared" si="148"/>
        <v>2017338</v>
      </c>
      <c r="G65" s="101">
        <f t="shared" ref="G65:H65" si="149">+G63+G64</f>
        <v>3797045</v>
      </c>
      <c r="H65" s="101">
        <f t="shared" si="149"/>
        <v>3685914</v>
      </c>
      <c r="I65" s="101">
        <f t="shared" ref="I65:J65" si="150">+I63+I64</f>
        <v>2562537</v>
      </c>
      <c r="J65" s="101">
        <f t="shared" si="150"/>
        <v>1750497</v>
      </c>
      <c r="K65" s="101">
        <f t="shared" ref="K65:L65" si="151">+K63+K64</f>
        <v>1743481</v>
      </c>
      <c r="L65" s="101">
        <f t="shared" si="151"/>
        <v>2139799</v>
      </c>
      <c r="M65" s="101">
        <f t="shared" ref="M65" si="152">+M63+M64</f>
        <v>0</v>
      </c>
      <c r="N65" s="101"/>
      <c r="O65" s="101">
        <f t="shared" ref="O65:W65" si="153">+O63+O64</f>
        <v>1396004</v>
      </c>
      <c r="P65" s="101">
        <f t="shared" si="153"/>
        <v>1501389</v>
      </c>
      <c r="Q65" s="101">
        <f t="shared" si="153"/>
        <v>1540252</v>
      </c>
      <c r="R65" s="101">
        <f t="shared" si="153"/>
        <v>1615677</v>
      </c>
      <c r="S65" s="101">
        <f t="shared" si="153"/>
        <v>1708233</v>
      </c>
      <c r="T65" s="101">
        <f t="shared" si="153"/>
        <v>1814244</v>
      </c>
      <c r="U65" s="101">
        <f t="shared" si="153"/>
        <v>1911333</v>
      </c>
      <c r="V65" s="101">
        <f t="shared" si="153"/>
        <v>2017338</v>
      </c>
      <c r="W65" s="101">
        <f t="shared" si="153"/>
        <v>2258530</v>
      </c>
      <c r="X65" s="101">
        <f t="shared" ref="X65:AA65" si="154">+X63+X64</f>
        <v>2866637</v>
      </c>
      <c r="Y65" s="101">
        <f t="shared" si="154"/>
        <v>3471209</v>
      </c>
      <c r="Z65" s="101">
        <f t="shared" si="154"/>
        <v>3797045</v>
      </c>
      <c r="AA65" s="101">
        <f t="shared" si="154"/>
        <v>4088090</v>
      </c>
      <c r="AB65" s="101">
        <f t="shared" ref="AB65:AE65" si="155">+AB63+AB64</f>
        <v>4210699</v>
      </c>
      <c r="AC65" s="101">
        <f t="shared" si="155"/>
        <v>3726579</v>
      </c>
      <c r="AD65" s="101">
        <f t="shared" si="155"/>
        <v>3685914</v>
      </c>
      <c r="AE65" s="101">
        <f t="shared" si="155"/>
        <v>3462641</v>
      </c>
      <c r="AF65" s="101">
        <f t="shared" ref="AF65:AI65" si="156">+AF63+AF64</f>
        <v>3109606</v>
      </c>
      <c r="AG65" s="101">
        <f t="shared" si="156"/>
        <v>2708414</v>
      </c>
      <c r="AH65" s="101">
        <f t="shared" si="156"/>
        <v>2562537</v>
      </c>
      <c r="AI65" s="245">
        <f t="shared" si="156"/>
        <v>2316700</v>
      </c>
      <c r="AJ65" s="101">
        <f t="shared" ref="AJ65:AM65" si="157">+AJ63+AJ64</f>
        <v>2158988</v>
      </c>
      <c r="AK65" s="101">
        <f t="shared" si="157"/>
        <v>1749071</v>
      </c>
      <c r="AL65" s="101">
        <f t="shared" si="157"/>
        <v>1750497</v>
      </c>
      <c r="AM65" s="245">
        <f t="shared" si="157"/>
        <v>1724577</v>
      </c>
      <c r="AN65" s="101">
        <f t="shared" ref="AN65:AQ65" si="158">+AN63+AN64</f>
        <v>1714666</v>
      </c>
      <c r="AO65" s="101">
        <f t="shared" si="158"/>
        <v>1696752</v>
      </c>
      <c r="AP65" s="101">
        <f t="shared" si="158"/>
        <v>1743481</v>
      </c>
      <c r="AQ65" s="245">
        <f t="shared" si="158"/>
        <v>1833126</v>
      </c>
      <c r="AR65" s="101">
        <f t="shared" ref="AR65:AU65" si="159">+AR63+AR64</f>
        <v>1940233</v>
      </c>
      <c r="AS65" s="101">
        <f t="shared" si="159"/>
        <v>2054599</v>
      </c>
      <c r="AT65" s="101">
        <f t="shared" si="159"/>
        <v>2139799</v>
      </c>
      <c r="AU65" s="245">
        <f t="shared" si="159"/>
        <v>2243196</v>
      </c>
      <c r="AV65" s="101"/>
    </row>
    <row r="66" spans="2:48" x14ac:dyDescent="0.3">
      <c r="B66" s="105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4"/>
      <c r="N66" s="107"/>
      <c r="O66" s="106"/>
      <c r="P66" s="106"/>
      <c r="Q66" s="106"/>
      <c r="R66" s="108"/>
      <c r="S66" s="106"/>
      <c r="T66" s="106"/>
      <c r="U66" s="106"/>
      <c r="V66" s="108"/>
      <c r="W66" s="106"/>
      <c r="X66" s="106"/>
      <c r="Y66" s="106"/>
      <c r="Z66" s="108"/>
      <c r="AA66" s="106"/>
      <c r="AB66" s="106"/>
      <c r="AC66" s="106"/>
      <c r="AD66" s="108"/>
      <c r="AE66" s="106"/>
      <c r="AF66" s="106"/>
      <c r="AG66" s="106"/>
      <c r="AH66" s="108"/>
      <c r="AI66" s="107"/>
      <c r="AJ66" s="106"/>
      <c r="AK66" s="106"/>
      <c r="AL66" s="108"/>
      <c r="AM66" s="107"/>
      <c r="AN66" s="106"/>
      <c r="AO66" s="106"/>
      <c r="AP66" s="108"/>
      <c r="AQ66" s="107"/>
      <c r="AR66" s="106"/>
      <c r="AS66" s="106"/>
      <c r="AT66" s="108"/>
      <c r="AU66" s="107"/>
      <c r="AV66" s="106"/>
    </row>
    <row r="67" spans="2:48" x14ac:dyDescent="0.3">
      <c r="B67" s="109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1"/>
      <c r="N67" s="112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2"/>
      <c r="AJ67" s="110"/>
      <c r="AK67" s="110"/>
      <c r="AL67" s="110"/>
      <c r="AM67" s="112"/>
      <c r="AN67" s="110"/>
      <c r="AO67" s="110"/>
      <c r="AP67" s="110"/>
      <c r="AQ67" s="112"/>
      <c r="AR67" s="110"/>
      <c r="AS67" s="110"/>
      <c r="AT67" s="110"/>
      <c r="AU67" s="112"/>
      <c r="AV67" s="110"/>
    </row>
    <row r="68" spans="2:48" x14ac:dyDescent="0.3">
      <c r="B68" s="38" t="s">
        <v>395</v>
      </c>
      <c r="C68" s="101">
        <f t="shared" ref="C68:F68" si="160">+C69+C70</f>
        <v>62798858</v>
      </c>
      <c r="D68" s="101">
        <f t="shared" si="160"/>
        <v>60686155</v>
      </c>
      <c r="E68" s="101">
        <f t="shared" si="160"/>
        <v>74093591</v>
      </c>
      <c r="F68" s="101">
        <f t="shared" si="160"/>
        <v>94204277</v>
      </c>
      <c r="G68" s="101">
        <f t="shared" ref="G68:H68" si="161">+G69+G70</f>
        <v>76645567</v>
      </c>
      <c r="H68" s="101">
        <f t="shared" si="161"/>
        <v>86784662</v>
      </c>
      <c r="I68" s="101">
        <f t="shared" ref="I68:J68" si="162">+I69+I70</f>
        <v>86746672</v>
      </c>
      <c r="J68" s="101">
        <f t="shared" si="162"/>
        <v>57047237</v>
      </c>
      <c r="K68" s="101">
        <f t="shared" ref="K68:L68" si="163">+K69+K70</f>
        <v>60906496</v>
      </c>
      <c r="L68" s="101">
        <f t="shared" si="163"/>
        <v>65772757</v>
      </c>
      <c r="M68" s="101">
        <f t="shared" ref="M68" si="164">+M69+M70</f>
        <v>0</v>
      </c>
      <c r="N68" s="107"/>
      <c r="O68" s="101">
        <f t="shared" ref="O68:V68" si="165">+O69+O70</f>
        <v>63262677</v>
      </c>
      <c r="P68" s="101">
        <f t="shared" si="165"/>
        <v>65142263</v>
      </c>
      <c r="Q68" s="101">
        <f t="shared" si="165"/>
        <v>65359749</v>
      </c>
      <c r="R68" s="101">
        <f t="shared" si="165"/>
        <v>74093591</v>
      </c>
      <c r="S68" s="101">
        <f t="shared" si="165"/>
        <v>89320045</v>
      </c>
      <c r="T68" s="101">
        <f t="shared" si="165"/>
        <v>92941794</v>
      </c>
      <c r="U68" s="101">
        <f t="shared" si="165"/>
        <v>97358374</v>
      </c>
      <c r="V68" s="101">
        <f t="shared" si="165"/>
        <v>94204277</v>
      </c>
      <c r="W68" s="101">
        <f>+W69+W70</f>
        <v>89320045</v>
      </c>
      <c r="X68" s="101">
        <f>+X69+X70</f>
        <v>80172266</v>
      </c>
      <c r="Y68" s="101">
        <f>+Y69+Y70</f>
        <v>78166642</v>
      </c>
      <c r="Z68" s="101">
        <f t="shared" ref="Z68" si="166">+Z69+Z70</f>
        <v>76645567</v>
      </c>
      <c r="AA68" s="101">
        <f>+AA69+AA70</f>
        <v>79765732</v>
      </c>
      <c r="AB68" s="101">
        <f>+AB69+AB70</f>
        <v>81749311</v>
      </c>
      <c r="AC68" s="101">
        <f>+AC69+AC70</f>
        <v>83990574</v>
      </c>
      <c r="AD68" s="101">
        <f t="shared" ref="AD68" si="167">+AD69+AD70</f>
        <v>86784662</v>
      </c>
      <c r="AE68" s="101">
        <f>+AE69+AE70</f>
        <v>87427858</v>
      </c>
      <c r="AF68" s="101">
        <f>+AF69+AF70</f>
        <v>87410539</v>
      </c>
      <c r="AG68" s="101">
        <f>+AG69+AG70</f>
        <v>87873936</v>
      </c>
      <c r="AH68" s="101">
        <f t="shared" ref="AH68" si="168">+AH69+AH70</f>
        <v>86746672</v>
      </c>
      <c r="AI68" s="245">
        <f>+AI69+AI70</f>
        <v>84215273</v>
      </c>
      <c r="AJ68" s="101">
        <f>+AJ69+AJ70</f>
        <v>82889579</v>
      </c>
      <c r="AK68" s="101">
        <f>+AK69+AK70</f>
        <v>54731368</v>
      </c>
      <c r="AL68" s="101">
        <f t="shared" ref="AL68" si="169">+AL69+AL70</f>
        <v>63262677</v>
      </c>
      <c r="AM68" s="245">
        <f>+AM69+AM70</f>
        <v>58774010</v>
      </c>
      <c r="AN68" s="101">
        <f>+AN69+AN70</f>
        <v>59487243</v>
      </c>
      <c r="AO68" s="101">
        <f>+AO69+AO70</f>
        <v>60166779</v>
      </c>
      <c r="AP68" s="101">
        <f t="shared" ref="AP68" si="170">+AP69+AP70</f>
        <v>60906496</v>
      </c>
      <c r="AQ68" s="245">
        <f>+AQ69+AQ70</f>
        <v>61592517</v>
      </c>
      <c r="AR68" s="101">
        <f>+AR69+AR70</f>
        <v>62495185</v>
      </c>
      <c r="AS68" s="101">
        <f>+AS69+AS70</f>
        <v>63147990</v>
      </c>
      <c r="AT68" s="101">
        <f t="shared" ref="AT68" si="171">+AT69+AT70</f>
        <v>65772757</v>
      </c>
      <c r="AU68" s="245">
        <f>+AU69+AU70</f>
        <v>66555897</v>
      </c>
      <c r="AV68" s="101"/>
    </row>
    <row r="69" spans="2:48" x14ac:dyDescent="0.3">
      <c r="B69" s="109" t="s">
        <v>396</v>
      </c>
      <c r="C69" s="106">
        <v>2489719</v>
      </c>
      <c r="D69" s="106">
        <v>2484788</v>
      </c>
      <c r="E69" s="106">
        <v>2598171</v>
      </c>
      <c r="F69" s="106">
        <v>2690577</v>
      </c>
      <c r="G69" s="106">
        <v>2513547</v>
      </c>
      <c r="H69" s="230">
        <v>2496867</v>
      </c>
      <c r="I69" s="230">
        <v>2529694</v>
      </c>
      <c r="J69" s="230">
        <v>2545462</v>
      </c>
      <c r="K69" s="230">
        <v>2429816</v>
      </c>
      <c r="L69" s="230">
        <v>2429477</v>
      </c>
      <c r="M69" s="91">
        <f>AV69</f>
        <v>0</v>
      </c>
      <c r="N69" s="107"/>
      <c r="O69" s="106">
        <v>2467767</v>
      </c>
      <c r="P69" s="106">
        <v>2487740</v>
      </c>
      <c r="Q69" s="106">
        <v>2517886</v>
      </c>
      <c r="R69" s="108">
        <f>+E69</f>
        <v>2598171</v>
      </c>
      <c r="S69" s="106">
        <v>2721086</v>
      </c>
      <c r="T69" s="106">
        <v>2631452</v>
      </c>
      <c r="U69" s="106">
        <v>2663434</v>
      </c>
      <c r="V69" s="108">
        <f>+F69</f>
        <v>2690577</v>
      </c>
      <c r="W69" s="106">
        <v>2721086</v>
      </c>
      <c r="X69" s="106">
        <v>2671048</v>
      </c>
      <c r="Y69" s="106">
        <v>2563621</v>
      </c>
      <c r="Z69" s="103">
        <f>+G69</f>
        <v>2513547</v>
      </c>
      <c r="AA69" s="106">
        <v>2507779</v>
      </c>
      <c r="AB69" s="106">
        <v>2499882</v>
      </c>
      <c r="AC69" s="106">
        <v>2505898</v>
      </c>
      <c r="AD69" s="103">
        <f>+H69</f>
        <v>2496867</v>
      </c>
      <c r="AE69" s="106">
        <v>2508180</v>
      </c>
      <c r="AF69" s="106">
        <v>2548538</v>
      </c>
      <c r="AG69" s="106">
        <v>2514403</v>
      </c>
      <c r="AH69" s="103">
        <f>+I69</f>
        <v>2529694</v>
      </c>
      <c r="AI69" s="106">
        <v>2542019</v>
      </c>
      <c r="AJ69" s="106">
        <v>2552330</v>
      </c>
      <c r="AK69" s="106">
        <v>2559167</v>
      </c>
      <c r="AL69" s="103">
        <f>+O69</f>
        <v>2467767</v>
      </c>
      <c r="AM69" s="106">
        <v>2527237</v>
      </c>
      <c r="AN69" s="106">
        <v>2512464</v>
      </c>
      <c r="AO69" s="106">
        <v>2452186</v>
      </c>
      <c r="AP69" s="103">
        <f>+K69</f>
        <v>2429816</v>
      </c>
      <c r="AQ69" s="106">
        <v>2404426</v>
      </c>
      <c r="AR69" s="106">
        <v>2397759</v>
      </c>
      <c r="AS69" s="106">
        <v>2416067</v>
      </c>
      <c r="AT69" s="103">
        <f>+L69</f>
        <v>2429477</v>
      </c>
      <c r="AU69" s="106">
        <v>2443888</v>
      </c>
      <c r="AV69" s="106"/>
    </row>
    <row r="70" spans="2:48" s="6" customFormat="1" x14ac:dyDescent="0.3">
      <c r="B70" s="216" t="s">
        <v>397</v>
      </c>
      <c r="C70" s="101">
        <f>+C71+C72</f>
        <v>60309139</v>
      </c>
      <c r="D70" s="101">
        <f t="shared" ref="D70:F70" si="172">+D71+D72</f>
        <v>58201367</v>
      </c>
      <c r="E70" s="101">
        <f t="shared" si="172"/>
        <v>71495420</v>
      </c>
      <c r="F70" s="101">
        <f t="shared" si="172"/>
        <v>91513700</v>
      </c>
      <c r="G70" s="101">
        <f t="shared" ref="G70:H70" si="173">+G71+G72</f>
        <v>74132020</v>
      </c>
      <c r="H70" s="101">
        <f t="shared" si="173"/>
        <v>84287795</v>
      </c>
      <c r="I70" s="101">
        <f t="shared" ref="I70:J70" si="174">+I71+I72</f>
        <v>84216978</v>
      </c>
      <c r="J70" s="101">
        <f t="shared" si="174"/>
        <v>54501775</v>
      </c>
      <c r="K70" s="101">
        <f t="shared" ref="K70:M70" si="175">+K71+K72</f>
        <v>58476680</v>
      </c>
      <c r="L70" s="101">
        <f t="shared" ref="L70" si="176">+L71+L72</f>
        <v>63343280</v>
      </c>
      <c r="M70" s="101">
        <f t="shared" si="175"/>
        <v>0</v>
      </c>
      <c r="N70" s="101"/>
      <c r="O70" s="101">
        <f t="shared" ref="O70:W70" si="177">+O71+O72</f>
        <v>60794910</v>
      </c>
      <c r="P70" s="101">
        <f t="shared" si="177"/>
        <v>62654523</v>
      </c>
      <c r="Q70" s="101">
        <f t="shared" si="177"/>
        <v>62841863</v>
      </c>
      <c r="R70" s="101">
        <f t="shared" si="177"/>
        <v>71495420</v>
      </c>
      <c r="S70" s="101">
        <f t="shared" si="177"/>
        <v>86598959</v>
      </c>
      <c r="T70" s="101">
        <f t="shared" si="177"/>
        <v>90310342</v>
      </c>
      <c r="U70" s="101">
        <f t="shared" si="177"/>
        <v>94694940</v>
      </c>
      <c r="V70" s="101">
        <f t="shared" si="177"/>
        <v>91513700</v>
      </c>
      <c r="W70" s="101">
        <f t="shared" si="177"/>
        <v>86598959</v>
      </c>
      <c r="X70" s="101">
        <f>+X71+X72</f>
        <v>77501218</v>
      </c>
      <c r="Y70" s="101">
        <f>+Y71+Y72</f>
        <v>75603021</v>
      </c>
      <c r="Z70" s="101">
        <f t="shared" ref="Z70:AA70" si="178">+Z71+Z72</f>
        <v>74132020</v>
      </c>
      <c r="AA70" s="101">
        <f t="shared" si="178"/>
        <v>77257953</v>
      </c>
      <c r="AB70" s="101">
        <f>+AB71+AB72</f>
        <v>79249429</v>
      </c>
      <c r="AC70" s="101">
        <f>+AC71+AC72</f>
        <v>81484676</v>
      </c>
      <c r="AD70" s="101">
        <f t="shared" ref="AD70:AE70" si="179">+AD71+AD72</f>
        <v>84287795</v>
      </c>
      <c r="AE70" s="101">
        <f t="shared" si="179"/>
        <v>84919678</v>
      </c>
      <c r="AF70" s="101">
        <f>+AF71+AF72</f>
        <v>84862001</v>
      </c>
      <c r="AG70" s="101">
        <f>+AG71+AG72</f>
        <v>85359533</v>
      </c>
      <c r="AH70" s="101">
        <f t="shared" ref="AH70:AI70" si="180">+AH71+AH72</f>
        <v>84216978</v>
      </c>
      <c r="AI70" s="245">
        <f t="shared" si="180"/>
        <v>81673254</v>
      </c>
      <c r="AJ70" s="101">
        <f>+AJ71+AJ72</f>
        <v>80337249</v>
      </c>
      <c r="AK70" s="101">
        <f>+AK71+AK72</f>
        <v>52172201</v>
      </c>
      <c r="AL70" s="101">
        <f t="shared" ref="AL70:AM70" si="181">+AL71+AL72</f>
        <v>60794910</v>
      </c>
      <c r="AM70" s="245">
        <f t="shared" si="181"/>
        <v>56246773</v>
      </c>
      <c r="AN70" s="101">
        <f>+AN71+AN72</f>
        <v>56974779</v>
      </c>
      <c r="AO70" s="101">
        <f>+AO71+AO72</f>
        <v>57714593</v>
      </c>
      <c r="AP70" s="101">
        <f t="shared" ref="AP70:AQ70" si="182">+AP71+AP72</f>
        <v>58476680</v>
      </c>
      <c r="AQ70" s="245">
        <f t="shared" si="182"/>
        <v>59188091</v>
      </c>
      <c r="AR70" s="101">
        <f>+AR71+AR72</f>
        <v>60097426</v>
      </c>
      <c r="AS70" s="101">
        <f>+AS71+AS72</f>
        <v>60731923</v>
      </c>
      <c r="AT70" s="101">
        <f t="shared" ref="AT70:AU70" si="183">+AT71+AT72</f>
        <v>63343280</v>
      </c>
      <c r="AU70" s="245">
        <f t="shared" si="183"/>
        <v>64112009</v>
      </c>
      <c r="AV70" s="101"/>
    </row>
    <row r="71" spans="2:48" x14ac:dyDescent="0.3">
      <c r="B71" s="105" t="s">
        <v>398</v>
      </c>
      <c r="C71" s="106">
        <v>28433793</v>
      </c>
      <c r="D71" s="106">
        <v>27909102</v>
      </c>
      <c r="E71" s="106">
        <v>34587598</v>
      </c>
      <c r="F71" s="106">
        <v>44815390</v>
      </c>
      <c r="G71" s="106">
        <v>38109102</v>
      </c>
      <c r="H71" s="230">
        <v>42525667</v>
      </c>
      <c r="I71" s="230">
        <v>44536976</v>
      </c>
      <c r="J71" s="230">
        <v>29884300</v>
      </c>
      <c r="K71" s="230">
        <v>32078927</v>
      </c>
      <c r="L71" s="230">
        <v>35040448</v>
      </c>
      <c r="M71" s="91">
        <f>AV71</f>
        <v>0</v>
      </c>
      <c r="N71" s="107"/>
      <c r="O71" s="106">
        <v>28927355</v>
      </c>
      <c r="P71" s="106">
        <v>29805847</v>
      </c>
      <c r="Q71" s="106">
        <v>30453286</v>
      </c>
      <c r="R71" s="108">
        <f>+E71</f>
        <v>34587598</v>
      </c>
      <c r="S71" s="106">
        <v>42337123</v>
      </c>
      <c r="T71" s="106">
        <v>43923932</v>
      </c>
      <c r="U71" s="106">
        <v>45936354</v>
      </c>
      <c r="V71" s="108">
        <f>+F71</f>
        <v>44815390</v>
      </c>
      <c r="W71" s="106">
        <v>42337123</v>
      </c>
      <c r="X71" s="106">
        <v>38699982</v>
      </c>
      <c r="Y71" s="106">
        <v>38570956</v>
      </c>
      <c r="Z71" s="103">
        <f>+G71</f>
        <v>38109102</v>
      </c>
      <c r="AA71" s="106">
        <v>38861833</v>
      </c>
      <c r="AB71" s="106">
        <v>39641444</v>
      </c>
      <c r="AC71" s="106">
        <v>40839543</v>
      </c>
      <c r="AD71" s="103">
        <f>+H71</f>
        <v>42525667</v>
      </c>
      <c r="AE71" s="106">
        <v>43286370</v>
      </c>
      <c r="AF71" s="106">
        <v>43670567</v>
      </c>
      <c r="AG71" s="106">
        <v>44504131</v>
      </c>
      <c r="AH71" s="103">
        <f>+I71</f>
        <v>44536976</v>
      </c>
      <c r="AI71" s="106">
        <v>43962293</v>
      </c>
      <c r="AJ71" s="106">
        <v>43738135</v>
      </c>
      <c r="AK71" s="106">
        <v>28665429</v>
      </c>
      <c r="AL71" s="103">
        <f>+O71</f>
        <v>28927355</v>
      </c>
      <c r="AM71" s="106">
        <v>30827302</v>
      </c>
      <c r="AN71" s="106">
        <v>31262784</v>
      </c>
      <c r="AO71" s="106">
        <v>31640837</v>
      </c>
      <c r="AP71" s="103">
        <f t="shared" ref="AP71:AP72" si="184">+K71</f>
        <v>32078927</v>
      </c>
      <c r="AQ71" s="106">
        <v>32601781</v>
      </c>
      <c r="AR71" s="106">
        <v>33126680</v>
      </c>
      <c r="AS71" s="106">
        <v>33295741</v>
      </c>
      <c r="AT71" s="103">
        <f t="shared" ref="AT71:AT72" si="185">+L71</f>
        <v>35040448</v>
      </c>
      <c r="AU71" s="106">
        <v>35432871</v>
      </c>
      <c r="AV71" s="106"/>
    </row>
    <row r="72" spans="2:48" x14ac:dyDescent="0.3">
      <c r="B72" s="105" t="s">
        <v>399</v>
      </c>
      <c r="C72" s="106">
        <v>31875346</v>
      </c>
      <c r="D72" s="106">
        <v>30292265</v>
      </c>
      <c r="E72" s="106">
        <v>36907822</v>
      </c>
      <c r="F72" s="106">
        <v>46698310</v>
      </c>
      <c r="G72" s="106">
        <v>36022918</v>
      </c>
      <c r="H72" s="230">
        <v>41762128</v>
      </c>
      <c r="I72" s="230">
        <v>39680002</v>
      </c>
      <c r="J72" s="230">
        <v>24617475</v>
      </c>
      <c r="K72" s="230">
        <v>26397753</v>
      </c>
      <c r="L72" s="230">
        <v>28302832</v>
      </c>
      <c r="M72" s="91">
        <f>AV72</f>
        <v>0</v>
      </c>
      <c r="N72" s="107"/>
      <c r="O72" s="106">
        <v>31867555</v>
      </c>
      <c r="P72" s="106">
        <v>32848676</v>
      </c>
      <c r="Q72" s="106">
        <v>32388577</v>
      </c>
      <c r="R72" s="108">
        <f>+E72</f>
        <v>36907822</v>
      </c>
      <c r="S72" s="106">
        <v>44261836</v>
      </c>
      <c r="T72" s="106">
        <v>46386410</v>
      </c>
      <c r="U72" s="106">
        <v>48758586</v>
      </c>
      <c r="V72" s="108">
        <f>+F72</f>
        <v>46698310</v>
      </c>
      <c r="W72" s="106">
        <v>44261836</v>
      </c>
      <c r="X72" s="106">
        <v>38801236</v>
      </c>
      <c r="Y72" s="106">
        <v>37032065</v>
      </c>
      <c r="Z72" s="103">
        <f>+G72</f>
        <v>36022918</v>
      </c>
      <c r="AA72" s="106">
        <v>38396120</v>
      </c>
      <c r="AB72" s="106">
        <v>39607985</v>
      </c>
      <c r="AC72" s="106">
        <v>40645133</v>
      </c>
      <c r="AD72" s="103">
        <f>+H72</f>
        <v>41762128</v>
      </c>
      <c r="AE72" s="106">
        <v>41633308</v>
      </c>
      <c r="AF72" s="106">
        <v>41191434</v>
      </c>
      <c r="AG72" s="106">
        <v>40855402</v>
      </c>
      <c r="AH72" s="103">
        <f>+I72</f>
        <v>39680002</v>
      </c>
      <c r="AI72" s="106">
        <v>37710961</v>
      </c>
      <c r="AJ72" s="106">
        <v>36599114</v>
      </c>
      <c r="AK72" s="106">
        <v>23506772</v>
      </c>
      <c r="AL72" s="103">
        <f>+O72</f>
        <v>31867555</v>
      </c>
      <c r="AM72" s="106">
        <v>25419471</v>
      </c>
      <c r="AN72" s="106">
        <v>25711995</v>
      </c>
      <c r="AO72" s="106">
        <v>26073756</v>
      </c>
      <c r="AP72" s="103">
        <f t="shared" si="184"/>
        <v>26397753</v>
      </c>
      <c r="AQ72" s="106">
        <v>26586310</v>
      </c>
      <c r="AR72" s="106">
        <v>26970746</v>
      </c>
      <c r="AS72" s="106">
        <v>27436182</v>
      </c>
      <c r="AT72" s="103">
        <f t="shared" si="185"/>
        <v>28302832</v>
      </c>
      <c r="AU72" s="106">
        <v>28679138</v>
      </c>
      <c r="AV72" s="106"/>
    </row>
    <row r="73" spans="2:48" x14ac:dyDescent="0.3">
      <c r="B73" s="105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2"/>
      <c r="O73" s="110"/>
      <c r="P73" s="110"/>
      <c r="Q73" s="110"/>
      <c r="R73" s="113"/>
      <c r="S73" s="110"/>
      <c r="T73" s="110"/>
      <c r="U73" s="110"/>
      <c r="V73" s="113"/>
      <c r="W73" s="110"/>
      <c r="X73" s="110"/>
      <c r="Y73" s="110"/>
      <c r="Z73" s="113"/>
      <c r="AA73" s="110"/>
      <c r="AB73" s="110"/>
      <c r="AC73" s="110"/>
      <c r="AD73" s="113"/>
      <c r="AE73" s="110"/>
      <c r="AF73" s="110"/>
      <c r="AG73" s="110"/>
      <c r="AH73" s="113"/>
      <c r="AI73" s="110"/>
      <c r="AJ73" s="110"/>
      <c r="AK73" s="110"/>
      <c r="AL73" s="113"/>
      <c r="AM73" s="110"/>
      <c r="AN73" s="110"/>
      <c r="AO73" s="110"/>
      <c r="AP73" s="113"/>
      <c r="AQ73" s="110"/>
      <c r="AR73" s="110"/>
      <c r="AS73" s="110"/>
      <c r="AT73" s="113"/>
      <c r="AU73" s="110"/>
      <c r="AV73" s="110"/>
    </row>
    <row r="74" spans="2:48" x14ac:dyDescent="0.3">
      <c r="B74" s="38" t="s">
        <v>400</v>
      </c>
      <c r="C74" s="101">
        <f t="shared" ref="C74" si="186">+C75+C76</f>
        <v>6616180</v>
      </c>
      <c r="D74" s="101">
        <f t="shared" ref="D74:F74" si="187">+D75+D76</f>
        <v>-2112703</v>
      </c>
      <c r="E74" s="101">
        <f t="shared" si="187"/>
        <v>13407436</v>
      </c>
      <c r="F74" s="101">
        <f t="shared" si="187"/>
        <v>20110686</v>
      </c>
      <c r="G74" s="101">
        <f t="shared" ref="G74:H74" si="188">+G75+G76</f>
        <v>-17558710</v>
      </c>
      <c r="H74" s="101">
        <f t="shared" si="188"/>
        <v>10139095</v>
      </c>
      <c r="I74" s="101">
        <f t="shared" ref="I74:J74" si="189">+I75+I76</f>
        <v>-37990</v>
      </c>
      <c r="J74" s="101">
        <f t="shared" si="189"/>
        <v>-29699435</v>
      </c>
      <c r="K74" s="101">
        <f t="shared" ref="K74:L74" si="190">+K75+K76</f>
        <v>3859259</v>
      </c>
      <c r="L74" s="101">
        <f t="shared" si="190"/>
        <v>4866261</v>
      </c>
      <c r="M74" s="101">
        <f t="shared" ref="M74" si="191">+M75+M76</f>
        <v>0</v>
      </c>
      <c r="N74" s="107"/>
      <c r="O74" s="101">
        <f t="shared" ref="O74" si="192">+O75+O76</f>
        <v>2576522</v>
      </c>
      <c r="P74" s="101">
        <f t="shared" ref="P74" si="193">+P75+P76</f>
        <v>4456108</v>
      </c>
      <c r="Q74" s="101">
        <f t="shared" ref="Q74" si="194">+Q75+Q76</f>
        <v>4673594</v>
      </c>
      <c r="R74" s="101">
        <f t="shared" ref="R74" si="195">+R75+R76</f>
        <v>13407436</v>
      </c>
      <c r="S74" s="101">
        <f t="shared" ref="S74" si="196">+S75+S76</f>
        <v>9396109</v>
      </c>
      <c r="T74" s="101">
        <f t="shared" ref="T74" si="197">+T75+T76</f>
        <v>9452094</v>
      </c>
      <c r="U74" s="101">
        <f t="shared" ref="U74" si="198">+U75+U76</f>
        <v>4416580</v>
      </c>
      <c r="V74" s="101">
        <f t="shared" ref="V74" si="199">+V75+V76</f>
        <v>20110686</v>
      </c>
      <c r="W74" s="101">
        <f>+W75+W76</f>
        <v>-4884232</v>
      </c>
      <c r="X74" s="101">
        <f t="shared" ref="X74:Z74" si="200">+X75+X76</f>
        <v>-9147779</v>
      </c>
      <c r="Y74" s="101">
        <f t="shared" si="200"/>
        <v>-2005624</v>
      </c>
      <c r="Z74" s="101">
        <f t="shared" si="200"/>
        <v>-17558710</v>
      </c>
      <c r="AA74" s="101">
        <f>+AA75+AA76</f>
        <v>3120165</v>
      </c>
      <c r="AB74" s="101">
        <f t="shared" ref="AB74:AD74" si="201">+AB75+AB76</f>
        <v>1983579</v>
      </c>
      <c r="AC74" s="101">
        <f t="shared" si="201"/>
        <v>2241263</v>
      </c>
      <c r="AD74" s="101">
        <f t="shared" si="201"/>
        <v>10139095</v>
      </c>
      <c r="AE74" s="101">
        <f>+AE75+AE76</f>
        <v>643196</v>
      </c>
      <c r="AF74" s="101">
        <f t="shared" ref="AF74:AH74" si="202">+AF75+AF76</f>
        <v>-17319</v>
      </c>
      <c r="AG74" s="101">
        <f t="shared" si="202"/>
        <v>463397</v>
      </c>
      <c r="AH74" s="101">
        <f t="shared" si="202"/>
        <v>-37990</v>
      </c>
      <c r="AI74" s="101">
        <f>+AI75+AI76</f>
        <v>-2531399</v>
      </c>
      <c r="AJ74" s="101">
        <f t="shared" ref="AJ74:AL74" si="203">+AJ75+AJ76</f>
        <v>-1325694</v>
      </c>
      <c r="AK74" s="101">
        <f t="shared" si="203"/>
        <v>-28158211</v>
      </c>
      <c r="AL74" s="101">
        <f t="shared" si="203"/>
        <v>-29699435</v>
      </c>
      <c r="AM74" s="101">
        <f>+AM75+AM76</f>
        <v>1726773</v>
      </c>
      <c r="AN74" s="101">
        <f t="shared" ref="AN74:AP74" si="204">+AN75+AN76</f>
        <v>713233</v>
      </c>
      <c r="AO74" s="101">
        <f t="shared" si="204"/>
        <v>679536</v>
      </c>
      <c r="AP74" s="101">
        <f t="shared" si="204"/>
        <v>3859259</v>
      </c>
      <c r="AQ74" s="101">
        <f>+AQ75+AQ76</f>
        <v>686021</v>
      </c>
      <c r="AR74" s="101">
        <f t="shared" ref="AR74:AT74" si="205">+AR75+AR76</f>
        <v>902668</v>
      </c>
      <c r="AS74" s="101">
        <f t="shared" si="205"/>
        <v>652805</v>
      </c>
      <c r="AT74" s="101">
        <f t="shared" si="205"/>
        <v>4866261</v>
      </c>
      <c r="AU74" s="101">
        <f>+AU75+AU76</f>
        <v>783140</v>
      </c>
      <c r="AV74" s="101"/>
    </row>
    <row r="75" spans="2:48" x14ac:dyDescent="0.3">
      <c r="B75" s="109" t="s">
        <v>396</v>
      </c>
      <c r="C75" s="106">
        <v>-107308</v>
      </c>
      <c r="D75" s="106">
        <v>-4931</v>
      </c>
      <c r="E75" s="106">
        <v>113383</v>
      </c>
      <c r="F75" s="106">
        <v>92406</v>
      </c>
      <c r="G75" s="106">
        <v>-177030</v>
      </c>
      <c r="H75" s="230">
        <v>-16680</v>
      </c>
      <c r="I75" s="230">
        <v>32827</v>
      </c>
      <c r="J75" s="230">
        <v>15768</v>
      </c>
      <c r="K75" s="230">
        <v>-115646</v>
      </c>
      <c r="L75" s="230">
        <v>-339</v>
      </c>
      <c r="M75" s="91">
        <f>AV75</f>
        <v>0</v>
      </c>
      <c r="N75" s="107"/>
      <c r="O75" s="106">
        <v>-17021</v>
      </c>
      <c r="P75" s="106">
        <v>2952</v>
      </c>
      <c r="Q75" s="106">
        <v>33098</v>
      </c>
      <c r="R75" s="108">
        <f>+E75</f>
        <v>113383</v>
      </c>
      <c r="S75" s="106">
        <v>44563</v>
      </c>
      <c r="T75" s="106">
        <v>-11282</v>
      </c>
      <c r="U75" s="106">
        <v>31982</v>
      </c>
      <c r="V75" s="108">
        <f>+F75</f>
        <v>92406</v>
      </c>
      <c r="W75" s="106">
        <v>30509</v>
      </c>
      <c r="X75" s="106">
        <v>-50038</v>
      </c>
      <c r="Y75" s="106">
        <v>-107427</v>
      </c>
      <c r="Z75" s="103">
        <f>+G75</f>
        <v>-177030</v>
      </c>
      <c r="AA75" s="106">
        <v>-5768</v>
      </c>
      <c r="AB75" s="106">
        <v>-7897</v>
      </c>
      <c r="AC75" s="106">
        <v>6016</v>
      </c>
      <c r="AD75" s="103">
        <f>+H75</f>
        <v>-16680</v>
      </c>
      <c r="AE75" s="106">
        <v>11313</v>
      </c>
      <c r="AF75" s="106">
        <v>40358</v>
      </c>
      <c r="AG75" s="106">
        <v>-34135</v>
      </c>
      <c r="AH75" s="103">
        <f>+I75</f>
        <v>32827</v>
      </c>
      <c r="AI75" s="106">
        <v>12325</v>
      </c>
      <c r="AJ75" s="106">
        <v>10311</v>
      </c>
      <c r="AK75" s="106">
        <v>6837</v>
      </c>
      <c r="AL75" s="103">
        <f>+J75</f>
        <v>15768</v>
      </c>
      <c r="AM75" s="106">
        <v>-18225</v>
      </c>
      <c r="AN75" s="106">
        <v>-14773</v>
      </c>
      <c r="AO75" s="106">
        <v>-60278</v>
      </c>
      <c r="AP75" s="103">
        <f>+K75</f>
        <v>-115646</v>
      </c>
      <c r="AQ75" s="106">
        <v>-25390</v>
      </c>
      <c r="AR75" s="106">
        <v>-6667</v>
      </c>
      <c r="AS75" s="106">
        <v>18308</v>
      </c>
      <c r="AT75" s="103">
        <f>+L75</f>
        <v>-339</v>
      </c>
      <c r="AU75" s="106">
        <v>14411</v>
      </c>
      <c r="AV75" s="106"/>
    </row>
    <row r="76" spans="2:48" s="6" customFormat="1" x14ac:dyDescent="0.3">
      <c r="B76" s="216" t="s">
        <v>397</v>
      </c>
      <c r="C76" s="101">
        <f>+C77+C78</f>
        <v>6723488</v>
      </c>
      <c r="D76" s="101">
        <f t="shared" ref="D76:F76" si="206">+D77+D78</f>
        <v>-2107772</v>
      </c>
      <c r="E76" s="101">
        <f t="shared" si="206"/>
        <v>13294053</v>
      </c>
      <c r="F76" s="101">
        <f t="shared" si="206"/>
        <v>20018280</v>
      </c>
      <c r="G76" s="101">
        <f t="shared" ref="G76:H76" si="207">+G77+G78</f>
        <v>-17381680</v>
      </c>
      <c r="H76" s="101">
        <f t="shared" si="207"/>
        <v>10155775</v>
      </c>
      <c r="I76" s="101">
        <f t="shared" ref="I76:J76" si="208">+I77+I78</f>
        <v>-70817</v>
      </c>
      <c r="J76" s="101">
        <f t="shared" si="208"/>
        <v>-29715203</v>
      </c>
      <c r="K76" s="101">
        <f t="shared" ref="K76:L76" si="209">+K77+K78</f>
        <v>3974905</v>
      </c>
      <c r="L76" s="101">
        <f t="shared" si="209"/>
        <v>4866600</v>
      </c>
      <c r="M76" s="101">
        <f t="shared" ref="M76" si="210">+M77+M78</f>
        <v>0</v>
      </c>
      <c r="N76" s="101"/>
      <c r="O76" s="101">
        <f t="shared" ref="O76:W76" si="211">+O77+O78</f>
        <v>2593543</v>
      </c>
      <c r="P76" s="101">
        <f t="shared" si="211"/>
        <v>4453156</v>
      </c>
      <c r="Q76" s="101">
        <f t="shared" si="211"/>
        <v>4640496</v>
      </c>
      <c r="R76" s="101">
        <f t="shared" si="211"/>
        <v>13294053</v>
      </c>
      <c r="S76" s="101">
        <f t="shared" si="211"/>
        <v>9351546</v>
      </c>
      <c r="T76" s="101">
        <f t="shared" si="211"/>
        <v>9463376</v>
      </c>
      <c r="U76" s="101">
        <f t="shared" si="211"/>
        <v>4384598</v>
      </c>
      <c r="V76" s="101">
        <f t="shared" si="211"/>
        <v>20018280</v>
      </c>
      <c r="W76" s="101">
        <f t="shared" si="211"/>
        <v>-4914741</v>
      </c>
      <c r="X76" s="101">
        <f t="shared" ref="X76:AA76" si="212">+X77+X78</f>
        <v>-9097741</v>
      </c>
      <c r="Y76" s="101">
        <f t="shared" si="212"/>
        <v>-1898197</v>
      </c>
      <c r="Z76" s="101">
        <f t="shared" si="212"/>
        <v>-17381680</v>
      </c>
      <c r="AA76" s="101">
        <f t="shared" si="212"/>
        <v>3125933</v>
      </c>
      <c r="AB76" s="101">
        <f t="shared" ref="AB76:AE76" si="213">+AB77+AB78</f>
        <v>1991476</v>
      </c>
      <c r="AC76" s="101">
        <f t="shared" si="213"/>
        <v>2235247</v>
      </c>
      <c r="AD76" s="101">
        <f t="shared" si="213"/>
        <v>10155775</v>
      </c>
      <c r="AE76" s="101">
        <f t="shared" si="213"/>
        <v>631883</v>
      </c>
      <c r="AF76" s="101">
        <f t="shared" ref="AF76:AI76" si="214">+AF77+AF78</f>
        <v>-57677</v>
      </c>
      <c r="AG76" s="101">
        <f t="shared" si="214"/>
        <v>497532</v>
      </c>
      <c r="AH76" s="101">
        <f t="shared" si="214"/>
        <v>-70817</v>
      </c>
      <c r="AI76" s="101">
        <f t="shared" si="214"/>
        <v>-2543724</v>
      </c>
      <c r="AJ76" s="101">
        <f t="shared" ref="AJ76:AM76" si="215">+AJ77+AJ78</f>
        <v>-1336005</v>
      </c>
      <c r="AK76" s="101">
        <f t="shared" si="215"/>
        <v>-28165048</v>
      </c>
      <c r="AL76" s="101">
        <f t="shared" si="215"/>
        <v>-29715203</v>
      </c>
      <c r="AM76" s="101">
        <f t="shared" si="215"/>
        <v>1744998</v>
      </c>
      <c r="AN76" s="101">
        <f t="shared" ref="AN76:AQ76" si="216">+AN77+AN78</f>
        <v>728006</v>
      </c>
      <c r="AO76" s="101">
        <f t="shared" si="216"/>
        <v>739814</v>
      </c>
      <c r="AP76" s="101">
        <f t="shared" si="216"/>
        <v>3974905</v>
      </c>
      <c r="AQ76" s="101">
        <f t="shared" si="216"/>
        <v>711411</v>
      </c>
      <c r="AR76" s="101">
        <f t="shared" ref="AR76:AU76" si="217">+AR77+AR78</f>
        <v>909335</v>
      </c>
      <c r="AS76" s="101">
        <f t="shared" si="217"/>
        <v>634497</v>
      </c>
      <c r="AT76" s="101">
        <f t="shared" si="217"/>
        <v>4866600</v>
      </c>
      <c r="AU76" s="101">
        <f t="shared" si="217"/>
        <v>768729</v>
      </c>
      <c r="AV76" s="101"/>
    </row>
    <row r="77" spans="2:48" x14ac:dyDescent="0.3">
      <c r="B77" s="105" t="s">
        <v>398</v>
      </c>
      <c r="C77" s="106">
        <v>2518697</v>
      </c>
      <c r="D77" s="106">
        <v>-524691</v>
      </c>
      <c r="E77" s="106">
        <v>6678496</v>
      </c>
      <c r="F77" s="106">
        <v>10227792</v>
      </c>
      <c r="G77" s="106">
        <v>-6706288</v>
      </c>
      <c r="H77" s="230">
        <v>4416565</v>
      </c>
      <c r="I77" s="230">
        <v>2011309</v>
      </c>
      <c r="J77" s="230">
        <v>-14652676</v>
      </c>
      <c r="K77" s="230">
        <v>2194627</v>
      </c>
      <c r="L77" s="230">
        <v>2961521</v>
      </c>
      <c r="M77" s="91">
        <f>AV77</f>
        <v>0</v>
      </c>
      <c r="N77" s="107"/>
      <c r="O77" s="106">
        <v>1018253</v>
      </c>
      <c r="P77" s="106">
        <v>1896745</v>
      </c>
      <c r="Q77" s="106">
        <v>2544184</v>
      </c>
      <c r="R77" s="108">
        <f t="shared" ref="R77:R78" si="218">+E77</f>
        <v>6678496</v>
      </c>
      <c r="S77" s="106">
        <v>4741083</v>
      </c>
      <c r="T77" s="106">
        <v>4595251</v>
      </c>
      <c r="U77" s="106">
        <v>2012422</v>
      </c>
      <c r="V77" s="108">
        <f>+F77</f>
        <v>10227792</v>
      </c>
      <c r="W77" s="106">
        <v>-2478267</v>
      </c>
      <c r="X77" s="106">
        <v>-3637141</v>
      </c>
      <c r="Y77" s="106">
        <v>-129026</v>
      </c>
      <c r="Z77" s="103">
        <f>+G77</f>
        <v>-6706288</v>
      </c>
      <c r="AA77" s="106">
        <v>752731</v>
      </c>
      <c r="AB77" s="106">
        <v>779611</v>
      </c>
      <c r="AC77" s="106">
        <v>1198099</v>
      </c>
      <c r="AD77" s="103">
        <f>+H77</f>
        <v>4416565</v>
      </c>
      <c r="AE77" s="106">
        <v>760703</v>
      </c>
      <c r="AF77" s="106">
        <v>384197</v>
      </c>
      <c r="AG77" s="106">
        <v>833564</v>
      </c>
      <c r="AH77" s="103">
        <f>+I77</f>
        <v>2011309</v>
      </c>
      <c r="AI77" s="106">
        <v>-574683</v>
      </c>
      <c r="AJ77" s="106">
        <v>-224158</v>
      </c>
      <c r="AK77" s="106">
        <v>-15072706</v>
      </c>
      <c r="AL77" s="103">
        <f>+J77</f>
        <v>-14652676</v>
      </c>
      <c r="AM77" s="106">
        <v>943002</v>
      </c>
      <c r="AN77" s="106">
        <v>435482</v>
      </c>
      <c r="AO77" s="106">
        <v>378053</v>
      </c>
      <c r="AP77" s="103">
        <f t="shared" ref="AP77:AP78" si="219">+K77</f>
        <v>2194627</v>
      </c>
      <c r="AQ77" s="106">
        <v>522854</v>
      </c>
      <c r="AR77" s="106">
        <v>524899</v>
      </c>
      <c r="AS77" s="106">
        <v>169061</v>
      </c>
      <c r="AT77" s="103">
        <f>+L77</f>
        <v>2961521</v>
      </c>
      <c r="AU77" s="106">
        <v>392423</v>
      </c>
      <c r="AV77" s="106"/>
    </row>
    <row r="78" spans="2:48" x14ac:dyDescent="0.3">
      <c r="B78" s="105" t="s">
        <v>399</v>
      </c>
      <c r="C78" s="106">
        <v>4204791</v>
      </c>
      <c r="D78" s="106">
        <v>-1583081</v>
      </c>
      <c r="E78" s="106">
        <v>6615557</v>
      </c>
      <c r="F78" s="106">
        <v>9790488</v>
      </c>
      <c r="G78" s="106">
        <v>-10675392</v>
      </c>
      <c r="H78" s="230">
        <v>5739210</v>
      </c>
      <c r="I78" s="230">
        <v>-2082126</v>
      </c>
      <c r="J78" s="230">
        <v>-15062527</v>
      </c>
      <c r="K78" s="230">
        <v>1780278</v>
      </c>
      <c r="L78" s="230">
        <v>1905079</v>
      </c>
      <c r="M78" s="91">
        <f>AV78</f>
        <v>0</v>
      </c>
      <c r="N78" s="107"/>
      <c r="O78" s="106">
        <v>1575290</v>
      </c>
      <c r="P78" s="106">
        <v>2556411</v>
      </c>
      <c r="Q78" s="106">
        <v>2096312</v>
      </c>
      <c r="R78" s="108">
        <f t="shared" si="218"/>
        <v>6615557</v>
      </c>
      <c r="S78" s="106">
        <v>4610463</v>
      </c>
      <c r="T78" s="106">
        <v>4868125</v>
      </c>
      <c r="U78" s="106">
        <v>2372176</v>
      </c>
      <c r="V78" s="108">
        <f>+F78</f>
        <v>9790488</v>
      </c>
      <c r="W78" s="106">
        <v>-2436474</v>
      </c>
      <c r="X78" s="106">
        <v>-5460600</v>
      </c>
      <c r="Y78" s="106">
        <v>-1769171</v>
      </c>
      <c r="Z78" s="103">
        <f>+G78</f>
        <v>-10675392</v>
      </c>
      <c r="AA78" s="106">
        <v>2373202</v>
      </c>
      <c r="AB78" s="106">
        <v>1211865</v>
      </c>
      <c r="AC78" s="106">
        <v>1037148</v>
      </c>
      <c r="AD78" s="103">
        <f>+H78</f>
        <v>5739210</v>
      </c>
      <c r="AE78" s="106">
        <v>-128820</v>
      </c>
      <c r="AF78" s="106">
        <v>-441874</v>
      </c>
      <c r="AG78" s="106">
        <v>-336032</v>
      </c>
      <c r="AH78" s="103">
        <f>+I78</f>
        <v>-2082126</v>
      </c>
      <c r="AI78" s="106">
        <v>-1969041</v>
      </c>
      <c r="AJ78" s="106">
        <v>-1111847</v>
      </c>
      <c r="AK78" s="106">
        <v>-13092342</v>
      </c>
      <c r="AL78" s="103">
        <f>+J78</f>
        <v>-15062527</v>
      </c>
      <c r="AM78" s="106">
        <v>801996</v>
      </c>
      <c r="AN78" s="106">
        <v>292524</v>
      </c>
      <c r="AO78" s="106">
        <v>361761</v>
      </c>
      <c r="AP78" s="103">
        <f t="shared" si="219"/>
        <v>1780278</v>
      </c>
      <c r="AQ78" s="106">
        <v>188557</v>
      </c>
      <c r="AR78" s="106">
        <v>384436</v>
      </c>
      <c r="AS78" s="106">
        <v>465436</v>
      </c>
      <c r="AT78" s="103">
        <f>+L78</f>
        <v>1905079</v>
      </c>
      <c r="AU78" s="106">
        <v>376306</v>
      </c>
      <c r="AV78" s="106"/>
    </row>
    <row r="79" spans="2:48" x14ac:dyDescent="0.3">
      <c r="B79" s="109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2"/>
      <c r="N79" s="112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243"/>
      <c r="AJ79" s="110"/>
      <c r="AK79" s="110"/>
      <c r="AL79" s="110"/>
      <c r="AM79" s="243"/>
      <c r="AN79" s="110"/>
      <c r="AO79" s="110"/>
      <c r="AP79" s="110"/>
      <c r="AQ79" s="243"/>
      <c r="AR79" s="110"/>
      <c r="AS79" s="110"/>
      <c r="AT79" s="110"/>
      <c r="AU79" s="243"/>
      <c r="AV79" s="110"/>
    </row>
    <row r="80" spans="2:48" s="6" customFormat="1" ht="14.5" x14ac:dyDescent="0.35">
      <c r="B80" s="6" t="s">
        <v>401</v>
      </c>
      <c r="C80"/>
      <c r="D80"/>
      <c r="E80"/>
      <c r="F80"/>
      <c r="G80"/>
      <c r="H80"/>
      <c r="I80"/>
      <c r="J80"/>
      <c r="K80"/>
      <c r="L80"/>
      <c r="M80" s="231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 s="244"/>
      <c r="AJ80"/>
      <c r="AK80"/>
      <c r="AL80"/>
      <c r="AM80" s="244"/>
      <c r="AN80"/>
      <c r="AO80"/>
      <c r="AP80"/>
      <c r="AQ80" s="244"/>
      <c r="AR80"/>
      <c r="AS80"/>
      <c r="AT80"/>
      <c r="AU80" s="244"/>
      <c r="AV80"/>
    </row>
    <row r="81" spans="2:49" x14ac:dyDescent="0.3">
      <c r="B81" s="109" t="s">
        <v>402</v>
      </c>
      <c r="C81" s="110">
        <v>1132</v>
      </c>
      <c r="D81" s="110">
        <v>1173</v>
      </c>
      <c r="E81" s="110">
        <v>919</v>
      </c>
      <c r="F81" s="110">
        <v>907</v>
      </c>
      <c r="G81" s="110">
        <v>850</v>
      </c>
      <c r="H81" s="231">
        <v>821</v>
      </c>
      <c r="I81" s="231">
        <v>839</v>
      </c>
      <c r="J81" s="231">
        <v>855</v>
      </c>
      <c r="K81" s="231">
        <v>914</v>
      </c>
      <c r="L81" s="231">
        <v>909</v>
      </c>
      <c r="M81" s="91">
        <f>AV81</f>
        <v>0</v>
      </c>
      <c r="N81" s="113"/>
      <c r="O81" s="110">
        <v>957</v>
      </c>
      <c r="P81" s="110">
        <v>938</v>
      </c>
      <c r="Q81" s="110">
        <v>933</v>
      </c>
      <c r="R81" s="110">
        <v>914</v>
      </c>
      <c r="S81" s="110">
        <v>889</v>
      </c>
      <c r="T81" s="110">
        <v>882</v>
      </c>
      <c r="U81" s="110">
        <v>934</v>
      </c>
      <c r="V81" s="110">
        <v>921</v>
      </c>
      <c r="W81" s="106">
        <v>858</v>
      </c>
      <c r="X81" s="110">
        <v>815</v>
      </c>
      <c r="Y81" s="110">
        <v>845</v>
      </c>
      <c r="Z81" s="110">
        <v>832</v>
      </c>
      <c r="AA81" s="106">
        <v>882</v>
      </c>
      <c r="AB81" s="110">
        <v>822</v>
      </c>
      <c r="AC81" s="110">
        <v>802</v>
      </c>
      <c r="AD81" s="110">
        <v>776</v>
      </c>
      <c r="AE81" s="106">
        <v>888</v>
      </c>
      <c r="AF81" s="110">
        <v>823</v>
      </c>
      <c r="AG81" s="110">
        <v>811</v>
      </c>
      <c r="AH81" s="110">
        <v>822</v>
      </c>
      <c r="AI81" s="110">
        <v>850</v>
      </c>
      <c r="AJ81" s="110">
        <v>845</v>
      </c>
      <c r="AK81" s="110">
        <v>846</v>
      </c>
      <c r="AL81" s="110">
        <v>864</v>
      </c>
      <c r="AM81" s="110">
        <v>876</v>
      </c>
      <c r="AN81" s="110">
        <v>886</v>
      </c>
      <c r="AO81" s="110">
        <v>929</v>
      </c>
      <c r="AP81" s="110">
        <v>958</v>
      </c>
      <c r="AQ81" s="110">
        <v>910</v>
      </c>
      <c r="AR81" s="110">
        <v>907</v>
      </c>
      <c r="AS81" s="110">
        <v>908</v>
      </c>
      <c r="AT81" s="110">
        <v>935</v>
      </c>
      <c r="AU81" s="110">
        <v>909</v>
      </c>
      <c r="AV81" s="110"/>
      <c r="AW81" s="6"/>
    </row>
    <row r="82" spans="2:49" x14ac:dyDescent="0.3">
      <c r="B82" s="109" t="s">
        <v>403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231"/>
      <c r="N82" s="113"/>
      <c r="O82" s="110"/>
      <c r="P82" s="110"/>
      <c r="Q82" s="110"/>
      <c r="R82" s="110"/>
      <c r="S82" s="110"/>
      <c r="T82" s="110"/>
      <c r="U82" s="110"/>
      <c r="V82" s="110"/>
      <c r="W82" s="106"/>
      <c r="X82" s="110"/>
      <c r="Y82" s="110"/>
      <c r="Z82" s="110"/>
      <c r="AA82" s="106"/>
      <c r="AB82" s="110"/>
      <c r="AC82" s="110"/>
      <c r="AD82" s="110"/>
      <c r="AE82" s="106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6"/>
    </row>
    <row r="83" spans="2:49" x14ac:dyDescent="0.3">
      <c r="B83" s="105" t="s">
        <v>404</v>
      </c>
      <c r="C83" s="110">
        <v>108</v>
      </c>
      <c r="D83" s="110">
        <v>115</v>
      </c>
      <c r="E83" s="110">
        <v>119</v>
      </c>
      <c r="F83" s="110">
        <v>108</v>
      </c>
      <c r="G83" s="110">
        <v>93</v>
      </c>
      <c r="H83" s="231">
        <v>99</v>
      </c>
      <c r="I83" s="231">
        <v>98</v>
      </c>
      <c r="J83" s="231">
        <v>121</v>
      </c>
      <c r="K83" s="231">
        <v>148</v>
      </c>
      <c r="L83" s="231">
        <v>136</v>
      </c>
      <c r="M83" s="91">
        <f t="shared" ref="M83:M84" si="220">AV83</f>
        <v>0</v>
      </c>
      <c r="N83" s="113"/>
      <c r="O83" s="110">
        <v>125</v>
      </c>
      <c r="P83" s="110">
        <v>126</v>
      </c>
      <c r="Q83" s="110">
        <v>124</v>
      </c>
      <c r="R83" s="110">
        <v>122</v>
      </c>
      <c r="S83" s="110">
        <v>114</v>
      </c>
      <c r="T83" s="110">
        <v>105</v>
      </c>
      <c r="U83" s="110">
        <v>97</v>
      </c>
      <c r="V83" s="110">
        <v>94</v>
      </c>
      <c r="W83" s="106">
        <v>91</v>
      </c>
      <c r="X83" s="110">
        <v>90</v>
      </c>
      <c r="Y83" s="110">
        <v>100</v>
      </c>
      <c r="Z83" s="110">
        <v>105</v>
      </c>
      <c r="AA83" s="106">
        <v>103</v>
      </c>
      <c r="AB83" s="106">
        <v>103</v>
      </c>
      <c r="AC83" s="110">
        <v>98</v>
      </c>
      <c r="AD83" s="110">
        <v>97</v>
      </c>
      <c r="AE83" s="106">
        <v>96</v>
      </c>
      <c r="AF83" s="106">
        <v>98</v>
      </c>
      <c r="AG83" s="110">
        <v>96</v>
      </c>
      <c r="AH83" s="110">
        <v>98</v>
      </c>
      <c r="AI83" s="110">
        <v>98</v>
      </c>
      <c r="AJ83" s="106">
        <v>101</v>
      </c>
      <c r="AK83" s="110">
        <v>126</v>
      </c>
      <c r="AL83" s="110">
        <v>160</v>
      </c>
      <c r="AM83" s="110">
        <v>152</v>
      </c>
      <c r="AN83" s="106">
        <v>149</v>
      </c>
      <c r="AO83" s="110">
        <v>146</v>
      </c>
      <c r="AP83" s="110">
        <v>140</v>
      </c>
      <c r="AQ83" s="110">
        <v>136</v>
      </c>
      <c r="AR83" s="106">
        <v>136</v>
      </c>
      <c r="AS83" s="110">
        <v>138</v>
      </c>
      <c r="AT83" s="110">
        <v>141</v>
      </c>
      <c r="AU83" s="110">
        <v>134</v>
      </c>
      <c r="AV83" s="106"/>
    </row>
    <row r="84" spans="2:49" x14ac:dyDescent="0.3">
      <c r="B84" s="105" t="s">
        <v>405</v>
      </c>
      <c r="C84" s="110">
        <v>63</v>
      </c>
      <c r="D84" s="110">
        <v>66</v>
      </c>
      <c r="E84" s="110">
        <v>66</v>
      </c>
      <c r="F84" s="110">
        <v>61</v>
      </c>
      <c r="G84" s="110">
        <v>60</v>
      </c>
      <c r="H84" s="231">
        <v>66</v>
      </c>
      <c r="I84" s="231">
        <v>63</v>
      </c>
      <c r="J84" s="231">
        <v>84</v>
      </c>
      <c r="K84" s="231">
        <v>112</v>
      </c>
      <c r="L84" s="231">
        <v>108</v>
      </c>
      <c r="M84" s="91">
        <f t="shared" si="220"/>
        <v>0</v>
      </c>
      <c r="N84" s="113"/>
      <c r="O84" s="110">
        <v>69</v>
      </c>
      <c r="P84" s="110">
        <v>69</v>
      </c>
      <c r="Q84" s="110">
        <v>70</v>
      </c>
      <c r="R84" s="110">
        <v>66</v>
      </c>
      <c r="S84" s="110">
        <v>62</v>
      </c>
      <c r="T84" s="110">
        <v>57</v>
      </c>
      <c r="U84" s="110">
        <v>55</v>
      </c>
      <c r="V84" s="110">
        <v>58</v>
      </c>
      <c r="W84" s="106">
        <v>57</v>
      </c>
      <c r="X84" s="110">
        <v>60</v>
      </c>
      <c r="Y84" s="110">
        <v>65</v>
      </c>
      <c r="Z84" s="110">
        <v>68</v>
      </c>
      <c r="AA84" s="106">
        <v>67</v>
      </c>
      <c r="AB84" s="106">
        <v>66</v>
      </c>
      <c r="AC84" s="110">
        <v>64</v>
      </c>
      <c r="AD84" s="110">
        <v>63</v>
      </c>
      <c r="AE84" s="106">
        <v>60</v>
      </c>
      <c r="AF84" s="106">
        <v>63</v>
      </c>
      <c r="AG84" s="110">
        <v>62</v>
      </c>
      <c r="AH84" s="110">
        <v>63</v>
      </c>
      <c r="AI84" s="110">
        <v>66</v>
      </c>
      <c r="AJ84" s="106">
        <v>71</v>
      </c>
      <c r="AK84" s="110">
        <v>91</v>
      </c>
      <c r="AL84" s="110">
        <v>118</v>
      </c>
      <c r="AM84" s="110">
        <v>115</v>
      </c>
      <c r="AN84" s="106">
        <v>113</v>
      </c>
      <c r="AO84" s="110">
        <v>111</v>
      </c>
      <c r="AP84" s="110">
        <v>110</v>
      </c>
      <c r="AQ84" s="110">
        <v>107</v>
      </c>
      <c r="AR84" s="106">
        <v>110</v>
      </c>
      <c r="AS84" s="110">
        <v>107</v>
      </c>
      <c r="AT84" s="110">
        <v>112</v>
      </c>
      <c r="AU84" s="110">
        <v>105</v>
      </c>
      <c r="AV84" s="106"/>
    </row>
    <row r="85" spans="2:49" x14ac:dyDescent="0.3">
      <c r="B85" s="105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3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243"/>
      <c r="AJ85" s="110"/>
      <c r="AK85" s="110"/>
      <c r="AL85" s="110"/>
      <c r="AM85" s="243"/>
      <c r="AN85" s="110"/>
      <c r="AO85" s="110"/>
      <c r="AP85" s="110"/>
      <c r="AQ85" s="243"/>
      <c r="AR85" s="110"/>
      <c r="AS85" s="110"/>
      <c r="AT85" s="110"/>
      <c r="AU85" s="243"/>
      <c r="AV85" s="110"/>
    </row>
    <row r="86" spans="2:49" ht="14.5" x14ac:dyDescent="0.35">
      <c r="B86" s="121" t="s">
        <v>406</v>
      </c>
      <c r="AI86" s="115"/>
      <c r="AM86" s="115"/>
      <c r="AQ86" s="115"/>
      <c r="AU86" s="115"/>
    </row>
    <row r="87" spans="2:49" x14ac:dyDescent="0.3">
      <c r="B87" s="109" t="s">
        <v>402</v>
      </c>
      <c r="C87" s="115">
        <v>3.3000000000000002E-2</v>
      </c>
      <c r="D87" s="115">
        <v>2.5000000000000001E-2</v>
      </c>
      <c r="E87" s="115">
        <v>1.7999999999999999E-2</v>
      </c>
      <c r="F87" s="115">
        <v>1.7000000000000001E-2</v>
      </c>
      <c r="G87" s="115">
        <v>1.7999999999999999E-2</v>
      </c>
      <c r="H87" s="232">
        <v>1.6E-2</v>
      </c>
      <c r="I87" s="232">
        <v>1.6E-2</v>
      </c>
      <c r="J87" s="232">
        <v>1.4999999999999999E-2</v>
      </c>
      <c r="K87" s="232">
        <v>1.6E-2</v>
      </c>
      <c r="L87" s="232">
        <v>1.2E-2</v>
      </c>
      <c r="M87" s="213">
        <f>AV87</f>
        <v>0</v>
      </c>
      <c r="N87" s="333"/>
      <c r="O87" s="115">
        <v>2.3E-2</v>
      </c>
      <c r="P87" s="115">
        <v>2.1000000000000001E-2</v>
      </c>
      <c r="Q87" s="115">
        <v>1.9E-2</v>
      </c>
      <c r="R87" s="115">
        <v>1.4999999999999999E-2</v>
      </c>
      <c r="S87" s="115">
        <v>1.4999999999999999E-2</v>
      </c>
      <c r="T87" s="115">
        <v>0.02</v>
      </c>
      <c r="U87" s="115">
        <v>1.7000000000000001E-2</v>
      </c>
      <c r="V87" s="115">
        <v>1.4999999999999999E-2</v>
      </c>
      <c r="W87" s="115">
        <v>1.4E-2</v>
      </c>
      <c r="X87" s="115">
        <v>1.0999999999999999E-2</v>
      </c>
      <c r="Y87" s="115">
        <v>2.5000000000000001E-2</v>
      </c>
      <c r="Z87" s="115">
        <v>2.1000000000000001E-2</v>
      </c>
      <c r="AA87" s="115">
        <v>1.6E-2</v>
      </c>
      <c r="AB87" s="115">
        <v>1.7000000000000001E-2</v>
      </c>
      <c r="AC87" s="115">
        <v>1.6E-2</v>
      </c>
      <c r="AD87" s="115">
        <v>1.6E-2</v>
      </c>
      <c r="AE87" s="115">
        <v>1.7000000000000001E-2</v>
      </c>
      <c r="AF87" s="115">
        <v>1.0999999999999999E-2</v>
      </c>
      <c r="AG87" s="115">
        <v>2.1999999999999999E-2</v>
      </c>
      <c r="AH87" s="115">
        <v>1.4E-2</v>
      </c>
      <c r="AI87" s="115">
        <v>1.4999999999999999E-2</v>
      </c>
      <c r="AJ87" s="115">
        <v>1.4E-2</v>
      </c>
      <c r="AK87" s="115">
        <v>1.4999999999999999E-2</v>
      </c>
      <c r="AL87" s="115">
        <v>1.4999999999999999E-2</v>
      </c>
      <c r="AM87" s="115">
        <v>1.6E-2</v>
      </c>
      <c r="AN87" s="115">
        <v>1.4E-2</v>
      </c>
      <c r="AO87" s="115">
        <v>1.6E-2</v>
      </c>
      <c r="AP87" s="115">
        <v>1.2999999999999999E-2</v>
      </c>
      <c r="AQ87" s="115">
        <v>1.2999999999999999E-2</v>
      </c>
      <c r="AR87" s="115">
        <v>1.2E-2</v>
      </c>
      <c r="AS87" s="115">
        <v>1.2999999999999999E-2</v>
      </c>
      <c r="AT87" s="115">
        <v>1.0999999999999999E-2</v>
      </c>
      <c r="AU87" s="115">
        <v>1.0999999999999999E-2</v>
      </c>
      <c r="AV87" s="115"/>
    </row>
    <row r="88" spans="2:49" x14ac:dyDescent="0.3">
      <c r="B88" s="109" t="s">
        <v>403</v>
      </c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213"/>
      <c r="N88" s="333"/>
      <c r="O88" s="115"/>
      <c r="P88" s="114"/>
      <c r="Q88" s="114"/>
      <c r="R88" s="114"/>
      <c r="S88" s="115"/>
      <c r="T88" s="115"/>
      <c r="U88" s="115"/>
      <c r="V88" s="115"/>
      <c r="W88" s="114"/>
      <c r="X88" s="115"/>
      <c r="Y88" s="115"/>
      <c r="Z88" s="115"/>
      <c r="AA88" s="114"/>
      <c r="AB88" s="115"/>
      <c r="AC88" s="115"/>
      <c r="AD88" s="115"/>
      <c r="AE88" s="114"/>
      <c r="AF88" s="115"/>
      <c r="AG88" s="115"/>
      <c r="AH88" s="115"/>
      <c r="AI88" s="115"/>
      <c r="AJ88" s="115"/>
      <c r="AK88" s="115"/>
      <c r="AL88" s="115"/>
      <c r="AM88" s="115"/>
      <c r="AN88" s="115"/>
      <c r="AO88" s="115"/>
      <c r="AP88" s="115"/>
      <c r="AQ88" s="115"/>
      <c r="AR88" s="115"/>
      <c r="AS88" s="115"/>
      <c r="AT88" s="115"/>
      <c r="AU88" s="115"/>
      <c r="AV88" s="115"/>
    </row>
    <row r="89" spans="2:49" x14ac:dyDescent="0.3">
      <c r="B89" s="105" t="s">
        <v>404</v>
      </c>
      <c r="C89" s="115">
        <v>6.8000000000000005E-2</v>
      </c>
      <c r="D89" s="115">
        <v>7.6999999999999999E-2</v>
      </c>
      <c r="E89" s="115">
        <v>5.1999999999999998E-2</v>
      </c>
      <c r="F89" s="115">
        <v>3.1E-2</v>
      </c>
      <c r="G89" s="115">
        <v>4.8000000000000001E-2</v>
      </c>
      <c r="H89" s="232">
        <v>2.9000000000000001E-2</v>
      </c>
      <c r="I89" s="232">
        <v>2.8000000000000001E-2</v>
      </c>
      <c r="J89" s="232">
        <v>5.8000000000000003E-2</v>
      </c>
      <c r="K89" s="232">
        <v>1.9E-2</v>
      </c>
      <c r="L89" s="232">
        <v>1.4999999999999999E-2</v>
      </c>
      <c r="M89" s="213">
        <f t="shared" ref="M89:M90" si="221">AV89</f>
        <v>0</v>
      </c>
      <c r="N89" s="333"/>
      <c r="O89" s="115">
        <v>6.5000000000000002E-2</v>
      </c>
      <c r="P89" s="115">
        <v>6.6000000000000003E-2</v>
      </c>
      <c r="Q89" s="115">
        <v>6.5000000000000002E-2</v>
      </c>
      <c r="R89" s="115">
        <v>2.4E-2</v>
      </c>
      <c r="S89" s="115">
        <v>1.7000000000000001E-2</v>
      </c>
      <c r="T89" s="115">
        <v>1.9E-2</v>
      </c>
      <c r="U89" s="115">
        <v>2.8000000000000001E-2</v>
      </c>
      <c r="V89" s="115">
        <v>0.05</v>
      </c>
      <c r="W89" s="115">
        <v>5.3999999999999999E-2</v>
      </c>
      <c r="X89" s="115">
        <v>5.5E-2</v>
      </c>
      <c r="Y89" s="115">
        <v>4.2999999999999997E-2</v>
      </c>
      <c r="Z89" s="115">
        <v>4.2999999999999997E-2</v>
      </c>
      <c r="AA89" s="115">
        <v>3.2000000000000001E-2</v>
      </c>
      <c r="AB89" s="115">
        <v>2.9000000000000001E-2</v>
      </c>
      <c r="AC89" s="115">
        <v>2.8000000000000001E-2</v>
      </c>
      <c r="AD89" s="115">
        <v>2.8000000000000001E-2</v>
      </c>
      <c r="AE89" s="115">
        <v>2.8000000000000001E-2</v>
      </c>
      <c r="AF89" s="115">
        <v>0.03</v>
      </c>
      <c r="AG89" s="115">
        <v>2.7E-2</v>
      </c>
      <c r="AH89" s="115">
        <v>2.7E-2</v>
      </c>
      <c r="AI89" s="115">
        <v>2.4E-2</v>
      </c>
      <c r="AJ89" s="115">
        <v>2.1999999999999999E-2</v>
      </c>
      <c r="AK89" s="115">
        <v>0.16800000000000001</v>
      </c>
      <c r="AL89" s="115">
        <v>1.4999999999999999E-2</v>
      </c>
      <c r="AM89" s="115">
        <v>1.7999999999999999E-2</v>
      </c>
      <c r="AN89" s="115">
        <v>1.9E-2</v>
      </c>
      <c r="AO89" s="115">
        <v>1.9E-2</v>
      </c>
      <c r="AP89" s="115">
        <v>1.7000000000000001E-2</v>
      </c>
      <c r="AQ89" s="115">
        <v>1.6E-2</v>
      </c>
      <c r="AR89" s="115">
        <v>1.6E-2</v>
      </c>
      <c r="AS89" s="115">
        <v>2.1000000000000001E-2</v>
      </c>
      <c r="AT89" s="115">
        <v>7.0000000000000001E-3</v>
      </c>
      <c r="AU89" s="115">
        <v>1.6E-2</v>
      </c>
      <c r="AV89" s="115"/>
    </row>
    <row r="90" spans="2:49" x14ac:dyDescent="0.3">
      <c r="B90" s="105" t="s">
        <v>405</v>
      </c>
      <c r="C90" s="115">
        <v>6.8000000000000005E-2</v>
      </c>
      <c r="D90" s="115">
        <v>0.08</v>
      </c>
      <c r="E90" s="115">
        <v>5.3999999999999999E-2</v>
      </c>
      <c r="F90" s="115">
        <v>3.5000000000000003E-2</v>
      </c>
      <c r="G90" s="115">
        <v>6.2E-2</v>
      </c>
      <c r="H90" s="232">
        <v>3.5000000000000003E-2</v>
      </c>
      <c r="I90" s="232">
        <v>0.04</v>
      </c>
      <c r="J90" s="232">
        <v>6.4000000000000001E-2</v>
      </c>
      <c r="K90" s="232">
        <v>2.1999999999999999E-2</v>
      </c>
      <c r="L90" s="232">
        <v>0.02</v>
      </c>
      <c r="M90" s="213">
        <f t="shared" si="221"/>
        <v>0</v>
      </c>
      <c r="N90" s="333"/>
      <c r="O90" s="115">
        <v>6.0999999999999999E-2</v>
      </c>
      <c r="P90" s="115">
        <v>6.5000000000000002E-2</v>
      </c>
      <c r="Q90" s="115">
        <v>6.8000000000000005E-2</v>
      </c>
      <c r="R90" s="115">
        <v>2.5000000000000001E-2</v>
      </c>
      <c r="S90" s="115">
        <v>0.02</v>
      </c>
      <c r="T90" s="115">
        <v>1.7000000000000001E-2</v>
      </c>
      <c r="U90" s="115">
        <v>2.9000000000000001E-2</v>
      </c>
      <c r="V90" s="115">
        <v>6.2E-2</v>
      </c>
      <c r="W90" s="115">
        <v>6.5000000000000002E-2</v>
      </c>
      <c r="X90" s="115">
        <v>7.3999999999999996E-2</v>
      </c>
      <c r="Y90" s="115">
        <v>5.7000000000000002E-2</v>
      </c>
      <c r="Z90" s="115">
        <v>5.6000000000000001E-2</v>
      </c>
      <c r="AA90" s="115">
        <v>2.5000000000000001E-2</v>
      </c>
      <c r="AB90" s="115">
        <v>3.5000000000000003E-2</v>
      </c>
      <c r="AC90" s="115">
        <v>3.9E-2</v>
      </c>
      <c r="AD90" s="115">
        <v>3.7999999999999999E-2</v>
      </c>
      <c r="AE90" s="115">
        <v>4.1000000000000002E-2</v>
      </c>
      <c r="AF90" s="115">
        <v>4.2000000000000003E-2</v>
      </c>
      <c r="AG90" s="115">
        <v>3.9E-2</v>
      </c>
      <c r="AH90" s="115">
        <v>3.7999999999999999E-2</v>
      </c>
      <c r="AI90" s="115">
        <v>3.5999999999999997E-2</v>
      </c>
      <c r="AJ90" s="115">
        <v>2.9000000000000001E-2</v>
      </c>
      <c r="AK90" s="115">
        <v>0.17599999999999999</v>
      </c>
      <c r="AL90" s="115">
        <v>1.7999999999999999E-2</v>
      </c>
      <c r="AM90" s="115">
        <v>0.02</v>
      </c>
      <c r="AN90" s="115">
        <v>2.1999999999999999E-2</v>
      </c>
      <c r="AO90" s="115">
        <v>2.3E-2</v>
      </c>
      <c r="AP90" s="115">
        <v>2.1999999999999999E-2</v>
      </c>
      <c r="AQ90" s="115">
        <v>2.1999999999999999E-2</v>
      </c>
      <c r="AR90" s="115">
        <v>1.2E-2</v>
      </c>
      <c r="AS90" s="115">
        <v>2.1000000000000001E-2</v>
      </c>
      <c r="AT90" s="115">
        <v>1.6E-2</v>
      </c>
      <c r="AU90" s="115">
        <v>1.9E-2</v>
      </c>
      <c r="AV90" s="115"/>
    </row>
    <row r="91" spans="2:49" x14ac:dyDescent="0.3">
      <c r="AI91" s="115"/>
      <c r="AM91" s="115"/>
      <c r="AQ91" s="115"/>
      <c r="AU91" s="115"/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ignoredErrors>
    <ignoredError sqref="R69:Z75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86E1-241B-47DE-8DAC-7763921DA671}">
  <dimension ref="B2:I25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9" sqref="H19"/>
    </sheetView>
  </sheetViews>
  <sheetFormatPr defaultRowHeight="14.5" x14ac:dyDescent="0.35"/>
  <cols>
    <col min="1" max="1" width="2.7265625" customWidth="1"/>
    <col min="2" max="2" width="45" customWidth="1"/>
    <col min="3" max="3" width="11.7265625" customWidth="1"/>
    <col min="4" max="4" width="15.54296875" customWidth="1"/>
    <col min="5" max="5" width="12.7265625" customWidth="1"/>
    <col min="7" max="8" width="15.54296875" customWidth="1"/>
  </cols>
  <sheetData>
    <row r="2" spans="2:9" ht="21" x14ac:dyDescent="0.5">
      <c r="B2" s="2" t="s">
        <v>211</v>
      </c>
      <c r="C2" s="4" t="s">
        <v>212</v>
      </c>
      <c r="D2" s="4" t="s">
        <v>212</v>
      </c>
      <c r="E2" s="4" t="s">
        <v>212</v>
      </c>
    </row>
    <row r="3" spans="2:9" x14ac:dyDescent="0.35">
      <c r="B3" s="7" t="s">
        <v>215</v>
      </c>
      <c r="C3" s="5">
        <v>45291</v>
      </c>
      <c r="D3" s="5">
        <v>45657</v>
      </c>
      <c r="E3" s="5">
        <v>46022</v>
      </c>
    </row>
    <row r="4" spans="2:9" x14ac:dyDescent="0.35">
      <c r="B4" s="7"/>
      <c r="C4" s="5" t="s">
        <v>216</v>
      </c>
      <c r="D4" s="5" t="s">
        <v>216</v>
      </c>
      <c r="E4" s="5" t="s">
        <v>216</v>
      </c>
    </row>
    <row r="5" spans="2:9" x14ac:dyDescent="0.35">
      <c r="C5" s="9" t="s">
        <v>224</v>
      </c>
      <c r="D5" s="9" t="s">
        <v>225</v>
      </c>
      <c r="E5" s="9" t="s">
        <v>226</v>
      </c>
    </row>
    <row r="6" spans="2:9" x14ac:dyDescent="0.35">
      <c r="B6" s="7"/>
      <c r="C6" s="7"/>
      <c r="D6" s="7"/>
      <c r="E6" s="7"/>
    </row>
    <row r="8" spans="2:9" x14ac:dyDescent="0.35">
      <c r="B8" s="249" t="s">
        <v>351</v>
      </c>
      <c r="C8" s="15">
        <v>81426.745999999999</v>
      </c>
      <c r="D8" s="15">
        <v>86813.676000000007</v>
      </c>
      <c r="E8" s="15">
        <v>92991.532000000007</v>
      </c>
    </row>
    <row r="9" spans="2:9" x14ac:dyDescent="0.35">
      <c r="B9" s="250" t="s">
        <v>407</v>
      </c>
      <c r="C9" s="21">
        <v>-47356.042999999998</v>
      </c>
      <c r="D9" s="21">
        <v>-50473.04</v>
      </c>
      <c r="E9" s="21">
        <v>-53871.127</v>
      </c>
    </row>
    <row r="10" spans="2:9" x14ac:dyDescent="0.35">
      <c r="B10" s="250" t="s">
        <v>408</v>
      </c>
      <c r="C10" s="21">
        <v>-12145.879000000001</v>
      </c>
      <c r="D10" s="21">
        <v>-14444.27</v>
      </c>
      <c r="E10" s="21">
        <f>-16456.49</f>
        <v>-16456.490000000002</v>
      </c>
    </row>
    <row r="11" spans="2:9" x14ac:dyDescent="0.35">
      <c r="B11" s="250" t="s">
        <v>409</v>
      </c>
      <c r="C11" s="21">
        <v>-92.441000000000003</v>
      </c>
      <c r="D11" s="21">
        <v>-410.56299999999999</v>
      </c>
      <c r="E11" s="21">
        <v>0</v>
      </c>
    </row>
    <row r="12" spans="2:9" x14ac:dyDescent="0.35">
      <c r="B12" s="250" t="s">
        <v>410</v>
      </c>
      <c r="C12" s="21">
        <v>2214.761</v>
      </c>
      <c r="D12" s="21">
        <v>3897.0120000000002</v>
      </c>
      <c r="E12" s="21">
        <v>6392.0429999999997</v>
      </c>
    </row>
    <row r="13" spans="2:9" x14ac:dyDescent="0.35">
      <c r="B13" s="250" t="s">
        <v>411</v>
      </c>
      <c r="C13" s="21">
        <v>1042.0519999999999</v>
      </c>
      <c r="D13" s="21">
        <v>-2431.8890000000001</v>
      </c>
      <c r="E13" s="21">
        <v>-369.803</v>
      </c>
    </row>
    <row r="14" spans="2:9" x14ac:dyDescent="0.35">
      <c r="B14" s="250" t="s">
        <v>412</v>
      </c>
      <c r="C14" s="21">
        <v>-740.68600000000004</v>
      </c>
      <c r="D14" s="21">
        <v>2957.4059999999999</v>
      </c>
      <c r="E14" s="21">
        <f>772.855</f>
        <v>772.85500000000002</v>
      </c>
      <c r="I14" s="251"/>
    </row>
    <row r="15" spans="2:9" x14ac:dyDescent="0.35">
      <c r="B15" s="250" t="s">
        <v>266</v>
      </c>
      <c r="C15" s="21">
        <v>677.57</v>
      </c>
      <c r="D15" s="21">
        <v>918.33799999999997</v>
      </c>
      <c r="E15" s="21">
        <v>821.81500000000005</v>
      </c>
    </row>
    <row r="16" spans="2:9" x14ac:dyDescent="0.35">
      <c r="B16" s="250" t="s">
        <v>413</v>
      </c>
      <c r="C16" s="21">
        <v>371.65499999999997</v>
      </c>
      <c r="D16" s="21">
        <v>206.5</v>
      </c>
      <c r="E16" s="21">
        <v>283.55900000000003</v>
      </c>
    </row>
    <row r="17" spans="2:5" x14ac:dyDescent="0.35">
      <c r="B17" s="250" t="s">
        <v>265</v>
      </c>
      <c r="C17" s="21">
        <v>7258.3779999999997</v>
      </c>
      <c r="D17" s="21">
        <v>3482.0830000000001</v>
      </c>
      <c r="E17" s="21">
        <v>380.71699999999998</v>
      </c>
    </row>
    <row r="18" spans="2:5" x14ac:dyDescent="0.35">
      <c r="B18" s="250" t="s">
        <v>414</v>
      </c>
      <c r="C18" s="21">
        <v>76.668999999999997</v>
      </c>
      <c r="D18" s="21">
        <v>0</v>
      </c>
      <c r="E18" s="21">
        <v>21.093</v>
      </c>
    </row>
    <row r="19" spans="2:5" x14ac:dyDescent="0.35">
      <c r="B19" s="250" t="s">
        <v>415</v>
      </c>
      <c r="C19" s="21">
        <v>0</v>
      </c>
      <c r="D19" s="21">
        <v>0</v>
      </c>
      <c r="E19" s="21">
        <v>-3827.3449999999998</v>
      </c>
    </row>
    <row r="20" spans="2:5" x14ac:dyDescent="0.35">
      <c r="B20" s="250" t="s">
        <v>416</v>
      </c>
      <c r="C20" s="21">
        <v>0</v>
      </c>
      <c r="D20" s="21">
        <v>0</v>
      </c>
      <c r="E20" s="21">
        <v>-947.83799999999997</v>
      </c>
    </row>
    <row r="21" spans="2:5" x14ac:dyDescent="0.35">
      <c r="B21" s="250" t="s">
        <v>417</v>
      </c>
      <c r="C21" s="21">
        <v>0</v>
      </c>
      <c r="D21" s="21">
        <v>0</v>
      </c>
      <c r="E21" s="21">
        <v>-467.70400000000001</v>
      </c>
    </row>
    <row r="22" spans="2:5" x14ac:dyDescent="0.35">
      <c r="B22" s="250" t="s">
        <v>418</v>
      </c>
      <c r="C22" s="21">
        <v>0</v>
      </c>
      <c r="D22" s="21">
        <v>0</v>
      </c>
      <c r="E22" s="21">
        <v>2560.357</v>
      </c>
    </row>
    <row r="23" spans="2:5" x14ac:dyDescent="0.35">
      <c r="B23" s="250" t="s">
        <v>419</v>
      </c>
      <c r="C23" s="21">
        <v>0</v>
      </c>
      <c r="D23" s="21">
        <v>0</v>
      </c>
      <c r="E23" s="21">
        <v>-56.594000000000001</v>
      </c>
    </row>
    <row r="24" spans="2:5" x14ac:dyDescent="0.35">
      <c r="B24" s="250" t="s">
        <v>420</v>
      </c>
      <c r="C24" s="21">
        <v>-317.11200000000002</v>
      </c>
      <c r="D24" s="21">
        <v>-184.17</v>
      </c>
      <c r="E24" s="21">
        <v>0</v>
      </c>
    </row>
    <row r="25" spans="2:5" x14ac:dyDescent="0.35">
      <c r="B25" s="249" t="s">
        <v>421</v>
      </c>
      <c r="C25" s="15">
        <f>SUM(C8:C24)</f>
        <v>32415.67</v>
      </c>
      <c r="D25" s="15">
        <f>SUM(D8:D24)</f>
        <v>30331.083000000006</v>
      </c>
      <c r="E25" s="15">
        <f>SUM(E8:E24)</f>
        <v>28227.070000000003</v>
      </c>
    </row>
  </sheetData>
  <pageMargins left="0.7" right="0.7" top="0.75" bottom="0.75" header="0.3" footer="0.3"/>
  <headerFooter>
    <oddFooter>&amp;C_x000D_&amp;1#&amp;"Aptos"&amp;10&amp;K000000 Barings-Corporate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H12:J33"/>
  <sheetViews>
    <sheetView topLeftCell="A4" zoomScale="85" zoomScaleNormal="85" workbookViewId="0">
      <selection activeCell="I21" sqref="I21"/>
    </sheetView>
  </sheetViews>
  <sheetFormatPr defaultRowHeight="14.5" x14ac:dyDescent="0.35"/>
  <cols>
    <col min="8" max="8" width="27.26953125" bestFit="1" customWidth="1"/>
    <col min="9" max="9" width="40.26953125" customWidth="1"/>
    <col min="10" max="10" width="42" customWidth="1"/>
  </cols>
  <sheetData>
    <row r="12" spans="8:10" ht="15" thickBot="1" x14ac:dyDescent="0.4"/>
    <row r="13" spans="8:10" x14ac:dyDescent="0.35">
      <c r="H13" s="171"/>
      <c r="I13" s="194" t="s">
        <v>422</v>
      </c>
      <c r="J13" s="195" t="s">
        <v>423</v>
      </c>
    </row>
    <row r="14" spans="8:10" x14ac:dyDescent="0.35">
      <c r="H14" s="196" t="s">
        <v>424</v>
      </c>
      <c r="I14" s="170" t="s">
        <v>425</v>
      </c>
      <c r="J14" s="172" t="s">
        <v>426</v>
      </c>
    </row>
    <row r="15" spans="8:10" x14ac:dyDescent="0.35">
      <c r="H15" s="196" t="s">
        <v>427</v>
      </c>
      <c r="I15" s="170" t="s">
        <v>428</v>
      </c>
      <c r="J15" s="172" t="s">
        <v>429</v>
      </c>
    </row>
    <row r="16" spans="8:10" x14ac:dyDescent="0.35">
      <c r="H16" s="196" t="s">
        <v>430</v>
      </c>
      <c r="I16" s="189">
        <v>0.75</v>
      </c>
      <c r="J16" s="190">
        <v>0.65</v>
      </c>
    </row>
    <row r="17" spans="8:10" x14ac:dyDescent="0.35">
      <c r="H17" s="196" t="s">
        <v>431</v>
      </c>
      <c r="I17" s="170" t="s">
        <v>432</v>
      </c>
      <c r="J17" s="172" t="s">
        <v>433</v>
      </c>
    </row>
    <row r="18" spans="8:10" x14ac:dyDescent="0.35">
      <c r="H18" s="196" t="s">
        <v>434</v>
      </c>
      <c r="I18" s="173">
        <f>1.46/3.25</f>
        <v>0.44923076923076921</v>
      </c>
      <c r="J18" s="174">
        <f>1.69/3.3</f>
        <v>0.51212121212121209</v>
      </c>
    </row>
    <row r="19" spans="8:10" x14ac:dyDescent="0.35">
      <c r="H19" s="196" t="s">
        <v>40</v>
      </c>
      <c r="I19" s="170" t="s">
        <v>435</v>
      </c>
      <c r="J19" s="172" t="s">
        <v>436</v>
      </c>
    </row>
    <row r="20" spans="8:10" x14ac:dyDescent="0.35">
      <c r="H20" s="196" t="s">
        <v>437</v>
      </c>
      <c r="I20" s="193" t="s">
        <v>438</v>
      </c>
      <c r="J20" s="172" t="s">
        <v>439</v>
      </c>
    </row>
    <row r="21" spans="8:10" x14ac:dyDescent="0.35">
      <c r="H21" s="196" t="s">
        <v>440</v>
      </c>
      <c r="I21" s="193" t="s">
        <v>441</v>
      </c>
      <c r="J21" s="172" t="s">
        <v>442</v>
      </c>
    </row>
    <row r="22" spans="8:10" x14ac:dyDescent="0.35">
      <c r="H22" s="196" t="s">
        <v>443</v>
      </c>
      <c r="I22" s="170" t="s">
        <v>444</v>
      </c>
      <c r="J22" s="172" t="s">
        <v>445</v>
      </c>
    </row>
    <row r="23" spans="8:10" x14ac:dyDescent="0.35">
      <c r="H23" s="196" t="s">
        <v>446</v>
      </c>
      <c r="I23" s="170" t="s">
        <v>447</v>
      </c>
      <c r="J23" s="172" t="s">
        <v>448</v>
      </c>
    </row>
    <row r="24" spans="8:10" x14ac:dyDescent="0.35">
      <c r="H24" s="199" t="s">
        <v>449</v>
      </c>
      <c r="I24" s="200">
        <v>0.77</v>
      </c>
      <c r="J24" s="201">
        <v>0.53</v>
      </c>
    </row>
    <row r="25" spans="8:10" x14ac:dyDescent="0.35">
      <c r="H25" s="199" t="s">
        <v>450</v>
      </c>
      <c r="I25" s="200">
        <v>0.23</v>
      </c>
      <c r="J25" s="201">
        <v>0.47</v>
      </c>
    </row>
    <row r="26" spans="8:10" x14ac:dyDescent="0.35">
      <c r="H26" s="199" t="s">
        <v>451</v>
      </c>
      <c r="I26" s="200">
        <v>0.54</v>
      </c>
      <c r="J26" s="201">
        <v>0.46</v>
      </c>
    </row>
    <row r="27" spans="8:10" x14ac:dyDescent="0.35">
      <c r="H27" s="199" t="s">
        <v>452</v>
      </c>
      <c r="I27" s="200">
        <v>0.32</v>
      </c>
      <c r="J27" s="201">
        <v>0.68</v>
      </c>
    </row>
    <row r="28" spans="8:10" x14ac:dyDescent="0.35">
      <c r="H28" s="199" t="s">
        <v>453</v>
      </c>
      <c r="I28" s="200">
        <v>0.5</v>
      </c>
      <c r="J28" s="201">
        <v>0.5</v>
      </c>
    </row>
    <row r="29" spans="8:10" x14ac:dyDescent="0.35">
      <c r="H29" s="196" t="s">
        <v>454</v>
      </c>
      <c r="I29" s="170" t="s">
        <v>455</v>
      </c>
      <c r="J29" s="172" t="s">
        <v>456</v>
      </c>
    </row>
    <row r="30" spans="8:10" x14ac:dyDescent="0.35">
      <c r="H30" s="196" t="s">
        <v>457</v>
      </c>
      <c r="I30" s="170" t="s">
        <v>458</v>
      </c>
      <c r="J30" s="172" t="s">
        <v>459</v>
      </c>
    </row>
    <row r="31" spans="8:10" ht="29" x14ac:dyDescent="0.35">
      <c r="H31" s="196" t="s">
        <v>460</v>
      </c>
      <c r="I31" s="187" t="s">
        <v>461</v>
      </c>
      <c r="J31" s="188" t="s">
        <v>462</v>
      </c>
    </row>
    <row r="32" spans="8:10" x14ac:dyDescent="0.35">
      <c r="H32" s="196" t="s">
        <v>463</v>
      </c>
      <c r="I32" s="170"/>
      <c r="J32" s="172"/>
    </row>
    <row r="33" spans="8:10" ht="29.5" thickBot="1" x14ac:dyDescent="0.4">
      <c r="H33" s="197" t="s">
        <v>464</v>
      </c>
      <c r="I33" s="191" t="s">
        <v>465</v>
      </c>
      <c r="J33" s="192" t="s">
        <v>466</v>
      </c>
    </row>
  </sheetData>
  <pageMargins left="0.7" right="0.7" top="0.75" bottom="0.75" header="0.3" footer="0.3"/>
  <pageSetup paperSize="9" orientation="portrait" r:id="rId1"/>
  <headerFooter>
    <oddFooter>&amp;C_x000D_&amp;1#&amp;"Aptos"&amp;10&amp;K000000 Barings-Corporate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CacheModel xmlns:xsi="http://www.w3.org/2001/XMLSchema-instance" xmlns:xsd="http://www.w3.org/2001/XMLSchema" xmlns="TagniFiModelState">
  <SerializedJson>[]</SerializedJson>
</CacheModel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A5AFB1-2A58-4B7E-8AF0-3D4380A7F8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F6A1B3-AADE-4F02-88E5-2FB8F87101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33d72f-12a9-4590-815a-2b1f92f4a7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E6EA21-6EBA-4327-A24E-1199C18A777B}">
  <ds:schemaRefs>
    <ds:schemaRef ds:uri="http://www.w3.org/2001/XMLSchema"/>
    <ds:schemaRef ds:uri="TagniFiModelState"/>
  </ds:schemaRefs>
</ds:datastoreItem>
</file>

<file path=customXml/itemProps4.xml><?xml version="1.0" encoding="utf-8"?>
<ds:datastoreItem xmlns:ds="http://schemas.openxmlformats.org/officeDocument/2006/customXml" ds:itemID="{92D2D98E-0325-4B5C-A6B2-8C01A1AAE0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Capitalization</vt:lpstr>
      <vt:lpstr>Model</vt:lpstr>
      <vt:lpstr>KPI</vt:lpstr>
      <vt:lpstr>Adjusted EBITDA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Roshni Arunkumar</dc:creator>
  <cp:keywords/>
  <dc:description/>
  <cp:lastModifiedBy>Kumar, Gunjan</cp:lastModifiedBy>
  <cp:revision/>
  <dcterms:created xsi:type="dcterms:W3CDTF">2020-07-15T05:23:40Z</dcterms:created>
  <dcterms:modified xsi:type="dcterms:W3CDTF">2026-09-07T12:15:33Z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{E7274E17-9DFD-41DB-98EF-7FFE6B2F20A7}</vt:lpwstr>
  </property>
  <property fmtid="{D5CDD505-2E9C-101B-9397-08002B2CF9AE}" pid="3" name="WorkbookGuid">
    <vt:lpwstr>1d11c727-d2e9-42a6-b326-0fb8fe109c11</vt:lpwstr>
  </property>
  <property fmtid="{D5CDD505-2E9C-101B-9397-08002B2CF9AE}" pid="4" name="MSIP_Label_8c63c790-1b4f-473b-b88f-a693ca173b52_Enabled">
    <vt:lpwstr>true</vt:lpwstr>
  </property>
  <property fmtid="{D5CDD505-2E9C-101B-9397-08002B2CF9AE}" pid="5" name="MSIP_Label_8c63c790-1b4f-473b-b88f-a693ca173b52_SetDate">
    <vt:lpwstr>2024-08-07T11:34:14Z</vt:lpwstr>
  </property>
  <property fmtid="{D5CDD505-2E9C-101B-9397-08002B2CF9AE}" pid="6" name="MSIP_Label_8c63c790-1b4f-473b-b88f-a693ca173b52_Method">
    <vt:lpwstr>Privileged</vt:lpwstr>
  </property>
  <property fmtid="{D5CDD505-2E9C-101B-9397-08002B2CF9AE}" pid="7" name="MSIP_Label_8c63c790-1b4f-473b-b88f-a693ca173b52_Name">
    <vt:lpwstr>Internal</vt:lpwstr>
  </property>
  <property fmtid="{D5CDD505-2E9C-101B-9397-08002B2CF9AE}" pid="8" name="MSIP_Label_8c63c790-1b4f-473b-b88f-a693ca173b52_SiteId">
    <vt:lpwstr>4d8b04bf-7a7c-48a0-b6e3-38da5008297e</vt:lpwstr>
  </property>
  <property fmtid="{D5CDD505-2E9C-101B-9397-08002B2CF9AE}" pid="9" name="MSIP_Label_8c63c790-1b4f-473b-b88f-a693ca173b52_ActionId">
    <vt:lpwstr>d971af2f-caec-4fed-ad5f-f9a24ecfe0fc</vt:lpwstr>
  </property>
  <property fmtid="{D5CDD505-2E9C-101B-9397-08002B2CF9AE}" pid="10" name="MSIP_Label_8c63c790-1b4f-473b-b88f-a693ca173b52_ContentBits">
    <vt:lpwstr>0</vt:lpwstr>
  </property>
  <property fmtid="{D5CDD505-2E9C-101B-9397-08002B2CF9AE}" pid="11" name="ContentTypeId">
    <vt:lpwstr>0x0101003A00EECCAA3DB94895FACE15614ECBE0</vt:lpwstr>
  </property>
  <property fmtid="{D5CDD505-2E9C-101B-9397-08002B2CF9AE}" pid="12" name="MSIP_Label_e23aaa83-1940-48a9-a4d6-4a193a1929ec_Enabled">
    <vt:lpwstr>true</vt:lpwstr>
  </property>
  <property fmtid="{D5CDD505-2E9C-101B-9397-08002B2CF9AE}" pid="13" name="MSIP_Label_e23aaa83-1940-48a9-a4d6-4a193a1929ec_SetDate">
    <vt:lpwstr>2026-09-07T10:16:17Z</vt:lpwstr>
  </property>
  <property fmtid="{D5CDD505-2E9C-101B-9397-08002B2CF9AE}" pid="14" name="MSIP_Label_e23aaa83-1940-48a9-a4d6-4a193a1929ec_Method">
    <vt:lpwstr>Standard</vt:lpwstr>
  </property>
  <property fmtid="{D5CDD505-2E9C-101B-9397-08002B2CF9AE}" pid="15" name="MSIP_Label_e23aaa83-1940-48a9-a4d6-4a193a1929ec_Name">
    <vt:lpwstr>Corporate</vt:lpwstr>
  </property>
  <property fmtid="{D5CDD505-2E9C-101B-9397-08002B2CF9AE}" pid="16" name="MSIP_Label_e23aaa83-1940-48a9-a4d6-4a193a1929ec_SiteId">
    <vt:lpwstr>ce78e7b0-e32a-4428-9390-1c2ec8a59c47</vt:lpwstr>
  </property>
  <property fmtid="{D5CDD505-2E9C-101B-9397-08002B2CF9AE}" pid="17" name="MSIP_Label_e23aaa83-1940-48a9-a4d6-4a193a1929ec_ActionId">
    <vt:lpwstr>23625887-1384-4105-8568-6a21161fb424</vt:lpwstr>
  </property>
  <property fmtid="{D5CDD505-2E9C-101B-9397-08002B2CF9AE}" pid="18" name="MSIP_Label_e23aaa83-1940-48a9-a4d6-4a193a1929ec_ContentBits">
    <vt:lpwstr>2</vt:lpwstr>
  </property>
  <property fmtid="{D5CDD505-2E9C-101B-9397-08002B2CF9AE}" pid="19" name="MSIP_Label_e23aaa83-1940-48a9-a4d6-4a193a1929ec_Tag">
    <vt:lpwstr>10, 3, 0, 2</vt:lpwstr>
  </property>
</Properties>
</file>