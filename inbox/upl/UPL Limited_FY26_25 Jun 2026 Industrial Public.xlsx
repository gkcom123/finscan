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risil-my.sharepoint.com/personal/lokeshk_ad_crisil_com/Documents/1_Team_Fixed Income (Credit)/Bara Model Work/Bara - Model Update/WIP/Jun 2026 - UPL/4Q26/"/>
    </mc:Choice>
  </mc:AlternateContent>
  <xr:revisionPtr revIDLastSave="0" documentId="8_{AA3C82E3-BE6B-454F-8412-DCED3FB5127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pitalisation" sheetId="22" r:id="rId1"/>
    <sheet name="Model" sheetId="23" r:id="rId2"/>
    <sheet name="KPIs" sheetId="25" r:id="rId3"/>
    <sheet name="Detailed Debt information" sheetId="27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\A">#REF!</definedName>
    <definedName name="\B">#REF!</definedName>
    <definedName name="\C">#REF!</definedName>
    <definedName name="\L">#REF!</definedName>
    <definedName name="\M">#REF!</definedName>
    <definedName name="\P">#REF!</definedName>
    <definedName name="\Y">#REF!</definedName>
    <definedName name="__FDS_HYPERLINK_TOGGLE_STATE__" hidden="1">"ON"</definedName>
    <definedName name="_01_30_04" localSheetId="2">MonthlyOpStats</definedName>
    <definedName name="_01_30_04">MonthlyOpStats</definedName>
    <definedName name="_1_30_01" localSheetId="2">MonthlyOpStats</definedName>
    <definedName name="_1_30_01">MonthlyOpStats</definedName>
    <definedName name="_1_30_02" localSheetId="2">MonthlyOpStats</definedName>
    <definedName name="_1_30_02">MonthlyOpStats</definedName>
    <definedName name="_1_31_01" localSheetId="2">MonthlyOpStats</definedName>
    <definedName name="_1_31_01">MonthlyOpStats</definedName>
    <definedName name="_1_31_02" localSheetId="2">MonthlyOpStats</definedName>
    <definedName name="_1_31_02">MonthlyOpStats</definedName>
    <definedName name="_12_31_05" localSheetId="2">MonthlyOpStats</definedName>
    <definedName name="_12_31_05">MonthlyOpStats</definedName>
    <definedName name="_A">#REF!</definedName>
    <definedName name="_A___0">#REF!</definedName>
    <definedName name="_B">#REF!</definedName>
    <definedName name="_B___0">#REF!</definedName>
    <definedName name="_C">#REF!</definedName>
    <definedName name="_C___0">#REF!</definedName>
    <definedName name="_ent1">[1]Inputs!$J$17</definedName>
    <definedName name="_ent10">[1]Inputs!$J$476</definedName>
    <definedName name="_ent11">[1]Inputs!$J$527</definedName>
    <definedName name="_ent12">[1]Inputs!$J$578</definedName>
    <definedName name="_ent13">[1]Inputs!$J$629</definedName>
    <definedName name="_ent14">[1]Inputs!$J$680</definedName>
    <definedName name="_ent15">[1]Inputs!$J$731</definedName>
    <definedName name="_ent2">[1]Inputs!$J$68</definedName>
    <definedName name="_ent3">[1]Inputs!$J$119</definedName>
    <definedName name="_ent4">[1]Inputs!$J$170</definedName>
    <definedName name="_ent5">[1]Inputs!$J$221</definedName>
    <definedName name="_ent6">[1]Inputs!$J$272</definedName>
    <definedName name="_ent7">[1]Inputs!$J$323</definedName>
    <definedName name="_ent8">[1]Inputs!$J$374</definedName>
    <definedName name="_ent9">[1]Inputs!$J$425</definedName>
    <definedName name="_eps1">[1]Inputs!$P$42</definedName>
    <definedName name="_eps10">[1]Inputs!$P$501</definedName>
    <definedName name="_eps11">[1]Inputs!$P$552</definedName>
    <definedName name="_eps12">[1]Inputs!$P$603</definedName>
    <definedName name="_eps13">[1]Inputs!$P$654</definedName>
    <definedName name="_eps14">[1]Inputs!$P$705</definedName>
    <definedName name="_eps15">[1]Inputs!$P$756</definedName>
    <definedName name="_eps2">[1]Inputs!$P$93</definedName>
    <definedName name="_eps3">[1]Inputs!$P$144</definedName>
    <definedName name="_eps4">[1]Inputs!$P$195</definedName>
    <definedName name="_eps5">[1]Inputs!$P$246</definedName>
    <definedName name="_eps6">[1]Inputs!$P$297</definedName>
    <definedName name="_eps7">[1]Inputs!$P$348</definedName>
    <definedName name="_eps8">[1]Inputs!$P$399</definedName>
    <definedName name="_eps9">[1]Inputs!$P$450</definedName>
    <definedName name="_Fill" hidden="1">[2]FxdChg!#REF!</definedName>
    <definedName name="_fye1">[1]Inputs!$E$12</definedName>
    <definedName name="_fye10">[1]Inputs!$E$471</definedName>
    <definedName name="_fye11">[1]Inputs!$E$522</definedName>
    <definedName name="_fye12">[1]Inputs!$E$573</definedName>
    <definedName name="_fye13">[1]Inputs!$E$624</definedName>
    <definedName name="_fye14">[1]Inputs!$E$675</definedName>
    <definedName name="_fye15">[1]Inputs!$E$726</definedName>
    <definedName name="_fye2">[1]Inputs!$E$63</definedName>
    <definedName name="_fye3">[1]Inputs!$E$114</definedName>
    <definedName name="_fye4">[1]Inputs!$E$165</definedName>
    <definedName name="_fye5">[1]Inputs!$E$216</definedName>
    <definedName name="_fye6">[1]Inputs!$E$267</definedName>
    <definedName name="_fye7">[1]Inputs!$E$318</definedName>
    <definedName name="_fye8">[1]Inputs!$E$369</definedName>
    <definedName name="_fye9">[1]Inputs!$E$420</definedName>
    <definedName name="_GEI_Returns">[3]Model!#REF!</definedName>
    <definedName name="_L">#REF!</definedName>
    <definedName name="_L___0">#REF!</definedName>
    <definedName name="_mv1">[1]Inputs!$J$16</definedName>
    <definedName name="_mv10">[1]Inputs!$J$475</definedName>
    <definedName name="_mv11">[1]Inputs!$J$526</definedName>
    <definedName name="_mv12">[1]Inputs!$J$577</definedName>
    <definedName name="_mv13">[1]Inputs!$J$628</definedName>
    <definedName name="_mv14">[1]Inputs!$J$679</definedName>
    <definedName name="_mv15">[1]Inputs!$J$730</definedName>
    <definedName name="_mv2">[1]Inputs!$J$67</definedName>
    <definedName name="_mv3">[1]Inputs!$J$118</definedName>
    <definedName name="_mv4">[1]Inputs!$J$169</definedName>
    <definedName name="_mv5">[1]Inputs!$J$220</definedName>
    <definedName name="_mv6">[1]Inputs!$J$271</definedName>
    <definedName name="_mv7">[1]Inputs!$J$322</definedName>
    <definedName name="_mv8">[1]Inputs!$J$373</definedName>
    <definedName name="_mv9">[1]Inputs!$J$424</definedName>
    <definedName name="_Order1" hidden="1">0</definedName>
    <definedName name="_Order2" hidden="1">0</definedName>
    <definedName name="_P">#REF!</definedName>
    <definedName name="_P___0">#REF!</definedName>
    <definedName name="_Table2_Out" hidden="1">#REF!</definedName>
    <definedName name="_Y">#REF!</definedName>
    <definedName name="_Y___0">#REF!</definedName>
    <definedName name="Aa_Recovery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ccrued_Comp_Sales">'[4]Tanning Assumptions'!#REF!</definedName>
    <definedName name="acq">#REF!</definedName>
    <definedName name="acquiror">#REF!</definedName>
    <definedName name="AdSalesCash">#REF!</definedName>
    <definedName name="AdSalesTrade">#REF!</definedName>
    <definedName name="AdSalesWebsite">#REF!</definedName>
    <definedName name="AICORR">#REF!</definedName>
    <definedName name="AllBH">#REF!</definedName>
    <definedName name="allProjects">#REF!</definedName>
    <definedName name="amort">[5]Inputs!#REF!</definedName>
    <definedName name="AP_Sales">'[4]Tanning Assumptions'!#REF!</definedName>
    <definedName name="AR_Other_Sales">'[4]Tanning Assumptions'!#REF!</definedName>
    <definedName name="AR_Trade_Sales">'[4]Tanning Assumptions'!#REF!</definedName>
    <definedName name="As_Of_Date">[6]Selections!$C$2</definedName>
    <definedName name="asdfa">#REF!</definedName>
    <definedName name="AsOfDate">'[7]AUM YTD 2000'!$W$1</definedName>
    <definedName name="ASSUMPTIONS">#REF!</definedName>
    <definedName name="B_S">#REF!</definedName>
    <definedName name="Baa_Recovery">#REF!</definedName>
    <definedName name="bal">#REF!</definedName>
    <definedName name="banner2">[8]CONTROL!$D$10</definedName>
    <definedName name="banner2___0">[8]CONTROL!$D$10</definedName>
    <definedName name="Base_Case">#REF!</definedName>
    <definedName name="Billable">#REF!</definedName>
    <definedName name="BillableHeadcount">#REF!</definedName>
    <definedName name="body">#REF!</definedName>
    <definedName name="BREAK_EVEN">#REF!</definedName>
    <definedName name="BREAK_EVEN___0">#REF!</definedName>
    <definedName name="Broadwing__Inc__Cincinnati_Bell">#REF!</definedName>
    <definedName name="brob">#REF!</definedName>
    <definedName name="bs">[5]Inputs!#REF!</definedName>
    <definedName name="case">#REF!</definedName>
    <definedName name="case1">[9]CONTROL!$A$12</definedName>
    <definedName name="case2">[9]CONTROL!$A$13</definedName>
    <definedName name="case3">[9]CONTROL!$A$14</definedName>
    <definedName name="CASH_FLOW">#REF!</definedName>
    <definedName name="Cash_Sales">'[4]Tanning Assumptions'!#REF!</definedName>
    <definedName name="CASHBUDGET">#REF!</definedName>
    <definedName name="CASHBUDGET___0">#REF!</definedName>
    <definedName name="CASHFLOWS_MONTH">#REF!</definedName>
    <definedName name="CASHFLOWS_MONTH___0">#REF!</definedName>
    <definedName name="CASHFLOWS_YEARS">#REF!</definedName>
    <definedName name="CASHFLOWS_YEARS___0">#REF!</definedName>
    <definedName name="cashint">#REF!</definedName>
    <definedName name="cashint___0">#REF!</definedName>
    <definedName name="CBHC">#REF!</definedName>
    <definedName name="cfl">#REF!</definedName>
    <definedName name="ChartDataRange">#REF!</definedName>
    <definedName name="CINC">#REF!</definedName>
    <definedName name="CIQWBGuid" hidden="1">"b66d8731-4531-4ec4-95e7-6c906ff0a71a"</definedName>
    <definedName name="CIQWBInfo" hidden="1">"{ ""CIQVersion"":""9.45.614.5792"" }"</definedName>
    <definedName name="circ">[5]Inputs!#REF!</definedName>
    <definedName name="CircRev">#REF!</definedName>
    <definedName name="Class_3_Agg_Cash">[10]Revolver!#REF!</definedName>
    <definedName name="Class_3_Amt_BET">[10]Revolver!#REF!</definedName>
    <definedName name="Class_A_Interest">#REF!</definedName>
    <definedName name="Class_A_Principal">#REF!</definedName>
    <definedName name="Class_B_Interest">#REF!</definedName>
    <definedName name="Class_B_Principal">#REF!</definedName>
    <definedName name="Class_C_Payment">#REF!</definedName>
    <definedName name="ClassABC">'[6]Debt Structure'!$AN$7</definedName>
    <definedName name="ClassABCD">'[6]Debt Structure'!$AN$8</definedName>
    <definedName name="ClassABCDE">'[6]Debt Structure'!$AN$9</definedName>
    <definedName name="Clients">#REF!</definedName>
    <definedName name="closing_date">#REF!</definedName>
    <definedName name="closingttmrevenue">#REF!</definedName>
    <definedName name="CMBSIG">#REF!</definedName>
    <definedName name="Column_Lookup">'[11]MASTER DRIVER'!$C$5:$D$29</definedName>
    <definedName name="COMBINED_J_W__3_111403_JUP_IND_PROFORMA_List">#REF!</definedName>
    <definedName name="company">[12]CONTROL!$D$7</definedName>
    <definedName name="company___0">[8]CONTROL!$D$7</definedName>
    <definedName name="cons">#REF!</definedName>
    <definedName name="consultants">#REF!</definedName>
    <definedName name="contrib2" localSheetId="2" hidden="1">{"page1",#N/A,FALSE,"Temp";"page2",#N/A,FALSE,"Temp";"page3",#N/A,FALSE,"Temp";"page4",#N/A,FALSE,"Temp";"page5",#N/A,FALSE,"Temp";"page6",#N/A,FALSE,"Temp"}</definedName>
    <definedName name="contrib2" hidden="1">{"page1",#N/A,FALSE,"Temp";"page2",#N/A,FALSE,"Temp";"page3",#N/A,FALSE,"Temp";"page4",#N/A,FALSE,"Temp";"page5",#N/A,FALSE,"Temp";"page6",#N/A,FALSE,"Temp"}</definedName>
    <definedName name="contrib3" localSheetId="2" hidden="1">{"page1",#N/A,FALSE,"Temp";"page2",#N/A,FALSE,"Temp";"page3",#N/A,FALSE,"Temp";"page4",#N/A,FALSE,"Temp";"page5",#N/A,FALSE,"Temp";"page6",#N/A,FALSE,"Temp"}</definedName>
    <definedName name="contrib3" hidden="1">{"page1",#N/A,FALSE,"Temp";"page2",#N/A,FALSE,"Temp";"page3",#N/A,FALSE,"Temp";"page4",#N/A,FALSE,"Temp";"page5",#N/A,FALSE,"Temp";"page6",#N/A,FALSE,"Temp"}</definedName>
    <definedName name="convertamt">#REF!</definedName>
    <definedName name="convertamt___0">#REF!</definedName>
    <definedName name="convertper">#REF!</definedName>
    <definedName name="convertper___0">#REF!</definedName>
    <definedName name="CorpName">'[13]MASTER DRIVERS'!$A$1</definedName>
    <definedName name="COSTREPORT">#REF!</definedName>
    <definedName name="COSTREPORT___0">#REF!</definedName>
    <definedName name="counter">'[14]Portfolio Input'!#REF!</definedName>
    <definedName name="counter2">'[14]Portfolio Input'!#REF!</definedName>
    <definedName name="Coupon">[15]Inputs!$J$30</definedName>
    <definedName name="CSEnd">#REF!</definedName>
    <definedName name="CSHO">#REF!</definedName>
    <definedName name="CSHPRI">#REF!</definedName>
    <definedName name="current1">[1]Inputs!$E$21</definedName>
    <definedName name="current10">[1]Inputs!$E$480</definedName>
    <definedName name="current11">[1]Inputs!$E$531</definedName>
    <definedName name="current12">[1]Inputs!$E$582</definedName>
    <definedName name="current13">[1]Inputs!$E$633</definedName>
    <definedName name="current14">[1]Inputs!$E$684</definedName>
    <definedName name="current15">[1]Inputs!$E$735</definedName>
    <definedName name="current2">[1]Inputs!$E$72</definedName>
    <definedName name="current3">[1]Inputs!$E$123</definedName>
    <definedName name="current4">[1]Inputs!$E$174</definedName>
    <definedName name="current5">[1]Inputs!$E$225</definedName>
    <definedName name="current6">[1]Inputs!$E$276</definedName>
    <definedName name="current7">[1]Inputs!$E$327</definedName>
    <definedName name="current8">[1]Inputs!$E$378</definedName>
    <definedName name="current9">[1]Inputs!$E$429</definedName>
    <definedName name="CustomPubSales">#REF!</definedName>
    <definedName name="Date">[16]Comps!#REF!</definedName>
    <definedName name="Date_OC1">OFFSET([6]OCTrends!$B$2,0,0,COUNTA([6]OCTrends!$B$1:$B$65536)-1)</definedName>
    <definedName name="Date_OC2">OFFSET([6]OCTrends!$G$2,0,0,COUNTA([6]OCTrends!$G$1:$G$65536)-1)</definedName>
    <definedName name="Date_OC3">OFFSET([6]OCTrends!$L$2,0,0,COUNTA([6]OCTrends!$L$1:$L$65536)-1)</definedName>
    <definedName name="debtsched">[5]Inputs!#REF!</definedName>
    <definedName name="decconsultants">#REF!</definedName>
    <definedName name="decemberemployees">#REF!</definedName>
    <definedName name="decemployees">#REF!</definedName>
    <definedName name="default">#REF!</definedName>
    <definedName name="Default_Scenario">#REF!</definedName>
    <definedName name="Default_Table">#REF!</definedName>
    <definedName name="Default_Timing">#REF!</definedName>
    <definedName name="depsched">[5]Inputs!#REF!</definedName>
    <definedName name="DivActual">OFFSET([6]DivTrends!$C$2,0,0,COUNTA([6]DivTrends!$C$1:$C$65536)-1)</definedName>
    <definedName name="DivCovenant">OFFSET([6]DivTrends!$D$2,0,0,COUNTA([6]DivTrends!$D$1:$D$65536)-1)</definedName>
    <definedName name="DivDate">OFFSET([6]DivTrends!$B$2,0,0,COUNTA([6]DivTrends!$B$1:$B$65536)-1)</definedName>
    <definedName name="Diversity">'[7]Actual vs Covenant'!$P$41:$Q$48</definedName>
    <definedName name="DiversityScore">#REF!</definedName>
    <definedName name="earnout">#REF!</definedName>
    <definedName name="earnout___0">#REF!</definedName>
    <definedName name="EBIT">#REF!</definedName>
    <definedName name="EBITDA">#REF!</definedName>
    <definedName name="ebitda1">[1]Inputs!$P$46</definedName>
    <definedName name="ebitda10">[1]Inputs!$P$505</definedName>
    <definedName name="ebitda11">[1]Inputs!$P$556</definedName>
    <definedName name="ebitda12">[1]Inputs!$P$607</definedName>
    <definedName name="ebitda13">[1]Inputs!$P$658</definedName>
    <definedName name="ebitda14">[1]Inputs!$P$709</definedName>
    <definedName name="ebitda15">[1]Inputs!$P$760</definedName>
    <definedName name="ebitda2">[1]Inputs!$P$97</definedName>
    <definedName name="ebitda3">[1]Inputs!$P$148</definedName>
    <definedName name="ebitda4">[1]Inputs!$P$199</definedName>
    <definedName name="ebitda5">[1]Inputs!$P$250</definedName>
    <definedName name="ebitda6">[1]Inputs!$P$301</definedName>
    <definedName name="ebitda7">[1]Inputs!$P$352</definedName>
    <definedName name="ebitda8">[1]Inputs!$P$403</definedName>
    <definedName name="ebitda9">[1]Inputs!$P$454</definedName>
    <definedName name="effective_date">#REF!</definedName>
    <definedName name="ELC1_Top3">[7]TOP10!$D$3</definedName>
    <definedName name="ELC1_Top4">[7]TOP10!$D$8</definedName>
    <definedName name="ELC1FitchRatingChartData">[7]ELC1!$G$2:$H$11</definedName>
    <definedName name="ELC1FitchRatingChartSerial1">[7]ELC1!$H$2:$H$11</definedName>
    <definedName name="ELC1FitchRatingChartXScale">[7]ELC1!$G$2:$G$11</definedName>
    <definedName name="ELC1MoodyRatingChartData">[7]ELC1!$A$2:$B$14</definedName>
    <definedName name="ELC1MoodyRatingChartSerial1">[7]ELC1!$B$2:$B$14</definedName>
    <definedName name="ELC1MoodyRatingChartXScale">[7]ELC1!$A$2:$A$14</definedName>
    <definedName name="ELC1SPRatingChartData">[7]ELC1!$D$2:$E$14</definedName>
    <definedName name="ELC1SPRatingChartSerial1">[7]ELC1!$E$2:$E$14</definedName>
    <definedName name="ELC1SPRatingChartXScale">[7]ELC1!$D$2:$D$14</definedName>
    <definedName name="ELC2_Top3">[7]TOP10!$G$3</definedName>
    <definedName name="ELC2_Top4">[7]TOP10!$G$8</definedName>
    <definedName name="ELC2FitchRatingChartData">[7]ELC2!$G$2:$H$12</definedName>
    <definedName name="ELC2FitchRatingChartSerial1">[7]ELC2!$H$2:$H$12</definedName>
    <definedName name="ELC2FitchRatingChartXScale">[7]ELC2!$G$2:$G$12</definedName>
    <definedName name="ELC2MoodyRatingChartData">[7]ELC2!$A$2:$B$15</definedName>
    <definedName name="ELC2MoodyRatingChartSerial1">[7]ELC2!$B$2:$B$15</definedName>
    <definedName name="ELC2MoodyRatingChartXScale">[7]ELC2!$A$2:$A$15</definedName>
    <definedName name="ELC2SPRatingChartData">[7]ELC2!$D$2:$E$15</definedName>
    <definedName name="ELC2SPRatingChartSerial1">[7]ELC2!$E$2:$E$15</definedName>
    <definedName name="ELC2SPRatingChartXScale">[7]ELC2!$D$2:$D$15</definedName>
    <definedName name="ELC3_Top3">[7]TOP10!$J$3</definedName>
    <definedName name="ELC3_Top4">[7]TOP10!$J$8</definedName>
    <definedName name="ELC3FitchRatingChartData">[7]ELC3!$G$2:$H$14</definedName>
    <definedName name="ELC3FitchRatingChartSerial1">[7]ELC3!$H$2:$H$14</definedName>
    <definedName name="ELC3FitchRatingChartXScale">[7]ELC3!$G$2:$G$14</definedName>
    <definedName name="ELC3MoodyRatingChartData">[7]ELC3!$A$2:$B$15</definedName>
    <definedName name="ELC3MoodyRatingChartSerial1">[7]ELC3!$B$2:$B$15</definedName>
    <definedName name="ELC3MoodyRatingChartXScale">[7]ELC3!$A$2:$A$15</definedName>
    <definedName name="ELC3SPRatingChartData">[7]ELC3!$D$2:$E$16</definedName>
    <definedName name="ELC3SPRatingChartSerial1">[7]ELC3!$E$2:$E$16</definedName>
    <definedName name="ELC3SPRatingChartXScale">[7]ELC3!$D$2:$D$16</definedName>
    <definedName name="ELC4_Top3">[7]TOP10!$M$3</definedName>
    <definedName name="ELC4_Top4">[7]TOP10!$M$8</definedName>
    <definedName name="ELC4FitchRatingChartData">[7]ELC4!$G$2:$H$8</definedName>
    <definedName name="ELC4FitchRatingChartSerial1">[7]ELC4!$H$2:$H$8</definedName>
    <definedName name="ELC4FitchRatingChartXScale">[7]ELC4!$G$2:$G$8</definedName>
    <definedName name="ELC4MoodyRatingChartData">[7]ELC4!$A$2:$B$13</definedName>
    <definedName name="ELC4MoodyRatingChartSerial1">[7]ELC4!$B$2:$B$13</definedName>
    <definedName name="ELC4MoodyRatingChartXScale">[7]ELC4!$A$2:$A$13</definedName>
    <definedName name="ELC4SPRatingChartData">[7]ELC4!$D$2:$E$14</definedName>
    <definedName name="ELC4SPRatingChartSerial1">[7]ELC4!$E$2:$E$14</definedName>
    <definedName name="ELC4SPRatingChartXScale">[7]ELC4!$D$2:$D$14</definedName>
    <definedName name="ELC5_Top3">[7]TOP10!$P$3</definedName>
    <definedName name="ELC5_Top4">[7]TOP10!$P$8</definedName>
    <definedName name="ELC5FitchRatingChartData">[7]ELC5!$G$2:$H$9</definedName>
    <definedName name="ELC5FitchRatingChartSerial1">[7]ELC5!$H$2:$H$9</definedName>
    <definedName name="ELC5FitchRatingChartXScale">[7]ELC5!$G$2:$G$9</definedName>
    <definedName name="ELC5MoodyRatingChartData">[7]ELC5!$A$2:$B$14</definedName>
    <definedName name="ELC5MoodyRatingChartSerial1">[7]ELC5!$B$2:$B$14</definedName>
    <definedName name="ELC5MoodyRatingChartXScale">[7]ELC5!$A$2:$A$14</definedName>
    <definedName name="ELC5SPRatingChartData">[7]ELC5!$D$2:$E$14</definedName>
    <definedName name="ELC5SPRatingChartSerial1">[7]ELC5!$E$2:$E$14</definedName>
    <definedName name="ELC5SPRatingChartXScale">[7]ELC5!$D$2:$D$14</definedName>
    <definedName name="employees">#REF!</definedName>
    <definedName name="EndDay">[6]Selections!$R$3</definedName>
    <definedName name="EndMonth">[6]Selections!$R$2</definedName>
    <definedName name="EndYear">[6]Selections!$R$1</definedName>
    <definedName name="ePrint">[17]Consolidated!#REF!</definedName>
    <definedName name="EQUITY">'[9]S&amp;U'!$E$12</definedName>
    <definedName name="equityamt">#REF!</definedName>
    <definedName name="equityamt___0">#REF!</definedName>
    <definedName name="equityper">#REF!</definedName>
    <definedName name="equityper___0">#REF!</definedName>
    <definedName name="ev.Calculation" hidden="1">-4105</definedName>
    <definedName name="ev.Initialized" hidden="1">FALSE</definedName>
    <definedName name="exe">#REF!</definedName>
    <definedName name="fianal">[18]Preliminary!$A$1:$D$65</definedName>
    <definedName name="filename">[6]Selections!$U$2</definedName>
    <definedName name="Final_Number">#REF!</definedName>
    <definedName name="FinanceRev">#REF!</definedName>
    <definedName name="FinanceRev2">#REF!</definedName>
    <definedName name="firstHourDate">#REF!</definedName>
    <definedName name="firstProject">#REF!</definedName>
    <definedName name="Flat_Swap">#REF!</definedName>
    <definedName name="FSoPacific" localSheetId="2" hidden="1">{"BS",#N/A,FALSE,"USA"}</definedName>
    <definedName name="FSoPacific" hidden="1">{"BS",#N/A,FALSE,"USA"}</definedName>
    <definedName name="Fund">[6]Selections!$A$1</definedName>
    <definedName name="Fwd_Curve">#REF!</definedName>
    <definedName name="FYEMarker">#REF!</definedName>
    <definedName name="FYEMonth">#REF!</definedName>
    <definedName name="G_A_SUMMARY">#REF!</definedName>
    <definedName name="group_quarterly">#REF!</definedName>
    <definedName name="Header1">[19]_01_05_v_Wicks_xls__01_05_v_Wic!$N$1</definedName>
    <definedName name="high1">[1]Inputs!$E$23</definedName>
    <definedName name="high10">[1]Inputs!$E$482</definedName>
    <definedName name="high11">[1]Inputs!$E$533</definedName>
    <definedName name="high12">[1]Inputs!$E$584</definedName>
    <definedName name="high13">[1]Inputs!$E$635</definedName>
    <definedName name="high14">[1]Inputs!$E$686</definedName>
    <definedName name="high15">[1]Inputs!$E$737</definedName>
    <definedName name="high2">[1]Inputs!$E$74</definedName>
    <definedName name="high3">[1]Inputs!$E$125</definedName>
    <definedName name="high4">[1]Inputs!$E$176</definedName>
    <definedName name="high5">[1]Inputs!$E$227</definedName>
    <definedName name="high6">[1]Inputs!$E$278</definedName>
    <definedName name="high7">[1]Inputs!$E$329</definedName>
    <definedName name="high8">[1]Inputs!$E$380</definedName>
    <definedName name="high9">[1]Inputs!$E$431</definedName>
    <definedName name="hl">'[20]LBO Summary'!#REF!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IC1Actual">OFFSET([6]ICTrends!$C$2,0,0,COUNTA([6]ICTrends!$C$1:$C$65536)-1)</definedName>
    <definedName name="IC1ChartTitle">[6]ICTrends!$W$1</definedName>
    <definedName name="IC1Covenant">OFFSET([6]ICTrends!$D$2,0,0,COUNTA([6]ICTrends!$D$1:$D$65536)-1)</definedName>
    <definedName name="IC1Date">OFFSET([6]ICTrends!$B$2,0,0,COUNTA([6]ICTrends!$B$1:$B$65536)-1)</definedName>
    <definedName name="IC2Actual">OFFSET([6]ICTrends!$H$2,0,0,COUNTA([6]ICTrends!$H$1:$H$65536)-1)</definedName>
    <definedName name="IC2Covenant">OFFSET([6]ICTrends!$I$2,0,0,COUNTA([6]ICTrends!$I$1:$I$65536)-1)</definedName>
    <definedName name="IC2Date">OFFSET([6]ICTrends!$G$2,0,0,COUNTA([6]ICTrends!$G$1:$G$65536)-1)</definedName>
    <definedName name="IC3Actual">OFFSET([6]ICTrends!$M$2,0,0,COUNTA([6]ICTrends!$M$1:$M$65536)-1)</definedName>
    <definedName name="IC3Covenant">OFFSET([6]ICTrends!$N$2,0,0,COUNTA([6]ICTrends!$N$1:$N$65536)-1)</definedName>
    <definedName name="IC3Date">OFFSET([6]ICTrends!$L$2,0,0,COUNTA([6]ICTrends!$L$1:$L$65536)-1)</definedName>
    <definedName name="IC4Actual">OFFSET([6]ICTrends!$R$2,0,0,COUNTA([6]ICTrends!$R$1:$R$65536)-1)</definedName>
    <definedName name="IC4Covenant">OFFSET([6]ICTrends!$S$2,0,0,COUNTA([6]ICTrends!$S$1:$S$65536)-1)</definedName>
    <definedName name="IC4Date">OFFSET([6]ICTrends!$Q$2,0,0,COUNTA([6]ICTrends!$Q$1:$Q$65536)-1)</definedName>
    <definedName name="inc">#REF!</definedName>
    <definedName name="incsyntog">#REF!</definedName>
    <definedName name="incsyntog___0">#REF!</definedName>
    <definedName name="inputs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Y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"IQ_LTM_DATE"</definedName>
    <definedName name="IQ_LTMMONTH" hidden="1">120000</definedName>
    <definedName name="IQ_MERGER_BR" hidden="1">"c715"</definedName>
    <definedName name="IQ_MERGER_RESTRUCTURE_BR" hidden="1">"c721"</definedName>
    <definedName name="IQ_MINORITY_INTEREST_BR" hidden="1">"c729"</definedName>
    <definedName name="IQ_MONTH">15000</definedName>
    <definedName name="IQ_MTD" hidden="1">800000</definedName>
    <definedName name="IQ_NAMES_REVISION_DATE_" hidden="1">44297.3725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IsColHidden" hidden="1">FALSE</definedName>
    <definedName name="IsLTMColHidden" hidden="1">FALSE</definedName>
    <definedName name="Item">#REF!</definedName>
    <definedName name="K2_WBEVMODE" hidden="1">-1</definedName>
    <definedName name="lastCol">#REF!</definedName>
    <definedName name="latest1">[1]Inputs!$E$13</definedName>
    <definedName name="latest10">[1]Inputs!$E$472</definedName>
    <definedName name="latest11">[1]Inputs!$E$523</definedName>
    <definedName name="latest12">[1]Inputs!$E$574</definedName>
    <definedName name="latest13">[1]Inputs!$E$625</definedName>
    <definedName name="latest14">[1]Inputs!$E$676</definedName>
    <definedName name="latest15">[1]Inputs!$E$727</definedName>
    <definedName name="latest2">[1]Inputs!$E$64</definedName>
    <definedName name="latest3">[1]Inputs!$E$115</definedName>
    <definedName name="latest4">[1]Inputs!$E$166</definedName>
    <definedName name="latest5">[1]Inputs!$E$217</definedName>
    <definedName name="latest6">[1]Inputs!$E$268</definedName>
    <definedName name="latest7">[1]Inputs!$E$319</definedName>
    <definedName name="latest8">[1]Inputs!$E$370</definedName>
    <definedName name="latest9">[1]Inputs!$E$421</definedName>
    <definedName name="LBO">'[9]S&amp;U'!#REF!</definedName>
    <definedName name="left">#REF!</definedName>
    <definedName name="lett">#REF!</definedName>
    <definedName name="LIBOR">[21]Portfolio!$E$2</definedName>
    <definedName name="Libor_Assumptions">#REF!</definedName>
    <definedName name="Libor_Curve">#REF!</definedName>
    <definedName name="Libor_Down">#REF!</definedName>
    <definedName name="Libor_Down_Up">#REF!</definedName>
    <definedName name="LIBOR_Minus_1SD">[10]Revolver!#REF!</definedName>
    <definedName name="Libor_Minus_2SD">[10]Revolver!#REF!</definedName>
    <definedName name="Libor_Plus_0SD">[10]Revolver!#REF!</definedName>
    <definedName name="Libor_Plus_1SD">[10]Revolver!#REF!</definedName>
    <definedName name="Libor_Plus_2SD">[10]Revolver!#REF!</definedName>
    <definedName name="Libor_Scenario">#REF!</definedName>
    <definedName name="Libor_Up">#REF!</definedName>
    <definedName name="longterm">[5]Inputs!#REF!</definedName>
    <definedName name="LTM_DATE">#REF!</definedName>
    <definedName name="Marketable_securities">'[22]Fly-by-night - problem 5'!#REF!</definedName>
    <definedName name="MaxMarkDate">[7]SaleData!$M$3</definedName>
    <definedName name="mcs03g.ReqArray" localSheetId="2">{"Price","ICTG","TS131","D","0","0","H"}</definedName>
    <definedName name="mcs03g.ReqArray">{"Price","ICTG","TS131","D","0","0","H"}</definedName>
    <definedName name="mcs03g.ReqArray___0">#N/A</definedName>
    <definedName name="mcs03g.ReqArray___12">#N/A</definedName>
    <definedName name="mcs03g.ReqArray___2">#N/A</definedName>
    <definedName name="MKVALM">#REF!</definedName>
    <definedName name="MONTHLYSALES">#REF!</definedName>
    <definedName name="MONTHLYSALES___0">#REF!</definedName>
    <definedName name="moodys">#REF!</definedName>
    <definedName name="mu">'[23]LBO Summary'!$G$130</definedName>
    <definedName name="Name">[5]Info!$C$8</definedName>
    <definedName name="name1">[1]Inputs!$E$10</definedName>
    <definedName name="name10">[1]Inputs!$E$469</definedName>
    <definedName name="name11">[1]Inputs!$E$520</definedName>
    <definedName name="name12">[1]Inputs!$E$571</definedName>
    <definedName name="name13">[1]Inputs!$E$622</definedName>
    <definedName name="name14">[1]Inputs!$E$673</definedName>
    <definedName name="name15">[1]Inputs!$E$724</definedName>
    <definedName name="name2">[1]Inputs!$E$61</definedName>
    <definedName name="name3">[1]Inputs!$E$112</definedName>
    <definedName name="name4">[1]Inputs!$E$163</definedName>
    <definedName name="name5">[1]Inputs!$E$214</definedName>
    <definedName name="name6">[1]Inputs!$E$265</definedName>
    <definedName name="name7">[1]Inputs!$E$316</definedName>
    <definedName name="name8">[1]Inputs!$E$367</definedName>
    <definedName name="name9">[1]Inputs!$E$418</definedName>
    <definedName name="NDY">#REF!</definedName>
    <definedName name="NDYWGT">#REF!</definedName>
    <definedName name="OC1Actual">OFFSET([6]OCTrends!$C$2,0,0,COUNTA([6]OCTrends!$C$1:$C$65536)-1)</definedName>
    <definedName name="OC1ChartTitle">[6]OCTrends!$W$1</definedName>
    <definedName name="OC1Covenant">OFFSET([6]OCTrends!$D$2,0,0,COUNTA([6]OCTrends!$D$1:$D$65536)-1)</definedName>
    <definedName name="OC1Date">OFFSET([6]OCTrends!$B$2,0,0,COUNTA([6]OCTrends!$B$1:$B$65536)-1)</definedName>
    <definedName name="OC2Actual">OFFSET([6]OCTrends!$H$2,0,0,COUNTA([6]OCTrends!$H$1:$H$65536)-1)</definedName>
    <definedName name="OC2Covenant">OFFSET([6]OCTrends!$I$2,0,0,COUNTA([6]OCTrends!$I$1:$I$65536)-1)</definedName>
    <definedName name="OC2Date">OFFSET([6]OCTrends!$G$2,0,0,COUNTA([6]OCTrends!$G$1:$G$65536)-1)</definedName>
    <definedName name="OC3Actual">OFFSET([6]OCTrends!$M$2,0,0,COUNTA([6]OCTrends!$M$1:$M$65536)-1)</definedName>
    <definedName name="OC3Covenant">OFFSET([6]OCTrends!$N$2,0,0,COUNTA([6]OCTrends!$N$1:$N$65536)-1)</definedName>
    <definedName name="OC3Date">OFFSET([6]OCTrends!$L$2,0,0,COUNTA([6]OCTrends!$L$1:$L$65536)-1)</definedName>
    <definedName name="OC4Actual">OFFSET([6]OCTrends!$R$2,0,0,COUNTA([6]OCTrends!$R$1:$R$65536)-1)</definedName>
    <definedName name="OC4Covenant">OFFSET([6]OCTrends!$S$2,0,0,COUNTA([6]OCTrends!$S$1:$S$65536)-1)</definedName>
    <definedName name="OC4Date">OFFSET([6]OCTrends!$Q$2,0,0,COUNTA([6]OCTrends!$Q$1:$Q$65536)-1)</definedName>
    <definedName name="Order">#REF!</definedName>
    <definedName name="Other_assets">'[22]Fly-by-night - problem 5'!#REF!</definedName>
    <definedName name="Other_current_liabilities_Sales">'[4]Tanning Assumptions'!#REF!</definedName>
    <definedName name="Other_long_term_liabilities">'[4]Tanning Assumptions'!#REF!</definedName>
    <definedName name="OtherRev">#REF!</definedName>
    <definedName name="P_L">#REF!</definedName>
    <definedName name="PCV">[6]Calcs!$B$1</definedName>
    <definedName name="Percentage">#REF!</definedName>
    <definedName name="Period">#REF!</definedName>
    <definedName name="Period1">#REF!</definedName>
    <definedName name="Period2">#REF!</definedName>
    <definedName name="Period3">#REF!</definedName>
    <definedName name="Period4">#REF!</definedName>
    <definedName name="Period5">#REF!</definedName>
    <definedName name="Period6">#REF!</definedName>
    <definedName name="Period7">#REF!</definedName>
    <definedName name="Period8">#REF!</definedName>
    <definedName name="PERSONAL_FINANCIAL">#REF!</definedName>
    <definedName name="PERSONAL_FINANCIAL___0">#REF!</definedName>
    <definedName name="PFLTM">'[24]VeCTOR Import'!#REF!</definedName>
    <definedName name="pik">'[9]S&amp;U'!#REF!</definedName>
    <definedName name="portion1">[1]Inputs!$E$14</definedName>
    <definedName name="portion10">[1]Inputs!$E$473</definedName>
    <definedName name="portion11">[1]Inputs!$E$524</definedName>
    <definedName name="portion12">[1]Inputs!$E$575</definedName>
    <definedName name="portion13">[1]Inputs!$E$626</definedName>
    <definedName name="portion14">[1]Inputs!$E$677</definedName>
    <definedName name="portion15">[1]Inputs!$E$728</definedName>
    <definedName name="portion2">[1]Inputs!$E$65</definedName>
    <definedName name="portion3">[1]Inputs!$E$116</definedName>
    <definedName name="portion4">[1]Inputs!$E$167</definedName>
    <definedName name="portion5">[1]Inputs!$E$218</definedName>
    <definedName name="portion6">[1]Inputs!$E$269</definedName>
    <definedName name="portion7">[1]Inputs!$E$320</definedName>
    <definedName name="portion8">[1]Inputs!$E$371</definedName>
    <definedName name="portion9">[1]Inputs!$E$422</definedName>
    <definedName name="PP_E_Sales">'[4]Tanning Assumptions'!#REF!</definedName>
    <definedName name="prefbamt">#REF!</definedName>
    <definedName name="prefbamt___0">#REF!</definedName>
    <definedName name="prefbper">#REF!</definedName>
    <definedName name="prefbper___0">#REF!</definedName>
    <definedName name="Preliminary">#REF!</definedName>
    <definedName name="Prepaids_Sales">'[4]Tanning Assumptions'!#REF!</definedName>
    <definedName name="PRICES">#REF!</definedName>
    <definedName name="PRICES___0">#REF!</definedName>
    <definedName name="_xlnm.Print_Area">#REF!</definedName>
    <definedName name="_xlnm.Print_Titles">#REF!</definedName>
    <definedName name="project">[12]CONTROL!$D$8</definedName>
    <definedName name="project___0">[8]CONTROL!$D$8</definedName>
    <definedName name="ProjList">#REF!</definedName>
    <definedName name="PublicCompany">#REF!</definedName>
    <definedName name="purchase">[25]TRANSACTION!$Q$2</definedName>
    <definedName name="PURCHASE_PRICE">[26]Sheet5:D!$A$1:$H$23</definedName>
    <definedName name="qryWSO_Positions_ByFunds_CrossTab">#REF!</definedName>
    <definedName name="quarterly">#REF!</definedName>
    <definedName name="rate">#REF!</definedName>
    <definedName name="RateTable">[27]MASTER!#REF!</definedName>
    <definedName name="Rating">'[7]Actual vs Covenant'!$P$11:$Q$18</definedName>
    <definedName name="RatingFactors">#REF!</definedName>
    <definedName name="RATIOS">#REF!</definedName>
    <definedName name="RATIOS___0">#REF!</definedName>
    <definedName name="recovery">#REF!</definedName>
    <definedName name="refi">'[28]OBS - REFI'!$AP$5</definedName>
    <definedName name="REPORT">#REF!</definedName>
    <definedName name="REPORT___0">#REF!</definedName>
    <definedName name="ReprintRev">#REF!</definedName>
    <definedName name="ret">#REF!</definedName>
    <definedName name="rhl">'[20]LBO Summary'!#REF!</definedName>
    <definedName name="RoyaltyRev">#REF!</definedName>
    <definedName name="rptData">#REF!</definedName>
    <definedName name="rr">'[20]LBO Summary'!#REF!</definedName>
    <definedName name="s">#REF!</definedName>
    <definedName name="s.outstand">[5]Inputs!#REF!</definedName>
    <definedName name="SALES">#REF!</definedName>
    <definedName name="SALES___0">#REF!</definedName>
    <definedName name="sales1">[1]Inputs!$P$29</definedName>
    <definedName name="sales10">[1]Inputs!$P$488</definedName>
    <definedName name="sales11">[1]Inputs!$P$539</definedName>
    <definedName name="sales12">[1]Inputs!$P$590</definedName>
    <definedName name="sales13">[1]Inputs!$P$641</definedName>
    <definedName name="sales14">[1]Inputs!$P$692</definedName>
    <definedName name="sales15">[1]Inputs!$P$743</definedName>
    <definedName name="sales2">[1]Inputs!$P$80</definedName>
    <definedName name="sales3">[1]Inputs!$P$131</definedName>
    <definedName name="sales4">[1]Inputs!$P$182</definedName>
    <definedName name="sales5">[1]Inputs!$P$233</definedName>
    <definedName name="sales6">[1]Inputs!$P$284</definedName>
    <definedName name="sales7">[1]Inputs!$P$335</definedName>
    <definedName name="sales8">[1]Inputs!$P$386</definedName>
    <definedName name="sales9">[1]Inputs!$P$437</definedName>
    <definedName name="scen">#REF!</definedName>
    <definedName name="Scenario_11">#REF!</definedName>
    <definedName name="Scenario_12">#REF!</definedName>
    <definedName name="Scenario_13">#REF!</definedName>
    <definedName name="Scenario_14">#REF!</definedName>
    <definedName name="Scenario_15">#REF!</definedName>
    <definedName name="Scenario_16">#REF!</definedName>
    <definedName name="Scenario_17">#REF!</definedName>
    <definedName name="Scenario_18">#REF!</definedName>
    <definedName name="Scenario_19">#REF!</definedName>
    <definedName name="Scenario_20">#REF!</definedName>
    <definedName name="Scenario_21">#REF!</definedName>
    <definedName name="Scenario_22">#REF!</definedName>
    <definedName name="Scenario_23">#REF!</definedName>
    <definedName name="Scenario_24">#REF!</definedName>
    <definedName name="Scenario_25">#REF!</definedName>
    <definedName name="Scenario_26">#REF!</definedName>
    <definedName name="Scenario_27">#REF!</definedName>
    <definedName name="Scenario_28">#REF!</definedName>
    <definedName name="Scenario_31">#REF!</definedName>
    <definedName name="Scenario_32">#REF!</definedName>
    <definedName name="Scenario_33">#REF!</definedName>
    <definedName name="Scenario_34">#REF!</definedName>
    <definedName name="Scenario_35">#REF!</definedName>
    <definedName name="Scenario_36">#REF!</definedName>
    <definedName name="Scenario_37">#REF!</definedName>
    <definedName name="Scenario_38">#REF!</definedName>
    <definedName name="Scenario_39">#REF!</definedName>
    <definedName name="Scenario_41">#REF!</definedName>
    <definedName name="Scenario_42">#REF!</definedName>
    <definedName name="Scenario_43">#REF!</definedName>
    <definedName name="Scenario_44">#REF!</definedName>
    <definedName name="Scenario_51">#REF!</definedName>
    <definedName name="Scenario_52">#REF!</definedName>
    <definedName name="Scenario_53">#REF!</definedName>
    <definedName name="Section">#REF!</definedName>
    <definedName name="SENSITIVITY">#REF!</definedName>
    <definedName name="SENSITIVITY___0">#REF!</definedName>
    <definedName name="sh.equity">[5]Inputs!#REF!</definedName>
    <definedName name="sl">'[20]LBO Summary'!#REF!</definedName>
    <definedName name="snapshotdate">#REF!</definedName>
    <definedName name="sort_range">#REF!</definedName>
    <definedName name="sponsor">'[9]S&amp;U'!$J$21</definedName>
    <definedName name="Start">#REF!</definedName>
    <definedName name="Start_Date">[6]Selections!$C$1</definedName>
    <definedName name="StartDay">[6]Selections!$P$3</definedName>
    <definedName name="StartMonth">[6]Selections!$P$2</definedName>
    <definedName name="StartRefresh">'[14]Portfolio Input'!#REF!</definedName>
    <definedName name="StartYear">[6]Selections!$P$1</definedName>
    <definedName name="Strip_Amount">#REF!</definedName>
    <definedName name="Strip_PV">#REF!</definedName>
    <definedName name="stub">#REF!</definedName>
    <definedName name="stubmonths">'[29]D&amp;A'!$C$5</definedName>
    <definedName name="sub">'[20]LBO Summary'!#REF!</definedName>
    <definedName name="subdebtamount">[15]Inputs!$J$26</definedName>
    <definedName name="subdebtdate">[15]Inputs!$J$28</definedName>
    <definedName name="Subhead1">[19]_01_05_v_Wicks_xls__01_05_v_Wic!$N$2</definedName>
    <definedName name="subHeading">#REF!</definedName>
    <definedName name="summary">#REF!</definedName>
    <definedName name="support">#REF!</definedName>
    <definedName name="sweep___9">[30]COVS_ACTUAL!#REF!</definedName>
    <definedName name="target">#REF!</definedName>
    <definedName name="tax">[31]ISCF!#REF!</definedName>
    <definedName name="Taxes_Receivable_Sales">'[4]Tanning Assumptions'!#REF!</definedName>
    <definedName name="Test">#REF!</definedName>
    <definedName name="tgt">#REF!</definedName>
    <definedName name="ticker1">[1]Inputs!$E$11</definedName>
    <definedName name="ticker10">[1]Inputs!$E$470</definedName>
    <definedName name="ticker11">[1]Inputs!$E$521</definedName>
    <definedName name="ticker12">[1]Inputs!$E$572</definedName>
    <definedName name="ticker13">[1]Inputs!$E$623</definedName>
    <definedName name="ticker14">[1]Inputs!$E$674</definedName>
    <definedName name="ticker15">[1]Inputs!$E$725</definedName>
    <definedName name="ticker2">[1]Inputs!$E$62</definedName>
    <definedName name="ticker3">[1]Inputs!$E$113</definedName>
    <definedName name="ticker4">[1]Inputs!$E$164</definedName>
    <definedName name="ticker5">[1]Inputs!$E$215</definedName>
    <definedName name="ticker6">[1]Inputs!$E$266</definedName>
    <definedName name="ticker7">[1]Inputs!$E$317</definedName>
    <definedName name="ticker8">[1]Inputs!$E$368</definedName>
    <definedName name="ticker9">[1]Inputs!$E$419</definedName>
    <definedName name="TimeEnd">[6]Selections!$L$3</definedName>
    <definedName name="TimeStart">[6]Selections!$L$2</definedName>
    <definedName name="title">[28]SUM!$A$2</definedName>
    <definedName name="today">#REF!</definedName>
    <definedName name="top">#REF!</definedName>
    <definedName name="TopIC">'[7]Actual vs Covenant'!$P$31:$Q$38</definedName>
    <definedName name="TopOC">'[7]Actual vs Covenant'!$P$21:$Q$28</definedName>
    <definedName name="TOTAL">#REF!</definedName>
    <definedName name="TOTAL___0">#REF!</definedName>
    <definedName name="Total_Europe">#REF!</definedName>
    <definedName name="TotalRev">#REF!</definedName>
    <definedName name="TradedCash">[6]Principal!$G$5</definedName>
    <definedName name="trigger">[8]OBS!$U$5</definedName>
    <definedName name="TRYN_Top3">[7]TOP10!$S$3</definedName>
    <definedName name="TRYN_Top4">[7]TOP10!$S$8</definedName>
    <definedName name="TryonFitchRatingChartData">[7]TRYN!$G$2:$H$9</definedName>
    <definedName name="TryonFitchRatingChartSerial1">[7]TRYN!$H$2:$H$9</definedName>
    <definedName name="TryonFitchRatingChartXScale">[7]TRYN!$G$2:$G$9</definedName>
    <definedName name="TryonMoodyRatingChartData">[7]TRYN!$A$2:$B$15</definedName>
    <definedName name="TryonMoodyRatingChartSerial1">[7]TRYN!$B$2:$B$15</definedName>
    <definedName name="TryonMoodyRatingChartXScale">[7]TRYN!$A$2:$A$15</definedName>
    <definedName name="TryonSPRatingChartData">[7]TRYN!$D$2:$E$15</definedName>
    <definedName name="TryonSPRatingChartSerial1">[7]TRYN!$E$2:$E$15</definedName>
    <definedName name="TryonSPRatingChartXScale">[7]TRYN!$D$2:$D$15</definedName>
    <definedName name="units">'[9]S&amp;U'!$K$2</definedName>
    <definedName name="version">[28]SUM!$AE$2</definedName>
    <definedName name="version___0">[8]CONTROL!$D$9</definedName>
    <definedName name="WACActual">OFFSET([6]WACTrends!$C$2,0,0,COUNTA([6]WACTrends!$C$1:$C$65536)-1)</definedName>
    <definedName name="WACCovenant">OFFSET([6]WACTrends!$D$2,0,0,COUNTA([6]WACTrends!$D$1:$D$65536)-1)</definedName>
    <definedName name="WACDate">OFFSET([6]WACTrends!$B$2,0,0,COUNTA([6]WACTrends!$B$1:$B$65536)-1)</definedName>
    <definedName name="WALActual">OFFSET([6]WALTrends!$C$2,0,0,COUNTA([6]WALTrends!$C$1:$C$65536)-1)</definedName>
    <definedName name="WALCovenant">OFFSET([6]WALTrends!$D$2,0,0,COUNTA([6]WALTrends!$D$1:$D$65536)-1)</definedName>
    <definedName name="WALDate">OFFSET([6]WALTrends!$B$2,0,0,COUNTA([6]WALTrends!$B$1:$B$65536)-1)</definedName>
    <definedName name="WARFActual">OFFSET([6]WARFTrends!$C$2,0,0,COUNTA([6]WARFTrends!$C$1:$C$65536)-1)</definedName>
    <definedName name="WARFCovenant">OFFSET([6]WARFTrends!$D$2,0,0,COUNTA([6]WARFTrends!$D$1:$D$65536)-1)</definedName>
    <definedName name="WARFDate">OFFSET([6]WARFTrends!$B$2,0,0,COUNTA([6]WARFTrends!$B$1:$B$65536)-1)</definedName>
    <definedName name="WARFFitchActual">OFFSET([6]WARFFitchTrends!$C$2,0,0,COUNTA([6]WARFFitchTrends!$C$1:$C$65536)-1)</definedName>
    <definedName name="WARFFitchCovenant">OFFSET([6]WARFFitchTrends!$D$2,0,0,COUNTA([6]WARFFitchTrends!$D$1:$D$65536)-1)</definedName>
    <definedName name="WARFFitchDate">OFFSET([6]WARFFitchTrends!$B$2,0,0,COUNTA([6]WARFFitchTrends!$B$1:$B$65536)-1)</definedName>
    <definedName name="warrants">[15]Inputs!$O$13</definedName>
    <definedName name="WASActual">OFFSET([6]WASTrends!$C$2,0,0,COUNTA([6]WASTrends!$C$1:$C$65536)-1)</definedName>
    <definedName name="WASCovenant">OFFSET([6]WASTrends!$D$2,0,0,COUNTA([6]WASTrends!$D$1:$D$65536)-1)</definedName>
    <definedName name="WASDate">OFFSET([6]WASTrends!$B$2,0,0,COUNTA([6]WASTrends!$B$1:$B$65536)-1)</definedName>
    <definedName name="WBMIN">'[14]Portfolio Input'!#REF!</definedName>
    <definedName name="WHAT_IF">#REF!</definedName>
    <definedName name="WHAT_IF___0">#REF!</definedName>
    <definedName name="whec">[28]WHEC!$AX$2</definedName>
    <definedName name="wicksequity">[15]Inputs!$E$35</definedName>
    <definedName name="WORKING_CAPITAL">#REF!</definedName>
    <definedName name="WORKING_CAPITAL___0">#REF!</definedName>
    <definedName name="wrn.Alloutput." localSheetId="2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Alloutput." hidden="1">{#N/A,#N/A,TRUE,"Deal Summary";#N/A,#N/A,TRUE,"CGIC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Life";#N/A,#N/A,TRUE,"UHCO Statutory Info ----&gt;";#N/A,#N/A,TRUE,"UHCO Source_Use";#N/A,#N/A,TRUE,"UHCO_Debt Paydown";#N/A,#N/A,TRUE,"Union Bankers";#N/A,#N/A,TRUE,"Penn Life";#N/A,#N/A,TRUE,"Constitution"}</definedName>
    <definedName name="wrn.CGIC._.PLICO._.Statutory._.Results." localSheetId="2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GIC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IS." localSheetId="2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rossroads." localSheetId="2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rossroads2" localSheetId="2" hidden="1">{#N/A,#N/A,FALSE,"RENT ROLL";#N/A,#N/A,FALSE,"CAM";#N/A,#N/A,FALSE,"TAXES";#N/A,#N/A,FALSE,"INSURANCE";#N/A,#N/A,FALSE,"HVAC";#N/A,#N/A,FALSE,"MARKETING"}</definedName>
    <definedName name="wrn.crossroads2" hidden="1">{#N/A,#N/A,FALSE,"RENT ROLL";#N/A,#N/A,FALSE,"CAM";#N/A,#N/A,FALSE,"TAXES";#N/A,#N/A,FALSE,"INSURANCE";#N/A,#N/A,FALSE,"HVAC";#N/A,#N/A,FALSE,"MARKETING"}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quick." localSheetId="2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Sales._.Activity." localSheetId="2" hidden="1">{#N/A,#N/A,FALSE,"Integration Systems"}</definedName>
    <definedName name="wrn.Sales._.Activity." hidden="1">{#N/A,#N/A,FALSE,"Integration Systems"}</definedName>
    <definedName name="wrn.Summary." localSheetId="2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Summary." hidden="1">{#N/A,#N/A,FALSE,"Deal Summary";#N/A,#N/A,FALSE,"CGIC &amp;PLICO Results";#N/A,#N/A,FALSE,"Consolidated Results";#N/A,#N/A,FALSE,"Consolidated Source_Uses&amp;Debt ";#N/A,#N/A,FALSE,"Bal_Sht";#N/A,#N/A,FALSE,"Income Statement";#N/A,#N/A,FALSE,"Accretion_Dilution";#N/A,#N/A,FALSE,"Matrix";#N/A,#N/A,FALSE,"Purchase_sensitivity"}</definedName>
    <definedName name="wrn.UHCO._.Statutory._.Results." localSheetId="2" hidden="1">{#N/A,#N/A,FALSE,"UHCO Statutory Info ----&gt;";#N/A,#N/A,FALSE,"UHCO Source_Use";#N/A,#N/A,FALSE,"UHCO_Debt Paydown";#N/A,#N/A,FALSE,"Union Bankers";#N/A,#N/A,FALSE,"Penn Life";#N/A,#N/A,FALSE,"Constitution"}</definedName>
    <definedName name="wrn.UHCO._.Statutory._.Results." hidden="1">{#N/A,#N/A,FALSE,"UHCO Statutory Info ----&gt;";#N/A,#N/A,FALSE,"UHCO Source_Use";#N/A,#N/A,FALSE,"UHCO_Debt Paydown";#N/A,#N/A,FALSE,"Union Bankers";#N/A,#N/A,FALSE,"Penn Life";#N/A,#N/A,FALSE,"Constitution"}</definedName>
    <definedName name="wrn.Weekly._.Inventory._.Report." localSheetId="2" hidden="1">{#N/A,#N/A,FALSE,"Combo"}</definedName>
    <definedName name="wrn.Weekly._.Inventory._.Report." hidden="1">{#N/A,#N/A,FALSE,"Combo"}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ip">#REF!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2" l="1"/>
  <c r="D31" i="22"/>
  <c r="D30" i="22"/>
  <c r="D29" i="22"/>
  <c r="D28" i="22"/>
  <c r="D26" i="22"/>
  <c r="D27" i="22"/>
  <c r="J213" i="23"/>
  <c r="I213" i="23"/>
  <c r="H213" i="23"/>
  <c r="G213" i="23"/>
  <c r="F213" i="23"/>
  <c r="E213" i="23"/>
  <c r="D213" i="23"/>
  <c r="C213" i="23"/>
  <c r="J212" i="23"/>
  <c r="I212" i="23"/>
  <c r="H212" i="23"/>
  <c r="G212" i="23"/>
  <c r="F212" i="23"/>
  <c r="E212" i="23"/>
  <c r="D212" i="23"/>
  <c r="C212" i="23"/>
  <c r="AE209" i="23"/>
  <c r="AD209" i="23"/>
  <c r="AC209" i="23"/>
  <c r="AB209" i="23"/>
  <c r="AA209" i="23"/>
  <c r="Z209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J209" i="23"/>
  <c r="I209" i="23"/>
  <c r="H209" i="23"/>
  <c r="G209" i="23"/>
  <c r="F209" i="23"/>
  <c r="E209" i="23"/>
  <c r="D209" i="23"/>
  <c r="C209" i="23"/>
  <c r="C13" i="22"/>
  <c r="C7" i="22"/>
  <c r="C33" i="22"/>
  <c r="J31" i="25"/>
  <c r="J34" i="25"/>
  <c r="J12" i="25"/>
  <c r="J11" i="25"/>
  <c r="J10" i="25"/>
  <c r="J9" i="25"/>
  <c r="J8" i="25"/>
  <c r="J3" i="25"/>
  <c r="AE12" i="25"/>
  <c r="AE11" i="25"/>
  <c r="AE10" i="25"/>
  <c r="AE9" i="25"/>
  <c r="AE8" i="25"/>
  <c r="AE81" i="25"/>
  <c r="AE31" i="25"/>
  <c r="I37" i="25"/>
  <c r="I82" i="25" s="1"/>
  <c r="I31" i="25"/>
  <c r="I13" i="25"/>
  <c r="I21" i="25" s="1"/>
  <c r="J17" i="23"/>
  <c r="J3" i="23"/>
  <c r="AE207" i="23"/>
  <c r="AE126" i="23"/>
  <c r="J126" i="23" s="1"/>
  <c r="AE125" i="23"/>
  <c r="AE190" i="23" s="1"/>
  <c r="AE122" i="23"/>
  <c r="J122" i="23" s="1"/>
  <c r="AE119" i="23"/>
  <c r="C9" i="22" s="1"/>
  <c r="AE113" i="23"/>
  <c r="AE114" i="23" s="1"/>
  <c r="AE112" i="23"/>
  <c r="J112" i="23" s="1"/>
  <c r="AE108" i="23"/>
  <c r="AE109" i="23" s="1"/>
  <c r="AE107" i="23"/>
  <c r="J107" i="23" s="1"/>
  <c r="AE103" i="23"/>
  <c r="J103" i="23" s="1"/>
  <c r="AE102" i="23"/>
  <c r="J102" i="23" s="1"/>
  <c r="AE101" i="23"/>
  <c r="J101" i="23" s="1"/>
  <c r="AE100" i="23"/>
  <c r="J100" i="23" s="1"/>
  <c r="AE95" i="23"/>
  <c r="J95" i="23" s="1"/>
  <c r="AE94" i="23"/>
  <c r="J94" i="23" s="1"/>
  <c r="AE74" i="23"/>
  <c r="AE183" i="23" s="1"/>
  <c r="AE71" i="23"/>
  <c r="J71" i="23" s="1"/>
  <c r="AE65" i="23"/>
  <c r="AE174" i="23" s="1"/>
  <c r="AE61" i="23"/>
  <c r="J61" i="23" s="1"/>
  <c r="J86" i="23" s="1"/>
  <c r="AE60" i="23"/>
  <c r="J60" i="23" s="1"/>
  <c r="AE49" i="23"/>
  <c r="AE85" i="23" s="1"/>
  <c r="C21" i="22" s="1"/>
  <c r="AE27" i="23"/>
  <c r="J27" i="23" s="1"/>
  <c r="AE21" i="23"/>
  <c r="J21" i="23" s="1"/>
  <c r="AE20" i="23"/>
  <c r="J20" i="23" s="1"/>
  <c r="AE19" i="23"/>
  <c r="J19" i="23" s="1"/>
  <c r="AE17" i="23"/>
  <c r="AE16" i="23"/>
  <c r="J16" i="23" s="1"/>
  <c r="AE15" i="23"/>
  <c r="J15" i="23" s="1"/>
  <c r="AE14" i="23"/>
  <c r="J14" i="23" s="1"/>
  <c r="AE8" i="23"/>
  <c r="J8" i="23" s="1"/>
  <c r="AE7" i="23"/>
  <c r="AE222" i="23"/>
  <c r="AE211" i="23"/>
  <c r="AE157" i="23"/>
  <c r="AE146" i="23"/>
  <c r="AE130" i="23"/>
  <c r="AE117" i="23"/>
  <c r="AE91" i="23"/>
  <c r="AE86" i="23"/>
  <c r="AE81" i="23"/>
  <c r="AE180" i="23"/>
  <c r="AE170" i="23"/>
  <c r="AE56" i="23"/>
  <c r="AE41" i="23"/>
  <c r="AE34" i="23"/>
  <c r="AE33" i="23"/>
  <c r="I127" i="23"/>
  <c r="AE127" i="23" s="1"/>
  <c r="I124" i="23"/>
  <c r="I121" i="23"/>
  <c r="I151" i="23" s="1"/>
  <c r="I96" i="23"/>
  <c r="AE96" i="23" s="1"/>
  <c r="J96" i="23" s="1"/>
  <c r="I93" i="23"/>
  <c r="AE93" i="23" s="1"/>
  <c r="J93" i="23" s="1"/>
  <c r="I70" i="23"/>
  <c r="I179" i="23" s="1"/>
  <c r="I69" i="23"/>
  <c r="I178" i="23" s="1"/>
  <c r="I67" i="23"/>
  <c r="I176" i="23" s="1"/>
  <c r="I64" i="23"/>
  <c r="I173" i="23" s="1"/>
  <c r="I63" i="23"/>
  <c r="I88" i="23" s="1"/>
  <c r="I59" i="23"/>
  <c r="I38" i="23" s="1"/>
  <c r="I58" i="23"/>
  <c r="I24" i="23"/>
  <c r="AE24" i="23" s="1"/>
  <c r="J24" i="23" s="1"/>
  <c r="I10" i="23"/>
  <c r="I11" i="23" s="1"/>
  <c r="I12" i="23" s="1"/>
  <c r="I222" i="23"/>
  <c r="I211" i="23"/>
  <c r="I190" i="23"/>
  <c r="I180" i="23"/>
  <c r="I177" i="23"/>
  <c r="I174" i="23"/>
  <c r="I170" i="23"/>
  <c r="I169" i="23"/>
  <c r="I160" i="23"/>
  <c r="I157" i="23"/>
  <c r="I146" i="23"/>
  <c r="I130" i="23"/>
  <c r="I118" i="23"/>
  <c r="I117" i="23"/>
  <c r="I114" i="23"/>
  <c r="I109" i="23"/>
  <c r="I35" i="23" s="1"/>
  <c r="I97" i="23"/>
  <c r="I98" i="23" s="1"/>
  <c r="I91" i="23"/>
  <c r="I86" i="23"/>
  <c r="I82" i="23"/>
  <c r="I147" i="23" s="1"/>
  <c r="I81" i="23"/>
  <c r="I56" i="23"/>
  <c r="I51" i="23"/>
  <c r="I165" i="23" s="1"/>
  <c r="I43" i="23"/>
  <c r="I41" i="23"/>
  <c r="I34" i="23"/>
  <c r="I33" i="23"/>
  <c r="I32" i="23"/>
  <c r="I31" i="23"/>
  <c r="I9" i="23"/>
  <c r="I35" i="25" s="1"/>
  <c r="J35" i="25" s="1"/>
  <c r="AA119" i="23"/>
  <c r="AC121" i="23"/>
  <c r="AC127" i="23"/>
  <c r="J49" i="23" l="1"/>
  <c r="J58" i="23" s="1"/>
  <c r="AE258" i="23"/>
  <c r="AE43" i="23"/>
  <c r="AE32" i="23"/>
  <c r="I207" i="23"/>
  <c r="J127" i="23"/>
  <c r="C19" i="22"/>
  <c r="K2" i="22"/>
  <c r="E7" i="22" s="1"/>
  <c r="AE10" i="23"/>
  <c r="J10" i="23" s="1"/>
  <c r="AE121" i="23"/>
  <c r="J113" i="23"/>
  <c r="J119" i="23"/>
  <c r="AE64" i="23"/>
  <c r="J65" i="23"/>
  <c r="J74" i="23"/>
  <c r="C8" i="22"/>
  <c r="E8" i="22" s="1"/>
  <c r="C14" i="22"/>
  <c r="J7" i="23"/>
  <c r="J207" i="23"/>
  <c r="I39" i="25"/>
  <c r="AE35" i="23"/>
  <c r="J125" i="23"/>
  <c r="C10" i="22"/>
  <c r="E10" i="22" s="1"/>
  <c r="AE37" i="25"/>
  <c r="AE82" i="25" s="1"/>
  <c r="AE69" i="23"/>
  <c r="J108" i="23"/>
  <c r="C17" i="22"/>
  <c r="AE13" i="25"/>
  <c r="AE19" i="25" s="1"/>
  <c r="I17" i="25"/>
  <c r="I14" i="25"/>
  <c r="I18" i="25"/>
  <c r="I19" i="25"/>
  <c r="I20" i="25"/>
  <c r="I34" i="25"/>
  <c r="AE262" i="23"/>
  <c r="AE259" i="23"/>
  <c r="AE260" i="23" s="1"/>
  <c r="AE118" i="23"/>
  <c r="AE120" i="23" s="1"/>
  <c r="AE97" i="23"/>
  <c r="AE160" i="23"/>
  <c r="AE82" i="23"/>
  <c r="AE147" i="23" s="1"/>
  <c r="AE31" i="23"/>
  <c r="AE141" i="23"/>
  <c r="AE201" i="23" s="1"/>
  <c r="AE148" i="23"/>
  <c r="AE169" i="23"/>
  <c r="AE51" i="23"/>
  <c r="AE255" i="23"/>
  <c r="AE163" i="23"/>
  <c r="AE138" i="23"/>
  <c r="AE198" i="23" s="1"/>
  <c r="AE58" i="23"/>
  <c r="I120" i="23"/>
  <c r="I123" i="23" s="1"/>
  <c r="I39" i="23"/>
  <c r="I54" i="23"/>
  <c r="I168" i="23"/>
  <c r="I62" i="23"/>
  <c r="I187" i="23"/>
  <c r="I85" i="23"/>
  <c r="I140" i="23" s="1"/>
  <c r="I163" i="23"/>
  <c r="I172" i="23"/>
  <c r="I18" i="23"/>
  <c r="I53" i="23"/>
  <c r="I167" i="23"/>
  <c r="I183" i="23"/>
  <c r="Z97" i="23"/>
  <c r="AD97" i="23"/>
  <c r="C56" i="22"/>
  <c r="C54" i="22"/>
  <c r="C83" i="22"/>
  <c r="C48" i="22"/>
  <c r="C47" i="22"/>
  <c r="C46" i="22"/>
  <c r="C45" i="22"/>
  <c r="C70" i="22"/>
  <c r="C49" i="22"/>
  <c r="AD81" i="25"/>
  <c r="AD37" i="25"/>
  <c r="AD82" i="25" s="1"/>
  <c r="AD31" i="25"/>
  <c r="AD13" i="25"/>
  <c r="AD21" i="25" s="1"/>
  <c r="AD206" i="23"/>
  <c r="AD207" i="23"/>
  <c r="AE206" i="23" s="1"/>
  <c r="AE234" i="23" s="1"/>
  <c r="Z118" i="23"/>
  <c r="Z117" i="23"/>
  <c r="AD118" i="23"/>
  <c r="AD117" i="23"/>
  <c r="Z109" i="23"/>
  <c r="AD109" i="23"/>
  <c r="AD121" i="23"/>
  <c r="AD222" i="23"/>
  <c r="AD211" i="23"/>
  <c r="AD163" i="23"/>
  <c r="AD160" i="23"/>
  <c r="AD157" i="23"/>
  <c r="AD146" i="23"/>
  <c r="AD130" i="23"/>
  <c r="AD91" i="23"/>
  <c r="AD81" i="23"/>
  <c r="AD56" i="23"/>
  <c r="AD54" i="23"/>
  <c r="AD53" i="23"/>
  <c r="AD51" i="23"/>
  <c r="AD165" i="23" s="1"/>
  <c r="AD50" i="23"/>
  <c r="AD43" i="23"/>
  <c r="AD41" i="23"/>
  <c r="AD39" i="23"/>
  <c r="AD38" i="23"/>
  <c r="AD34" i="23"/>
  <c r="AD33" i="23"/>
  <c r="AD32" i="23"/>
  <c r="AD31" i="23"/>
  <c r="AD11" i="23"/>
  <c r="AD18" i="23" s="1"/>
  <c r="AD23" i="23" s="1"/>
  <c r="C106" i="22"/>
  <c r="C90" i="22"/>
  <c r="C85" i="22"/>
  <c r="AC81" i="25"/>
  <c r="AC37" i="25"/>
  <c r="AC82" i="25" s="1"/>
  <c r="AC31" i="25"/>
  <c r="AC13" i="25"/>
  <c r="AC20" i="25" s="1"/>
  <c r="AC206" i="23"/>
  <c r="AC207" i="23"/>
  <c r="K76" i="22" s="1"/>
  <c r="J174" i="23"/>
  <c r="C89" i="22"/>
  <c r="AC96" i="23"/>
  <c r="AC97" i="23" s="1"/>
  <c r="AC93" i="23"/>
  <c r="AC70" i="23"/>
  <c r="AC68" i="23"/>
  <c r="AC67" i="23"/>
  <c r="AE67" i="23" s="1"/>
  <c r="AC63" i="23"/>
  <c r="AC59" i="23"/>
  <c r="AE59" i="23" s="1"/>
  <c r="AC22" i="23"/>
  <c r="AC222" i="23"/>
  <c r="AC211" i="23"/>
  <c r="AC190" i="23"/>
  <c r="AC183" i="23"/>
  <c r="AC179" i="23"/>
  <c r="AC178" i="23"/>
  <c r="AC174" i="23"/>
  <c r="AC173" i="23"/>
  <c r="AC170" i="23"/>
  <c r="AC169" i="23"/>
  <c r="AC163" i="23"/>
  <c r="AC160" i="23"/>
  <c r="AC157" i="23"/>
  <c r="AC146" i="23"/>
  <c r="AC130" i="23"/>
  <c r="AC118" i="23"/>
  <c r="AC117" i="23"/>
  <c r="AC114" i="23"/>
  <c r="AC109" i="23"/>
  <c r="AC91" i="23"/>
  <c r="AC81" i="23"/>
  <c r="AC58" i="23"/>
  <c r="AC56" i="23"/>
  <c r="AC51" i="23"/>
  <c r="AC165" i="23" s="1"/>
  <c r="AC50" i="23"/>
  <c r="AC43" i="23"/>
  <c r="AC41" i="23"/>
  <c r="AC34" i="23"/>
  <c r="AC33" i="23"/>
  <c r="AC32" i="23"/>
  <c r="AC31" i="23"/>
  <c r="AC11" i="23"/>
  <c r="AC12" i="23" s="1"/>
  <c r="G50" i="27"/>
  <c r="G51" i="27"/>
  <c r="G52" i="27"/>
  <c r="F52" i="27"/>
  <c r="G44" i="27"/>
  <c r="G46" i="27" s="1"/>
  <c r="G41" i="27"/>
  <c r="G35" i="27"/>
  <c r="G45" i="27"/>
  <c r="G49" i="27"/>
  <c r="G23" i="27"/>
  <c r="G16" i="27"/>
  <c r="C143" i="22"/>
  <c r="C123" i="22"/>
  <c r="C130" i="22" s="1"/>
  <c r="C127" i="22"/>
  <c r="C125" i="22"/>
  <c r="D136" i="22"/>
  <c r="D135" i="22"/>
  <c r="J81" i="25"/>
  <c r="AB37" i="25"/>
  <c r="AB13" i="25"/>
  <c r="V255" i="23"/>
  <c r="V251" i="23"/>
  <c r="AB186" i="23"/>
  <c r="X186" i="23"/>
  <c r="AB190" i="23"/>
  <c r="X190" i="23"/>
  <c r="X150" i="23"/>
  <c r="AB150" i="23"/>
  <c r="AB207" i="23"/>
  <c r="AB121" i="23"/>
  <c r="AB123" i="23" s="1"/>
  <c r="AB188" i="23" s="1"/>
  <c r="AB222" i="23"/>
  <c r="AB211" i="23"/>
  <c r="AB163" i="23"/>
  <c r="AB160" i="23"/>
  <c r="AB157" i="23"/>
  <c r="AB146" i="23"/>
  <c r="AB130" i="23"/>
  <c r="AB91" i="23"/>
  <c r="AB81" i="23"/>
  <c r="AB56" i="23"/>
  <c r="AB54" i="23"/>
  <c r="AB53" i="23"/>
  <c r="AB51" i="23"/>
  <c r="AB165" i="23" s="1"/>
  <c r="AB50" i="23"/>
  <c r="AB43" i="23"/>
  <c r="AB41" i="23"/>
  <c r="AB39" i="23"/>
  <c r="AB38" i="23"/>
  <c r="AB34" i="23"/>
  <c r="AB33" i="23"/>
  <c r="AB32" i="23"/>
  <c r="AB31" i="23"/>
  <c r="AB11" i="23"/>
  <c r="AB12" i="23" s="1"/>
  <c r="AA125" i="23"/>
  <c r="AA255" i="23" s="1"/>
  <c r="D173" i="22"/>
  <c r="D172" i="22"/>
  <c r="K148" i="22"/>
  <c r="D180" i="22" s="1"/>
  <c r="C182" i="22"/>
  <c r="C157" i="22"/>
  <c r="AA31" i="25"/>
  <c r="AA81" i="25"/>
  <c r="Z81" i="25"/>
  <c r="H31" i="25"/>
  <c r="AA12" i="25"/>
  <c r="AA11" i="25"/>
  <c r="AA10" i="25"/>
  <c r="AA9" i="25"/>
  <c r="AA8" i="25"/>
  <c r="H13" i="25"/>
  <c r="H20" i="25" s="1"/>
  <c r="H207" i="23"/>
  <c r="H121" i="23"/>
  <c r="AA121" i="23" s="1"/>
  <c r="AA122" i="23"/>
  <c r="C155" i="22"/>
  <c r="E155" i="22" s="1"/>
  <c r="AA113" i="23"/>
  <c r="AA259" i="23" s="1"/>
  <c r="AA112" i="23"/>
  <c r="AA258" i="23" s="1"/>
  <c r="AA108" i="23"/>
  <c r="AA107" i="23"/>
  <c r="AA103" i="23"/>
  <c r="AA102" i="23"/>
  <c r="AA101" i="23"/>
  <c r="AA100" i="23"/>
  <c r="AA95" i="23"/>
  <c r="AA94" i="23"/>
  <c r="H96" i="23"/>
  <c r="AA96" i="23" s="1"/>
  <c r="H93" i="23"/>
  <c r="AA93" i="23" s="1"/>
  <c r="AA69" i="23"/>
  <c r="AA68" i="23"/>
  <c r="AA177" i="23" s="1"/>
  <c r="AA65" i="23"/>
  <c r="AA174" i="23" s="1"/>
  <c r="AA61" i="23"/>
  <c r="AA86" i="23" s="1"/>
  <c r="AA60" i="23"/>
  <c r="AA169" i="23" s="1"/>
  <c r="H74" i="23"/>
  <c r="H183" i="23" s="1"/>
  <c r="H70" i="23"/>
  <c r="H67" i="23"/>
  <c r="H176" i="23" s="1"/>
  <c r="H64" i="23"/>
  <c r="H173" i="23" s="1"/>
  <c r="H63" i="23"/>
  <c r="H39" i="23" s="1"/>
  <c r="H59" i="23"/>
  <c r="H54" i="23" s="1"/>
  <c r="Z50" i="23"/>
  <c r="Y50" i="23"/>
  <c r="X50" i="23"/>
  <c r="V50" i="23"/>
  <c r="U50" i="23"/>
  <c r="T50" i="23"/>
  <c r="R50" i="23"/>
  <c r="Q50" i="23"/>
  <c r="P50" i="23"/>
  <c r="H49" i="23"/>
  <c r="H50" i="23" s="1"/>
  <c r="H164" i="23" s="1"/>
  <c r="AA22" i="23"/>
  <c r="AA27" i="23"/>
  <c r="AA21" i="23"/>
  <c r="AA20" i="23"/>
  <c r="AA19" i="23"/>
  <c r="AA17" i="23"/>
  <c r="AA16" i="23"/>
  <c r="AA15" i="23"/>
  <c r="AA14" i="23"/>
  <c r="AA10" i="23"/>
  <c r="AA8" i="23"/>
  <c r="AA7" i="23"/>
  <c r="AA82" i="23" s="1"/>
  <c r="H24" i="23"/>
  <c r="AA24" i="23" s="1"/>
  <c r="H222" i="23"/>
  <c r="H211" i="23"/>
  <c r="H178" i="23"/>
  <c r="H177" i="23"/>
  <c r="H174" i="23"/>
  <c r="H170" i="23"/>
  <c r="H169" i="23"/>
  <c r="H160" i="23"/>
  <c r="I161" i="23" s="1"/>
  <c r="H157" i="23"/>
  <c r="H146" i="23"/>
  <c r="H130" i="23"/>
  <c r="H124" i="23"/>
  <c r="H118" i="23"/>
  <c r="H117" i="23"/>
  <c r="H114" i="23"/>
  <c r="H109" i="23"/>
  <c r="H35" i="23" s="1"/>
  <c r="H91" i="23"/>
  <c r="H86" i="23"/>
  <c r="H82" i="23"/>
  <c r="H147" i="23" s="1"/>
  <c r="H81" i="23"/>
  <c r="H56" i="23"/>
  <c r="H43" i="23"/>
  <c r="H41" i="23"/>
  <c r="H34" i="23"/>
  <c r="H33" i="23"/>
  <c r="H32" i="23"/>
  <c r="H31" i="23"/>
  <c r="H11" i="23"/>
  <c r="H12" i="23" s="1"/>
  <c r="H9" i="23"/>
  <c r="H35" i="25" s="1"/>
  <c r="AA222" i="23"/>
  <c r="AA211" i="23"/>
  <c r="AA157" i="23"/>
  <c r="AA146" i="23"/>
  <c r="AA130" i="23"/>
  <c r="AA91" i="23"/>
  <c r="AA81" i="23"/>
  <c r="AA56" i="23"/>
  <c r="AA41" i="23"/>
  <c r="V186" i="23"/>
  <c r="C192" i="22"/>
  <c r="C202" i="22" s="1"/>
  <c r="Z31" i="25"/>
  <c r="Z37" i="25"/>
  <c r="Z82" i="25" s="1"/>
  <c r="Z13" i="25"/>
  <c r="Z20" i="25" s="1"/>
  <c r="Z206" i="23"/>
  <c r="K186" i="22" s="1"/>
  <c r="Z207" i="23"/>
  <c r="V121" i="23"/>
  <c r="V123" i="23" s="1"/>
  <c r="Z121" i="23"/>
  <c r="V119" i="23"/>
  <c r="Z222" i="23"/>
  <c r="Z211" i="23"/>
  <c r="Z163" i="23"/>
  <c r="Z160" i="23"/>
  <c r="Z157" i="23"/>
  <c r="Z146" i="23"/>
  <c r="Z130" i="23"/>
  <c r="Z91" i="23"/>
  <c r="Z81" i="23"/>
  <c r="Z56" i="23"/>
  <c r="Z54" i="23"/>
  <c r="Z53" i="23"/>
  <c r="Z51" i="23"/>
  <c r="Z165" i="23" s="1"/>
  <c r="Z43" i="23"/>
  <c r="Z41" i="23"/>
  <c r="Z39" i="23"/>
  <c r="Z38" i="23"/>
  <c r="Z34" i="23"/>
  <c r="Z33" i="23"/>
  <c r="Z32" i="23"/>
  <c r="Z31" i="23"/>
  <c r="Z11" i="23"/>
  <c r="Z18" i="23" s="1"/>
  <c r="C230" i="22"/>
  <c r="C234" i="22"/>
  <c r="C237" i="22" s="1"/>
  <c r="C218" i="22"/>
  <c r="C213" i="22"/>
  <c r="Y81" i="25"/>
  <c r="Y31" i="25"/>
  <c r="Y37" i="25"/>
  <c r="Y82" i="25" s="1"/>
  <c r="Y13" i="25"/>
  <c r="Y20" i="25" s="1"/>
  <c r="Y207" i="23"/>
  <c r="K205" i="22" s="1"/>
  <c r="Y121" i="23"/>
  <c r="Y187" i="23" s="1"/>
  <c r="Y96" i="23"/>
  <c r="Y97" i="23" s="1"/>
  <c r="Y93" i="23"/>
  <c r="Y71" i="23"/>
  <c r="AA71" i="23" s="1"/>
  <c r="Y70" i="23"/>
  <c r="Y67" i="23"/>
  <c r="Y176" i="23" s="1"/>
  <c r="Y63" i="23"/>
  <c r="Y39" i="23" s="1"/>
  <c r="Y222" i="23"/>
  <c r="Y211" i="23"/>
  <c r="Y183" i="23"/>
  <c r="Y178" i="23"/>
  <c r="Y177" i="23"/>
  <c r="Y174" i="23"/>
  <c r="Y173" i="23"/>
  <c r="Y170" i="23"/>
  <c r="Y169" i="23"/>
  <c r="Y168" i="23"/>
  <c r="Y163" i="23"/>
  <c r="AC164" i="23" s="1"/>
  <c r="Y160" i="23"/>
  <c r="Y157" i="23"/>
  <c r="Y146" i="23"/>
  <c r="Y130" i="23"/>
  <c r="Y118" i="23"/>
  <c r="Y117" i="23"/>
  <c r="Y114" i="23"/>
  <c r="Y109" i="23"/>
  <c r="Y91" i="23"/>
  <c r="Y81" i="23"/>
  <c r="Y58" i="23"/>
  <c r="Y167" i="23" s="1"/>
  <c r="Y56" i="23"/>
  <c r="Y54" i="23"/>
  <c r="Y51" i="23"/>
  <c r="Y165" i="23" s="1"/>
  <c r="Y43" i="23"/>
  <c r="Y41" i="23"/>
  <c r="Y38" i="23"/>
  <c r="Y34" i="23"/>
  <c r="Y33" i="23"/>
  <c r="Y32" i="23"/>
  <c r="Y31" i="23"/>
  <c r="Y11" i="23"/>
  <c r="Y12" i="23" s="1"/>
  <c r="X121" i="23"/>
  <c r="X123" i="23" s="1"/>
  <c r="X188" i="23" s="1"/>
  <c r="T123" i="23"/>
  <c r="C247" i="22"/>
  <c r="E243" i="22"/>
  <c r="E245" i="22" s="1"/>
  <c r="C243" i="22"/>
  <c r="X207" i="23"/>
  <c r="X255" i="23" s="1"/>
  <c r="F45" i="27"/>
  <c r="F35" i="27"/>
  <c r="F41" i="27" s="1"/>
  <c r="F49" i="27" s="1"/>
  <c r="F23" i="27"/>
  <c r="F16" i="27"/>
  <c r="E45" i="27"/>
  <c r="E35" i="27"/>
  <c r="E41" i="27" s="1"/>
  <c r="E49" i="27" s="1"/>
  <c r="E23" i="27"/>
  <c r="E16" i="27"/>
  <c r="E9" i="22" l="1"/>
  <c r="E17" i="22"/>
  <c r="E19" i="22"/>
  <c r="AE245" i="23"/>
  <c r="AE248" i="23"/>
  <c r="AC35" i="23"/>
  <c r="AD35" i="23"/>
  <c r="E14" i="22"/>
  <c r="C6" i="22"/>
  <c r="C16" i="22"/>
  <c r="E16" i="22" s="1"/>
  <c r="J121" i="23"/>
  <c r="J151" i="23" s="1"/>
  <c r="J216" i="23" s="1"/>
  <c r="AB82" i="25"/>
  <c r="J37" i="25"/>
  <c r="J82" i="25" s="1"/>
  <c r="AE68" i="23"/>
  <c r="J68" i="23" s="1"/>
  <c r="J177" i="23" s="1"/>
  <c r="AE151" i="23"/>
  <c r="AE216" i="23" s="1"/>
  <c r="AE63" i="23"/>
  <c r="J63" i="23" s="1"/>
  <c r="J88" i="23" s="1"/>
  <c r="AE70" i="23"/>
  <c r="J70" i="23" s="1"/>
  <c r="AD120" i="23"/>
  <c r="AE228" i="23"/>
  <c r="AE230" i="23" s="1"/>
  <c r="E13" i="22"/>
  <c r="C12" i="22"/>
  <c r="AE187" i="23"/>
  <c r="J69" i="23"/>
  <c r="AE243" i="23"/>
  <c r="AE178" i="23"/>
  <c r="I83" i="25"/>
  <c r="J39" i="25"/>
  <c r="J83" i="25" s="1"/>
  <c r="J43" i="23"/>
  <c r="AE22" i="23"/>
  <c r="J22" i="23" s="1"/>
  <c r="AE165" i="23"/>
  <c r="AE39" i="25"/>
  <c r="AE83" i="25" s="1"/>
  <c r="AE11" i="23"/>
  <c r="AE238" i="23"/>
  <c r="J64" i="23"/>
  <c r="AE173" i="23"/>
  <c r="J67" i="23"/>
  <c r="AC54" i="23"/>
  <c r="AE239" i="23"/>
  <c r="AE252" i="23"/>
  <c r="AE225" i="23"/>
  <c r="AE235" i="23"/>
  <c r="J59" i="23"/>
  <c r="J62" i="23" s="1"/>
  <c r="E6" i="22"/>
  <c r="AE34" i="25"/>
  <c r="AE14" i="25"/>
  <c r="AE20" i="25"/>
  <c r="AE21" i="25"/>
  <c r="AE17" i="25"/>
  <c r="AE18" i="25"/>
  <c r="AC17" i="25"/>
  <c r="AE98" i="23"/>
  <c r="AE149" i="23"/>
  <c r="I136" i="23"/>
  <c r="I196" i="23" s="1"/>
  <c r="H259" i="23"/>
  <c r="AC168" i="23"/>
  <c r="AE167" i="23"/>
  <c r="AE232" i="23"/>
  <c r="AE62" i="23"/>
  <c r="J258" i="23"/>
  <c r="AE241" i="23"/>
  <c r="AE176" i="23"/>
  <c r="AC177" i="23"/>
  <c r="J117" i="23"/>
  <c r="AC53" i="23"/>
  <c r="AE179" i="23"/>
  <c r="AE244" i="23"/>
  <c r="I128" i="23"/>
  <c r="I133" i="23"/>
  <c r="I193" i="23" s="1"/>
  <c r="I186" i="23"/>
  <c r="I150" i="23"/>
  <c r="I215" i="23" s="1"/>
  <c r="I135" i="23"/>
  <c r="I23" i="23"/>
  <c r="I42" i="23"/>
  <c r="I44" i="23" s="1"/>
  <c r="I83" i="23"/>
  <c r="I153" i="23"/>
  <c r="AB206" i="23"/>
  <c r="I206" i="23" s="1"/>
  <c r="I66" i="23"/>
  <c r="I171" i="23"/>
  <c r="J97" i="23"/>
  <c r="AC259" i="23"/>
  <c r="AC120" i="23"/>
  <c r="J109" i="23"/>
  <c r="J35" i="23" s="1"/>
  <c r="I138" i="23"/>
  <c r="I198" i="23" s="1"/>
  <c r="I141" i="23"/>
  <c r="I201" i="23" s="1"/>
  <c r="I200" i="23"/>
  <c r="I148" i="23"/>
  <c r="J114" i="23"/>
  <c r="I50" i="23"/>
  <c r="K40" i="22"/>
  <c r="E47" i="22" s="1"/>
  <c r="AD164" i="23"/>
  <c r="AD39" i="25"/>
  <c r="AD83" i="25" s="1"/>
  <c r="AD252" i="23"/>
  <c r="C53" i="22"/>
  <c r="E49" i="22"/>
  <c r="C44" i="22"/>
  <c r="C52" i="22" s="1"/>
  <c r="AD14" i="25"/>
  <c r="AD35" i="25"/>
  <c r="AD17" i="25"/>
  <c r="AD18" i="25"/>
  <c r="AD19" i="25"/>
  <c r="AD34" i="25"/>
  <c r="AD38" i="25"/>
  <c r="AD20" i="25"/>
  <c r="AD187" i="23"/>
  <c r="J118" i="23"/>
  <c r="AD151" i="23"/>
  <c r="AD216" i="23" s="1"/>
  <c r="AD12" i="23"/>
  <c r="J180" i="23"/>
  <c r="E81" i="22"/>
  <c r="D103" i="22"/>
  <c r="D102" i="22"/>
  <c r="D101" i="22"/>
  <c r="D100" i="22"/>
  <c r="D99" i="22"/>
  <c r="D104" i="22"/>
  <c r="D105" i="22"/>
  <c r="J178" i="23"/>
  <c r="AD36" i="23"/>
  <c r="AD25" i="23"/>
  <c r="AC151" i="23"/>
  <c r="AC216" i="23" s="1"/>
  <c r="AD225" i="23"/>
  <c r="AB215" i="23"/>
  <c r="AD42" i="23"/>
  <c r="AD44" i="23" s="1"/>
  <c r="AA252" i="23"/>
  <c r="AC38" i="23"/>
  <c r="AD228" i="23"/>
  <c r="AA70" i="23"/>
  <c r="AC39" i="25"/>
  <c r="AC83" i="25" s="1"/>
  <c r="AD82" i="23"/>
  <c r="AD147" i="23" s="1"/>
  <c r="J259" i="23"/>
  <c r="J260" i="23" s="1"/>
  <c r="E89" i="22"/>
  <c r="E87" i="22"/>
  <c r="E82" i="22"/>
  <c r="E86" i="22"/>
  <c r="E90" i="22"/>
  <c r="E83" i="22"/>
  <c r="D138" i="22"/>
  <c r="AC21" i="25"/>
  <c r="AC34" i="25"/>
  <c r="AC14" i="25"/>
  <c r="AC35" i="25"/>
  <c r="AC19" i="25"/>
  <c r="AC18" i="25"/>
  <c r="AC38" i="25"/>
  <c r="E153" i="22"/>
  <c r="C171" i="22"/>
  <c r="AC18" i="23"/>
  <c r="AC42" i="23" s="1"/>
  <c r="AC44" i="23" s="1"/>
  <c r="AC48" i="23" s="1"/>
  <c r="X252" i="23"/>
  <c r="AC187" i="23"/>
  <c r="AC252" i="23"/>
  <c r="X215" i="23"/>
  <c r="E154" i="22"/>
  <c r="AC62" i="23"/>
  <c r="AC86" i="23"/>
  <c r="AC172" i="23"/>
  <c r="AC180" i="23"/>
  <c r="AC255" i="23"/>
  <c r="AC245" i="23"/>
  <c r="AC258" i="23"/>
  <c r="AC260" i="23" s="1"/>
  <c r="H258" i="23"/>
  <c r="AB252" i="23"/>
  <c r="AC39" i="23"/>
  <c r="AC167" i="23"/>
  <c r="AA260" i="23"/>
  <c r="AC82" i="23"/>
  <c r="AC147" i="23" s="1"/>
  <c r="AC176" i="23"/>
  <c r="J13" i="25"/>
  <c r="H37" i="25"/>
  <c r="H82" i="25" s="1"/>
  <c r="AB255" i="23"/>
  <c r="K111" i="22"/>
  <c r="D144" i="22" s="1"/>
  <c r="AB151" i="23"/>
  <c r="AB216" i="23" s="1"/>
  <c r="X187" i="23"/>
  <c r="E158" i="22"/>
  <c r="Y206" i="23"/>
  <c r="Y252" i="23"/>
  <c r="Z252" i="23"/>
  <c r="V252" i="23"/>
  <c r="V253" i="23" s="1"/>
  <c r="C172" i="22"/>
  <c r="C142" i="22"/>
  <c r="C145" i="22" s="1"/>
  <c r="AB187" i="23"/>
  <c r="Y255" i="23"/>
  <c r="AB39" i="25"/>
  <c r="AB83" i="25" s="1"/>
  <c r="C173" i="22"/>
  <c r="C124" i="22"/>
  <c r="C126" i="22" s="1"/>
  <c r="H252" i="23"/>
  <c r="X151" i="23"/>
  <c r="X216" i="23" s="1"/>
  <c r="Y258" i="23"/>
  <c r="D179" i="22"/>
  <c r="X251" i="23"/>
  <c r="Y259" i="23"/>
  <c r="AB251" i="23"/>
  <c r="D181" i="22"/>
  <c r="G25" i="27"/>
  <c r="G53" i="27" s="1"/>
  <c r="E159" i="22"/>
  <c r="C174" i="22"/>
  <c r="AB14" i="25"/>
  <c r="AB17" i="25"/>
  <c r="AB21" i="25"/>
  <c r="AB18" i="25"/>
  <c r="AB19" i="25"/>
  <c r="AB20" i="25"/>
  <c r="AB34" i="25"/>
  <c r="AB228" i="23"/>
  <c r="AB18" i="23"/>
  <c r="C161" i="22"/>
  <c r="E161" i="22" s="1"/>
  <c r="H38" i="25"/>
  <c r="C162" i="22"/>
  <c r="E162" i="22" s="1"/>
  <c r="AB82" i="23"/>
  <c r="AB147" i="23" s="1"/>
  <c r="AB225" i="23"/>
  <c r="Y53" i="23"/>
  <c r="D175" i="22"/>
  <c r="H18" i="25"/>
  <c r="H21" i="25"/>
  <c r="H34" i="25"/>
  <c r="H14" i="25"/>
  <c r="H17" i="25"/>
  <c r="H19" i="25"/>
  <c r="AA13" i="25"/>
  <c r="AE35" i="25" s="1"/>
  <c r="C217" i="22"/>
  <c r="E217" i="22" s="1"/>
  <c r="AA67" i="23"/>
  <c r="AA170" i="23"/>
  <c r="AA59" i="23"/>
  <c r="AA63" i="23"/>
  <c r="AA74" i="23"/>
  <c r="H97" i="23"/>
  <c r="H98" i="23" s="1"/>
  <c r="AA64" i="23"/>
  <c r="AA49" i="23"/>
  <c r="Y62" i="23"/>
  <c r="Y171" i="23" s="1"/>
  <c r="H151" i="23"/>
  <c r="H216" i="23" s="1"/>
  <c r="AA118" i="23"/>
  <c r="AA114" i="23"/>
  <c r="H51" i="23"/>
  <c r="H58" i="23"/>
  <c r="H167" i="23" s="1"/>
  <c r="H85" i="23"/>
  <c r="H148" i="23" s="1"/>
  <c r="H149" i="23" s="1"/>
  <c r="H163" i="23"/>
  <c r="AA34" i="23"/>
  <c r="AA33" i="23"/>
  <c r="H18" i="23"/>
  <c r="H42" i="23" s="1"/>
  <c r="H44" i="23" s="1"/>
  <c r="H84" i="23" s="1"/>
  <c r="AA109" i="23"/>
  <c r="AA35" i="23" s="1"/>
  <c r="H38" i="23"/>
  <c r="H168" i="23"/>
  <c r="K185" i="22"/>
  <c r="E192" i="22" s="1"/>
  <c r="H187" i="23"/>
  <c r="AA31" i="23"/>
  <c r="H53" i="23"/>
  <c r="H88" i="23"/>
  <c r="H179" i="23"/>
  <c r="AA32" i="23"/>
  <c r="H172" i="23"/>
  <c r="H180" i="23"/>
  <c r="V190" i="23"/>
  <c r="V188" i="23"/>
  <c r="AA160" i="23"/>
  <c r="C191" i="22"/>
  <c r="Z39" i="25"/>
  <c r="AA11" i="23"/>
  <c r="AA147" i="23"/>
  <c r="V187" i="23"/>
  <c r="K239" i="22"/>
  <c r="Z187" i="23"/>
  <c r="AA117" i="23"/>
  <c r="Z151" i="23"/>
  <c r="Z216" i="23" s="1"/>
  <c r="Z21" i="25"/>
  <c r="Z34" i="25"/>
  <c r="Z18" i="25"/>
  <c r="Z14" i="25"/>
  <c r="Z19" i="25"/>
  <c r="Z17" i="25"/>
  <c r="Z23" i="23"/>
  <c r="Z42" i="23"/>
  <c r="Z44" i="23" s="1"/>
  <c r="E215" i="22"/>
  <c r="E210" i="22"/>
  <c r="E218" i="22"/>
  <c r="Z12" i="23"/>
  <c r="D234" i="22"/>
  <c r="Y39" i="25"/>
  <c r="Y83" i="25" s="1"/>
  <c r="E209" i="22"/>
  <c r="E213" i="22"/>
  <c r="E214" i="22"/>
  <c r="D235" i="22"/>
  <c r="Y21" i="25"/>
  <c r="Y34" i="25"/>
  <c r="Y14" i="25"/>
  <c r="Y17" i="25"/>
  <c r="Y18" i="25"/>
  <c r="Y19" i="25"/>
  <c r="Y66" i="23"/>
  <c r="Y18" i="23"/>
  <c r="Y179" i="23"/>
  <c r="Y172" i="23"/>
  <c r="Y180" i="23"/>
  <c r="Y151" i="23"/>
  <c r="Y216" i="23" s="1"/>
  <c r="C244" i="22"/>
  <c r="C245" i="22" s="1"/>
  <c r="E25" i="27"/>
  <c r="E44" i="27" s="1"/>
  <c r="E46" i="27" s="1"/>
  <c r="E52" i="27" s="1"/>
  <c r="F25" i="27"/>
  <c r="F44" i="27" s="1"/>
  <c r="F46" i="27" s="1"/>
  <c r="E12" i="22" l="1"/>
  <c r="C15" i="22"/>
  <c r="C22" i="22" s="1"/>
  <c r="I164" i="23"/>
  <c r="I38" i="25"/>
  <c r="J38" i="25" s="1"/>
  <c r="E15" i="22"/>
  <c r="AE88" i="23"/>
  <c r="AE140" i="23" s="1"/>
  <c r="AE200" i="23" s="1"/>
  <c r="AE18" i="23"/>
  <c r="AE83" i="23" s="1"/>
  <c r="AE12" i="23"/>
  <c r="AE208" i="23"/>
  <c r="K3" i="22" s="1"/>
  <c r="E21" i="22" s="1"/>
  <c r="J206" i="23"/>
  <c r="J208" i="23" s="1"/>
  <c r="D15" i="22"/>
  <c r="J66" i="23"/>
  <c r="H260" i="23"/>
  <c r="E45" i="22"/>
  <c r="E48" i="22"/>
  <c r="D63" i="22"/>
  <c r="AB42" i="23"/>
  <c r="AB44" i="23" s="1"/>
  <c r="D69" i="22"/>
  <c r="AE66" i="23"/>
  <c r="AE171" i="23"/>
  <c r="AE236" i="23"/>
  <c r="AE50" i="23"/>
  <c r="AD208" i="23"/>
  <c r="AD212" i="23" s="1"/>
  <c r="I152" i="23"/>
  <c r="I217" i="23" s="1"/>
  <c r="AE213" i="23"/>
  <c r="AE242" i="23"/>
  <c r="AE177" i="23"/>
  <c r="AE233" i="23"/>
  <c r="AE54" i="23"/>
  <c r="AE38" i="23"/>
  <c r="AE168" i="23"/>
  <c r="AE166" i="23" s="1"/>
  <c r="AE172" i="23"/>
  <c r="AE53" i="23"/>
  <c r="AE237" i="23"/>
  <c r="AE39" i="23"/>
  <c r="I188" i="23"/>
  <c r="I143" i="23"/>
  <c r="I203" i="23" s="1"/>
  <c r="I132" i="23"/>
  <c r="I192" i="23" s="1"/>
  <c r="I208" i="23"/>
  <c r="I233" i="23"/>
  <c r="I239" i="23"/>
  <c r="I245" i="23"/>
  <c r="I244" i="23"/>
  <c r="I243" i="23"/>
  <c r="I235" i="23"/>
  <c r="I225" i="23"/>
  <c r="I242" i="23"/>
  <c r="I234" i="23"/>
  <c r="I241" i="23"/>
  <c r="I232" i="23"/>
  <c r="I248" i="23"/>
  <c r="I238" i="23"/>
  <c r="I228" i="23"/>
  <c r="I237" i="23"/>
  <c r="I236" i="23"/>
  <c r="I195" i="23"/>
  <c r="I154" i="23"/>
  <c r="I240" i="23"/>
  <c r="I175" i="23"/>
  <c r="I89" i="23"/>
  <c r="I72" i="23"/>
  <c r="D68" i="22"/>
  <c r="I259" i="23"/>
  <c r="I255" i="23"/>
  <c r="I258" i="23"/>
  <c r="I262" i="23"/>
  <c r="I251" i="23"/>
  <c r="I216" i="23"/>
  <c r="I252" i="23"/>
  <c r="I149" i="23"/>
  <c r="I45" i="23"/>
  <c r="I46" i="23"/>
  <c r="I84" i="23"/>
  <c r="I48" i="23"/>
  <c r="I25" i="23"/>
  <c r="I36" i="23"/>
  <c r="D65" i="22"/>
  <c r="E46" i="22"/>
  <c r="D67" i="22"/>
  <c r="D66" i="22"/>
  <c r="AB230" i="23"/>
  <c r="E56" i="22"/>
  <c r="AD98" i="23"/>
  <c r="E53" i="22"/>
  <c r="AB152" i="23"/>
  <c r="AB217" i="23" s="1"/>
  <c r="D64" i="22"/>
  <c r="E54" i="22"/>
  <c r="C55" i="22"/>
  <c r="C57" i="22" s="1"/>
  <c r="E57" i="22" s="1"/>
  <c r="E85" i="22"/>
  <c r="C59" i="22"/>
  <c r="J120" i="23"/>
  <c r="J128" i="23" s="1"/>
  <c r="J187" i="23"/>
  <c r="J252" i="23"/>
  <c r="AA183" i="23"/>
  <c r="D106" i="22"/>
  <c r="AC88" i="23"/>
  <c r="AD48" i="23"/>
  <c r="AD46" i="23"/>
  <c r="J173" i="23"/>
  <c r="AD190" i="23"/>
  <c r="AD255" i="23"/>
  <c r="J169" i="23"/>
  <c r="AA168" i="23"/>
  <c r="AA166" i="23" s="1"/>
  <c r="J179" i="23"/>
  <c r="AD26" i="23"/>
  <c r="AD28" i="23"/>
  <c r="AD230" i="23"/>
  <c r="J176" i="23"/>
  <c r="J170" i="23"/>
  <c r="AD85" i="23"/>
  <c r="E121" i="22"/>
  <c r="AC237" i="23"/>
  <c r="E116" i="22"/>
  <c r="C175" i="22"/>
  <c r="D143" i="22"/>
  <c r="C135" i="22"/>
  <c r="E117" i="22"/>
  <c r="C134" i="22"/>
  <c r="C136" i="22"/>
  <c r="E118" i="22"/>
  <c r="AC46" i="23"/>
  <c r="AC23" i="23"/>
  <c r="AC25" i="23" s="1"/>
  <c r="AC98" i="23"/>
  <c r="AC66" i="23"/>
  <c r="AC236" i="23"/>
  <c r="AC171" i="23"/>
  <c r="AC232" i="23"/>
  <c r="AC85" i="23"/>
  <c r="C94" i="22" s="1"/>
  <c r="AC208" i="23"/>
  <c r="AC242" i="23"/>
  <c r="AC234" i="23"/>
  <c r="AC233" i="23"/>
  <c r="AC248" i="23"/>
  <c r="AC239" i="23"/>
  <c r="AC238" i="23"/>
  <c r="C84" i="22"/>
  <c r="AC228" i="23"/>
  <c r="AE264" i="23" s="1"/>
  <c r="AC244" i="23"/>
  <c r="AC243" i="23"/>
  <c r="AC235" i="23"/>
  <c r="AC225" i="23"/>
  <c r="Y242" i="23"/>
  <c r="AC241" i="23"/>
  <c r="Y239" i="23"/>
  <c r="AA38" i="23"/>
  <c r="Y236" i="23"/>
  <c r="X152" i="23"/>
  <c r="X217" i="23" s="1"/>
  <c r="Y228" i="23"/>
  <c r="Y245" i="23"/>
  <c r="Y238" i="23"/>
  <c r="Y232" i="23"/>
  <c r="Y248" i="23"/>
  <c r="Y244" i="23"/>
  <c r="AA54" i="23"/>
  <c r="D142" i="22"/>
  <c r="E124" i="22"/>
  <c r="AB208" i="23"/>
  <c r="K112" i="22" s="1"/>
  <c r="Y126" i="23"/>
  <c r="Y127" i="23" s="1"/>
  <c r="Y262" i="23" s="1"/>
  <c r="AB253" i="23"/>
  <c r="C137" i="22"/>
  <c r="E119" i="22"/>
  <c r="E127" i="22"/>
  <c r="E125" i="22"/>
  <c r="E122" i="22"/>
  <c r="Y235" i="23"/>
  <c r="Y243" i="23"/>
  <c r="Y241" i="23"/>
  <c r="Y225" i="23"/>
  <c r="Y237" i="23"/>
  <c r="Y233" i="23"/>
  <c r="X253" i="23"/>
  <c r="K206" i="22"/>
  <c r="Y234" i="23"/>
  <c r="E157" i="22"/>
  <c r="Y260" i="23"/>
  <c r="E123" i="22"/>
  <c r="C128" i="22"/>
  <c r="E128" i="22" s="1"/>
  <c r="AB23" i="23"/>
  <c r="AB36" i="23" s="1"/>
  <c r="AA37" i="25"/>
  <c r="AB85" i="23"/>
  <c r="H165" i="23"/>
  <c r="H39" i="25"/>
  <c r="H83" i="25" s="1"/>
  <c r="Y42" i="23"/>
  <c r="Y44" i="23" s="1"/>
  <c r="Y48" i="23" s="1"/>
  <c r="AA18" i="25"/>
  <c r="AA21" i="25"/>
  <c r="AA17" i="25"/>
  <c r="AA14" i="25"/>
  <c r="AA34" i="25"/>
  <c r="AA20" i="25"/>
  <c r="AA19" i="25"/>
  <c r="AA173" i="23"/>
  <c r="J255" i="23"/>
  <c r="D202" i="22"/>
  <c r="H141" i="23"/>
  <c r="H201" i="23" s="1"/>
  <c r="H140" i="23"/>
  <c r="H200" i="23" s="1"/>
  <c r="H62" i="23"/>
  <c r="H66" i="23" s="1"/>
  <c r="H23" i="23"/>
  <c r="H25" i="23" s="1"/>
  <c r="H83" i="23"/>
  <c r="H46" i="23"/>
  <c r="H48" i="23"/>
  <c r="C201" i="22"/>
  <c r="E191" i="22"/>
  <c r="Y240" i="23"/>
  <c r="Z83" i="25"/>
  <c r="AA12" i="23"/>
  <c r="AA18" i="23"/>
  <c r="AD83" i="23" s="1"/>
  <c r="Z225" i="23"/>
  <c r="AD226" i="23" s="1"/>
  <c r="Z126" i="23"/>
  <c r="Z120" i="23" s="1"/>
  <c r="Z228" i="23"/>
  <c r="AD229" i="23" s="1"/>
  <c r="Z48" i="23"/>
  <c r="Z46" i="23"/>
  <c r="Z36" i="23"/>
  <c r="Z25" i="23"/>
  <c r="Y175" i="23"/>
  <c r="Y72" i="23"/>
  <c r="Y73" i="23" s="1"/>
  <c r="Y23" i="23"/>
  <c r="Y36" i="23" s="1"/>
  <c r="J222" i="23"/>
  <c r="J211" i="23"/>
  <c r="J157" i="23"/>
  <c r="J146" i="23"/>
  <c r="J130" i="23"/>
  <c r="J91" i="23"/>
  <c r="J81" i="23"/>
  <c r="J56" i="23"/>
  <c r="J41" i="23"/>
  <c r="X37" i="25"/>
  <c r="X13" i="25"/>
  <c r="X222" i="23"/>
  <c r="X211" i="23"/>
  <c r="X163" i="23"/>
  <c r="AB164" i="23" s="1"/>
  <c r="X160" i="23"/>
  <c r="X157" i="23"/>
  <c r="X146" i="23"/>
  <c r="X130" i="23"/>
  <c r="X91" i="23"/>
  <c r="X81" i="23"/>
  <c r="X56" i="23"/>
  <c r="X54" i="23"/>
  <c r="X53" i="23"/>
  <c r="X51" i="23"/>
  <c r="X165" i="23" s="1"/>
  <c r="X43" i="23"/>
  <c r="X41" i="23"/>
  <c r="X39" i="23"/>
  <c r="X38" i="23"/>
  <c r="X34" i="23"/>
  <c r="X33" i="23"/>
  <c r="X32" i="23"/>
  <c r="X31" i="23"/>
  <c r="X11" i="23"/>
  <c r="X18" i="23" s="1"/>
  <c r="G59" i="23"/>
  <c r="W59" i="23" s="1"/>
  <c r="W168" i="23" s="1"/>
  <c r="S59" i="23"/>
  <c r="B31" i="25"/>
  <c r="U119" i="23"/>
  <c r="C18" i="22" l="1"/>
  <c r="E44" i="22"/>
  <c r="E52" i="22" s="1"/>
  <c r="E55" i="22" s="1"/>
  <c r="I219" i="23"/>
  <c r="J89" i="23"/>
  <c r="J72" i="23"/>
  <c r="J73" i="23" s="1"/>
  <c r="AE23" i="23"/>
  <c r="AE42" i="23"/>
  <c r="AE44" i="23" s="1"/>
  <c r="I73" i="23"/>
  <c r="I79" i="23" s="1"/>
  <c r="E18" i="22"/>
  <c r="F18" i="22" s="1"/>
  <c r="F15" i="22"/>
  <c r="AE212" i="23"/>
  <c r="AE214" i="23" s="1"/>
  <c r="D33" i="22"/>
  <c r="AA82" i="25"/>
  <c r="AE38" i="25"/>
  <c r="AE175" i="23"/>
  <c r="AE240" i="23"/>
  <c r="AE72" i="23"/>
  <c r="AE275" i="23"/>
  <c r="AE274" i="23"/>
  <c r="AE272" i="23"/>
  <c r="AE89" i="23"/>
  <c r="AB48" i="23"/>
  <c r="AE48" i="23" s="1"/>
  <c r="AB46" i="23"/>
  <c r="I260" i="23"/>
  <c r="I218" i="23"/>
  <c r="I181" i="23"/>
  <c r="I246" i="23"/>
  <c r="I253" i="23"/>
  <c r="I230" i="23"/>
  <c r="I264" i="23"/>
  <c r="I272" i="23" s="1"/>
  <c r="I214" i="23"/>
  <c r="I26" i="23"/>
  <c r="I87" i="23"/>
  <c r="I28" i="23"/>
  <c r="Y230" i="23"/>
  <c r="AC36" i="23"/>
  <c r="D70" i="22"/>
  <c r="Z186" i="23"/>
  <c r="C188" i="22"/>
  <c r="Z123" i="23"/>
  <c r="Z251" i="23"/>
  <c r="Z253" i="23" s="1"/>
  <c r="Z150" i="23"/>
  <c r="AC226" i="23"/>
  <c r="AD138" i="23"/>
  <c r="AD198" i="23" s="1"/>
  <c r="C58" i="22"/>
  <c r="D55" i="22" s="1"/>
  <c r="AD128" i="23"/>
  <c r="AD123" i="23"/>
  <c r="AD188" i="23" s="1"/>
  <c r="AD150" i="23"/>
  <c r="AD186" i="23"/>
  <c r="AD251" i="23"/>
  <c r="AD253" i="23" s="1"/>
  <c r="K41" i="22"/>
  <c r="J239" i="23"/>
  <c r="J245" i="23"/>
  <c r="J243" i="23"/>
  <c r="J242" i="23"/>
  <c r="J232" i="23"/>
  <c r="J167" i="23"/>
  <c r="J235" i="23"/>
  <c r="J233" i="23"/>
  <c r="J168" i="23"/>
  <c r="C212" i="22"/>
  <c r="AD148" i="23"/>
  <c r="AD136" i="23"/>
  <c r="AD133" i="23"/>
  <c r="AD193" i="23" s="1"/>
  <c r="J237" i="23"/>
  <c r="J172" i="23"/>
  <c r="J248" i="23"/>
  <c r="J183" i="23"/>
  <c r="J238" i="23"/>
  <c r="J234" i="23"/>
  <c r="C80" i="22"/>
  <c r="C88" i="22" s="1"/>
  <c r="E84" i="22"/>
  <c r="E80" i="22" s="1"/>
  <c r="E88" i="22" s="1"/>
  <c r="AC212" i="23"/>
  <c r="K77" i="22"/>
  <c r="E94" i="22" s="1"/>
  <c r="J241" i="23"/>
  <c r="J244" i="23"/>
  <c r="E120" i="22"/>
  <c r="D145" i="22"/>
  <c r="E115" i="22"/>
  <c r="C138" i="22"/>
  <c r="AB212" i="23"/>
  <c r="AC141" i="23"/>
  <c r="AC201" i="23" s="1"/>
  <c r="AC140" i="23"/>
  <c r="AC200" i="23" s="1"/>
  <c r="AC138" i="23"/>
  <c r="AC198" i="23" s="1"/>
  <c r="AC148" i="23"/>
  <c r="AC230" i="23"/>
  <c r="AC229" i="23"/>
  <c r="AC28" i="23"/>
  <c r="AC26" i="23"/>
  <c r="AB83" i="23"/>
  <c r="AC83" i="23"/>
  <c r="AC240" i="23"/>
  <c r="AC175" i="23"/>
  <c r="AC72" i="23"/>
  <c r="AC73" i="23" s="1"/>
  <c r="AB148" i="23"/>
  <c r="AB149" i="23" s="1"/>
  <c r="AB136" i="23"/>
  <c r="C129" i="22"/>
  <c r="AB133" i="23"/>
  <c r="AB193" i="23" s="1"/>
  <c r="AB138" i="23"/>
  <c r="AB198" i="23" s="1"/>
  <c r="AB132" i="23"/>
  <c r="AB192" i="23" s="1"/>
  <c r="AB135" i="23"/>
  <c r="E126" i="22"/>
  <c r="X20" i="25"/>
  <c r="AB35" i="25"/>
  <c r="X82" i="25"/>
  <c r="AB38" i="25"/>
  <c r="AB25" i="23"/>
  <c r="Y46" i="23"/>
  <c r="C220" i="22"/>
  <c r="C194" i="22" s="1"/>
  <c r="E194" i="22" s="1"/>
  <c r="J190" i="23"/>
  <c r="AA43" i="23"/>
  <c r="H171" i="23"/>
  <c r="H36" i="23"/>
  <c r="H89" i="23"/>
  <c r="H175" i="23"/>
  <c r="H72" i="23"/>
  <c r="H73" i="23" s="1"/>
  <c r="H79" i="23" s="1"/>
  <c r="H87" i="23"/>
  <c r="H28" i="23"/>
  <c r="H26" i="23"/>
  <c r="X23" i="23"/>
  <c r="X25" i="23" s="1"/>
  <c r="AA83" i="23"/>
  <c r="AA23" i="23"/>
  <c r="AA42" i="23"/>
  <c r="C203" i="22"/>
  <c r="D201" i="22"/>
  <c r="Z230" i="23"/>
  <c r="Y119" i="23"/>
  <c r="Z28" i="23"/>
  <c r="Z26" i="23"/>
  <c r="Y75" i="23"/>
  <c r="Y181" i="23"/>
  <c r="Y246" i="23"/>
  <c r="Y25" i="23"/>
  <c r="X12" i="23"/>
  <c r="X39" i="25"/>
  <c r="X83" i="25" s="1"/>
  <c r="X21" i="25"/>
  <c r="X34" i="25"/>
  <c r="X14" i="25"/>
  <c r="X17" i="25"/>
  <c r="X18" i="25"/>
  <c r="X19" i="25"/>
  <c r="X42" i="23"/>
  <c r="X44" i="23" s="1"/>
  <c r="C258" i="22"/>
  <c r="F119" i="23"/>
  <c r="E119" i="23"/>
  <c r="F37" i="25"/>
  <c r="F82" i="25" s="1"/>
  <c r="G37" i="25"/>
  <c r="G82" i="25" s="1"/>
  <c r="L37" i="25"/>
  <c r="L82" i="25" s="1"/>
  <c r="M37" i="25"/>
  <c r="M82" i="25" s="1"/>
  <c r="N37" i="25"/>
  <c r="N82" i="25" s="1"/>
  <c r="P37" i="25"/>
  <c r="P82" i="25" s="1"/>
  <c r="Q37" i="25"/>
  <c r="Q82" i="25" s="1"/>
  <c r="R37" i="25"/>
  <c r="T37" i="25"/>
  <c r="X38" i="25" s="1"/>
  <c r="U37" i="25"/>
  <c r="V37" i="25"/>
  <c r="E37" i="25"/>
  <c r="E82" i="25" s="1"/>
  <c r="C20" i="22" l="1"/>
  <c r="E20" i="22" s="1"/>
  <c r="D18" i="22"/>
  <c r="AE36" i="23"/>
  <c r="AE25" i="23"/>
  <c r="AE73" i="23"/>
  <c r="AE75" i="23" s="1"/>
  <c r="AE181" i="23"/>
  <c r="AE246" i="23"/>
  <c r="AB213" i="23"/>
  <c r="AB219" i="23" s="1"/>
  <c r="AB28" i="23"/>
  <c r="I270" i="23"/>
  <c r="I267" i="23"/>
  <c r="I269" i="23"/>
  <c r="I266" i="23"/>
  <c r="I277" i="23"/>
  <c r="I247" i="23"/>
  <c r="I182" i="23"/>
  <c r="I75" i="23"/>
  <c r="I275" i="23"/>
  <c r="I274" i="23"/>
  <c r="Z125" i="23"/>
  <c r="Z188" i="23"/>
  <c r="E58" i="22"/>
  <c r="F52" i="22" s="1"/>
  <c r="D52" i="22"/>
  <c r="C190" i="22"/>
  <c r="E188" i="22"/>
  <c r="Z215" i="23"/>
  <c r="Z152" i="23"/>
  <c r="Z217" i="23" s="1"/>
  <c r="AD135" i="23"/>
  <c r="AD132" i="23"/>
  <c r="AD192" i="23" s="1"/>
  <c r="AD215" i="23"/>
  <c r="AD152" i="23"/>
  <c r="AD217" i="23" s="1"/>
  <c r="F88" i="22"/>
  <c r="AD153" i="23"/>
  <c r="AD196" i="23"/>
  <c r="J171" i="23"/>
  <c r="J236" i="23"/>
  <c r="J262" i="23"/>
  <c r="C92" i="22"/>
  <c r="E92" i="22" s="1"/>
  <c r="AD213" i="23"/>
  <c r="AD149" i="23"/>
  <c r="AC262" i="23"/>
  <c r="E91" i="22"/>
  <c r="F91" i="22" s="1"/>
  <c r="C95" i="22"/>
  <c r="D88" i="22"/>
  <c r="C91" i="22"/>
  <c r="AD154" i="23"/>
  <c r="AD195" i="23"/>
  <c r="X36" i="23"/>
  <c r="J123" i="23"/>
  <c r="E220" i="22"/>
  <c r="AC251" i="23"/>
  <c r="AC186" i="23"/>
  <c r="AC128" i="23"/>
  <c r="AC150" i="23"/>
  <c r="AC136" i="23"/>
  <c r="AC123" i="23"/>
  <c r="AC143" i="23" s="1"/>
  <c r="AC133" i="23"/>
  <c r="AC193" i="23" s="1"/>
  <c r="AC149" i="23"/>
  <c r="AC213" i="23"/>
  <c r="AC214" i="23" s="1"/>
  <c r="AC246" i="23"/>
  <c r="AC181" i="23"/>
  <c r="E129" i="22"/>
  <c r="F123" i="22" s="1"/>
  <c r="D123" i="22"/>
  <c r="D126" i="22"/>
  <c r="AB153" i="23"/>
  <c r="AB196" i="23"/>
  <c r="AB195" i="23"/>
  <c r="AB154" i="23"/>
  <c r="AB26" i="23"/>
  <c r="Y26" i="23"/>
  <c r="H181" i="23"/>
  <c r="AA25" i="23"/>
  <c r="AD87" i="23" s="1"/>
  <c r="AA36" i="23"/>
  <c r="V82" i="25"/>
  <c r="Z38" i="25"/>
  <c r="C211" i="22"/>
  <c r="Y120" i="23"/>
  <c r="Y251" i="23" s="1"/>
  <c r="U82" i="25"/>
  <c r="Y38" i="25"/>
  <c r="Y184" i="23"/>
  <c r="Y249" i="23"/>
  <c r="Y182" i="23"/>
  <c r="Y247" i="23"/>
  <c r="Y28" i="23"/>
  <c r="T38" i="25"/>
  <c r="T82" i="25"/>
  <c r="F124" i="23"/>
  <c r="X48" i="23"/>
  <c r="X46" i="23"/>
  <c r="V38" i="25"/>
  <c r="R82" i="25"/>
  <c r="E124" i="23"/>
  <c r="X28" i="23"/>
  <c r="X26" i="23"/>
  <c r="P38" i="25"/>
  <c r="U38" i="25"/>
  <c r="R38" i="25"/>
  <c r="Q38" i="25"/>
  <c r="C281" i="22"/>
  <c r="W10" i="25"/>
  <c r="W9" i="25"/>
  <c r="W12" i="25"/>
  <c r="W11" i="25"/>
  <c r="W8" i="25"/>
  <c r="G13" i="25"/>
  <c r="G34" i="25" s="1"/>
  <c r="W100" i="23"/>
  <c r="W122" i="23"/>
  <c r="W113" i="23"/>
  <c r="W112" i="23"/>
  <c r="W108" i="23"/>
  <c r="W107" i="23"/>
  <c r="W103" i="23"/>
  <c r="W102" i="23"/>
  <c r="W101" i="23"/>
  <c r="W95" i="23"/>
  <c r="W94" i="23"/>
  <c r="W74" i="23"/>
  <c r="W69" i="23"/>
  <c r="W68" i="23"/>
  <c r="W65" i="23"/>
  <c r="W174" i="23" s="1"/>
  <c r="W64" i="23"/>
  <c r="W61" i="23"/>
  <c r="Y86" i="23" s="1"/>
  <c r="W60" i="23"/>
  <c r="W24" i="23"/>
  <c r="W22" i="23"/>
  <c r="W21" i="23"/>
  <c r="W20" i="23"/>
  <c r="W19" i="23"/>
  <c r="Y35" i="23" s="1"/>
  <c r="W17" i="23"/>
  <c r="W16" i="23"/>
  <c r="W15" i="23"/>
  <c r="W14" i="23"/>
  <c r="W10" i="23"/>
  <c r="W8" i="23"/>
  <c r="W7" i="23"/>
  <c r="J54" i="23" s="1"/>
  <c r="G206" i="23"/>
  <c r="W206" i="23" s="1"/>
  <c r="W119" i="23" s="1"/>
  <c r="G207" i="23"/>
  <c r="G121" i="23"/>
  <c r="W121" i="23" s="1"/>
  <c r="C262" i="22" s="1"/>
  <c r="G96" i="23"/>
  <c r="G97" i="23" s="1"/>
  <c r="G93" i="23"/>
  <c r="W93" i="23" s="1"/>
  <c r="G71" i="23"/>
  <c r="G70" i="23"/>
  <c r="G179" i="23" s="1"/>
  <c r="G67" i="23"/>
  <c r="G176" i="23" s="1"/>
  <c r="G63" i="23"/>
  <c r="G172" i="23" s="1"/>
  <c r="G9" i="23"/>
  <c r="G35" i="25" s="1"/>
  <c r="G11" i="23"/>
  <c r="G12" i="23" s="1"/>
  <c r="G31" i="23"/>
  <c r="G32" i="23"/>
  <c r="G33" i="23"/>
  <c r="G34" i="23"/>
  <c r="G38" i="23"/>
  <c r="G41" i="23"/>
  <c r="G43" i="23"/>
  <c r="G50" i="23"/>
  <c r="G51" i="23"/>
  <c r="G54" i="23"/>
  <c r="G56" i="23"/>
  <c r="G58" i="23"/>
  <c r="G167" i="23" s="1"/>
  <c r="G81" i="23"/>
  <c r="G82" i="23"/>
  <c r="G147" i="23" s="1"/>
  <c r="G85" i="23"/>
  <c r="G86" i="23"/>
  <c r="G91" i="23"/>
  <c r="G109" i="23"/>
  <c r="G114" i="23"/>
  <c r="G117" i="23"/>
  <c r="G118" i="23"/>
  <c r="G130" i="23"/>
  <c r="G146" i="23"/>
  <c r="G157" i="23"/>
  <c r="G160" i="23"/>
  <c r="H161" i="23" s="1"/>
  <c r="G163" i="23"/>
  <c r="G168" i="23"/>
  <c r="G169" i="23"/>
  <c r="G170" i="23"/>
  <c r="G173" i="23"/>
  <c r="G174" i="23"/>
  <c r="G177" i="23"/>
  <c r="G178" i="23"/>
  <c r="G183" i="23"/>
  <c r="G211" i="23"/>
  <c r="G222" i="23"/>
  <c r="W222" i="23"/>
  <c r="W211" i="23"/>
  <c r="W157" i="23"/>
  <c r="W146" i="23"/>
  <c r="W130" i="23"/>
  <c r="W91" i="23"/>
  <c r="W81" i="23"/>
  <c r="W56" i="23"/>
  <c r="W41" i="23"/>
  <c r="AB218" i="23" l="1"/>
  <c r="AE182" i="23"/>
  <c r="AB214" i="23"/>
  <c r="AE26" i="23"/>
  <c r="AE28" i="23"/>
  <c r="AE87" i="23"/>
  <c r="AE247" i="23"/>
  <c r="AE249" i="23"/>
  <c r="AE184" i="23"/>
  <c r="I249" i="23"/>
  <c r="I184" i="23"/>
  <c r="C193" i="22"/>
  <c r="C197" i="22"/>
  <c r="E190" i="22"/>
  <c r="F55" i="22"/>
  <c r="Z255" i="23"/>
  <c r="Z190" i="23"/>
  <c r="C93" i="22"/>
  <c r="E93" i="22" s="1"/>
  <c r="D91" i="22"/>
  <c r="J240" i="23"/>
  <c r="J175" i="23"/>
  <c r="F53" i="27"/>
  <c r="G35" i="23"/>
  <c r="AD214" i="23"/>
  <c r="AD218" i="23"/>
  <c r="AD219" i="23"/>
  <c r="J143" i="23"/>
  <c r="J203" i="23" s="1"/>
  <c r="J188" i="23"/>
  <c r="AC132" i="23"/>
  <c r="AC192" i="23" s="1"/>
  <c r="AC203" i="23"/>
  <c r="AC188" i="23"/>
  <c r="AC135" i="23"/>
  <c r="AC247" i="23"/>
  <c r="AC182" i="23"/>
  <c r="AC196" i="23"/>
  <c r="AC153" i="23"/>
  <c r="AA87" i="23"/>
  <c r="AC87" i="23"/>
  <c r="AC75" i="23"/>
  <c r="J75" i="23" s="1"/>
  <c r="AC152" i="23"/>
  <c r="AC217" i="23" s="1"/>
  <c r="AC219" i="23" s="1"/>
  <c r="AC215" i="23"/>
  <c r="AC218" i="23" s="1"/>
  <c r="AB87" i="23"/>
  <c r="AC253" i="23"/>
  <c r="G17" i="25"/>
  <c r="Y253" i="23"/>
  <c r="F126" i="22"/>
  <c r="G18" i="25"/>
  <c r="G258" i="23"/>
  <c r="G259" i="23"/>
  <c r="H182" i="23"/>
  <c r="H75" i="23"/>
  <c r="W126" i="23"/>
  <c r="AA26" i="23"/>
  <c r="AA28" i="23"/>
  <c r="G187" i="23"/>
  <c r="Y82" i="23"/>
  <c r="Y147" i="23" s="1"/>
  <c r="Z82" i="23"/>
  <c r="G151" i="23"/>
  <c r="G216" i="23" s="1"/>
  <c r="Y128" i="23"/>
  <c r="Y186" i="23"/>
  <c r="Y123" i="23"/>
  <c r="Y150" i="23"/>
  <c r="C208" i="22"/>
  <c r="C216" i="22" s="1"/>
  <c r="E211" i="22"/>
  <c r="G252" i="23"/>
  <c r="W169" i="23"/>
  <c r="G88" i="23"/>
  <c r="G140" i="23" s="1"/>
  <c r="G200" i="23" s="1"/>
  <c r="G39" i="23"/>
  <c r="W34" i="23"/>
  <c r="W86" i="23"/>
  <c r="W96" i="23"/>
  <c r="W97" i="23" s="1"/>
  <c r="W173" i="23"/>
  <c r="X82" i="23"/>
  <c r="X147" i="23" s="1"/>
  <c r="J31" i="23"/>
  <c r="W177" i="23"/>
  <c r="W183" i="23"/>
  <c r="G164" i="23"/>
  <c r="G38" i="25"/>
  <c r="G239" i="23"/>
  <c r="G126" i="23"/>
  <c r="G127" i="23" s="1"/>
  <c r="C263" i="22"/>
  <c r="G165" i="23"/>
  <c r="G39" i="25"/>
  <c r="G83" i="25" s="1"/>
  <c r="W109" i="23"/>
  <c r="W35" i="23" s="1"/>
  <c r="W207" i="23"/>
  <c r="X206" i="23" s="1"/>
  <c r="G180" i="23"/>
  <c r="K251" i="22"/>
  <c r="G98" i="23"/>
  <c r="W118" i="23"/>
  <c r="G21" i="25"/>
  <c r="G20" i="25"/>
  <c r="G19" i="25"/>
  <c r="G14" i="25"/>
  <c r="W13" i="25"/>
  <c r="AA35" i="25" s="1"/>
  <c r="W33" i="23"/>
  <c r="G238" i="23"/>
  <c r="G141" i="23"/>
  <c r="G201" i="23" s="1"/>
  <c r="G148" i="23"/>
  <c r="G149" i="23" s="1"/>
  <c r="G18" i="23"/>
  <c r="G237" i="23"/>
  <c r="G228" i="23"/>
  <c r="G264" i="23" s="1"/>
  <c r="G245" i="23"/>
  <c r="G244" i="23"/>
  <c r="G62" i="23"/>
  <c r="G225" i="23"/>
  <c r="G242" i="23"/>
  <c r="G243" i="23"/>
  <c r="G234" i="23"/>
  <c r="G241" i="23"/>
  <c r="G233" i="23"/>
  <c r="G248" i="23"/>
  <c r="G232" i="23"/>
  <c r="G208" i="23"/>
  <c r="G53" i="23"/>
  <c r="G235" i="23"/>
  <c r="W117" i="23"/>
  <c r="W32" i="23"/>
  <c r="W114" i="23"/>
  <c r="W170" i="23"/>
  <c r="W160" i="23"/>
  <c r="W38" i="23"/>
  <c r="W11" i="23"/>
  <c r="W82" i="23"/>
  <c r="W147" i="23" s="1"/>
  <c r="W31" i="23"/>
  <c r="W54" i="23"/>
  <c r="C296" i="22"/>
  <c r="V13" i="25"/>
  <c r="Z35" i="25" s="1"/>
  <c r="O100" i="23"/>
  <c r="S100" i="23"/>
  <c r="O101" i="23"/>
  <c r="S101" i="23"/>
  <c r="V222" i="23"/>
  <c r="V211" i="23"/>
  <c r="V163" i="23"/>
  <c r="V160" i="23"/>
  <c r="V157" i="23"/>
  <c r="V146" i="23"/>
  <c r="V130" i="23"/>
  <c r="V91" i="23"/>
  <c r="V81" i="23"/>
  <c r="V56" i="23"/>
  <c r="V54" i="23"/>
  <c r="V53" i="23"/>
  <c r="V51" i="23"/>
  <c r="V43" i="23"/>
  <c r="V41" i="23"/>
  <c r="V39" i="23"/>
  <c r="V38" i="23"/>
  <c r="V34" i="23"/>
  <c r="V33" i="23"/>
  <c r="V32" i="23"/>
  <c r="V31" i="23"/>
  <c r="V11" i="23"/>
  <c r="V12" i="23" s="1"/>
  <c r="C307" i="22"/>
  <c r="C312" i="22"/>
  <c r="C290" i="22"/>
  <c r="C287" i="22" s="1"/>
  <c r="C291" i="22"/>
  <c r="Z147" i="23" l="1"/>
  <c r="Z98" i="23"/>
  <c r="E193" i="22"/>
  <c r="C195" i="22"/>
  <c r="E195" i="22" s="1"/>
  <c r="J246" i="23"/>
  <c r="J181" i="23"/>
  <c r="AC154" i="23"/>
  <c r="AC195" i="23"/>
  <c r="AC249" i="23"/>
  <c r="AC184" i="23"/>
  <c r="AC277" i="23"/>
  <c r="G260" i="23"/>
  <c r="W127" i="23"/>
  <c r="W262" i="23" s="1"/>
  <c r="G262" i="23"/>
  <c r="W259" i="23"/>
  <c r="G275" i="23"/>
  <c r="G274" i="23"/>
  <c r="W258" i="23"/>
  <c r="Z208" i="23"/>
  <c r="Z212" i="23" s="1"/>
  <c r="H206" i="23"/>
  <c r="H249" i="23" s="1"/>
  <c r="Z164" i="23"/>
  <c r="Y98" i="23"/>
  <c r="H184" i="23"/>
  <c r="C256" i="22"/>
  <c r="E208" i="22"/>
  <c r="C219" i="22"/>
  <c r="E216" i="22"/>
  <c r="C223" i="22"/>
  <c r="Y215" i="23"/>
  <c r="Y152" i="23"/>
  <c r="Y217" i="23" s="1"/>
  <c r="K240" i="22"/>
  <c r="Y143" i="23"/>
  <c r="Y203" i="23" s="1"/>
  <c r="Y188" i="23"/>
  <c r="X228" i="23"/>
  <c r="X126" i="23"/>
  <c r="X225" i="23"/>
  <c r="AB226" i="23" s="1"/>
  <c r="G214" i="23"/>
  <c r="C315" i="22"/>
  <c r="J32" i="23"/>
  <c r="J160" i="23"/>
  <c r="J82" i="23"/>
  <c r="J98" i="23" s="1"/>
  <c r="J11" i="23"/>
  <c r="J38" i="23"/>
  <c r="J34" i="23"/>
  <c r="J33" i="23"/>
  <c r="W98" i="23"/>
  <c r="K250" i="22"/>
  <c r="V165" i="23"/>
  <c r="V39" i="25"/>
  <c r="V83" i="25" s="1"/>
  <c r="G119" i="23"/>
  <c r="G120" i="23" s="1"/>
  <c r="G150" i="23" s="1"/>
  <c r="C257" i="22"/>
  <c r="W120" i="23"/>
  <c r="W150" i="23" s="1"/>
  <c r="V21" i="25"/>
  <c r="V34" i="25"/>
  <c r="W21" i="25"/>
  <c r="W34" i="25"/>
  <c r="W18" i="25"/>
  <c r="W20" i="25"/>
  <c r="W14" i="25"/>
  <c r="W19" i="25"/>
  <c r="W17" i="25"/>
  <c r="G42" i="23"/>
  <c r="G44" i="23" s="1"/>
  <c r="H45" i="23" s="1"/>
  <c r="G83" i="23"/>
  <c r="G23" i="23"/>
  <c r="G230" i="23"/>
  <c r="G171" i="23"/>
  <c r="G236" i="23"/>
  <c r="G66" i="23"/>
  <c r="W12" i="23"/>
  <c r="W18" i="23"/>
  <c r="Z83" i="23" s="1"/>
  <c r="V14" i="25"/>
  <c r="V17" i="25"/>
  <c r="V18" i="25"/>
  <c r="V19" i="25"/>
  <c r="V20" i="25"/>
  <c r="V18" i="23"/>
  <c r="C294" i="22"/>
  <c r="U13" i="25"/>
  <c r="Y35" i="25" s="1"/>
  <c r="U63" i="23"/>
  <c r="U207" i="23"/>
  <c r="U121" i="23"/>
  <c r="C295" i="22" s="1"/>
  <c r="U96" i="23"/>
  <c r="U97" i="23" s="1"/>
  <c r="U93" i="23"/>
  <c r="U71" i="23"/>
  <c r="U70" i="23"/>
  <c r="U67" i="23"/>
  <c r="U222" i="23"/>
  <c r="U211" i="23"/>
  <c r="U183" i="23"/>
  <c r="U178" i="23"/>
  <c r="U177" i="23"/>
  <c r="U174" i="23"/>
  <c r="U173" i="23"/>
  <c r="U170" i="23"/>
  <c r="U169" i="23"/>
  <c r="U168" i="23"/>
  <c r="W166" i="23" s="1"/>
  <c r="U163" i="23"/>
  <c r="U160" i="23"/>
  <c r="U157" i="23"/>
  <c r="U146" i="23"/>
  <c r="U130" i="23"/>
  <c r="U118" i="23"/>
  <c r="U117" i="23"/>
  <c r="U114" i="23"/>
  <c r="U109" i="23"/>
  <c r="U91" i="23"/>
  <c r="U81" i="23"/>
  <c r="U58" i="23"/>
  <c r="U167" i="23" s="1"/>
  <c r="U56" i="23"/>
  <c r="U54" i="23"/>
  <c r="U51" i="23"/>
  <c r="U43" i="23"/>
  <c r="U41" i="23"/>
  <c r="U38" i="23"/>
  <c r="U34" i="23"/>
  <c r="U33" i="23"/>
  <c r="U32" i="23"/>
  <c r="U31" i="23"/>
  <c r="U11" i="23"/>
  <c r="U18" i="23" s="1"/>
  <c r="E321" i="22"/>
  <c r="E323" i="22" s="1"/>
  <c r="C321" i="22"/>
  <c r="C323" i="22" s="1"/>
  <c r="T13" i="25"/>
  <c r="X35" i="25" s="1"/>
  <c r="T207" i="23"/>
  <c r="K317" i="22" s="1"/>
  <c r="T206" i="23"/>
  <c r="T228" i="23" s="1"/>
  <c r="T222" i="23"/>
  <c r="T211" i="23"/>
  <c r="T163" i="23"/>
  <c r="T160" i="23"/>
  <c r="T157" i="23"/>
  <c r="T146" i="23"/>
  <c r="T130" i="23"/>
  <c r="T91" i="23"/>
  <c r="T81" i="23"/>
  <c r="T56" i="23"/>
  <c r="T54" i="23"/>
  <c r="T53" i="23"/>
  <c r="T51" i="23"/>
  <c r="T43" i="23"/>
  <c r="T41" i="23"/>
  <c r="T39" i="23"/>
  <c r="T38" i="23"/>
  <c r="T34" i="23"/>
  <c r="T33" i="23"/>
  <c r="T32" i="23"/>
  <c r="T31" i="23"/>
  <c r="T11" i="23"/>
  <c r="T12" i="23" s="1"/>
  <c r="F13" i="25"/>
  <c r="S8" i="25"/>
  <c r="C333" i="22"/>
  <c r="C330" i="22" s="1"/>
  <c r="C357" i="22"/>
  <c r="C334" i="22"/>
  <c r="S11" i="25"/>
  <c r="S10" i="25"/>
  <c r="S9" i="25"/>
  <c r="S122" i="23"/>
  <c r="C339" i="22" s="1"/>
  <c r="S113" i="23"/>
  <c r="S112" i="23"/>
  <c r="S108" i="23"/>
  <c r="S107" i="23"/>
  <c r="S103" i="23"/>
  <c r="S102" i="23"/>
  <c r="S95" i="23"/>
  <c r="S94" i="23"/>
  <c r="S74" i="23"/>
  <c r="S183" i="23" s="1"/>
  <c r="S69" i="23"/>
  <c r="S178" i="23" s="1"/>
  <c r="S68" i="23"/>
  <c r="S177" i="23" s="1"/>
  <c r="S65" i="23"/>
  <c r="S64" i="23"/>
  <c r="S173" i="23" s="1"/>
  <c r="S61" i="23"/>
  <c r="S170" i="23" s="1"/>
  <c r="S60" i="23"/>
  <c r="S169" i="23" s="1"/>
  <c r="S168" i="23"/>
  <c r="S27" i="23"/>
  <c r="S24" i="23"/>
  <c r="S22" i="23"/>
  <c r="S21" i="23"/>
  <c r="S20" i="23"/>
  <c r="S19" i="23"/>
  <c r="S17" i="23"/>
  <c r="S16" i="23"/>
  <c r="S15" i="23"/>
  <c r="S14" i="23"/>
  <c r="S10" i="23"/>
  <c r="S8" i="23"/>
  <c r="S7" i="23"/>
  <c r="S222" i="23"/>
  <c r="S211" i="23"/>
  <c r="S157" i="23"/>
  <c r="S146" i="23"/>
  <c r="S130" i="23"/>
  <c r="S91" i="23"/>
  <c r="S81" i="23"/>
  <c r="S56" i="23"/>
  <c r="S41" i="23"/>
  <c r="F206" i="23"/>
  <c r="F207" i="23"/>
  <c r="F121" i="23"/>
  <c r="S121" i="23" s="1"/>
  <c r="F96" i="23"/>
  <c r="F97" i="23" s="1"/>
  <c r="F93" i="23"/>
  <c r="F70" i="23"/>
  <c r="F71" i="23"/>
  <c r="F67" i="23"/>
  <c r="F176" i="23" s="1"/>
  <c r="F63" i="23"/>
  <c r="F88" i="23" s="1"/>
  <c r="F222" i="23"/>
  <c r="F211" i="23"/>
  <c r="F183" i="23"/>
  <c r="F177" i="23"/>
  <c r="F174" i="23"/>
  <c r="F173" i="23"/>
  <c r="F170" i="23"/>
  <c r="F169" i="23"/>
  <c r="F168" i="23"/>
  <c r="F163" i="23"/>
  <c r="F160" i="23"/>
  <c r="G161" i="23" s="1"/>
  <c r="F157" i="23"/>
  <c r="F146" i="23"/>
  <c r="F130" i="23"/>
  <c r="F118" i="23"/>
  <c r="F117" i="23"/>
  <c r="F114" i="23"/>
  <c r="F109" i="23"/>
  <c r="F91" i="23"/>
  <c r="F86" i="23"/>
  <c r="F85" i="23"/>
  <c r="F148" i="23" s="1"/>
  <c r="F82" i="23"/>
  <c r="F147" i="23" s="1"/>
  <c r="F81" i="23"/>
  <c r="F58" i="23"/>
  <c r="F62" i="23" s="1"/>
  <c r="F56" i="23"/>
  <c r="F54" i="23"/>
  <c r="F51" i="23"/>
  <c r="F50" i="23"/>
  <c r="F43" i="23"/>
  <c r="F41" i="23"/>
  <c r="F38" i="23"/>
  <c r="F34" i="23"/>
  <c r="F33" i="23"/>
  <c r="F32" i="23"/>
  <c r="F31" i="23"/>
  <c r="F11" i="23"/>
  <c r="F18" i="23" s="1"/>
  <c r="F9" i="23"/>
  <c r="F35" i="25" s="1"/>
  <c r="R207" i="23"/>
  <c r="R13" i="25"/>
  <c r="V35" i="25" s="1"/>
  <c r="R222" i="23"/>
  <c r="R211" i="23"/>
  <c r="R163" i="23"/>
  <c r="V164" i="23" s="1"/>
  <c r="R160" i="23"/>
  <c r="R157" i="23"/>
  <c r="R146" i="23"/>
  <c r="R130" i="23"/>
  <c r="R91" i="23"/>
  <c r="R81" i="23"/>
  <c r="R56" i="23"/>
  <c r="R54" i="23"/>
  <c r="R53" i="23"/>
  <c r="R51" i="23"/>
  <c r="R43" i="23"/>
  <c r="R41" i="23"/>
  <c r="R39" i="23"/>
  <c r="R38" i="23"/>
  <c r="R34" i="23"/>
  <c r="R33" i="23"/>
  <c r="R32" i="23"/>
  <c r="R31" i="23"/>
  <c r="R11" i="23"/>
  <c r="R12" i="23" s="1"/>
  <c r="O103" i="23"/>
  <c r="O102" i="23"/>
  <c r="C372" i="22"/>
  <c r="C371" i="22"/>
  <c r="C366" i="22"/>
  <c r="C363" i="22" s="1"/>
  <c r="M121" i="23"/>
  <c r="C390" i="22"/>
  <c r="C367" i="22"/>
  <c r="Q207" i="23"/>
  <c r="Q151" i="23"/>
  <c r="Q96" i="23"/>
  <c r="Q97" i="23" s="1"/>
  <c r="Q93" i="23"/>
  <c r="Q71" i="23"/>
  <c r="Q180" i="23" s="1"/>
  <c r="Q70" i="23"/>
  <c r="Q179" i="23" s="1"/>
  <c r="Q67" i="23"/>
  <c r="Q176" i="23" s="1"/>
  <c r="Q63" i="23"/>
  <c r="Q172" i="23" s="1"/>
  <c r="Q13" i="25"/>
  <c r="Q222" i="23"/>
  <c r="Q211" i="23"/>
  <c r="Q183" i="23"/>
  <c r="Q177" i="23"/>
  <c r="Q174" i="23"/>
  <c r="Q173" i="23"/>
  <c r="Q170" i="23"/>
  <c r="Q169" i="23"/>
  <c r="Q168" i="23"/>
  <c r="Q163" i="23"/>
  <c r="Q160" i="23"/>
  <c r="Q157" i="23"/>
  <c r="Q146" i="23"/>
  <c r="Q130" i="23"/>
  <c r="Q187" i="23"/>
  <c r="Q118" i="23"/>
  <c r="Q117" i="23"/>
  <c r="Q114" i="23"/>
  <c r="Q109" i="23"/>
  <c r="Q91" i="23"/>
  <c r="Q81" i="23"/>
  <c r="Q178" i="23"/>
  <c r="Q58" i="23"/>
  <c r="Q62" i="23" s="1"/>
  <c r="Q56" i="23"/>
  <c r="Q54" i="23"/>
  <c r="Q51" i="23"/>
  <c r="Q43" i="23"/>
  <c r="Q41" i="23"/>
  <c r="Q38" i="23"/>
  <c r="Q34" i="23"/>
  <c r="Q33" i="23"/>
  <c r="Q32" i="23"/>
  <c r="Q31" i="23"/>
  <c r="Q11" i="23"/>
  <c r="Q18" i="23" s="1"/>
  <c r="P154" i="23"/>
  <c r="P153" i="23"/>
  <c r="P151" i="23"/>
  <c r="P150" i="23"/>
  <c r="P207" i="23"/>
  <c r="P13" i="25"/>
  <c r="P206" i="23"/>
  <c r="P126" i="23" s="1"/>
  <c r="P222" i="23"/>
  <c r="P211" i="23"/>
  <c r="P163" i="23"/>
  <c r="P160" i="23"/>
  <c r="P157" i="23"/>
  <c r="P146" i="23"/>
  <c r="P130" i="23"/>
  <c r="P91" i="23"/>
  <c r="P81" i="23"/>
  <c r="P56" i="23"/>
  <c r="P54" i="23"/>
  <c r="P53" i="23"/>
  <c r="P51" i="23"/>
  <c r="P43" i="23"/>
  <c r="P41" i="23"/>
  <c r="P39" i="23"/>
  <c r="P38" i="23"/>
  <c r="P34" i="23"/>
  <c r="P33" i="23"/>
  <c r="P32" i="23"/>
  <c r="P31" i="23"/>
  <c r="P11" i="23"/>
  <c r="P12" i="23" s="1"/>
  <c r="C399" i="22"/>
  <c r="M58" i="23"/>
  <c r="N34" i="23"/>
  <c r="M34" i="23"/>
  <c r="L34" i="23"/>
  <c r="D34" i="23"/>
  <c r="C34" i="23"/>
  <c r="E34" i="23"/>
  <c r="B34" i="23"/>
  <c r="N32" i="23"/>
  <c r="M32" i="23"/>
  <c r="L32" i="23"/>
  <c r="D32" i="23"/>
  <c r="C32" i="23"/>
  <c r="E32" i="23"/>
  <c r="B32" i="23"/>
  <c r="O22" i="23"/>
  <c r="O21" i="23"/>
  <c r="O20" i="23"/>
  <c r="O17" i="23"/>
  <c r="O15" i="23"/>
  <c r="O8" i="23"/>
  <c r="N11" i="23"/>
  <c r="N18" i="23" s="1"/>
  <c r="N23" i="23" s="1"/>
  <c r="M11" i="23"/>
  <c r="M18" i="23" s="1"/>
  <c r="M23" i="23" s="1"/>
  <c r="L11" i="23"/>
  <c r="L18" i="23" s="1"/>
  <c r="L23" i="23" s="1"/>
  <c r="D11" i="23"/>
  <c r="D18" i="23" s="1"/>
  <c r="D23" i="23" s="1"/>
  <c r="C11" i="23"/>
  <c r="C18" i="23" s="1"/>
  <c r="C23" i="23" s="1"/>
  <c r="E11" i="23"/>
  <c r="E18" i="23" s="1"/>
  <c r="E23" i="23" s="1"/>
  <c r="U35" i="23" l="1"/>
  <c r="E53" i="27"/>
  <c r="F35" i="23"/>
  <c r="C265" i="22"/>
  <c r="E265" i="22" s="1"/>
  <c r="K284" i="22"/>
  <c r="D314" i="22" s="1"/>
  <c r="U259" i="23"/>
  <c r="U258" i="23"/>
  <c r="AB229" i="23"/>
  <c r="S207" i="23"/>
  <c r="S252" i="23" s="1"/>
  <c r="F258" i="23"/>
  <c r="F259" i="23"/>
  <c r="K360" i="22"/>
  <c r="Q259" i="23"/>
  <c r="Q258" i="23"/>
  <c r="W260" i="23"/>
  <c r="Y277" i="23"/>
  <c r="D203" i="22"/>
  <c r="X229" i="23"/>
  <c r="H238" i="23"/>
  <c r="H241" i="23"/>
  <c r="H235" i="23"/>
  <c r="H244" i="23"/>
  <c r="H239" i="23"/>
  <c r="H208" i="23"/>
  <c r="H243" i="23"/>
  <c r="H233" i="23"/>
  <c r="H225" i="23"/>
  <c r="H248" i="23"/>
  <c r="H234" i="23"/>
  <c r="H245" i="23"/>
  <c r="H228" i="23"/>
  <c r="H242" i="23"/>
  <c r="H237" i="23"/>
  <c r="H232" i="23"/>
  <c r="H236" i="23"/>
  <c r="H240" i="23"/>
  <c r="H246" i="23"/>
  <c r="H247" i="23"/>
  <c r="U164" i="23"/>
  <c r="Y164" i="23"/>
  <c r="T164" i="23"/>
  <c r="X164" i="23"/>
  <c r="AA151" i="23"/>
  <c r="AA187" i="23"/>
  <c r="Y190" i="23"/>
  <c r="E219" i="22"/>
  <c r="C221" i="22"/>
  <c r="E221" i="22" s="1"/>
  <c r="Y83" i="23"/>
  <c r="X230" i="23"/>
  <c r="D278" i="22"/>
  <c r="D280" i="22"/>
  <c r="D279" i="22"/>
  <c r="E257" i="22"/>
  <c r="G251" i="23"/>
  <c r="G253" i="23" s="1"/>
  <c r="W186" i="23"/>
  <c r="S166" i="23"/>
  <c r="J18" i="23"/>
  <c r="J12" i="23"/>
  <c r="J147" i="23"/>
  <c r="G152" i="23"/>
  <c r="G217" i="23" s="1"/>
  <c r="G219" i="23" s="1"/>
  <c r="G215" i="23"/>
  <c r="G218" i="23" s="1"/>
  <c r="W43" i="23"/>
  <c r="R165" i="23"/>
  <c r="R39" i="25"/>
  <c r="R83" i="25" s="1"/>
  <c r="F164" i="23"/>
  <c r="F38" i="25"/>
  <c r="U165" i="23"/>
  <c r="U39" i="25"/>
  <c r="U83" i="25" s="1"/>
  <c r="F165" i="23"/>
  <c r="F39" i="25"/>
  <c r="F83" i="25" s="1"/>
  <c r="T126" i="23"/>
  <c r="U176" i="23"/>
  <c r="W67" i="23"/>
  <c r="W63" i="23"/>
  <c r="Y88" i="23" s="1"/>
  <c r="G124" i="23"/>
  <c r="P165" i="23"/>
  <c r="P39" i="25"/>
  <c r="P83" i="25" s="1"/>
  <c r="F243" i="23"/>
  <c r="F126" i="23"/>
  <c r="U23" i="23"/>
  <c r="U36" i="23" s="1"/>
  <c r="X83" i="23"/>
  <c r="F98" i="23"/>
  <c r="W70" i="23"/>
  <c r="C253" i="22"/>
  <c r="E256" i="22"/>
  <c r="E255" i="22"/>
  <c r="E254" i="22"/>
  <c r="E260" i="22"/>
  <c r="E262" i="22"/>
  <c r="E259" i="22"/>
  <c r="E258" i="22"/>
  <c r="T165" i="23"/>
  <c r="T39" i="25"/>
  <c r="T83" i="25" s="1"/>
  <c r="G128" i="23"/>
  <c r="G186" i="23"/>
  <c r="G133" i="23"/>
  <c r="G193" i="23" s="1"/>
  <c r="G136" i="23"/>
  <c r="G123" i="23"/>
  <c r="Q165" i="23"/>
  <c r="Q39" i="25"/>
  <c r="Q83" i="25" s="1"/>
  <c r="U180" i="23"/>
  <c r="W71" i="23"/>
  <c r="E263" i="22"/>
  <c r="P20" i="25"/>
  <c r="P34" i="25"/>
  <c r="U19" i="25"/>
  <c r="U34" i="25"/>
  <c r="U35" i="25"/>
  <c r="Q14" i="25"/>
  <c r="Q34" i="25"/>
  <c r="T21" i="25"/>
  <c r="T35" i="25"/>
  <c r="T34" i="25"/>
  <c r="R21" i="25"/>
  <c r="R34" i="25"/>
  <c r="F20" i="25"/>
  <c r="F34" i="25"/>
  <c r="G25" i="23"/>
  <c r="G28" i="23" s="1"/>
  <c r="G36" i="23"/>
  <c r="G46" i="23"/>
  <c r="G84" i="23"/>
  <c r="G48" i="23"/>
  <c r="G240" i="23"/>
  <c r="G89" i="23"/>
  <c r="G175" i="23"/>
  <c r="G72" i="23"/>
  <c r="G73" i="23" s="1"/>
  <c r="G79" i="23" s="1"/>
  <c r="Q206" i="23"/>
  <c r="Q232" i="23" s="1"/>
  <c r="W187" i="23"/>
  <c r="W151" i="23"/>
  <c r="W123" i="23"/>
  <c r="T225" i="23"/>
  <c r="W42" i="23"/>
  <c r="W23" i="23"/>
  <c r="S71" i="23"/>
  <c r="S180" i="23" s="1"/>
  <c r="S32" i="23"/>
  <c r="S70" i="23"/>
  <c r="S179" i="23" s="1"/>
  <c r="F228" i="23"/>
  <c r="S82" i="23"/>
  <c r="S147" i="23" s="1"/>
  <c r="S67" i="23"/>
  <c r="S176" i="23" s="1"/>
  <c r="K318" i="22"/>
  <c r="S114" i="23"/>
  <c r="S160" i="23"/>
  <c r="V82" i="23"/>
  <c r="V206" i="23"/>
  <c r="U82" i="23"/>
  <c r="U147" i="23" s="1"/>
  <c r="U86" i="23"/>
  <c r="S31" i="23"/>
  <c r="T82" i="23"/>
  <c r="T147" i="23" s="1"/>
  <c r="S117" i="23"/>
  <c r="F245" i="23"/>
  <c r="S33" i="23"/>
  <c r="U187" i="23"/>
  <c r="V42" i="23"/>
  <c r="V44" i="23" s="1"/>
  <c r="V23" i="23"/>
  <c r="C297" i="22"/>
  <c r="U14" i="25"/>
  <c r="U17" i="25"/>
  <c r="U20" i="25"/>
  <c r="U21" i="25"/>
  <c r="U18" i="25"/>
  <c r="U151" i="23"/>
  <c r="U216" i="23" s="1"/>
  <c r="U252" i="23"/>
  <c r="U53" i="23"/>
  <c r="U39" i="23"/>
  <c r="U62" i="23"/>
  <c r="U12" i="23"/>
  <c r="U179" i="23"/>
  <c r="U42" i="23"/>
  <c r="U44" i="23" s="1"/>
  <c r="U172" i="23"/>
  <c r="U206" i="23"/>
  <c r="T14" i="25"/>
  <c r="T17" i="25"/>
  <c r="T18" i="25"/>
  <c r="T19" i="25"/>
  <c r="T20" i="25"/>
  <c r="F14" i="25"/>
  <c r="T18" i="23"/>
  <c r="W83" i="23" s="1"/>
  <c r="C338" i="22"/>
  <c r="S151" i="23"/>
  <c r="S187" i="23"/>
  <c r="S43" i="23"/>
  <c r="S93" i="23"/>
  <c r="S34" i="23"/>
  <c r="S109" i="23"/>
  <c r="S35" i="23" s="1"/>
  <c r="S206" i="23"/>
  <c r="Q216" i="23"/>
  <c r="S96" i="23"/>
  <c r="S97" i="23" s="1"/>
  <c r="R206" i="23"/>
  <c r="F53" i="23"/>
  <c r="F141" i="23"/>
  <c r="F201" i="23" s="1"/>
  <c r="S63" i="23"/>
  <c r="U88" i="23" s="1"/>
  <c r="S12" i="25"/>
  <c r="F19" i="25"/>
  <c r="C337" i="22"/>
  <c r="F21" i="25"/>
  <c r="F17" i="25"/>
  <c r="F18" i="25"/>
  <c r="S118" i="23"/>
  <c r="S174" i="23"/>
  <c r="S54" i="23"/>
  <c r="S38" i="23"/>
  <c r="S11" i="23"/>
  <c r="S86" i="23"/>
  <c r="F238" i="23"/>
  <c r="F237" i="23"/>
  <c r="F244" i="23"/>
  <c r="F252" i="23"/>
  <c r="F151" i="23"/>
  <c r="F216" i="23" s="1"/>
  <c r="F39" i="23"/>
  <c r="F140" i="23"/>
  <c r="F200" i="23" s="1"/>
  <c r="F149" i="23"/>
  <c r="F66" i="23"/>
  <c r="F236" i="23"/>
  <c r="F171" i="23"/>
  <c r="F83" i="23"/>
  <c r="F23" i="23"/>
  <c r="F42" i="23"/>
  <c r="F44" i="23" s="1"/>
  <c r="G45" i="23" s="1"/>
  <c r="F239" i="23"/>
  <c r="F12" i="23"/>
  <c r="F167" i="23"/>
  <c r="F208" i="23"/>
  <c r="F232" i="23"/>
  <c r="F248" i="23"/>
  <c r="F241" i="23"/>
  <c r="P215" i="23"/>
  <c r="F234" i="23"/>
  <c r="F242" i="23"/>
  <c r="P216" i="23"/>
  <c r="F178" i="23"/>
  <c r="F187" i="23"/>
  <c r="F225" i="23"/>
  <c r="G226" i="23" s="1"/>
  <c r="F235" i="23"/>
  <c r="F233" i="23"/>
  <c r="F179" i="23"/>
  <c r="F172" i="23"/>
  <c r="F180" i="23"/>
  <c r="R14" i="25"/>
  <c r="R17" i="25"/>
  <c r="R18" i="25"/>
  <c r="R19" i="25"/>
  <c r="R20" i="25"/>
  <c r="R18" i="23"/>
  <c r="R42" i="23" s="1"/>
  <c r="R44" i="23" s="1"/>
  <c r="R48" i="23" s="1"/>
  <c r="P152" i="23"/>
  <c r="P217" i="23" s="1"/>
  <c r="C370" i="22"/>
  <c r="Q18" i="25"/>
  <c r="Q19" i="25"/>
  <c r="Q20" i="25"/>
  <c r="Q21" i="25"/>
  <c r="Q17" i="25"/>
  <c r="Q53" i="23"/>
  <c r="Q39" i="23"/>
  <c r="Q167" i="23"/>
  <c r="Q23" i="23"/>
  <c r="Q25" i="23" s="1"/>
  <c r="Q42" i="23"/>
  <c r="Q44" i="23" s="1"/>
  <c r="Q235" i="23"/>
  <c r="Q66" i="23"/>
  <c r="Q72" i="23" s="1"/>
  <c r="Q73" i="23" s="1"/>
  <c r="Q171" i="23"/>
  <c r="Q252" i="23"/>
  <c r="Q12" i="23"/>
  <c r="P21" i="25"/>
  <c r="P14" i="25"/>
  <c r="P17" i="25"/>
  <c r="P18" i="25"/>
  <c r="P19" i="25"/>
  <c r="P225" i="23"/>
  <c r="P18" i="23"/>
  <c r="P42" i="23" s="1"/>
  <c r="P44" i="23" s="1"/>
  <c r="P48" i="23" s="1"/>
  <c r="P228" i="23"/>
  <c r="D9" i="23"/>
  <c r="E9" i="23"/>
  <c r="E35" i="25" s="1"/>
  <c r="C121" i="23"/>
  <c r="D121" i="23"/>
  <c r="N13" i="25"/>
  <c r="N207" i="23"/>
  <c r="M207" i="23"/>
  <c r="O122" i="23"/>
  <c r="O113" i="23"/>
  <c r="O112" i="23"/>
  <c r="O108" i="23"/>
  <c r="O107" i="23"/>
  <c r="O95" i="23"/>
  <c r="O94" i="23"/>
  <c r="O74" i="23"/>
  <c r="O68" i="23"/>
  <c r="O65" i="23"/>
  <c r="O64" i="23"/>
  <c r="O61" i="23"/>
  <c r="O60" i="23"/>
  <c r="O59" i="23"/>
  <c r="N43" i="23"/>
  <c r="O27" i="23"/>
  <c r="O24" i="23"/>
  <c r="O19" i="23"/>
  <c r="Q35" i="23" s="1"/>
  <c r="O16" i="23"/>
  <c r="O14" i="23"/>
  <c r="O7" i="23"/>
  <c r="M13" i="25"/>
  <c r="Q35" i="25" s="1"/>
  <c r="C420" i="22"/>
  <c r="E121" i="23"/>
  <c r="O121" i="23" s="1"/>
  <c r="M96" i="23"/>
  <c r="AA97" i="23" s="1"/>
  <c r="AA98" i="23" s="1"/>
  <c r="M93" i="23"/>
  <c r="M71" i="23"/>
  <c r="M70" i="23"/>
  <c r="M69" i="23"/>
  <c r="M67" i="23"/>
  <c r="M63" i="23"/>
  <c r="M43" i="23"/>
  <c r="AA44" i="23" s="1"/>
  <c r="AD84" i="23" s="1"/>
  <c r="H264" i="23" l="1"/>
  <c r="I229" i="23"/>
  <c r="H226" i="23"/>
  <c r="I226" i="23"/>
  <c r="Q238" i="23"/>
  <c r="Q239" i="23"/>
  <c r="D313" i="22"/>
  <c r="D236" i="22"/>
  <c r="D237" i="22" s="1"/>
  <c r="F260" i="23"/>
  <c r="AB84" i="23"/>
  <c r="AC84" i="23"/>
  <c r="S258" i="23"/>
  <c r="K327" i="22"/>
  <c r="E335" i="22" s="1"/>
  <c r="H274" i="23"/>
  <c r="H275" i="23"/>
  <c r="Q241" i="23"/>
  <c r="D312" i="22"/>
  <c r="G266" i="23"/>
  <c r="G277" i="23"/>
  <c r="G269" i="23"/>
  <c r="M259" i="23"/>
  <c r="M258" i="23"/>
  <c r="Q260" i="23"/>
  <c r="G270" i="23"/>
  <c r="G267" i="23"/>
  <c r="G229" i="23"/>
  <c r="F264" i="23"/>
  <c r="U260" i="23"/>
  <c r="S216" i="23"/>
  <c r="S259" i="23"/>
  <c r="D182" i="22"/>
  <c r="T230" i="23"/>
  <c r="T226" i="23"/>
  <c r="H214" i="23"/>
  <c r="X226" i="23"/>
  <c r="T229" i="23"/>
  <c r="H230" i="23"/>
  <c r="H229" i="23"/>
  <c r="U25" i="23"/>
  <c r="U28" i="23" s="1"/>
  <c r="H127" i="23"/>
  <c r="AA126" i="23"/>
  <c r="AA120" i="23" s="1"/>
  <c r="H120" i="23"/>
  <c r="W252" i="23"/>
  <c r="AA46" i="23"/>
  <c r="AA84" i="23"/>
  <c r="AA176" i="23"/>
  <c r="AA178" i="23"/>
  <c r="AA179" i="23"/>
  <c r="AA88" i="23"/>
  <c r="AA172" i="23"/>
  <c r="AA53" i="23"/>
  <c r="AA39" i="23"/>
  <c r="AA180" i="23"/>
  <c r="Q233" i="23"/>
  <c r="V126" i="23"/>
  <c r="Y208" i="23"/>
  <c r="Y212" i="23" s="1"/>
  <c r="Q225" i="23"/>
  <c r="Q244" i="23"/>
  <c r="Q242" i="23"/>
  <c r="Q248" i="23"/>
  <c r="Q243" i="23"/>
  <c r="Q237" i="23"/>
  <c r="Q236" i="23"/>
  <c r="Q228" i="23"/>
  <c r="Q245" i="23"/>
  <c r="Q234" i="23"/>
  <c r="J23" i="23"/>
  <c r="J42" i="23"/>
  <c r="J44" i="23" s="1"/>
  <c r="J83" i="23"/>
  <c r="J53" i="23"/>
  <c r="J39" i="23"/>
  <c r="G143" i="23"/>
  <c r="G203" i="23" s="1"/>
  <c r="G135" i="23"/>
  <c r="G132" i="23"/>
  <c r="G192" i="23" s="1"/>
  <c r="G188" i="23"/>
  <c r="R208" i="23"/>
  <c r="R126" i="23"/>
  <c r="G153" i="23"/>
  <c r="G196" i="23"/>
  <c r="S98" i="23"/>
  <c r="F120" i="23"/>
  <c r="F150" i="23" s="1"/>
  <c r="F215" i="23" s="1"/>
  <c r="F218" i="23" s="1"/>
  <c r="F127" i="23"/>
  <c r="S241" i="23"/>
  <c r="S126" i="23"/>
  <c r="S120" i="23" s="1"/>
  <c r="S251" i="23" s="1"/>
  <c r="K285" i="22"/>
  <c r="X208" i="23"/>
  <c r="X212" i="23" s="1"/>
  <c r="U126" i="23"/>
  <c r="K361" i="22"/>
  <c r="Q126" i="23"/>
  <c r="U98" i="23"/>
  <c r="C261" i="22"/>
  <c r="E253" i="22"/>
  <c r="N21" i="25"/>
  <c r="N34" i="25"/>
  <c r="R35" i="25"/>
  <c r="M19" i="25"/>
  <c r="M34" i="25"/>
  <c r="G87" i="23"/>
  <c r="G26" i="23"/>
  <c r="G246" i="23"/>
  <c r="G75" i="23"/>
  <c r="G181" i="23"/>
  <c r="W178" i="23"/>
  <c r="W188" i="23"/>
  <c r="W143" i="23"/>
  <c r="W203" i="23" s="1"/>
  <c r="W216" i="23"/>
  <c r="W152" i="23"/>
  <c r="W217" i="23" s="1"/>
  <c r="W244" i="23"/>
  <c r="W179" i="23"/>
  <c r="W180" i="23"/>
  <c r="W44" i="23"/>
  <c r="W88" i="23"/>
  <c r="W172" i="23"/>
  <c r="W53" i="23"/>
  <c r="W39" i="23"/>
  <c r="W251" i="23"/>
  <c r="W215" i="23"/>
  <c r="W176" i="23"/>
  <c r="W25" i="23"/>
  <c r="Z87" i="23" s="1"/>
  <c r="W36" i="23"/>
  <c r="S13" i="25"/>
  <c r="S14" i="25" s="1"/>
  <c r="R225" i="23"/>
  <c r="T208" i="23"/>
  <c r="T212" i="23" s="1"/>
  <c r="S39" i="23"/>
  <c r="S233" i="23"/>
  <c r="E297" i="22"/>
  <c r="V228" i="23"/>
  <c r="V225" i="23"/>
  <c r="E293" i="22"/>
  <c r="E289" i="22"/>
  <c r="E288" i="22"/>
  <c r="E292" i="22"/>
  <c r="E291" i="22"/>
  <c r="E296" i="22"/>
  <c r="E287" i="22"/>
  <c r="E290" i="22"/>
  <c r="F214" i="23"/>
  <c r="E294" i="22"/>
  <c r="S88" i="23"/>
  <c r="R228" i="23"/>
  <c r="S53" i="23"/>
  <c r="U244" i="23"/>
  <c r="E295" i="22"/>
  <c r="S242" i="23"/>
  <c r="V208" i="23"/>
  <c r="V36" i="23"/>
  <c r="V25" i="23"/>
  <c r="V48" i="23"/>
  <c r="V46" i="23"/>
  <c r="U236" i="23"/>
  <c r="U171" i="23"/>
  <c r="U66" i="23"/>
  <c r="U175" i="23" s="1"/>
  <c r="U48" i="23"/>
  <c r="U46" i="23"/>
  <c r="U232" i="23"/>
  <c r="U241" i="23"/>
  <c r="U225" i="23"/>
  <c r="U243" i="23"/>
  <c r="U235" i="23"/>
  <c r="U233" i="23"/>
  <c r="U242" i="23"/>
  <c r="U234" i="23"/>
  <c r="U208" i="23"/>
  <c r="U212" i="23" s="1"/>
  <c r="U237" i="23"/>
  <c r="U248" i="23"/>
  <c r="U245" i="23"/>
  <c r="U239" i="23"/>
  <c r="U238" i="23"/>
  <c r="U228" i="23"/>
  <c r="T23" i="23"/>
  <c r="T42" i="23"/>
  <c r="T44" i="23" s="1"/>
  <c r="S235" i="23"/>
  <c r="S208" i="23"/>
  <c r="S212" i="23" s="1"/>
  <c r="S234" i="23"/>
  <c r="S248" i="23"/>
  <c r="K328" i="22"/>
  <c r="S225" i="23"/>
  <c r="S238" i="23"/>
  <c r="S237" i="23"/>
  <c r="S239" i="23"/>
  <c r="S245" i="23"/>
  <c r="Q79" i="23"/>
  <c r="S244" i="23"/>
  <c r="S243" i="23"/>
  <c r="S172" i="23"/>
  <c r="C340" i="22"/>
  <c r="E369" i="22"/>
  <c r="N20" i="25"/>
  <c r="S12" i="23"/>
  <c r="S18" i="23"/>
  <c r="V83" i="23" s="1"/>
  <c r="O32" i="23"/>
  <c r="R82" i="23"/>
  <c r="F72" i="23"/>
  <c r="F73" i="23" s="1"/>
  <c r="F79" i="23" s="1"/>
  <c r="F240" i="23"/>
  <c r="F175" i="23"/>
  <c r="F89" i="23"/>
  <c r="F36" i="23"/>
  <c r="F25" i="23"/>
  <c r="F230" i="23"/>
  <c r="F48" i="23"/>
  <c r="F84" i="23"/>
  <c r="F46" i="23"/>
  <c r="E363" i="22"/>
  <c r="D387" i="22"/>
  <c r="E372" i="22"/>
  <c r="E364" i="22"/>
  <c r="E368" i="22"/>
  <c r="D388" i="22"/>
  <c r="E370" i="22"/>
  <c r="E366" i="22"/>
  <c r="E371" i="22"/>
  <c r="E365" i="22"/>
  <c r="E367" i="22"/>
  <c r="M18" i="25"/>
  <c r="M17" i="25"/>
  <c r="R23" i="23"/>
  <c r="R25" i="23" s="1"/>
  <c r="R46" i="23"/>
  <c r="Q86" i="23"/>
  <c r="P82" i="23"/>
  <c r="P147" i="23" s="1"/>
  <c r="Q82" i="23"/>
  <c r="O34" i="23"/>
  <c r="C373" i="22"/>
  <c r="E373" i="22" s="1"/>
  <c r="Q48" i="23"/>
  <c r="Q46" i="23"/>
  <c r="Q36" i="23"/>
  <c r="Q175" i="23"/>
  <c r="Q240" i="23"/>
  <c r="P230" i="23"/>
  <c r="P23" i="23"/>
  <c r="P36" i="23" s="1"/>
  <c r="P46" i="23"/>
  <c r="N206" i="23"/>
  <c r="N126" i="23" s="1"/>
  <c r="N19" i="25"/>
  <c r="N18" i="25"/>
  <c r="N17" i="25"/>
  <c r="M21" i="25"/>
  <c r="M20" i="25"/>
  <c r="L13" i="25"/>
  <c r="L206" i="23"/>
  <c r="L126" i="23" s="1"/>
  <c r="L207" i="23"/>
  <c r="M206" i="23" s="1"/>
  <c r="AA244" i="23" s="1"/>
  <c r="E54" i="23"/>
  <c r="D54" i="23"/>
  <c r="L43" i="23"/>
  <c r="E38" i="23"/>
  <c r="D38" i="23"/>
  <c r="E339" i="22" l="1"/>
  <c r="AE251" i="23"/>
  <c r="AE128" i="23"/>
  <c r="AE150" i="23"/>
  <c r="AE136" i="23"/>
  <c r="AE123" i="23"/>
  <c r="AE186" i="23"/>
  <c r="AE133" i="23"/>
  <c r="AE193" i="23" s="1"/>
  <c r="AE46" i="23"/>
  <c r="AE84" i="23"/>
  <c r="U26" i="23"/>
  <c r="S260" i="23"/>
  <c r="E332" i="22"/>
  <c r="E338" i="22"/>
  <c r="E336" i="22"/>
  <c r="D354" i="22"/>
  <c r="E333" i="22"/>
  <c r="E337" i="22"/>
  <c r="D356" i="22"/>
  <c r="E334" i="22"/>
  <c r="E330" i="22"/>
  <c r="M260" i="23"/>
  <c r="D355" i="22"/>
  <c r="E331" i="22"/>
  <c r="E340" i="22"/>
  <c r="S253" i="23"/>
  <c r="F274" i="23"/>
  <c r="F275" i="23"/>
  <c r="S127" i="23"/>
  <c r="F262" i="23"/>
  <c r="J150" i="23"/>
  <c r="C156" i="22"/>
  <c r="AA127" i="23"/>
  <c r="AA262" i="23" s="1"/>
  <c r="H262" i="23"/>
  <c r="V229" i="23"/>
  <c r="Z229" i="23"/>
  <c r="U226" i="23"/>
  <c r="Y226" i="23"/>
  <c r="V226" i="23"/>
  <c r="Z226" i="23"/>
  <c r="Q230" i="23"/>
  <c r="U229" i="23"/>
  <c r="Y229" i="23"/>
  <c r="H133" i="23"/>
  <c r="H193" i="23" s="1"/>
  <c r="H123" i="23"/>
  <c r="H128" i="23"/>
  <c r="H150" i="23"/>
  <c r="H215" i="23" s="1"/>
  <c r="H136" i="23"/>
  <c r="H251" i="23"/>
  <c r="H186" i="23"/>
  <c r="AA245" i="23"/>
  <c r="W253" i="23"/>
  <c r="AA237" i="23"/>
  <c r="AA216" i="23"/>
  <c r="AA241" i="23"/>
  <c r="AA235" i="23"/>
  <c r="AA242" i="23"/>
  <c r="AA234" i="23"/>
  <c r="AA233" i="23"/>
  <c r="AA225" i="23"/>
  <c r="AE226" i="23" s="1"/>
  <c r="AA238" i="23"/>
  <c r="AA239" i="23"/>
  <c r="AA248" i="23"/>
  <c r="AA208" i="23"/>
  <c r="AA243" i="23"/>
  <c r="W46" i="23"/>
  <c r="Z84" i="23"/>
  <c r="X87" i="23"/>
  <c r="Y87" i="23"/>
  <c r="Y84" i="23"/>
  <c r="F128" i="23"/>
  <c r="F186" i="23"/>
  <c r="F133" i="23"/>
  <c r="F193" i="23" s="1"/>
  <c r="J225" i="23"/>
  <c r="F136" i="23"/>
  <c r="F196" i="23" s="1"/>
  <c r="F251" i="23"/>
  <c r="F123" i="23"/>
  <c r="S125" i="23" s="1"/>
  <c r="S255" i="23" s="1"/>
  <c r="J25" i="23"/>
  <c r="J36" i="23"/>
  <c r="X84" i="23"/>
  <c r="W241" i="23"/>
  <c r="M126" i="23"/>
  <c r="C264" i="22"/>
  <c r="C268" i="22"/>
  <c r="E261" i="22"/>
  <c r="W84" i="23"/>
  <c r="Q120" i="23"/>
  <c r="Q127" i="23"/>
  <c r="U120" i="23"/>
  <c r="U127" i="23"/>
  <c r="G154" i="23"/>
  <c r="G195" i="23"/>
  <c r="D281" i="22"/>
  <c r="W125" i="23"/>
  <c r="G138" i="23"/>
  <c r="G198" i="23" s="1"/>
  <c r="G190" i="23"/>
  <c r="G255" i="23"/>
  <c r="G272" i="23" s="1"/>
  <c r="S18" i="25"/>
  <c r="S17" i="25"/>
  <c r="S34" i="25"/>
  <c r="W35" i="25"/>
  <c r="S20" i="25"/>
  <c r="L18" i="25"/>
  <c r="L34" i="25"/>
  <c r="P35" i="25"/>
  <c r="S21" i="25"/>
  <c r="G184" i="23"/>
  <c r="G249" i="23"/>
  <c r="G182" i="23"/>
  <c r="G247" i="23"/>
  <c r="W237" i="23"/>
  <c r="W208" i="23"/>
  <c r="W212" i="23" s="1"/>
  <c r="W242" i="23"/>
  <c r="W238" i="23"/>
  <c r="W234" i="23"/>
  <c r="W239" i="23"/>
  <c r="W233" i="23"/>
  <c r="W225" i="23"/>
  <c r="W226" i="23" s="1"/>
  <c r="W248" i="23"/>
  <c r="W235" i="23"/>
  <c r="R230" i="23"/>
  <c r="W245" i="23"/>
  <c r="W243" i="23"/>
  <c r="W26" i="23"/>
  <c r="W28" i="23"/>
  <c r="S19" i="25"/>
  <c r="J20" i="25"/>
  <c r="J17" i="25"/>
  <c r="J18" i="25"/>
  <c r="J19" i="25"/>
  <c r="J21" i="25"/>
  <c r="V230" i="23"/>
  <c r="T83" i="23"/>
  <c r="U83" i="23"/>
  <c r="V26" i="23"/>
  <c r="V28" i="23"/>
  <c r="D315" i="22"/>
  <c r="U72" i="23"/>
  <c r="U240" i="23"/>
  <c r="U230" i="23"/>
  <c r="T36" i="23"/>
  <c r="T25" i="23"/>
  <c r="W87" i="23" s="1"/>
  <c r="T46" i="23"/>
  <c r="T48" i="23"/>
  <c r="W48" i="23" s="1"/>
  <c r="S48" i="23"/>
  <c r="C344" i="22"/>
  <c r="S186" i="23"/>
  <c r="S123" i="23"/>
  <c r="S150" i="23"/>
  <c r="S128" i="23"/>
  <c r="S23" i="23"/>
  <c r="S83" i="23"/>
  <c r="S42" i="23"/>
  <c r="S44" i="23" s="1"/>
  <c r="V84" i="23" s="1"/>
  <c r="F152" i="23"/>
  <c r="F217" i="23" s="1"/>
  <c r="F219" i="23" s="1"/>
  <c r="F28" i="23"/>
  <c r="F26" i="23"/>
  <c r="F87" i="23"/>
  <c r="F181" i="23"/>
  <c r="F246" i="23"/>
  <c r="R36" i="23"/>
  <c r="R28" i="23"/>
  <c r="R26" i="23"/>
  <c r="Q147" i="23"/>
  <c r="Q98" i="23"/>
  <c r="Q28" i="23"/>
  <c r="Q26" i="23"/>
  <c r="Q181" i="23"/>
  <c r="Q246" i="23"/>
  <c r="P25" i="23"/>
  <c r="P28" i="23" s="1"/>
  <c r="O10" i="23"/>
  <c r="L19" i="25"/>
  <c r="L17" i="25"/>
  <c r="L20" i="25"/>
  <c r="L21" i="25"/>
  <c r="C13" i="25"/>
  <c r="C206" i="23"/>
  <c r="C207" i="23"/>
  <c r="C127" i="23"/>
  <c r="C96" i="23"/>
  <c r="C93" i="23"/>
  <c r="C63" i="23"/>
  <c r="C71" i="23"/>
  <c r="C70" i="23"/>
  <c r="C69" i="23"/>
  <c r="C67" i="23"/>
  <c r="D43" i="23"/>
  <c r="C43" i="23"/>
  <c r="AE143" i="23" l="1"/>
  <c r="AE203" i="23" s="1"/>
  <c r="AE188" i="23"/>
  <c r="AE135" i="23"/>
  <c r="AE132" i="23"/>
  <c r="AE192" i="23" s="1"/>
  <c r="AE153" i="23"/>
  <c r="AE196" i="23"/>
  <c r="AE152" i="23"/>
  <c r="AE217" i="23" s="1"/>
  <c r="AE219" i="23" s="1"/>
  <c r="AE215" i="23"/>
  <c r="AE218" i="23" s="1"/>
  <c r="AE270" i="23"/>
  <c r="AE267" i="23"/>
  <c r="AE253" i="23"/>
  <c r="AE266" i="23" s="1"/>
  <c r="C262" i="23"/>
  <c r="E156" i="22"/>
  <c r="E152" i="22" s="1"/>
  <c r="E160" i="22" s="1"/>
  <c r="E163" i="22" s="1"/>
  <c r="AA212" i="23"/>
  <c r="K149" i="22"/>
  <c r="C298" i="22"/>
  <c r="C299" i="22" s="1"/>
  <c r="E299" i="22" s="1"/>
  <c r="U262" i="23"/>
  <c r="W277" i="23"/>
  <c r="F270" i="23"/>
  <c r="F267" i="23"/>
  <c r="C258" i="23"/>
  <c r="C259" i="23"/>
  <c r="C374" i="22"/>
  <c r="E374" i="22" s="1"/>
  <c r="Q262" i="23"/>
  <c r="C341" i="22"/>
  <c r="S262" i="23"/>
  <c r="S277" i="23" s="1"/>
  <c r="J251" i="23"/>
  <c r="J186" i="23"/>
  <c r="H270" i="23"/>
  <c r="H267" i="23"/>
  <c r="C164" i="22"/>
  <c r="E164" i="22" s="1"/>
  <c r="C152" i="22"/>
  <c r="J152" i="23"/>
  <c r="J217" i="23" s="1"/>
  <c r="J215" i="23"/>
  <c r="AA226" i="23"/>
  <c r="H253" i="23"/>
  <c r="H277" i="23" s="1"/>
  <c r="H153" i="23"/>
  <c r="H196" i="23"/>
  <c r="H218" i="23"/>
  <c r="H152" i="23"/>
  <c r="H217" i="23" s="1"/>
  <c r="H219" i="23" s="1"/>
  <c r="H135" i="23"/>
  <c r="H143" i="23"/>
  <c r="H203" i="23" s="1"/>
  <c r="H132" i="23"/>
  <c r="H192" i="23" s="1"/>
  <c r="H188" i="23"/>
  <c r="F255" i="23"/>
  <c r="F272" i="23" s="1"/>
  <c r="F253" i="23"/>
  <c r="F132" i="23"/>
  <c r="F192" i="23" s="1"/>
  <c r="S190" i="23"/>
  <c r="F143" i="23"/>
  <c r="F203" i="23" s="1"/>
  <c r="F138" i="23"/>
  <c r="F198" i="23" s="1"/>
  <c r="F188" i="23"/>
  <c r="F190" i="23"/>
  <c r="F135" i="23"/>
  <c r="F154" i="23" s="1"/>
  <c r="J84" i="23"/>
  <c r="J46" i="23"/>
  <c r="F153" i="23"/>
  <c r="J28" i="23"/>
  <c r="J26" i="23"/>
  <c r="J87" i="23"/>
  <c r="U150" i="23"/>
  <c r="U251" i="23"/>
  <c r="U186" i="23"/>
  <c r="U128" i="23"/>
  <c r="C301" i="22"/>
  <c r="U123" i="23"/>
  <c r="C266" i="22"/>
  <c r="E266" i="22" s="1"/>
  <c r="E264" i="22"/>
  <c r="M127" i="23"/>
  <c r="M262" i="23" s="1"/>
  <c r="Q123" i="23"/>
  <c r="Q251" i="23"/>
  <c r="Q186" i="23"/>
  <c r="C377" i="22"/>
  <c r="Q128" i="23"/>
  <c r="Q150" i="23"/>
  <c r="T84" i="23"/>
  <c r="U84" i="23"/>
  <c r="U181" i="23"/>
  <c r="U73" i="23"/>
  <c r="U246" i="23"/>
  <c r="T26" i="23"/>
  <c r="T28" i="23"/>
  <c r="S215" i="23"/>
  <c r="S152" i="23"/>
  <c r="S217" i="23" s="1"/>
  <c r="S143" i="23"/>
  <c r="S203" i="23" s="1"/>
  <c r="S188" i="23"/>
  <c r="S46" i="23"/>
  <c r="S84" i="23"/>
  <c r="S49" i="23"/>
  <c r="S25" i="23"/>
  <c r="U87" i="23" s="1"/>
  <c r="S36" i="23"/>
  <c r="F247" i="23"/>
  <c r="F182" i="23"/>
  <c r="F75" i="23"/>
  <c r="O11" i="23"/>
  <c r="O18" i="23" s="1"/>
  <c r="R83" i="23" s="1"/>
  <c r="Q182" i="23"/>
  <c r="Q247" i="23"/>
  <c r="Q75" i="23"/>
  <c r="P26" i="23"/>
  <c r="C21" i="25"/>
  <c r="C20" i="25"/>
  <c r="C19" i="25"/>
  <c r="C18" i="25"/>
  <c r="C17" i="25"/>
  <c r="C405" i="22"/>
  <c r="C404" i="22"/>
  <c r="C400" i="22"/>
  <c r="C396" i="22"/>
  <c r="D127" i="23"/>
  <c r="C375" i="22" l="1"/>
  <c r="E375" i="22" s="1"/>
  <c r="AE277" i="23"/>
  <c r="AE269" i="23"/>
  <c r="AE195" i="23"/>
  <c r="AE154" i="23"/>
  <c r="AA123" i="23"/>
  <c r="AA188" i="23" s="1"/>
  <c r="AA251" i="23"/>
  <c r="C260" i="23"/>
  <c r="E298" i="22"/>
  <c r="Q253" i="23"/>
  <c r="J253" i="23"/>
  <c r="J277" i="23" s="1"/>
  <c r="U253" i="23"/>
  <c r="F266" i="23"/>
  <c r="F277" i="23"/>
  <c r="F269" i="23"/>
  <c r="E341" i="22"/>
  <c r="C342" i="22"/>
  <c r="E342" i="22" s="1"/>
  <c r="H266" i="23"/>
  <c r="H269" i="23"/>
  <c r="C160" i="22"/>
  <c r="H154" i="23"/>
  <c r="H195" i="23"/>
  <c r="H190" i="23"/>
  <c r="H138" i="23"/>
  <c r="H198" i="23" s="1"/>
  <c r="H255" i="23"/>
  <c r="H272" i="23" s="1"/>
  <c r="AA150" i="23"/>
  <c r="AA152" i="23" s="1"/>
  <c r="AA217" i="23" s="1"/>
  <c r="AA186" i="23"/>
  <c r="S37" i="25"/>
  <c r="S82" i="25" s="1"/>
  <c r="W128" i="23"/>
  <c r="AA128" i="23"/>
  <c r="F195" i="23"/>
  <c r="U79" i="23"/>
  <c r="U152" i="23"/>
  <c r="U217" i="23" s="1"/>
  <c r="U215" i="23"/>
  <c r="Q188" i="23"/>
  <c r="Q143" i="23"/>
  <c r="Q203" i="23" s="1"/>
  <c r="Q125" i="23"/>
  <c r="Q215" i="23"/>
  <c r="Q152" i="23"/>
  <c r="Q217" i="23" s="1"/>
  <c r="U188" i="23"/>
  <c r="U143" i="23"/>
  <c r="U203" i="23" s="1"/>
  <c r="U125" i="23"/>
  <c r="T87" i="23"/>
  <c r="V87" i="23"/>
  <c r="V85" i="23"/>
  <c r="U85" i="23"/>
  <c r="C300" i="22" s="1"/>
  <c r="U182" i="23"/>
  <c r="U75" i="23"/>
  <c r="U247" i="23"/>
  <c r="T85" i="23"/>
  <c r="S28" i="23"/>
  <c r="S26" i="23"/>
  <c r="S87" i="23"/>
  <c r="S85" i="23"/>
  <c r="C343" i="22" s="1"/>
  <c r="S58" i="23"/>
  <c r="S51" i="23"/>
  <c r="S163" i="23"/>
  <c r="S228" i="23"/>
  <c r="V264" i="23" s="1"/>
  <c r="F184" i="23"/>
  <c r="F249" i="23"/>
  <c r="O23" i="23"/>
  <c r="P83" i="23"/>
  <c r="Q83" i="23"/>
  <c r="Q249" i="23"/>
  <c r="Q184" i="23"/>
  <c r="O12" i="25"/>
  <c r="O11" i="25"/>
  <c r="O10" i="25"/>
  <c r="O9" i="25"/>
  <c r="O8" i="25"/>
  <c r="E13" i="25"/>
  <c r="D13" i="25"/>
  <c r="D18" i="25" s="1"/>
  <c r="D206" i="23"/>
  <c r="E206" i="23"/>
  <c r="E126" i="23" s="1"/>
  <c r="D207" i="23"/>
  <c r="D262" i="23" s="1"/>
  <c r="E207" i="23"/>
  <c r="D96" i="23"/>
  <c r="D93" i="23"/>
  <c r="E96" i="23"/>
  <c r="O96" i="23" s="1"/>
  <c r="E93" i="23"/>
  <c r="O93" i="23" s="1"/>
  <c r="D71" i="23"/>
  <c r="D70" i="23"/>
  <c r="D67" i="23"/>
  <c r="V272" i="23" l="1"/>
  <c r="V270" i="23"/>
  <c r="V267" i="23"/>
  <c r="V269" i="23"/>
  <c r="V266" i="23"/>
  <c r="AA253" i="23"/>
  <c r="S264" i="23"/>
  <c r="U264" i="23"/>
  <c r="U269" i="23" s="1"/>
  <c r="U277" i="23"/>
  <c r="E258" i="23"/>
  <c r="E259" i="23"/>
  <c r="Q277" i="23"/>
  <c r="D258" i="23"/>
  <c r="D259" i="23"/>
  <c r="C167" i="22"/>
  <c r="C163" i="22"/>
  <c r="S230" i="23"/>
  <c r="AA215" i="23"/>
  <c r="AA143" i="23"/>
  <c r="AA203" i="23" s="1"/>
  <c r="V136" i="23"/>
  <c r="V196" i="23" s="1"/>
  <c r="V133" i="23"/>
  <c r="V193" i="23" s="1"/>
  <c r="V138" i="23"/>
  <c r="V198" i="23" s="1"/>
  <c r="V132" i="23"/>
  <c r="V192" i="23" s="1"/>
  <c r="V135" i="23"/>
  <c r="V195" i="23" s="1"/>
  <c r="U255" i="23"/>
  <c r="U190" i="23"/>
  <c r="Q190" i="23"/>
  <c r="Q255" i="23"/>
  <c r="S165" i="23"/>
  <c r="S39" i="25"/>
  <c r="S83" i="25" s="1"/>
  <c r="E127" i="23"/>
  <c r="E262" i="23" s="1"/>
  <c r="E14" i="25"/>
  <c r="E34" i="25"/>
  <c r="T148" i="23"/>
  <c r="T149" i="23" s="1"/>
  <c r="C324" i="22"/>
  <c r="U140" i="23"/>
  <c r="U200" i="23" s="1"/>
  <c r="U148" i="23"/>
  <c r="U141" i="23"/>
  <c r="U201" i="23" s="1"/>
  <c r="U135" i="23"/>
  <c r="U136" i="23"/>
  <c r="U133" i="23"/>
  <c r="U193" i="23" s="1"/>
  <c r="U132" i="23"/>
  <c r="U192" i="23" s="1"/>
  <c r="U138" i="23"/>
  <c r="U198" i="23" s="1"/>
  <c r="U184" i="23"/>
  <c r="U249" i="23"/>
  <c r="E343" i="22"/>
  <c r="D337" i="22"/>
  <c r="D340" i="22"/>
  <c r="S141" i="23"/>
  <c r="S201" i="23" s="1"/>
  <c r="S140" i="23"/>
  <c r="S200" i="23" s="1"/>
  <c r="S148" i="23"/>
  <c r="S133" i="23"/>
  <c r="S193" i="23" s="1"/>
  <c r="S136" i="23"/>
  <c r="S138" i="23"/>
  <c r="S198" i="23" s="1"/>
  <c r="S132" i="23"/>
  <c r="S192" i="23" s="1"/>
  <c r="S135" i="23"/>
  <c r="S167" i="23"/>
  <c r="S232" i="23"/>
  <c r="S62" i="23"/>
  <c r="K393" i="22"/>
  <c r="O207" i="23"/>
  <c r="K394" i="22"/>
  <c r="O206" i="23"/>
  <c r="O126" i="23" s="1"/>
  <c r="O13" i="25"/>
  <c r="D17" i="25"/>
  <c r="E17" i="25"/>
  <c r="D19" i="25"/>
  <c r="D20" i="25"/>
  <c r="D21" i="25"/>
  <c r="E18" i="25"/>
  <c r="E21" i="25"/>
  <c r="E20" i="25"/>
  <c r="E19" i="25"/>
  <c r="U272" i="23" l="1"/>
  <c r="U266" i="23"/>
  <c r="E260" i="23"/>
  <c r="D260" i="23"/>
  <c r="O259" i="23"/>
  <c r="O258" i="23"/>
  <c r="U275" i="23"/>
  <c r="U274" i="23"/>
  <c r="U270" i="23"/>
  <c r="U267" i="23"/>
  <c r="S275" i="23"/>
  <c r="S274" i="23"/>
  <c r="S267" i="23"/>
  <c r="S270" i="23"/>
  <c r="S266" i="23"/>
  <c r="S272" i="23"/>
  <c r="S269" i="23"/>
  <c r="C165" i="22"/>
  <c r="E165" i="22" s="1"/>
  <c r="AA277" i="23"/>
  <c r="O127" i="23"/>
  <c r="O262" i="23" s="1"/>
  <c r="C407" i="22"/>
  <c r="E407" i="22" s="1"/>
  <c r="O34" i="25"/>
  <c r="S35" i="25"/>
  <c r="U196" i="23"/>
  <c r="U153" i="23"/>
  <c r="U154" i="23"/>
  <c r="U195" i="23"/>
  <c r="T213" i="23"/>
  <c r="U149" i="23"/>
  <c r="U213" i="23"/>
  <c r="E300" i="22"/>
  <c r="D294" i="22"/>
  <c r="D297" i="22"/>
  <c r="E324" i="22"/>
  <c r="D321" i="22"/>
  <c r="D323" i="22"/>
  <c r="E398" i="22"/>
  <c r="D357" i="22"/>
  <c r="S154" i="23"/>
  <c r="S195" i="23"/>
  <c r="S196" i="23"/>
  <c r="S153" i="23"/>
  <c r="S236" i="23"/>
  <c r="S66" i="23"/>
  <c r="U89" i="23" s="1"/>
  <c r="S171" i="23"/>
  <c r="S213" i="23"/>
  <c r="S149" i="23"/>
  <c r="P208" i="23"/>
  <c r="P212" i="23" s="1"/>
  <c r="Q208" i="23"/>
  <c r="Q212" i="23" s="1"/>
  <c r="D421" i="22"/>
  <c r="D389" i="22"/>
  <c r="D420" i="22"/>
  <c r="D422" i="22"/>
  <c r="E402" i="22"/>
  <c r="E399" i="22"/>
  <c r="E397" i="22"/>
  <c r="E405" i="22"/>
  <c r="E401" i="22"/>
  <c r="E404" i="22"/>
  <c r="E400" i="22"/>
  <c r="E396" i="22"/>
  <c r="O21" i="25"/>
  <c r="O19" i="25"/>
  <c r="O18" i="25"/>
  <c r="O20" i="25"/>
  <c r="O17" i="25"/>
  <c r="O260" i="23" l="1"/>
  <c r="T214" i="23"/>
  <c r="F297" i="22"/>
  <c r="F294" i="22"/>
  <c r="U218" i="23"/>
  <c r="U214" i="23"/>
  <c r="U219" i="23"/>
  <c r="F321" i="22"/>
  <c r="F323" i="22"/>
  <c r="S175" i="23"/>
  <c r="S72" i="23"/>
  <c r="S73" i="23" s="1"/>
  <c r="S240" i="23"/>
  <c r="S89" i="23"/>
  <c r="S214" i="23"/>
  <c r="S218" i="23"/>
  <c r="S219" i="23"/>
  <c r="D390" i="22"/>
  <c r="D423" i="22"/>
  <c r="E71" i="23"/>
  <c r="E245" i="23" s="1"/>
  <c r="E70" i="23"/>
  <c r="E69" i="23"/>
  <c r="E67" i="23"/>
  <c r="E176" i="23" s="1"/>
  <c r="D63" i="23"/>
  <c r="E63" i="23"/>
  <c r="E43" i="23"/>
  <c r="O43" i="23" s="1"/>
  <c r="E252" i="23"/>
  <c r="E248" i="23"/>
  <c r="E242" i="23"/>
  <c r="E239" i="23"/>
  <c r="E238" i="23"/>
  <c r="E235" i="23"/>
  <c r="E234" i="23"/>
  <c r="E233" i="23"/>
  <c r="E225" i="23"/>
  <c r="F226" i="23" s="1"/>
  <c r="E222" i="23"/>
  <c r="E211" i="23"/>
  <c r="E208" i="23"/>
  <c r="E187" i="23"/>
  <c r="E183" i="23"/>
  <c r="E177" i="23"/>
  <c r="E174" i="23"/>
  <c r="E173" i="23"/>
  <c r="E170" i="23"/>
  <c r="E169" i="23"/>
  <c r="E168" i="23"/>
  <c r="E160" i="23"/>
  <c r="F161" i="23" s="1"/>
  <c r="E157" i="23"/>
  <c r="E151" i="23"/>
  <c r="E216" i="23" s="1"/>
  <c r="E146" i="23"/>
  <c r="E130" i="23"/>
  <c r="E118" i="23"/>
  <c r="E117" i="23"/>
  <c r="E114" i="23"/>
  <c r="E109" i="23"/>
  <c r="E35" i="23" s="1"/>
  <c r="E97" i="23"/>
  <c r="E91" i="23"/>
  <c r="E86" i="23"/>
  <c r="E82" i="23"/>
  <c r="E147" i="23" s="1"/>
  <c r="E81" i="23"/>
  <c r="E56" i="23"/>
  <c r="E41" i="23"/>
  <c r="E33" i="23"/>
  <c r="E31" i="23"/>
  <c r="E12" i="23"/>
  <c r="E120" i="23" l="1"/>
  <c r="E123" i="23" s="1"/>
  <c r="F337" i="22"/>
  <c r="F340" i="22"/>
  <c r="S181" i="23"/>
  <c r="S246" i="23"/>
  <c r="E88" i="23"/>
  <c r="O63" i="23"/>
  <c r="E172" i="23"/>
  <c r="E241" i="23"/>
  <c r="O67" i="23"/>
  <c r="E243" i="23"/>
  <c r="O69" i="23"/>
  <c r="E244" i="23"/>
  <c r="O70" i="23"/>
  <c r="E180" i="23"/>
  <c r="O71" i="23"/>
  <c r="E39" i="23"/>
  <c r="E178" i="23"/>
  <c r="E179" i="23"/>
  <c r="E53" i="23"/>
  <c r="E237" i="23"/>
  <c r="E42" i="23"/>
  <c r="E44" i="23" s="1"/>
  <c r="E98" i="23"/>
  <c r="E128" i="23" l="1"/>
  <c r="S182" i="23"/>
  <c r="S247" i="23"/>
  <c r="S75" i="23"/>
  <c r="E84" i="23"/>
  <c r="F45" i="23"/>
  <c r="Q88" i="23"/>
  <c r="E143" i="23"/>
  <c r="E203" i="23" s="1"/>
  <c r="E251" i="23"/>
  <c r="E186" i="23"/>
  <c r="E150" i="23"/>
  <c r="E152" i="23" s="1"/>
  <c r="E217" i="23" s="1"/>
  <c r="E46" i="23"/>
  <c r="E83" i="23"/>
  <c r="E25" i="23"/>
  <c r="E28" i="23" s="1"/>
  <c r="E51" i="23"/>
  <c r="E228" i="23"/>
  <c r="E48" i="23"/>
  <c r="E163" i="23"/>
  <c r="E85" i="23"/>
  <c r="E58" i="23"/>
  <c r="M252" i="23"/>
  <c r="C252" i="23"/>
  <c r="D252" i="23"/>
  <c r="D151" i="23"/>
  <c r="C151" i="23"/>
  <c r="D114" i="23"/>
  <c r="E253" i="23" l="1"/>
  <c r="F229" i="23"/>
  <c r="E264" i="23"/>
  <c r="E267" i="23" s="1"/>
  <c r="E165" i="23"/>
  <c r="E39" i="25"/>
  <c r="E83" i="25" s="1"/>
  <c r="S184" i="23"/>
  <c r="S249" i="23"/>
  <c r="E215" i="23"/>
  <c r="C409" i="22"/>
  <c r="E409" i="22" s="1"/>
  <c r="E188" i="23"/>
  <c r="E125" i="23"/>
  <c r="O125" i="23" s="1"/>
  <c r="E36" i="23"/>
  <c r="E135" i="23"/>
  <c r="E195" i="23" s="1"/>
  <c r="E132" i="23"/>
  <c r="E192" i="23" s="1"/>
  <c r="E167" i="23"/>
  <c r="E232" i="23"/>
  <c r="E62" i="23"/>
  <c r="E141" i="23"/>
  <c r="E201" i="23" s="1"/>
  <c r="E140" i="23"/>
  <c r="E200" i="23" s="1"/>
  <c r="E148" i="23"/>
  <c r="E133" i="23"/>
  <c r="E193" i="23" s="1"/>
  <c r="E136" i="23"/>
  <c r="E230" i="23"/>
  <c r="E26" i="23"/>
  <c r="E87" i="23"/>
  <c r="E274" i="23" l="1"/>
  <c r="E275" i="23"/>
  <c r="E270" i="23"/>
  <c r="E269" i="23"/>
  <c r="E266" i="23"/>
  <c r="E277" i="23"/>
  <c r="E190" i="23"/>
  <c r="E255" i="23"/>
  <c r="E272" i="23" s="1"/>
  <c r="E138" i="23"/>
  <c r="E198" i="23" s="1"/>
  <c r="E154" i="23"/>
  <c r="E153" i="23"/>
  <c r="E196" i="23"/>
  <c r="E149" i="23"/>
  <c r="E236" i="23"/>
  <c r="E171" i="23"/>
  <c r="E66" i="23"/>
  <c r="E240" i="23" l="1"/>
  <c r="E89" i="23"/>
  <c r="E72" i="23"/>
  <c r="E175" i="23"/>
  <c r="E214" i="23"/>
  <c r="E218" i="23"/>
  <c r="E219" i="23"/>
  <c r="E73" i="23" l="1"/>
  <c r="E181" i="23"/>
  <c r="E246" i="23"/>
  <c r="E79" i="23" l="1"/>
  <c r="E75" i="23"/>
  <c r="E182" i="23"/>
  <c r="E247" i="23"/>
  <c r="E249" i="23" l="1"/>
  <c r="E184" i="23"/>
  <c r="N14" i="25"/>
  <c r="D14" i="25"/>
  <c r="C14" i="25"/>
  <c r="M14" i="25" l="1"/>
  <c r="L14" i="25"/>
  <c r="C423" i="22" l="1"/>
  <c r="O252" i="23"/>
  <c r="O151" i="23"/>
  <c r="L36" i="23"/>
  <c r="C118" i="23" l="1"/>
  <c r="C117" i="23"/>
  <c r="C114" i="23"/>
  <c r="C109" i="23"/>
  <c r="C35" i="23" s="1"/>
  <c r="D118" i="23"/>
  <c r="D117" i="23"/>
  <c r="D109" i="23"/>
  <c r="D35" i="23" s="1"/>
  <c r="M118" i="23"/>
  <c r="M117" i="23"/>
  <c r="M114" i="23"/>
  <c r="M109" i="23"/>
  <c r="D33" i="23"/>
  <c r="C33" i="23"/>
  <c r="N33" i="23"/>
  <c r="M33" i="23"/>
  <c r="L33" i="23"/>
  <c r="B33" i="23"/>
  <c r="M120" i="23" l="1"/>
  <c r="M123" i="23" s="1"/>
  <c r="C120" i="23"/>
  <c r="C128" i="23" s="1"/>
  <c r="D120" i="23"/>
  <c r="D128" i="23" s="1"/>
  <c r="D123" i="23" l="1"/>
  <c r="D125" i="23" s="1"/>
  <c r="C123" i="23"/>
  <c r="C125" i="23" s="1"/>
  <c r="M125" i="23"/>
  <c r="M128" i="23"/>
  <c r="O208" i="23"/>
  <c r="N208" i="23"/>
  <c r="M208" i="23"/>
  <c r="L208" i="23"/>
  <c r="D208" i="23"/>
  <c r="C208" i="23"/>
  <c r="AA190" i="23" l="1"/>
  <c r="W255" i="23"/>
  <c r="W190" i="23"/>
  <c r="M97" i="23"/>
  <c r="C97" i="23"/>
  <c r="D97" i="23"/>
  <c r="N42" i="23"/>
  <c r="M25" i="23"/>
  <c r="L25" i="23"/>
  <c r="L28" i="23" s="1"/>
  <c r="M28" i="23" l="1"/>
  <c r="L42" i="23"/>
  <c r="M42" i="23"/>
  <c r="N25" i="23"/>
  <c r="D31" i="23"/>
  <c r="C31" i="23"/>
  <c r="N31" i="23"/>
  <c r="M31" i="23"/>
  <c r="L31" i="23"/>
  <c r="N28" i="23" l="1"/>
  <c r="D83" i="23"/>
  <c r="D25" i="23"/>
  <c r="D28" i="23" s="1"/>
  <c r="D42" i="23"/>
  <c r="C25" i="23"/>
  <c r="C28" i="23" s="1"/>
  <c r="C83" i="23"/>
  <c r="C42" i="23"/>
  <c r="C36" i="23" l="1"/>
  <c r="D36" i="23"/>
  <c r="M36" i="23"/>
  <c r="N36" i="23"/>
  <c r="D12" i="23"/>
  <c r="N12" i="23"/>
  <c r="B31" i="23"/>
  <c r="C41" i="23"/>
  <c r="D41" i="23"/>
  <c r="L41" i="23"/>
  <c r="M41" i="23"/>
  <c r="N41" i="23"/>
  <c r="O41" i="23"/>
  <c r="C56" i="23"/>
  <c r="D56" i="23"/>
  <c r="L56" i="23"/>
  <c r="M56" i="23"/>
  <c r="N56" i="23"/>
  <c r="O56" i="23"/>
  <c r="L38" i="23"/>
  <c r="C39" i="23"/>
  <c r="D39" i="23"/>
  <c r="L39" i="23"/>
  <c r="M239" i="23"/>
  <c r="C179" i="23"/>
  <c r="C245" i="23"/>
  <c r="M180" i="23"/>
  <c r="C81" i="23"/>
  <c r="D81" i="23"/>
  <c r="L81" i="23"/>
  <c r="M81" i="23"/>
  <c r="N81" i="23"/>
  <c r="O81" i="23"/>
  <c r="B82" i="23"/>
  <c r="D82" i="23"/>
  <c r="D147" i="23" s="1"/>
  <c r="C86" i="23"/>
  <c r="D86" i="23"/>
  <c r="C91" i="23"/>
  <c r="D91" i="23"/>
  <c r="L91" i="23"/>
  <c r="M91" i="23"/>
  <c r="N91" i="23"/>
  <c r="O91" i="23"/>
  <c r="C130" i="23"/>
  <c r="D130" i="23"/>
  <c r="L130" i="23"/>
  <c r="M130" i="23"/>
  <c r="N130" i="23"/>
  <c r="O130" i="23"/>
  <c r="C146" i="23"/>
  <c r="D146" i="23"/>
  <c r="L146" i="23"/>
  <c r="M146" i="23"/>
  <c r="N146" i="23"/>
  <c r="O146" i="23"/>
  <c r="D216" i="23"/>
  <c r="C157" i="23"/>
  <c r="D157" i="23"/>
  <c r="L157" i="23"/>
  <c r="M157" i="23"/>
  <c r="N157" i="23"/>
  <c r="O157" i="23"/>
  <c r="B160" i="23"/>
  <c r="D160" i="23"/>
  <c r="E161" i="23" s="1"/>
  <c r="L160" i="23"/>
  <c r="N160" i="23"/>
  <c r="B163" i="23"/>
  <c r="B164" i="23"/>
  <c r="B165" i="23"/>
  <c r="B167" i="23"/>
  <c r="B168" i="23"/>
  <c r="B169" i="23"/>
  <c r="C169" i="23"/>
  <c r="D169" i="23"/>
  <c r="M169" i="23"/>
  <c r="B170" i="23"/>
  <c r="C170" i="23"/>
  <c r="D170" i="23"/>
  <c r="M170" i="23"/>
  <c r="B171" i="23"/>
  <c r="B172" i="23"/>
  <c r="B173" i="23"/>
  <c r="C173" i="23"/>
  <c r="D173" i="23"/>
  <c r="M173" i="23"/>
  <c r="B174" i="23"/>
  <c r="C174" i="23"/>
  <c r="D174" i="23"/>
  <c r="B175" i="23"/>
  <c r="B176" i="23"/>
  <c r="C176" i="23"/>
  <c r="D176" i="23"/>
  <c r="B177" i="23"/>
  <c r="C177" i="23"/>
  <c r="B178" i="23"/>
  <c r="C178" i="23"/>
  <c r="D178" i="23"/>
  <c r="B179" i="23"/>
  <c r="B180" i="23"/>
  <c r="B181" i="23"/>
  <c r="B182" i="23"/>
  <c r="B183" i="23"/>
  <c r="C183" i="23"/>
  <c r="D183" i="23"/>
  <c r="B184" i="23"/>
  <c r="B186" i="23"/>
  <c r="B187" i="23"/>
  <c r="C187" i="23"/>
  <c r="D187" i="23"/>
  <c r="M187" i="23"/>
  <c r="B188" i="23"/>
  <c r="B190" i="23"/>
  <c r="B192" i="23"/>
  <c r="B193" i="23"/>
  <c r="B195" i="23"/>
  <c r="B196" i="23"/>
  <c r="B198" i="23"/>
  <c r="B200" i="23"/>
  <c r="B201" i="23"/>
  <c r="B203" i="23"/>
  <c r="C211" i="23"/>
  <c r="D211" i="23"/>
  <c r="L211" i="23"/>
  <c r="M211" i="23"/>
  <c r="N211" i="23"/>
  <c r="O211" i="23"/>
  <c r="C222" i="23"/>
  <c r="D222" i="23"/>
  <c r="L222" i="23"/>
  <c r="M222" i="23"/>
  <c r="N222" i="23"/>
  <c r="O222" i="23"/>
  <c r="B225" i="23"/>
  <c r="D225" i="23"/>
  <c r="E226" i="23" s="1"/>
  <c r="L225" i="23"/>
  <c r="P226" i="23" s="1"/>
  <c r="N225" i="23"/>
  <c r="R226" i="23" s="1"/>
  <c r="B228" i="23"/>
  <c r="B229" i="23"/>
  <c r="B230" i="23"/>
  <c r="B232" i="23"/>
  <c r="B233" i="23"/>
  <c r="D233" i="23"/>
  <c r="B234" i="23"/>
  <c r="C234" i="23"/>
  <c r="D234" i="23"/>
  <c r="M234" i="23"/>
  <c r="B235" i="23"/>
  <c r="C235" i="23"/>
  <c r="D235" i="23"/>
  <c r="M235" i="23"/>
  <c r="B236" i="23"/>
  <c r="B237" i="23"/>
  <c r="B238" i="23"/>
  <c r="C238" i="23"/>
  <c r="D238" i="23"/>
  <c r="M238" i="23"/>
  <c r="B239" i="23"/>
  <c r="C239" i="23"/>
  <c r="D239" i="23"/>
  <c r="B240" i="23"/>
  <c r="B241" i="23"/>
  <c r="C241" i="23"/>
  <c r="B242" i="23"/>
  <c r="C242" i="23"/>
  <c r="B243" i="23"/>
  <c r="C243" i="23"/>
  <c r="D243" i="23"/>
  <c r="B244" i="23"/>
  <c r="C244" i="23"/>
  <c r="B245" i="23"/>
  <c r="B246" i="23"/>
  <c r="B247" i="23"/>
  <c r="B248" i="23"/>
  <c r="C248" i="23"/>
  <c r="D248" i="23"/>
  <c r="B249" i="23"/>
  <c r="B251" i="23"/>
  <c r="B252" i="23"/>
  <c r="B253" i="23"/>
  <c r="B255" i="23"/>
  <c r="B266" i="23"/>
  <c r="B267" i="23"/>
  <c r="B269" i="23"/>
  <c r="B270" i="23"/>
  <c r="B272" i="23"/>
  <c r="B274" i="23"/>
  <c r="B275" i="23"/>
  <c r="B277" i="23"/>
  <c r="O169" i="23" l="1"/>
  <c r="O173" i="23"/>
  <c r="O216" i="23"/>
  <c r="C180" i="23"/>
  <c r="O234" i="23"/>
  <c r="C233" i="23"/>
  <c r="C38" i="23"/>
  <c r="O170" i="23"/>
  <c r="D168" i="23"/>
  <c r="M183" i="23"/>
  <c r="O114" i="23"/>
  <c r="C403" i="22" s="1"/>
  <c r="D244" i="23"/>
  <c r="M174" i="23"/>
  <c r="D179" i="23"/>
  <c r="D241" i="23"/>
  <c r="O238" i="23"/>
  <c r="O235" i="23"/>
  <c r="D98" i="23"/>
  <c r="O97" i="23"/>
  <c r="O86" i="23"/>
  <c r="C54" i="23"/>
  <c r="C168" i="23"/>
  <c r="M241" i="23"/>
  <c r="M176" i="23"/>
  <c r="O118" i="23"/>
  <c r="M242" i="23"/>
  <c r="M177" i="23"/>
  <c r="M38" i="23"/>
  <c r="M39" i="23"/>
  <c r="C237" i="23"/>
  <c r="D172" i="23"/>
  <c r="O109" i="23"/>
  <c r="O35" i="23" s="1"/>
  <c r="O117" i="23"/>
  <c r="O120" i="23" s="1"/>
  <c r="M245" i="23"/>
  <c r="D177" i="23"/>
  <c r="D242" i="23"/>
  <c r="D245" i="23"/>
  <c r="D88" i="23"/>
  <c r="D237" i="23"/>
  <c r="D180" i="23"/>
  <c r="C172" i="23"/>
  <c r="C216" i="23"/>
  <c r="C88" i="23"/>
  <c r="D44" i="23"/>
  <c r="M243" i="23"/>
  <c r="M178" i="23"/>
  <c r="C53" i="23"/>
  <c r="C82" i="23"/>
  <c r="C147" i="23" s="1"/>
  <c r="C160" i="23"/>
  <c r="C225" i="23"/>
  <c r="C226" i="23" s="1"/>
  <c r="M54" i="23"/>
  <c r="M160" i="23"/>
  <c r="M225" i="23"/>
  <c r="Q226" i="23" s="1"/>
  <c r="L12" i="23"/>
  <c r="M244" i="23"/>
  <c r="O187" i="23"/>
  <c r="M179" i="23"/>
  <c r="M248" i="23"/>
  <c r="L54" i="23"/>
  <c r="L53" i="23"/>
  <c r="D53" i="23"/>
  <c r="E403" i="22" l="1"/>
  <c r="F403" i="22" s="1"/>
  <c r="C410" i="22"/>
  <c r="E50" i="23"/>
  <c r="E45" i="23"/>
  <c r="C406" i="22"/>
  <c r="E406" i="22" s="1"/>
  <c r="F406" i="22" s="1"/>
  <c r="D48" i="23"/>
  <c r="D58" i="23"/>
  <c r="D62" i="23" s="1"/>
  <c r="M251" i="23"/>
  <c r="M253" i="23" s="1"/>
  <c r="M186" i="23"/>
  <c r="N38" i="23"/>
  <c r="C98" i="23"/>
  <c r="M190" i="23"/>
  <c r="M188" i="23"/>
  <c r="M143" i="23"/>
  <c r="M203" i="23" s="1"/>
  <c r="M168" i="23"/>
  <c r="M233" i="23"/>
  <c r="N39" i="23"/>
  <c r="M172" i="23"/>
  <c r="M53" i="23"/>
  <c r="M237" i="23"/>
  <c r="D226" i="23"/>
  <c r="C186" i="23"/>
  <c r="C251" i="23"/>
  <c r="C150" i="23"/>
  <c r="D84" i="23"/>
  <c r="D46" i="23"/>
  <c r="D161" i="23"/>
  <c r="N44" i="23"/>
  <c r="C12" i="23"/>
  <c r="M12" i="23"/>
  <c r="N54" i="23"/>
  <c r="O242" i="23"/>
  <c r="O177" i="23"/>
  <c r="O174" i="23"/>
  <c r="O239" i="23"/>
  <c r="O178" i="23"/>
  <c r="O243" i="23"/>
  <c r="O183" i="23"/>
  <c r="O248" i="23"/>
  <c r="L44" i="23"/>
  <c r="L48" i="23" s="1"/>
  <c r="O241" i="23"/>
  <c r="O176" i="23"/>
  <c r="C253" i="23" l="1"/>
  <c r="E164" i="23"/>
  <c r="E38" i="25"/>
  <c r="N48" i="23"/>
  <c r="O123" i="23"/>
  <c r="O128" i="23"/>
  <c r="D66" i="23"/>
  <c r="D72" i="23" s="1"/>
  <c r="D73" i="23" s="1"/>
  <c r="D79" i="23" s="1"/>
  <c r="C408" i="22"/>
  <c r="E408" i="22" s="1"/>
  <c r="M255" i="23"/>
  <c r="D251" i="23"/>
  <c r="O168" i="23"/>
  <c r="O166" i="23" s="1"/>
  <c r="O233" i="23"/>
  <c r="D186" i="23"/>
  <c r="D150" i="23"/>
  <c r="O186" i="23"/>
  <c r="O251" i="23"/>
  <c r="O150" i="23"/>
  <c r="D85" i="23"/>
  <c r="D228" i="23"/>
  <c r="D264" i="23" s="1"/>
  <c r="D51" i="23"/>
  <c r="D165" i="23" s="1"/>
  <c r="D163" i="23"/>
  <c r="C188" i="23"/>
  <c r="C143" i="23"/>
  <c r="C203" i="23" s="1"/>
  <c r="C215" i="23"/>
  <c r="C152" i="23"/>
  <c r="C217" i="23" s="1"/>
  <c r="O180" i="23"/>
  <c r="O245" i="23"/>
  <c r="N53" i="23"/>
  <c r="L46" i="23"/>
  <c r="O179" i="23"/>
  <c r="O244" i="23"/>
  <c r="C44" i="23"/>
  <c r="D190" i="23"/>
  <c r="D255" i="23"/>
  <c r="N46" i="23"/>
  <c r="M44" i="23"/>
  <c r="C277" i="23" l="1"/>
  <c r="D274" i="23"/>
  <c r="D275" i="23"/>
  <c r="D272" i="23"/>
  <c r="D253" i="23"/>
  <c r="D270" i="23"/>
  <c r="D267" i="23"/>
  <c r="O253" i="23"/>
  <c r="M48" i="23"/>
  <c r="AA48" i="23" s="1"/>
  <c r="C58" i="23"/>
  <c r="C62" i="23" s="1"/>
  <c r="C66" i="23" s="1"/>
  <c r="C72" i="23" s="1"/>
  <c r="C73" i="23" s="1"/>
  <c r="C79" i="23" s="1"/>
  <c r="C48" i="23"/>
  <c r="D230" i="23"/>
  <c r="E229" i="23"/>
  <c r="D132" i="23"/>
  <c r="D192" i="23" s="1"/>
  <c r="D135" i="23"/>
  <c r="D143" i="23"/>
  <c r="D203" i="23" s="1"/>
  <c r="D188" i="23"/>
  <c r="N228" i="23"/>
  <c r="N51" i="23"/>
  <c r="N163" i="23"/>
  <c r="R164" i="23" s="1"/>
  <c r="L163" i="23"/>
  <c r="P164" i="23" s="1"/>
  <c r="L51" i="23"/>
  <c r="L228" i="23"/>
  <c r="O88" i="23"/>
  <c r="D215" i="23"/>
  <c r="D152" i="23"/>
  <c r="D217" i="23" s="1"/>
  <c r="D141" i="23"/>
  <c r="D201" i="23" s="1"/>
  <c r="D148" i="23"/>
  <c r="D140" i="23"/>
  <c r="D200" i="23" s="1"/>
  <c r="D133" i="23"/>
  <c r="D193" i="23" s="1"/>
  <c r="D136" i="23"/>
  <c r="O188" i="23"/>
  <c r="O143" i="23"/>
  <c r="O203" i="23" s="1"/>
  <c r="D232" i="23"/>
  <c r="D167" i="23"/>
  <c r="D138" i="23"/>
  <c r="O215" i="23"/>
  <c r="O152" i="23"/>
  <c r="O217" i="23" s="1"/>
  <c r="C255" i="23"/>
  <c r="C190" i="23"/>
  <c r="O237" i="23"/>
  <c r="O172" i="23"/>
  <c r="C46" i="23"/>
  <c r="D45" i="23"/>
  <c r="C84" i="23"/>
  <c r="O255" i="23"/>
  <c r="O190" i="23"/>
  <c r="M46" i="23"/>
  <c r="P229" i="23" l="1"/>
  <c r="O277" i="23"/>
  <c r="D269" i="23"/>
  <c r="D266" i="23"/>
  <c r="D277" i="23"/>
  <c r="N230" i="23"/>
  <c r="R229" i="23"/>
  <c r="AA58" i="23"/>
  <c r="AA85" i="23"/>
  <c r="C166" i="22" s="1"/>
  <c r="E166" i="22" s="1"/>
  <c r="AA163" i="23"/>
  <c r="AE164" i="23" s="1"/>
  <c r="AA228" i="23"/>
  <c r="AE229" i="23" s="1"/>
  <c r="AA51" i="23"/>
  <c r="N165" i="23"/>
  <c r="N39" i="25"/>
  <c r="N83" i="25" s="1"/>
  <c r="L165" i="23"/>
  <c r="L39" i="25"/>
  <c r="L83" i="25" s="1"/>
  <c r="O48" i="23"/>
  <c r="W49" i="23"/>
  <c r="D75" i="23"/>
  <c r="C228" i="23"/>
  <c r="C51" i="23"/>
  <c r="C165" i="23" s="1"/>
  <c r="C164" i="23"/>
  <c r="C163" i="23"/>
  <c r="C85" i="23"/>
  <c r="D50" i="23"/>
  <c r="D164" i="23" s="1"/>
  <c r="D198" i="23"/>
  <c r="L230" i="23"/>
  <c r="D171" i="23"/>
  <c r="D236" i="23"/>
  <c r="D154" i="23"/>
  <c r="D195" i="23"/>
  <c r="D149" i="23"/>
  <c r="D196" i="23"/>
  <c r="D153" i="23"/>
  <c r="AC264" i="23" l="1"/>
  <c r="AC275" i="23" s="1"/>
  <c r="AD264" i="23"/>
  <c r="AC274" i="23"/>
  <c r="AC272" i="23"/>
  <c r="AC270" i="23"/>
  <c r="AC267" i="23"/>
  <c r="AC269" i="23"/>
  <c r="AC266" i="23"/>
  <c r="AB264" i="23"/>
  <c r="AA264" i="23"/>
  <c r="AA275" i="23"/>
  <c r="AA274" i="23"/>
  <c r="D160" i="22"/>
  <c r="D163" i="22"/>
  <c r="D229" i="23"/>
  <c r="C264" i="23"/>
  <c r="AA165" i="23"/>
  <c r="AA39" i="25"/>
  <c r="AA83" i="25" s="1"/>
  <c r="AA230" i="23"/>
  <c r="W50" i="23"/>
  <c r="AA50" i="23"/>
  <c r="AA140" i="23"/>
  <c r="AA200" i="23" s="1"/>
  <c r="AA141" i="23"/>
  <c r="AA201" i="23" s="1"/>
  <c r="AA148" i="23"/>
  <c r="AA136" i="23"/>
  <c r="AA133" i="23"/>
  <c r="AA193" i="23" s="1"/>
  <c r="AA132" i="23"/>
  <c r="AA192" i="23" s="1"/>
  <c r="AA135" i="23"/>
  <c r="AA138" i="23"/>
  <c r="AA198" i="23" s="1"/>
  <c r="AA232" i="23"/>
  <c r="AA167" i="23"/>
  <c r="AA62" i="23"/>
  <c r="Z85" i="23"/>
  <c r="J48" i="23"/>
  <c r="Y85" i="23"/>
  <c r="J228" i="23"/>
  <c r="X85" i="23"/>
  <c r="W37" i="25"/>
  <c r="AA38" i="25" s="1"/>
  <c r="W228" i="23"/>
  <c r="W58" i="23"/>
  <c r="W51" i="23"/>
  <c r="W163" i="23"/>
  <c r="W164" i="23" s="1"/>
  <c r="W85" i="23"/>
  <c r="C267" i="22" s="1"/>
  <c r="C75" i="23"/>
  <c r="C76" i="23" s="1"/>
  <c r="C78" i="23" s="1"/>
  <c r="C132" i="23"/>
  <c r="C192" i="23" s="1"/>
  <c r="C135" i="23"/>
  <c r="C195" i="23" s="1"/>
  <c r="C148" i="23"/>
  <c r="C149" i="23" s="1"/>
  <c r="C167" i="23"/>
  <c r="C230" i="23"/>
  <c r="C229" i="23"/>
  <c r="C232" i="23"/>
  <c r="C136" i="23"/>
  <c r="C196" i="23" s="1"/>
  <c r="C133" i="23"/>
  <c r="C193" i="23" s="1"/>
  <c r="C140" i="23"/>
  <c r="C200" i="23" s="1"/>
  <c r="C141" i="23"/>
  <c r="C201" i="23" s="1"/>
  <c r="C138" i="23"/>
  <c r="C171" i="23"/>
  <c r="C236" i="23"/>
  <c r="D214" i="23"/>
  <c r="D218" i="23"/>
  <c r="D219" i="23"/>
  <c r="D240" i="23"/>
  <c r="D175" i="23"/>
  <c r="D89" i="23"/>
  <c r="AD267" i="23" l="1"/>
  <c r="AD270" i="23"/>
  <c r="AD269" i="23"/>
  <c r="AD266" i="23"/>
  <c r="AD272" i="23"/>
  <c r="X133" i="23"/>
  <c r="X193" i="23" s="1"/>
  <c r="X135" i="23"/>
  <c r="X195" i="23" s="1"/>
  <c r="X138" i="23"/>
  <c r="X198" i="23" s="1"/>
  <c r="X136" i="23"/>
  <c r="X196" i="23" s="1"/>
  <c r="X132" i="23"/>
  <c r="X192" i="23" s="1"/>
  <c r="Z264" i="23"/>
  <c r="Y264" i="23"/>
  <c r="X264" i="23"/>
  <c r="AA272" i="23"/>
  <c r="AA270" i="23"/>
  <c r="AA267" i="23"/>
  <c r="AA269" i="23"/>
  <c r="AA266" i="23"/>
  <c r="AB267" i="23"/>
  <c r="AB272" i="23"/>
  <c r="AB270" i="23"/>
  <c r="AB269" i="23"/>
  <c r="AB266" i="23"/>
  <c r="J230" i="23"/>
  <c r="J264" i="23"/>
  <c r="F160" i="22"/>
  <c r="F163" i="22"/>
  <c r="C274" i="23"/>
  <c r="C275" i="23"/>
  <c r="C270" i="23"/>
  <c r="C267" i="23"/>
  <c r="C269" i="23"/>
  <c r="C266" i="23"/>
  <c r="C272" i="23"/>
  <c r="W264" i="23"/>
  <c r="W230" i="23"/>
  <c r="W229" i="23"/>
  <c r="AA229" i="23"/>
  <c r="AA164" i="23"/>
  <c r="AA154" i="23"/>
  <c r="AA195" i="23"/>
  <c r="Z133" i="23"/>
  <c r="Z193" i="23" s="1"/>
  <c r="Z136" i="23"/>
  <c r="Z148" i="23"/>
  <c r="C196" i="22"/>
  <c r="Z132" i="23"/>
  <c r="Z192" i="23" s="1"/>
  <c r="Z135" i="23"/>
  <c r="Z138" i="23"/>
  <c r="Z198" i="23" s="1"/>
  <c r="AA153" i="23"/>
  <c r="AA196" i="23"/>
  <c r="AA236" i="23"/>
  <c r="AA66" i="23"/>
  <c r="AC89" i="23" s="1"/>
  <c r="AA171" i="23"/>
  <c r="AA149" i="23"/>
  <c r="AA213" i="23"/>
  <c r="C222" i="22"/>
  <c r="D219" i="22" s="1"/>
  <c r="Y148" i="23"/>
  <c r="J51" i="23"/>
  <c r="J165" i="23" s="1"/>
  <c r="J163" i="23"/>
  <c r="J85" i="23"/>
  <c r="Y141" i="23"/>
  <c r="Y201" i="23" s="1"/>
  <c r="Y140" i="23"/>
  <c r="Y200" i="23" s="1"/>
  <c r="Y136" i="23"/>
  <c r="Y133" i="23"/>
  <c r="Y193" i="23" s="1"/>
  <c r="Y132" i="23"/>
  <c r="Y192" i="23" s="1"/>
  <c r="Y135" i="23"/>
  <c r="Y138" i="23"/>
  <c r="Y198" i="23" s="1"/>
  <c r="X148" i="23"/>
  <c r="X213" i="23" s="1"/>
  <c r="C246" i="22"/>
  <c r="E267" i="22"/>
  <c r="D261" i="22"/>
  <c r="D264" i="22"/>
  <c r="W165" i="23"/>
  <c r="W39" i="25"/>
  <c r="W83" i="25" s="1"/>
  <c r="W82" i="25"/>
  <c r="W38" i="25"/>
  <c r="W132" i="23"/>
  <c r="W192" i="23" s="1"/>
  <c r="W135" i="23"/>
  <c r="W141" i="23"/>
  <c r="W201" i="23" s="1"/>
  <c r="W136" i="23"/>
  <c r="W140" i="23"/>
  <c r="W200" i="23" s="1"/>
  <c r="W148" i="23"/>
  <c r="W133" i="23"/>
  <c r="W193" i="23" s="1"/>
  <c r="W138" i="23"/>
  <c r="W198" i="23" s="1"/>
  <c r="W62" i="23"/>
  <c r="W66" i="23" s="1"/>
  <c r="W232" i="23"/>
  <c r="W167" i="23"/>
  <c r="D76" i="23"/>
  <c r="E76" i="23" s="1"/>
  <c r="S76" i="23" s="1"/>
  <c r="D403" i="22"/>
  <c r="D406" i="22"/>
  <c r="C153" i="23"/>
  <c r="C154" i="23"/>
  <c r="C198" i="23"/>
  <c r="C89" i="23"/>
  <c r="C240" i="23"/>
  <c r="C175" i="23"/>
  <c r="D181" i="23"/>
  <c r="D246" i="23"/>
  <c r="X149" i="23" l="1"/>
  <c r="J132" i="23"/>
  <c r="J192" i="23" s="1"/>
  <c r="J141" i="23"/>
  <c r="J201" i="23" s="1"/>
  <c r="J140" i="23"/>
  <c r="J200" i="23" s="1"/>
  <c r="J275" i="23"/>
  <c r="J274" i="23"/>
  <c r="X272" i="23"/>
  <c r="X270" i="23"/>
  <c r="X269" i="23"/>
  <c r="X266" i="23"/>
  <c r="X267" i="23"/>
  <c r="X218" i="23"/>
  <c r="X219" i="23"/>
  <c r="Z272" i="23"/>
  <c r="Z270" i="23"/>
  <c r="Z267" i="23"/>
  <c r="Z266" i="23"/>
  <c r="Z269" i="23"/>
  <c r="Y272" i="23"/>
  <c r="Y270" i="23"/>
  <c r="Y267" i="23"/>
  <c r="Y266" i="23"/>
  <c r="Y269" i="23"/>
  <c r="W275" i="23"/>
  <c r="W274" i="23"/>
  <c r="W267" i="23"/>
  <c r="W270" i="23"/>
  <c r="W266" i="23"/>
  <c r="W269" i="23"/>
  <c r="W272" i="23"/>
  <c r="Y275" i="23"/>
  <c r="Y274" i="23"/>
  <c r="J272" i="23"/>
  <c r="J270" i="23"/>
  <c r="J267" i="23"/>
  <c r="J266" i="23"/>
  <c r="J269" i="23"/>
  <c r="E222" i="22"/>
  <c r="F216" i="22" s="1"/>
  <c r="D216" i="22"/>
  <c r="J148" i="23"/>
  <c r="J149" i="23" s="1"/>
  <c r="J135" i="23"/>
  <c r="J138" i="23"/>
  <c r="J198" i="23" s="1"/>
  <c r="J136" i="23"/>
  <c r="J133" i="23"/>
  <c r="J193" i="23" s="1"/>
  <c r="AA240" i="23"/>
  <c r="AA72" i="23"/>
  <c r="AA73" i="23" s="1"/>
  <c r="AA175" i="23"/>
  <c r="AA89" i="23"/>
  <c r="E196" i="22"/>
  <c r="D190" i="22"/>
  <c r="D193" i="22"/>
  <c r="Z149" i="23"/>
  <c r="Z213" i="23"/>
  <c r="Y213" i="23"/>
  <c r="Y149" i="23"/>
  <c r="Z153" i="23"/>
  <c r="Z196" i="23"/>
  <c r="AA214" i="23"/>
  <c r="AA218" i="23"/>
  <c r="AA219" i="23"/>
  <c r="Z154" i="23"/>
  <c r="Z195" i="23"/>
  <c r="Y153" i="23"/>
  <c r="Y196" i="23"/>
  <c r="Y154" i="23"/>
  <c r="Y195" i="23"/>
  <c r="W72" i="23"/>
  <c r="W73" i="23" s="1"/>
  <c r="Y89" i="23"/>
  <c r="D245" i="22"/>
  <c r="D243" i="22"/>
  <c r="E246" i="22"/>
  <c r="X214" i="23"/>
  <c r="F261" i="22"/>
  <c r="F264" i="22"/>
  <c r="W236" i="23"/>
  <c r="W171" i="23"/>
  <c r="W213" i="23"/>
  <c r="W149" i="23"/>
  <c r="W153" i="23"/>
  <c r="W196" i="23"/>
  <c r="W195" i="23"/>
  <c r="W154" i="23"/>
  <c r="E78" i="23"/>
  <c r="F76" i="23"/>
  <c r="D78" i="23"/>
  <c r="C219" i="23"/>
  <c r="C218" i="23"/>
  <c r="C214" i="23"/>
  <c r="D184" i="23"/>
  <c r="C181" i="23"/>
  <c r="C246" i="23"/>
  <c r="D182" i="23"/>
  <c r="D247" i="23"/>
  <c r="J247" i="23" l="1"/>
  <c r="J182" i="23"/>
  <c r="J219" i="23"/>
  <c r="F219" i="22"/>
  <c r="J195" i="23"/>
  <c r="J154" i="23"/>
  <c r="J218" i="23"/>
  <c r="J196" i="23"/>
  <c r="J153" i="23"/>
  <c r="F190" i="22"/>
  <c r="F193" i="22"/>
  <c r="AA181" i="23"/>
  <c r="AA246" i="23"/>
  <c r="AA75" i="23"/>
  <c r="Z214" i="23"/>
  <c r="Z218" i="23"/>
  <c r="Z219" i="23"/>
  <c r="Y214" i="23"/>
  <c r="Y218" i="23"/>
  <c r="Y219" i="23"/>
  <c r="F245" i="22"/>
  <c r="F243" i="22"/>
  <c r="F78" i="23"/>
  <c r="G76" i="23"/>
  <c r="W218" i="23"/>
  <c r="W219" i="23"/>
  <c r="W214" i="23"/>
  <c r="W175" i="23"/>
  <c r="W240" i="23"/>
  <c r="W89" i="23"/>
  <c r="S78" i="23"/>
  <c r="U76" i="23"/>
  <c r="U78" i="23" s="1"/>
  <c r="D249" i="23"/>
  <c r="C247" i="23"/>
  <c r="C182" i="23"/>
  <c r="J249" i="23" l="1"/>
  <c r="J184" i="23"/>
  <c r="J214" i="23"/>
  <c r="G78" i="23"/>
  <c r="H76" i="23"/>
  <c r="I76" i="23" s="1"/>
  <c r="I78" i="23" s="1"/>
  <c r="AA249" i="23"/>
  <c r="AA184" i="23"/>
  <c r="AA182" i="23"/>
  <c r="AA247" i="23"/>
  <c r="W246" i="23"/>
  <c r="W181" i="23"/>
  <c r="C184" i="23"/>
  <c r="C249" i="23"/>
  <c r="H78" i="23" l="1"/>
  <c r="W182" i="23"/>
  <c r="W247" i="23"/>
  <c r="W75" i="23"/>
  <c r="L26" i="23"/>
  <c r="M26" i="23"/>
  <c r="N26" i="23"/>
  <c r="C87" i="23"/>
  <c r="D26" i="23"/>
  <c r="W76" i="23" l="1"/>
  <c r="W249" i="23"/>
  <c r="W184" i="23"/>
  <c r="D87" i="23"/>
  <c r="C26" i="23"/>
  <c r="M228" i="23"/>
  <c r="Q229" i="23" l="1"/>
  <c r="M264" i="23"/>
  <c r="W78" i="23"/>
  <c r="Y76" i="23"/>
  <c r="M230" i="23"/>
  <c r="M163" i="23"/>
  <c r="Q164" i="23" s="1"/>
  <c r="M51" i="23"/>
  <c r="Y78" i="23" l="1"/>
  <c r="AA76" i="23"/>
  <c r="M165" i="23"/>
  <c r="M39" i="25"/>
  <c r="M83" i="25" s="1"/>
  <c r="M62" i="23"/>
  <c r="M232" i="23"/>
  <c r="M167" i="23"/>
  <c r="AA78" i="23" l="1"/>
  <c r="J76" i="23"/>
  <c r="AC76" i="23"/>
  <c r="M66" i="23"/>
  <c r="M171" i="23"/>
  <c r="M236" i="23"/>
  <c r="AC78" i="23" l="1"/>
  <c r="AE76" i="23"/>
  <c r="AE78" i="23" s="1"/>
  <c r="M240" i="23"/>
  <c r="M72" i="23"/>
  <c r="M73" i="23" s="1"/>
  <c r="M175" i="23"/>
  <c r="M79" i="23" l="1"/>
  <c r="M246" i="23"/>
  <c r="M181" i="23"/>
  <c r="M75" i="23" l="1"/>
  <c r="M247" i="23"/>
  <c r="M182" i="23"/>
  <c r="M76" i="23" l="1"/>
  <c r="M78" i="23" s="1"/>
  <c r="M249" i="23"/>
  <c r="M184" i="23"/>
  <c r="O33" i="23"/>
  <c r="O38" i="23"/>
  <c r="O160" i="23"/>
  <c r="O31" i="23"/>
  <c r="O54" i="23"/>
  <c r="O39" i="23"/>
  <c r="O53" i="23"/>
  <c r="O14" i="25"/>
  <c r="O225" i="23"/>
  <c r="S226" i="23" s="1"/>
  <c r="O82" i="23"/>
  <c r="O98" i="23" s="1"/>
  <c r="O12" i="23"/>
  <c r="O147" i="23" l="1"/>
  <c r="O83" i="23" l="1"/>
  <c r="O42" i="23"/>
  <c r="O44" i="23" s="1"/>
  <c r="R84" i="23" s="1"/>
  <c r="O212" i="23"/>
  <c r="Q84" i="23" l="1"/>
  <c r="P84" i="23"/>
  <c r="O46" i="23"/>
  <c r="O84" i="23"/>
  <c r="O49" i="23"/>
  <c r="O36" i="23"/>
  <c r="O25" i="23"/>
  <c r="R87" i="23" s="1"/>
  <c r="O37" i="25" l="1"/>
  <c r="O82" i="25" s="1"/>
  <c r="S50" i="23"/>
  <c r="R85" i="23"/>
  <c r="O28" i="23"/>
  <c r="P87" i="23"/>
  <c r="Q87" i="23"/>
  <c r="P85" i="23"/>
  <c r="P148" i="23" s="1"/>
  <c r="Q85" i="23"/>
  <c r="O58" i="23"/>
  <c r="O85" i="23"/>
  <c r="O87" i="23"/>
  <c r="O26" i="23"/>
  <c r="O228" i="23"/>
  <c r="O163" i="23"/>
  <c r="S164" i="23" s="1"/>
  <c r="O51" i="23"/>
  <c r="S229" i="23" l="1"/>
  <c r="Q264" i="23"/>
  <c r="O264" i="23"/>
  <c r="S38" i="25"/>
  <c r="O165" i="23"/>
  <c r="O39" i="25"/>
  <c r="O83" i="25" s="1"/>
  <c r="P149" i="23"/>
  <c r="P213" i="23"/>
  <c r="C376" i="22"/>
  <c r="Q141" i="23"/>
  <c r="Q201" i="23" s="1"/>
  <c r="Q148" i="23"/>
  <c r="Q140" i="23"/>
  <c r="Q200" i="23" s="1"/>
  <c r="Q136" i="23"/>
  <c r="Q132" i="23"/>
  <c r="Q192" i="23" s="1"/>
  <c r="Q135" i="23"/>
  <c r="Q133" i="23"/>
  <c r="Q193" i="23" s="1"/>
  <c r="Q138" i="23"/>
  <c r="Q198" i="23" s="1"/>
  <c r="O148" i="23"/>
  <c r="O132" i="23"/>
  <c r="O192" i="23" s="1"/>
  <c r="O141" i="23"/>
  <c r="O201" i="23" s="1"/>
  <c r="O140" i="23"/>
  <c r="O200" i="23" s="1"/>
  <c r="O138" i="23"/>
  <c r="O198" i="23" s="1"/>
  <c r="O136" i="23"/>
  <c r="O135" i="23"/>
  <c r="O133" i="23"/>
  <c r="O193" i="23" s="1"/>
  <c r="O167" i="23"/>
  <c r="O62" i="23"/>
  <c r="O66" i="23" s="1"/>
  <c r="Q89" i="23" s="1"/>
  <c r="O232" i="23"/>
  <c r="O230" i="23"/>
  <c r="O275" i="23" l="1"/>
  <c r="O274" i="23"/>
  <c r="O267" i="23"/>
  <c r="O270" i="23"/>
  <c r="O269" i="23"/>
  <c r="O272" i="23"/>
  <c r="O266" i="23"/>
  <c r="Q275" i="23"/>
  <c r="Q274" i="23"/>
  <c r="Q267" i="23"/>
  <c r="Q270" i="23"/>
  <c r="Q266" i="23"/>
  <c r="Q269" i="23"/>
  <c r="Q272" i="23"/>
  <c r="Q196" i="23"/>
  <c r="Q153" i="23"/>
  <c r="P214" i="23"/>
  <c r="P218" i="23"/>
  <c r="P219" i="23"/>
  <c r="Q154" i="23"/>
  <c r="Q195" i="23"/>
  <c r="Q213" i="23"/>
  <c r="Q149" i="23"/>
  <c r="D370" i="22"/>
  <c r="D373" i="22"/>
  <c r="E376" i="22"/>
  <c r="O196" i="23"/>
  <c r="O153" i="23"/>
  <c r="O213" i="23"/>
  <c r="O149" i="23"/>
  <c r="O195" i="23"/>
  <c r="O154" i="23"/>
  <c r="O171" i="23"/>
  <c r="O89" i="23"/>
  <c r="O236" i="23"/>
  <c r="Q214" i="23" l="1"/>
  <c r="Q218" i="23"/>
  <c r="Q219" i="23"/>
  <c r="F370" i="22"/>
  <c r="F373" i="22"/>
  <c r="O218" i="23"/>
  <c r="O219" i="23"/>
  <c r="O214" i="23"/>
  <c r="O175" i="23"/>
  <c r="O72" i="23"/>
  <c r="O240" i="23"/>
  <c r="O73" i="23" l="1"/>
  <c r="O246" i="23"/>
  <c r="O181" i="23"/>
  <c r="O182" i="23" l="1"/>
  <c r="O247" i="23"/>
  <c r="O75" i="23"/>
  <c r="O76" i="23" s="1"/>
  <c r="O78" i="23" l="1"/>
  <c r="Q76" i="23"/>
  <c r="Q78" i="23" s="1"/>
  <c r="O184" i="23"/>
  <c r="O249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Bharath Pradeep</author>
    <author>CRISIL GR&amp;RS</author>
  </authors>
  <commentList>
    <comment ref="K5" authorId="0" shapeId="0" xr:uid="{886C4151-F96B-431B-9C19-AEAED1BFE4C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K6" authorId="0" shapeId="0" xr:uid="{E03E805E-CDB0-4F8C-B689-B7422314319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K43" authorId="0" shapeId="0" xr:uid="{51418EEC-3B7C-45DC-A7C6-7D105D62CC6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K44" authorId="0" shapeId="0" xr:uid="{823F0B27-58B0-457E-8F00-BCCCCCE237B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C62" authorId="0" shapeId="0" xr:uid="{6A22A836-1321-4363-814B-9B40743D5DA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n/a in report</t>
        </r>
      </text>
    </comment>
    <comment ref="K79" authorId="0" shapeId="0" xr:uid="{5A6D030F-081E-4E23-AC20-424273CFD90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K80" authorId="0" shapeId="0" xr:uid="{D6EF1E19-A115-4ACE-A81F-F5D6F60831B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C98" authorId="0" shapeId="0" xr:uid="{4BC856B5-A31E-4FB7-947F-F9E78FE2FFF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n/a in report</t>
        </r>
      </text>
    </comment>
    <comment ref="K114" authorId="0" shapeId="0" xr:uid="{93F7EC82-737B-4C89-9B00-9E63956E1C9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C115" authorId="0" shapeId="0" xr:uid="{700D7DBF-0171-4FA8-B305-59850A41298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Data NA in quarterly basis</t>
        </r>
      </text>
    </comment>
    <comment ref="K115" authorId="0" shapeId="0" xr:uid="{55EE2A1A-EDC6-47F6-B497-EEA090B5B98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D133" authorId="0" shapeId="0" xr:uid="{4EA6B85C-48ED-4D9D-B56D-76232CEDD68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 (Perpetual bonds which are considered as Equity have not been included for prepayment incase company exercise the option in FY25 )</t>
        </r>
      </text>
    </comment>
    <comment ref="D134" authorId="0" shapeId="0" xr:uid="{C2572551-D804-479D-9337-D239C6CE6E78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retained FY25 values as 1Q26 data Not disclosed</t>
        </r>
      </text>
    </comment>
    <comment ref="K151" authorId="0" shapeId="0" xr:uid="{84BB1947-820E-46A0-8F34-262239C938F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K152" authorId="0" shapeId="0" xr:uid="{BA7E7D1B-420A-4D23-A8ED-B47D47E0D4C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C155" authorId="1" shapeId="0" xr:uid="{F761FB72-EF7F-453C-B395-73B6D384F367}">
      <text>
        <r>
          <rPr>
            <sz val="9"/>
            <color indexed="81"/>
            <rFont val="Tahoma"/>
            <family val="2"/>
          </rPr>
          <t>Annual report not available</t>
        </r>
      </text>
    </comment>
    <comment ref="D170" authorId="0" shapeId="0" xr:uid="{EA035321-0532-4FFD-9D1F-96BB1FA9DD9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 (Perpetual bonds which are considered as Equity have not been included for prepayment incase company exercise the option in FY25 )</t>
        </r>
      </text>
    </comment>
    <comment ref="C194" authorId="0" shapeId="0" xr:uid="{DF61A9BB-DCE9-4997-AF1D-E786C7009B2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Assumed from 2Q25 as data is not provided for 3Q25</t>
        </r>
      </text>
    </comment>
    <comment ref="C211" authorId="1" shapeId="0" xr:uid="{FA3A99A2-2264-442E-9D03-CA4C4F9D0DAE}">
      <text>
        <r>
          <rPr>
            <sz val="9"/>
            <color indexed="81"/>
            <rFont val="Tahoma"/>
            <family val="2"/>
          </rPr>
          <t>Annual report not available</t>
        </r>
      </text>
    </comment>
    <comment ref="B241" authorId="2" shapeId="0" xr:uid="{9A2605CF-B2FD-44EF-9445-9F5808E8161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Taken from PPT</t>
        </r>
      </text>
    </comment>
    <comment ref="C256" authorId="1" shapeId="0" xr:uid="{11054A3C-F48F-4D0F-AFDC-AF0B01EFB05B}">
      <text>
        <r>
          <rPr>
            <sz val="9"/>
            <color indexed="81"/>
            <rFont val="Tahoma"/>
            <family val="2"/>
          </rPr>
          <t>Annual report not available</t>
        </r>
      </text>
    </comment>
    <comment ref="C290" authorId="1" shapeId="0" xr:uid="{6CA5D6DA-7424-4EFA-B740-0105D43654A3}">
      <text>
        <r>
          <rPr>
            <sz val="9"/>
            <color indexed="81"/>
            <rFont val="Tahoma"/>
            <family val="2"/>
          </rPr>
          <t>Annual report not available</t>
        </r>
      </text>
    </comment>
    <comment ref="B319" authorId="2" shapeId="0" xr:uid="{6FF7FA57-E584-4209-90F5-694D3FB01B09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Taken from PPT</t>
        </r>
      </text>
    </comment>
    <comment ref="C333" authorId="1" shapeId="0" xr:uid="{23B2F870-40AA-464C-BDED-7C7C9584DA15}">
      <text>
        <r>
          <rPr>
            <sz val="9"/>
            <color indexed="81"/>
            <rFont val="Tahoma"/>
            <family val="2"/>
          </rPr>
          <t>Annual report not available</t>
        </r>
      </text>
    </comment>
    <comment ref="C366" authorId="1" shapeId="0" xr:uid="{1278B014-FC95-46C7-8E52-22ECA47532E2}">
      <text>
        <r>
          <rPr>
            <sz val="9"/>
            <color indexed="81"/>
            <rFont val="Tahoma"/>
            <family val="2"/>
          </rPr>
          <t>Annual report not available</t>
        </r>
      </text>
    </comment>
    <comment ref="C399" authorId="1" shapeId="0" xr:uid="{00000000-0006-0000-0000-000001000000}">
      <text>
        <r>
          <rPr>
            <sz val="9"/>
            <color indexed="81"/>
            <rFont val="Tahoma"/>
            <family val="2"/>
          </rPr>
          <t>Annual report not available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Bharath Pradeep</author>
    <author>CRISIL GR&amp;RS</author>
    <author>CRISIL</author>
    <author>Nayeem Shakir</author>
  </authors>
  <commentList>
    <comment ref="B49" authorId="0" shapeId="0" xr:uid="{00000000-0006-0000-0100-000001000000}">
      <text>
        <r>
          <rPr>
            <sz val="9"/>
            <color indexed="81"/>
            <rFont val="Tahoma"/>
            <family val="2"/>
          </rPr>
          <t>Reported EBITDA is used</t>
        </r>
      </text>
    </comment>
    <comment ref="M56" authorId="1" shapeId="0" xr:uid="{93FE9927-D08F-47C7-9C00-78525225884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O56" authorId="1" shapeId="0" xr:uid="{39DD71E5-72D0-4E9B-AEB8-8052DF0AF78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Q56" authorId="1" shapeId="0" xr:uid="{7387D750-B06E-423D-9F69-3BCCE08E88A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S56" authorId="1" shapeId="0" xr:uid="{F66EAF04-565F-4605-8084-044F01E24C4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U56" authorId="1" shapeId="0" xr:uid="{0CFF877F-08BB-4CF0-B912-4285DD0E6925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W56" authorId="1" shapeId="0" xr:uid="{CD3F679F-65EF-4431-B11C-DB37D9A8F0AD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Y56" authorId="1" shapeId="0" xr:uid="{2D2E2DC9-DE63-4D4B-ABCA-C2940E5FFD9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AA56" authorId="1" shapeId="0" xr:uid="{90BD3CFB-59B6-4745-8B35-18C307B628FE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AC56" authorId="1" shapeId="0" xr:uid="{54003F3D-9981-49BD-9497-A7AADCD4ECE3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AE56" authorId="1" shapeId="0" xr:uid="{51678A55-5B04-4971-8D45-037E5F5B178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6M numbers</t>
        </r>
      </text>
    </comment>
    <comment ref="B59" authorId="2" shapeId="0" xr:uid="{8D0D28B5-8215-4F86-B35B-63D18731481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Reported by company as working capital adjustments</t>
        </r>
      </text>
    </comment>
    <comment ref="AC65" authorId="2" shapeId="0" xr:uid="{0355A4CD-C08F-45AB-A121-FA2E90FC9E0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Payment of deferred liabilities </t>
        </r>
      </text>
    </comment>
    <comment ref="AC67" authorId="2" shapeId="0" xr:uid="{D99B8931-F8C5-4FEB-9F5B-29357E1EF3B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6M inlcudes:
* Investment in associates and joint ventures : (9)
* Purchase of non current investments : (2)
* Proceeds from sale of non current investments : 26
* Purchase of current investments (net) : (278)
* Sundry loans (given)/ received back : 39
* (Investment in)/Proceeds from Fixed deposit and margin money, earmarked balances with bank: (35)
* Dividend received from associates and joint ventures : 151
* Interest received: 345 
</t>
        </r>
      </text>
    </comment>
    <comment ref="B78" authorId="0" shapeId="0" xr:uid="{00000000-0006-0000-0100-000002000000}">
      <text>
        <r>
          <rPr>
            <sz val="9"/>
            <color indexed="81"/>
            <rFont val="Tahoma"/>
            <family val="2"/>
          </rPr>
          <t>Adjusted for bank balance other than cash and cash equivalents</t>
        </r>
      </text>
    </comment>
    <comment ref="B93" authorId="0" shapeId="0" xr:uid="{00000000-0006-0000-0100-000003000000}">
      <text>
        <r>
          <rPr>
            <sz val="9"/>
            <color indexed="81"/>
            <rFont val="Tahoma"/>
            <family val="2"/>
          </rPr>
          <t>Includes PPE, Capital WIP and Right of use assets</t>
        </r>
      </text>
    </comment>
    <comment ref="AD94" authorId="2" shapeId="0" xr:uid="{4FCD9098-B31A-4CB7-A9DE-55D6933E4C9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H100" authorId="2" shapeId="0" xr:uid="{29FEFE8C-1FC8-4A71-B64D-3FA67A64379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I100" authorId="2" shapeId="0" xr:uid="{62548972-4691-4E01-B1B7-90A1BE78B240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C100" authorId="2" shapeId="0" xr:uid="{E4D9FE48-A846-44B7-9559-A9D8D2E379E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D100" authorId="2" shapeId="0" xr:uid="{7FB8B927-F2C5-427B-9953-8CDF4429554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E119" authorId="0" shapeId="0" xr:uid="{00000000-0006-0000-0100-000004000000}">
      <text>
        <r>
          <rPr>
            <sz val="9"/>
            <color indexed="81"/>
            <rFont val="Tahoma"/>
            <family val="2"/>
          </rPr>
          <t>To be updated from annual report</t>
        </r>
      </text>
    </comment>
    <comment ref="F119" authorId="0" shapeId="0" xr:uid="{7E3B345C-F151-408B-B76E-919D3B6CE2DF}">
      <text>
        <r>
          <rPr>
            <sz val="9"/>
            <color indexed="81"/>
            <rFont val="Tahoma"/>
            <family val="2"/>
          </rPr>
          <t>To be updated from annual report</t>
        </r>
      </text>
    </comment>
    <comment ref="H119" authorId="0" shapeId="0" xr:uid="{85897BAF-A454-4D7C-9CE3-466B7240170D}">
      <text>
        <r>
          <rPr>
            <sz val="9"/>
            <color indexed="81"/>
            <rFont val="Tahoma"/>
            <family val="2"/>
          </rPr>
          <t>from ppt</t>
        </r>
      </text>
    </comment>
    <comment ref="I119" authorId="0" shapeId="0" xr:uid="{F024E2CE-FC49-4167-8484-CA2DB36DD13B}">
      <text>
        <r>
          <rPr>
            <sz val="9"/>
            <color indexed="81"/>
            <rFont val="Tahoma"/>
            <family val="2"/>
          </rPr>
          <t>from ppt</t>
        </r>
      </text>
    </comment>
    <comment ref="Z119" authorId="2" shapeId="0" xr:uid="{F9B277F6-5F1D-4D52-B59B-EF48B0F1E75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C119" authorId="2" shapeId="0" xr:uid="{804176AE-6305-4160-8D10-174A8D1B2A1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non-recourse receivables </t>
        </r>
      </text>
    </comment>
    <comment ref="AD119" authorId="2" shapeId="0" xr:uid="{0010073E-001A-411A-94FE-71140A4EC8A8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non-recourse receivables </t>
        </r>
      </text>
    </comment>
    <comment ref="T120" authorId="1" shapeId="0" xr:uid="{477AF29C-5DCC-4DA9-B8F3-BEA54F7D146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X120" authorId="1" shapeId="0" xr:uid="{2B8DA9D4-C51E-4D6E-9989-D21F91981CE6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B120" authorId="1" shapeId="0" xr:uid="{A5B74D82-B95A-4CA3-958E-5AC6E867F29B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B121" authorId="0" shapeId="0" xr:uid="{00000000-0006-0000-0100-000005000000}">
      <text>
        <r>
          <rPr>
            <sz val="9"/>
            <color indexed="81"/>
            <rFont val="Tahoma"/>
            <family val="2"/>
          </rPr>
          <t>Includes bank balances other than cash and cash equivalents</t>
        </r>
      </text>
    </comment>
    <comment ref="Z121" authorId="2" shapeId="0" xr:uid="{08579F06-56CD-4654-AC49-B0E991E07CEE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C121" authorId="2" shapeId="0" xr:uid="{69EBB649-6FD3-4FAB-8E83-BF7E6264CD2C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D121" authorId="2" shapeId="0" xr:uid="{6807001A-10DB-49A1-B622-BB6EF49DA39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Z122" authorId="2" shapeId="0" xr:uid="{1F1F9159-4CE5-4E5C-B62B-D1DF04162069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AD122" authorId="2" shapeId="0" xr:uid="{CC58E60D-0EF0-4D3A-9D45-2A769BA27CC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</t>
        </r>
      </text>
    </comment>
    <comment ref="F125" authorId="2" shapeId="0" xr:uid="{E541C430-B4C3-4706-8A22-E609D320131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G125" authorId="2" shapeId="0" xr:uid="{C73C1BB0-729F-47F9-810A-D60B252AA49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H125" authorId="2" shapeId="0" xr:uid="{481BBF09-7013-46A7-A66D-66BCB38E9ED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
Restated in FY26</t>
        </r>
      </text>
    </comment>
    <comment ref="I125" authorId="2" shapeId="0" xr:uid="{55F620A9-2E73-456C-B8A3-B477AFA17C3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It does not include factoring, hybrid and lease liabilities</t>
        </r>
      </text>
    </comment>
    <comment ref="AC125" authorId="2" shapeId="0" xr:uid="{E87E59F9-3F86-4776-9EE7-41757F541BEB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PR (excludues leases)</t>
        </r>
      </text>
    </comment>
    <comment ref="AD125" authorId="2" shapeId="0" xr:uid="{63BEFD09-6E2F-4E99-AC69-F7213A1B665A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from PR (excludues leases)</t>
        </r>
      </text>
    </comment>
    <comment ref="E126" authorId="1" shapeId="0" xr:uid="{0E581F14-62F5-4A58-9909-F1A36C85EE61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annual report
</t>
        </r>
      </text>
    </comment>
    <comment ref="F126" authorId="1" shapeId="0" xr:uid="{26D6A91B-D206-48F6-B21D-BF7A1D3A3374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From annual report
</t>
        </r>
      </text>
    </comment>
    <comment ref="G126" authorId="3" shapeId="0" xr:uid="{F8B7670F-F9DD-4093-B902-9982528830B2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Non-controlling interests- Perpetual Subordinated Capital Securities</t>
        </r>
      </text>
    </comment>
    <comment ref="H126" authorId="3" shapeId="0" xr:uid="{41FD6981-7D09-40F5-B54E-6CB89DCFA895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 filings: Non-controlling interests- Perpetual Subordinated Capital Securities</t>
        </r>
      </text>
    </comment>
    <comment ref="I126" authorId="3" shapeId="0" xr:uid="{5E95F0B1-4780-4D9B-8070-7E3B226E2AF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FS filings: Non-controlling interests- Perpetual Subordinated Capital Securities</t>
        </r>
      </text>
    </comment>
    <comment ref="C207" authorId="0" shapeId="0" xr:uid="{00000000-0006-0000-0100-000007000000}">
      <text>
        <r>
          <rPr>
            <sz val="9"/>
            <color indexed="81"/>
            <rFont val="Tahoma"/>
            <family val="2"/>
          </rPr>
          <t>Obtained from xe.com</t>
        </r>
      </text>
    </comment>
    <comment ref="L207" authorId="0" shapeId="0" xr:uid="{00000000-0006-0000-0100-000008000000}">
      <text>
        <r>
          <rPr>
            <sz val="9"/>
            <color indexed="81"/>
            <rFont val="Tahoma"/>
            <family val="2"/>
          </rPr>
          <t>Obtained from xe.com</t>
        </r>
      </text>
    </comment>
    <comment ref="P207" authorId="0" shapeId="0" xr:uid="{BC6C0156-B701-4E93-8B56-38C25AA1642A}">
      <text>
        <r>
          <rPr>
            <sz val="9"/>
            <color indexed="81"/>
            <rFont val="Tahoma"/>
            <family val="2"/>
          </rPr>
          <t>Obtained from presentation</t>
        </r>
      </text>
    </comment>
    <comment ref="T207" authorId="0" shapeId="0" xr:uid="{2BAD09DC-A402-456B-9575-F5AD6569D958}">
      <text>
        <r>
          <rPr>
            <sz val="9"/>
            <color indexed="81"/>
            <rFont val="Tahoma"/>
            <family val="2"/>
          </rPr>
          <t>Obtained from presentation</t>
        </r>
      </text>
    </comment>
    <comment ref="X207" authorId="0" shapeId="0" xr:uid="{6E709455-5D7D-410E-96CE-AFFF354AF52D}">
      <text>
        <r>
          <rPr>
            <sz val="9"/>
            <color indexed="81"/>
            <rFont val="Tahoma"/>
            <family val="2"/>
          </rPr>
          <t>Obtained from presentation</t>
        </r>
      </text>
    </comment>
    <comment ref="AB207" authorId="0" shapeId="0" xr:uid="{0EF33A46-505B-4F93-82F9-7C4363A8AA8F}">
      <text>
        <r>
          <rPr>
            <sz val="9"/>
            <color indexed="81"/>
            <rFont val="Tahoma"/>
            <family val="2"/>
          </rPr>
          <t>Obtained from presentation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CRISIL</author>
    <author>Bharath Pradeep</author>
    <author>CRISIL GR&amp;RS</author>
  </authors>
  <commentList>
    <comment ref="H8" authorId="0" shapeId="0" xr:uid="{A0A7A5A6-125A-47AE-BF63-5384C40228BB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PR</t>
        </r>
      </text>
    </comment>
    <comment ref="I8" authorId="0" shapeId="0" xr:uid="{A2925720-0D5C-408B-8A03-6AE409E16A77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PR</t>
        </r>
      </text>
    </comment>
    <comment ref="AC8" authorId="0" shapeId="0" xr:uid="{0E69924C-9D08-40D4-A7FB-28F57615090D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PR</t>
        </r>
      </text>
    </comment>
    <comment ref="AD8" authorId="0" shapeId="0" xr:uid="{80A17EA2-73AA-4130-9B02-96DC00A715AF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PR</t>
        </r>
      </text>
    </comment>
    <comment ref="D14" authorId="1" shapeId="0" xr:uid="{00000000-0006-0000-0200-000001000000}">
      <text>
        <r>
          <rPr>
            <sz val="9"/>
            <color indexed="81"/>
            <rFont val="Tahoma"/>
            <family val="2"/>
          </rPr>
          <t>Error in rounding</t>
        </r>
      </text>
    </comment>
    <comment ref="F14" authorId="2" shapeId="0" xr:uid="{5F583114-4D26-43C4-AD16-591CE67D1A58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G14" authorId="2" shapeId="0" xr:uid="{DF5C6457-4287-4E7D-AF7E-3916EE49A020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H14" authorId="2" shapeId="0" xr:uid="{1BA3F5E3-E2BB-4EE7-A83B-916025743F9F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I14" authorId="2" shapeId="0" xr:uid="{7E687DB9-77EB-436F-8CDA-DF65DEB10757}">
      <text>
        <r>
          <rPr>
            <b/>
            <sz val="9"/>
            <color indexed="81"/>
            <rFont val="Tahoma"/>
            <family val="2"/>
          </rPr>
          <t>CRISIL GR&amp;RS:</t>
        </r>
        <r>
          <rPr>
            <sz val="9"/>
            <color indexed="81"/>
            <rFont val="Tahoma"/>
            <family val="2"/>
          </rPr>
          <t xml:space="preserve">
Rounding off error</t>
        </r>
      </text>
    </comment>
    <comment ref="L14" authorId="1" shapeId="0" xr:uid="{00000000-0006-0000-0200-000002000000}">
      <text>
        <r>
          <rPr>
            <sz val="9"/>
            <color indexed="81"/>
            <rFont val="Tahoma"/>
            <family val="2"/>
          </rPr>
          <t>Rounding error</t>
        </r>
      </text>
    </comment>
    <comment ref="N14" authorId="1" shapeId="0" xr:uid="{00000000-0006-0000-0200-000003000000}">
      <text>
        <r>
          <rPr>
            <sz val="9"/>
            <color indexed="81"/>
            <rFont val="Tahoma"/>
            <family val="2"/>
          </rPr>
          <t>Rounding error</t>
        </r>
      </text>
    </comment>
    <comment ref="P14" authorId="1" shapeId="0" xr:uid="{925AA552-6467-419F-BE49-89F2603400F2}">
      <text>
        <r>
          <rPr>
            <sz val="9"/>
            <color indexed="81"/>
            <rFont val="Tahoma"/>
            <family val="2"/>
          </rPr>
          <t>Rounding error</t>
        </r>
      </text>
    </comment>
    <comment ref="R14" authorId="1" shapeId="0" xr:uid="{94C5EBC7-6526-4475-9801-3E875612B3BA}">
      <text>
        <r>
          <rPr>
            <sz val="9"/>
            <color indexed="81"/>
            <rFont val="Tahoma"/>
            <family val="2"/>
          </rPr>
          <t>Rounding error</t>
        </r>
      </text>
    </comment>
    <comment ref="S14" authorId="1" shapeId="0" xr:uid="{9C8DC254-4F2F-4974-8FC8-8F1AC135B02C}">
      <text>
        <r>
          <rPr>
            <sz val="9"/>
            <color indexed="81"/>
            <rFont val="Tahoma"/>
            <family val="2"/>
          </rPr>
          <t>Rounding error</t>
        </r>
      </text>
    </comment>
    <comment ref="T14" authorId="1" shapeId="0" xr:uid="{A1D46BFD-C905-45A0-933C-3FA4C4036A85}">
      <text>
        <r>
          <rPr>
            <sz val="9"/>
            <color indexed="81"/>
            <rFont val="Tahoma"/>
            <family val="2"/>
          </rPr>
          <t>Rounding error</t>
        </r>
      </text>
    </comment>
    <comment ref="V14" authorId="1" shapeId="0" xr:uid="{D4A99C13-39F4-4A30-B106-C660D11CEF3B}">
      <text>
        <r>
          <rPr>
            <sz val="9"/>
            <color indexed="81"/>
            <rFont val="Tahoma"/>
            <family val="2"/>
          </rPr>
          <t>Rounding error</t>
        </r>
      </text>
    </comment>
    <comment ref="W14" authorId="1" shapeId="0" xr:uid="{CDB31E78-1764-4CDE-80FD-2163539A6CFF}">
      <text>
        <r>
          <rPr>
            <sz val="9"/>
            <color indexed="81"/>
            <rFont val="Tahoma"/>
            <family val="2"/>
          </rPr>
          <t>Rounding error</t>
        </r>
      </text>
    </comment>
    <comment ref="X14" authorId="1" shapeId="0" xr:uid="{D40212FD-452C-4EE9-9A76-F56A1CE68458}">
      <text>
        <r>
          <rPr>
            <sz val="9"/>
            <color indexed="81"/>
            <rFont val="Tahoma"/>
            <family val="2"/>
          </rPr>
          <t>Rounding error</t>
        </r>
      </text>
    </comment>
    <comment ref="Z14" authorId="1" shapeId="0" xr:uid="{3088A559-3794-4A1C-BCAA-3B1FDC65AF29}">
      <text>
        <r>
          <rPr>
            <sz val="9"/>
            <color indexed="81"/>
            <rFont val="Tahoma"/>
            <family val="2"/>
          </rPr>
          <t>Rounding error</t>
        </r>
      </text>
    </comment>
    <comment ref="AA14" authorId="1" shapeId="0" xr:uid="{D19AA9BB-92DF-4287-B75E-EA670757D729}">
      <text>
        <r>
          <rPr>
            <sz val="9"/>
            <color indexed="81"/>
            <rFont val="Tahoma"/>
            <family val="2"/>
          </rPr>
          <t>Rounding error</t>
        </r>
      </text>
    </comment>
    <comment ref="AB14" authorId="1" shapeId="0" xr:uid="{3F3821FE-7B57-42C4-956A-6C62C046BD88}">
      <text>
        <r>
          <rPr>
            <sz val="9"/>
            <color indexed="81"/>
            <rFont val="Tahoma"/>
            <family val="2"/>
          </rPr>
          <t>Rounding error</t>
        </r>
      </text>
    </comment>
    <comment ref="AD14" authorId="1" shapeId="0" xr:uid="{48DEB52B-67B0-4A4A-9389-CC43CF341506}">
      <text>
        <r>
          <rPr>
            <sz val="9"/>
            <color indexed="81"/>
            <rFont val="Tahoma"/>
            <family val="2"/>
          </rPr>
          <t>Rounding error</t>
        </r>
      </text>
    </comment>
    <comment ref="AE14" authorId="1" shapeId="0" xr:uid="{C2582319-9901-484E-9335-16EDE9C59FC0}">
      <text>
        <r>
          <rPr>
            <sz val="9"/>
            <color indexed="81"/>
            <rFont val="Tahoma"/>
            <family val="2"/>
          </rPr>
          <t>Rounding error</t>
        </r>
      </text>
    </comment>
    <comment ref="H32" authorId="0" shapeId="0" xr:uid="{15070F7A-7A8F-460E-AA95-CBC26F1F5E33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 (charts)</t>
        </r>
      </text>
    </comment>
    <comment ref="I32" authorId="0" shapeId="0" xr:uid="{D9A91F99-85D9-4ADF-A4B2-2CD069485BDA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 (charts)</t>
        </r>
      </text>
    </comment>
    <comment ref="AA32" authorId="0" shapeId="0" xr:uid="{0F157C06-0707-402F-86E2-515A87661F61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 (charts)</t>
        </r>
      </text>
    </comment>
    <comment ref="AC32" authorId="0" shapeId="0" xr:uid="{30627E75-EB5A-438E-B9D1-A72D6A3CB606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 , pg 7/51</t>
        </r>
      </text>
    </comment>
    <comment ref="AD32" authorId="0" shapeId="0" xr:uid="{B26E12EF-6809-460E-B887-4D52B0911A24}">
      <text>
        <r>
          <rPr>
            <b/>
            <sz val="9"/>
            <color indexed="81"/>
            <rFont val="Tahoma"/>
            <family val="2"/>
          </rPr>
          <t>CRISIL:</t>
        </r>
        <r>
          <rPr>
            <sz val="9"/>
            <color indexed="81"/>
            <rFont val="Tahoma"/>
            <family val="2"/>
          </rPr>
          <t xml:space="preserve">
from ppt , pg 6/40</t>
        </r>
      </text>
    </comment>
    <comment ref="AE32" authorId="0" shapeId="0" xr:uid="{3EB73331-09A7-4F42-B5AD-7BBB9A82AE5A}">
      <text>
        <r>
          <rPr>
            <b/>
            <sz val="9"/>
            <color indexed="81"/>
            <rFont val="Tahoma"/>
            <charset val="1"/>
          </rPr>
          <t>CRISIL:</t>
        </r>
        <r>
          <rPr>
            <sz val="9"/>
            <color indexed="81"/>
            <rFont val="Tahoma"/>
            <charset val="1"/>
          </rPr>
          <t xml:space="preserve">
Data NA</t>
        </r>
      </text>
    </comment>
  </commentList>
</comments>
</file>

<file path=xl/sharedStrings.xml><?xml version="1.0" encoding="utf-8"?>
<sst xmlns="http://schemas.openxmlformats.org/spreadsheetml/2006/main" count="950" uniqueCount="308">
  <si>
    <t>4Q26</t>
  </si>
  <si>
    <t>Exchange rate as at end 4Q26</t>
  </si>
  <si>
    <t>Average Exchange rate of 4Q26</t>
  </si>
  <si>
    <t>Debt Breakdown as on 31-Mar-2026</t>
  </si>
  <si>
    <t>INR mn</t>
  </si>
  <si>
    <t xml:space="preserve">Leverage </t>
  </si>
  <si>
    <t>USD mn</t>
  </si>
  <si>
    <t>Company Reported</t>
  </si>
  <si>
    <t>Loans</t>
  </si>
  <si>
    <t>Gross Debt</t>
  </si>
  <si>
    <t>Current</t>
  </si>
  <si>
    <t>Cash and cash equivalent</t>
  </si>
  <si>
    <t>Non current</t>
  </si>
  <si>
    <t>Net debt</t>
  </si>
  <si>
    <t>Receivable factoring</t>
  </si>
  <si>
    <t>Net debt / EBITDA</t>
  </si>
  <si>
    <t>1.6x</t>
  </si>
  <si>
    <t>50% of Hybrid</t>
  </si>
  <si>
    <t>Operating lease liabilities</t>
  </si>
  <si>
    <t>Total Loans &amp; Borrowings</t>
  </si>
  <si>
    <t>Cash and Cash Equivalents</t>
  </si>
  <si>
    <t>Investments</t>
  </si>
  <si>
    <t>Equity</t>
  </si>
  <si>
    <t xml:space="preserve">Total Capitalisation </t>
  </si>
  <si>
    <t>LTM Adjusted EBITDA</t>
  </si>
  <si>
    <t>check</t>
  </si>
  <si>
    <r>
      <t>LT Debt Maturity Breakdown at 4Q26</t>
    </r>
    <r>
      <rPr>
        <b/>
        <sz val="10"/>
        <color rgb="FFFF0000"/>
        <rFont val="Calibri"/>
        <family val="2"/>
        <scheme val="minor"/>
      </rPr>
      <t xml:space="preserve"> (from BBG)</t>
    </r>
  </si>
  <si>
    <t>Total</t>
  </si>
  <si>
    <t>3Q26</t>
  </si>
  <si>
    <t>Exchange rate as at end 3Q26</t>
  </si>
  <si>
    <t>Average Exchange rate of 3Q26</t>
  </si>
  <si>
    <t>Debt Breakdown as on 31-Dec-2025</t>
  </si>
  <si>
    <t>2.5x</t>
  </si>
  <si>
    <r>
      <t>LT Debt Maturity Breakdown at 3Q26</t>
    </r>
    <r>
      <rPr>
        <b/>
        <sz val="10"/>
        <color rgb="FFFF0000"/>
        <rFont val="Calibri"/>
        <family val="2"/>
        <scheme val="minor"/>
      </rPr>
      <t xml:space="preserve"> (from BBG)</t>
    </r>
  </si>
  <si>
    <t>2Q26</t>
  </si>
  <si>
    <t>Exchange rate as at end 2Q26</t>
  </si>
  <si>
    <t>Average Exchange rate of 2Q26</t>
  </si>
  <si>
    <t>Debt Breakdown as on 30-Sep-2025</t>
  </si>
  <si>
    <t>2.7x</t>
  </si>
  <si>
    <r>
      <t>LT Debt Maturity Breakdown at 2Q26</t>
    </r>
    <r>
      <rPr>
        <b/>
        <sz val="10"/>
        <color rgb="FFFF0000"/>
        <rFont val="Calibri"/>
        <family val="2"/>
        <scheme val="minor"/>
      </rPr>
      <t xml:space="preserve"> (from BBG)</t>
    </r>
  </si>
  <si>
    <t>1Q26</t>
  </si>
  <si>
    <t>Exchange rate as at end 1Q26</t>
  </si>
  <si>
    <t>Average Exchange rate of 1Q26</t>
  </si>
  <si>
    <t>Debt Breakdown as on 30-Jun-2025</t>
  </si>
  <si>
    <t>2.6x</t>
  </si>
  <si>
    <t>LT Debt Maturity Breakdown at 1Q26</t>
  </si>
  <si>
    <t>Liquidity at 1Q26</t>
  </si>
  <si>
    <t>RCF</t>
  </si>
  <si>
    <t xml:space="preserve">Total </t>
  </si>
  <si>
    <t>FY25</t>
  </si>
  <si>
    <t>Exchange rate as at end FY25</t>
  </si>
  <si>
    <t>Average Exchange rate of FY25</t>
  </si>
  <si>
    <t>Debt Breakdown as on 31-Mar-2025</t>
  </si>
  <si>
    <t>1.7x</t>
  </si>
  <si>
    <t>LT Debt Maturity Breakdown at FY25</t>
  </si>
  <si>
    <t>Liquidity at FY25</t>
  </si>
  <si>
    <t>3Q25</t>
  </si>
  <si>
    <t>Exchange rate as at end 3Q24</t>
  </si>
  <si>
    <t xml:space="preserve">Average Exchange rate of 3Q24 </t>
  </si>
  <si>
    <t>Debt Breakdown as on 31-Dec-2024</t>
  </si>
  <si>
    <t>Liquidity at 3Q25</t>
  </si>
  <si>
    <t>2Q25</t>
  </si>
  <si>
    <t>Debt Breakdown as on 30-Sep-2024</t>
  </si>
  <si>
    <t>LT Debt Maturity Breakdown at 2Q25</t>
  </si>
  <si>
    <t>2027 &amp; beyond</t>
  </si>
  <si>
    <t>Liquidity at 2Q25</t>
  </si>
  <si>
    <t>1Q25</t>
  </si>
  <si>
    <t>Exchange rate as at end 1Q25</t>
  </si>
  <si>
    <t>Average Exchange rate of 1Q25</t>
  </si>
  <si>
    <t>Debt Breakdown as on 30-June-2024</t>
  </si>
  <si>
    <t>Gross debt</t>
  </si>
  <si>
    <t>Reported Net debt</t>
  </si>
  <si>
    <t>FY24</t>
  </si>
  <si>
    <t>Exchange rate as at end FY24</t>
  </si>
  <si>
    <t xml:space="preserve">Average Exchange rate of FY24 </t>
  </si>
  <si>
    <t>Debt Breakdown as on 31-Mar-2024</t>
  </si>
  <si>
    <t>LT Debt Maturity Breakdown at FY24</t>
  </si>
  <si>
    <t>2028 &amp; beyond</t>
  </si>
  <si>
    <t>Liquidity at FY24</t>
  </si>
  <si>
    <t>2Q24</t>
  </si>
  <si>
    <t>Exchange rate as at end 2Q24</t>
  </si>
  <si>
    <t xml:space="preserve">Average Exchange rate of 2Q24 </t>
  </si>
  <si>
    <t>Debt Breakdown as on 30-Sep-2023</t>
  </si>
  <si>
    <t>LT Debt Maturity Breakdown at 2Q24</t>
  </si>
  <si>
    <t>2026-28</t>
  </si>
  <si>
    <t>Liquidity at 2Q24</t>
  </si>
  <si>
    <t>1Q24</t>
  </si>
  <si>
    <t>Exchange rate as at end 1Q24</t>
  </si>
  <si>
    <t>Average Exchange rate of 1Q24</t>
  </si>
  <si>
    <t>Debt Breakdown as on 30-June-2023</t>
  </si>
  <si>
    <t>FY23</t>
  </si>
  <si>
    <t>Exchange rate as at end FY23</t>
  </si>
  <si>
    <t>Average Exchange rate of FY23</t>
  </si>
  <si>
    <t>Debt Breakdown as on 31-Mar-2023</t>
  </si>
  <si>
    <t>LT Debt Maturity Breakdown at FY23</t>
  </si>
  <si>
    <t>Liquidity at FY23</t>
  </si>
  <si>
    <t>2Q23</t>
  </si>
  <si>
    <t>Exchange rate as at end 2Q23</t>
  </si>
  <si>
    <t>Average Exchange rate of 2Q23</t>
  </si>
  <si>
    <t>Debt Breakdown as on 30-Sep-2022</t>
  </si>
  <si>
    <t>LT Debt Maturity Breakdown at 2Q23</t>
  </si>
  <si>
    <t>Liquidity at 2Q23</t>
  </si>
  <si>
    <t>FY22</t>
  </si>
  <si>
    <t>Exchange rate as at end FY22</t>
  </si>
  <si>
    <t>Average Exchange rate of FY22</t>
  </si>
  <si>
    <t>Debt Breakdown as on 31-Mar-2022</t>
  </si>
  <si>
    <t>LT Debt Maturity Breakdown at FY22</t>
  </si>
  <si>
    <t>Liquidity at FY22</t>
  </si>
  <si>
    <t>UPL Ltd</t>
  </si>
  <si>
    <t>Annual</t>
  </si>
  <si>
    <t>LTM</t>
  </si>
  <si>
    <t xml:space="preserve">Quarters </t>
  </si>
  <si>
    <t>(INR million)</t>
  </si>
  <si>
    <t>Act</t>
  </si>
  <si>
    <t>FY</t>
  </si>
  <si>
    <t>1Q</t>
  </si>
  <si>
    <t>2Q</t>
  </si>
  <si>
    <t>3Q</t>
  </si>
  <si>
    <t>4Q</t>
  </si>
  <si>
    <t>INCOME STATEMENT</t>
  </si>
  <si>
    <t>Revenue from Operations</t>
  </si>
  <si>
    <t>Other income</t>
  </si>
  <si>
    <t xml:space="preserve">% of growth </t>
  </si>
  <si>
    <t>Cost of revenue</t>
  </si>
  <si>
    <t>Gross Profit</t>
  </si>
  <si>
    <t>Gross Profit margin</t>
  </si>
  <si>
    <t>Operating expenses:</t>
  </si>
  <si>
    <t>Employee benefit expense</t>
  </si>
  <si>
    <t>Impairment loss/(writeback) on trade receivables</t>
  </si>
  <si>
    <t>Depreciation and Amortisation expense</t>
  </si>
  <si>
    <t>Exchange difference on trade receivables and trade payables</t>
  </si>
  <si>
    <t xml:space="preserve">Operating profit </t>
  </si>
  <si>
    <t>Finance cost</t>
  </si>
  <si>
    <t>Other Expenses</t>
  </si>
  <si>
    <t>Share of profit/loss from Associates/ JV</t>
  </si>
  <si>
    <t>Exceptional items</t>
  </si>
  <si>
    <t>Profit / (Loss) before tax</t>
  </si>
  <si>
    <t>Tax expenses</t>
  </si>
  <si>
    <t>Net profit/ (Loss)</t>
  </si>
  <si>
    <t>% margin</t>
  </si>
  <si>
    <t>Non-controlling interest</t>
  </si>
  <si>
    <t>Net profit/loss</t>
  </si>
  <si>
    <t>As % of Revenues unless stated otherwise</t>
  </si>
  <si>
    <t>Finance cost as % of debt</t>
  </si>
  <si>
    <t>Tax %  of PBT</t>
  </si>
  <si>
    <t>Working capital /sales</t>
  </si>
  <si>
    <t>Capex/sales</t>
  </si>
  <si>
    <t xml:space="preserve">EBITDA </t>
  </si>
  <si>
    <t>Depreciation &amp; amortization</t>
  </si>
  <si>
    <t xml:space="preserve">% growth </t>
  </si>
  <si>
    <t>Adjustment</t>
  </si>
  <si>
    <t xml:space="preserve">Adj. EBITDA </t>
  </si>
  <si>
    <t>Capex sales</t>
  </si>
  <si>
    <t xml:space="preserve">WC SALES </t>
  </si>
  <si>
    <t>CASH FLOW</t>
  </si>
  <si>
    <t>1H</t>
  </si>
  <si>
    <t>2H</t>
  </si>
  <si>
    <t>Working Capital</t>
  </si>
  <si>
    <t>Taxes</t>
  </si>
  <si>
    <t>Cash interest paid</t>
  </si>
  <si>
    <t xml:space="preserve">Net cash from operations </t>
  </si>
  <si>
    <t>Net Capex</t>
  </si>
  <si>
    <t>Purchase of intangible assets</t>
  </si>
  <si>
    <t>Disposals/ Acquistion, of subsidiaries, businesses</t>
  </si>
  <si>
    <t xml:space="preserve">Free cash flow </t>
  </si>
  <si>
    <t xml:space="preserve">Other Investing </t>
  </si>
  <si>
    <t>Equity Issuance</t>
  </si>
  <si>
    <t>Dividends</t>
  </si>
  <si>
    <t>Net Change in debt</t>
  </si>
  <si>
    <t>Other financing activities</t>
  </si>
  <si>
    <t>Cash flow after financing activities</t>
  </si>
  <si>
    <t>Balancing figure</t>
  </si>
  <si>
    <t xml:space="preserve">FX </t>
  </si>
  <si>
    <t xml:space="preserve">Net change in cash </t>
  </si>
  <si>
    <t>Cash and cash equivalents</t>
  </si>
  <si>
    <t>check 1</t>
  </si>
  <si>
    <t>check 2</t>
  </si>
  <si>
    <t xml:space="preserve">LTM </t>
  </si>
  <si>
    <t>EBITDA</t>
  </si>
  <si>
    <t>Adjusted EBITDA</t>
  </si>
  <si>
    <t>Net Income</t>
  </si>
  <si>
    <t>Capex</t>
  </si>
  <si>
    <t xml:space="preserve">BALANCE SHEET </t>
  </si>
  <si>
    <t>Tangible fixed assets</t>
  </si>
  <si>
    <t>Inventory</t>
  </si>
  <si>
    <t>Trade accounts receivable</t>
  </si>
  <si>
    <t>Trade accounts payable</t>
  </si>
  <si>
    <t>Net working capital</t>
  </si>
  <si>
    <t>% of revenues</t>
  </si>
  <si>
    <t>Inventory days</t>
  </si>
  <si>
    <t>Receivable days</t>
  </si>
  <si>
    <t>Payable days</t>
  </si>
  <si>
    <t>Net working capital days</t>
  </si>
  <si>
    <t xml:space="preserve">Debt  Breakdown </t>
  </si>
  <si>
    <t>Short-term debt</t>
  </si>
  <si>
    <t>Long-term debt</t>
  </si>
  <si>
    <t>Total Debt (this is company reported)</t>
  </si>
  <si>
    <t>Lease Obligations</t>
  </si>
  <si>
    <t>Short-term</t>
  </si>
  <si>
    <t>Long-term</t>
  </si>
  <si>
    <t>Total Lease</t>
  </si>
  <si>
    <t>Debt  Including Lease obligations</t>
  </si>
  <si>
    <t>Total debt</t>
  </si>
  <si>
    <t xml:space="preserve">Net debt </t>
  </si>
  <si>
    <t>Receivable factoring + receivables as % of sales</t>
  </si>
  <si>
    <t>Company reported net debt</t>
  </si>
  <si>
    <t>Hybrid debt</t>
  </si>
  <si>
    <t>Equity (as reported on balance sheet)</t>
  </si>
  <si>
    <t>Total debt + Equity</t>
  </si>
  <si>
    <t>CREDIT RATIOS</t>
  </si>
  <si>
    <t>Net Leverage excluding lease obligations</t>
  </si>
  <si>
    <t>Gross Leverage  excluding lease obligations</t>
  </si>
  <si>
    <t>Net Leverage including lease obligations</t>
  </si>
  <si>
    <t>Gross Leverage  including lease obligations</t>
  </si>
  <si>
    <t>Company reported net leverage</t>
  </si>
  <si>
    <t>EBITDA - Capex / Interest</t>
  </si>
  <si>
    <t>EBITDA/Interest</t>
  </si>
  <si>
    <t xml:space="preserve">Gearing (Net debt / Equity) </t>
  </si>
  <si>
    <t>Key  Credit Metrics (INR million)</t>
  </si>
  <si>
    <t xml:space="preserve">Revenues </t>
  </si>
  <si>
    <t>Adj. EBITDA</t>
  </si>
  <si>
    <t>Adj. EBITDA Margin</t>
  </si>
  <si>
    <t>Total Debt</t>
  </si>
  <si>
    <t>Cash</t>
  </si>
  <si>
    <t>Net Debt</t>
  </si>
  <si>
    <t>Gross Leverage</t>
  </si>
  <si>
    <t xml:space="preserve">Net Leverage </t>
  </si>
  <si>
    <t>Summary Financials</t>
  </si>
  <si>
    <t>% growth</t>
  </si>
  <si>
    <t>FX rate average - INR/USD</t>
  </si>
  <si>
    <t>FX rate  - INR/USD (as at end of period)</t>
  </si>
  <si>
    <t>LTM - INR/USD</t>
  </si>
  <si>
    <t>USD to INR (EOP)</t>
  </si>
  <si>
    <t>Key  Credit Metrics (USD Mn where applicable)</t>
  </si>
  <si>
    <t>(USD millions)</t>
  </si>
  <si>
    <t>LTM EBITDA</t>
  </si>
  <si>
    <t xml:space="preserve">Revenue breakup by region </t>
  </si>
  <si>
    <t>Latin America</t>
  </si>
  <si>
    <t>North America</t>
  </si>
  <si>
    <t>Europe</t>
  </si>
  <si>
    <t>India</t>
  </si>
  <si>
    <t>Rest of World</t>
  </si>
  <si>
    <t>Check</t>
  </si>
  <si>
    <t>Revenue contribution by region (%)</t>
  </si>
  <si>
    <t>Revenue growth by region (%)</t>
  </si>
  <si>
    <t>Volume yoy</t>
  </si>
  <si>
    <t>Price yoy</t>
  </si>
  <si>
    <t>Revenue</t>
  </si>
  <si>
    <t>Revenue yoy</t>
  </si>
  <si>
    <t>EBITDA yoy</t>
  </si>
  <si>
    <t>EBITDA margin</t>
  </si>
  <si>
    <t>Below details published only on Annual basis by company</t>
  </si>
  <si>
    <t>All values in INR Millions, recorded at amortised cost</t>
  </si>
  <si>
    <t>Particulars</t>
  </si>
  <si>
    <t>Effective Interest Date</t>
  </si>
  <si>
    <t>Maturity</t>
  </si>
  <si>
    <t>A) Non-current borrowings</t>
  </si>
  <si>
    <t>1) Debentures</t>
  </si>
  <si>
    <t xml:space="preserve">  i) Unsecured Redeemable non-convertible debentures (NCDs)</t>
  </si>
  <si>
    <t>10.40% to 10.470%</t>
  </si>
  <si>
    <t>2021-2023</t>
  </si>
  <si>
    <t xml:space="preserve">2) Bonds (Unsecured) </t>
  </si>
  <si>
    <t xml:space="preserve">  i) 4.50% Senior Notes (Note 1)</t>
  </si>
  <si>
    <t>8th March 2028</t>
  </si>
  <si>
    <t xml:space="preserve">  ii) 4.625% Senior Notes (Note 2)</t>
  </si>
  <si>
    <t>16th June 2030</t>
  </si>
  <si>
    <t>Total Bonds</t>
  </si>
  <si>
    <t>3) Term Loans</t>
  </si>
  <si>
    <t>i) From Bank</t>
  </si>
  <si>
    <t xml:space="preserve">  a) Foreign currency loan (Unsecured)</t>
  </si>
  <si>
    <t>SOFR + 1.25% and 1.40%</t>
  </si>
  <si>
    <t>Sep 2025 and Sep 2027</t>
  </si>
  <si>
    <t xml:space="preserve">  b) Sustainability linked Foreign currency loan (Unsecured)</t>
  </si>
  <si>
    <t>SOFR + 1.27%, 1.46%, 1.65%</t>
  </si>
  <si>
    <t>January 2024/March 2026/Dec 2026</t>
  </si>
  <si>
    <t>ii) From others (Unsecured)</t>
  </si>
  <si>
    <t>1st January 2023</t>
  </si>
  <si>
    <t>Total Term Loans</t>
  </si>
  <si>
    <t>Total Non-Current Borrowings</t>
  </si>
  <si>
    <t>B) Current borrowings</t>
  </si>
  <si>
    <t>1) Loan from banks</t>
  </si>
  <si>
    <t>i) Secured</t>
  </si>
  <si>
    <t>Euribor +1.30% to 8.0%</t>
  </si>
  <si>
    <t>On demand</t>
  </si>
  <si>
    <t>ii) Unsecured</t>
  </si>
  <si>
    <t>a) Working capital loan repayable on demand from banks:</t>
  </si>
  <si>
    <t>3.45% to 13%</t>
  </si>
  <si>
    <t>b) Interest accrued and not due on borrowings</t>
  </si>
  <si>
    <t>NA</t>
  </si>
  <si>
    <t>c) Commercial paper</t>
  </si>
  <si>
    <t>Within 90 days</t>
  </si>
  <si>
    <t>Total Loans from banks</t>
  </si>
  <si>
    <t>2) Discounted trade receivables (Unsecured)</t>
  </si>
  <si>
    <t>5.00% - 9.90%</t>
  </si>
  <si>
    <t>2021-22</t>
  </si>
  <si>
    <t>3) Current maturities of non current borrowings</t>
  </si>
  <si>
    <t>Total Current Borrowings</t>
  </si>
  <si>
    <t>Total Non current borrowings</t>
  </si>
  <si>
    <t xml:space="preserve">Less current portion </t>
  </si>
  <si>
    <t>Net Non Current Borrowings</t>
  </si>
  <si>
    <t xml:space="preserve">  Secured Portion</t>
  </si>
  <si>
    <t xml:space="preserve">  Unsecured Portion</t>
  </si>
  <si>
    <t>Net Current Borrowings</t>
  </si>
  <si>
    <t>Total Borrowings</t>
  </si>
  <si>
    <t>Note 1</t>
  </si>
  <si>
    <t>Bonds of USD 443 million 4.625% Senior Notes due 2030 with carrying value of INR36,980 million (March 31, 2023: INR36,370 million) are recorded at net of amortised cost bearing an interest rate of 4.625%, repayable on 16 June 2030</t>
  </si>
  <si>
    <t>Note 2</t>
  </si>
  <si>
    <t>Bonds of USD 274 million 4.50% Senior Notes due 2028 with carrying value of INR22,910 million (March 31, 2023: INR22,540 million) are recorded at net of amortised cost bearing an interest rate of 4.50%, repayable on 8 March 2028.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</si>
</sst>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#,##0.0_);\(#,##0.0\)"/>
    <numFmt numFmtId="167" formatCode="#0.0%_);\(#0.0%\)"/>
    <numFmt numFmtId="168" formatCode="#0.00\x"/>
    <numFmt numFmtId="169" formatCode="mmm\ yyyy"/>
    <numFmt numFmtId="170" formatCode="0.0%"/>
    <numFmt numFmtId="171" formatCode="_(* #,##0.0_);_(* \(#,##0.0\);_(* &quot;-&quot;??_);_(@_)"/>
    <numFmt numFmtId="172" formatCode="_(* #,##0.000_);_(* \(#,##0.000\);_(* &quot;-&quot;??_);_(@_)"/>
    <numFmt numFmtId="173" formatCode="_(* #,##0_);_(* \(#,##0\);_(* &quot;-&quot;??_);_(@_)"/>
    <numFmt numFmtId="174" formatCode="#,##0.0\ ;\(#,##0.0\)"/>
    <numFmt numFmtId="175" formatCode="&quot;$&quot;#,##0.00_)&quot;per share&quot;;\(&quot;$&quot;#,##0.00\)&quot; per share&quot;"/>
    <numFmt numFmtId="176" formatCode="0.0_)\%;\(0.0\)\%;0.0_)\%;@_)_%"/>
    <numFmt numFmtId="177" formatCode="#,##0.0_)_%;\(#,##0.0\)_%;0.0_)_%;@_)_%"/>
    <numFmt numFmtId="178" formatCode="#,##0.0_);\(#,##0.0\);#,##0.0_);@_)"/>
    <numFmt numFmtId="179" formatCode="&quot;$&quot;_(#,##0.00_);&quot;$&quot;\(#,##0.00\);&quot;$&quot;_(0.00_);@_)"/>
    <numFmt numFmtId="180" formatCode="&quot;$&quot;_(#,##0.00_);&quot;$&quot;\(#,##0.00\)"/>
    <numFmt numFmtId="181" formatCode="#,##0.00_);\(#,##0.00\);0.00_);@_)"/>
    <numFmt numFmtId="182" formatCode="\€_(#,##0.00_);\€\(#,##0.00\);\€_(0.00_);@_)"/>
    <numFmt numFmtId="183" formatCode="#,##0_)\x;\(#,##0\)\x;0_)\x;@_)_x"/>
    <numFmt numFmtId="184" formatCode="#,##0.0_)\x;\(#,##0.0\)\x"/>
    <numFmt numFmtId="185" formatCode="#,##0_)_x;\(#,##0\)_x;0_)_x;@_)_x"/>
    <numFmt numFmtId="186" formatCode="#,##0.0_)_x;\(#,##0.0\)_x"/>
    <numFmt numFmtId="187" formatCode="0.0_)\%;\(0.0\)\%"/>
    <numFmt numFmtId="188" formatCode="#,##0.0_)_%;\(#,##0.0\)_%"/>
    <numFmt numFmtId="189" formatCode="_(\£* #,##0_);_(\£* \(#,##0\);_(\£* &quot;-&quot;_);_(@_)"/>
    <numFmt numFmtId="190" formatCode="_(\£* #,##0.0_);_(\£* \(#,##0.0\);_(\£* &quot;-&quot;_);_(@_)"/>
    <numFmt numFmtId="191" formatCode="_(\£* #,##0.00_);_(\£* \(#,##0.00\);_(\£* &quot;-&quot;_);_(@_)"/>
    <numFmt numFmtId="192" formatCode="_(* #,##0\p_);_(* \(#,##0\p\);_(* &quot;-&quot;\ \p_);_(@_)"/>
    <numFmt numFmtId="193" formatCode="_(* #,##0.00\p_);_(* \(#,##0.00\p\);_(* &quot;-&quot;\ \p_);_(@_)"/>
    <numFmt numFmtId="194" formatCode="\£#,##0.00"/>
    <numFmt numFmtId="195" formatCode="&quot;$&quot;&quot; &quot;#,##0_);\(&quot;$&quot;&quot; &quot;#,##0\);\-_)"/>
    <numFmt numFmtId="196" formatCode="#,##0_);\(#,##0\);\-_)"/>
    <numFmt numFmtId="197" formatCode="&quot;$&quot;#,##0_);[Red]\(&quot;$&quot;#,##0\);&quot;-&quot;"/>
    <numFmt numFmtId="198" formatCode="[Blue]0.0%;[Blue]\-0.0%"/>
    <numFmt numFmtId="199" formatCode="\£#,##0_);\(\£#,##0\)"/>
    <numFmt numFmtId="200" formatCode="&quot;fl&quot;#,##0_);\(&quot;fl&quot;#,##0\)"/>
    <numFmt numFmtId="201" formatCode="&quot;$&quot;\ #,##0_);\(&quot;$&quot;\ #,##0\)"/>
    <numFmt numFmtId="202" formatCode="_(&quot;R$&quot;* #,##0.00_);_(&quot;R$&quot;* \(#,##0.00\);_(&quot;R$&quot;* &quot;-&quot;??_);_(@_)"/>
    <numFmt numFmtId="203" formatCode="0.0\x;[Red]\(0.0\x\)"/>
    <numFmt numFmtId="204" formatCode="#,##0.0_);\(#,##0.0\);&quot;—&quot;_)"/>
    <numFmt numFmtId="205" formatCode="&quot;$&quot;#,##0.0_);\(&quot;$&quot;#,##0.0\);&quot;—&quot;_)"/>
    <numFmt numFmtId="206" formatCode="0.000000000%"/>
    <numFmt numFmtId="207" formatCode="#,##0.0000"/>
    <numFmt numFmtId="208" formatCode="mm/dd/yy"/>
    <numFmt numFmtId="209" formatCode="&quot;$&quot;#,##0.00"/>
    <numFmt numFmtId="210" formatCode="_([$€-2]* #,##0.00_);_([$€-2]* \(#,##0.00\);_([$€-2]* &quot;-&quot;??_)"/>
    <numFmt numFmtId="211" formatCode="#&quot; mon&quot;"/>
    <numFmt numFmtId="212" formatCode="#,##0\ &quot;F&quot;;[Red]\-#,##0\ &quot;F&quot;"/>
    <numFmt numFmtId="213" formatCode="#,##0.00\ &quot;F&quot;;[Red]\-#,##0.00\ &quot;F&quot;"/>
    <numFmt numFmtId="214" formatCode="#,##0.0\x_)_);\(#,##0.0\x\)_);#,##0.0\x_)_);@_%_)"/>
    <numFmt numFmtId="215" formatCode="_(* #,##0.00\ ___);_(* \(#,##0.00\ __\);_(* &quot;-&quot;??_);_(@_)"/>
    <numFmt numFmtId="216" formatCode="0%\);[Red]\(0%"/>
    <numFmt numFmtId="217" formatCode="_(* #,##0\ ___);_(* \(#,##0\ __\);_(* &quot;-&quot;??_);_(@_)"/>
    <numFmt numFmtId="218" formatCode="_(* #,##0\ \x_);_(* \(#,##0\ \x\);_(* &quot;-&quot;??_);_(@_)"/>
    <numFmt numFmtId="219" formatCode="0%_);[Red]\(0%\)"/>
    <numFmt numFmtId="220" formatCode="_(* #,##0.0\ ___);_(* \(#,##0.0\ __\);_(* &quot;-&quot;??_);_(@_)"/>
    <numFmt numFmtId="221" formatCode="_(* #,##0.0\ \x_);_(* \(#,##0.0\ \x\);_(* &quot;-&quot;??_);_(@_)"/>
    <numFmt numFmtId="222" formatCode="#,##0&quot; F&quot;_);\(#,##0&quot; F&quot;\)"/>
    <numFmt numFmtId="223" formatCode="_(* #,##0.00_);_(* \(\ #,##0.00\ \);_(* &quot;&quot;??_);_(\ @_ \)"/>
    <numFmt numFmtId="224" formatCode="0.00_)"/>
    <numFmt numFmtId="225" formatCode="_(* #,##0.0_);_(* \(#,##0.0\);_(* &quot;-&quot;?_);_(@_)"/>
    <numFmt numFmtId="226" formatCode="0.00%\ &quot;Ramped&quot;\ "/>
    <numFmt numFmtId="227" formatCode="0.00%\ &quot;Ramped&quot;"/>
    <numFmt numFmtId="228" formatCode="0.0000"/>
    <numFmt numFmtId="229" formatCode="0.000"/>
    <numFmt numFmtId="230" formatCode="&quot;Diversity =&quot;\ #.0"/>
    <numFmt numFmtId="231" formatCode="&quot;Ratings Factor =&quot;\ #"/>
    <numFmt numFmtId="232" formatCode="&quot;Page &quot;0"/>
    <numFmt numFmtId="233" formatCode="&quot;\&quot;#,##0.00;[Red]\-&quot;\&quot;#,##0.00"/>
    <numFmt numFmtId="234" formatCode="0.0_%"/>
    <numFmt numFmtId="235" formatCode="_(0.0%;_(* \(0.0\)%"/>
    <numFmt numFmtId="236" formatCode="_(* #,##0.0000_);_(* \(#,##0.0000\);_(* &quot;-&quot;??_);_(@_)"/>
    <numFmt numFmtId="237" formatCode="0&quot; bps&quot;"/>
    <numFmt numFmtId="238" formatCode="&quot;WAS =&quot;\ #.00"/>
    <numFmt numFmtId="239" formatCode="&quot;Avg. Px.=&quot;#.00"/>
    <numFmt numFmtId="240" formatCode="&quot;WAL=&quot;#.00"/>
    <numFmt numFmtId="241" formatCode="#.00\ &quot;years&quot;"/>
    <numFmt numFmtId="242" formatCode="&quot;2nd Lien=&quot;#"/>
    <numFmt numFmtId="243" formatCode="&quot;WAPP=&quot;#.00"/>
    <numFmt numFmtId="244" formatCode="&quot;WAS=&quot;#.00"/>
    <numFmt numFmtId="245" formatCode="&quot;WAC=&quot;#.00"/>
    <numFmt numFmtId="246" formatCode="&quot;$&quot;#,##0.0_);\(&quot;$&quot;#,##0.0\)"/>
    <numFmt numFmtId="247" formatCode="#,###,;\(#,###,\)"/>
    <numFmt numFmtId="248" formatCode="000\-00\-0000"/>
    <numFmt numFmtId="249" formatCode="&quot;$&quot;#,##0.0000"/>
    <numFmt numFmtId="250" formatCode="&quot;$&quot;#,##0.000000"/>
    <numFmt numFmtId="251" formatCode="&quot;$&quot;#,##0.000"/>
    <numFmt numFmtId="252" formatCode="000000000"/>
    <numFmt numFmtId="253" formatCode="000"/>
    <numFmt numFmtId="254" formatCode="hh:mm\ AM/PM_)"/>
    <numFmt numFmtId="255" formatCode="#.0&quot;x&quot;"/>
    <numFmt numFmtId="256" formatCode="yyyy"/>
    <numFmt numFmtId="257" formatCode="\¥#,##0_);\(\¥#,##0\)"/>
    <numFmt numFmtId="258" formatCode="#0.0\x"/>
    <numFmt numFmtId="259" formatCode="0.0\x"/>
    <numFmt numFmtId="260" formatCode="0.0"/>
    <numFmt numFmtId="261" formatCode="#,##0.000_);\(#,##0.000\)"/>
    <numFmt numFmtId="262" formatCode="#,##0.0"/>
    <numFmt numFmtId="263" formatCode="_ * #,##0.0_ ;_ * \-#,##0.0_ ;_ * &quot;-&quot;??_ ;_ @_ "/>
    <numFmt numFmtId="264" formatCode="_-* #,##0_-;\-* #,##0_-;_-* &quot;-&quot;??_-;_-@_-"/>
    <numFmt numFmtId="265" formatCode="#,##0.0000000000"/>
  </numFmts>
  <fonts count="13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9"/>
      <name val="Arial"/>
      <family val="2"/>
    </font>
    <font>
      <b/>
      <u val="singleAccounting"/>
      <sz val="8"/>
      <color indexed="8"/>
      <name val="Arial"/>
      <family val="2"/>
    </font>
    <font>
      <sz val="1"/>
      <color indexed="9"/>
      <name val="Symbol"/>
      <family val="1"/>
    </font>
    <font>
      <b/>
      <u val="singleAccounting"/>
      <sz val="8"/>
      <color indexed="8"/>
      <name val="Verdana"/>
      <family val="2"/>
    </font>
    <font>
      <b/>
      <sz val="10"/>
      <color indexed="9"/>
      <name val="Arial"/>
      <family val="2"/>
    </font>
    <font>
      <b/>
      <sz val="12"/>
      <color indexed="8"/>
      <name val="Verdana"/>
      <family val="2"/>
    </font>
    <font>
      <b/>
      <sz val="8"/>
      <color indexed="9"/>
      <name val="Verdana"/>
      <family val="2"/>
    </font>
    <font>
      <vertAlign val="sub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  <font>
      <b/>
      <sz val="13"/>
      <color indexed="8"/>
      <name val="Verdana"/>
      <family val="2"/>
    </font>
    <font>
      <b/>
      <sz val="8"/>
      <name val="Arial"/>
      <family val="2"/>
    </font>
    <font>
      <u val="singleAccounting"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12"/>
      <name val="Times New Roman"/>
      <family val="1"/>
    </font>
    <font>
      <i/>
      <sz val="10"/>
      <name val="Times New Roman"/>
      <family val="1"/>
    </font>
    <font>
      <sz val="9"/>
      <name val="Arial"/>
      <family val="2"/>
    </font>
    <font>
      <sz val="8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0"/>
      <name val="Book Antiqua"/>
      <family val="1"/>
    </font>
    <font>
      <sz val="8"/>
      <name val="Times"/>
      <family val="1"/>
    </font>
    <font>
      <b/>
      <sz val="12"/>
      <name val="Times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sz val="8"/>
      <color indexed="12"/>
      <name val="Times"/>
      <family val="1"/>
    </font>
    <font>
      <sz val="8"/>
      <name val="Helv"/>
    </font>
    <font>
      <sz val="12"/>
      <name val="Times"/>
      <family val="1"/>
    </font>
    <font>
      <b/>
      <i/>
      <sz val="10"/>
      <name val="Arial"/>
      <family val="2"/>
    </font>
    <font>
      <b/>
      <i/>
      <sz val="12"/>
      <name val="Times New Roman"/>
      <family val="1"/>
    </font>
    <font>
      <b/>
      <u/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i/>
      <sz val="8"/>
      <name val="Arial"/>
      <family val="2"/>
    </font>
    <font>
      <b/>
      <i/>
      <sz val="8"/>
      <name val="Arial"/>
      <family val="2"/>
    </font>
    <font>
      <b/>
      <sz val="8"/>
      <name val="Book Antiqua"/>
      <family val="1"/>
    </font>
    <font>
      <sz val="14"/>
      <name val="Arial"/>
      <family val="2"/>
    </font>
    <font>
      <sz val="8"/>
      <color indexed="12"/>
      <name val="Times New Roman"/>
      <family val="1"/>
    </font>
    <font>
      <b/>
      <sz val="14"/>
      <name val="Book Antiqua"/>
      <family val="1"/>
    </font>
    <font>
      <sz val="10"/>
      <name val="MS Serif"/>
      <family val="1"/>
    </font>
    <font>
      <sz val="10"/>
      <name val="MS Sans Serif"/>
      <family val="2"/>
    </font>
    <font>
      <sz val="12"/>
      <name val="Times New Roman"/>
      <family val="1"/>
    </font>
    <font>
      <u val="doubleAccounting"/>
      <sz val="10"/>
      <name val="Arial"/>
      <family val="2"/>
    </font>
    <font>
      <sz val="10"/>
      <color indexed="16"/>
      <name val="MS Serif"/>
      <family val="1"/>
    </font>
    <font>
      <b/>
      <i/>
      <sz val="9"/>
      <color indexed="4"/>
      <name val="Times New Roman"/>
      <family val="1"/>
    </font>
    <font>
      <sz val="7"/>
      <name val="Arial"/>
      <family val="2"/>
    </font>
    <font>
      <b/>
      <sz val="14"/>
      <name val="Arial"/>
      <family val="2"/>
    </font>
    <font>
      <u/>
      <sz val="8"/>
      <name val="Times New Roman"/>
      <family val="1"/>
    </font>
    <font>
      <b/>
      <sz val="12"/>
      <color indexed="9"/>
      <name val="Times"/>
      <family val="1"/>
    </font>
    <font>
      <b/>
      <i/>
      <sz val="18"/>
      <color indexed="4"/>
      <name val="Times New Roman"/>
      <family val="1"/>
    </font>
    <font>
      <b/>
      <sz val="12"/>
      <name val="Arial"/>
      <family val="2"/>
    </font>
    <font>
      <b/>
      <sz val="8"/>
      <name val="Palatino"/>
      <family val="1"/>
    </font>
    <font>
      <b/>
      <sz val="9"/>
      <name val="Arial"/>
      <family val="2"/>
    </font>
    <font>
      <b/>
      <sz val="8"/>
      <name val="MS Sans Serif"/>
      <family val="2"/>
    </font>
    <font>
      <b/>
      <i/>
      <sz val="10"/>
      <name val="Times New Roman"/>
      <family val="1"/>
    </font>
    <font>
      <b/>
      <sz val="10"/>
      <name val="Palatino"/>
      <family val="1"/>
    </font>
    <font>
      <sz val="8"/>
      <name val="Book Antiqua"/>
      <family val="1"/>
    </font>
    <font>
      <sz val="10"/>
      <name val="Geneva"/>
      <family val="2"/>
    </font>
    <font>
      <i/>
      <sz val="7"/>
      <name val="Book Antiqua"/>
      <family val="1"/>
    </font>
    <font>
      <sz val="8"/>
      <name val="Palatino"/>
      <family val="1"/>
    </font>
    <font>
      <b/>
      <i/>
      <sz val="16"/>
      <name val="Helv"/>
    </font>
    <font>
      <sz val="10"/>
      <color indexed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0"/>
      <color indexed="12"/>
      <name val="Times New Roman"/>
      <family val="1"/>
    </font>
    <font>
      <b/>
      <sz val="12"/>
      <name val="Times New Roman"/>
      <family val="1"/>
    </font>
    <font>
      <b/>
      <sz val="15"/>
      <name val="Times New Roman"/>
      <family val="1"/>
    </font>
    <font>
      <sz val="8"/>
      <color indexed="72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u/>
      <sz val="8"/>
      <name val="Book Antiqua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Arial MT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7"/>
      <color indexed="12"/>
      <name val="Arial"/>
      <family val="2"/>
    </font>
    <font>
      <sz val="8"/>
      <name val="Wingdings"/>
      <charset val="2"/>
    </font>
    <font>
      <sz val="9"/>
      <color indexed="8"/>
      <name val="Times New Roman"/>
      <family val="1"/>
    </font>
    <font>
      <sz val="8"/>
      <name val="MS Sans Serif"/>
      <family val="2"/>
    </font>
    <font>
      <b/>
      <sz val="8"/>
      <color indexed="10"/>
      <name val="Times New Roman"/>
      <family val="1"/>
    </font>
    <font>
      <b/>
      <sz val="8"/>
      <color indexed="8"/>
      <name val="Helv"/>
    </font>
    <font>
      <b/>
      <sz val="14"/>
      <color indexed="8"/>
      <name val="Times New Roman"/>
      <family val="1"/>
    </font>
    <font>
      <b/>
      <u/>
      <sz val="14"/>
      <name val="Book Antiqua"/>
      <family val="1"/>
    </font>
    <font>
      <b/>
      <sz val="10"/>
      <name val="Book Antiqua"/>
      <family val="1"/>
    </font>
    <font>
      <b/>
      <sz val="7"/>
      <name val="Arial"/>
      <family val="2"/>
    </font>
    <font>
      <b/>
      <sz val="7"/>
      <color indexed="12"/>
      <name val="Arial"/>
      <family val="2"/>
    </font>
    <font>
      <b/>
      <u/>
      <sz val="10"/>
      <name val="Book Antiqua"/>
      <family val="1"/>
    </font>
    <font>
      <b/>
      <sz val="8"/>
      <name val="Times New Roman"/>
      <family val="1"/>
    </font>
    <font>
      <b/>
      <sz val="11"/>
      <color indexed="9"/>
      <name val="Calibri"/>
      <family val="2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6"/>
      <name val="Calibri"/>
      <family val="2"/>
      <scheme val="minor"/>
    </font>
    <font>
      <b/>
      <sz val="9"/>
      <color indexed="81"/>
      <name val="Tahoma"/>
      <family val="2"/>
    </font>
    <font>
      <i/>
      <sz val="10"/>
      <name val="Arial"/>
      <family val="2"/>
    </font>
    <font>
      <sz val="10"/>
      <color rgb="FF0000FF"/>
      <name val="Arial"/>
      <family val="2"/>
    </font>
    <font>
      <b/>
      <i/>
      <sz val="10"/>
      <color theme="1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0"/>
      <color indexed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lightGray">
        <fgColor indexed="15"/>
      </patternFill>
    </fill>
    <fill>
      <patternFill patternType="solid">
        <fgColor indexed="6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56"/>
        <bgColor indexed="64"/>
      </patternFill>
    </fill>
    <fill>
      <patternFill patternType="solid">
        <fgColor indexed="15"/>
        <bgColor indexed="64"/>
      </patternFill>
    </fill>
    <fill>
      <patternFill patternType="lightGray">
        <fgColor indexed="13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4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ck">
        <color indexed="9"/>
      </left>
      <right style="thick">
        <color indexed="9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902">
    <xf numFmtId="0" fontId="0" fillId="0" borderId="0"/>
    <xf numFmtId="174" fontId="29" fillId="0" borderId="0"/>
    <xf numFmtId="0" fontId="30" fillId="0" borderId="0">
      <alignment horizontal="right"/>
    </xf>
    <xf numFmtId="0" fontId="9" fillId="0" borderId="0"/>
    <xf numFmtId="175" fontId="25" fillId="0" borderId="0" applyFont="0" applyFill="0" applyBorder="0" applyAlignment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 applyNumberFormat="0" applyFill="0" applyBorder="0" applyAlignment="0" applyProtection="0">
      <alignment horizontal="left" wrapText="1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 applyNumberFormat="0" applyFill="0" applyBorder="0" applyAlignment="0" applyProtection="0">
      <alignment horizontal="left" wrapText="1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vertical="top"/>
    </xf>
    <xf numFmtId="0" fontId="9" fillId="0" borderId="0" applyNumberFormat="0" applyFill="0" applyBorder="0" applyAlignment="0" applyProtection="0">
      <alignment horizontal="left" wrapText="1"/>
    </xf>
    <xf numFmtId="0" fontId="9" fillId="0" borderId="0">
      <alignment vertical="top"/>
    </xf>
    <xf numFmtId="17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9" fillId="0" borderId="0" applyFont="0" applyFill="0" applyBorder="0" applyAlignment="0" applyProtection="0"/>
    <xf numFmtId="181" fontId="9" fillId="0" borderId="0" applyFont="0" applyFill="0" applyBorder="0" applyAlignment="0" applyProtection="0"/>
    <xf numFmtId="39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9" fillId="2" borderId="0" applyNumberFormat="0" applyFont="0" applyAlignment="0" applyProtection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 applyFont="0" applyFill="0" applyBorder="0" applyProtection="0">
      <alignment horizontal="right"/>
    </xf>
    <xf numFmtId="186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9" fillId="0" borderId="0">
      <alignment horizontal="left" wrapText="1"/>
    </xf>
    <xf numFmtId="0" fontId="32" fillId="0" borderId="0" applyNumberFormat="0" applyFill="0" applyBorder="0" applyProtection="0">
      <alignment vertical="top"/>
    </xf>
    <xf numFmtId="0" fontId="32" fillId="0" borderId="0" applyNumberFormat="0" applyFill="0" applyBorder="0" applyProtection="0">
      <alignment vertical="top"/>
    </xf>
    <xf numFmtId="0" fontId="33" fillId="0" borderId="1" applyNumberFormat="0" applyFill="0" applyAlignment="0" applyProtection="0"/>
    <xf numFmtId="0" fontId="34" fillId="0" borderId="2" applyNumberFormat="0" applyFill="0" applyProtection="0">
      <alignment horizontal="center"/>
    </xf>
    <xf numFmtId="0" fontId="34" fillId="0" borderId="0" applyNumberFormat="0" applyFill="0" applyBorder="0" applyProtection="0">
      <alignment horizontal="left"/>
    </xf>
    <xf numFmtId="0" fontId="35" fillId="0" borderId="0" applyNumberFormat="0" applyFill="0" applyBorder="0" applyProtection="0">
      <alignment horizontal="centerContinuous"/>
    </xf>
    <xf numFmtId="189" fontId="36" fillId="0" borderId="0" applyFont="0" applyFill="0" applyBorder="0" applyAlignment="0" applyProtection="0"/>
    <xf numFmtId="190" fontId="36" fillId="0" borderId="0" applyFont="0" applyFill="0" applyBorder="0" applyAlignment="0" applyProtection="0"/>
    <xf numFmtId="191" fontId="36" fillId="0" borderId="0" applyFont="0" applyFill="0" applyBorder="0" applyAlignment="0" applyProtection="0"/>
    <xf numFmtId="192" fontId="36" fillId="0" borderId="0" applyFont="0" applyFill="0" applyBorder="0" applyAlignment="0" applyProtection="0"/>
    <xf numFmtId="193" fontId="36" fillId="0" borderId="0" applyFont="0" applyFill="0" applyBorder="0" applyAlignment="0" applyProtection="0"/>
    <xf numFmtId="194" fontId="37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8" fillId="0" borderId="0" applyNumberFormat="0" applyFont="0" applyFill="0" applyBorder="0" applyProtection="0">
      <alignment horizontal="centerContinuous"/>
    </xf>
    <xf numFmtId="0" fontId="6" fillId="0" borderId="0" applyNumberFormat="0" applyFill="0" applyBorder="0" applyAlignment="0">
      <protection locked="0"/>
    </xf>
    <xf numFmtId="0" fontId="39" fillId="0" borderId="0"/>
    <xf numFmtId="0" fontId="40" fillId="0" borderId="0"/>
    <xf numFmtId="0" fontId="30" fillId="0" borderId="0">
      <alignment horizontal="center" wrapText="1"/>
      <protection locked="0"/>
    </xf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5" fillId="3" borderId="0" applyNumberFormat="0" applyBorder="0" applyAlignment="0">
      <protection locked="0"/>
    </xf>
    <xf numFmtId="195" fontId="25" fillId="0" borderId="0" applyFont="0" applyFill="0" applyBorder="0" applyAlignment="0" applyProtection="0"/>
    <xf numFmtId="196" fontId="42" fillId="0" borderId="0" applyFont="0" applyFill="0" applyBorder="0" applyAlignment="0" applyProtection="0"/>
    <xf numFmtId="197" fontId="25" fillId="0" borderId="0" applyFont="0" applyFill="0" applyBorder="0" applyAlignment="0" applyProtection="0"/>
    <xf numFmtId="0" fontId="107" fillId="25" borderId="0"/>
    <xf numFmtId="0" fontId="43" fillId="0" borderId="0" applyNumberFormat="0" applyFill="0" applyBorder="0" applyAlignment="0" applyProtection="0"/>
    <xf numFmtId="198" fontId="44" fillId="0" borderId="0"/>
    <xf numFmtId="0" fontId="45" fillId="0" borderId="0" applyNumberFormat="0" applyFill="0" applyBorder="0" applyAlignment="0" applyProtection="0"/>
    <xf numFmtId="0" fontId="8" fillId="0" borderId="0"/>
    <xf numFmtId="0" fontId="46" fillId="0" borderId="0"/>
    <xf numFmtId="0" fontId="38" fillId="0" borderId="3" applyNumberFormat="0" applyFont="0" applyFill="0" applyAlignment="0" applyProtection="0"/>
    <xf numFmtId="0" fontId="47" fillId="0" borderId="4" applyFill="0" applyProtection="0">
      <alignment horizontal="right"/>
    </xf>
    <xf numFmtId="199" fontId="2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48" fillId="0" borderId="0"/>
    <xf numFmtId="0" fontId="29" fillId="0" borderId="0" applyFill="0" applyBorder="0" applyAlignment="0"/>
    <xf numFmtId="0" fontId="29" fillId="0" borderId="0" applyFill="0" applyBorder="0" applyAlignment="0"/>
    <xf numFmtId="200" fontId="29" fillId="0" borderId="0" applyFill="0" applyBorder="0" applyAlignment="0"/>
    <xf numFmtId="201" fontId="29" fillId="0" borderId="0" applyFill="0" applyBorder="0" applyAlignment="0"/>
    <xf numFmtId="202" fontId="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39" fontId="30" fillId="4" borderId="0" applyNumberFormat="0" applyFont="0" applyBorder="0" applyAlignment="0"/>
    <xf numFmtId="0" fontId="49" fillId="0" borderId="0"/>
    <xf numFmtId="0" fontId="38" fillId="0" borderId="0" applyNumberFormat="0" applyFont="0" applyFill="0" applyBorder="0" applyProtection="0">
      <alignment horizontal="center"/>
    </xf>
    <xf numFmtId="49" fontId="23" fillId="0" borderId="0" applyFill="0" applyBorder="0" applyProtection="0">
      <alignment horizontal="center"/>
    </xf>
    <xf numFmtId="49" fontId="50" fillId="0" borderId="0" applyFill="0" applyBorder="0" applyProtection="0">
      <alignment horizontal="center"/>
    </xf>
    <xf numFmtId="8" fontId="9" fillId="0" borderId="5" applyFont="0" applyFill="0" applyBorder="0" applyProtection="0">
      <alignment horizontal="right"/>
    </xf>
    <xf numFmtId="0" fontId="7" fillId="0" borderId="0"/>
    <xf numFmtId="0" fontId="5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2" fillId="0" borderId="3" applyNumberFormat="0" applyFill="0" applyBorder="0" applyAlignment="0" applyProtection="0">
      <alignment horizontal="center"/>
    </xf>
    <xf numFmtId="0" fontId="11" fillId="5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3" fontId="9" fillId="0" borderId="0"/>
    <xf numFmtId="204" fontId="53" fillId="0" borderId="0"/>
    <xf numFmtId="0" fontId="29" fillId="0" borderId="0" applyFont="0" applyFill="0" applyBorder="0" applyAlignment="0" applyProtection="0"/>
    <xf numFmtId="171" fontId="54" fillId="0" borderId="0" applyFont="0" applyFill="0" applyBorder="0" applyAlignment="0" applyProtection="0"/>
    <xf numFmtId="40" fontId="9" fillId="0" borderId="0" applyFont="0" applyFill="0" applyBorder="0" applyProtection="0">
      <alignment horizontal="right"/>
    </xf>
    <xf numFmtId="3" fontId="9" fillId="0" borderId="0" applyFill="0" applyBorder="0" applyAlignment="0" applyProtection="0"/>
    <xf numFmtId="3" fontId="5" fillId="0" borderId="0" applyFont="0" applyFill="0" applyBorder="0" applyAlignment="0" applyProtection="0"/>
    <xf numFmtId="3" fontId="23" fillId="0" borderId="0" applyFill="0" applyBorder="0" applyAlignment="0" applyProtection="0"/>
    <xf numFmtId="38" fontId="55" fillId="0" borderId="0" applyNumberFormat="0" applyFill="0" applyBorder="0">
      <alignment vertical="center"/>
    </xf>
    <xf numFmtId="0" fontId="56" fillId="0" borderId="0" applyNumberFormat="0" applyAlignment="0">
      <alignment horizontal="left"/>
    </xf>
    <xf numFmtId="7" fontId="9" fillId="0" borderId="0" applyFont="0" applyFill="0" applyBorder="0" applyAlignment="0" applyProtection="0"/>
    <xf numFmtId="205" fontId="53" fillId="0" borderId="0"/>
    <xf numFmtId="0" fontId="29" fillId="0" borderId="0" applyFont="0" applyFill="0" applyBorder="0" applyAlignment="0" applyProtection="0"/>
    <xf numFmtId="206" fontId="25" fillId="0" borderId="0" applyFont="0" applyFill="0" applyBorder="0" applyAlignment="0" applyProtection="0"/>
    <xf numFmtId="8" fontId="38" fillId="0" borderId="0" applyBorder="0"/>
    <xf numFmtId="207" fontId="9" fillId="0" borderId="0" applyNumberFormat="0">
      <alignment horizontal="right"/>
    </xf>
    <xf numFmtId="15" fontId="9" fillId="0" borderId="0" applyFont="0" applyFill="0" applyBorder="0" applyProtection="0">
      <alignment horizontal="right"/>
    </xf>
    <xf numFmtId="14" fontId="7" fillId="0" borderId="0" applyFill="0" applyBorder="0" applyAlignment="0"/>
    <xf numFmtId="15" fontId="9" fillId="0" borderId="0" applyFont="0" applyFill="0" applyBorder="0" applyProtection="0">
      <alignment horizontal="right"/>
    </xf>
    <xf numFmtId="208" fontId="23" fillId="0" borderId="0" applyFill="0" applyBorder="0" applyProtection="0">
      <alignment horizontal="left"/>
    </xf>
    <xf numFmtId="0" fontId="9" fillId="0" borderId="0">
      <alignment horizontal="left"/>
    </xf>
    <xf numFmtId="38" fontId="57" fillId="0" borderId="6">
      <alignment vertical="center"/>
    </xf>
    <xf numFmtId="209" fontId="37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7" applyNumberFormat="0" applyFont="0" applyFill="0" applyAlignment="0" applyProtection="0"/>
    <xf numFmtId="42" fontId="59" fillId="0" borderId="0" applyFill="0" applyBorder="0" applyAlignment="0" applyProtection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60" fillId="0" borderId="0" applyNumberFormat="0" applyAlignment="0">
      <alignment horizontal="left"/>
    </xf>
    <xf numFmtId="210" fontId="9" fillId="0" borderId="0" applyFont="0" applyFill="0" applyBorder="0" applyAlignment="0" applyProtection="0"/>
    <xf numFmtId="170" fontId="38" fillId="0" borderId="0" applyNumberFormat="0" applyFont="0" applyAlignment="0">
      <alignment vertical="center"/>
    </xf>
    <xf numFmtId="0" fontId="61" fillId="0" borderId="0">
      <alignment horizontal="center"/>
    </xf>
    <xf numFmtId="0" fontId="62" fillId="0" borderId="0" applyNumberFormat="0" applyFill="0" applyBorder="0" applyAlignment="0" applyProtection="0"/>
    <xf numFmtId="38" fontId="5" fillId="6" borderId="0" applyNumberFormat="0" applyBorder="0" applyAlignment="0" applyProtection="0"/>
    <xf numFmtId="0" fontId="8" fillId="7" borderId="8" applyAlignment="0" applyProtection="0"/>
    <xf numFmtId="0" fontId="63" fillId="0" borderId="3" applyFill="0" applyProtection="0">
      <alignment horizontal="centerContinuous"/>
    </xf>
    <xf numFmtId="41" fontId="64" fillId="0" borderId="0">
      <alignment horizontal="center"/>
    </xf>
    <xf numFmtId="0" fontId="9" fillId="0" borderId="0">
      <alignment horizontal="center"/>
    </xf>
    <xf numFmtId="0" fontId="9" fillId="0" borderId="0">
      <alignment horizontal="left"/>
    </xf>
    <xf numFmtId="0" fontId="9" fillId="0" borderId="0">
      <alignment horizontal="right"/>
    </xf>
    <xf numFmtId="0" fontId="65" fillId="8" borderId="0"/>
    <xf numFmtId="0" fontId="66" fillId="0" borderId="0">
      <alignment horizontal="center" vertical="center"/>
    </xf>
    <xf numFmtId="0" fontId="67" fillId="0" borderId="9" applyNumberFormat="0" applyAlignment="0" applyProtection="0">
      <alignment horizontal="left" vertical="center"/>
    </xf>
    <xf numFmtId="0" fontId="67" fillId="0" borderId="8">
      <alignment horizontal="left" vertical="center"/>
    </xf>
    <xf numFmtId="0" fontId="68" fillId="0" borderId="0">
      <alignment horizontal="center"/>
    </xf>
    <xf numFmtId="0" fontId="69" fillId="0" borderId="0" applyFill="0" applyBorder="0" applyProtection="0">
      <alignment horizontal="right"/>
    </xf>
    <xf numFmtId="0" fontId="70" fillId="0" borderId="10">
      <alignment horizontal="center"/>
    </xf>
    <xf numFmtId="0" fontId="70" fillId="0" borderId="0">
      <alignment horizontal="center"/>
    </xf>
    <xf numFmtId="10" fontId="43" fillId="0" borderId="0" applyNumberFormat="0" applyFill="0" applyBorder="0" applyAlignment="0" applyProtection="0">
      <alignment horizontal="right"/>
    </xf>
    <xf numFmtId="10" fontId="5" fillId="9" borderId="11" applyNumberFormat="0" applyBorder="0" applyAlignment="0" applyProtection="0"/>
    <xf numFmtId="0" fontId="12" fillId="0" borderId="0"/>
    <xf numFmtId="0" fontId="71" fillId="0" borderId="0"/>
    <xf numFmtId="0" fontId="5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9" fontId="5" fillId="0" borderId="0" applyFont="0" applyFill="0" applyBorder="0" applyProtection="0">
      <alignment horizontal="left"/>
    </xf>
    <xf numFmtId="49" fontId="23" fillId="0" borderId="0" applyFill="0" applyBorder="0" applyProtection="0">
      <alignment horizontal="left"/>
    </xf>
    <xf numFmtId="49" fontId="23" fillId="0" borderId="3" applyFill="0" applyProtection="0">
      <alignment horizontal="left"/>
    </xf>
    <xf numFmtId="49" fontId="23" fillId="0" borderId="12" applyFill="0" applyProtection="0">
      <alignment horizontal="left"/>
    </xf>
    <xf numFmtId="0" fontId="72" fillId="0" borderId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166" fontId="9" fillId="0" borderId="0" applyNumberFormat="0" applyFont="0" applyFill="0" applyBorder="0" applyAlignment="0"/>
    <xf numFmtId="17" fontId="25" fillId="0" borderId="0"/>
    <xf numFmtId="0" fontId="30" fillId="0" borderId="0" applyNumberFormat="0" applyFill="0" applyBorder="0" applyProtection="0"/>
    <xf numFmtId="0" fontId="25" fillId="0" borderId="0" applyNumberFormat="0" applyFill="0" applyBorder="0" applyProtection="0"/>
    <xf numFmtId="38" fontId="73" fillId="0" borderId="0" applyNumberFormat="0" applyFill="0" applyBorder="0">
      <alignment horizontal="left" vertical="center"/>
    </xf>
    <xf numFmtId="164" fontId="9" fillId="0" borderId="0" applyFont="0" applyFill="0" applyBorder="0" applyAlignment="0" applyProtection="0"/>
    <xf numFmtId="38" fontId="74" fillId="0" borderId="0" applyFont="0" applyFill="0" applyBorder="0" applyAlignment="0" applyProtection="0"/>
    <xf numFmtId="40" fontId="74" fillId="0" borderId="0" applyFont="0" applyFill="0" applyBorder="0" applyAlignment="0" applyProtection="0"/>
    <xf numFmtId="170" fontId="75" fillId="0" borderId="0" applyFill="0" applyBorder="0">
      <alignment vertical="center"/>
    </xf>
    <xf numFmtId="211" fontId="30" fillId="0" borderId="0">
      <alignment horizontal="center"/>
    </xf>
    <xf numFmtId="212" fontId="74" fillId="0" borderId="0" applyFont="0" applyFill="0" applyBorder="0" applyAlignment="0" applyProtection="0"/>
    <xf numFmtId="213" fontId="74" fillId="0" borderId="0" applyFont="0" applyFill="0" applyBorder="0" applyAlignment="0" applyProtection="0"/>
    <xf numFmtId="7" fontId="9" fillId="0" borderId="0"/>
    <xf numFmtId="214" fontId="76" fillId="0" borderId="0" applyFont="0" applyFill="0" applyBorder="0" applyProtection="0">
      <alignment horizontal="right"/>
    </xf>
    <xf numFmtId="215" fontId="58" fillId="0" borderId="0" applyFont="0" applyFill="0" applyBorder="0" applyAlignment="0" applyProtection="0"/>
    <xf numFmtId="216" fontId="25" fillId="0" borderId="0" applyFont="0" applyFill="0" applyBorder="0" applyAlignment="0" applyProtection="0"/>
    <xf numFmtId="217" fontId="58" fillId="0" borderId="0" applyFont="0" applyFill="0" applyBorder="0" applyAlignment="0" applyProtection="0"/>
    <xf numFmtId="218" fontId="30" fillId="0" borderId="0" applyFont="0" applyFill="0" applyBorder="0" applyAlignment="0" applyProtection="0"/>
    <xf numFmtId="219" fontId="25" fillId="0" borderId="0" applyFont="0" applyFill="0" applyBorder="0" applyAlignment="0" applyProtection="0"/>
    <xf numFmtId="220" fontId="58" fillId="0" borderId="0" applyFont="0" applyFill="0" applyBorder="0" applyAlignment="0" applyProtection="0"/>
    <xf numFmtId="221" fontId="58" fillId="0" borderId="0" applyFont="0" applyFill="0" applyBorder="0" applyAlignment="0" applyProtection="0"/>
    <xf numFmtId="222" fontId="25" fillId="0" borderId="0" applyFont="0" applyFill="0" applyBorder="0" applyAlignment="0" applyProtection="0"/>
    <xf numFmtId="223" fontId="9" fillId="0" borderId="0"/>
    <xf numFmtId="0" fontId="13" fillId="10" borderId="0"/>
    <xf numFmtId="0" fontId="14" fillId="11" borderId="0"/>
    <xf numFmtId="0" fontId="15" fillId="0" borderId="0"/>
    <xf numFmtId="224" fontId="77" fillId="0" borderId="0"/>
    <xf numFmtId="0" fontId="9" fillId="0" borderId="0"/>
    <xf numFmtId="0" fontId="9" fillId="0" borderId="0"/>
    <xf numFmtId="0" fontId="78" fillId="0" borderId="0">
      <alignment horizontal="center"/>
    </xf>
    <xf numFmtId="0" fontId="26" fillId="0" borderId="0">
      <alignment horizontal="center" vertical="center"/>
    </xf>
    <xf numFmtId="0" fontId="25" fillId="0" borderId="13"/>
    <xf numFmtId="0" fontId="25" fillId="0" borderId="14"/>
    <xf numFmtId="49" fontId="25" fillId="0" borderId="14">
      <alignment horizontal="left"/>
    </xf>
    <xf numFmtId="0" fontId="25" fillId="0" borderId="15"/>
    <xf numFmtId="0" fontId="25" fillId="0" borderId="3"/>
    <xf numFmtId="0" fontId="25" fillId="0" borderId="16"/>
    <xf numFmtId="0" fontId="25" fillId="6" borderId="17"/>
    <xf numFmtId="0" fontId="26" fillId="6" borderId="12">
      <alignment horizontal="left"/>
    </xf>
    <xf numFmtId="0" fontId="26" fillId="6" borderId="18">
      <alignment horizontal="left"/>
    </xf>
    <xf numFmtId="0" fontId="25" fillId="6" borderId="12"/>
    <xf numFmtId="0" fontId="25" fillId="0" borderId="0">
      <alignment horizontal="left"/>
    </xf>
    <xf numFmtId="0" fontId="26" fillId="6" borderId="12">
      <alignment horizontal="left"/>
    </xf>
    <xf numFmtId="0" fontId="42" fillId="6" borderId="12">
      <alignment horizontal="left"/>
    </xf>
    <xf numFmtId="0" fontId="25" fillId="6" borderId="18"/>
    <xf numFmtId="0" fontId="25" fillId="0" borderId="13">
      <alignment horizontal="left"/>
    </xf>
    <xf numFmtId="0" fontId="25" fillId="0" borderId="0">
      <alignment horizontal="left"/>
    </xf>
    <xf numFmtId="0" fontId="25" fillId="0" borderId="14">
      <alignment horizontal="center"/>
    </xf>
    <xf numFmtId="0" fontId="25" fillId="0" borderId="0">
      <alignment horizontal="left"/>
    </xf>
    <xf numFmtId="0" fontId="26" fillId="6" borderId="17">
      <alignment horizontal="left"/>
    </xf>
    <xf numFmtId="0" fontId="25" fillId="0" borderId="13">
      <alignment horizontal="left"/>
    </xf>
    <xf numFmtId="0" fontId="25" fillId="0" borderId="13">
      <alignment horizontal="right"/>
    </xf>
    <xf numFmtId="173" fontId="26" fillId="0" borderId="0"/>
    <xf numFmtId="0" fontId="25" fillId="0" borderId="13"/>
    <xf numFmtId="170" fontId="25" fillId="0" borderId="14"/>
    <xf numFmtId="0" fontId="25" fillId="0" borderId="13"/>
    <xf numFmtId="0" fontId="25" fillId="0" borderId="13">
      <alignment horizontal="left"/>
    </xf>
    <xf numFmtId="0" fontId="26" fillId="6" borderId="17"/>
    <xf numFmtId="0" fontId="79" fillId="6" borderId="13">
      <alignment horizontal="left"/>
    </xf>
    <xf numFmtId="0" fontId="25" fillId="6" borderId="14"/>
    <xf numFmtId="0" fontId="26" fillId="6" borderId="13">
      <alignment horizontal="left"/>
    </xf>
    <xf numFmtId="0" fontId="25" fillId="0" borderId="13">
      <alignment horizontal="left"/>
    </xf>
    <xf numFmtId="0" fontId="25" fillId="0" borderId="13">
      <alignment horizontal="left"/>
    </xf>
    <xf numFmtId="14" fontId="78" fillId="0" borderId="0">
      <alignment horizontal="center"/>
    </xf>
    <xf numFmtId="49" fontId="80" fillId="0" borderId="13">
      <alignment horizontal="left"/>
    </xf>
    <xf numFmtId="0" fontId="80" fillId="0" borderId="13"/>
    <xf numFmtId="0" fontId="26" fillId="6" borderId="13">
      <alignment horizontal="left"/>
    </xf>
    <xf numFmtId="0" fontId="26" fillId="6" borderId="13"/>
    <xf numFmtId="49" fontId="25" fillId="0" borderId="14">
      <alignment horizontal="left"/>
    </xf>
    <xf numFmtId="0" fontId="78" fillId="0" borderId="13"/>
    <xf numFmtId="0" fontId="78" fillId="0" borderId="0">
      <alignment horizontal="center"/>
    </xf>
    <xf numFmtId="14" fontId="78" fillId="0" borderId="0">
      <alignment horizontal="center"/>
    </xf>
    <xf numFmtId="0" fontId="78" fillId="0" borderId="15"/>
    <xf numFmtId="0" fontId="25" fillId="0" borderId="3">
      <alignment horizontal="center"/>
    </xf>
    <xf numFmtId="0" fontId="25" fillId="0" borderId="0"/>
    <xf numFmtId="0" fontId="78" fillId="0" borderId="3">
      <alignment horizontal="center"/>
    </xf>
    <xf numFmtId="14" fontId="78" fillId="0" borderId="3">
      <alignment horizontal="center"/>
    </xf>
    <xf numFmtId="0" fontId="26" fillId="0" borderId="0">
      <alignment horizontal="left" vertical="center" wrapText="1"/>
    </xf>
    <xf numFmtId="0" fontId="26" fillId="6" borderId="9">
      <alignment horizontal="left" wrapText="1"/>
    </xf>
    <xf numFmtId="0" fontId="26" fillId="0" borderId="0">
      <alignment horizontal="right" vertical="center"/>
    </xf>
    <xf numFmtId="173" fontId="26" fillId="0" borderId="0">
      <alignment horizontal="right"/>
    </xf>
    <xf numFmtId="14" fontId="81" fillId="0" borderId="0">
      <alignment horizontal="center"/>
    </xf>
    <xf numFmtId="0" fontId="26" fillId="6" borderId="19">
      <alignment horizontal="center" wrapText="1"/>
    </xf>
    <xf numFmtId="0" fontId="58" fillId="0" borderId="0">
      <alignment horizontal="center" vertical="center"/>
    </xf>
    <xf numFmtId="1" fontId="82" fillId="0" borderId="0">
      <alignment horizontal="center" wrapText="1"/>
    </xf>
    <xf numFmtId="0" fontId="26" fillId="6" borderId="9">
      <alignment horizontal="center" wrapText="1"/>
    </xf>
    <xf numFmtId="0" fontId="82" fillId="6" borderId="20">
      <alignment horizontal="center" wrapText="1"/>
    </xf>
    <xf numFmtId="0" fontId="82" fillId="6" borderId="19">
      <alignment horizontal="left" wrapText="1"/>
    </xf>
    <xf numFmtId="0" fontId="25" fillId="0" borderId="14">
      <alignment horizontal="left"/>
    </xf>
    <xf numFmtId="0" fontId="58" fillId="0" borderId="0">
      <alignment horizontal="center"/>
    </xf>
    <xf numFmtId="2" fontId="58" fillId="12" borderId="0">
      <alignment horizontal="center"/>
    </xf>
    <xf numFmtId="0" fontId="25" fillId="0" borderId="0">
      <alignment horizontal="left" vertical="top"/>
    </xf>
    <xf numFmtId="16" fontId="25" fillId="0" borderId="0"/>
    <xf numFmtId="0" fontId="25" fillId="12" borderId="0"/>
    <xf numFmtId="14" fontId="25" fillId="0" borderId="0">
      <alignment horizontal="center"/>
    </xf>
    <xf numFmtId="2" fontId="58" fillId="0" borderId="12">
      <alignment horizontal="center" vertical="center"/>
    </xf>
    <xf numFmtId="0" fontId="26" fillId="6" borderId="0">
      <alignment horizontal="center"/>
    </xf>
    <xf numFmtId="2" fontId="58" fillId="0" borderId="0">
      <alignment horizontal="center"/>
    </xf>
    <xf numFmtId="2" fontId="58" fillId="0" borderId="0">
      <alignment horizontal="center"/>
    </xf>
    <xf numFmtId="0" fontId="25" fillId="0" borderId="0">
      <alignment horizontal="left" vertical="top"/>
    </xf>
    <xf numFmtId="15" fontId="25" fillId="0" borderId="0">
      <alignment horizontal="left" vertical="top"/>
    </xf>
    <xf numFmtId="0" fontId="25" fillId="0" borderId="0">
      <alignment horizontal="left" vertical="top"/>
    </xf>
    <xf numFmtId="14" fontId="25" fillId="0" borderId="0">
      <alignment horizontal="center" vertical="top"/>
    </xf>
    <xf numFmtId="0" fontId="58" fillId="0" borderId="0"/>
    <xf numFmtId="0" fontId="82" fillId="0" borderId="3"/>
    <xf numFmtId="14" fontId="82" fillId="0" borderId="3"/>
    <xf numFmtId="2" fontId="58" fillId="0" borderId="3">
      <alignment horizontal="center"/>
    </xf>
    <xf numFmtId="0" fontId="25" fillId="0" borderId="0">
      <alignment horizontal="center"/>
    </xf>
    <xf numFmtId="2" fontId="58" fillId="0" borderId="3">
      <alignment horizontal="center"/>
    </xf>
    <xf numFmtId="0" fontId="58" fillId="0" borderId="3"/>
    <xf numFmtId="0" fontId="58" fillId="0" borderId="3">
      <alignment horizontal="center"/>
    </xf>
    <xf numFmtId="0" fontId="58" fillId="0" borderId="3">
      <alignment horizontal="center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5" fillId="0" borderId="0">
      <alignment horizontal="center" vertical="top"/>
    </xf>
    <xf numFmtId="43" fontId="58" fillId="0" borderId="0">
      <alignment horizontal="left"/>
    </xf>
    <xf numFmtId="173" fontId="25" fillId="0" borderId="0"/>
    <xf numFmtId="0" fontId="25" fillId="0" borderId="0">
      <alignment horizontal="center"/>
    </xf>
    <xf numFmtId="0" fontId="78" fillId="0" borderId="0"/>
    <xf numFmtId="43" fontId="25" fillId="0" borderId="0"/>
    <xf numFmtId="1" fontId="25" fillId="0" borderId="0"/>
    <xf numFmtId="0" fontId="26" fillId="0" borderId="0"/>
    <xf numFmtId="43" fontId="25" fillId="0" borderId="0">
      <alignment horizontal="center"/>
    </xf>
    <xf numFmtId="43" fontId="25" fillId="0" borderId="21"/>
    <xf numFmtId="43" fontId="25" fillId="0" borderId="22"/>
    <xf numFmtId="0" fontId="25" fillId="0" borderId="10"/>
    <xf numFmtId="43" fontId="25" fillId="0" borderId="0"/>
    <xf numFmtId="1" fontId="82" fillId="0" borderId="16">
      <alignment horizontal="center" wrapText="1"/>
    </xf>
    <xf numFmtId="0" fontId="58" fillId="0" borderId="0">
      <alignment horizontal="center"/>
    </xf>
    <xf numFmtId="0" fontId="25" fillId="0" borderId="0">
      <alignment horizontal="left"/>
    </xf>
    <xf numFmtId="0" fontId="58" fillId="0" borderId="0"/>
    <xf numFmtId="43" fontId="25" fillId="0" borderId="0">
      <alignment horizontal="center"/>
    </xf>
    <xf numFmtId="0" fontId="26" fillId="0" borderId="3">
      <alignment horizontal="left" vertical="top"/>
    </xf>
    <xf numFmtId="0" fontId="25" fillId="0" borderId="3">
      <alignment horizontal="center" vertical="top"/>
    </xf>
    <xf numFmtId="14" fontId="25" fillId="0" borderId="3">
      <alignment horizontal="center" vertical="top"/>
    </xf>
    <xf numFmtId="15" fontId="25" fillId="0" borderId="3">
      <alignment horizontal="left" vertical="top"/>
    </xf>
    <xf numFmtId="0" fontId="28" fillId="0" borderId="0"/>
    <xf numFmtId="225" fontId="25" fillId="0" borderId="0">
      <alignment vertical="top"/>
    </xf>
    <xf numFmtId="0" fontId="25" fillId="0" borderId="3">
      <alignment horizontal="left" vertical="top"/>
    </xf>
    <xf numFmtId="0" fontId="25" fillId="0" borderId="0">
      <alignment horizontal="center" wrapText="1"/>
    </xf>
    <xf numFmtId="0" fontId="25" fillId="0" borderId="0">
      <alignment horizontal="center"/>
    </xf>
    <xf numFmtId="0" fontId="25" fillId="0" borderId="0">
      <alignment horizontal="center" vertical="top"/>
    </xf>
    <xf numFmtId="0" fontId="26" fillId="0" borderId="0"/>
    <xf numFmtId="14" fontId="25" fillId="0" borderId="0">
      <alignment horizontal="center"/>
    </xf>
    <xf numFmtId="14" fontId="25" fillId="0" borderId="0">
      <alignment horizontal="left" vertical="top"/>
    </xf>
    <xf numFmtId="41" fontId="25" fillId="0" borderId="0"/>
    <xf numFmtId="3" fontId="26" fillId="0" borderId="23">
      <alignment horizontal="right" vertical="center"/>
    </xf>
    <xf numFmtId="173" fontId="26" fillId="0" borderId="22">
      <alignment horizontal="right"/>
    </xf>
    <xf numFmtId="226" fontId="82" fillId="0" borderId="0">
      <alignment wrapText="1"/>
    </xf>
    <xf numFmtId="0" fontId="25" fillId="0" borderId="0">
      <alignment horizontal="center"/>
    </xf>
    <xf numFmtId="227" fontId="26" fillId="0" borderId="10"/>
    <xf numFmtId="227" fontId="26" fillId="0" borderId="0"/>
    <xf numFmtId="0" fontId="25" fillId="0" borderId="0">
      <alignment vertical="top"/>
    </xf>
    <xf numFmtId="3" fontId="26" fillId="0" borderId="21">
      <alignment horizontal="right" vertical="center"/>
    </xf>
    <xf numFmtId="0" fontId="82" fillId="0" borderId="15">
      <alignment horizontal="center" wrapText="1"/>
    </xf>
    <xf numFmtId="3" fontId="26" fillId="0" borderId="24">
      <alignment horizontal="right" vertical="center"/>
    </xf>
    <xf numFmtId="3" fontId="26" fillId="0" borderId="0">
      <alignment horizontal="right" vertical="center"/>
    </xf>
    <xf numFmtId="173" fontId="26" fillId="0" borderId="10">
      <alignment horizontal="right"/>
    </xf>
    <xf numFmtId="0" fontId="7" fillId="0" borderId="25">
      <alignment wrapText="1"/>
    </xf>
    <xf numFmtId="228" fontId="7" fillId="0" borderId="25">
      <alignment horizontal="right" wrapText="1"/>
    </xf>
    <xf numFmtId="4" fontId="25" fillId="0" borderId="0">
      <alignment horizontal="center"/>
    </xf>
    <xf numFmtId="0" fontId="26" fillId="6" borderId="9">
      <alignment horizontal="center"/>
    </xf>
    <xf numFmtId="0" fontId="26" fillId="6" borderId="20">
      <alignment horizontal="center"/>
    </xf>
    <xf numFmtId="14" fontId="25" fillId="0" borderId="0">
      <alignment horizontal="center" vertical="top"/>
    </xf>
    <xf numFmtId="0" fontId="25" fillId="13" borderId="0">
      <alignment vertical="top"/>
    </xf>
    <xf numFmtId="0" fontId="25" fillId="13" borderId="0"/>
    <xf numFmtId="0" fontId="7" fillId="0" borderId="25">
      <alignment wrapText="1"/>
    </xf>
    <xf numFmtId="229" fontId="29" fillId="0" borderId="0">
      <alignment horizontal="right" vertical="center" wrapText="1"/>
    </xf>
    <xf numFmtId="0" fontId="29" fillId="0" borderId="0">
      <alignment horizontal="right" vertical="center" wrapText="1"/>
    </xf>
    <xf numFmtId="0" fontId="7" fillId="0" borderId="0">
      <alignment wrapText="1"/>
    </xf>
    <xf numFmtId="173" fontId="25" fillId="0" borderId="0"/>
    <xf numFmtId="0" fontId="25" fillId="13" borderId="0">
      <alignment horizontal="center"/>
    </xf>
    <xf numFmtId="0" fontId="26" fillId="13" borderId="0"/>
    <xf numFmtId="0" fontId="25" fillId="13" borderId="0">
      <alignment horizontal="center" vertical="top"/>
    </xf>
    <xf numFmtId="0" fontId="25" fillId="0" borderId="0">
      <alignment vertical="top"/>
    </xf>
    <xf numFmtId="14" fontId="25" fillId="13" borderId="0">
      <alignment horizontal="center" vertical="top"/>
    </xf>
    <xf numFmtId="15" fontId="25" fillId="13" borderId="0">
      <alignment horizontal="left" vertical="top"/>
    </xf>
    <xf numFmtId="0" fontId="25" fillId="13" borderId="0">
      <alignment horizontal="left" vertical="top"/>
    </xf>
    <xf numFmtId="14" fontId="25" fillId="13" borderId="0">
      <alignment horizontal="left" vertical="top"/>
    </xf>
    <xf numFmtId="0" fontId="25" fillId="14" borderId="0">
      <alignment horizontal="center"/>
    </xf>
    <xf numFmtId="0" fontId="26" fillId="14" borderId="0"/>
    <xf numFmtId="0" fontId="25" fillId="14" borderId="0">
      <alignment horizontal="center" vertical="top"/>
    </xf>
    <xf numFmtId="14" fontId="25" fillId="14" borderId="0">
      <alignment horizontal="center" vertical="top"/>
    </xf>
    <xf numFmtId="0" fontId="25" fillId="14" borderId="0">
      <alignment vertical="top"/>
    </xf>
    <xf numFmtId="15" fontId="25" fillId="14" borderId="0">
      <alignment horizontal="left" vertical="top"/>
    </xf>
    <xf numFmtId="15" fontId="78" fillId="0" borderId="0">
      <alignment horizontal="left"/>
    </xf>
    <xf numFmtId="0" fontId="25" fillId="14" borderId="0">
      <alignment horizontal="left" vertical="top"/>
    </xf>
    <xf numFmtId="173" fontId="25" fillId="14" borderId="0">
      <alignment vertical="top"/>
    </xf>
    <xf numFmtId="14" fontId="25" fillId="14" borderId="0">
      <alignment horizontal="left" vertical="top"/>
    </xf>
    <xf numFmtId="0" fontId="25" fillId="14" borderId="0">
      <alignment horizontal="center"/>
    </xf>
    <xf numFmtId="0" fontId="25" fillId="14" borderId="0"/>
    <xf numFmtId="0" fontId="26" fillId="14" borderId="0">
      <alignment horizontal="left" vertical="top"/>
    </xf>
    <xf numFmtId="14" fontId="25" fillId="14" borderId="0">
      <alignment horizontal="center" vertical="top"/>
    </xf>
    <xf numFmtId="0" fontId="58" fillId="14" borderId="0">
      <alignment horizontal="center"/>
    </xf>
    <xf numFmtId="0" fontId="78" fillId="14" borderId="0">
      <alignment horizontal="center"/>
    </xf>
    <xf numFmtId="0" fontId="25" fillId="14" borderId="0"/>
    <xf numFmtId="0" fontId="58" fillId="0" borderId="0"/>
    <xf numFmtId="0" fontId="26" fillId="0" borderId="0">
      <alignment horizontal="center"/>
    </xf>
    <xf numFmtId="0" fontId="26" fillId="0" borderId="0">
      <alignment horizontal="center"/>
    </xf>
    <xf numFmtId="173" fontId="26" fillId="6" borderId="23">
      <alignment horizontal="center"/>
    </xf>
    <xf numFmtId="173" fontId="26" fillId="6" borderId="24">
      <alignment horizontal="center"/>
    </xf>
    <xf numFmtId="2" fontId="58" fillId="0" borderId="0"/>
    <xf numFmtId="0" fontId="58" fillId="0" borderId="0"/>
    <xf numFmtId="2" fontId="58" fillId="0" borderId="0">
      <alignment horizontal="center"/>
    </xf>
    <xf numFmtId="0" fontId="58" fillId="0" borderId="0">
      <alignment horizontal="center"/>
    </xf>
    <xf numFmtId="0" fontId="78" fillId="0" borderId="0">
      <alignment wrapText="1"/>
    </xf>
    <xf numFmtId="0" fontId="58" fillId="0" borderId="0">
      <alignment horizontal="center"/>
    </xf>
    <xf numFmtId="0" fontId="82" fillId="0" borderId="0">
      <alignment horizontal="left" vertical="center"/>
    </xf>
    <xf numFmtId="2" fontId="58" fillId="0" borderId="12">
      <alignment horizontal="center" vertical="center"/>
    </xf>
    <xf numFmtId="0" fontId="58" fillId="0" borderId="12">
      <alignment horizontal="center" vertical="center"/>
    </xf>
    <xf numFmtId="0" fontId="58" fillId="0" borderId="18">
      <alignment horizontal="center" vertical="center"/>
    </xf>
    <xf numFmtId="0" fontId="58" fillId="0" borderId="0">
      <alignment horizontal="center" vertical="center"/>
    </xf>
    <xf numFmtId="0" fontId="58" fillId="0" borderId="0">
      <alignment horizontal="left" vertical="center"/>
    </xf>
    <xf numFmtId="0" fontId="82" fillId="0" borderId="0">
      <alignment horizontal="left"/>
    </xf>
    <xf numFmtId="0" fontId="82" fillId="0" borderId="0">
      <alignment horizontal="left"/>
    </xf>
    <xf numFmtId="0" fontId="82" fillId="0" borderId="0">
      <alignment horizontal="center"/>
    </xf>
    <xf numFmtId="0" fontId="25" fillId="0" borderId="0">
      <alignment horizontal="center" vertical="center" wrapText="1"/>
    </xf>
    <xf numFmtId="0" fontId="82" fillId="0" borderId="0">
      <alignment horizontal="center" wrapText="1"/>
    </xf>
    <xf numFmtId="0" fontId="82" fillId="0" borderId="13">
      <alignment horizontal="center" wrapText="1"/>
    </xf>
    <xf numFmtId="1" fontId="82" fillId="0" borderId="14">
      <alignment horizontal="center" wrapText="1"/>
    </xf>
    <xf numFmtId="0" fontId="82" fillId="0" borderId="0">
      <alignment horizontal="center"/>
    </xf>
    <xf numFmtId="230" fontId="82" fillId="0" borderId="0">
      <alignment horizontal="center" wrapText="1"/>
    </xf>
    <xf numFmtId="43" fontId="82" fillId="0" borderId="0"/>
    <xf numFmtId="0" fontId="82" fillId="0" borderId="0"/>
    <xf numFmtId="0" fontId="58" fillId="0" borderId="0">
      <alignment wrapText="1"/>
    </xf>
    <xf numFmtId="0" fontId="82" fillId="0" borderId="0">
      <alignment horizontal="center" wrapText="1"/>
    </xf>
    <xf numFmtId="0" fontId="82" fillId="0" borderId="0">
      <alignment horizontal="center" wrapText="1"/>
    </xf>
    <xf numFmtId="43" fontId="25" fillId="0" borderId="0">
      <alignment horizontal="center" vertical="center" wrapText="1"/>
    </xf>
    <xf numFmtId="0" fontId="82" fillId="0" borderId="0">
      <alignment horizontal="center" wrapText="1"/>
    </xf>
    <xf numFmtId="231" fontId="82" fillId="0" borderId="0">
      <alignment horizontal="center" wrapText="1"/>
    </xf>
    <xf numFmtId="0" fontId="82" fillId="6" borderId="9">
      <alignment horizontal="center" wrapText="1"/>
    </xf>
    <xf numFmtId="2" fontId="82" fillId="6" borderId="9">
      <alignment horizontal="center" wrapText="1"/>
    </xf>
    <xf numFmtId="0" fontId="82" fillId="6" borderId="9">
      <alignment horizontal="center" wrapText="1"/>
    </xf>
    <xf numFmtId="0" fontId="82" fillId="0" borderId="0">
      <alignment horizontal="center" wrapText="1"/>
    </xf>
    <xf numFmtId="0" fontId="25" fillId="0" borderId="0"/>
    <xf numFmtId="0" fontId="25" fillId="0" borderId="0"/>
    <xf numFmtId="0" fontId="83" fillId="0" borderId="0">
      <alignment horizontal="left" vertical="center"/>
    </xf>
    <xf numFmtId="173" fontId="83" fillId="0" borderId="0">
      <alignment horizontal="left" vertical="center"/>
    </xf>
    <xf numFmtId="0" fontId="26" fillId="0" borderId="0">
      <alignment horizontal="center" vertical="center" wrapText="1"/>
    </xf>
    <xf numFmtId="0" fontId="83" fillId="0" borderId="0">
      <alignment horizontal="center" vertical="center"/>
    </xf>
    <xf numFmtId="0" fontId="26" fillId="0" borderId="23">
      <alignment horizontal="left"/>
    </xf>
    <xf numFmtId="41" fontId="26" fillId="0" borderId="26"/>
    <xf numFmtId="0" fontId="26" fillId="0" borderId="23"/>
    <xf numFmtId="41" fontId="26" fillId="0" borderId="0"/>
    <xf numFmtId="0" fontId="26" fillId="0" borderId="21"/>
    <xf numFmtId="173" fontId="26" fillId="0" borderId="27"/>
    <xf numFmtId="173" fontId="26" fillId="0" borderId="0"/>
    <xf numFmtId="43" fontId="26" fillId="0" borderId="27"/>
    <xf numFmtId="43" fontId="26" fillId="0" borderId="0"/>
    <xf numFmtId="0" fontId="25" fillId="0" borderId="0">
      <alignment wrapText="1"/>
    </xf>
    <xf numFmtId="0" fontId="26" fillId="0" borderId="22"/>
    <xf numFmtId="43" fontId="26" fillId="0" borderId="28"/>
    <xf numFmtId="0" fontId="26" fillId="0" borderId="0">
      <alignment horizontal="center"/>
    </xf>
    <xf numFmtId="0" fontId="26" fillId="6" borderId="23">
      <alignment horizontal="center"/>
    </xf>
    <xf numFmtId="173" fontId="26" fillId="6" borderId="24">
      <alignment horizontal="center"/>
    </xf>
    <xf numFmtId="0" fontId="26" fillId="6" borderId="24">
      <alignment horizontal="center"/>
    </xf>
    <xf numFmtId="0" fontId="26" fillId="6" borderId="26">
      <alignment horizontal="center"/>
    </xf>
    <xf numFmtId="0" fontId="26" fillId="6" borderId="22">
      <alignment horizontal="center"/>
    </xf>
    <xf numFmtId="173" fontId="26" fillId="6" borderId="10">
      <alignment horizontal="right"/>
    </xf>
    <xf numFmtId="0" fontId="26" fillId="6" borderId="10">
      <alignment horizontal="center"/>
    </xf>
    <xf numFmtId="0" fontId="25" fillId="0" borderId="0">
      <alignment horizontal="left" vertical="center" wrapText="1"/>
    </xf>
    <xf numFmtId="0" fontId="26" fillId="6" borderId="28">
      <alignment horizontal="center"/>
    </xf>
    <xf numFmtId="0" fontId="26" fillId="15" borderId="0">
      <alignment horizontal="center"/>
    </xf>
    <xf numFmtId="173" fontId="26" fillId="6" borderId="22">
      <alignment horizontal="center"/>
    </xf>
    <xf numFmtId="173" fontId="26" fillId="6" borderId="10">
      <alignment horizontal="center"/>
    </xf>
    <xf numFmtId="0" fontId="26" fillId="6" borderId="10">
      <alignment horizontal="center"/>
    </xf>
    <xf numFmtId="173" fontId="26" fillId="6" borderId="28">
      <alignment horizontal="center"/>
    </xf>
    <xf numFmtId="0" fontId="26" fillId="6" borderId="29">
      <alignment horizontal="center"/>
    </xf>
    <xf numFmtId="0" fontId="26" fillId="6" borderId="3">
      <alignment horizontal="center"/>
    </xf>
    <xf numFmtId="0" fontId="26" fillId="6" borderId="3">
      <alignment horizontal="center"/>
    </xf>
    <xf numFmtId="0" fontId="26" fillId="6" borderId="30">
      <alignment horizontal="center"/>
    </xf>
    <xf numFmtId="0" fontId="25" fillId="0" borderId="0"/>
    <xf numFmtId="0" fontId="26" fillId="6" borderId="21">
      <alignment horizontal="center"/>
    </xf>
    <xf numFmtId="0" fontId="26" fillId="6" borderId="0">
      <alignment horizontal="center"/>
    </xf>
    <xf numFmtId="0" fontId="26" fillId="6" borderId="27">
      <alignment horizontal="center"/>
    </xf>
    <xf numFmtId="0" fontId="42" fillId="0" borderId="0">
      <alignment horizontal="left"/>
    </xf>
    <xf numFmtId="49" fontId="25" fillId="0" borderId="0">
      <alignment horizontal="left"/>
    </xf>
    <xf numFmtId="0" fontId="42" fillId="0" borderId="0">
      <alignment horizontal="left"/>
    </xf>
    <xf numFmtId="15" fontId="78" fillId="15" borderId="0">
      <alignment horizontal="left"/>
    </xf>
    <xf numFmtId="0" fontId="25" fillId="0" borderId="0">
      <alignment horizontal="right"/>
    </xf>
    <xf numFmtId="49" fontId="25" fillId="0" borderId="0">
      <alignment horizontal="left"/>
    </xf>
    <xf numFmtId="49" fontId="25" fillId="0" borderId="0">
      <alignment horizontal="left"/>
    </xf>
    <xf numFmtId="10" fontId="78" fillId="0" borderId="0"/>
    <xf numFmtId="0" fontId="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4" fillId="0" borderId="0">
      <alignment horizontal="left" vertical="top"/>
      <protection locked="0"/>
    </xf>
    <xf numFmtId="0" fontId="38" fillId="0" borderId="11" applyNumberFormat="0" applyFont="0" applyFill="0" applyAlignment="0" applyProtection="0"/>
    <xf numFmtId="40" fontId="85" fillId="15" borderId="0">
      <alignment horizontal="right"/>
    </xf>
    <xf numFmtId="0" fontId="86" fillId="15" borderId="0">
      <alignment horizontal="right"/>
    </xf>
    <xf numFmtId="0" fontId="87" fillId="15" borderId="14"/>
    <xf numFmtId="0" fontId="87" fillId="0" borderId="0" applyBorder="0">
      <alignment horizontal="centerContinuous"/>
    </xf>
    <xf numFmtId="232" fontId="88" fillId="0" borderId="0" applyFill="0">
      <alignment horizontal="center" vertical="center"/>
    </xf>
    <xf numFmtId="0" fontId="26" fillId="0" borderId="31" applyNumberFormat="0" applyAlignment="0" applyProtection="0"/>
    <xf numFmtId="0" fontId="25" fillId="16" borderId="0" applyNumberFormat="0" applyFont="0" applyBorder="0" applyAlignment="0" applyProtection="0"/>
    <xf numFmtId="0" fontId="5" fillId="17" borderId="32" applyNumberFormat="0" applyFont="0" applyBorder="0" applyAlignment="0" applyProtection="0">
      <alignment horizontal="center"/>
    </xf>
    <xf numFmtId="0" fontId="5" fillId="18" borderId="32" applyNumberFormat="0" applyFont="0" applyBorder="0" applyAlignment="0" applyProtection="0">
      <alignment horizontal="center"/>
    </xf>
    <xf numFmtId="0" fontId="25" fillId="0" borderId="33" applyNumberFormat="0" applyAlignment="0" applyProtection="0"/>
    <xf numFmtId="0" fontId="25" fillId="0" borderId="34" applyNumberFormat="0" applyAlignment="0" applyProtection="0"/>
    <xf numFmtId="0" fontId="26" fillId="0" borderId="35" applyNumberFormat="0" applyAlignment="0" applyProtection="0"/>
    <xf numFmtId="14" fontId="30" fillId="0" borderId="0">
      <alignment horizontal="center" wrapText="1"/>
      <protection locked="0"/>
    </xf>
    <xf numFmtId="9" fontId="58" fillId="0" borderId="0" applyFont="0" applyFill="0" applyBorder="0" applyAlignment="0" applyProtection="0"/>
    <xf numFmtId="233" fontId="89" fillId="0" borderId="0" applyFont="0" applyFill="0" applyBorder="0" applyAlignment="0" applyProtection="0"/>
    <xf numFmtId="170" fontId="58" fillId="0" borderId="0" applyFont="0" applyFill="0" applyBorder="0" applyAlignment="0" applyProtection="0"/>
    <xf numFmtId="234" fontId="58" fillId="0" borderId="0" applyFont="0" applyFill="0" applyBorder="0" applyAlignment="0" applyProtection="0"/>
    <xf numFmtId="235" fontId="58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9" fillId="0" borderId="0" applyFont="0" applyFill="0" applyBorder="0" applyProtection="0">
      <alignment horizontal="right"/>
    </xf>
    <xf numFmtId="173" fontId="78" fillId="0" borderId="0">
      <alignment horizontal="right"/>
    </xf>
    <xf numFmtId="173" fontId="26" fillId="0" borderId="0">
      <alignment horizontal="left" vertical="center"/>
    </xf>
    <xf numFmtId="172" fontId="5" fillId="0" borderId="0"/>
    <xf numFmtId="173" fontId="78" fillId="0" borderId="0">
      <alignment horizontal="right"/>
    </xf>
    <xf numFmtId="173" fontId="78" fillId="0" borderId="0">
      <alignment horizontal="center"/>
    </xf>
    <xf numFmtId="171" fontId="78" fillId="0" borderId="0">
      <alignment horizontal="right"/>
    </xf>
    <xf numFmtId="173" fontId="78" fillId="0" borderId="3">
      <alignment horizontal="right"/>
    </xf>
    <xf numFmtId="173" fontId="78" fillId="0" borderId="3">
      <alignment horizontal="center"/>
    </xf>
    <xf numFmtId="171" fontId="78" fillId="0" borderId="3">
      <alignment horizontal="right"/>
    </xf>
    <xf numFmtId="43" fontId="78" fillId="0" borderId="3">
      <alignment horizontal="center"/>
    </xf>
    <xf numFmtId="236" fontId="78" fillId="0" borderId="12"/>
    <xf numFmtId="237" fontId="78" fillId="0" borderId="12">
      <alignment horizontal="center"/>
    </xf>
    <xf numFmtId="173" fontId="26" fillId="0" borderId="0">
      <alignment horizontal="right" vertical="center"/>
    </xf>
    <xf numFmtId="237" fontId="78" fillId="0" borderId="18">
      <alignment horizontal="center" wrapText="1"/>
    </xf>
    <xf numFmtId="237" fontId="78" fillId="0" borderId="0">
      <alignment horizontal="center"/>
    </xf>
    <xf numFmtId="237" fontId="78" fillId="0" borderId="14">
      <alignment horizontal="center" wrapText="1"/>
    </xf>
    <xf numFmtId="236" fontId="78" fillId="0" borderId="14">
      <alignment wrapText="1"/>
    </xf>
    <xf numFmtId="236" fontId="78" fillId="0" borderId="3"/>
    <xf numFmtId="236" fontId="78" fillId="0" borderId="16">
      <alignment wrapText="1"/>
    </xf>
    <xf numFmtId="238" fontId="26" fillId="0" borderId="0">
      <alignment horizontal="left"/>
    </xf>
    <xf numFmtId="239" fontId="26" fillId="0" borderId="0">
      <alignment horizontal="left"/>
    </xf>
    <xf numFmtId="240" fontId="26" fillId="0" borderId="0">
      <alignment horizontal="left"/>
    </xf>
    <xf numFmtId="173" fontId="25" fillId="0" borderId="0">
      <alignment vertical="top"/>
    </xf>
    <xf numFmtId="241" fontId="26" fillId="0" borderId="0">
      <alignment horizontal="center"/>
    </xf>
    <xf numFmtId="236" fontId="81" fillId="0" borderId="0"/>
    <xf numFmtId="173" fontId="58" fillId="0" borderId="0">
      <alignment horizontal="right"/>
    </xf>
    <xf numFmtId="173" fontId="58" fillId="0" borderId="0">
      <alignment horizontal="center"/>
    </xf>
    <xf numFmtId="237" fontId="25" fillId="0" borderId="0">
      <alignment horizontal="center" vertical="top"/>
    </xf>
    <xf numFmtId="173" fontId="23" fillId="0" borderId="3">
      <alignment horizontal="centerContinuous"/>
    </xf>
    <xf numFmtId="173" fontId="5" fillId="0" borderId="3">
      <alignment horizontal="center"/>
    </xf>
    <xf numFmtId="173" fontId="5" fillId="0" borderId="0"/>
    <xf numFmtId="173" fontId="5" fillId="0" borderId="3"/>
    <xf numFmtId="43" fontId="5" fillId="0" borderId="3"/>
    <xf numFmtId="43" fontId="23" fillId="0" borderId="0">
      <alignment horizontal="right"/>
    </xf>
    <xf numFmtId="171" fontId="26" fillId="0" borderId="0">
      <alignment horizontal="right" vertical="center"/>
    </xf>
    <xf numFmtId="166" fontId="82" fillId="0" borderId="0">
      <alignment horizontal="center" wrapText="1"/>
    </xf>
    <xf numFmtId="2" fontId="82" fillId="0" borderId="0">
      <alignment horizontal="center"/>
    </xf>
    <xf numFmtId="43" fontId="58" fillId="0" borderId="0"/>
    <xf numFmtId="0" fontId="5" fillId="0" borderId="0">
      <alignment horizontal="center"/>
    </xf>
    <xf numFmtId="43" fontId="25" fillId="0" borderId="0">
      <alignment horizontal="center" vertical="top"/>
    </xf>
    <xf numFmtId="236" fontId="25" fillId="0" borderId="0">
      <alignment horizontal="center" vertical="top"/>
    </xf>
    <xf numFmtId="237" fontId="25" fillId="0" borderId="0">
      <alignment horizontal="center" vertical="top" wrapText="1"/>
    </xf>
    <xf numFmtId="43" fontId="25" fillId="0" borderId="0">
      <alignment horizontal="left" vertical="top"/>
    </xf>
    <xf numFmtId="173" fontId="25" fillId="0" borderId="0">
      <alignment horizontal="right" vertical="top"/>
    </xf>
    <xf numFmtId="43" fontId="25" fillId="0" borderId="0">
      <alignment horizontal="center" vertical="top"/>
    </xf>
    <xf numFmtId="43" fontId="26" fillId="0" borderId="0">
      <alignment horizontal="center"/>
    </xf>
    <xf numFmtId="236" fontId="25" fillId="0" borderId="0">
      <alignment horizontal="center" vertical="top"/>
    </xf>
    <xf numFmtId="237" fontId="25" fillId="0" borderId="0">
      <alignment horizontal="center" vertical="top" wrapText="1"/>
    </xf>
    <xf numFmtId="173" fontId="25" fillId="0" borderId="0">
      <alignment horizontal="left" vertical="top"/>
    </xf>
    <xf numFmtId="43" fontId="25" fillId="0" borderId="0">
      <alignment horizontal="left" vertical="top"/>
    </xf>
    <xf numFmtId="173" fontId="5" fillId="0" borderId="0">
      <alignment horizontal="left"/>
    </xf>
    <xf numFmtId="173" fontId="23" fillId="0" borderId="0">
      <alignment horizontal="centerContinuous"/>
    </xf>
    <xf numFmtId="173" fontId="23" fillId="0" borderId="0">
      <alignment horizontal="left"/>
    </xf>
    <xf numFmtId="173" fontId="23" fillId="0" borderId="3">
      <alignment horizontal="left"/>
    </xf>
    <xf numFmtId="43" fontId="58" fillId="0" borderId="0"/>
    <xf numFmtId="43" fontId="58" fillId="0" borderId="3">
      <alignment horizontal="center"/>
    </xf>
    <xf numFmtId="236" fontId="26" fillId="0" borderId="0">
      <alignment horizontal="center"/>
    </xf>
    <xf numFmtId="43" fontId="58" fillId="0" borderId="3"/>
    <xf numFmtId="43" fontId="23" fillId="0" borderId="0"/>
    <xf numFmtId="173" fontId="5" fillId="14" borderId="0">
      <alignment horizontal="center"/>
    </xf>
    <xf numFmtId="173" fontId="5" fillId="14" borderId="0">
      <alignment horizontal="center"/>
    </xf>
    <xf numFmtId="173" fontId="23" fillId="14" borderId="0">
      <alignment horizontal="centerContinuous"/>
    </xf>
    <xf numFmtId="173" fontId="23" fillId="14" borderId="3">
      <alignment horizontal="center" wrapText="1"/>
    </xf>
    <xf numFmtId="173" fontId="5" fillId="19" borderId="0">
      <alignment horizontal="center"/>
    </xf>
    <xf numFmtId="173" fontId="5" fillId="19" borderId="0">
      <alignment horizontal="center"/>
    </xf>
    <xf numFmtId="173" fontId="23" fillId="19" borderId="0">
      <alignment horizontal="centerContinuous"/>
    </xf>
    <xf numFmtId="173" fontId="23" fillId="19" borderId="3">
      <alignment horizontal="centerContinuous"/>
    </xf>
    <xf numFmtId="236" fontId="26" fillId="0" borderId="0">
      <alignment horizontal="center" wrapText="1"/>
    </xf>
    <xf numFmtId="173" fontId="25" fillId="0" borderId="0"/>
    <xf numFmtId="43" fontId="25" fillId="0" borderId="0"/>
    <xf numFmtId="43" fontId="25" fillId="0" borderId="0">
      <alignment horizontal="center"/>
    </xf>
    <xf numFmtId="173" fontId="25" fillId="0" borderId="0"/>
    <xf numFmtId="172" fontId="25" fillId="0" borderId="0"/>
    <xf numFmtId="43" fontId="25" fillId="0" borderId="27"/>
    <xf numFmtId="173" fontId="25" fillId="0" borderId="3"/>
    <xf numFmtId="43" fontId="25" fillId="0" borderId="28"/>
    <xf numFmtId="172" fontId="25" fillId="0" borderId="10"/>
    <xf numFmtId="10" fontId="25" fillId="0" borderId="0"/>
    <xf numFmtId="238" fontId="26" fillId="0" borderId="0">
      <alignment horizontal="center"/>
    </xf>
    <xf numFmtId="43" fontId="25" fillId="0" borderId="0"/>
    <xf numFmtId="242" fontId="26" fillId="0" borderId="0">
      <alignment horizontal="center" vertical="top"/>
    </xf>
    <xf numFmtId="14" fontId="23" fillId="0" borderId="0">
      <alignment horizontal="center"/>
    </xf>
    <xf numFmtId="4" fontId="58" fillId="0" borderId="0">
      <alignment horizontal="right" vertical="top"/>
    </xf>
    <xf numFmtId="173" fontId="58" fillId="0" borderId="0">
      <alignment horizontal="center" vertical="top"/>
    </xf>
    <xf numFmtId="173" fontId="25" fillId="0" borderId="3">
      <alignment horizontal="right" vertical="top"/>
    </xf>
    <xf numFmtId="171" fontId="25" fillId="0" borderId="3">
      <alignment horizontal="center" vertical="top"/>
    </xf>
    <xf numFmtId="43" fontId="25" fillId="0" borderId="3">
      <alignment horizontal="center" vertical="top"/>
    </xf>
    <xf numFmtId="236" fontId="25" fillId="0" borderId="3">
      <alignment horizontal="center" vertical="top"/>
    </xf>
    <xf numFmtId="237" fontId="25" fillId="0" borderId="3">
      <alignment horizontal="center" vertical="top" wrapText="1"/>
    </xf>
    <xf numFmtId="238" fontId="26" fillId="0" borderId="0">
      <alignment horizontal="center" wrapText="1"/>
    </xf>
    <xf numFmtId="173" fontId="25" fillId="0" borderId="3">
      <alignment horizontal="center" vertical="top"/>
    </xf>
    <xf numFmtId="173" fontId="25" fillId="0" borderId="3">
      <alignment horizontal="left" vertical="top"/>
    </xf>
    <xf numFmtId="173" fontId="25" fillId="0" borderId="3">
      <alignment vertical="top"/>
    </xf>
    <xf numFmtId="43" fontId="25" fillId="0" borderId="3">
      <alignment horizontal="left" vertical="top"/>
    </xf>
    <xf numFmtId="237" fontId="25" fillId="0" borderId="3">
      <alignment horizontal="center" vertical="top"/>
    </xf>
    <xf numFmtId="43" fontId="5" fillId="0" borderId="0">
      <alignment horizontal="center"/>
    </xf>
    <xf numFmtId="173" fontId="26" fillId="0" borderId="24">
      <alignment horizontal="right" vertical="center"/>
    </xf>
    <xf numFmtId="240" fontId="26" fillId="0" borderId="24">
      <alignment horizontal="left"/>
    </xf>
    <xf numFmtId="243" fontId="26" fillId="0" borderId="24">
      <alignment horizontal="left"/>
    </xf>
    <xf numFmtId="171" fontId="26" fillId="0" borderId="24">
      <alignment horizontal="right" vertical="center"/>
    </xf>
    <xf numFmtId="173" fontId="26" fillId="0" borderId="0">
      <alignment horizontal="left"/>
    </xf>
    <xf numFmtId="173" fontId="26" fillId="0" borderId="10">
      <alignment horizontal="right" vertical="center"/>
    </xf>
    <xf numFmtId="240" fontId="26" fillId="0" borderId="10">
      <alignment horizontal="left"/>
    </xf>
    <xf numFmtId="243" fontId="26" fillId="0" borderId="10">
      <alignment horizontal="left"/>
    </xf>
    <xf numFmtId="171" fontId="26" fillId="0" borderId="10">
      <alignment horizontal="right"/>
    </xf>
    <xf numFmtId="244" fontId="26" fillId="0" borderId="28">
      <alignment horizontal="left"/>
    </xf>
    <xf numFmtId="173" fontId="26" fillId="0" borderId="10">
      <alignment horizontal="left" vertical="center"/>
    </xf>
    <xf numFmtId="172" fontId="5" fillId="0" borderId="0">
      <alignment horizontal="center"/>
    </xf>
    <xf numFmtId="43" fontId="5" fillId="14" borderId="0">
      <alignment horizontal="center"/>
    </xf>
    <xf numFmtId="43" fontId="5" fillId="19" borderId="0">
      <alignment horizontal="center"/>
    </xf>
    <xf numFmtId="243" fontId="26" fillId="0" borderId="0">
      <alignment horizontal="left"/>
    </xf>
    <xf numFmtId="170" fontId="23" fillId="0" borderId="0" applyFill="0" applyBorder="0" applyAlignment="0" applyProtection="0"/>
    <xf numFmtId="173" fontId="78" fillId="0" borderId="0">
      <alignment horizontal="center"/>
    </xf>
    <xf numFmtId="173" fontId="26" fillId="0" borderId="0">
      <alignment horizontal="right"/>
    </xf>
    <xf numFmtId="244" fontId="26" fillId="0" borderId="27">
      <alignment horizontal="left"/>
    </xf>
    <xf numFmtId="43" fontId="25" fillId="0" borderId="26">
      <alignment horizontal="center"/>
    </xf>
    <xf numFmtId="173" fontId="26" fillId="0" borderId="3">
      <alignment horizontal="right" vertical="center"/>
    </xf>
    <xf numFmtId="245" fontId="26" fillId="0" borderId="27">
      <alignment horizontal="left"/>
    </xf>
    <xf numFmtId="173" fontId="25" fillId="13" borderId="0"/>
    <xf numFmtId="173" fontId="25" fillId="13" borderId="0">
      <alignment horizontal="center" vertical="top"/>
    </xf>
    <xf numFmtId="173" fontId="25" fillId="0" borderId="10"/>
    <xf numFmtId="173" fontId="25" fillId="13" borderId="0">
      <alignment horizontal="center" vertical="top"/>
    </xf>
    <xf numFmtId="173" fontId="25" fillId="13" borderId="0">
      <alignment horizontal="right" vertical="top"/>
    </xf>
    <xf numFmtId="171" fontId="25" fillId="13" borderId="0">
      <alignment horizontal="center" vertical="top"/>
    </xf>
    <xf numFmtId="171" fontId="26" fillId="0" borderId="0">
      <alignment horizontal="right"/>
    </xf>
    <xf numFmtId="43" fontId="25" fillId="13" borderId="0">
      <alignment horizontal="center" vertical="top"/>
    </xf>
    <xf numFmtId="236" fontId="25" fillId="13" borderId="0">
      <alignment horizontal="center" vertical="top"/>
    </xf>
    <xf numFmtId="237" fontId="25" fillId="13" borderId="0">
      <alignment horizontal="center" vertical="top"/>
    </xf>
    <xf numFmtId="237" fontId="25" fillId="13" borderId="0">
      <alignment horizontal="center" vertical="top" wrapText="1"/>
    </xf>
    <xf numFmtId="173" fontId="25" fillId="13" borderId="0">
      <alignment horizontal="left" vertical="top"/>
    </xf>
    <xf numFmtId="43" fontId="25" fillId="13" borderId="0">
      <alignment horizontal="left" vertical="top"/>
    </xf>
    <xf numFmtId="43" fontId="25" fillId="13" borderId="0"/>
    <xf numFmtId="173" fontId="25" fillId="14" borderId="0">
      <alignment horizontal="center" vertical="top"/>
    </xf>
    <xf numFmtId="173" fontId="25" fillId="14" borderId="0">
      <alignment horizontal="right" vertical="top"/>
    </xf>
    <xf numFmtId="171" fontId="25" fillId="14" borderId="0">
      <alignment horizontal="center" vertical="top"/>
    </xf>
    <xf numFmtId="173" fontId="25" fillId="0" borderId="0">
      <alignment horizontal="right"/>
    </xf>
    <xf numFmtId="43" fontId="25" fillId="14" borderId="0">
      <alignment horizontal="center" vertical="top"/>
    </xf>
    <xf numFmtId="236" fontId="25" fillId="14" borderId="0">
      <alignment horizontal="center" vertical="top"/>
    </xf>
    <xf numFmtId="237" fontId="25" fillId="14" borderId="0">
      <alignment horizontal="center" vertical="top"/>
    </xf>
    <xf numFmtId="237" fontId="25" fillId="14" borderId="0">
      <alignment horizontal="center" vertical="top" wrapText="1"/>
    </xf>
    <xf numFmtId="173" fontId="25" fillId="14" borderId="0">
      <alignment horizontal="center" vertical="top"/>
    </xf>
    <xf numFmtId="173" fontId="25" fillId="14" borderId="0">
      <alignment horizontal="left" vertical="top"/>
    </xf>
    <xf numFmtId="173" fontId="25" fillId="14" borderId="0"/>
    <xf numFmtId="43" fontId="25" fillId="14" borderId="0">
      <alignment horizontal="left" vertical="top"/>
    </xf>
    <xf numFmtId="236" fontId="25" fillId="14" borderId="0">
      <alignment horizontal="center" vertical="top"/>
    </xf>
    <xf numFmtId="237" fontId="78" fillId="14" borderId="0">
      <alignment horizontal="center" wrapText="1"/>
    </xf>
    <xf numFmtId="173" fontId="25" fillId="0" borderId="0"/>
    <xf numFmtId="173" fontId="25" fillId="14" borderId="0">
      <alignment horizontal="left" vertical="top"/>
    </xf>
    <xf numFmtId="173" fontId="25" fillId="14" borderId="0">
      <alignment horizontal="right"/>
    </xf>
    <xf numFmtId="173" fontId="25" fillId="14" borderId="0">
      <alignment horizontal="right"/>
    </xf>
    <xf numFmtId="4" fontId="58" fillId="14" borderId="0">
      <alignment horizontal="right" vertical="top"/>
    </xf>
    <xf numFmtId="43" fontId="25" fillId="14" borderId="0">
      <alignment horizontal="center" vertical="top"/>
    </xf>
    <xf numFmtId="237" fontId="25" fillId="14" borderId="0">
      <alignment horizontal="center" vertical="top" wrapText="1"/>
    </xf>
    <xf numFmtId="43" fontId="25" fillId="14" borderId="0">
      <alignment horizontal="left" vertical="top"/>
    </xf>
    <xf numFmtId="173" fontId="26" fillId="6" borderId="9">
      <alignment horizontal="right" wrapText="1"/>
    </xf>
    <xf numFmtId="173" fontId="26" fillId="6" borderId="9">
      <alignment horizontal="center" wrapText="1"/>
    </xf>
    <xf numFmtId="171" fontId="26" fillId="6" borderId="9">
      <alignment horizontal="right" wrapText="1"/>
    </xf>
    <xf numFmtId="43" fontId="26" fillId="6" borderId="9">
      <alignment horizontal="center" wrapText="1"/>
    </xf>
    <xf numFmtId="236" fontId="26" fillId="6" borderId="9">
      <alignment horizontal="center" wrapText="1"/>
    </xf>
    <xf numFmtId="236" fontId="26" fillId="6" borderId="9">
      <alignment horizontal="center" wrapText="1"/>
    </xf>
    <xf numFmtId="208" fontId="27" fillId="0" borderId="0">
      <alignment horizontal="left" vertical="center" wrapText="1"/>
    </xf>
    <xf numFmtId="173" fontId="25" fillId="0" borderId="0">
      <alignment horizontal="right"/>
    </xf>
    <xf numFmtId="173" fontId="25" fillId="0" borderId="0"/>
    <xf numFmtId="171" fontId="25" fillId="0" borderId="0">
      <alignment horizontal="right"/>
    </xf>
    <xf numFmtId="43" fontId="25" fillId="0" borderId="0">
      <alignment horizontal="center"/>
    </xf>
    <xf numFmtId="236" fontId="25" fillId="0" borderId="0"/>
    <xf numFmtId="236" fontId="25" fillId="0" borderId="0">
      <alignment wrapText="1"/>
    </xf>
    <xf numFmtId="171" fontId="25" fillId="0" borderId="0">
      <alignment horizontal="center" vertical="top"/>
    </xf>
    <xf numFmtId="173" fontId="25" fillId="0" borderId="0">
      <alignment horizontal="center" vertical="top"/>
    </xf>
    <xf numFmtId="173" fontId="25" fillId="0" borderId="0">
      <alignment horizontal="center" vertical="top"/>
    </xf>
    <xf numFmtId="173" fontId="25" fillId="0" borderId="0">
      <alignment horizontal="left" vertical="top"/>
    </xf>
    <xf numFmtId="173" fontId="25" fillId="0" borderId="0">
      <alignment horizontal="right" vertical="center" wrapText="1"/>
    </xf>
    <xf numFmtId="173" fontId="25" fillId="0" borderId="0">
      <alignment horizontal="right" vertical="top"/>
    </xf>
    <xf numFmtId="171" fontId="25" fillId="0" borderId="0">
      <alignment horizontal="center" vertical="top"/>
    </xf>
    <xf numFmtId="171" fontId="78" fillId="0" borderId="0">
      <alignment horizontal="right"/>
    </xf>
    <xf numFmtId="43" fontId="78" fillId="0" borderId="0">
      <alignment horizontal="center"/>
    </xf>
    <xf numFmtId="236" fontId="78" fillId="0" borderId="0"/>
    <xf numFmtId="237" fontId="78" fillId="0" borderId="0">
      <alignment horizontal="center"/>
    </xf>
    <xf numFmtId="237" fontId="78" fillId="0" borderId="0">
      <alignment horizontal="center" wrapText="1"/>
    </xf>
    <xf numFmtId="236" fontId="78" fillId="0" borderId="0">
      <alignment wrapText="1"/>
    </xf>
    <xf numFmtId="43" fontId="58" fillId="0" borderId="0">
      <alignment horizontal="center"/>
    </xf>
    <xf numFmtId="43" fontId="58" fillId="0" borderId="0"/>
    <xf numFmtId="173" fontId="25" fillId="0" borderId="0">
      <alignment horizontal="center" vertical="center" wrapText="1"/>
    </xf>
    <xf numFmtId="43" fontId="58" fillId="0" borderId="17">
      <alignment horizontal="center" vertical="center"/>
    </xf>
    <xf numFmtId="43" fontId="58" fillId="0" borderId="12">
      <alignment horizontal="center" vertical="center"/>
    </xf>
    <xf numFmtId="43" fontId="82" fillId="0" borderId="12">
      <alignment horizontal="center" vertical="center"/>
    </xf>
    <xf numFmtId="43" fontId="82" fillId="0" borderId="13">
      <alignment horizontal="center"/>
    </xf>
    <xf numFmtId="43" fontId="82" fillId="0" borderId="0">
      <alignment horizontal="center"/>
    </xf>
    <xf numFmtId="2" fontId="82" fillId="0" borderId="0">
      <alignment horizontal="center"/>
    </xf>
    <xf numFmtId="43" fontId="82" fillId="0" borderId="14">
      <alignment horizontal="center"/>
    </xf>
    <xf numFmtId="43" fontId="82" fillId="0" borderId="0">
      <alignment horizontal="center"/>
    </xf>
    <xf numFmtId="173" fontId="82" fillId="0" borderId="0">
      <alignment horizontal="center" wrapText="1"/>
    </xf>
    <xf numFmtId="173" fontId="82" fillId="0" borderId="3">
      <alignment horizontal="center" wrapText="1"/>
    </xf>
    <xf numFmtId="171" fontId="25" fillId="0" borderId="0">
      <alignment horizontal="right" vertical="center" wrapText="1"/>
    </xf>
    <xf numFmtId="166" fontId="82" fillId="0" borderId="3">
      <alignment horizontal="center" wrapText="1"/>
    </xf>
    <xf numFmtId="43" fontId="90" fillId="0" borderId="0">
      <alignment horizontal="left"/>
    </xf>
    <xf numFmtId="43" fontId="82" fillId="0" borderId="0">
      <alignment horizontal="center" wrapText="1"/>
    </xf>
    <xf numFmtId="43" fontId="82" fillId="0" borderId="0">
      <alignment wrapText="1"/>
    </xf>
    <xf numFmtId="43" fontId="82" fillId="6" borderId="9">
      <alignment horizontal="right" wrapText="1"/>
    </xf>
    <xf numFmtId="43" fontId="82" fillId="6" borderId="9">
      <alignment horizontal="center" wrapText="1"/>
    </xf>
    <xf numFmtId="173" fontId="5" fillId="0" borderId="0"/>
    <xf numFmtId="173" fontId="5" fillId="0" borderId="0">
      <alignment horizontal="center"/>
    </xf>
    <xf numFmtId="173" fontId="5" fillId="0" borderId="0">
      <alignment horizontal="left"/>
    </xf>
    <xf numFmtId="173" fontId="5" fillId="0" borderId="0">
      <alignment horizontal="center"/>
    </xf>
    <xf numFmtId="43" fontId="26" fillId="0" borderId="0">
      <alignment horizontal="center" vertical="center" wrapText="1"/>
    </xf>
    <xf numFmtId="173" fontId="23" fillId="0" borderId="0">
      <alignment horizontal="center"/>
    </xf>
    <xf numFmtId="173" fontId="5" fillId="0" borderId="0"/>
    <xf numFmtId="173" fontId="83" fillId="0" borderId="0">
      <alignment horizontal="left" vertical="center"/>
    </xf>
    <xf numFmtId="173" fontId="26" fillId="0" borderId="27"/>
    <xf numFmtId="173" fontId="26" fillId="0" borderId="0"/>
    <xf numFmtId="43" fontId="26" fillId="0" borderId="0"/>
    <xf numFmtId="43" fontId="26" fillId="0" borderId="0">
      <alignment horizontal="center"/>
    </xf>
    <xf numFmtId="173" fontId="26" fillId="0" borderId="0">
      <alignment horizontal="center"/>
    </xf>
    <xf numFmtId="173" fontId="26" fillId="6" borderId="24">
      <alignment horizontal="center"/>
    </xf>
    <xf numFmtId="49" fontId="25" fillId="0" borderId="0">
      <alignment horizontal="left"/>
    </xf>
    <xf numFmtId="236" fontId="26" fillId="0" borderId="0">
      <alignment horizontal="center" vertical="center" wrapText="1"/>
    </xf>
    <xf numFmtId="49" fontId="25" fillId="0" borderId="13">
      <alignment horizontal="left"/>
    </xf>
    <xf numFmtId="49" fontId="25" fillId="0" borderId="15">
      <alignment horizontal="left"/>
    </xf>
    <xf numFmtId="173" fontId="80" fillId="0" borderId="14"/>
    <xf numFmtId="49" fontId="25" fillId="0" borderId="14">
      <alignment horizontal="left"/>
    </xf>
    <xf numFmtId="173" fontId="5" fillId="0" borderId="0">
      <alignment horizontal="center"/>
    </xf>
    <xf numFmtId="173" fontId="5" fillId="0" borderId="0"/>
    <xf numFmtId="173" fontId="5" fillId="0" borderId="0"/>
    <xf numFmtId="173" fontId="23" fillId="0" borderId="0">
      <alignment horizontal="right"/>
    </xf>
    <xf numFmtId="173" fontId="23" fillId="0" borderId="0">
      <alignment horizontal="center"/>
    </xf>
    <xf numFmtId="173" fontId="23" fillId="0" borderId="3"/>
    <xf numFmtId="173" fontId="26" fillId="0" borderId="0">
      <alignment horizontal="left" vertical="center" wrapText="1"/>
    </xf>
    <xf numFmtId="173" fontId="23" fillId="0" borderId="3">
      <alignment horizontal="center"/>
    </xf>
    <xf numFmtId="173" fontId="23" fillId="0" borderId="3">
      <alignment horizontal="center" wrapText="1"/>
    </xf>
    <xf numFmtId="173" fontId="23" fillId="0" borderId="0"/>
    <xf numFmtId="173" fontId="23" fillId="0" borderId="3">
      <alignment horizontal="center" wrapText="1"/>
    </xf>
    <xf numFmtId="173" fontId="23" fillId="0" borderId="0">
      <alignment horizontal="center"/>
    </xf>
    <xf numFmtId="173" fontId="23" fillId="0" borderId="3">
      <alignment horizontal="center"/>
    </xf>
    <xf numFmtId="173" fontId="23" fillId="0" borderId="0"/>
    <xf numFmtId="173" fontId="23" fillId="0" borderId="3">
      <alignment horizontal="left" wrapText="1"/>
    </xf>
    <xf numFmtId="237" fontId="5" fillId="0" borderId="0">
      <alignment horizontal="center"/>
    </xf>
    <xf numFmtId="237" fontId="5" fillId="0" borderId="0">
      <alignment horizontal="left"/>
    </xf>
    <xf numFmtId="0" fontId="91" fillId="0" borderId="0"/>
    <xf numFmtId="10" fontId="9" fillId="0" borderId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0" fontId="29" fillId="0" borderId="0" applyFill="0" applyBorder="0" applyAlignment="0"/>
    <xf numFmtId="228" fontId="9" fillId="0" borderId="0"/>
    <xf numFmtId="0" fontId="92" fillId="6" borderId="0"/>
    <xf numFmtId="0" fontId="57" fillId="0" borderId="0" applyNumberFormat="0" applyFont="0" applyFill="0" applyBorder="0" applyAlignment="0" applyProtection="0">
      <alignment horizontal="left"/>
    </xf>
    <xf numFmtId="15" fontId="57" fillId="0" borderId="0" applyFont="0" applyFill="0" applyBorder="0" applyAlignment="0" applyProtection="0"/>
    <xf numFmtId="4" fontId="57" fillId="0" borderId="0" applyFont="0" applyFill="0" applyBorder="0" applyAlignment="0" applyProtection="0"/>
    <xf numFmtId="0" fontId="93" fillId="0" borderId="10">
      <alignment horizontal="center"/>
    </xf>
    <xf numFmtId="3" fontId="57" fillId="0" borderId="0" applyFont="0" applyFill="0" applyBorder="0" applyAlignment="0" applyProtection="0"/>
    <xf numFmtId="0" fontId="57" fillId="20" borderId="0" applyNumberFormat="0" applyFont="0" applyBorder="0" applyAlignment="0" applyProtection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246" fontId="94" fillId="0" borderId="0"/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" fillId="0" borderId="0" applyFont="0" applyFill="0" applyBorder="0" applyProtection="0">
      <alignment horizontal="right"/>
    </xf>
    <xf numFmtId="0" fontId="95" fillId="21" borderId="0" applyNumberFormat="0" applyFont="0" applyBorder="0" applyAlignment="0">
      <alignment horizontal="center"/>
    </xf>
    <xf numFmtId="14" fontId="44" fillId="0" borderId="0" applyNumberFormat="0" applyFill="0" applyBorder="0" applyAlignment="0" applyProtection="0">
      <alignment horizontal="left"/>
    </xf>
    <xf numFmtId="49" fontId="5" fillId="0" borderId="0" applyFont="0" applyFill="0" applyBorder="0" applyProtection="0">
      <alignment horizontal="right"/>
    </xf>
    <xf numFmtId="49" fontId="23" fillId="0" borderId="0" applyFill="0" applyBorder="0" applyProtection="0">
      <alignment horizontal="right"/>
    </xf>
    <xf numFmtId="49" fontId="23" fillId="0" borderId="3" applyFill="0" applyProtection="0">
      <alignment horizontal="right"/>
    </xf>
    <xf numFmtId="49" fontId="23" fillId="0" borderId="12" applyFill="0" applyProtection="0">
      <alignment horizontal="right"/>
    </xf>
    <xf numFmtId="0" fontId="67" fillId="0" borderId="0" applyFill="0" applyBorder="0" applyProtection="0">
      <alignment horizontal="left"/>
    </xf>
    <xf numFmtId="0" fontId="16" fillId="22" borderId="0"/>
    <xf numFmtId="0" fontId="95" fillId="1" borderId="8" applyNumberFormat="0" applyFont="0" applyAlignment="0">
      <alignment horizontal="center"/>
    </xf>
    <xf numFmtId="247" fontId="96" fillId="0" borderId="0" applyFont="0" applyFill="0" applyBorder="0" applyAlignment="0" applyProtection="0"/>
    <xf numFmtId="1" fontId="9" fillId="0" borderId="0"/>
    <xf numFmtId="0" fontId="5" fillId="0" borderId="0" applyFont="0" applyFill="0" applyBorder="0" applyAlignment="0" applyProtection="0"/>
    <xf numFmtId="0" fontId="23" fillId="0" borderId="0" applyFill="0" applyBorder="0" applyAlignment="0" applyProtection="0"/>
    <xf numFmtId="42" fontId="24" fillId="0" borderId="0" applyFill="0" applyBorder="0" applyAlignment="0" applyProtection="0"/>
    <xf numFmtId="0" fontId="97" fillId="0" borderId="0" applyNumberFormat="0" applyFill="0" applyBorder="0" applyAlignment="0">
      <alignment horizontal="center"/>
    </xf>
    <xf numFmtId="12" fontId="9" fillId="0" borderId="0" applyFont="0" applyFill="0" applyBorder="0" applyProtection="0">
      <alignment horizontal="right"/>
    </xf>
    <xf numFmtId="0" fontId="9" fillId="23" borderId="0" applyFont="0" applyFill="0" applyBorder="0" applyProtection="0">
      <alignment horizontal="right"/>
    </xf>
    <xf numFmtId="0" fontId="7" fillId="0" borderId="0">
      <alignment vertical="top"/>
    </xf>
    <xf numFmtId="0" fontId="82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Fill="0" applyBorder="0" applyProtection="0">
      <alignment horizontal="left" wrapText="1"/>
    </xf>
    <xf numFmtId="0" fontId="26" fillId="0" borderId="0" applyNumberFormat="0" applyFill="0" applyBorder="0" applyProtection="0">
      <alignment horizontal="right" wrapText="1"/>
    </xf>
    <xf numFmtId="1" fontId="25" fillId="0" borderId="0" applyFill="0" applyBorder="0" applyProtection="0">
      <alignment horizontal="left"/>
    </xf>
    <xf numFmtId="49" fontId="25" fillId="0" borderId="0" applyFill="0" applyBorder="0" applyProtection="0">
      <alignment horizontal="left"/>
    </xf>
    <xf numFmtId="1" fontId="25" fillId="0" borderId="0" applyFill="0" applyBorder="0" applyProtection="0">
      <alignment horizontal="center"/>
    </xf>
    <xf numFmtId="37" fontId="25" fillId="0" borderId="0" applyFill="0" applyBorder="0" applyProtection="0">
      <alignment horizontal="right"/>
    </xf>
    <xf numFmtId="7" fontId="25" fillId="0" borderId="0" applyFill="0" applyBorder="0" applyProtection="0">
      <alignment horizontal="right"/>
    </xf>
    <xf numFmtId="248" fontId="25" fillId="0" borderId="0" applyFill="0" applyBorder="0" applyProtection="0">
      <alignment horizontal="left"/>
    </xf>
    <xf numFmtId="37" fontId="26" fillId="0" borderId="0" applyFill="0" applyBorder="0" applyProtection="0">
      <alignment horizontal="right"/>
    </xf>
    <xf numFmtId="7" fontId="26" fillId="0" borderId="0" applyFill="0" applyBorder="0" applyProtection="0">
      <alignment horizontal="right"/>
    </xf>
    <xf numFmtId="249" fontId="25" fillId="0" borderId="0" applyFill="0" applyBorder="0" applyProtection="0">
      <alignment horizontal="right"/>
    </xf>
    <xf numFmtId="250" fontId="25" fillId="0" borderId="0" applyFill="0" applyBorder="0" applyProtection="0">
      <alignment horizontal="right"/>
    </xf>
    <xf numFmtId="251" fontId="25" fillId="0" borderId="0" applyFill="0" applyBorder="0" applyProtection="0">
      <alignment horizontal="right"/>
    </xf>
    <xf numFmtId="14" fontId="25" fillId="0" borderId="0" applyFill="0" applyBorder="0" applyProtection="0">
      <alignment horizontal="right"/>
    </xf>
    <xf numFmtId="14" fontId="25" fillId="0" borderId="0" applyFill="0" applyBorder="0" applyProtection="0">
      <alignment horizontal="right"/>
    </xf>
    <xf numFmtId="252" fontId="25" fillId="0" borderId="0" applyFill="0" applyBorder="0" applyProtection="0">
      <alignment horizontal="left"/>
    </xf>
    <xf numFmtId="253" fontId="25" fillId="0" borderId="0" applyFill="0" applyBorder="0" applyProtection="0">
      <alignment horizontal="left"/>
    </xf>
    <xf numFmtId="249" fontId="26" fillId="0" borderId="0" applyFill="0" applyBorder="0" applyProtection="0">
      <alignment horizontal="right"/>
    </xf>
    <xf numFmtId="1" fontId="26" fillId="0" borderId="0" applyFill="0" applyBorder="0" applyProtection="0">
      <alignment horizontal="left"/>
    </xf>
    <xf numFmtId="248" fontId="26" fillId="0" borderId="0" applyFill="0" applyBorder="0" applyProtection="0">
      <alignment horizontal="left"/>
    </xf>
    <xf numFmtId="37" fontId="26" fillId="0" borderId="0" applyFill="0" applyBorder="0" applyProtection="0">
      <alignment horizontal="right"/>
    </xf>
    <xf numFmtId="1" fontId="98" fillId="0" borderId="0" applyFill="0" applyBorder="0" applyProtection="0">
      <alignment horizontal="left"/>
    </xf>
    <xf numFmtId="49" fontId="25" fillId="0" borderId="0" applyFill="0" applyBorder="0" applyProtection="0">
      <alignment horizontal="left"/>
    </xf>
    <xf numFmtId="253" fontId="25" fillId="0" borderId="0" applyFill="0" applyBorder="0" applyProtection="0">
      <alignment horizontal="left"/>
    </xf>
    <xf numFmtId="0" fontId="7" fillId="0" borderId="0" applyNumberFormat="0" applyBorder="0" applyAlignment="0"/>
    <xf numFmtId="0" fontId="17" fillId="0" borderId="0"/>
    <xf numFmtId="40" fontId="99" fillId="0" borderId="0" applyBorder="0">
      <alignment horizontal="right"/>
    </xf>
    <xf numFmtId="6" fontId="73" fillId="0" borderId="36" applyFill="0">
      <alignment vertical="center"/>
    </xf>
    <xf numFmtId="0" fontId="18" fillId="0" borderId="0"/>
    <xf numFmtId="0" fontId="100" fillId="0" borderId="0"/>
    <xf numFmtId="0" fontId="5" fillId="0" borderId="0"/>
    <xf numFmtId="49" fontId="7" fillId="0" borderId="0" applyFill="0" applyBorder="0" applyAlignment="0"/>
    <xf numFmtId="0" fontId="29" fillId="0" borderId="0" applyFill="0" applyBorder="0" applyAlignment="0"/>
    <xf numFmtId="202" fontId="9" fillId="0" borderId="0" applyFill="0" applyBorder="0" applyAlignment="0"/>
    <xf numFmtId="0" fontId="19" fillId="0" borderId="0"/>
    <xf numFmtId="0" fontId="20" fillId="0" borderId="0"/>
    <xf numFmtId="0" fontId="21" fillId="0" borderId="0">
      <alignment vertical="top"/>
    </xf>
    <xf numFmtId="254" fontId="73" fillId="0" borderId="0" applyFill="0" applyBorder="0">
      <alignment vertical="center"/>
    </xf>
    <xf numFmtId="0" fontId="25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8" fontId="101" fillId="0" borderId="0" applyNumberFormat="0" applyFill="0" applyBorder="0">
      <alignment horizontal="left" vertical="center"/>
    </xf>
    <xf numFmtId="38" fontId="102" fillId="0" borderId="0" applyNumberFormat="0" applyFill="0" applyBorder="0">
      <alignment horizontal="centerContinuous" vertical="center"/>
    </xf>
    <xf numFmtId="0" fontId="22" fillId="0" borderId="0">
      <alignment vertical="top"/>
    </xf>
    <xf numFmtId="0" fontId="103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8" fillId="0" borderId="0" applyFill="0" applyBorder="0" applyAlignment="0" applyProtection="0"/>
    <xf numFmtId="0" fontId="19" fillId="0" borderId="0">
      <alignment wrapText="1"/>
    </xf>
    <xf numFmtId="0" fontId="104" fillId="0" borderId="0">
      <alignment horizontal="left"/>
      <protection locked="0"/>
    </xf>
    <xf numFmtId="5" fontId="89" fillId="0" borderId="0">
      <alignment vertical="center"/>
    </xf>
    <xf numFmtId="224" fontId="29" fillId="0" borderId="0"/>
    <xf numFmtId="255" fontId="30" fillId="0" borderId="0" applyFill="0" applyBorder="0" applyAlignment="0" applyProtection="0"/>
    <xf numFmtId="14" fontId="25" fillId="0" borderId="0" applyFont="0" applyFill="0" applyBorder="0" applyProtection="0"/>
    <xf numFmtId="256" fontId="105" fillId="0" borderId="0" applyFill="0" applyBorder="0">
      <alignment vertical="center"/>
    </xf>
    <xf numFmtId="0" fontId="73" fillId="24" borderId="37" applyNumberFormat="0" applyFont="0" applyBorder="0" applyAlignment="0" applyProtection="0">
      <alignment horizontal="right"/>
    </xf>
    <xf numFmtId="257" fontId="24" fillId="0" borderId="0" applyFont="0" applyFill="0" applyBorder="0" applyAlignment="0" applyProtection="0"/>
    <xf numFmtId="256" fontId="106" fillId="0" borderId="0">
      <alignment horizontal="center"/>
    </xf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318">
    <xf numFmtId="0" fontId="0" fillId="0" borderId="0" xfId="0"/>
    <xf numFmtId="0" fontId="3" fillId="0" borderId="0" xfId="894"/>
    <xf numFmtId="0" fontId="112" fillId="0" borderId="42" xfId="896" applyFont="1" applyBorder="1"/>
    <xf numFmtId="0" fontId="108" fillId="0" borderId="21" xfId="896" applyFont="1" applyBorder="1" applyAlignment="1">
      <alignment horizontal="left" wrapText="1"/>
    </xf>
    <xf numFmtId="0" fontId="112" fillId="0" borderId="40" xfId="896" applyFont="1" applyBorder="1" applyAlignment="1">
      <alignment horizontal="left" wrapText="1"/>
    </xf>
    <xf numFmtId="171" fontId="112" fillId="0" borderId="0" xfId="895" applyNumberFormat="1" applyFont="1" applyFill="1" applyBorder="1" applyAlignment="1">
      <alignment horizontal="right" wrapText="1"/>
    </xf>
    <xf numFmtId="0" fontId="112" fillId="0" borderId="0" xfId="896" applyFont="1"/>
    <xf numFmtId="0" fontId="115" fillId="0" borderId="0" xfId="896" applyFont="1"/>
    <xf numFmtId="173" fontId="119" fillId="0" borderId="0" xfId="895" applyNumberFormat="1" applyFont="1" applyFill="1"/>
    <xf numFmtId="0" fontId="119" fillId="0" borderId="0" xfId="896" applyFont="1"/>
    <xf numFmtId="0" fontId="108" fillId="0" borderId="0" xfId="896" applyFont="1"/>
    <xf numFmtId="166" fontId="108" fillId="0" borderId="0" xfId="894" applyNumberFormat="1" applyFont="1"/>
    <xf numFmtId="259" fontId="112" fillId="0" borderId="0" xfId="896" applyNumberFormat="1" applyFont="1"/>
    <xf numFmtId="171" fontId="112" fillId="0" borderId="0" xfId="895" applyNumberFormat="1" applyFont="1" applyFill="1" applyBorder="1"/>
    <xf numFmtId="259" fontId="112" fillId="0" borderId="8" xfId="896" applyNumberFormat="1" applyFont="1" applyBorder="1"/>
    <xf numFmtId="171" fontId="112" fillId="0" borderId="8" xfId="895" applyNumberFormat="1" applyFont="1" applyFill="1" applyBorder="1"/>
    <xf numFmtId="171" fontId="108" fillId="0" borderId="0" xfId="895" applyNumberFormat="1" applyFont="1" applyFill="1"/>
    <xf numFmtId="171" fontId="112" fillId="0" borderId="0" xfId="896" applyNumberFormat="1" applyFont="1" applyAlignment="1">
      <alignment horizontal="center" vertical="center" wrapText="1"/>
    </xf>
    <xf numFmtId="171" fontId="118" fillId="0" borderId="0" xfId="895" applyNumberFormat="1" applyFont="1" applyFill="1" applyBorder="1" applyAlignment="1">
      <alignment horizontal="center" wrapText="1"/>
    </xf>
    <xf numFmtId="0" fontId="112" fillId="0" borderId="0" xfId="896" applyFont="1" applyAlignment="1">
      <alignment horizontal="right" wrapText="1"/>
    </xf>
    <xf numFmtId="0" fontId="112" fillId="0" borderId="0" xfId="896" applyFont="1" applyAlignment="1">
      <alignment wrapText="1"/>
    </xf>
    <xf numFmtId="0" fontId="108" fillId="0" borderId="0" xfId="894" applyFont="1"/>
    <xf numFmtId="170" fontId="108" fillId="0" borderId="0" xfId="897" applyNumberFormat="1" applyFont="1" applyFill="1" applyBorder="1"/>
    <xf numFmtId="170" fontId="108" fillId="0" borderId="3" xfId="897" applyNumberFormat="1" applyFont="1" applyFill="1" applyBorder="1"/>
    <xf numFmtId="0" fontId="108" fillId="0" borderId="3" xfId="894" applyFont="1" applyBorder="1"/>
    <xf numFmtId="0" fontId="108" fillId="0" borderId="0" xfId="894" applyFont="1" applyAlignment="1">
      <alignment horizontal="right"/>
    </xf>
    <xf numFmtId="0" fontId="112" fillId="0" borderId="0" xfId="894" applyFont="1"/>
    <xf numFmtId="260" fontId="112" fillId="0" borderId="0" xfId="894" applyNumberFormat="1" applyFont="1" applyAlignment="1">
      <alignment horizontal="right"/>
    </xf>
    <xf numFmtId="259" fontId="112" fillId="0" borderId="0" xfId="894" applyNumberFormat="1" applyFont="1" applyAlignment="1">
      <alignment horizontal="right"/>
    </xf>
    <xf numFmtId="259" fontId="108" fillId="0" borderId="0" xfId="894" applyNumberFormat="1" applyFont="1" applyAlignment="1">
      <alignment horizontal="right"/>
    </xf>
    <xf numFmtId="171" fontId="108" fillId="0" borderId="0" xfId="895" applyNumberFormat="1" applyFont="1" applyFill="1" applyBorder="1" applyAlignment="1">
      <alignment horizontal="right"/>
    </xf>
    <xf numFmtId="171" fontId="112" fillId="0" borderId="39" xfId="895" applyNumberFormat="1" applyFont="1" applyFill="1" applyBorder="1" applyAlignment="1">
      <alignment horizontal="right"/>
    </xf>
    <xf numFmtId="0" fontId="112" fillId="0" borderId="39" xfId="894" applyFont="1" applyBorder="1"/>
    <xf numFmtId="171" fontId="112" fillId="0" borderId="0" xfId="895" applyNumberFormat="1" applyFont="1" applyFill="1" applyBorder="1" applyAlignment="1">
      <alignment horizontal="right"/>
    </xf>
    <xf numFmtId="171" fontId="108" fillId="0" borderId="0" xfId="895" applyNumberFormat="1" applyFont="1"/>
    <xf numFmtId="171" fontId="112" fillId="0" borderId="0" xfId="895" applyNumberFormat="1" applyFont="1" applyFill="1"/>
    <xf numFmtId="37" fontId="108" fillId="0" borderId="0" xfId="894" applyNumberFormat="1" applyFont="1" applyAlignment="1">
      <alignment horizontal="right"/>
    </xf>
    <xf numFmtId="0" fontId="113" fillId="0" borderId="0" xfId="894" applyFont="1"/>
    <xf numFmtId="9" fontId="113" fillId="27" borderId="0" xfId="897" applyFont="1" applyFill="1" applyAlignment="1">
      <alignment horizontal="right"/>
    </xf>
    <xf numFmtId="0" fontId="113" fillId="27" borderId="0" xfId="894" applyFont="1" applyFill="1"/>
    <xf numFmtId="166" fontId="112" fillId="0" borderId="39" xfId="894" applyNumberFormat="1" applyFont="1" applyBorder="1"/>
    <xf numFmtId="166" fontId="112" fillId="0" borderId="0" xfId="894" applyNumberFormat="1" applyFont="1" applyAlignment="1">
      <alignment horizontal="right"/>
    </xf>
    <xf numFmtId="0" fontId="113" fillId="27" borderId="0" xfId="894" applyFont="1" applyFill="1" applyAlignment="1">
      <alignment horizontal="left" indent="1"/>
    </xf>
    <xf numFmtId="169" fontId="112" fillId="26" borderId="0" xfId="894" applyNumberFormat="1" applyFont="1" applyFill="1" applyAlignment="1">
      <alignment horizontal="center"/>
    </xf>
    <xf numFmtId="0" fontId="112" fillId="26" borderId="0" xfId="894" applyFont="1" applyFill="1"/>
    <xf numFmtId="0" fontId="109" fillId="0" borderId="0" xfId="894" applyFont="1"/>
    <xf numFmtId="169" fontId="112" fillId="26" borderId="3" xfId="894" applyNumberFormat="1" applyFont="1" applyFill="1" applyBorder="1" applyAlignment="1">
      <alignment horizontal="centerContinuous"/>
    </xf>
    <xf numFmtId="0" fontId="112" fillId="26" borderId="3" xfId="894" applyFont="1" applyFill="1" applyBorder="1"/>
    <xf numFmtId="0" fontId="112" fillId="29" borderId="0" xfId="894" applyFont="1" applyFill="1"/>
    <xf numFmtId="171" fontId="112" fillId="0" borderId="0" xfId="895" applyNumberFormat="1" applyFont="1" applyAlignment="1">
      <alignment horizontal="right"/>
    </xf>
    <xf numFmtId="170" fontId="113" fillId="27" borderId="0" xfId="897" applyNumberFormat="1" applyFont="1" applyFill="1" applyAlignment="1">
      <alignment horizontal="right"/>
    </xf>
    <xf numFmtId="166" fontId="112" fillId="0" borderId="0" xfId="894" applyNumberFormat="1" applyFont="1"/>
    <xf numFmtId="169" fontId="112" fillId="26" borderId="3" xfId="894" applyNumberFormat="1" applyFont="1" applyFill="1" applyBorder="1" applyAlignment="1">
      <alignment horizontal="center"/>
    </xf>
    <xf numFmtId="167" fontId="112" fillId="0" borderId="0" xfId="894" applyNumberFormat="1" applyFont="1"/>
    <xf numFmtId="167" fontId="112" fillId="0" borderId="3" xfId="894" applyNumberFormat="1" applyFont="1" applyBorder="1" applyAlignment="1">
      <alignment horizontal="right"/>
    </xf>
    <xf numFmtId="0" fontId="112" fillId="0" borderId="3" xfId="894" applyFont="1" applyBorder="1"/>
    <xf numFmtId="168" fontId="108" fillId="0" borderId="0" xfId="894" applyNumberFormat="1" applyFont="1"/>
    <xf numFmtId="258" fontId="108" fillId="0" borderId="0" xfId="894" applyNumberFormat="1" applyFont="1"/>
    <xf numFmtId="258" fontId="112" fillId="0" borderId="0" xfId="894" applyNumberFormat="1" applyFont="1"/>
    <xf numFmtId="166" fontId="111" fillId="0" borderId="0" xfId="894" applyNumberFormat="1" applyFont="1"/>
    <xf numFmtId="37" fontId="111" fillId="0" borderId="0" xfId="897" applyNumberFormat="1" applyFont="1" applyFill="1" applyBorder="1"/>
    <xf numFmtId="0" fontId="108" fillId="0" borderId="0" xfId="894" applyFont="1" applyAlignment="1">
      <alignment horizontal="left"/>
    </xf>
    <xf numFmtId="166" fontId="115" fillId="0" borderId="0" xfId="894" applyNumberFormat="1" applyFont="1"/>
    <xf numFmtId="170" fontId="114" fillId="0" borderId="0" xfId="897" applyNumberFormat="1" applyFont="1" applyFill="1"/>
    <xf numFmtId="0" fontId="113" fillId="27" borderId="0" xfId="894" applyFont="1" applyFill="1" applyAlignment="1">
      <alignment horizontal="left"/>
    </xf>
    <xf numFmtId="9" fontId="108" fillId="0" borderId="0" xfId="897" applyFont="1" applyFill="1" applyBorder="1"/>
    <xf numFmtId="9" fontId="108" fillId="0" borderId="0" xfId="897" applyFont="1" applyFill="1"/>
    <xf numFmtId="0" fontId="112" fillId="0" borderId="0" xfId="894" applyFont="1" applyAlignment="1">
      <alignment horizontal="left"/>
    </xf>
    <xf numFmtId="0" fontId="119" fillId="0" borderId="0" xfId="894" applyFont="1"/>
    <xf numFmtId="166" fontId="116" fillId="0" borderId="0" xfId="894" applyNumberFormat="1" applyFont="1"/>
    <xf numFmtId="170" fontId="114" fillId="27" borderId="0" xfId="897" applyNumberFormat="1" applyFont="1" applyFill="1"/>
    <xf numFmtId="9" fontId="108" fillId="0" borderId="0" xfId="897" applyFont="1"/>
    <xf numFmtId="0" fontId="113" fillId="0" borderId="0" xfId="894" applyFont="1" applyAlignment="1">
      <alignment horizontal="left" indent="1"/>
    </xf>
    <xf numFmtId="170" fontId="113" fillId="27" borderId="0" xfId="897" applyNumberFormat="1" applyFont="1" applyFill="1"/>
    <xf numFmtId="37" fontId="108" fillId="0" borderId="0" xfId="894" applyNumberFormat="1" applyFont="1"/>
    <xf numFmtId="170" fontId="114" fillId="27" borderId="0" xfId="897" applyNumberFormat="1" applyFont="1" applyFill="1" applyBorder="1"/>
    <xf numFmtId="0" fontId="108" fillId="0" borderId="0" xfId="894" applyFont="1" applyAlignment="1">
      <alignment horizontal="left" indent="1"/>
    </xf>
    <xf numFmtId="0" fontId="108" fillId="26" borderId="0" xfId="894" applyFont="1" applyFill="1"/>
    <xf numFmtId="0" fontId="108" fillId="26" borderId="3" xfId="894" applyFont="1" applyFill="1" applyBorder="1"/>
    <xf numFmtId="0" fontId="110" fillId="0" borderId="0" xfId="894" applyFont="1"/>
    <xf numFmtId="43" fontId="112" fillId="0" borderId="0" xfId="895" applyFont="1" applyFill="1" applyBorder="1" applyAlignment="1">
      <alignment horizontal="center"/>
    </xf>
    <xf numFmtId="43" fontId="110" fillId="0" borderId="0" xfId="895" applyFont="1" applyFill="1" applyBorder="1" applyAlignment="1">
      <alignment horizontal="center"/>
    </xf>
    <xf numFmtId="0" fontId="112" fillId="26" borderId="38" xfId="894" applyFont="1" applyFill="1" applyBorder="1" applyAlignment="1">
      <alignment horizontal="center"/>
    </xf>
    <xf numFmtId="166" fontId="121" fillId="0" borderId="0" xfId="894" applyNumberFormat="1" applyFont="1"/>
    <xf numFmtId="0" fontId="108" fillId="0" borderId="0" xfId="898" applyFont="1"/>
    <xf numFmtId="262" fontId="118" fillId="0" borderId="0" xfId="898" applyNumberFormat="1" applyFont="1" applyAlignment="1">
      <alignment horizontal="right"/>
    </xf>
    <xf numFmtId="173" fontId="108" fillId="0" borderId="0" xfId="899" applyNumberFormat="1" applyFont="1" applyFill="1" applyBorder="1"/>
    <xf numFmtId="262" fontId="108" fillId="0" borderId="0" xfId="898" applyNumberFormat="1" applyFont="1" applyAlignment="1">
      <alignment horizontal="right"/>
    </xf>
    <xf numFmtId="0" fontId="110" fillId="0" borderId="0" xfId="898" applyFont="1"/>
    <xf numFmtId="43" fontId="110" fillId="0" borderId="0" xfId="899" applyFont="1" applyFill="1" applyBorder="1" applyAlignment="1">
      <alignment horizontal="center"/>
    </xf>
    <xf numFmtId="43" fontId="112" fillId="0" borderId="0" xfId="899" applyFont="1" applyFill="1" applyBorder="1" applyAlignment="1">
      <alignment horizontal="center"/>
    </xf>
    <xf numFmtId="262" fontId="112" fillId="0" borderId="0" xfId="899" applyNumberFormat="1" applyFont="1" applyFill="1" applyBorder="1" applyAlignment="1">
      <alignment horizontal="right"/>
    </xf>
    <xf numFmtId="0" fontId="120" fillId="0" borderId="0" xfId="898" applyFont="1" applyAlignment="1">
      <alignment horizontal="center"/>
    </xf>
    <xf numFmtId="262" fontId="122" fillId="0" borderId="0" xfId="898" applyNumberFormat="1" applyFont="1" applyAlignment="1">
      <alignment horizontal="right"/>
    </xf>
    <xf numFmtId="43" fontId="122" fillId="0" borderId="0" xfId="899" applyFont="1" applyFill="1" applyBorder="1" applyAlignment="1">
      <alignment horizontal="left"/>
    </xf>
    <xf numFmtId="0" fontId="117" fillId="0" borderId="0" xfId="898" applyFont="1"/>
    <xf numFmtId="262" fontId="117" fillId="0" borderId="0" xfId="898" applyNumberFormat="1" applyFont="1"/>
    <xf numFmtId="43" fontId="117" fillId="0" borderId="0" xfId="899" applyFont="1" applyFill="1" applyBorder="1" applyAlignment="1">
      <alignment horizontal="left"/>
    </xf>
    <xf numFmtId="173" fontId="112" fillId="0" borderId="0" xfId="899" applyNumberFormat="1" applyFont="1" applyFill="1" applyBorder="1" applyAlignment="1">
      <alignment horizontal="left"/>
    </xf>
    <xf numFmtId="43" fontId="121" fillId="0" borderId="0" xfId="899" applyFont="1" applyFill="1" applyBorder="1" applyAlignment="1">
      <alignment horizontal="left"/>
    </xf>
    <xf numFmtId="0" fontId="112" fillId="0" borderId="0" xfId="898" applyFont="1"/>
    <xf numFmtId="169" fontId="112" fillId="26" borderId="0" xfId="898" applyNumberFormat="1" applyFont="1" applyFill="1" applyAlignment="1">
      <alignment horizontal="center"/>
    </xf>
    <xf numFmtId="0" fontId="112" fillId="26" borderId="0" xfId="898" applyFont="1" applyFill="1"/>
    <xf numFmtId="0" fontId="109" fillId="0" borderId="0" xfId="898" applyFont="1"/>
    <xf numFmtId="0" fontId="112" fillId="26" borderId="0" xfId="898" applyFont="1" applyFill="1" applyAlignment="1">
      <alignment horizontal="center"/>
    </xf>
    <xf numFmtId="0" fontId="112" fillId="26" borderId="38" xfId="898" applyFont="1" applyFill="1" applyBorder="1" applyAlignment="1">
      <alignment horizontal="center"/>
    </xf>
    <xf numFmtId="0" fontId="1" fillId="0" borderId="0" xfId="894" applyFont="1"/>
    <xf numFmtId="16" fontId="108" fillId="0" borderId="21" xfId="896" applyNumberFormat="1" applyFont="1" applyBorder="1" applyAlignment="1">
      <alignment horizontal="left" wrapText="1"/>
    </xf>
    <xf numFmtId="258" fontId="112" fillId="0" borderId="0" xfId="894" applyNumberFormat="1" applyFont="1" applyAlignment="1">
      <alignment horizontal="center"/>
    </xf>
    <xf numFmtId="0" fontId="124" fillId="26" borderId="0" xfId="894" applyFont="1" applyFill="1" applyAlignment="1">
      <alignment horizontal="left"/>
    </xf>
    <xf numFmtId="171" fontId="110" fillId="0" borderId="0" xfId="895" applyNumberFormat="1" applyFont="1" applyFill="1" applyBorder="1" applyAlignment="1">
      <alignment horizontal="center"/>
    </xf>
    <xf numFmtId="9" fontId="118" fillId="0" borderId="0" xfId="900" applyFont="1" applyFill="1" applyBorder="1" applyAlignment="1">
      <alignment horizontal="right"/>
    </xf>
    <xf numFmtId="9" fontId="108" fillId="0" borderId="0" xfId="900" applyFont="1" applyFill="1" applyBorder="1" applyAlignment="1">
      <alignment horizontal="right"/>
    </xf>
    <xf numFmtId="39" fontId="122" fillId="0" borderId="0" xfId="894" applyNumberFormat="1" applyFont="1"/>
    <xf numFmtId="165" fontId="121" fillId="0" borderId="8" xfId="894" applyNumberFormat="1" applyFont="1" applyBorder="1"/>
    <xf numFmtId="17" fontId="112" fillId="0" borderId="40" xfId="896" applyNumberFormat="1" applyFont="1" applyBorder="1" applyAlignment="1">
      <alignment horizontal="left" vertical="center" wrapText="1"/>
    </xf>
    <xf numFmtId="17" fontId="112" fillId="0" borderId="43" xfId="896" applyNumberFormat="1" applyFont="1" applyBorder="1" applyAlignment="1">
      <alignment horizontal="right" vertical="center" wrapText="1"/>
    </xf>
    <xf numFmtId="0" fontId="112" fillId="0" borderId="43" xfId="896" applyFont="1" applyBorder="1" applyAlignment="1">
      <alignment horizontal="right" wrapText="1"/>
    </xf>
    <xf numFmtId="0" fontId="112" fillId="0" borderId="43" xfId="896" applyFont="1" applyBorder="1" applyAlignment="1">
      <alignment horizontal="right"/>
    </xf>
    <xf numFmtId="0" fontId="112" fillId="0" borderId="41" xfId="896" applyFont="1" applyBorder="1" applyAlignment="1">
      <alignment horizontal="right"/>
    </xf>
    <xf numFmtId="0" fontId="112" fillId="0" borderId="21" xfId="896" applyFont="1" applyBorder="1" applyAlignment="1">
      <alignment horizontal="left" wrapText="1"/>
    </xf>
    <xf numFmtId="165" fontId="121" fillId="0" borderId="0" xfId="894" applyNumberFormat="1" applyFont="1"/>
    <xf numFmtId="0" fontId="3" fillId="0" borderId="27" xfId="894" applyBorder="1"/>
    <xf numFmtId="165" fontId="122" fillId="0" borderId="0" xfId="894" applyNumberFormat="1" applyFont="1"/>
    <xf numFmtId="0" fontId="112" fillId="0" borderId="44" xfId="896" applyFont="1" applyBorder="1"/>
    <xf numFmtId="259" fontId="112" fillId="0" borderId="45" xfId="896" applyNumberFormat="1" applyFont="1" applyBorder="1"/>
    <xf numFmtId="0" fontId="108" fillId="0" borderId="21" xfId="896" applyFont="1" applyBorder="1"/>
    <xf numFmtId="171" fontId="108" fillId="0" borderId="0" xfId="895" applyNumberFormat="1" applyFont="1" applyFill="1" applyBorder="1"/>
    <xf numFmtId="259" fontId="108" fillId="0" borderId="0" xfId="896" applyNumberFormat="1" applyFont="1"/>
    <xf numFmtId="0" fontId="108" fillId="0" borderId="21" xfId="894" applyFont="1" applyBorder="1" applyAlignment="1">
      <alignment horizontal="left"/>
    </xf>
    <xf numFmtId="0" fontId="112" fillId="0" borderId="21" xfId="896" applyFont="1" applyBorder="1"/>
    <xf numFmtId="0" fontId="108" fillId="0" borderId="22" xfId="896" applyFont="1" applyBorder="1"/>
    <xf numFmtId="166" fontId="108" fillId="0" borderId="10" xfId="894" applyNumberFormat="1" applyFont="1" applyBorder="1"/>
    <xf numFmtId="0" fontId="108" fillId="0" borderId="10" xfId="896" applyFont="1" applyBorder="1"/>
    <xf numFmtId="165" fontId="122" fillId="0" borderId="10" xfId="894" applyNumberFormat="1" applyFont="1" applyBorder="1"/>
    <xf numFmtId="0" fontId="3" fillId="0" borderId="28" xfId="894" applyBorder="1"/>
    <xf numFmtId="0" fontId="112" fillId="0" borderId="41" xfId="896" applyFont="1" applyBorder="1" applyAlignment="1">
      <alignment horizontal="center" wrapText="1"/>
    </xf>
    <xf numFmtId="9" fontId="118" fillId="0" borderId="27" xfId="900" applyFont="1" applyFill="1" applyBorder="1" applyAlignment="1">
      <alignment horizontal="right" wrapText="1"/>
    </xf>
    <xf numFmtId="16" fontId="108" fillId="0" borderId="22" xfId="896" applyNumberFormat="1" applyFont="1" applyBorder="1" applyAlignment="1">
      <alignment horizontal="left" wrapText="1"/>
    </xf>
    <xf numFmtId="9" fontId="118" fillId="0" borderId="28" xfId="900" applyFont="1" applyFill="1" applyBorder="1" applyAlignment="1">
      <alignment horizontal="right" wrapText="1"/>
    </xf>
    <xf numFmtId="171" fontId="118" fillId="0" borderId="32" xfId="895" applyNumberFormat="1" applyFont="1" applyFill="1" applyBorder="1" applyAlignment="1">
      <alignment horizontal="left" wrapText="1"/>
    </xf>
    <xf numFmtId="0" fontId="112" fillId="0" borderId="46" xfId="896" applyFont="1" applyBorder="1" applyAlignment="1">
      <alignment horizontal="right"/>
    </xf>
    <xf numFmtId="165" fontId="122" fillId="0" borderId="27" xfId="894" applyNumberFormat="1" applyFont="1" applyBorder="1"/>
    <xf numFmtId="165" fontId="3" fillId="0" borderId="27" xfId="894" applyNumberFormat="1" applyBorder="1"/>
    <xf numFmtId="171" fontId="112" fillId="0" borderId="47" xfId="895" applyNumberFormat="1" applyFont="1" applyFill="1" applyBorder="1" applyAlignment="1">
      <alignment horizontal="right" wrapText="1"/>
    </xf>
    <xf numFmtId="171" fontId="112" fillId="0" borderId="48" xfId="895" applyNumberFormat="1" applyFont="1" applyFill="1" applyBorder="1" applyAlignment="1">
      <alignment horizontal="right" wrapText="1"/>
    </xf>
    <xf numFmtId="166" fontId="111" fillId="28" borderId="0" xfId="894" applyNumberFormat="1" applyFont="1" applyFill="1"/>
    <xf numFmtId="171" fontId="118" fillId="0" borderId="32" xfId="895" applyNumberFormat="1" applyFont="1" applyFill="1" applyBorder="1" applyAlignment="1">
      <alignment horizontal="right" wrapText="1"/>
    </xf>
    <xf numFmtId="171" fontId="111" fillId="0" borderId="0" xfId="895" applyNumberFormat="1" applyFont="1" applyFill="1" applyBorder="1" applyAlignment="1">
      <alignment horizontal="center"/>
    </xf>
    <xf numFmtId="9" fontId="108" fillId="28" borderId="0" xfId="898" applyNumberFormat="1" applyFont="1" applyFill="1"/>
    <xf numFmtId="166" fontId="111" fillId="28" borderId="27" xfId="894" applyNumberFormat="1" applyFont="1" applyFill="1" applyBorder="1"/>
    <xf numFmtId="166" fontId="111" fillId="28" borderId="28" xfId="894" applyNumberFormat="1" applyFont="1" applyFill="1" applyBorder="1"/>
    <xf numFmtId="170" fontId="111" fillId="0" borderId="27" xfId="900" applyNumberFormat="1" applyFont="1" applyFill="1" applyBorder="1"/>
    <xf numFmtId="170" fontId="111" fillId="0" borderId="28" xfId="900" applyNumberFormat="1" applyFont="1" applyFill="1" applyBorder="1"/>
    <xf numFmtId="263" fontId="122" fillId="0" borderId="10" xfId="894" applyNumberFormat="1" applyFont="1" applyBorder="1"/>
    <xf numFmtId="171" fontId="118" fillId="0" borderId="27" xfId="895" applyNumberFormat="1" applyFont="1" applyFill="1" applyBorder="1" applyAlignment="1">
      <alignment horizontal="left" wrapText="1"/>
    </xf>
    <xf numFmtId="171" fontId="118" fillId="0" borderId="28" xfId="895" applyNumberFormat="1" applyFont="1" applyFill="1" applyBorder="1" applyAlignment="1">
      <alignment horizontal="left" wrapText="1"/>
    </xf>
    <xf numFmtId="0" fontId="8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0" fontId="0" fillId="0" borderId="51" xfId="0" applyBorder="1"/>
    <xf numFmtId="0" fontId="8" fillId="0" borderId="52" xfId="0" applyFont="1" applyBorder="1"/>
    <xf numFmtId="0" fontId="46" fillId="0" borderId="52" xfId="0" applyFont="1" applyBorder="1"/>
    <xf numFmtId="0" fontId="0" fillId="0" borderId="52" xfId="0" applyBorder="1"/>
    <xf numFmtId="0" fontId="126" fillId="0" borderId="52" xfId="0" applyFont="1" applyBorder="1"/>
    <xf numFmtId="0" fontId="46" fillId="0" borderId="49" xfId="0" applyFont="1" applyBorder="1"/>
    <xf numFmtId="0" fontId="8" fillId="0" borderId="49" xfId="0" applyFont="1" applyBorder="1"/>
    <xf numFmtId="0" fontId="8" fillId="0" borderId="50" xfId="0" applyFont="1" applyBorder="1"/>
    <xf numFmtId="0" fontId="8" fillId="0" borderId="54" xfId="0" applyFont="1" applyBorder="1" applyAlignment="1">
      <alignment horizontal="center"/>
    </xf>
    <xf numFmtId="0" fontId="8" fillId="0" borderId="55" xfId="0" applyFont="1" applyBorder="1"/>
    <xf numFmtId="0" fontId="0" fillId="0" borderId="27" xfId="0" applyBorder="1"/>
    <xf numFmtId="171" fontId="118" fillId="0" borderId="27" xfId="895" applyNumberFormat="1" applyFont="1" applyFill="1" applyBorder="1" applyAlignment="1">
      <alignment horizontal="center" wrapText="1"/>
    </xf>
    <xf numFmtId="10" fontId="127" fillId="0" borderId="27" xfId="0" applyNumberFormat="1" applyFont="1" applyBorder="1" applyAlignment="1">
      <alignment horizontal="center"/>
    </xf>
    <xf numFmtId="0" fontId="0" fillId="0" borderId="53" xfId="0" applyBorder="1"/>
    <xf numFmtId="0" fontId="8" fillId="0" borderId="56" xfId="0" applyFont="1" applyBorder="1"/>
    <xf numFmtId="0" fontId="0" fillId="0" borderId="37" xfId="0" applyBorder="1"/>
    <xf numFmtId="171" fontId="118" fillId="0" borderId="37" xfId="895" applyNumberFormat="1" applyFont="1" applyFill="1" applyBorder="1" applyAlignment="1">
      <alignment horizontal="center" wrapText="1"/>
    </xf>
    <xf numFmtId="0" fontId="0" fillId="0" borderId="37" xfId="0" applyBorder="1" applyAlignment="1">
      <alignment horizontal="center"/>
    </xf>
    <xf numFmtId="10" fontId="127" fillId="0" borderId="37" xfId="0" applyNumberFormat="1" applyFon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0" fontId="0" fillId="0" borderId="57" xfId="0" applyBorder="1"/>
    <xf numFmtId="0" fontId="8" fillId="0" borderId="58" xfId="0" applyFont="1" applyBorder="1" applyAlignment="1">
      <alignment horizontal="center"/>
    </xf>
    <xf numFmtId="0" fontId="8" fillId="0" borderId="60" xfId="0" applyFont="1" applyBorder="1" applyAlignment="1">
      <alignment horizontal="right"/>
    </xf>
    <xf numFmtId="15" fontId="8" fillId="0" borderId="61" xfId="0" applyNumberFormat="1" applyFont="1" applyBorder="1"/>
    <xf numFmtId="0" fontId="0" fillId="0" borderId="62" xfId="0" applyBorder="1"/>
    <xf numFmtId="171" fontId="118" fillId="0" borderId="62" xfId="895" applyNumberFormat="1" applyFont="1" applyFill="1" applyBorder="1" applyAlignment="1">
      <alignment horizontal="center" wrapText="1"/>
    </xf>
    <xf numFmtId="171" fontId="128" fillId="0" borderId="63" xfId="895" applyNumberFormat="1" applyFont="1" applyFill="1" applyBorder="1" applyAlignment="1">
      <alignment horizontal="center" wrapText="1"/>
    </xf>
    <xf numFmtId="171" fontId="121" fillId="0" borderId="59" xfId="895" applyNumberFormat="1" applyFont="1" applyFill="1" applyBorder="1" applyAlignment="1">
      <alignment horizontal="center" wrapText="1"/>
    </xf>
    <xf numFmtId="171" fontId="128" fillId="0" borderId="59" xfId="895" applyNumberFormat="1" applyFont="1" applyFill="1" applyBorder="1" applyAlignment="1">
      <alignment horizontal="center" wrapText="1"/>
    </xf>
    <xf numFmtId="3" fontId="46" fillId="0" borderId="62" xfId="0" applyNumberFormat="1" applyFont="1" applyBorder="1"/>
    <xf numFmtId="3" fontId="126" fillId="0" borderId="62" xfId="0" applyNumberFormat="1" applyFont="1" applyBorder="1"/>
    <xf numFmtId="3" fontId="8" fillId="0" borderId="62" xfId="0" applyNumberFormat="1" applyFont="1" applyBorder="1"/>
    <xf numFmtId="171" fontId="129" fillId="0" borderId="62" xfId="895" applyNumberFormat="1" applyFont="1" applyFill="1" applyBorder="1" applyAlignment="1">
      <alignment horizontal="center" wrapText="1"/>
    </xf>
    <xf numFmtId="3" fontId="8" fillId="0" borderId="59" xfId="0" applyNumberFormat="1" applyFont="1" applyBorder="1"/>
    <xf numFmtId="170" fontId="108" fillId="0" borderId="0" xfId="900" applyNumberFormat="1" applyFont="1"/>
    <xf numFmtId="264" fontId="108" fillId="0" borderId="0" xfId="901" applyNumberFormat="1" applyFont="1"/>
    <xf numFmtId="9" fontId="108" fillId="0" borderId="0" xfId="900" applyFont="1" applyAlignment="1">
      <alignment horizontal="right"/>
    </xf>
    <xf numFmtId="262" fontId="112" fillId="0" borderId="0" xfId="894" applyNumberFormat="1" applyFont="1"/>
    <xf numFmtId="9" fontId="111" fillId="0" borderId="0" xfId="900" applyFont="1" applyFill="1" applyBorder="1"/>
    <xf numFmtId="9" fontId="115" fillId="0" borderId="0" xfId="900" applyFont="1" applyFill="1"/>
    <xf numFmtId="4" fontId="108" fillId="0" borderId="0" xfId="894" applyNumberFormat="1" applyFont="1"/>
    <xf numFmtId="265" fontId="112" fillId="0" borderId="0" xfId="894" applyNumberFormat="1" applyFont="1"/>
    <xf numFmtId="166" fontId="110" fillId="0" borderId="0" xfId="894" applyNumberFormat="1" applyFont="1"/>
    <xf numFmtId="16" fontId="112" fillId="0" borderId="22" xfId="896" applyNumberFormat="1" applyFont="1" applyBorder="1" applyAlignment="1">
      <alignment horizontal="left" wrapText="1"/>
    </xf>
    <xf numFmtId="43" fontId="108" fillId="0" borderId="0" xfId="895" applyFont="1" applyFill="1" applyBorder="1" applyAlignment="1">
      <alignment horizontal="center"/>
    </xf>
    <xf numFmtId="171" fontId="108" fillId="0" borderId="0" xfId="895" applyNumberFormat="1" applyFont="1" applyFill="1" applyBorder="1" applyAlignment="1">
      <alignment horizontal="center"/>
    </xf>
    <xf numFmtId="170" fontId="118" fillId="0" borderId="0" xfId="900" applyNumberFormat="1" applyFont="1"/>
    <xf numFmtId="171" fontId="112" fillId="0" borderId="0" xfId="895" applyNumberFormat="1" applyFont="1" applyFill="1" applyAlignment="1">
      <alignment horizontal="right"/>
    </xf>
    <xf numFmtId="170" fontId="114" fillId="0" borderId="0" xfId="897" applyNumberFormat="1" applyFont="1" applyFill="1" applyBorder="1"/>
    <xf numFmtId="260" fontId="108" fillId="0" borderId="0" xfId="894" applyNumberFormat="1" applyFont="1" applyAlignment="1">
      <alignment horizontal="right"/>
    </xf>
    <xf numFmtId="170" fontId="108" fillId="28" borderId="0" xfId="900" applyNumberFormat="1" applyFont="1" applyFill="1"/>
    <xf numFmtId="171" fontId="108" fillId="0" borderId="0" xfId="895" applyNumberFormat="1" applyFont="1" applyFill="1" applyBorder="1" applyAlignment="1">
      <alignment horizontal="center" wrapText="1"/>
    </xf>
    <xf numFmtId="260" fontId="118" fillId="0" borderId="27" xfId="900" applyNumberFormat="1" applyFont="1" applyFill="1" applyBorder="1" applyAlignment="1">
      <alignment horizontal="right" wrapText="1"/>
    </xf>
    <xf numFmtId="16" fontId="112" fillId="0" borderId="19" xfId="896" applyNumberFormat="1" applyFont="1" applyBorder="1" applyAlignment="1">
      <alignment horizontal="left" wrapText="1"/>
    </xf>
    <xf numFmtId="260" fontId="112" fillId="0" borderId="20" xfId="900" applyNumberFormat="1" applyFont="1" applyFill="1" applyBorder="1" applyAlignment="1">
      <alignment horizontal="right" wrapText="1"/>
    </xf>
    <xf numFmtId="0" fontId="130" fillId="0" borderId="0" xfId="894" applyFont="1"/>
    <xf numFmtId="173" fontId="130" fillId="0" borderId="0" xfId="894" applyNumberFormat="1" applyFont="1"/>
    <xf numFmtId="0" fontId="122" fillId="0" borderId="21" xfId="894" applyFont="1" applyBorder="1"/>
    <xf numFmtId="0" fontId="122" fillId="0" borderId="22" xfId="894" applyFont="1" applyBorder="1"/>
    <xf numFmtId="0" fontId="121" fillId="27" borderId="23" xfId="894" applyFont="1" applyFill="1" applyBorder="1"/>
    <xf numFmtId="0" fontId="122" fillId="27" borderId="26" xfId="894" applyFont="1" applyFill="1" applyBorder="1"/>
    <xf numFmtId="17" fontId="112" fillId="27" borderId="40" xfId="896" applyNumberFormat="1" applyFont="1" applyFill="1" applyBorder="1" applyAlignment="1">
      <alignment horizontal="left" vertical="center" wrapText="1"/>
    </xf>
    <xf numFmtId="17" fontId="112" fillId="27" borderId="43" xfId="896" applyNumberFormat="1" applyFont="1" applyFill="1" applyBorder="1" applyAlignment="1">
      <alignment horizontal="right" vertical="center" wrapText="1"/>
    </xf>
    <xf numFmtId="0" fontId="112" fillId="27" borderId="43" xfId="896" applyFont="1" applyFill="1" applyBorder="1" applyAlignment="1">
      <alignment horizontal="right" wrapText="1"/>
    </xf>
    <xf numFmtId="0" fontId="112" fillId="27" borderId="43" xfId="896" applyFont="1" applyFill="1" applyBorder="1" applyAlignment="1">
      <alignment horizontal="right"/>
    </xf>
    <xf numFmtId="0" fontId="112" fillId="27" borderId="41" xfId="896" applyFont="1" applyFill="1" applyBorder="1" applyAlignment="1">
      <alignment horizontal="right"/>
    </xf>
    <xf numFmtId="0" fontId="112" fillId="27" borderId="40" xfId="896" applyFont="1" applyFill="1" applyBorder="1" applyAlignment="1">
      <alignment horizontal="left" wrapText="1"/>
    </xf>
    <xf numFmtId="0" fontId="112" fillId="27" borderId="41" xfId="896" applyFont="1" applyFill="1" applyBorder="1" applyAlignment="1">
      <alignment horizontal="center" wrapText="1"/>
    </xf>
    <xf numFmtId="0" fontId="112" fillId="27" borderId="46" xfId="896" applyFont="1" applyFill="1" applyBorder="1" applyAlignment="1">
      <alignment horizontal="right"/>
    </xf>
    <xf numFmtId="171" fontId="120" fillId="0" borderId="28" xfId="895" applyNumberFormat="1" applyFont="1" applyFill="1" applyBorder="1" applyAlignment="1">
      <alignment horizontal="right" wrapText="1"/>
    </xf>
    <xf numFmtId="260" fontId="108" fillId="0" borderId="27" xfId="900" applyNumberFormat="1" applyFont="1" applyFill="1" applyBorder="1" applyAlignment="1">
      <alignment horizontal="right" wrapText="1"/>
    </xf>
    <xf numFmtId="166" fontId="120" fillId="0" borderId="0" xfId="894" applyNumberFormat="1" applyFont="1"/>
    <xf numFmtId="43" fontId="130" fillId="0" borderId="0" xfId="894" applyNumberFormat="1" applyFont="1"/>
    <xf numFmtId="225" fontId="0" fillId="0" borderId="0" xfId="0" applyNumberFormat="1"/>
    <xf numFmtId="0" fontId="112" fillId="0" borderId="0" xfId="894" applyFont="1" applyAlignment="1">
      <alignment horizontal="center"/>
    </xf>
    <xf numFmtId="169" fontId="112" fillId="0" borderId="0" xfId="894" applyNumberFormat="1" applyFont="1" applyAlignment="1">
      <alignment horizontal="center"/>
    </xf>
    <xf numFmtId="262" fontId="108" fillId="0" borderId="0" xfId="894" applyNumberFormat="1" applyFont="1"/>
    <xf numFmtId="170" fontId="113" fillId="0" borderId="0" xfId="897" applyNumberFormat="1" applyFont="1" applyFill="1" applyBorder="1"/>
    <xf numFmtId="261" fontId="108" fillId="0" borderId="0" xfId="894" applyNumberFormat="1" applyFont="1"/>
    <xf numFmtId="9" fontId="108" fillId="0" borderId="0" xfId="900" applyFont="1" applyFill="1" applyBorder="1"/>
    <xf numFmtId="167" fontId="112" fillId="0" borderId="0" xfId="894" applyNumberFormat="1" applyFont="1" applyAlignment="1">
      <alignment horizontal="right"/>
    </xf>
    <xf numFmtId="169" fontId="112" fillId="0" borderId="0" xfId="894" applyNumberFormat="1" applyFont="1" applyAlignment="1">
      <alignment horizontal="centerContinuous"/>
    </xf>
    <xf numFmtId="170" fontId="113" fillId="0" borderId="0" xfId="897" applyNumberFormat="1" applyFont="1" applyFill="1" applyBorder="1" applyAlignment="1">
      <alignment horizontal="right"/>
    </xf>
    <xf numFmtId="9" fontId="113" fillId="0" borderId="0" xfId="897" applyFont="1" applyFill="1" applyBorder="1" applyAlignment="1">
      <alignment horizontal="right"/>
    </xf>
    <xf numFmtId="0" fontId="112" fillId="0" borderId="0" xfId="898" applyFont="1" applyAlignment="1">
      <alignment horizontal="center"/>
    </xf>
    <xf numFmtId="169" fontId="112" fillId="0" borderId="0" xfId="898" applyNumberFormat="1" applyFont="1" applyAlignment="1">
      <alignment horizontal="center"/>
    </xf>
    <xf numFmtId="170" fontId="108" fillId="0" borderId="0" xfId="900" applyNumberFormat="1" applyFont="1" applyFill="1" applyBorder="1"/>
    <xf numFmtId="264" fontId="108" fillId="0" borderId="0" xfId="901" applyNumberFormat="1" applyFont="1" applyFill="1" applyBorder="1"/>
    <xf numFmtId="39" fontId="118" fillId="30" borderId="0" xfId="894" applyNumberFormat="1" applyFont="1" applyFill="1" applyAlignment="1">
      <alignment horizontal="right"/>
    </xf>
    <xf numFmtId="39" fontId="108" fillId="30" borderId="0" xfId="894" applyNumberFormat="1" applyFont="1" applyFill="1" applyAlignment="1">
      <alignment horizontal="right"/>
    </xf>
    <xf numFmtId="0" fontId="110" fillId="26" borderId="0" xfId="898" applyFont="1" applyFill="1"/>
    <xf numFmtId="43" fontId="110" fillId="26" borderId="0" xfId="899" applyFont="1" applyFill="1" applyBorder="1" applyAlignment="1">
      <alignment horizontal="center"/>
    </xf>
    <xf numFmtId="43" fontId="112" fillId="26" borderId="0" xfId="899" applyFont="1" applyFill="1" applyBorder="1" applyAlignment="1">
      <alignment horizontal="center"/>
    </xf>
    <xf numFmtId="17" fontId="112" fillId="26" borderId="40" xfId="896" applyNumberFormat="1" applyFont="1" applyFill="1" applyBorder="1" applyAlignment="1">
      <alignment horizontal="left" vertical="center" wrapText="1"/>
    </xf>
    <xf numFmtId="17" fontId="112" fillId="26" borderId="43" xfId="896" applyNumberFormat="1" applyFont="1" applyFill="1" applyBorder="1" applyAlignment="1">
      <alignment horizontal="center" vertical="center" wrapText="1"/>
    </xf>
    <xf numFmtId="0" fontId="112" fillId="26" borderId="43" xfId="896" applyFont="1" applyFill="1" applyBorder="1" applyAlignment="1">
      <alignment horizontal="center" wrapText="1"/>
    </xf>
    <xf numFmtId="0" fontId="112" fillId="26" borderId="43" xfId="896" applyFont="1" applyFill="1" applyBorder="1" applyAlignment="1">
      <alignment horizontal="center"/>
    </xf>
    <xf numFmtId="0" fontId="112" fillId="26" borderId="41" xfId="896" applyFont="1" applyFill="1" applyBorder="1" applyAlignment="1">
      <alignment horizontal="center"/>
    </xf>
    <xf numFmtId="0" fontId="112" fillId="26" borderId="40" xfId="896" applyFont="1" applyFill="1" applyBorder="1" applyAlignment="1">
      <alignment horizontal="left" wrapText="1"/>
    </xf>
    <xf numFmtId="0" fontId="112" fillId="26" borderId="41" xfId="896" applyFont="1" applyFill="1" applyBorder="1" applyAlignment="1">
      <alignment horizontal="center" wrapText="1"/>
    </xf>
    <xf numFmtId="0" fontId="131" fillId="26" borderId="23" xfId="894" applyFont="1" applyFill="1" applyBorder="1"/>
    <xf numFmtId="0" fontId="121" fillId="26" borderId="26" xfId="894" applyFont="1" applyFill="1" applyBorder="1" applyAlignment="1">
      <alignment horizontal="center"/>
    </xf>
    <xf numFmtId="166" fontId="111" fillId="30" borderId="0" xfId="894" applyNumberFormat="1" applyFont="1" applyFill="1"/>
    <xf numFmtId="166" fontId="108" fillId="30" borderId="0" xfId="894" applyNumberFormat="1" applyFont="1" applyFill="1"/>
    <xf numFmtId="37" fontId="108" fillId="30" borderId="0" xfId="894" applyNumberFormat="1" applyFont="1" applyFill="1"/>
    <xf numFmtId="166" fontId="111" fillId="27" borderId="0" xfId="894" applyNumberFormat="1" applyFont="1" applyFill="1"/>
    <xf numFmtId="166" fontId="116" fillId="27" borderId="0" xfId="894" applyNumberFormat="1" applyFont="1" applyFill="1"/>
    <xf numFmtId="166" fontId="112" fillId="27" borderId="0" xfId="894" applyNumberFormat="1" applyFont="1" applyFill="1"/>
    <xf numFmtId="166" fontId="108" fillId="27" borderId="0" xfId="894" applyNumberFormat="1" applyFont="1" applyFill="1"/>
    <xf numFmtId="0" fontId="112" fillId="26" borderId="0" xfId="898" applyFont="1" applyFill="1" applyAlignment="1">
      <alignment horizontal="center" vertical="center"/>
    </xf>
    <xf numFmtId="0" fontId="112" fillId="26" borderId="38" xfId="898" applyFont="1" applyFill="1" applyBorder="1" applyAlignment="1">
      <alignment horizontal="center" vertical="center"/>
    </xf>
    <xf numFmtId="169" fontId="112" fillId="26" borderId="0" xfId="894" applyNumberFormat="1" applyFont="1" applyFill="1" applyAlignment="1">
      <alignment horizontal="center" vertical="center"/>
    </xf>
    <xf numFmtId="225" fontId="3" fillId="0" borderId="0" xfId="894" applyNumberFormat="1"/>
    <xf numFmtId="9" fontId="111" fillId="27" borderId="0" xfId="900" applyFont="1" applyFill="1" applyBorder="1"/>
    <xf numFmtId="258" fontId="112" fillId="27" borderId="0" xfId="894" applyNumberFormat="1" applyFont="1" applyFill="1" applyAlignment="1">
      <alignment horizontal="center"/>
    </xf>
    <xf numFmtId="258" fontId="108" fillId="27" borderId="0" xfId="894" applyNumberFormat="1" applyFont="1" applyFill="1"/>
    <xf numFmtId="0" fontId="108" fillId="27" borderId="0" xfId="894" applyFont="1" applyFill="1"/>
    <xf numFmtId="258" fontId="112" fillId="27" borderId="0" xfId="894" applyNumberFormat="1" applyFont="1" applyFill="1"/>
    <xf numFmtId="168" fontId="108" fillId="27" borderId="0" xfId="894" applyNumberFormat="1" applyFont="1" applyFill="1"/>
    <xf numFmtId="167" fontId="112" fillId="27" borderId="3" xfId="894" applyNumberFormat="1" applyFont="1" applyFill="1" applyBorder="1" applyAlignment="1">
      <alignment horizontal="right"/>
    </xf>
    <xf numFmtId="170" fontId="108" fillId="27" borderId="0" xfId="897" applyNumberFormat="1" applyFont="1" applyFill="1" applyBorder="1"/>
    <xf numFmtId="259" fontId="108" fillId="27" borderId="0" xfId="894" applyNumberFormat="1" applyFont="1" applyFill="1" applyAlignment="1">
      <alignment horizontal="right"/>
    </xf>
    <xf numFmtId="171" fontId="112" fillId="27" borderId="0" xfId="895" applyNumberFormat="1" applyFont="1" applyFill="1"/>
    <xf numFmtId="171" fontId="108" fillId="27" borderId="0" xfId="895" applyNumberFormat="1" applyFont="1" applyFill="1"/>
    <xf numFmtId="171" fontId="112" fillId="27" borderId="39" xfId="895" applyNumberFormat="1" applyFont="1" applyFill="1" applyBorder="1" applyAlignment="1">
      <alignment horizontal="right"/>
    </xf>
    <xf numFmtId="171" fontId="108" fillId="27" borderId="0" xfId="895" applyNumberFormat="1" applyFont="1" applyFill="1" applyBorder="1" applyAlignment="1">
      <alignment horizontal="right"/>
    </xf>
    <xf numFmtId="171" fontId="112" fillId="27" borderId="0" xfId="895" applyNumberFormat="1" applyFont="1" applyFill="1" applyBorder="1" applyAlignment="1">
      <alignment horizontal="right"/>
    </xf>
    <xf numFmtId="0" fontId="108" fillId="27" borderId="0" xfId="894" applyFont="1" applyFill="1" applyAlignment="1">
      <alignment horizontal="right"/>
    </xf>
    <xf numFmtId="171" fontId="112" fillId="27" borderId="0" xfId="895" applyNumberFormat="1" applyFont="1" applyFill="1" applyAlignment="1">
      <alignment horizontal="right"/>
    </xf>
    <xf numFmtId="259" fontId="112" fillId="27" borderId="0" xfId="894" applyNumberFormat="1" applyFont="1" applyFill="1" applyAlignment="1">
      <alignment horizontal="right"/>
    </xf>
    <xf numFmtId="170" fontId="108" fillId="27" borderId="3" xfId="897" applyNumberFormat="1" applyFont="1" applyFill="1" applyBorder="1"/>
    <xf numFmtId="260" fontId="112" fillId="27" borderId="0" xfId="894" applyNumberFormat="1" applyFont="1" applyFill="1" applyAlignment="1">
      <alignment horizontal="right"/>
    </xf>
    <xf numFmtId="260" fontId="108" fillId="27" borderId="0" xfId="894" applyNumberFormat="1" applyFont="1" applyFill="1" applyAlignment="1">
      <alignment horizontal="right"/>
    </xf>
    <xf numFmtId="171" fontId="120" fillId="0" borderId="0" xfId="895" applyNumberFormat="1" applyFont="1" applyFill="1" applyBorder="1" applyAlignment="1">
      <alignment horizontal="center" wrapText="1"/>
    </xf>
    <xf numFmtId="170" fontId="118" fillId="28" borderId="0" xfId="900" applyNumberFormat="1" applyFont="1" applyFill="1"/>
    <xf numFmtId="0" fontId="112" fillId="30" borderId="0" xfId="894" applyFont="1" applyFill="1" applyAlignment="1">
      <alignment horizontal="left"/>
    </xf>
    <xf numFmtId="0" fontId="108" fillId="27" borderId="0" xfId="894" applyFont="1" applyFill="1" applyAlignment="1">
      <alignment horizontal="left"/>
    </xf>
    <xf numFmtId="170" fontId="113" fillId="0" borderId="0" xfId="897" applyNumberFormat="1" applyFont="1" applyFill="1"/>
    <xf numFmtId="171" fontId="117" fillId="0" borderId="0" xfId="895" applyNumberFormat="1" applyFont="1" applyFill="1" applyBorder="1"/>
    <xf numFmtId="173" fontId="117" fillId="0" borderId="0" xfId="895" applyNumberFormat="1" applyFont="1" applyFill="1" applyBorder="1"/>
    <xf numFmtId="166" fontId="117" fillId="0" borderId="0" xfId="894" applyNumberFormat="1" applyFont="1"/>
    <xf numFmtId="166" fontId="113" fillId="0" borderId="0" xfId="894" applyNumberFormat="1" applyFont="1"/>
    <xf numFmtId="37" fontId="117" fillId="0" borderId="0" xfId="894" applyNumberFormat="1" applyFont="1"/>
    <xf numFmtId="166" fontId="118" fillId="0" borderId="0" xfId="894" applyNumberFormat="1" applyFont="1"/>
    <xf numFmtId="166" fontId="134" fillId="0" borderId="0" xfId="894" applyNumberFormat="1" applyFont="1"/>
    <xf numFmtId="0" fontId="108" fillId="30" borderId="0" xfId="894" applyFont="1" applyFill="1"/>
    <xf numFmtId="39" fontId="108" fillId="27" borderId="0" xfId="894" applyNumberFormat="1" applyFont="1" applyFill="1" applyAlignment="1">
      <alignment horizontal="right"/>
    </xf>
    <xf numFmtId="170" fontId="112" fillId="0" borderId="3" xfId="897" applyNumberFormat="1" applyFont="1" applyFill="1" applyBorder="1"/>
    <xf numFmtId="170" fontId="112" fillId="0" borderId="0" xfId="897" applyNumberFormat="1" applyFont="1" applyFill="1" applyBorder="1"/>
    <xf numFmtId="170" fontId="112" fillId="27" borderId="3" xfId="897" applyNumberFormat="1" applyFont="1" applyFill="1" applyBorder="1"/>
    <xf numFmtId="0" fontId="112" fillId="0" borderId="0" xfId="896" applyFont="1" applyAlignment="1">
      <alignment horizontal="left" wrapText="1"/>
    </xf>
    <xf numFmtId="0" fontId="108" fillId="0" borderId="0" xfId="896" applyFont="1" applyAlignment="1">
      <alignment horizontal="left" wrapText="1"/>
    </xf>
    <xf numFmtId="0" fontId="112" fillId="0" borderId="8" xfId="896" applyFont="1" applyBorder="1"/>
    <xf numFmtId="17" fontId="112" fillId="26" borderId="8" xfId="896" applyNumberFormat="1" applyFont="1" applyFill="1" applyBorder="1" applyAlignment="1">
      <alignment horizontal="left" vertical="center" wrapText="1"/>
    </xf>
    <xf numFmtId="17" fontId="112" fillId="26" borderId="8" xfId="896" applyNumberFormat="1" applyFont="1" applyFill="1" applyBorder="1" applyAlignment="1">
      <alignment horizontal="center" vertical="center" wrapText="1"/>
    </xf>
    <xf numFmtId="0" fontId="112" fillId="26" borderId="8" xfId="896" applyFont="1" applyFill="1" applyBorder="1" applyAlignment="1">
      <alignment horizontal="center" wrapText="1"/>
    </xf>
    <xf numFmtId="0" fontId="112" fillId="26" borderId="8" xfId="896" applyFont="1" applyFill="1" applyBorder="1" applyAlignment="1">
      <alignment horizontal="center"/>
    </xf>
    <xf numFmtId="0" fontId="135" fillId="0" borderId="0" xfId="894" applyFont="1"/>
  </cellXfs>
  <cellStyles count="902">
    <cellStyle name="$" xfId="1" xr:uid="{00000000-0005-0000-0000-000000000000}"/>
    <cellStyle name="$_TSA Model - 1 8 06 - v2" xfId="2" xr:uid="{00000000-0005-0000-0000-000001000000}"/>
    <cellStyle name="%" xfId="3" xr:uid="{00000000-0005-0000-0000-000002000000}"/>
    <cellStyle name=";;;" xfId="4" xr:uid="{00000000-0005-0000-0000-000003000000}"/>
    <cellStyle name="_%(SignOnly)" xfId="5" xr:uid="{00000000-0005-0000-0000-000004000000}"/>
    <cellStyle name="_%(SignSpaceOnly)" xfId="6" xr:uid="{00000000-0005-0000-0000-000005000000}"/>
    <cellStyle name="_0% CADR" xfId="7" xr:uid="{00000000-0005-0000-0000-000006000000}"/>
    <cellStyle name="_0% IRR" xfId="8" xr:uid="{00000000-0005-0000-0000-000007000000}"/>
    <cellStyle name="_1% CADR" xfId="9" xr:uid="{00000000-0005-0000-0000-000008000000}"/>
    <cellStyle name="_10% CADR" xfId="10" xr:uid="{00000000-0005-0000-0000-000009000000}"/>
    <cellStyle name="_10% CDR" xfId="11" xr:uid="{00000000-0005-0000-0000-00000A000000}"/>
    <cellStyle name="_11% CADR" xfId="12" xr:uid="{00000000-0005-0000-0000-00000B000000}"/>
    <cellStyle name="_12% CADR" xfId="13" xr:uid="{00000000-0005-0000-0000-00000C000000}"/>
    <cellStyle name="_12% CDR" xfId="14" xr:uid="{00000000-0005-0000-0000-00000D000000}"/>
    <cellStyle name="_13% CADR" xfId="15" xr:uid="{00000000-0005-0000-0000-00000E000000}"/>
    <cellStyle name="_14% CADR" xfId="16" xr:uid="{00000000-0005-0000-0000-00000F000000}"/>
    <cellStyle name="_14% CDR" xfId="17" xr:uid="{00000000-0005-0000-0000-000010000000}"/>
    <cellStyle name="_16% CDR" xfId="18" xr:uid="{00000000-0005-0000-0000-000011000000}"/>
    <cellStyle name="_18% CDR" xfId="19" xr:uid="{00000000-0005-0000-0000-000012000000}"/>
    <cellStyle name="_19.6% CDR BBB Break In Yield" xfId="20" xr:uid="{00000000-0005-0000-0000-000013000000}"/>
    <cellStyle name="_2% CADR" xfId="21" xr:uid="{00000000-0005-0000-0000-000014000000}"/>
    <cellStyle name="_20% CDR" xfId="22" xr:uid="{00000000-0005-0000-0000-000015000000}"/>
    <cellStyle name="_21.5% CDR BBB Break In Yield" xfId="23" xr:uid="{00000000-0005-0000-0000-000016000000}"/>
    <cellStyle name="_3% CADR" xfId="24" xr:uid="{00000000-0005-0000-0000-000017000000}"/>
    <cellStyle name="_3% CDR" xfId="25" xr:uid="{00000000-0005-0000-0000-000018000000}"/>
    <cellStyle name="_4% CADR" xfId="26" xr:uid="{00000000-0005-0000-0000-000019000000}"/>
    <cellStyle name="_5% CADR" xfId="27" xr:uid="{00000000-0005-0000-0000-00001A000000}"/>
    <cellStyle name="_5% CDR" xfId="28" xr:uid="{00000000-0005-0000-0000-00001B000000}"/>
    <cellStyle name="_6% CADR" xfId="29" xr:uid="{00000000-0005-0000-0000-00001C000000}"/>
    <cellStyle name="_7% CADR" xfId="30" xr:uid="{00000000-0005-0000-0000-00001D000000}"/>
    <cellStyle name="_7% CDR" xfId="31" xr:uid="{00000000-0005-0000-0000-00001E000000}"/>
    <cellStyle name="_8% CADR" xfId="32" xr:uid="{00000000-0005-0000-0000-00001F000000}"/>
    <cellStyle name="_8.0% CDR BB Break In Yield" xfId="33" xr:uid="{00000000-0005-0000-0000-000020000000}"/>
    <cellStyle name="_8.1% CDR BB Break In Yield" xfId="34" xr:uid="{00000000-0005-0000-0000-000021000000}"/>
    <cellStyle name="_9% CADR" xfId="35" xr:uid="{00000000-0005-0000-0000-000022000000}"/>
    <cellStyle name="_Assets" xfId="36" xr:uid="{00000000-0005-0000-0000-000023000000}"/>
    <cellStyle name="_Assets_1" xfId="37" xr:uid="{00000000-0005-0000-0000-000024000000}"/>
    <cellStyle name="_Assets_1_COMPS - B2B Publishers" xfId="38" xr:uid="{00000000-0005-0000-0000-000025000000}"/>
    <cellStyle name="_Assets_1_COMPS - Directories" xfId="39" xr:uid="{00000000-0005-0000-0000-000026000000}"/>
    <cellStyle name="_Assets_1_F&amp;W Servicing Model" xfId="40" xr:uid="{00000000-0005-0000-0000-000027000000}"/>
    <cellStyle name="_Assets_1_F&amp;W Servicing Model v2" xfId="41" xr:uid="{00000000-0005-0000-0000-000028000000}"/>
    <cellStyle name="_Assets_1_S&amp;P Analysis" xfId="42" xr:uid="{00000000-0005-0000-0000-000029000000}"/>
    <cellStyle name="_Assets_1_Univision Annual Model" xfId="43" xr:uid="{00000000-0005-0000-0000-00002A000000}"/>
    <cellStyle name="_Assets_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00000000-0005-0000-0000-00002D000000}"/>
    <cellStyle name="_Assets_S&amp;P Analysis_COMPS - Directories" xfId="47" xr:uid="{00000000-0005-0000-0000-00002E000000}"/>
    <cellStyle name="_Assets_S&amp;P Analysis_F&amp;W Servicing Model" xfId="48" xr:uid="{00000000-0005-0000-0000-00002F000000}"/>
    <cellStyle name="_Assets_S&amp;P Analysis_F&amp;W Servicing Model v2" xfId="49" xr:uid="{00000000-0005-0000-0000-000030000000}"/>
    <cellStyle name="_Assets_S&amp;P Analysis_Univision Annual Model" xfId="50" xr:uid="{00000000-0005-0000-0000-000031000000}"/>
    <cellStyle name="_Assets_S&amp;P Analysis_Yell Servicing Model" xfId="51" xr:uid="{00000000-0005-0000-0000-000032000000}"/>
    <cellStyle name="_Assumptions" xfId="52" xr:uid="{00000000-0005-0000-0000-000033000000}"/>
    <cellStyle name="_Assumptions_1" xfId="53" xr:uid="{00000000-0005-0000-0000-000034000000}"/>
    <cellStyle name="_Assumptions_1_COMPS - B2B Publishers" xfId="54" xr:uid="{00000000-0005-0000-0000-000035000000}"/>
    <cellStyle name="_Assumptions_1_COMPS - Directories" xfId="55" xr:uid="{00000000-0005-0000-0000-000036000000}"/>
    <cellStyle name="_Assumptions_1_F&amp;W Servicing Model" xfId="56" xr:uid="{00000000-0005-0000-0000-000037000000}"/>
    <cellStyle name="_Assumptions_1_F&amp;W Servicing Model v2" xfId="57" xr:uid="{00000000-0005-0000-0000-000038000000}"/>
    <cellStyle name="_Assumptions_1_Univision Annual Model" xfId="58" xr:uid="{00000000-0005-0000-0000-000039000000}"/>
    <cellStyle name="_Assumptions_1_Yell Servicing Model" xfId="59" xr:uid="{00000000-0005-0000-0000-00003A000000}"/>
    <cellStyle name="_Blue Mountain TRS (7-5-05)" xfId="60" xr:uid="{00000000-0005-0000-0000-00003B000000}"/>
    <cellStyle name="_Book2" xfId="61" xr:uid="{00000000-0005-0000-0000-00003C000000}"/>
    <cellStyle name="_CDO of CDO" xfId="62" xr:uid="{00000000-0005-0000-0000-00003D000000}"/>
    <cellStyle name="_CLO Portfolio 10_07_2005" xfId="63" xr:uid="{00000000-0005-0000-0000-00003E000000}"/>
    <cellStyle name="_Comma" xfId="64" xr:uid="{00000000-0005-0000-0000-00003F000000}"/>
    <cellStyle name="_Comma_dcf" xfId="65" xr:uid="{00000000-0005-0000-0000-000040000000}"/>
    <cellStyle name="_Currency" xfId="66" xr:uid="{00000000-0005-0000-0000-000041000000}"/>
    <cellStyle name="_Currency_dcf" xfId="67" xr:uid="{00000000-0005-0000-0000-000042000000}"/>
    <cellStyle name="_CurrencySpace" xfId="68" xr:uid="{00000000-0005-0000-0000-000043000000}"/>
    <cellStyle name="_CurrencySpace_dcf" xfId="69" xr:uid="{00000000-0005-0000-0000-000044000000}"/>
    <cellStyle name="_Euro" xfId="70" xr:uid="{00000000-0005-0000-0000-000045000000}"/>
    <cellStyle name="_EV8 Assumption List" xfId="71" xr:uid="{00000000-0005-0000-0000-000046000000}"/>
    <cellStyle name="_Exhibit I Babson Warehouse 2006-II CLO 8 18 06" xfId="72" xr:uid="{00000000-0005-0000-0000-000047000000}"/>
    <cellStyle name="_First PIK" xfId="73" xr:uid="{00000000-0005-0000-0000-000048000000}"/>
    <cellStyle name="_Galaxy VI CLO - WestLB Request" xfId="74" xr:uid="{00000000-0005-0000-0000-000049000000}"/>
    <cellStyle name="_Heading" xfId="75" xr:uid="{00000000-0005-0000-0000-00004A000000}"/>
    <cellStyle name="_Heading_prestemp" xfId="76" xr:uid="{00000000-0005-0000-0000-00004B000000}"/>
    <cellStyle name="_Highlight" xfId="77" xr:uid="{00000000-0005-0000-0000-00004C000000}"/>
    <cellStyle name="_Model FINAL (2)" xfId="78" xr:uid="{00000000-0005-0000-0000-00004D000000}"/>
    <cellStyle name="_Multiple" xfId="79" xr:uid="{00000000-0005-0000-0000-00004E000000}"/>
    <cellStyle name="_Multiple_dcf" xfId="80" xr:uid="{00000000-0005-0000-0000-00004F000000}"/>
    <cellStyle name="_MultipleSpace" xfId="81" xr:uid="{00000000-0005-0000-0000-000050000000}"/>
    <cellStyle name="_MultipleSpace_dcf" xfId="82" xr:uid="{00000000-0005-0000-0000-000051000000}"/>
    <cellStyle name="_Other Defafult Scenario 1" xfId="83" xr:uid="{00000000-0005-0000-0000-000052000000}"/>
    <cellStyle name="_Other Default Scenario 2" xfId="84" xr:uid="{00000000-0005-0000-0000-000053000000}"/>
    <cellStyle name="_Percent" xfId="85" xr:uid="{00000000-0005-0000-0000-000054000000}"/>
    <cellStyle name="_PercentSpace" xfId="86" xr:uid="{00000000-0005-0000-0000-000055000000}"/>
    <cellStyle name="_Port" xfId="87" xr:uid="{00000000-0005-0000-0000-000056000000}"/>
    <cellStyle name="_Port For S&amp;P" xfId="88" xr:uid="{00000000-0005-0000-0000-000057000000}"/>
    <cellStyle name="_Port_COMPS - B2B Publishers" xfId="89" xr:uid="{00000000-0005-0000-0000-000058000000}"/>
    <cellStyle name="_Port_COMPS - Directories" xfId="90" xr:uid="{00000000-0005-0000-0000-000059000000}"/>
    <cellStyle name="_Port_F&amp;W Servicing Model" xfId="91" xr:uid="{00000000-0005-0000-0000-00005A000000}"/>
    <cellStyle name="_Port_F&amp;W Servicing Model v2" xfId="92" xr:uid="{00000000-0005-0000-0000-00005B000000}"/>
    <cellStyle name="_Port_Univision Annual Model" xfId="93" xr:uid="{00000000-0005-0000-0000-00005C000000}"/>
    <cellStyle name="_Port_Yell Servicing Model" xfId="94" xr:uid="{00000000-0005-0000-0000-00005D000000}"/>
    <cellStyle name="_Pro Forma TTM 9.30.07 (CW NEIRB Acquisition)" xfId="95" xr:uid="{00000000-0005-0000-0000-00005E000000}"/>
    <cellStyle name="_S&amp;P Analysis" xfId="96" xr:uid="{00000000-0005-0000-0000-00005F000000}"/>
    <cellStyle name="_S&amp;P Analysis_COMPS - B2B Publishers" xfId="97" xr:uid="{00000000-0005-0000-0000-000060000000}"/>
    <cellStyle name="_S&amp;P Analysis_COMPS - Directories" xfId="98" xr:uid="{00000000-0005-0000-0000-000061000000}"/>
    <cellStyle name="_S&amp;P Analysis_F&amp;W Servicing Model" xfId="99" xr:uid="{00000000-0005-0000-0000-000062000000}"/>
    <cellStyle name="_S&amp;P Analysis_F&amp;W Servicing Model v2" xfId="100" xr:uid="{00000000-0005-0000-0000-000063000000}"/>
    <cellStyle name="_S&amp;P Analysis_Univision Annual Model" xfId="101" xr:uid="{00000000-0005-0000-0000-000064000000}"/>
    <cellStyle name="_S&amp;P Analysis_Yell Servicing Model" xfId="102" xr:uid="{00000000-0005-0000-0000-000065000000}"/>
    <cellStyle name="_S&amp;P Hypothetical Port Summary" xfId="103" xr:uid="{00000000-0005-0000-0000-000066000000}"/>
    <cellStyle name="_S&amp;P Port 80Div_2099WARF" xfId="104" xr:uid="{00000000-0005-0000-0000-000067000000}"/>
    <cellStyle name="_S&amp;P Stress Scenarios" xfId="105" xr:uid="{00000000-0005-0000-0000-000068000000}"/>
    <cellStyle name="_Sources and Uses" xfId="106" xr:uid="{00000000-0005-0000-0000-000069000000}"/>
    <cellStyle name="_SubHeading" xfId="107" xr:uid="{00000000-0005-0000-0000-00006A000000}"/>
    <cellStyle name="_SubHeading_prestemp" xfId="108" xr:uid="{00000000-0005-0000-0000-00006B000000}"/>
    <cellStyle name="_Table" xfId="109" xr:uid="{00000000-0005-0000-0000-00006C000000}"/>
    <cellStyle name="_TableHead" xfId="110" xr:uid="{00000000-0005-0000-0000-00006D000000}"/>
    <cellStyle name="_TableRowHead" xfId="111" xr:uid="{00000000-0005-0000-0000-00006E000000}"/>
    <cellStyle name="_TableSuperHead" xfId="112" xr:uid="{00000000-0005-0000-0000-00006F000000}"/>
    <cellStyle name="£Currency [0]" xfId="113" xr:uid="{00000000-0005-0000-0000-000070000000}"/>
    <cellStyle name="£Currency [1]" xfId="114" xr:uid="{00000000-0005-0000-0000-000071000000}"/>
    <cellStyle name="£Currency [2]" xfId="115" xr:uid="{00000000-0005-0000-0000-000072000000}"/>
    <cellStyle name="£Currency [p]" xfId="116" xr:uid="{00000000-0005-0000-0000-000073000000}"/>
    <cellStyle name="£Currency [p2]" xfId="117" xr:uid="{00000000-0005-0000-0000-000074000000}"/>
    <cellStyle name="£Pounds" xfId="118" xr:uid="{00000000-0005-0000-0000-000075000000}"/>
    <cellStyle name="Accounting $" xfId="119" xr:uid="{00000000-0005-0000-0000-000076000000}"/>
    <cellStyle name="Across" xfId="120" xr:uid="{00000000-0005-0000-0000-000077000000}"/>
    <cellStyle name="Adjustable" xfId="121" xr:uid="{00000000-0005-0000-0000-000078000000}"/>
    <cellStyle name="AFE" xfId="122" xr:uid="{00000000-0005-0000-0000-000079000000}"/>
    <cellStyle name="Andre's Title" xfId="123" xr:uid="{00000000-0005-0000-0000-00007A000000}"/>
    <cellStyle name="args.style" xfId="124" xr:uid="{00000000-0005-0000-0000-00007B000000}"/>
    <cellStyle name="Arial 10" xfId="125" xr:uid="{00000000-0005-0000-0000-00007C000000}"/>
    <cellStyle name="Arial 12" xfId="126" xr:uid="{00000000-0005-0000-0000-00007D000000}"/>
    <cellStyle name="Best" xfId="127" xr:uid="{00000000-0005-0000-0000-00007E000000}"/>
    <cellStyle name="Blank [$]" xfId="128" xr:uid="{00000000-0005-0000-0000-00007F000000}"/>
    <cellStyle name="Blank [,]" xfId="129" xr:uid="{00000000-0005-0000-0000-000080000000}"/>
    <cellStyle name="BlankedZeros" xfId="130" xr:uid="{00000000-0005-0000-0000-000081000000}"/>
    <cellStyle name="blp_column_header" xfId="131" xr:uid="{00000000-0005-0000-0000-000082000000}"/>
    <cellStyle name="Blue" xfId="132" xr:uid="{00000000-0005-0000-0000-000083000000}"/>
    <cellStyle name="bluepercent" xfId="133" xr:uid="{00000000-0005-0000-0000-000084000000}"/>
    <cellStyle name="Body" xfId="134" xr:uid="{00000000-0005-0000-0000-000085000000}"/>
    <cellStyle name="Bold" xfId="135" xr:uid="{00000000-0005-0000-0000-000086000000}"/>
    <cellStyle name="BoldItalic" xfId="136" xr:uid="{00000000-0005-0000-0000-000087000000}"/>
    <cellStyle name="Bottom" xfId="137" xr:uid="{00000000-0005-0000-0000-000088000000}"/>
    <cellStyle name="Bottom Edge" xfId="138" xr:uid="{00000000-0005-0000-0000-000089000000}"/>
    <cellStyle name="British Pound" xfId="139" xr:uid="{00000000-0005-0000-0000-00008A000000}"/>
    <cellStyle name="Business Description" xfId="140" xr:uid="{00000000-0005-0000-0000-00008B000000}"/>
    <cellStyle name="c" xfId="141" xr:uid="{00000000-0005-0000-0000-00008C000000}"/>
    <cellStyle name="Calc Currency (0)" xfId="142" xr:uid="{00000000-0005-0000-0000-00008D000000}"/>
    <cellStyle name="Calc Currency (2)" xfId="143" xr:uid="{00000000-0005-0000-0000-00008E000000}"/>
    <cellStyle name="Calc Percent (0)" xfId="144" xr:uid="{00000000-0005-0000-0000-00008F000000}"/>
    <cellStyle name="Calc Percent (1)" xfId="145" xr:uid="{00000000-0005-0000-0000-000090000000}"/>
    <cellStyle name="Calc Percent (2)" xfId="146" xr:uid="{00000000-0005-0000-0000-000091000000}"/>
    <cellStyle name="Calc Units (0)" xfId="147" xr:uid="{00000000-0005-0000-0000-000092000000}"/>
    <cellStyle name="Calc Units (1)" xfId="148" xr:uid="{00000000-0005-0000-0000-000093000000}"/>
    <cellStyle name="Calc Units (2)" xfId="149" xr:uid="{00000000-0005-0000-0000-000094000000}"/>
    <cellStyle name="Case" xfId="150" xr:uid="{00000000-0005-0000-0000-000095000000}"/>
    <cellStyle name="cc" xfId="151" xr:uid="{00000000-0005-0000-0000-000096000000}"/>
    <cellStyle name="Center" xfId="152" xr:uid="{00000000-0005-0000-0000-000097000000}"/>
    <cellStyle name="CenterBold" xfId="153" xr:uid="{00000000-0005-0000-0000-000098000000}"/>
    <cellStyle name="CenterItalic" xfId="154" xr:uid="{00000000-0005-0000-0000-000099000000}"/>
    <cellStyle name="Cents" xfId="155" xr:uid="{00000000-0005-0000-0000-00009A000000}"/>
    <cellStyle name="ChartingText" xfId="156" xr:uid="{00000000-0005-0000-0000-00009B000000}"/>
    <cellStyle name="Co. Names" xfId="157" xr:uid="{00000000-0005-0000-0000-00009C000000}"/>
    <cellStyle name="Co. Names - Bold" xfId="158" xr:uid="{00000000-0005-0000-0000-00009D000000}"/>
    <cellStyle name="Co. Names_Break-Up" xfId="159" xr:uid="{00000000-0005-0000-0000-00009E000000}"/>
    <cellStyle name="COL HEADINGS" xfId="160" xr:uid="{00000000-0005-0000-0000-00009F000000}"/>
    <cellStyle name="ColumnHeaderNormal" xfId="161" xr:uid="{00000000-0005-0000-0000-0000A0000000}"/>
    <cellStyle name="Comma" xfId="901" builtinId="3"/>
    <cellStyle name="Comma  - Style1" xfId="162" xr:uid="{00000000-0005-0000-0000-0000A1000000}"/>
    <cellStyle name="Comma  - Style2" xfId="163" xr:uid="{00000000-0005-0000-0000-0000A2000000}"/>
    <cellStyle name="Comma  - Style3" xfId="164" xr:uid="{00000000-0005-0000-0000-0000A3000000}"/>
    <cellStyle name="Comma  - Style4" xfId="165" xr:uid="{00000000-0005-0000-0000-0000A4000000}"/>
    <cellStyle name="Comma  - Style5" xfId="166" xr:uid="{00000000-0005-0000-0000-0000A5000000}"/>
    <cellStyle name="Comma  - Style6" xfId="167" xr:uid="{00000000-0005-0000-0000-0000A6000000}"/>
    <cellStyle name="Comma  - Style7" xfId="168" xr:uid="{00000000-0005-0000-0000-0000A7000000}"/>
    <cellStyle name="Comma  - Style8" xfId="169" xr:uid="{00000000-0005-0000-0000-0000A8000000}"/>
    <cellStyle name="Comma [0]; --" xfId="170" xr:uid="{00000000-0005-0000-0000-0000A9000000}"/>
    <cellStyle name="Comma [00]" xfId="171" xr:uid="{00000000-0005-0000-0000-0000AA000000}"/>
    <cellStyle name="Comma [1]" xfId="172" xr:uid="{00000000-0005-0000-0000-0000AB000000}"/>
    <cellStyle name="Comma 2" xfId="895" xr:uid="{00000000-0005-0000-0000-0000AC000000}"/>
    <cellStyle name="Comma 2 2" xfId="899" xr:uid="{00000000-0005-0000-0000-0000AD000000}"/>
    <cellStyle name="Comma Cents" xfId="173" xr:uid="{00000000-0005-0000-0000-0000AE000000}"/>
    <cellStyle name="Comma0" xfId="174" xr:uid="{00000000-0005-0000-0000-0000AF000000}"/>
    <cellStyle name="Commas" xfId="175" xr:uid="{00000000-0005-0000-0000-0000B0000000}"/>
    <cellStyle name="CommasBold" xfId="176" xr:uid="{00000000-0005-0000-0000-0000B1000000}"/>
    <cellStyle name="CompanyTitle" xfId="177" xr:uid="{00000000-0005-0000-0000-0000B2000000}"/>
    <cellStyle name="Copied" xfId="178" xr:uid="{00000000-0005-0000-0000-0000B3000000}"/>
    <cellStyle name="Currency $" xfId="179" xr:uid="{00000000-0005-0000-0000-0000B4000000}"/>
    <cellStyle name="Currency [0]; --" xfId="180" xr:uid="{00000000-0005-0000-0000-0000B5000000}"/>
    <cellStyle name="Currency [00]" xfId="181" xr:uid="{00000000-0005-0000-0000-0000B6000000}"/>
    <cellStyle name="Currency [1]" xfId="182" xr:uid="{00000000-0005-0000-0000-0000B7000000}"/>
    <cellStyle name="Currency [2]" xfId="183" xr:uid="{00000000-0005-0000-0000-0000B8000000}"/>
    <cellStyle name="data" xfId="184" xr:uid="{00000000-0005-0000-0000-0000B9000000}"/>
    <cellStyle name="Date" xfId="185" xr:uid="{00000000-0005-0000-0000-0000BA000000}"/>
    <cellStyle name="Date Short" xfId="186" xr:uid="{00000000-0005-0000-0000-0000BB000000}"/>
    <cellStyle name="Date_COMPS - Directories" xfId="187" xr:uid="{00000000-0005-0000-0000-0000BC000000}"/>
    <cellStyle name="DateLeftBold" xfId="188" xr:uid="{00000000-0005-0000-0000-0000BD000000}"/>
    <cellStyle name="Default" xfId="189" xr:uid="{00000000-0005-0000-0000-0000BE000000}"/>
    <cellStyle name="DELTA" xfId="190" xr:uid="{00000000-0005-0000-0000-0000BF000000}"/>
    <cellStyle name="Dollars" xfId="191" xr:uid="{00000000-0005-0000-0000-0000C0000000}"/>
    <cellStyle name="Dollars []" xfId="192" xr:uid="{00000000-0005-0000-0000-0000C1000000}"/>
    <cellStyle name="Dollars_Pro Forma TTM 9.30.07 (CW NEIRB Acquisition)" xfId="193" xr:uid="{00000000-0005-0000-0000-0000C2000000}"/>
    <cellStyle name="Double" xfId="194" xr:uid="{00000000-0005-0000-0000-0000C3000000}"/>
    <cellStyle name="Double Accounting" xfId="195" xr:uid="{00000000-0005-0000-0000-0000C4000000}"/>
    <cellStyle name="Enter Currency (0)" xfId="196" xr:uid="{00000000-0005-0000-0000-0000C5000000}"/>
    <cellStyle name="Enter Currency (2)" xfId="197" xr:uid="{00000000-0005-0000-0000-0000C6000000}"/>
    <cellStyle name="Enter Units (0)" xfId="198" xr:uid="{00000000-0005-0000-0000-0000C7000000}"/>
    <cellStyle name="Enter Units (1)" xfId="199" xr:uid="{00000000-0005-0000-0000-0000C8000000}"/>
    <cellStyle name="Enter Units (2)" xfId="200" xr:uid="{00000000-0005-0000-0000-0000C9000000}"/>
    <cellStyle name="Entered" xfId="201" xr:uid="{00000000-0005-0000-0000-0000CA000000}"/>
    <cellStyle name="Euro" xfId="202" xr:uid="{00000000-0005-0000-0000-0000CB000000}"/>
    <cellStyle name="Fit" xfId="203" xr:uid="{00000000-0005-0000-0000-0000CC000000}"/>
    <cellStyle name="Footer" xfId="204" xr:uid="{00000000-0005-0000-0000-0000CD000000}"/>
    <cellStyle name="Footnotes" xfId="205" xr:uid="{00000000-0005-0000-0000-0000CE000000}"/>
    <cellStyle name="Grey" xfId="206" xr:uid="{00000000-0005-0000-0000-0000CF000000}"/>
    <cellStyle name="GreybarHeader" xfId="207" xr:uid="{00000000-0005-0000-0000-0000D0000000}"/>
    <cellStyle name="Grouped Head" xfId="208" xr:uid="{00000000-0005-0000-0000-0000D1000000}"/>
    <cellStyle name="h" xfId="209" xr:uid="{00000000-0005-0000-0000-0000D2000000}"/>
    <cellStyle name="HAlignCenter" xfId="210" xr:uid="{00000000-0005-0000-0000-0000D3000000}"/>
    <cellStyle name="HAlignLeft" xfId="211" xr:uid="{00000000-0005-0000-0000-0000D4000000}"/>
    <cellStyle name="HAlignRight" xfId="212" xr:uid="{00000000-0005-0000-0000-0000D5000000}"/>
    <cellStyle name="Head 1" xfId="213" xr:uid="{00000000-0005-0000-0000-0000D6000000}"/>
    <cellStyle name="Header" xfId="214" xr:uid="{00000000-0005-0000-0000-0000D7000000}"/>
    <cellStyle name="Header1" xfId="215" xr:uid="{00000000-0005-0000-0000-0000D8000000}"/>
    <cellStyle name="Header2" xfId="216" xr:uid="{00000000-0005-0000-0000-0000D9000000}"/>
    <cellStyle name="headers" xfId="217" xr:uid="{00000000-0005-0000-0000-0000DA000000}"/>
    <cellStyle name="Heading" xfId="218" xr:uid="{00000000-0005-0000-0000-0000DB000000}"/>
    <cellStyle name="HEADINGS" xfId="219" xr:uid="{00000000-0005-0000-0000-0000DC000000}"/>
    <cellStyle name="HEADINGSTOP" xfId="220" xr:uid="{00000000-0005-0000-0000-0000DD000000}"/>
    <cellStyle name="imput" xfId="221" xr:uid="{00000000-0005-0000-0000-0000DE000000}"/>
    <cellStyle name="Input [yellow]" xfId="222" xr:uid="{00000000-0005-0000-0000-0000DF000000}"/>
    <cellStyle name="Invisible" xfId="223" xr:uid="{00000000-0005-0000-0000-0000E0000000}"/>
    <cellStyle name="ItalicHeader" xfId="224" xr:uid="{00000000-0005-0000-0000-0000E1000000}"/>
    <cellStyle name="Item Descriptions" xfId="225" xr:uid="{00000000-0005-0000-0000-0000E2000000}"/>
    <cellStyle name="Item Descriptions - Bold" xfId="226" xr:uid="{00000000-0005-0000-0000-0000E3000000}"/>
    <cellStyle name="Item Descriptions_6079BX" xfId="227" xr:uid="{00000000-0005-0000-0000-0000E4000000}"/>
    <cellStyle name="Left" xfId="228" xr:uid="{00000000-0005-0000-0000-0000E5000000}"/>
    <cellStyle name="LeftBold" xfId="229" xr:uid="{00000000-0005-0000-0000-0000E6000000}"/>
    <cellStyle name="LeftBoldBottomRule" xfId="230" xr:uid="{00000000-0005-0000-0000-0000E7000000}"/>
    <cellStyle name="LeftBoldCenterRule" xfId="231" xr:uid="{00000000-0005-0000-0000-0000E8000000}"/>
    <cellStyle name="Line" xfId="232" xr:uid="{00000000-0005-0000-0000-0000E9000000}"/>
    <cellStyle name="Link Currency (0)" xfId="233" xr:uid="{00000000-0005-0000-0000-0000EA000000}"/>
    <cellStyle name="Link Currency (2)" xfId="234" xr:uid="{00000000-0005-0000-0000-0000EB000000}"/>
    <cellStyle name="Link Units (0)" xfId="235" xr:uid="{00000000-0005-0000-0000-0000EC000000}"/>
    <cellStyle name="Link Units (1)" xfId="236" xr:uid="{00000000-0005-0000-0000-0000ED000000}"/>
    <cellStyle name="Link Units (2)" xfId="237" xr:uid="{00000000-0005-0000-0000-0000EE000000}"/>
    <cellStyle name="locked" xfId="238" xr:uid="{00000000-0005-0000-0000-0000EF000000}"/>
    <cellStyle name="m&amp;a" xfId="239" xr:uid="{00000000-0005-0000-0000-0000F0000000}"/>
    <cellStyle name="Map Labels" xfId="240" xr:uid="{00000000-0005-0000-0000-0000F1000000}"/>
    <cellStyle name="Map Legend" xfId="241" xr:uid="{00000000-0005-0000-0000-0000F2000000}"/>
    <cellStyle name="Merrill" xfId="242" xr:uid="{00000000-0005-0000-0000-0000F3000000}"/>
    <cellStyle name="Millares_Inv Detail A7" xfId="243" xr:uid="{00000000-0005-0000-0000-0000F4000000}"/>
    <cellStyle name="Milliers [0]_r00SC" xfId="244" xr:uid="{00000000-0005-0000-0000-0000F5000000}"/>
    <cellStyle name="Milliers_r00SC" xfId="245" xr:uid="{00000000-0005-0000-0000-0000F6000000}"/>
    <cellStyle name="Mix" xfId="246" xr:uid="{00000000-0005-0000-0000-0000F7000000}"/>
    <cellStyle name="mon" xfId="247" xr:uid="{00000000-0005-0000-0000-0000F8000000}"/>
    <cellStyle name="Monétaire [0]_r00SC" xfId="248" xr:uid="{00000000-0005-0000-0000-0000F9000000}"/>
    <cellStyle name="Monétaire_r00SC" xfId="249" xr:uid="{00000000-0005-0000-0000-0000FA000000}"/>
    <cellStyle name="Money" xfId="250" xr:uid="{00000000-0005-0000-0000-0000FB000000}"/>
    <cellStyle name="Multiple" xfId="251" xr:uid="{00000000-0005-0000-0000-0000FC000000}"/>
    <cellStyle name="Multiple []" xfId="252" xr:uid="{00000000-0005-0000-0000-0000FD000000}"/>
    <cellStyle name="Multiple [0]" xfId="253" xr:uid="{00000000-0005-0000-0000-0000FE000000}"/>
    <cellStyle name="Multiple [0] []" xfId="254" xr:uid="{00000000-0005-0000-0000-0000FF000000}"/>
    <cellStyle name="Multiple [0]_New MA Public Comps and WACC Model" xfId="255" xr:uid="{00000000-0005-0000-0000-000000010000}"/>
    <cellStyle name="Multiple [1]" xfId="256" xr:uid="{00000000-0005-0000-0000-000001010000}"/>
    <cellStyle name="Multiple [1] []" xfId="257" xr:uid="{00000000-0005-0000-0000-000002010000}"/>
    <cellStyle name="Multiple [1]_New MA Public Comps and WACC Model" xfId="258" xr:uid="{00000000-0005-0000-0000-000003010000}"/>
    <cellStyle name="Multiple_CapitalSum" xfId="259" xr:uid="{00000000-0005-0000-0000-000004010000}"/>
    <cellStyle name="N2Style" xfId="260" xr:uid="{00000000-0005-0000-0000-000005010000}"/>
    <cellStyle name="NewColumnHeaderNormal" xfId="261" xr:uid="{00000000-0005-0000-0000-000006010000}"/>
    <cellStyle name="NewSectionHeaderNormal" xfId="262" xr:uid="{00000000-0005-0000-0000-000007010000}"/>
    <cellStyle name="NewTitleNormal" xfId="263" xr:uid="{00000000-0005-0000-0000-000008010000}"/>
    <cellStyle name="Normal" xfId="0" builtinId="0"/>
    <cellStyle name="Normal - Style1" xfId="264" xr:uid="{00000000-0005-0000-0000-00000A010000}"/>
    <cellStyle name="Normal 2" xfId="265" xr:uid="{00000000-0005-0000-0000-00000B010000}"/>
    <cellStyle name="Normal 2 2" xfId="266" xr:uid="{00000000-0005-0000-0000-00000C010000}"/>
    <cellStyle name="Normal 2 2 2" xfId="896" xr:uid="{00000000-0005-0000-0000-00000D010000}"/>
    <cellStyle name="Normal 3" xfId="894" xr:uid="{00000000-0005-0000-0000-00000E010000}"/>
    <cellStyle name="Normal 3 2" xfId="898" xr:uid="{00000000-0005-0000-0000-00000F010000}"/>
    <cellStyle name="Normal1" xfId="267" xr:uid="{00000000-0005-0000-0000-000010010000}"/>
    <cellStyle name="Normal10" xfId="268" xr:uid="{00000000-0005-0000-0000-000011010000}"/>
    <cellStyle name="Normal100" xfId="269" xr:uid="{00000000-0005-0000-0000-000012010000}"/>
    <cellStyle name="Normal101" xfId="270" xr:uid="{00000000-0005-0000-0000-000013010000}"/>
    <cellStyle name="Normal102" xfId="271" xr:uid="{00000000-0005-0000-0000-000014010000}"/>
    <cellStyle name="Normal103" xfId="272" xr:uid="{00000000-0005-0000-0000-000015010000}"/>
    <cellStyle name="Normal104" xfId="273" xr:uid="{00000000-0005-0000-0000-000016010000}"/>
    <cellStyle name="Normal105" xfId="274" xr:uid="{00000000-0005-0000-0000-000017010000}"/>
    <cellStyle name="Normal106" xfId="275" xr:uid="{00000000-0005-0000-0000-000018010000}"/>
    <cellStyle name="Normal107" xfId="276" xr:uid="{00000000-0005-0000-0000-000019010000}"/>
    <cellStyle name="Normal108" xfId="277" xr:uid="{00000000-0005-0000-0000-00001A010000}"/>
    <cellStyle name="Normal109" xfId="278" xr:uid="{00000000-0005-0000-0000-00001B010000}"/>
    <cellStyle name="Normal11" xfId="279" xr:uid="{00000000-0005-0000-0000-00001C010000}"/>
    <cellStyle name="Normal110" xfId="280" xr:uid="{00000000-0005-0000-0000-00001D010000}"/>
    <cellStyle name="Normal111" xfId="281" xr:uid="{00000000-0005-0000-0000-00001E010000}"/>
    <cellStyle name="Normal112" xfId="282" xr:uid="{00000000-0005-0000-0000-00001F010000}"/>
    <cellStyle name="Normal113" xfId="283" xr:uid="{00000000-0005-0000-0000-000020010000}"/>
    <cellStyle name="Normal114" xfId="284" xr:uid="{00000000-0005-0000-0000-000021010000}"/>
    <cellStyle name="Normal115" xfId="285" xr:uid="{00000000-0005-0000-0000-000022010000}"/>
    <cellStyle name="Normal116" xfId="286" xr:uid="{00000000-0005-0000-0000-000023010000}"/>
    <cellStyle name="Normal117" xfId="287" xr:uid="{00000000-0005-0000-0000-000024010000}"/>
    <cellStyle name="Normal118" xfId="288" xr:uid="{00000000-0005-0000-0000-000025010000}"/>
    <cellStyle name="Normal119" xfId="289" xr:uid="{00000000-0005-0000-0000-000026010000}"/>
    <cellStyle name="Normal12" xfId="290" xr:uid="{00000000-0005-0000-0000-000027010000}"/>
    <cellStyle name="Normal120" xfId="291" xr:uid="{00000000-0005-0000-0000-000028010000}"/>
    <cellStyle name="Normal121" xfId="292" xr:uid="{00000000-0005-0000-0000-000029010000}"/>
    <cellStyle name="Normal122" xfId="293" xr:uid="{00000000-0005-0000-0000-00002A010000}"/>
    <cellStyle name="Normal123" xfId="294" xr:uid="{00000000-0005-0000-0000-00002B010000}"/>
    <cellStyle name="Normal124" xfId="295" xr:uid="{00000000-0005-0000-0000-00002C010000}"/>
    <cellStyle name="Normal125" xfId="296" xr:uid="{00000000-0005-0000-0000-00002D010000}"/>
    <cellStyle name="Normal126" xfId="297" xr:uid="{00000000-0005-0000-0000-00002E010000}"/>
    <cellStyle name="Normal127" xfId="298" xr:uid="{00000000-0005-0000-0000-00002F010000}"/>
    <cellStyle name="Normal128" xfId="299" xr:uid="{00000000-0005-0000-0000-000030010000}"/>
    <cellStyle name="Normal129" xfId="300" xr:uid="{00000000-0005-0000-0000-000031010000}"/>
    <cellStyle name="Normal13" xfId="301" xr:uid="{00000000-0005-0000-0000-000032010000}"/>
    <cellStyle name="Normal130" xfId="302" xr:uid="{00000000-0005-0000-0000-000033010000}"/>
    <cellStyle name="Normal131" xfId="303" xr:uid="{00000000-0005-0000-0000-000034010000}"/>
    <cellStyle name="Normal132" xfId="304" xr:uid="{00000000-0005-0000-0000-000035010000}"/>
    <cellStyle name="Normal133" xfId="305" xr:uid="{00000000-0005-0000-0000-000036010000}"/>
    <cellStyle name="Normal134" xfId="306" xr:uid="{00000000-0005-0000-0000-000037010000}"/>
    <cellStyle name="Normal135" xfId="307" xr:uid="{00000000-0005-0000-0000-000038010000}"/>
    <cellStyle name="Normal136" xfId="308" xr:uid="{00000000-0005-0000-0000-000039010000}"/>
    <cellStyle name="Normal137" xfId="309" xr:uid="{00000000-0005-0000-0000-00003A010000}"/>
    <cellStyle name="Normal138" xfId="310" xr:uid="{00000000-0005-0000-0000-00003B010000}"/>
    <cellStyle name="Normal139" xfId="311" xr:uid="{00000000-0005-0000-0000-00003C010000}"/>
    <cellStyle name="Normal14" xfId="312" xr:uid="{00000000-0005-0000-0000-00003D010000}"/>
    <cellStyle name="Normal140" xfId="313" xr:uid="{00000000-0005-0000-0000-00003E010000}"/>
    <cellStyle name="Normal141" xfId="314" xr:uid="{00000000-0005-0000-0000-00003F010000}"/>
    <cellStyle name="Normal142" xfId="315" xr:uid="{00000000-0005-0000-0000-000040010000}"/>
    <cellStyle name="Normal143" xfId="316" xr:uid="{00000000-0005-0000-0000-000041010000}"/>
    <cellStyle name="Normal144" xfId="317" xr:uid="{00000000-0005-0000-0000-000042010000}"/>
    <cellStyle name="Normal145" xfId="318" xr:uid="{00000000-0005-0000-0000-000043010000}"/>
    <cellStyle name="Normal146" xfId="319" xr:uid="{00000000-0005-0000-0000-000044010000}"/>
    <cellStyle name="Normal147" xfId="320" xr:uid="{00000000-0005-0000-0000-000045010000}"/>
    <cellStyle name="Normal148" xfId="321" xr:uid="{00000000-0005-0000-0000-000046010000}"/>
    <cellStyle name="Normal149" xfId="322" xr:uid="{00000000-0005-0000-0000-000047010000}"/>
    <cellStyle name="Normal15" xfId="323" xr:uid="{00000000-0005-0000-0000-000048010000}"/>
    <cellStyle name="Normal150" xfId="324" xr:uid="{00000000-0005-0000-0000-000049010000}"/>
    <cellStyle name="Normal151" xfId="325" xr:uid="{00000000-0005-0000-0000-00004A010000}"/>
    <cellStyle name="Normal152" xfId="326" xr:uid="{00000000-0005-0000-0000-00004B010000}"/>
    <cellStyle name="Normal153" xfId="327" xr:uid="{00000000-0005-0000-0000-00004C010000}"/>
    <cellStyle name="Normal154" xfId="328" xr:uid="{00000000-0005-0000-0000-00004D010000}"/>
    <cellStyle name="Normal155" xfId="329" xr:uid="{00000000-0005-0000-0000-00004E010000}"/>
    <cellStyle name="Normal156" xfId="330" xr:uid="{00000000-0005-0000-0000-00004F010000}"/>
    <cellStyle name="Normal157" xfId="331" xr:uid="{00000000-0005-0000-0000-000050010000}"/>
    <cellStyle name="Normal158" xfId="332" xr:uid="{00000000-0005-0000-0000-000051010000}"/>
    <cellStyle name="Normal159" xfId="333" xr:uid="{00000000-0005-0000-0000-000052010000}"/>
    <cellStyle name="Normal16" xfId="334" xr:uid="{00000000-0005-0000-0000-000053010000}"/>
    <cellStyle name="Normal160" xfId="335" xr:uid="{00000000-0005-0000-0000-000054010000}"/>
    <cellStyle name="Normal161" xfId="336" xr:uid="{00000000-0005-0000-0000-000055010000}"/>
    <cellStyle name="Normal162" xfId="337" xr:uid="{00000000-0005-0000-0000-000056010000}"/>
    <cellStyle name="Normal163" xfId="338" xr:uid="{00000000-0005-0000-0000-000057010000}"/>
    <cellStyle name="Normal164" xfId="339" xr:uid="{00000000-0005-0000-0000-000058010000}"/>
    <cellStyle name="Normal165" xfId="340" xr:uid="{00000000-0005-0000-0000-000059010000}"/>
    <cellStyle name="Normal166" xfId="341" xr:uid="{00000000-0005-0000-0000-00005A010000}"/>
    <cellStyle name="Normal167" xfId="342" xr:uid="{00000000-0005-0000-0000-00005B010000}"/>
    <cellStyle name="Normal168" xfId="343" xr:uid="{00000000-0005-0000-0000-00005C010000}"/>
    <cellStyle name="Normal169" xfId="344" xr:uid="{00000000-0005-0000-0000-00005D010000}"/>
    <cellStyle name="Normal17" xfId="345" xr:uid="{00000000-0005-0000-0000-00005E010000}"/>
    <cellStyle name="Normal170" xfId="346" xr:uid="{00000000-0005-0000-0000-00005F010000}"/>
    <cellStyle name="Normal171" xfId="347" xr:uid="{00000000-0005-0000-0000-000060010000}"/>
    <cellStyle name="Normal172" xfId="348" xr:uid="{00000000-0005-0000-0000-000061010000}"/>
    <cellStyle name="Normal173" xfId="349" xr:uid="{00000000-0005-0000-0000-000062010000}"/>
    <cellStyle name="Normal174" xfId="350" xr:uid="{00000000-0005-0000-0000-000063010000}"/>
    <cellStyle name="Normal175" xfId="351" xr:uid="{00000000-0005-0000-0000-000064010000}"/>
    <cellStyle name="Normal176" xfId="352" xr:uid="{00000000-0005-0000-0000-000065010000}"/>
    <cellStyle name="Normal177" xfId="353" xr:uid="{00000000-0005-0000-0000-000066010000}"/>
    <cellStyle name="Normal178" xfId="354" xr:uid="{00000000-0005-0000-0000-000067010000}"/>
    <cellStyle name="Normal179" xfId="355" xr:uid="{00000000-0005-0000-0000-000068010000}"/>
    <cellStyle name="Normal18" xfId="356" xr:uid="{00000000-0005-0000-0000-000069010000}"/>
    <cellStyle name="Normal180" xfId="357" xr:uid="{00000000-0005-0000-0000-00006A010000}"/>
    <cellStyle name="Normal181" xfId="358" xr:uid="{00000000-0005-0000-0000-00006B010000}"/>
    <cellStyle name="Normal182" xfId="359" xr:uid="{00000000-0005-0000-0000-00006C010000}"/>
    <cellStyle name="Normal183" xfId="360" xr:uid="{00000000-0005-0000-0000-00006D010000}"/>
    <cellStyle name="Normal184" xfId="361" xr:uid="{00000000-0005-0000-0000-00006E010000}"/>
    <cellStyle name="Normal185" xfId="362" xr:uid="{00000000-0005-0000-0000-00006F010000}"/>
    <cellStyle name="Normal186" xfId="363" xr:uid="{00000000-0005-0000-0000-000070010000}"/>
    <cellStyle name="Normal187" xfId="364" xr:uid="{00000000-0005-0000-0000-000071010000}"/>
    <cellStyle name="Normal188" xfId="365" xr:uid="{00000000-0005-0000-0000-000072010000}"/>
    <cellStyle name="Normal189" xfId="366" xr:uid="{00000000-0005-0000-0000-000073010000}"/>
    <cellStyle name="Normal19" xfId="367" xr:uid="{00000000-0005-0000-0000-000074010000}"/>
    <cellStyle name="Normal190" xfId="368" xr:uid="{00000000-0005-0000-0000-000075010000}"/>
    <cellStyle name="Normal191" xfId="369" xr:uid="{00000000-0005-0000-0000-000076010000}"/>
    <cellStyle name="Normal192" xfId="370" xr:uid="{00000000-0005-0000-0000-000077010000}"/>
    <cellStyle name="Normal193" xfId="371" xr:uid="{00000000-0005-0000-0000-000078010000}"/>
    <cellStyle name="Normal194" xfId="372" xr:uid="{00000000-0005-0000-0000-000079010000}"/>
    <cellStyle name="Normal195" xfId="373" xr:uid="{00000000-0005-0000-0000-00007A010000}"/>
    <cellStyle name="Normal196" xfId="374" xr:uid="{00000000-0005-0000-0000-00007B010000}"/>
    <cellStyle name="Normal197" xfId="375" xr:uid="{00000000-0005-0000-0000-00007C010000}"/>
    <cellStyle name="Normal198" xfId="376" xr:uid="{00000000-0005-0000-0000-00007D010000}"/>
    <cellStyle name="Normal199" xfId="377" xr:uid="{00000000-0005-0000-0000-00007E010000}"/>
    <cellStyle name="Normal2" xfId="378" xr:uid="{00000000-0005-0000-0000-00007F010000}"/>
    <cellStyle name="Normal20" xfId="379" xr:uid="{00000000-0005-0000-0000-000080010000}"/>
    <cellStyle name="Normal200" xfId="380" xr:uid="{00000000-0005-0000-0000-000081010000}"/>
    <cellStyle name="Normal201" xfId="381" xr:uid="{00000000-0005-0000-0000-000082010000}"/>
    <cellStyle name="Normal202" xfId="382" xr:uid="{00000000-0005-0000-0000-000083010000}"/>
    <cellStyle name="Normal203" xfId="383" xr:uid="{00000000-0005-0000-0000-000084010000}"/>
    <cellStyle name="Normal204" xfId="384" xr:uid="{00000000-0005-0000-0000-000085010000}"/>
    <cellStyle name="Normal205" xfId="385" xr:uid="{00000000-0005-0000-0000-000086010000}"/>
    <cellStyle name="Normal206" xfId="386" xr:uid="{00000000-0005-0000-0000-000087010000}"/>
    <cellStyle name="Normal207" xfId="387" xr:uid="{00000000-0005-0000-0000-000088010000}"/>
    <cellStyle name="Normal208" xfId="388" xr:uid="{00000000-0005-0000-0000-000089010000}"/>
    <cellStyle name="Normal209" xfId="389" xr:uid="{00000000-0005-0000-0000-00008A010000}"/>
    <cellStyle name="Normal21" xfId="390" xr:uid="{00000000-0005-0000-0000-00008B010000}"/>
    <cellStyle name="Normal210" xfId="391" xr:uid="{00000000-0005-0000-0000-00008C010000}"/>
    <cellStyle name="Normal211" xfId="392" xr:uid="{00000000-0005-0000-0000-00008D010000}"/>
    <cellStyle name="Normal212" xfId="393" xr:uid="{00000000-0005-0000-0000-00008E010000}"/>
    <cellStyle name="Normal213" xfId="394" xr:uid="{00000000-0005-0000-0000-00008F010000}"/>
    <cellStyle name="Normal214" xfId="395" xr:uid="{00000000-0005-0000-0000-000090010000}"/>
    <cellStyle name="Normal215" xfId="396" xr:uid="{00000000-0005-0000-0000-000091010000}"/>
    <cellStyle name="Normal216" xfId="397" xr:uid="{00000000-0005-0000-0000-000092010000}"/>
    <cellStyle name="Normal217" xfId="398" xr:uid="{00000000-0005-0000-0000-000093010000}"/>
    <cellStyle name="Normal218" xfId="399" xr:uid="{00000000-0005-0000-0000-000094010000}"/>
    <cellStyle name="Normal219" xfId="400" xr:uid="{00000000-0005-0000-0000-000095010000}"/>
    <cellStyle name="Normal22" xfId="401" xr:uid="{00000000-0005-0000-0000-000096010000}"/>
    <cellStyle name="Normal220" xfId="402" xr:uid="{00000000-0005-0000-0000-000097010000}"/>
    <cellStyle name="Normal221" xfId="403" xr:uid="{00000000-0005-0000-0000-000098010000}"/>
    <cellStyle name="Normal222" xfId="404" xr:uid="{00000000-0005-0000-0000-000099010000}"/>
    <cellStyle name="Normal223" xfId="405" xr:uid="{00000000-0005-0000-0000-00009A010000}"/>
    <cellStyle name="Normal224" xfId="406" xr:uid="{00000000-0005-0000-0000-00009B010000}"/>
    <cellStyle name="Normal225" xfId="407" xr:uid="{00000000-0005-0000-0000-00009C010000}"/>
    <cellStyle name="Normal226" xfId="408" xr:uid="{00000000-0005-0000-0000-00009D010000}"/>
    <cellStyle name="Normal227" xfId="409" xr:uid="{00000000-0005-0000-0000-00009E010000}"/>
    <cellStyle name="Normal228" xfId="410" xr:uid="{00000000-0005-0000-0000-00009F010000}"/>
    <cellStyle name="Normal229" xfId="411" xr:uid="{00000000-0005-0000-0000-0000A0010000}"/>
    <cellStyle name="Normal23" xfId="412" xr:uid="{00000000-0005-0000-0000-0000A1010000}"/>
    <cellStyle name="Normal230" xfId="413" xr:uid="{00000000-0005-0000-0000-0000A2010000}"/>
    <cellStyle name="Normal231" xfId="414" xr:uid="{00000000-0005-0000-0000-0000A3010000}"/>
    <cellStyle name="Normal232" xfId="415" xr:uid="{00000000-0005-0000-0000-0000A4010000}"/>
    <cellStyle name="Normal233" xfId="416" xr:uid="{00000000-0005-0000-0000-0000A5010000}"/>
    <cellStyle name="Normal234" xfId="417" xr:uid="{00000000-0005-0000-0000-0000A6010000}"/>
    <cellStyle name="Normal235" xfId="418" xr:uid="{00000000-0005-0000-0000-0000A7010000}"/>
    <cellStyle name="Normal236" xfId="419" xr:uid="{00000000-0005-0000-0000-0000A8010000}"/>
    <cellStyle name="Normal237" xfId="420" xr:uid="{00000000-0005-0000-0000-0000A9010000}"/>
    <cellStyle name="Normal238" xfId="421" xr:uid="{00000000-0005-0000-0000-0000AA010000}"/>
    <cellStyle name="Normal239" xfId="422" xr:uid="{00000000-0005-0000-0000-0000AB010000}"/>
    <cellStyle name="Normal24" xfId="423" xr:uid="{00000000-0005-0000-0000-0000AC010000}"/>
    <cellStyle name="Normal240" xfId="424" xr:uid="{00000000-0005-0000-0000-0000AD010000}"/>
    <cellStyle name="Normal241" xfId="425" xr:uid="{00000000-0005-0000-0000-0000AE010000}"/>
    <cellStyle name="Normal242" xfId="426" xr:uid="{00000000-0005-0000-0000-0000AF010000}"/>
    <cellStyle name="Normal243" xfId="427" xr:uid="{00000000-0005-0000-0000-0000B0010000}"/>
    <cellStyle name="Normal244" xfId="428" xr:uid="{00000000-0005-0000-0000-0000B1010000}"/>
    <cellStyle name="Normal245" xfId="429" xr:uid="{00000000-0005-0000-0000-0000B2010000}"/>
    <cellStyle name="Normal246" xfId="430" xr:uid="{00000000-0005-0000-0000-0000B3010000}"/>
    <cellStyle name="Normal247" xfId="431" xr:uid="{00000000-0005-0000-0000-0000B4010000}"/>
    <cellStyle name="Normal248" xfId="432" xr:uid="{00000000-0005-0000-0000-0000B5010000}"/>
    <cellStyle name="Normal249" xfId="433" xr:uid="{00000000-0005-0000-0000-0000B6010000}"/>
    <cellStyle name="Normal25" xfId="434" xr:uid="{00000000-0005-0000-0000-0000B7010000}"/>
    <cellStyle name="Normal250" xfId="435" xr:uid="{00000000-0005-0000-0000-0000B8010000}"/>
    <cellStyle name="Normal251" xfId="436" xr:uid="{00000000-0005-0000-0000-0000B9010000}"/>
    <cellStyle name="Normal252" xfId="437" xr:uid="{00000000-0005-0000-0000-0000BA010000}"/>
    <cellStyle name="Normal253" xfId="438" xr:uid="{00000000-0005-0000-0000-0000BB010000}"/>
    <cellStyle name="Normal26" xfId="439" xr:uid="{00000000-0005-0000-0000-0000BC010000}"/>
    <cellStyle name="Normal27" xfId="440" xr:uid="{00000000-0005-0000-0000-0000BD010000}"/>
    <cellStyle name="Normal28" xfId="441" xr:uid="{00000000-0005-0000-0000-0000BE010000}"/>
    <cellStyle name="Normal29" xfId="442" xr:uid="{00000000-0005-0000-0000-0000BF010000}"/>
    <cellStyle name="Normal3" xfId="443" xr:uid="{00000000-0005-0000-0000-0000C0010000}"/>
    <cellStyle name="Normal30" xfId="444" xr:uid="{00000000-0005-0000-0000-0000C1010000}"/>
    <cellStyle name="Normal31" xfId="445" xr:uid="{00000000-0005-0000-0000-0000C2010000}"/>
    <cellStyle name="Normal32" xfId="446" xr:uid="{00000000-0005-0000-0000-0000C3010000}"/>
    <cellStyle name="Normal33" xfId="447" xr:uid="{00000000-0005-0000-0000-0000C4010000}"/>
    <cellStyle name="Normal34" xfId="448" xr:uid="{00000000-0005-0000-0000-0000C5010000}"/>
    <cellStyle name="Normal35" xfId="449" xr:uid="{00000000-0005-0000-0000-0000C6010000}"/>
    <cellStyle name="Normal36" xfId="450" xr:uid="{00000000-0005-0000-0000-0000C7010000}"/>
    <cellStyle name="Normal37" xfId="451" xr:uid="{00000000-0005-0000-0000-0000C8010000}"/>
    <cellStyle name="Normal38" xfId="452" xr:uid="{00000000-0005-0000-0000-0000C9010000}"/>
    <cellStyle name="Normal39" xfId="453" xr:uid="{00000000-0005-0000-0000-0000CA010000}"/>
    <cellStyle name="Normal4" xfId="454" xr:uid="{00000000-0005-0000-0000-0000CB010000}"/>
    <cellStyle name="Normal40" xfId="455" xr:uid="{00000000-0005-0000-0000-0000CC010000}"/>
    <cellStyle name="Normal41" xfId="456" xr:uid="{00000000-0005-0000-0000-0000CD010000}"/>
    <cellStyle name="Normal42" xfId="457" xr:uid="{00000000-0005-0000-0000-0000CE010000}"/>
    <cellStyle name="Normal43" xfId="458" xr:uid="{00000000-0005-0000-0000-0000CF010000}"/>
    <cellStyle name="Normal44" xfId="459" xr:uid="{00000000-0005-0000-0000-0000D0010000}"/>
    <cellStyle name="Normal45" xfId="460" xr:uid="{00000000-0005-0000-0000-0000D1010000}"/>
    <cellStyle name="Normal46" xfId="461" xr:uid="{00000000-0005-0000-0000-0000D2010000}"/>
    <cellStyle name="Normal47" xfId="462" xr:uid="{00000000-0005-0000-0000-0000D3010000}"/>
    <cellStyle name="Normal48" xfId="463" xr:uid="{00000000-0005-0000-0000-0000D4010000}"/>
    <cellStyle name="Normal49" xfId="464" xr:uid="{00000000-0005-0000-0000-0000D5010000}"/>
    <cellStyle name="Normal5" xfId="465" xr:uid="{00000000-0005-0000-0000-0000D6010000}"/>
    <cellStyle name="Normal50" xfId="466" xr:uid="{00000000-0005-0000-0000-0000D7010000}"/>
    <cellStyle name="Normal51" xfId="467" xr:uid="{00000000-0005-0000-0000-0000D8010000}"/>
    <cellStyle name="Normal52" xfId="468" xr:uid="{00000000-0005-0000-0000-0000D9010000}"/>
    <cellStyle name="Normal53" xfId="469" xr:uid="{00000000-0005-0000-0000-0000DA010000}"/>
    <cellStyle name="Normal54" xfId="470" xr:uid="{00000000-0005-0000-0000-0000DB010000}"/>
    <cellStyle name="Normal55" xfId="471" xr:uid="{00000000-0005-0000-0000-0000DC010000}"/>
    <cellStyle name="Normal56" xfId="472" xr:uid="{00000000-0005-0000-0000-0000DD010000}"/>
    <cellStyle name="Normal57" xfId="473" xr:uid="{00000000-0005-0000-0000-0000DE010000}"/>
    <cellStyle name="Normal58" xfId="474" xr:uid="{00000000-0005-0000-0000-0000DF010000}"/>
    <cellStyle name="Normal59" xfId="475" xr:uid="{00000000-0005-0000-0000-0000E0010000}"/>
    <cellStyle name="Normal6" xfId="476" xr:uid="{00000000-0005-0000-0000-0000E1010000}"/>
    <cellStyle name="Normal60" xfId="477" xr:uid="{00000000-0005-0000-0000-0000E2010000}"/>
    <cellStyle name="Normal61" xfId="478" xr:uid="{00000000-0005-0000-0000-0000E3010000}"/>
    <cellStyle name="Normal62" xfId="479" xr:uid="{00000000-0005-0000-0000-0000E4010000}"/>
    <cellStyle name="Normal63" xfId="480" xr:uid="{00000000-0005-0000-0000-0000E5010000}"/>
    <cellStyle name="Normal64" xfId="481" xr:uid="{00000000-0005-0000-0000-0000E6010000}"/>
    <cellStyle name="Normal65" xfId="482" xr:uid="{00000000-0005-0000-0000-0000E7010000}"/>
    <cellStyle name="Normal66" xfId="483" xr:uid="{00000000-0005-0000-0000-0000E8010000}"/>
    <cellStyle name="Normal67" xfId="484" xr:uid="{00000000-0005-0000-0000-0000E9010000}"/>
    <cellStyle name="Normal68" xfId="485" xr:uid="{00000000-0005-0000-0000-0000EA010000}"/>
    <cellStyle name="Normal69" xfId="486" xr:uid="{00000000-0005-0000-0000-0000EB010000}"/>
    <cellStyle name="Normal7" xfId="487" xr:uid="{00000000-0005-0000-0000-0000EC010000}"/>
    <cellStyle name="Normal70" xfId="488" xr:uid="{00000000-0005-0000-0000-0000ED010000}"/>
    <cellStyle name="Normal71" xfId="489" xr:uid="{00000000-0005-0000-0000-0000EE010000}"/>
    <cellStyle name="Normal72" xfId="490" xr:uid="{00000000-0005-0000-0000-0000EF010000}"/>
    <cellStyle name="Normal73" xfId="491" xr:uid="{00000000-0005-0000-0000-0000F0010000}"/>
    <cellStyle name="Normal74" xfId="492" xr:uid="{00000000-0005-0000-0000-0000F1010000}"/>
    <cellStyle name="Normal75" xfId="493" xr:uid="{00000000-0005-0000-0000-0000F2010000}"/>
    <cellStyle name="Normal76" xfId="494" xr:uid="{00000000-0005-0000-0000-0000F3010000}"/>
    <cellStyle name="Normal77" xfId="495" xr:uid="{00000000-0005-0000-0000-0000F4010000}"/>
    <cellStyle name="Normal78" xfId="496" xr:uid="{00000000-0005-0000-0000-0000F5010000}"/>
    <cellStyle name="Normal79" xfId="497" xr:uid="{00000000-0005-0000-0000-0000F6010000}"/>
    <cellStyle name="Normal8" xfId="498" xr:uid="{00000000-0005-0000-0000-0000F7010000}"/>
    <cellStyle name="Normal80" xfId="499" xr:uid="{00000000-0005-0000-0000-0000F8010000}"/>
    <cellStyle name="Normal81" xfId="500" xr:uid="{00000000-0005-0000-0000-0000F9010000}"/>
    <cellStyle name="Normal82" xfId="501" xr:uid="{00000000-0005-0000-0000-0000FA010000}"/>
    <cellStyle name="Normal83" xfId="502" xr:uid="{00000000-0005-0000-0000-0000FB010000}"/>
    <cellStyle name="Normal84" xfId="503" xr:uid="{00000000-0005-0000-0000-0000FC010000}"/>
    <cellStyle name="Normal85" xfId="504" xr:uid="{00000000-0005-0000-0000-0000FD010000}"/>
    <cellStyle name="Normal86" xfId="505" xr:uid="{00000000-0005-0000-0000-0000FE010000}"/>
    <cellStyle name="Normal87" xfId="506" xr:uid="{00000000-0005-0000-0000-0000FF010000}"/>
    <cellStyle name="Normal88" xfId="507" xr:uid="{00000000-0005-0000-0000-000000020000}"/>
    <cellStyle name="Normal89" xfId="508" xr:uid="{00000000-0005-0000-0000-000001020000}"/>
    <cellStyle name="Normal9" xfId="509" xr:uid="{00000000-0005-0000-0000-000002020000}"/>
    <cellStyle name="Normal90" xfId="510" xr:uid="{00000000-0005-0000-0000-000003020000}"/>
    <cellStyle name="Normal91" xfId="511" xr:uid="{00000000-0005-0000-0000-000004020000}"/>
    <cellStyle name="Normal92" xfId="512" xr:uid="{00000000-0005-0000-0000-000005020000}"/>
    <cellStyle name="Normal93" xfId="513" xr:uid="{00000000-0005-0000-0000-000006020000}"/>
    <cellStyle name="Normal94" xfId="514" xr:uid="{00000000-0005-0000-0000-000007020000}"/>
    <cellStyle name="Normal95" xfId="515" xr:uid="{00000000-0005-0000-0000-000008020000}"/>
    <cellStyle name="Normal96" xfId="516" xr:uid="{00000000-0005-0000-0000-000009020000}"/>
    <cellStyle name="Normal97" xfId="517" xr:uid="{00000000-0005-0000-0000-00000A020000}"/>
    <cellStyle name="Normal98" xfId="518" xr:uid="{00000000-0005-0000-0000-00000B020000}"/>
    <cellStyle name="Normal99" xfId="519" xr:uid="{00000000-0005-0000-0000-00000C020000}"/>
    <cellStyle name="NotDeclared_1" xfId="520" xr:uid="{00000000-0005-0000-0000-00000D020000}"/>
    <cellStyle name="Numbers" xfId="521" xr:uid="{00000000-0005-0000-0000-00000E020000}"/>
    <cellStyle name="Numbers - Bold" xfId="522" xr:uid="{00000000-0005-0000-0000-00000F020000}"/>
    <cellStyle name="Numbers - Bold - Italic" xfId="523" xr:uid="{00000000-0005-0000-0000-000010020000}"/>
    <cellStyle name="Numbers - Bold_6079BX" xfId="524" xr:uid="{00000000-0005-0000-0000-000011020000}"/>
    <cellStyle name="Numbers - Large" xfId="525" xr:uid="{00000000-0005-0000-0000-000012020000}"/>
    <cellStyle name="Numbers_6079BX" xfId="526" xr:uid="{00000000-0005-0000-0000-000013020000}"/>
    <cellStyle name="OSW_RowLabels" xfId="527" xr:uid="{00000000-0005-0000-0000-000014020000}"/>
    <cellStyle name="Outline" xfId="528" xr:uid="{00000000-0005-0000-0000-000015020000}"/>
    <cellStyle name="Output Amounts" xfId="529" xr:uid="{00000000-0005-0000-0000-000016020000}"/>
    <cellStyle name="Output Column Headings" xfId="530" xr:uid="{00000000-0005-0000-0000-000017020000}"/>
    <cellStyle name="Output Line Items" xfId="531" xr:uid="{00000000-0005-0000-0000-000018020000}"/>
    <cellStyle name="Output Report Heading" xfId="532" xr:uid="{00000000-0005-0000-0000-000019020000}"/>
    <cellStyle name="Page" xfId="533" xr:uid="{00000000-0005-0000-0000-00001A020000}"/>
    <cellStyle name="PB Table Heading" xfId="534" xr:uid="{00000000-0005-0000-0000-00001B020000}"/>
    <cellStyle name="PB Table Highlight1" xfId="535" xr:uid="{00000000-0005-0000-0000-00001C020000}"/>
    <cellStyle name="PB Table Highlight2" xfId="536" xr:uid="{00000000-0005-0000-0000-00001D020000}"/>
    <cellStyle name="PB Table Highlight3" xfId="537" xr:uid="{00000000-0005-0000-0000-00001E020000}"/>
    <cellStyle name="PB Table Standard Row" xfId="538" xr:uid="{00000000-0005-0000-0000-00001F020000}"/>
    <cellStyle name="PB Table Subtotal Row" xfId="539" xr:uid="{00000000-0005-0000-0000-000020020000}"/>
    <cellStyle name="PB Table Total Row" xfId="540" xr:uid="{00000000-0005-0000-0000-000021020000}"/>
    <cellStyle name="Per cent" xfId="900" builtinId="5"/>
    <cellStyle name="per.style" xfId="541" xr:uid="{00000000-0005-0000-0000-000022020000}"/>
    <cellStyle name="Percent [0]" xfId="542" xr:uid="{00000000-0005-0000-0000-000024020000}"/>
    <cellStyle name="Percent [00]" xfId="543" xr:uid="{00000000-0005-0000-0000-000025020000}"/>
    <cellStyle name="Percent [1]" xfId="544" xr:uid="{00000000-0005-0000-0000-000026020000}"/>
    <cellStyle name="Percent [1][]" xfId="545" xr:uid="{00000000-0005-0000-0000-000027020000}"/>
    <cellStyle name="Percent [1]_New MA Public Comps and WACC Model" xfId="546" xr:uid="{00000000-0005-0000-0000-000028020000}"/>
    <cellStyle name="Percent [2]" xfId="547" xr:uid="{00000000-0005-0000-0000-000029020000}"/>
    <cellStyle name="Percent 2" xfId="897" xr:uid="{00000000-0005-0000-0000-00002A020000}"/>
    <cellStyle name="Percent Comma" xfId="548" xr:uid="{00000000-0005-0000-0000-00002B020000}"/>
    <cellStyle name="Percent1" xfId="549" xr:uid="{00000000-0005-0000-0000-00002C020000}"/>
    <cellStyle name="Percent10" xfId="550" xr:uid="{00000000-0005-0000-0000-00002D020000}"/>
    <cellStyle name="Percent100" xfId="551" xr:uid="{00000000-0005-0000-0000-00002E020000}"/>
    <cellStyle name="Percent101" xfId="552" xr:uid="{00000000-0005-0000-0000-00002F020000}"/>
    <cellStyle name="Percent102" xfId="553" xr:uid="{00000000-0005-0000-0000-000030020000}"/>
    <cellStyle name="Percent103" xfId="554" xr:uid="{00000000-0005-0000-0000-000031020000}"/>
    <cellStyle name="Percent104" xfId="555" xr:uid="{00000000-0005-0000-0000-000032020000}"/>
    <cellStyle name="Percent105" xfId="556" xr:uid="{00000000-0005-0000-0000-000033020000}"/>
    <cellStyle name="Percent106" xfId="557" xr:uid="{00000000-0005-0000-0000-000034020000}"/>
    <cellStyle name="Percent107" xfId="558" xr:uid="{00000000-0005-0000-0000-000035020000}"/>
    <cellStyle name="Percent108" xfId="559" xr:uid="{00000000-0005-0000-0000-000036020000}"/>
    <cellStyle name="Percent109" xfId="560" xr:uid="{00000000-0005-0000-0000-000037020000}"/>
    <cellStyle name="Percent11" xfId="561" xr:uid="{00000000-0005-0000-0000-000038020000}"/>
    <cellStyle name="Percent110" xfId="562" xr:uid="{00000000-0005-0000-0000-000039020000}"/>
    <cellStyle name="Percent111" xfId="563" xr:uid="{00000000-0005-0000-0000-00003A020000}"/>
    <cellStyle name="Percent112" xfId="564" xr:uid="{00000000-0005-0000-0000-00003B020000}"/>
    <cellStyle name="Percent113" xfId="565" xr:uid="{00000000-0005-0000-0000-00003C020000}"/>
    <cellStyle name="Percent114" xfId="566" xr:uid="{00000000-0005-0000-0000-00003D020000}"/>
    <cellStyle name="Percent115" xfId="567" xr:uid="{00000000-0005-0000-0000-00003E020000}"/>
    <cellStyle name="Percent116" xfId="568" xr:uid="{00000000-0005-0000-0000-00003F020000}"/>
    <cellStyle name="Percent117" xfId="569" xr:uid="{00000000-0005-0000-0000-000040020000}"/>
    <cellStyle name="Percent118" xfId="570" xr:uid="{00000000-0005-0000-0000-000041020000}"/>
    <cellStyle name="Percent119" xfId="571" xr:uid="{00000000-0005-0000-0000-000042020000}"/>
    <cellStyle name="Percent12" xfId="572" xr:uid="{00000000-0005-0000-0000-000043020000}"/>
    <cellStyle name="Percent120" xfId="573" xr:uid="{00000000-0005-0000-0000-000044020000}"/>
    <cellStyle name="Percent121" xfId="574" xr:uid="{00000000-0005-0000-0000-000045020000}"/>
    <cellStyle name="Percent122" xfId="575" xr:uid="{00000000-0005-0000-0000-000046020000}"/>
    <cellStyle name="Percent123" xfId="576" xr:uid="{00000000-0005-0000-0000-000047020000}"/>
    <cellStyle name="Percent124" xfId="577" xr:uid="{00000000-0005-0000-0000-000048020000}"/>
    <cellStyle name="Percent125" xfId="578" xr:uid="{00000000-0005-0000-0000-000049020000}"/>
    <cellStyle name="Percent126" xfId="579" xr:uid="{00000000-0005-0000-0000-00004A020000}"/>
    <cellStyle name="Percent127" xfId="580" xr:uid="{00000000-0005-0000-0000-00004B020000}"/>
    <cellStyle name="Percent128" xfId="581" xr:uid="{00000000-0005-0000-0000-00004C020000}"/>
    <cellStyle name="Percent129" xfId="582" xr:uid="{00000000-0005-0000-0000-00004D020000}"/>
    <cellStyle name="Percent13" xfId="583" xr:uid="{00000000-0005-0000-0000-00004E020000}"/>
    <cellStyle name="Percent130" xfId="584" xr:uid="{00000000-0005-0000-0000-00004F020000}"/>
    <cellStyle name="Percent131" xfId="585" xr:uid="{00000000-0005-0000-0000-000050020000}"/>
    <cellStyle name="Percent132" xfId="586" xr:uid="{00000000-0005-0000-0000-000051020000}"/>
    <cellStyle name="Percent133" xfId="587" xr:uid="{00000000-0005-0000-0000-000052020000}"/>
    <cellStyle name="Percent134" xfId="588" xr:uid="{00000000-0005-0000-0000-000053020000}"/>
    <cellStyle name="Percent135" xfId="589" xr:uid="{00000000-0005-0000-0000-000054020000}"/>
    <cellStyle name="Percent136" xfId="590" xr:uid="{00000000-0005-0000-0000-000055020000}"/>
    <cellStyle name="Percent137" xfId="591" xr:uid="{00000000-0005-0000-0000-000056020000}"/>
    <cellStyle name="Percent138" xfId="592" xr:uid="{00000000-0005-0000-0000-000057020000}"/>
    <cellStyle name="Percent139" xfId="593" xr:uid="{00000000-0005-0000-0000-000058020000}"/>
    <cellStyle name="Percent14" xfId="594" xr:uid="{00000000-0005-0000-0000-000059020000}"/>
    <cellStyle name="Percent140" xfId="595" xr:uid="{00000000-0005-0000-0000-00005A020000}"/>
    <cellStyle name="Percent141" xfId="596" xr:uid="{00000000-0005-0000-0000-00005B020000}"/>
    <cellStyle name="Percent142" xfId="597" xr:uid="{00000000-0005-0000-0000-00005C020000}"/>
    <cellStyle name="Percent143" xfId="598" xr:uid="{00000000-0005-0000-0000-00005D020000}"/>
    <cellStyle name="Percent144" xfId="599" xr:uid="{00000000-0005-0000-0000-00005E020000}"/>
    <cellStyle name="Percent145" xfId="600" xr:uid="{00000000-0005-0000-0000-00005F020000}"/>
    <cellStyle name="Percent146" xfId="601" xr:uid="{00000000-0005-0000-0000-000060020000}"/>
    <cellStyle name="Percent147" xfId="602" xr:uid="{00000000-0005-0000-0000-000061020000}"/>
    <cellStyle name="Percent148" xfId="603" xr:uid="{00000000-0005-0000-0000-000062020000}"/>
    <cellStyle name="Percent149" xfId="604" xr:uid="{00000000-0005-0000-0000-000063020000}"/>
    <cellStyle name="Percent15" xfId="605" xr:uid="{00000000-0005-0000-0000-000064020000}"/>
    <cellStyle name="Percent150" xfId="606" xr:uid="{00000000-0005-0000-0000-000065020000}"/>
    <cellStyle name="Percent151" xfId="607" xr:uid="{00000000-0005-0000-0000-000066020000}"/>
    <cellStyle name="Percent152" xfId="608" xr:uid="{00000000-0005-0000-0000-000067020000}"/>
    <cellStyle name="Percent153" xfId="609" xr:uid="{00000000-0005-0000-0000-000068020000}"/>
    <cellStyle name="Percent154" xfId="610" xr:uid="{00000000-0005-0000-0000-000069020000}"/>
    <cellStyle name="Percent155" xfId="611" xr:uid="{00000000-0005-0000-0000-00006A020000}"/>
    <cellStyle name="Percent156" xfId="612" xr:uid="{00000000-0005-0000-0000-00006B020000}"/>
    <cellStyle name="Percent157" xfId="613" xr:uid="{00000000-0005-0000-0000-00006C020000}"/>
    <cellStyle name="Percent158" xfId="614" xr:uid="{00000000-0005-0000-0000-00006D020000}"/>
    <cellStyle name="Percent159" xfId="615" xr:uid="{00000000-0005-0000-0000-00006E020000}"/>
    <cellStyle name="Percent16" xfId="616" xr:uid="{00000000-0005-0000-0000-00006F020000}"/>
    <cellStyle name="Percent160" xfId="617" xr:uid="{00000000-0005-0000-0000-000070020000}"/>
    <cellStyle name="Percent161" xfId="618" xr:uid="{00000000-0005-0000-0000-000071020000}"/>
    <cellStyle name="Percent162" xfId="619" xr:uid="{00000000-0005-0000-0000-000072020000}"/>
    <cellStyle name="Percent163" xfId="620" xr:uid="{00000000-0005-0000-0000-000073020000}"/>
    <cellStyle name="Percent164" xfId="621" xr:uid="{00000000-0005-0000-0000-000074020000}"/>
    <cellStyle name="Percent165" xfId="622" xr:uid="{00000000-0005-0000-0000-000075020000}"/>
    <cellStyle name="Percent166" xfId="623" xr:uid="{00000000-0005-0000-0000-000076020000}"/>
    <cellStyle name="Percent167" xfId="624" xr:uid="{00000000-0005-0000-0000-000077020000}"/>
    <cellStyle name="Percent168" xfId="625" xr:uid="{00000000-0005-0000-0000-000078020000}"/>
    <cellStyle name="Percent169" xfId="626" xr:uid="{00000000-0005-0000-0000-000079020000}"/>
    <cellStyle name="Percent17" xfId="627" xr:uid="{00000000-0005-0000-0000-00007A020000}"/>
    <cellStyle name="Percent170" xfId="628" xr:uid="{00000000-0005-0000-0000-00007B020000}"/>
    <cellStyle name="Percent171" xfId="629" xr:uid="{00000000-0005-0000-0000-00007C020000}"/>
    <cellStyle name="Percent172" xfId="630" xr:uid="{00000000-0005-0000-0000-00007D020000}"/>
    <cellStyle name="Percent173" xfId="631" xr:uid="{00000000-0005-0000-0000-00007E020000}"/>
    <cellStyle name="Percent174" xfId="632" xr:uid="{00000000-0005-0000-0000-00007F020000}"/>
    <cellStyle name="Percent175" xfId="633" xr:uid="{00000000-0005-0000-0000-000080020000}"/>
    <cellStyle name="Percent176" xfId="634" xr:uid="{00000000-0005-0000-0000-000081020000}"/>
    <cellStyle name="Percent177" xfId="635" xr:uid="{00000000-0005-0000-0000-000082020000}"/>
    <cellStyle name="Percent178" xfId="636" xr:uid="{00000000-0005-0000-0000-000083020000}"/>
    <cellStyle name="Percent179" xfId="637" xr:uid="{00000000-0005-0000-0000-000084020000}"/>
    <cellStyle name="Percent18" xfId="638" xr:uid="{00000000-0005-0000-0000-000085020000}"/>
    <cellStyle name="Percent180" xfId="639" xr:uid="{00000000-0005-0000-0000-000086020000}"/>
    <cellStyle name="Percent181" xfId="640" xr:uid="{00000000-0005-0000-0000-000087020000}"/>
    <cellStyle name="Percent182" xfId="641" xr:uid="{00000000-0005-0000-0000-000088020000}"/>
    <cellStyle name="Percent183" xfId="642" xr:uid="{00000000-0005-0000-0000-000089020000}"/>
    <cellStyle name="Percent184" xfId="643" xr:uid="{00000000-0005-0000-0000-00008A020000}"/>
    <cellStyle name="Percent185" xfId="644" xr:uid="{00000000-0005-0000-0000-00008B020000}"/>
    <cellStyle name="Percent186" xfId="645" xr:uid="{00000000-0005-0000-0000-00008C020000}"/>
    <cellStyle name="Percent187" xfId="646" xr:uid="{00000000-0005-0000-0000-00008D020000}"/>
    <cellStyle name="Percent188" xfId="647" xr:uid="{00000000-0005-0000-0000-00008E020000}"/>
    <cellStyle name="Percent189" xfId="648" xr:uid="{00000000-0005-0000-0000-00008F020000}"/>
    <cellStyle name="Percent19" xfId="649" xr:uid="{00000000-0005-0000-0000-000090020000}"/>
    <cellStyle name="Percent190" xfId="650" xr:uid="{00000000-0005-0000-0000-000091020000}"/>
    <cellStyle name="Percent191" xfId="651" xr:uid="{00000000-0005-0000-0000-000092020000}"/>
    <cellStyle name="Percent192" xfId="652" xr:uid="{00000000-0005-0000-0000-000093020000}"/>
    <cellStyle name="Percent193" xfId="653" xr:uid="{00000000-0005-0000-0000-000094020000}"/>
    <cellStyle name="Percent194" xfId="654" xr:uid="{00000000-0005-0000-0000-000095020000}"/>
    <cellStyle name="Percent195" xfId="655" xr:uid="{00000000-0005-0000-0000-000096020000}"/>
    <cellStyle name="Percent196" xfId="656" xr:uid="{00000000-0005-0000-0000-000097020000}"/>
    <cellStyle name="Percent197" xfId="657" xr:uid="{00000000-0005-0000-0000-000098020000}"/>
    <cellStyle name="Percent198" xfId="658" xr:uid="{00000000-0005-0000-0000-000099020000}"/>
    <cellStyle name="Percent199" xfId="659" xr:uid="{00000000-0005-0000-0000-00009A020000}"/>
    <cellStyle name="Percent1Bold" xfId="660" xr:uid="{00000000-0005-0000-0000-00009B020000}"/>
    <cellStyle name="Percent2" xfId="661" xr:uid="{00000000-0005-0000-0000-00009C020000}"/>
    <cellStyle name="Percent20" xfId="662" xr:uid="{00000000-0005-0000-0000-00009D020000}"/>
    <cellStyle name="Percent200" xfId="663" xr:uid="{00000000-0005-0000-0000-00009E020000}"/>
    <cellStyle name="Percent201" xfId="664" xr:uid="{00000000-0005-0000-0000-00009F020000}"/>
    <cellStyle name="Percent202" xfId="665" xr:uid="{00000000-0005-0000-0000-0000A0020000}"/>
    <cellStyle name="Percent203" xfId="666" xr:uid="{00000000-0005-0000-0000-0000A1020000}"/>
    <cellStyle name="Percent204" xfId="667" xr:uid="{00000000-0005-0000-0000-0000A2020000}"/>
    <cellStyle name="Percent205" xfId="668" xr:uid="{00000000-0005-0000-0000-0000A3020000}"/>
    <cellStyle name="Percent206" xfId="669" xr:uid="{00000000-0005-0000-0000-0000A4020000}"/>
    <cellStyle name="Percent207" xfId="670" xr:uid="{00000000-0005-0000-0000-0000A5020000}"/>
    <cellStyle name="Percent208" xfId="671" xr:uid="{00000000-0005-0000-0000-0000A6020000}"/>
    <cellStyle name="Percent209" xfId="672" xr:uid="{00000000-0005-0000-0000-0000A7020000}"/>
    <cellStyle name="Percent21" xfId="673" xr:uid="{00000000-0005-0000-0000-0000A8020000}"/>
    <cellStyle name="Percent210" xfId="674" xr:uid="{00000000-0005-0000-0000-0000A9020000}"/>
    <cellStyle name="Percent211" xfId="675" xr:uid="{00000000-0005-0000-0000-0000AA020000}"/>
    <cellStyle name="Percent212" xfId="676" xr:uid="{00000000-0005-0000-0000-0000AB020000}"/>
    <cellStyle name="Percent213" xfId="677" xr:uid="{00000000-0005-0000-0000-0000AC020000}"/>
    <cellStyle name="Percent214" xfId="678" xr:uid="{00000000-0005-0000-0000-0000AD020000}"/>
    <cellStyle name="Percent215" xfId="679" xr:uid="{00000000-0005-0000-0000-0000AE020000}"/>
    <cellStyle name="Percent216" xfId="680" xr:uid="{00000000-0005-0000-0000-0000AF020000}"/>
    <cellStyle name="Percent217" xfId="681" xr:uid="{00000000-0005-0000-0000-0000B0020000}"/>
    <cellStyle name="Percent218" xfId="682" xr:uid="{00000000-0005-0000-0000-0000B1020000}"/>
    <cellStyle name="Percent219" xfId="683" xr:uid="{00000000-0005-0000-0000-0000B2020000}"/>
    <cellStyle name="Percent22" xfId="684" xr:uid="{00000000-0005-0000-0000-0000B3020000}"/>
    <cellStyle name="Percent220" xfId="685" xr:uid="{00000000-0005-0000-0000-0000B4020000}"/>
    <cellStyle name="Percent221" xfId="686" xr:uid="{00000000-0005-0000-0000-0000B5020000}"/>
    <cellStyle name="Percent222" xfId="687" xr:uid="{00000000-0005-0000-0000-0000B6020000}"/>
    <cellStyle name="Percent223" xfId="688" xr:uid="{00000000-0005-0000-0000-0000B7020000}"/>
    <cellStyle name="Percent224" xfId="689" xr:uid="{00000000-0005-0000-0000-0000B8020000}"/>
    <cellStyle name="Percent225" xfId="690" xr:uid="{00000000-0005-0000-0000-0000B9020000}"/>
    <cellStyle name="Percent226" xfId="691" xr:uid="{00000000-0005-0000-0000-0000BA020000}"/>
    <cellStyle name="Percent227" xfId="692" xr:uid="{00000000-0005-0000-0000-0000BB020000}"/>
    <cellStyle name="Percent228" xfId="693" xr:uid="{00000000-0005-0000-0000-0000BC020000}"/>
    <cellStyle name="Percent229" xfId="694" xr:uid="{00000000-0005-0000-0000-0000BD020000}"/>
    <cellStyle name="Percent23" xfId="695" xr:uid="{00000000-0005-0000-0000-0000BE020000}"/>
    <cellStyle name="Percent230" xfId="696" xr:uid="{00000000-0005-0000-0000-0000BF020000}"/>
    <cellStyle name="Percent231" xfId="697" xr:uid="{00000000-0005-0000-0000-0000C0020000}"/>
    <cellStyle name="Percent232" xfId="698" xr:uid="{00000000-0005-0000-0000-0000C1020000}"/>
    <cellStyle name="Percent233" xfId="699" xr:uid="{00000000-0005-0000-0000-0000C2020000}"/>
    <cellStyle name="Percent234" xfId="700" xr:uid="{00000000-0005-0000-0000-0000C3020000}"/>
    <cellStyle name="Percent235" xfId="701" xr:uid="{00000000-0005-0000-0000-0000C4020000}"/>
    <cellStyle name="Percent236" xfId="702" xr:uid="{00000000-0005-0000-0000-0000C5020000}"/>
    <cellStyle name="Percent24" xfId="703" xr:uid="{00000000-0005-0000-0000-0000C6020000}"/>
    <cellStyle name="Percent25" xfId="704" xr:uid="{00000000-0005-0000-0000-0000C7020000}"/>
    <cellStyle name="Percent26" xfId="705" xr:uid="{00000000-0005-0000-0000-0000C8020000}"/>
    <cellStyle name="Percent27" xfId="706" xr:uid="{00000000-0005-0000-0000-0000C9020000}"/>
    <cellStyle name="Percent28" xfId="707" xr:uid="{00000000-0005-0000-0000-0000CA020000}"/>
    <cellStyle name="Percent29" xfId="708" xr:uid="{00000000-0005-0000-0000-0000CB020000}"/>
    <cellStyle name="Percent3" xfId="709" xr:uid="{00000000-0005-0000-0000-0000CC020000}"/>
    <cellStyle name="Percent30" xfId="710" xr:uid="{00000000-0005-0000-0000-0000CD020000}"/>
    <cellStyle name="Percent31" xfId="711" xr:uid="{00000000-0005-0000-0000-0000CE020000}"/>
    <cellStyle name="Percent32" xfId="712" xr:uid="{00000000-0005-0000-0000-0000CF020000}"/>
    <cellStyle name="Percent33" xfId="713" xr:uid="{00000000-0005-0000-0000-0000D0020000}"/>
    <cellStyle name="Percent34" xfId="714" xr:uid="{00000000-0005-0000-0000-0000D1020000}"/>
    <cellStyle name="Percent35" xfId="715" xr:uid="{00000000-0005-0000-0000-0000D2020000}"/>
    <cellStyle name="Percent36" xfId="716" xr:uid="{00000000-0005-0000-0000-0000D3020000}"/>
    <cellStyle name="Percent37" xfId="717" xr:uid="{00000000-0005-0000-0000-0000D4020000}"/>
    <cellStyle name="Percent38" xfId="718" xr:uid="{00000000-0005-0000-0000-0000D5020000}"/>
    <cellStyle name="Percent39" xfId="719" xr:uid="{00000000-0005-0000-0000-0000D6020000}"/>
    <cellStyle name="Percent4" xfId="720" xr:uid="{00000000-0005-0000-0000-0000D7020000}"/>
    <cellStyle name="Percent40" xfId="721" xr:uid="{00000000-0005-0000-0000-0000D8020000}"/>
    <cellStyle name="Percent41" xfId="722" xr:uid="{00000000-0005-0000-0000-0000D9020000}"/>
    <cellStyle name="Percent42" xfId="723" xr:uid="{00000000-0005-0000-0000-0000DA020000}"/>
    <cellStyle name="Percent43" xfId="724" xr:uid="{00000000-0005-0000-0000-0000DB020000}"/>
    <cellStyle name="Percent44" xfId="725" xr:uid="{00000000-0005-0000-0000-0000DC020000}"/>
    <cellStyle name="Percent45" xfId="726" xr:uid="{00000000-0005-0000-0000-0000DD020000}"/>
    <cellStyle name="Percent46" xfId="727" xr:uid="{00000000-0005-0000-0000-0000DE020000}"/>
    <cellStyle name="Percent47" xfId="728" xr:uid="{00000000-0005-0000-0000-0000DF020000}"/>
    <cellStyle name="Percent48" xfId="729" xr:uid="{00000000-0005-0000-0000-0000E0020000}"/>
    <cellStyle name="Percent49" xfId="730" xr:uid="{00000000-0005-0000-0000-0000E1020000}"/>
    <cellStyle name="Percent5" xfId="731" xr:uid="{00000000-0005-0000-0000-0000E2020000}"/>
    <cellStyle name="Percent50" xfId="732" xr:uid="{00000000-0005-0000-0000-0000E3020000}"/>
    <cellStyle name="Percent51" xfId="733" xr:uid="{00000000-0005-0000-0000-0000E4020000}"/>
    <cellStyle name="Percent52" xfId="734" xr:uid="{00000000-0005-0000-0000-0000E5020000}"/>
    <cellStyle name="Percent53" xfId="735" xr:uid="{00000000-0005-0000-0000-0000E6020000}"/>
    <cellStyle name="Percent54" xfId="736" xr:uid="{00000000-0005-0000-0000-0000E7020000}"/>
    <cellStyle name="Percent55" xfId="737" xr:uid="{00000000-0005-0000-0000-0000E8020000}"/>
    <cellStyle name="Percent56" xfId="738" xr:uid="{00000000-0005-0000-0000-0000E9020000}"/>
    <cellStyle name="Percent57" xfId="739" xr:uid="{00000000-0005-0000-0000-0000EA020000}"/>
    <cellStyle name="Percent58" xfId="740" xr:uid="{00000000-0005-0000-0000-0000EB020000}"/>
    <cellStyle name="Percent59" xfId="741" xr:uid="{00000000-0005-0000-0000-0000EC020000}"/>
    <cellStyle name="Percent6" xfId="742" xr:uid="{00000000-0005-0000-0000-0000ED020000}"/>
    <cellStyle name="Percent60" xfId="743" xr:uid="{00000000-0005-0000-0000-0000EE020000}"/>
    <cellStyle name="Percent61" xfId="744" xr:uid="{00000000-0005-0000-0000-0000EF020000}"/>
    <cellStyle name="Percent62" xfId="745" xr:uid="{00000000-0005-0000-0000-0000F0020000}"/>
    <cellStyle name="Percent63" xfId="746" xr:uid="{00000000-0005-0000-0000-0000F1020000}"/>
    <cellStyle name="Percent64" xfId="747" xr:uid="{00000000-0005-0000-0000-0000F2020000}"/>
    <cellStyle name="Percent65" xfId="748" xr:uid="{00000000-0005-0000-0000-0000F3020000}"/>
    <cellStyle name="Percent66" xfId="749" xr:uid="{00000000-0005-0000-0000-0000F4020000}"/>
    <cellStyle name="Percent67" xfId="750" xr:uid="{00000000-0005-0000-0000-0000F5020000}"/>
    <cellStyle name="Percent68" xfId="751" xr:uid="{00000000-0005-0000-0000-0000F6020000}"/>
    <cellStyle name="Percent69" xfId="752" xr:uid="{00000000-0005-0000-0000-0000F7020000}"/>
    <cellStyle name="Percent7" xfId="753" xr:uid="{00000000-0005-0000-0000-0000F8020000}"/>
    <cellStyle name="Percent70" xfId="754" xr:uid="{00000000-0005-0000-0000-0000F9020000}"/>
    <cellStyle name="Percent71" xfId="755" xr:uid="{00000000-0005-0000-0000-0000FA020000}"/>
    <cellStyle name="Percent72" xfId="756" xr:uid="{00000000-0005-0000-0000-0000FB020000}"/>
    <cellStyle name="Percent73" xfId="757" xr:uid="{00000000-0005-0000-0000-0000FC020000}"/>
    <cellStyle name="Percent74" xfId="758" xr:uid="{00000000-0005-0000-0000-0000FD020000}"/>
    <cellStyle name="Percent75" xfId="759" xr:uid="{00000000-0005-0000-0000-0000FE020000}"/>
    <cellStyle name="Percent76" xfId="760" xr:uid="{00000000-0005-0000-0000-0000FF020000}"/>
    <cellStyle name="Percent77" xfId="761" xr:uid="{00000000-0005-0000-0000-000000030000}"/>
    <cellStyle name="Percent78" xfId="762" xr:uid="{00000000-0005-0000-0000-000001030000}"/>
    <cellStyle name="Percent79" xfId="763" xr:uid="{00000000-0005-0000-0000-000002030000}"/>
    <cellStyle name="Percent8" xfId="764" xr:uid="{00000000-0005-0000-0000-000003030000}"/>
    <cellStyle name="Percent80" xfId="765" xr:uid="{00000000-0005-0000-0000-000004030000}"/>
    <cellStyle name="Percent81" xfId="766" xr:uid="{00000000-0005-0000-0000-000005030000}"/>
    <cellStyle name="Percent82" xfId="767" xr:uid="{00000000-0005-0000-0000-000006030000}"/>
    <cellStyle name="Percent83" xfId="768" xr:uid="{00000000-0005-0000-0000-000007030000}"/>
    <cellStyle name="Percent84" xfId="769" xr:uid="{00000000-0005-0000-0000-000008030000}"/>
    <cellStyle name="Percent85" xfId="770" xr:uid="{00000000-0005-0000-0000-000009030000}"/>
    <cellStyle name="Percent86" xfId="771" xr:uid="{00000000-0005-0000-0000-00000A030000}"/>
    <cellStyle name="Percent87" xfId="772" xr:uid="{00000000-0005-0000-0000-00000B030000}"/>
    <cellStyle name="Percent88" xfId="773" xr:uid="{00000000-0005-0000-0000-00000C030000}"/>
    <cellStyle name="Percent89" xfId="774" xr:uid="{00000000-0005-0000-0000-00000D030000}"/>
    <cellStyle name="Percent9" xfId="775" xr:uid="{00000000-0005-0000-0000-00000E030000}"/>
    <cellStyle name="Percent90" xfId="776" xr:uid="{00000000-0005-0000-0000-00000F030000}"/>
    <cellStyle name="Percent91" xfId="777" xr:uid="{00000000-0005-0000-0000-000010030000}"/>
    <cellStyle name="Percent92" xfId="778" xr:uid="{00000000-0005-0000-0000-000011030000}"/>
    <cellStyle name="Percent93" xfId="779" xr:uid="{00000000-0005-0000-0000-000012030000}"/>
    <cellStyle name="Percent94" xfId="780" xr:uid="{00000000-0005-0000-0000-000013030000}"/>
    <cellStyle name="Percent95" xfId="781" xr:uid="{00000000-0005-0000-0000-000014030000}"/>
    <cellStyle name="Percent96" xfId="782" xr:uid="{00000000-0005-0000-0000-000015030000}"/>
    <cellStyle name="Percent97" xfId="783" xr:uid="{00000000-0005-0000-0000-000016030000}"/>
    <cellStyle name="Percent98" xfId="784" xr:uid="{00000000-0005-0000-0000-000017030000}"/>
    <cellStyle name="Percent99" xfId="785" xr:uid="{00000000-0005-0000-0000-000018030000}"/>
    <cellStyle name="Percentage" xfId="786" xr:uid="{00000000-0005-0000-0000-000019030000}"/>
    <cellStyle name="PercentStyle" xfId="787" xr:uid="{00000000-0005-0000-0000-00001A030000}"/>
    <cellStyle name="PrePop Currency (0)" xfId="788" xr:uid="{00000000-0005-0000-0000-00001B030000}"/>
    <cellStyle name="PrePop Currency (2)" xfId="789" xr:uid="{00000000-0005-0000-0000-00001C030000}"/>
    <cellStyle name="PrePop Units (0)" xfId="790" xr:uid="{00000000-0005-0000-0000-00001D030000}"/>
    <cellStyle name="PrePop Units (1)" xfId="791" xr:uid="{00000000-0005-0000-0000-00001E030000}"/>
    <cellStyle name="PrePop Units (2)" xfId="792" xr:uid="{00000000-0005-0000-0000-00001F030000}"/>
    <cellStyle name="Price" xfId="793" xr:uid="{00000000-0005-0000-0000-000020030000}"/>
    <cellStyle name="Product Header" xfId="794" xr:uid="{00000000-0005-0000-0000-000021030000}"/>
    <cellStyle name="PSChar" xfId="795" xr:uid="{00000000-0005-0000-0000-000022030000}"/>
    <cellStyle name="PSDate" xfId="796" xr:uid="{00000000-0005-0000-0000-000023030000}"/>
    <cellStyle name="PSDec" xfId="797" xr:uid="{00000000-0005-0000-0000-000024030000}"/>
    <cellStyle name="PSHeading" xfId="798" xr:uid="{00000000-0005-0000-0000-000025030000}"/>
    <cellStyle name="PSInt" xfId="799" xr:uid="{00000000-0005-0000-0000-000026030000}"/>
    <cellStyle name="PSSpacer" xfId="800" xr:uid="{00000000-0005-0000-0000-000027030000}"/>
    <cellStyle name="r" xfId="801" xr:uid="{00000000-0005-0000-0000-000028030000}"/>
    <cellStyle name="r_F&amp;W Servicing Model" xfId="802" xr:uid="{00000000-0005-0000-0000-000029030000}"/>
    <cellStyle name="r_F&amp;W Servicing Model v2" xfId="803" xr:uid="{00000000-0005-0000-0000-00002A030000}"/>
    <cellStyle name="r_Yell Servicing Model" xfId="804" xr:uid="{00000000-0005-0000-0000-00002B030000}"/>
    <cellStyle name="rate" xfId="805" xr:uid="{00000000-0005-0000-0000-00002C030000}"/>
    <cellStyle name="Ratio" xfId="806" xr:uid="{00000000-0005-0000-0000-00002D030000}"/>
    <cellStyle name="Ratio Comma" xfId="807" xr:uid="{00000000-0005-0000-0000-00002E030000}"/>
    <cellStyle name="Ratio_Private" xfId="808" xr:uid="{00000000-0005-0000-0000-00002F030000}"/>
    <cellStyle name="regstoresfromspecstores" xfId="809" xr:uid="{00000000-0005-0000-0000-000030030000}"/>
    <cellStyle name="RevList" xfId="810" xr:uid="{00000000-0005-0000-0000-000031030000}"/>
    <cellStyle name="Right" xfId="811" xr:uid="{00000000-0005-0000-0000-000032030000}"/>
    <cellStyle name="RightBold" xfId="812" xr:uid="{00000000-0005-0000-0000-000033030000}"/>
    <cellStyle name="RightBoldBottomRule" xfId="813" xr:uid="{00000000-0005-0000-0000-000034030000}"/>
    <cellStyle name="RightBoldCenterRule" xfId="814" xr:uid="{00000000-0005-0000-0000-000035030000}"/>
    <cellStyle name="Section" xfId="815" xr:uid="{00000000-0005-0000-0000-000036030000}"/>
    <cellStyle name="SectionHeaderNormal" xfId="816" xr:uid="{00000000-0005-0000-0000-000037030000}"/>
    <cellStyle name="SHADEDSTORES" xfId="817" xr:uid="{00000000-0005-0000-0000-000038030000}"/>
    <cellStyle name="Short $" xfId="818" xr:uid="{00000000-0005-0000-0000-000039030000}"/>
    <cellStyle name="ShOut" xfId="819" xr:uid="{00000000-0005-0000-0000-00003A030000}"/>
    <cellStyle name="Simple" xfId="820" xr:uid="{00000000-0005-0000-0000-00003B030000}"/>
    <cellStyle name="SimpleBold" xfId="821" xr:uid="{00000000-0005-0000-0000-00003C030000}"/>
    <cellStyle name="Single Accounting" xfId="822" xr:uid="{00000000-0005-0000-0000-00003D030000}"/>
    <cellStyle name="specstores" xfId="823" xr:uid="{00000000-0005-0000-0000-00003E030000}"/>
    <cellStyle name="Stock Comma" xfId="824" xr:uid="{00000000-0005-0000-0000-00003F030000}"/>
    <cellStyle name="Stock Price" xfId="825" xr:uid="{00000000-0005-0000-0000-000040030000}"/>
    <cellStyle name="Style 1" xfId="826" xr:uid="{00000000-0005-0000-0000-000041030000}"/>
    <cellStyle name="Style 21" xfId="827" xr:uid="{00000000-0005-0000-0000-000042030000}"/>
    <cellStyle name="Style 22" xfId="828" xr:uid="{00000000-0005-0000-0000-000043030000}"/>
    <cellStyle name="Style 23" xfId="829" xr:uid="{00000000-0005-0000-0000-000044030000}"/>
    <cellStyle name="Style 24" xfId="830" xr:uid="{00000000-0005-0000-0000-000045030000}"/>
    <cellStyle name="Style 25" xfId="831" xr:uid="{00000000-0005-0000-0000-000046030000}"/>
    <cellStyle name="Style 26" xfId="832" xr:uid="{00000000-0005-0000-0000-000047030000}"/>
    <cellStyle name="Style 27" xfId="833" xr:uid="{00000000-0005-0000-0000-000048030000}"/>
    <cellStyle name="Style 28" xfId="834" xr:uid="{00000000-0005-0000-0000-000049030000}"/>
    <cellStyle name="Style 29" xfId="835" xr:uid="{00000000-0005-0000-0000-00004A030000}"/>
    <cellStyle name="Style 30" xfId="836" xr:uid="{00000000-0005-0000-0000-00004B030000}"/>
    <cellStyle name="Style 31" xfId="837" xr:uid="{00000000-0005-0000-0000-00004C030000}"/>
    <cellStyle name="Style 32" xfId="838" xr:uid="{00000000-0005-0000-0000-00004D030000}"/>
    <cellStyle name="Style 33" xfId="839" xr:uid="{00000000-0005-0000-0000-00004E030000}"/>
    <cellStyle name="Style 34" xfId="840" xr:uid="{00000000-0005-0000-0000-00004F030000}"/>
    <cellStyle name="Style 35" xfId="841" xr:uid="{00000000-0005-0000-0000-000050030000}"/>
    <cellStyle name="Style 36" xfId="842" xr:uid="{00000000-0005-0000-0000-000051030000}"/>
    <cellStyle name="Style 37" xfId="843" xr:uid="{00000000-0005-0000-0000-000052030000}"/>
    <cellStyle name="Style 38" xfId="844" xr:uid="{00000000-0005-0000-0000-000053030000}"/>
    <cellStyle name="Style 39" xfId="845" xr:uid="{00000000-0005-0000-0000-000054030000}"/>
    <cellStyle name="Style 40" xfId="846" xr:uid="{00000000-0005-0000-0000-000055030000}"/>
    <cellStyle name="Style 41" xfId="847" xr:uid="{00000000-0005-0000-0000-000056030000}"/>
    <cellStyle name="Style 42" xfId="848" xr:uid="{00000000-0005-0000-0000-000057030000}"/>
    <cellStyle name="Style 43" xfId="849" xr:uid="{00000000-0005-0000-0000-000058030000}"/>
    <cellStyle name="Style 44" xfId="850" xr:uid="{00000000-0005-0000-0000-000059030000}"/>
    <cellStyle name="Style 45" xfId="851" xr:uid="{00000000-0005-0000-0000-00005A030000}"/>
    <cellStyle name="Style 46" xfId="852" xr:uid="{00000000-0005-0000-0000-00005B030000}"/>
    <cellStyle name="Style 47" xfId="853" xr:uid="{00000000-0005-0000-0000-00005C030000}"/>
    <cellStyle name="Style 48" xfId="854" xr:uid="{00000000-0005-0000-0000-00005D030000}"/>
    <cellStyle name="STYLE1" xfId="855" xr:uid="{00000000-0005-0000-0000-00005E030000}"/>
    <cellStyle name="SubScript" xfId="856" xr:uid="{00000000-0005-0000-0000-00005F030000}"/>
    <cellStyle name="Subtotal" xfId="857" xr:uid="{00000000-0005-0000-0000-000060030000}"/>
    <cellStyle name="Sum" xfId="858" xr:uid="{00000000-0005-0000-0000-000061030000}"/>
    <cellStyle name="SuperScript" xfId="859" xr:uid="{00000000-0005-0000-0000-000062030000}"/>
    <cellStyle name="Table_Title" xfId="860" xr:uid="{00000000-0005-0000-0000-000063030000}"/>
    <cellStyle name="Test" xfId="861" xr:uid="{00000000-0005-0000-0000-000064030000}"/>
    <cellStyle name="Text Indent A" xfId="862" xr:uid="{00000000-0005-0000-0000-000065030000}"/>
    <cellStyle name="Text Indent B" xfId="863" xr:uid="{00000000-0005-0000-0000-000066030000}"/>
    <cellStyle name="Text Indent C" xfId="864" xr:uid="{00000000-0005-0000-0000-000067030000}"/>
    <cellStyle name="TextBold" xfId="865" xr:uid="{00000000-0005-0000-0000-000068030000}"/>
    <cellStyle name="TextItalic" xfId="866" xr:uid="{00000000-0005-0000-0000-000069030000}"/>
    <cellStyle name="TextNormal" xfId="867" xr:uid="{00000000-0005-0000-0000-00006A030000}"/>
    <cellStyle name="Time" xfId="868" xr:uid="{00000000-0005-0000-0000-00006B030000}"/>
    <cellStyle name="Times 10" xfId="869" xr:uid="{00000000-0005-0000-0000-00006C030000}"/>
    <cellStyle name="Times 12" xfId="870" xr:uid="{00000000-0005-0000-0000-00006D030000}"/>
    <cellStyle name="Title - PROJECT" xfId="871" xr:uid="{00000000-0005-0000-0000-00006E030000}"/>
    <cellStyle name="Title - Underline" xfId="872" xr:uid="{00000000-0005-0000-0000-00006F030000}"/>
    <cellStyle name="Title1" xfId="873" xr:uid="{00000000-0005-0000-0000-000070030000}"/>
    <cellStyle name="Title2" xfId="874" xr:uid="{00000000-0005-0000-0000-000071030000}"/>
    <cellStyle name="TitleNormal" xfId="875" xr:uid="{00000000-0005-0000-0000-000072030000}"/>
    <cellStyle name="Titles - Col. Headings" xfId="876" xr:uid="{00000000-0005-0000-0000-000073030000}"/>
    <cellStyle name="Titles - Other" xfId="877" xr:uid="{00000000-0005-0000-0000-000074030000}"/>
    <cellStyle name="Top Edge" xfId="878" xr:uid="{00000000-0005-0000-0000-000075030000}"/>
    <cellStyle name="Total" xfId="879" builtinId="25" customBuiltin="1"/>
    <cellStyle name="ubordinated Debt" xfId="880" xr:uid="{00000000-0005-0000-0000-000077030000}"/>
    <cellStyle name="wheat merger's and acquisitions" xfId="881" xr:uid="{00000000-0005-0000-0000-000078030000}"/>
    <cellStyle name="x" xfId="882" xr:uid="{00000000-0005-0000-0000-000079030000}"/>
    <cellStyle name="x_TSA Model - 1 8 06 - v2" xfId="883" xr:uid="{00000000-0005-0000-0000-00007A030000}"/>
    <cellStyle name="Y2K Compliant Date Fmt" xfId="884" xr:uid="{00000000-0005-0000-0000-00007B030000}"/>
    <cellStyle name="Years" xfId="885" xr:uid="{00000000-0005-0000-0000-00007C030000}"/>
    <cellStyle name="yellow" xfId="886" xr:uid="{00000000-0005-0000-0000-00007D030000}"/>
    <cellStyle name="Yen" xfId="887" xr:uid="{00000000-0005-0000-0000-00007E030000}"/>
    <cellStyle name="YYYY" xfId="888" xr:uid="{00000000-0005-0000-0000-00007F030000}"/>
    <cellStyle name="桁区切り [0.00]_Appendix" xfId="889" xr:uid="{00000000-0005-0000-0000-000080030000}"/>
    <cellStyle name="桁区切り_Appendix" xfId="890" xr:uid="{00000000-0005-0000-0000-000081030000}"/>
    <cellStyle name="標準_Appendix" xfId="891" xr:uid="{00000000-0005-0000-0000-000082030000}"/>
    <cellStyle name="通貨 [0.00]_Appendix" xfId="892" xr:uid="{00000000-0005-0000-0000-000083030000}"/>
    <cellStyle name="通貨_Appendix" xfId="893" xr:uid="{00000000-0005-0000-0000-00008403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AEAEA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866447944007"/>
          <c:y val="0.19486111111111112"/>
          <c:w val="0.82133552055992998"/>
          <c:h val="0.612253207932341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Model!$B$119</c:f>
              <c:strCache>
                <c:ptCount val="1"/>
                <c:pt idx="0">
                  <c:v>Receivable factoring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Model!$L$91:$AE$91</c:f>
              <c:numCache>
                <c:formatCode>mmm\ yyyy</c:formatCode>
                <c:ptCount val="6"/>
                <c:pt idx="0">
                  <c:v>45657</c:v>
                </c:pt>
                <c:pt idx="1">
                  <c:v>45747</c:v>
                </c:pt>
                <c:pt idx="2">
                  <c:v>45838</c:v>
                </c:pt>
                <c:pt idx="3">
                  <c:v>45930</c:v>
                </c:pt>
                <c:pt idx="4">
                  <c:v>46022</c:v>
                </c:pt>
                <c:pt idx="5">
                  <c:v>46112</c:v>
                </c:pt>
              </c:numCache>
            </c:numRef>
          </c:cat>
          <c:val>
            <c:numRef>
              <c:f>Model!$L$119:$AE$119</c:f>
              <c:numCache>
                <c:formatCode>#,##0.0_);\(#,##0.0\)</c:formatCode>
                <c:ptCount val="6"/>
                <c:pt idx="0">
                  <c:v>45270</c:v>
                </c:pt>
                <c:pt idx="1">
                  <c:v>88800</c:v>
                </c:pt>
                <c:pt idx="2">
                  <c:v>59400</c:v>
                </c:pt>
                <c:pt idx="3">
                  <c:v>49110</c:v>
                </c:pt>
                <c:pt idx="4">
                  <c:v>55010</c:v>
                </c:pt>
                <c:pt idx="5">
                  <c:v>102310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F-4A18-9442-D6CF52975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8250928"/>
        <c:axId val="1577836096"/>
      </c:barChart>
      <c:lineChart>
        <c:grouping val="standard"/>
        <c:varyColors val="0"/>
        <c:ser>
          <c:idx val="1"/>
          <c:order val="1"/>
          <c:tx>
            <c:v>Net working capital days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Model!$L$103:$AE$103</c:f>
              <c:numCache>
                <c:formatCode>#,##0.0_);\(#,##0.0\)</c:formatCode>
                <c:ptCount val="6"/>
                <c:pt idx="0">
                  <c:v>107</c:v>
                </c:pt>
                <c:pt idx="1">
                  <c:v>53</c:v>
                </c:pt>
                <c:pt idx="2">
                  <c:v>86</c:v>
                </c:pt>
                <c:pt idx="3">
                  <c:v>118</c:v>
                </c:pt>
                <c:pt idx="4">
                  <c:v>116</c:v>
                </c:pt>
                <c:pt idx="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4DF-4A18-9442-D6CF52975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847456"/>
        <c:axId val="1111923168"/>
      </c:lineChart>
      <c:dateAx>
        <c:axId val="1568250928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36096"/>
        <c:crosses val="autoZero"/>
        <c:auto val="1"/>
        <c:lblOffset val="100"/>
        <c:baseTimeUnit val="months"/>
        <c:majorUnit val="3"/>
        <c:majorTimeUnit val="months"/>
        <c:minorUnit val="3"/>
        <c:minorTimeUnit val="months"/>
      </c:dateAx>
      <c:valAx>
        <c:axId val="1577836096"/>
        <c:scaling>
          <c:orientation val="minMax"/>
          <c:max val="1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250928"/>
        <c:crosses val="autoZero"/>
        <c:crossBetween val="between"/>
      </c:valAx>
      <c:valAx>
        <c:axId val="1111923168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47456"/>
        <c:crosses val="max"/>
        <c:crossBetween val="between"/>
      </c:valAx>
      <c:catAx>
        <c:axId val="707847456"/>
        <c:scaling>
          <c:orientation val="minMax"/>
        </c:scaling>
        <c:delete val="1"/>
        <c:axPos val="b"/>
        <c:majorTickMark val="out"/>
        <c:minorTickMark val="none"/>
        <c:tickLblPos val="nextTo"/>
        <c:crossAx val="1111923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history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KPIs!$B$32</c:f>
              <c:strCache>
                <c:ptCount val="1"/>
                <c:pt idx="0">
                  <c:v>Volume yoy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(KPIs!$C$31:$D$31,KPIs!$L$31:$AD$31)</c:f>
              <c:numCache>
                <c:formatCode>mmm\ yyyy</c:formatCode>
                <c:ptCount val="5"/>
                <c:pt idx="0">
                  <c:v>45657</c:v>
                </c:pt>
                <c:pt idx="1">
                  <c:v>45747</c:v>
                </c:pt>
                <c:pt idx="2">
                  <c:v>45838</c:v>
                </c:pt>
                <c:pt idx="3">
                  <c:v>45930</c:v>
                </c:pt>
                <c:pt idx="4">
                  <c:v>46022</c:v>
                </c:pt>
              </c:numCache>
            </c:numRef>
          </c:cat>
          <c:val>
            <c:numRef>
              <c:f>(KPIs!$C$32:$D$32,KPIs!$L$32:$AD$32)</c:f>
              <c:numCache>
                <c:formatCode>0.0%</c:formatCode>
                <c:ptCount val="5"/>
                <c:pt idx="0">
                  <c:v>0.09</c:v>
                </c:pt>
                <c:pt idx="1">
                  <c:v>0.11</c:v>
                </c:pt>
                <c:pt idx="2">
                  <c:v>-0.01</c:v>
                </c:pt>
                <c:pt idx="3">
                  <c:v>7.0000000000000007E-2</c:v>
                </c:pt>
                <c:pt idx="4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1D-47FF-90B2-3C82991C0AC7}"/>
            </c:ext>
          </c:extLst>
        </c:ser>
        <c:ser>
          <c:idx val="1"/>
          <c:order val="1"/>
          <c:tx>
            <c:strRef>
              <c:f>KPIs!$B$33</c:f>
              <c:strCache>
                <c:ptCount val="1"/>
                <c:pt idx="0">
                  <c:v>Price yoy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100000"/>
                    <a:shade val="100000"/>
                    <a:satMod val="130000"/>
                  </a:schemeClr>
                </a:gs>
                <a:gs pos="100000">
                  <a:schemeClr val="accent2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(KPIs!$C$31:$D$31,KPIs!$L$31:$AD$31)</c:f>
              <c:numCache>
                <c:formatCode>mmm\ yyyy</c:formatCode>
                <c:ptCount val="5"/>
                <c:pt idx="0">
                  <c:v>45657</c:v>
                </c:pt>
                <c:pt idx="1">
                  <c:v>45747</c:v>
                </c:pt>
                <c:pt idx="2">
                  <c:v>45838</c:v>
                </c:pt>
                <c:pt idx="3">
                  <c:v>45930</c:v>
                </c:pt>
                <c:pt idx="4">
                  <c:v>46022</c:v>
                </c:pt>
              </c:numCache>
            </c:numRef>
          </c:cat>
          <c:val>
            <c:numRef>
              <c:f>(KPIs!$C$33:$D$33,KPIs!$L$33:$AD$33)</c:f>
              <c:numCache>
                <c:formatCode>0.0%</c:formatCode>
                <c:ptCount val="5"/>
                <c:pt idx="0">
                  <c:v>0.05</c:v>
                </c:pt>
                <c:pt idx="1">
                  <c:v>0.01</c:v>
                </c:pt>
                <c:pt idx="2">
                  <c:v>0.01</c:v>
                </c:pt>
                <c:pt idx="3">
                  <c:v>-0.02</c:v>
                </c:pt>
                <c:pt idx="4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1D-47FF-90B2-3C82991C0A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230988656"/>
        <c:axId val="531408000"/>
      </c:areaChart>
      <c:dateAx>
        <c:axId val="1230988656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08000"/>
        <c:crosses val="autoZero"/>
        <c:auto val="0"/>
        <c:lblOffset val="100"/>
        <c:baseTimeUnit val="months"/>
        <c:majorUnit val="3"/>
        <c:majorTimeUnit val="months"/>
        <c:minorUnit val="3"/>
        <c:minorTimeUnit val="months"/>
      </c:dateAx>
      <c:valAx>
        <c:axId val="531408000"/>
        <c:scaling>
          <c:orientation val="minMax"/>
          <c:max val="0.25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8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EBITDA and Margin history</a:t>
            </a:r>
          </a:p>
        </c:rich>
      </c:tx>
      <c:layout>
        <c:manualLayout>
          <c:xMode val="edge"/>
          <c:yMode val="edge"/>
          <c:x val="0.4162469820027862"/>
          <c:y val="5.91259829597675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KPIs!$B$82</c:f>
              <c:strCache>
                <c:ptCount val="1"/>
                <c:pt idx="0">
                  <c:v>EBITDA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numRef>
              <c:f>KPIs!$M$81:$AE$81</c:f>
              <c:numCache>
                <c:formatCode>mmm\ yyyy</c:formatCode>
                <c:ptCount val="6"/>
                <c:pt idx="0">
                  <c:v>45657</c:v>
                </c:pt>
                <c:pt idx="1">
                  <c:v>45747</c:v>
                </c:pt>
                <c:pt idx="2">
                  <c:v>45838</c:v>
                </c:pt>
                <c:pt idx="3">
                  <c:v>45930</c:v>
                </c:pt>
                <c:pt idx="4">
                  <c:v>46022</c:v>
                </c:pt>
                <c:pt idx="5">
                  <c:v>46112</c:v>
                </c:pt>
              </c:numCache>
            </c:numRef>
          </c:cat>
          <c:val>
            <c:numRef>
              <c:f>KPIs!$M$82:$AE$82</c:f>
              <c:numCache>
                <c:formatCode>_-* #,##0_-;\-* #,##0_-;_-* "-"??_-;_-@_-</c:formatCode>
                <c:ptCount val="6"/>
                <c:pt idx="0">
                  <c:v>21630</c:v>
                </c:pt>
                <c:pt idx="1">
                  <c:v>32360</c:v>
                </c:pt>
                <c:pt idx="2">
                  <c:v>13030</c:v>
                </c:pt>
                <c:pt idx="3">
                  <c:v>22050</c:v>
                </c:pt>
                <c:pt idx="4">
                  <c:v>24340</c:v>
                </c:pt>
                <c:pt idx="5">
                  <c:v>36460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C-4238-A21F-06AD23125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577334512"/>
        <c:axId val="1998256976"/>
      </c:barChart>
      <c:lineChart>
        <c:grouping val="standard"/>
        <c:varyColors val="0"/>
        <c:ser>
          <c:idx val="1"/>
          <c:order val="1"/>
          <c:tx>
            <c:strRef>
              <c:f>KPIs!$B$83</c:f>
              <c:strCache>
                <c:ptCount val="1"/>
                <c:pt idx="0">
                  <c:v>EBITDA margin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KPIs!$M$81:$AE$81</c:f>
              <c:numCache>
                <c:formatCode>mmm\ yyyy</c:formatCode>
                <c:ptCount val="6"/>
                <c:pt idx="0">
                  <c:v>45657</c:v>
                </c:pt>
                <c:pt idx="1">
                  <c:v>45747</c:v>
                </c:pt>
                <c:pt idx="2">
                  <c:v>45838</c:v>
                </c:pt>
                <c:pt idx="3">
                  <c:v>45930</c:v>
                </c:pt>
                <c:pt idx="4">
                  <c:v>46022</c:v>
                </c:pt>
                <c:pt idx="5">
                  <c:v>46112</c:v>
                </c:pt>
              </c:numCache>
            </c:numRef>
          </c:cat>
          <c:val>
            <c:numRef>
              <c:f>KPIs!$M$83:$AE$83</c:f>
              <c:numCache>
                <c:formatCode>0.0%</c:formatCode>
                <c:ptCount val="6"/>
                <c:pt idx="0">
                  <c:v>0.19831300999358209</c:v>
                </c:pt>
                <c:pt idx="1">
                  <c:v>0.20779554356899763</c:v>
                </c:pt>
                <c:pt idx="2">
                  <c:v>0.1413845486111111</c:v>
                </c:pt>
                <c:pt idx="3">
                  <c:v>0.18345952242283051</c:v>
                </c:pt>
                <c:pt idx="4">
                  <c:v>0.19838617654250551</c:v>
                </c:pt>
                <c:pt idx="5">
                  <c:v>0.19885464957731117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C-4238-A21F-06AD23125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4249648"/>
        <c:axId val="1240936144"/>
      </c:lineChart>
      <c:dateAx>
        <c:axId val="1577334512"/>
        <c:scaling>
          <c:orientation val="minMax"/>
          <c:min val="44621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256976"/>
        <c:crosses val="autoZero"/>
        <c:auto val="0"/>
        <c:lblOffset val="100"/>
        <c:baseTimeUnit val="months"/>
        <c:majorUnit val="3"/>
        <c:majorTimeUnit val="months"/>
        <c:minorUnit val="3"/>
        <c:minorTimeUnit val="months"/>
      </c:dateAx>
      <c:valAx>
        <c:axId val="199825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334512"/>
        <c:crosses val="autoZero"/>
        <c:crossBetween val="between"/>
        <c:majorUnit val="10000"/>
      </c:valAx>
      <c:valAx>
        <c:axId val="124093614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249648"/>
        <c:crosses val="max"/>
        <c:crossBetween val="between"/>
      </c:valAx>
      <c:dateAx>
        <c:axId val="1364249648"/>
        <c:scaling>
          <c:orientation val="minMax"/>
        </c:scaling>
        <c:delete val="1"/>
        <c:axPos val="b"/>
        <c:numFmt formatCode="mmm\ yyyy" sourceLinked="1"/>
        <c:majorTickMark val="out"/>
        <c:minorTickMark val="none"/>
        <c:tickLblPos val="nextTo"/>
        <c:crossAx val="124093614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40000"/>
            <a:lumOff val="60000"/>
          </a:schemeClr>
        </a:solidFill>
        <a:round/>
      </a:ln>
    </cs:spPr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225670</xdr:colOff>
      <xdr:row>101</xdr:row>
      <xdr:rowOff>55683</xdr:rowOff>
    </xdr:from>
    <xdr:to>
      <xdr:col>40</xdr:col>
      <xdr:colOff>187571</xdr:colOff>
      <xdr:row>117</xdr:row>
      <xdr:rowOff>79129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E082DD-A020-DCB8-CD59-F03B1A416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873231</xdr:colOff>
      <xdr:row>39</xdr:row>
      <xdr:rowOff>133292</xdr:rowOff>
    </xdr:from>
    <xdr:to>
      <xdr:col>31</xdr:col>
      <xdr:colOff>0</xdr:colOff>
      <xdr:row>55</xdr:row>
      <xdr:rowOff>118360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82AADD-BC9F-B33C-3F88-135379C1D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881796</xdr:colOff>
      <xdr:row>56</xdr:row>
      <xdr:rowOff>155682</xdr:rowOff>
    </xdr:from>
    <xdr:to>
      <xdr:col>31</xdr:col>
      <xdr:colOff>45358</xdr:colOff>
      <xdr:row>75</xdr:row>
      <xdr:rowOff>22679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69A9FB-DAF1-7C42-DFC9-0B406B488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fice\Media\COMPS%20-%20B2B%20Publishe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My%20Documents\TPG\LBO\Bally\BFT%20Forecast%20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_sfnt01\GBlank$\Documents%20and%20Settings\GBlank\Local%20Settings\Temporary%20Internet%20Files\OLK39\TSA%20Model%20-%201%208%2006%20-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ETG%20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\APPROVAL%20MEMOS\Endurance%20Media\BLT%20Work\EBM%20Quarterly%20Mode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%20Info%2022%20(Adam%20Silver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ank%20Loan%20Team\ELK%20TEAM\Models\Presentation\Draft%20Presentation%20Files\PresentationChartDat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Bank%20Correspondence\JMI%20Model%20(Wx%20Model%20-%20BMO%20Adjusted%205-18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CMP%20II\INACTIVE%20DEALS\Facts%20on%20File\Transaction%20Models\FOF%20Model%20v3%20(Asset%20Purchase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33.242\UEMuserdata\Documents%20and%20Settings\nbk7h1e\Local%20Settings\Temporary%20Internet%20Files\OLK61\Bank%20Austria\Returns@@@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TruCom\BridgeCom%20Budget%20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fil01\data\Wicks\Wicks%20Model\JMI%20Model%20(Wx%20Model%20-%20BMO%20Adjusted%205-18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eals%20-%20In%20Process\Crescent%20Publishing%20Company,%20LLC\R0%20-%20Aug%202,%202001\CrescentPublishing%20Model%208-01%20R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Credit%20Derivatives%20Group\Emerging\CBO\MFS\Jersey%20Street%20CLO\Warehouse\Warehouse%20Report\versions\August\Jersey%20Street%20CLO%208.7.06%20Committe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wicksgroup.com/PORTFOLIO%20COMPANIES/Bressler%20Outdoor/Financial%20Models/SubDebt%20Model%20-%20IRR%20-$30MM%20Equity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unzipped\7xbb01_\7b7k01_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TEMP\Consolidated%2012-4-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-neptune\accounting\Invoices\Invoice%2099\z.December%201999\DEC99Invoice%20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Rosetta%20Stone%20Model%20(91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Company%20Materials\Company%20Materials\Bank%20Model_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ank%20Loan%20Team%20Research\_RAs\Takacs_G\PORTFOLIO%20-%20Takac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Spring%202002\Modeling\Problem%204%20workshee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smarimow\My%20Documents\Companies\Univision\Model\Bank%20Model%20-%20Financing\Bank%20Model_2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NT14\USERS$\mm93223\My%20Documents\Templates\Servicing%20Template%20-%20MAB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EMcKee\Local%20Settings\Temporary%20Internet%20Files\OLK12\65%20UVN%207-Year%20Mode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im\Local%20Settings\Temporary%20Internet%20Files\Content.IE5\YTHBT5P6\windows\TEMP\financial%20forecast%207.27.98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Beckett\Deals%20in%20process\UniFocus%20R6\Unifocus%20Model%204-02%20R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CRothbard\Local%20Settings\Temporary%20Internet%20Files\OLK146\JMI_WMI%20Financing%20Model%20(02-09-06)_vTD4%20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jorr\Local%20Settings\Temporary%20Internet%20Files\OLK27\MC-DW-JOB%20Merger%20Model%20for%20Syndicate%20-%203.31.05%20rjf%205.03.0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CMP%20II\PORTFOLIO%20COMPANIES\Jobson%20Medical%20Information\Corporate%20Development\JMI_WMI%20Combination\2005.11\Oct%202005\MEDCON%20Projection%20Model%20September%202005%20(09-13-05)%20v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inous.studioholdings.net\temp\M&amp;A_Deal\New%20Models\dcf.sh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Page"/>
      <sheetName val="Deal Multiples"/>
      <sheetName val="Asset Coverage"/>
      <sheetName val="Status"/>
      <sheetName val="Output"/>
      <sheetName val="Graphs"/>
      <sheetName val="Inputs"/>
      <sheetName val="WARF"/>
      <sheetName val="Comps"/>
      <sheetName val="Magazines"/>
      <sheetName val="2"/>
      <sheetName val="4"/>
      <sheetName val="5"/>
      <sheetName val="6"/>
      <sheetName val="7"/>
      <sheetName val="8"/>
      <sheetName val="10"/>
      <sheetName val="11"/>
      <sheetName val="12"/>
      <sheetName val="14"/>
      <sheetName val="16"/>
      <sheetName val="1"/>
      <sheetName val="3"/>
      <sheetName val="9"/>
      <sheetName val="13"/>
      <sheetName val="15"/>
      <sheetName val="ARP"/>
      <sheetName val="CNG"/>
      <sheetName val="F&amp;W"/>
      <sheetName val="HNW"/>
      <sheetName val="IMO"/>
      <sheetName val="JMI"/>
      <sheetName val="MMH"/>
      <sheetName val="PRM"/>
      <sheetName val="RDA"/>
      <sheetName val="SRCE"/>
      <sheetName val="SPRG"/>
      <sheetName val="WNM"/>
      <sheetName val="RVDP"/>
      <sheetName val="SMTB"/>
      <sheetName val="TMN"/>
      <sheetName val="Portfolio"/>
      <sheetName val="LBO Summary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attrition"/>
      <sheetName val="Sheet1"/>
      <sheetName val="IncStmt"/>
      <sheetName val="CashFlow"/>
      <sheetName val="BalSht"/>
      <sheetName val="Allowance"/>
      <sheetName val="CashEBITDA"/>
      <sheetName val="FxdChg"/>
      <sheetName val="Ratio"/>
      <sheetName val="Module1"/>
      <sheetName val="LBO Summary"/>
      <sheetName val="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Returns Summary"/>
      <sheetName val="Case Logic"/>
      <sheetName val="Option Summary"/>
      <sheetName val="TRANSACTIO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nning Assumptions"/>
      <sheetName val="Tanning P&amp;L"/>
      <sheetName val="Tanning Balance Sheets"/>
      <sheetName val="Tanning Cash Flows"/>
      <sheetName val="Meta P&amp;L"/>
      <sheetName val="Meta Balance Sheet"/>
      <sheetName val="Meta Cash Flow"/>
      <sheetName val="Combined Balance Sheet"/>
      <sheetName val="Combined P&amp;L"/>
      <sheetName val="Combined Cash Flow"/>
      <sheetName val="Shares"/>
      <sheetName val="EssRet"/>
      <sheetName val="Meta Segments"/>
      <sheetName val="Capex"/>
      <sheetName val="Sheet5"/>
      <sheetName val="D"/>
      <sheetName val="TRANSA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Qual. Analysis"/>
      <sheetName val="Inputs"/>
      <sheetName val="Base"/>
      <sheetName val="EV_DCF Analysis"/>
      <sheetName val="VeCTOR Import"/>
      <sheetName val="Annual 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ections"/>
      <sheetName val="Calcs"/>
      <sheetName val="Account"/>
      <sheetName val="OCTrends"/>
      <sheetName val="ICTrends"/>
      <sheetName val="DivTrends"/>
      <sheetName val="WARFTrends"/>
      <sheetName val="WARFFitchTrends"/>
      <sheetName val="WASTrends"/>
      <sheetName val="WACTrends"/>
      <sheetName val="WALTrends"/>
      <sheetName val="Debt Structure"/>
      <sheetName val="Fund Schedule"/>
      <sheetName val="Principal"/>
      <sheetName val="Ineligible"/>
      <sheetName val="S&amp;P Industry"/>
      <sheetName val="Trade Activity Summary"/>
      <sheetName val="Sale Activity Bond"/>
      <sheetName val="Sale Activity"/>
      <sheetName val="Buy Activity Bond"/>
      <sheetName val="Buy Activity"/>
      <sheetName val="Default"/>
      <sheetName val="CCC"/>
      <sheetName val="CCCBond"/>
      <sheetName val="Presentation Info 22 (Adam Sil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M YTD 2000"/>
      <sheetName val="AUM_Chart"/>
      <sheetName val="Cap Structure"/>
      <sheetName val="TOP10"/>
      <sheetName val="DefaultHistory"/>
      <sheetName val="DefaultedSecuritySummary"/>
      <sheetName val="DefaultedSecuritySummary2"/>
      <sheetName val="DefaultedSecurityData"/>
      <sheetName val="Actual vs Covenant"/>
      <sheetName val="APEX"/>
      <sheetName val="APEX_MR"/>
      <sheetName val="APEX_SR"/>
      <sheetName val="APEX_MI"/>
      <sheetName val="APEX_SI"/>
      <sheetName val="ELC1"/>
      <sheetName val="ELC1_SR"/>
      <sheetName val="ELC1_MR"/>
      <sheetName val="ELC1_FR"/>
      <sheetName val="ELC1_SI"/>
      <sheetName val="ELC1_MI"/>
      <sheetName val="ELC2"/>
      <sheetName val="ELC2_SR"/>
      <sheetName val="ELC2_FR"/>
      <sheetName val="ELC2_SI"/>
      <sheetName val="ELC2_MI"/>
      <sheetName val="ELC3"/>
      <sheetName val="ELC3_MR"/>
      <sheetName val="ELC3_SR"/>
      <sheetName val="ELC3_FR"/>
      <sheetName val="ELC3_MI"/>
      <sheetName val="ELC3_SI"/>
      <sheetName val="ELC4"/>
      <sheetName val="ELC4_MR"/>
      <sheetName val="ELC4_SR"/>
      <sheetName val="ELC4_MI"/>
      <sheetName val="ELC4_SI"/>
      <sheetName val="ELC5"/>
      <sheetName val="ELC5_MR"/>
      <sheetName val="ELC5_SR"/>
      <sheetName val="ELC5_MI"/>
      <sheetName val="ELC5_SI"/>
      <sheetName val="TRYN"/>
      <sheetName val="TRYN_MR"/>
      <sheetName val="TRYN_SR"/>
      <sheetName val="TRYN_SI"/>
      <sheetName val="TRYN_MI"/>
      <sheetName val="SaleData"/>
      <sheetName val="SH_Results"/>
      <sheetName val="SH_APEX"/>
      <sheetName val="SH_ELC1"/>
      <sheetName val="SH_ELC2"/>
      <sheetName val="SH_ELC3"/>
      <sheetName val="SH_ELC4"/>
      <sheetName val="SH_ELC5"/>
      <sheetName val="SH_TRY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DISPLAY"/>
      <sheetName val="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"/>
      <sheetName val="BS"/>
      <sheetName val="IS"/>
      <sheetName val="CFS"/>
      <sheetName val="REV"/>
      <sheetName val="RATIO"/>
      <sheetName val="RETURN"/>
      <sheetName val="CONTROL"/>
      <sheetName val="D&amp;A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s"/>
      <sheetName val="OC-IC"/>
      <sheetName val="Sources and Uses"/>
      <sheetName val="After Tax"/>
      <sheetName val="Tax Report"/>
      <sheetName val="Price Yield"/>
      <sheetName val="LIBOR"/>
      <sheetName val="Revolver"/>
      <sheetName val="PV Calc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RIVER"/>
      <sheetName val="Sheet1"/>
      <sheetName val="Bcom IS-Mnthly"/>
      <sheetName val="Conversion Balance Sheet"/>
      <sheetName val="Bcom BS-Mnthly"/>
      <sheetName val="Bcom FAS95-Mnthly"/>
      <sheetName val="Bcom Rollup-Income"/>
      <sheetName val="Bcom Rollup- Balance"/>
      <sheetName val="Bcom Conversion Charge Adj"/>
      <sheetName val="Bcom Debt"/>
      <sheetName val="Bcom Fixed Assets"/>
      <sheetName val="Bcom Lines"/>
      <sheetName val="Bcom New AE Efficiency"/>
      <sheetName val="Bcom Rev"/>
      <sheetName val="Bcom COGS"/>
      <sheetName val="Bcom-SG&amp;A,Taxes"/>
      <sheetName val="Bcom HEADCOUNT"/>
      <sheetName val="MasterDriverTrucom"/>
      <sheetName val="TruCom IS"/>
      <sheetName val="TruCom BS"/>
      <sheetName val="TruCom FAS95-Mnthly"/>
      <sheetName val="TruCom Rev"/>
      <sheetName val="TruCom COGS"/>
      <sheetName val="TruCom Lines"/>
      <sheetName val="TruCom-SG&amp;A,Taxes"/>
      <sheetName val="TruCom HEADCOUNT"/>
      <sheetName val="TruCom Amort."/>
      <sheetName val="TruCom Fixed Assets"/>
      <sheetName val="TruCom Debt"/>
      <sheetName val="TruCom Debt worksheet"/>
      <sheetName val="Cap Tables"/>
      <sheetName val="TruCom Cash Acct. Recon."/>
      <sheetName val="MASTER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DISPLAY"/>
      <sheetName val="OPT-MIS"/>
      <sheetName val="REV"/>
      <sheetName val="EXP"/>
      <sheetName val="MODR"/>
      <sheetName val="D&amp;A"/>
      <sheetName val="DEBT"/>
      <sheetName val="COVS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CM 2000 Rev Chart"/>
      <sheetName val="MCM 2001 Rev Chart"/>
      <sheetName val="MCM 1999 P&amp;L"/>
      <sheetName val="MCM 2000 P&amp;L"/>
      <sheetName val="MCM 2001 Plan"/>
      <sheetName val="MCM 2000 and 2001 Plan"/>
      <sheetName val="GSN Hist IS"/>
      <sheetName val="GSN Hist BS"/>
      <sheetName val="CC 2000 Detail"/>
      <sheetName val="CC 2000 IS"/>
      <sheetName val="CC 2000 BS"/>
      <sheetName val="CC 2000 CF"/>
      <sheetName val="Crescent Mo IS 9-00 to 6-01"/>
      <sheetName val="Crescent Qtr IS Sep00-Jun01"/>
      <sheetName val="Target P&amp;L RollUp"/>
      <sheetName val="Target P&amp;L RollUp June"/>
      <sheetName val="Target P&amp;L Pct Sales"/>
      <sheetName val="MASTER DRIVERS"/>
      <sheetName val="Summary"/>
      <sheetName val="IS Sum"/>
      <sheetName val="BS Sum"/>
      <sheetName val="CF Sum"/>
      <sheetName val="Covenants and Capitalization"/>
      <sheetName val="Ret Earn Reconcile"/>
      <sheetName val="GSN IS Sum"/>
      <sheetName val="Maine IS Sum"/>
      <sheetName val="Conversion BS"/>
      <sheetName val="Key Ratios"/>
      <sheetName val="MCG vs Vaxa"/>
      <sheetName val="Exhibits1"/>
      <sheetName val="Exhibits2"/>
      <sheetName val="IS"/>
      <sheetName val="BS"/>
      <sheetName val="CF"/>
      <sheetName val="Debt"/>
      <sheetName val="Fixed Assets"/>
      <sheetName val="Intangibles"/>
      <sheetName val="DCF"/>
      <sheetName val="Initial TTM EBITDA by Cluster"/>
      <sheetName val="Geographic Concentratio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nX"/>
      <sheetName val="Portfolio Input"/>
      <sheetName val="Warehouse Summary"/>
      <sheetName val="Investor Summary"/>
      <sheetName val="Industry"/>
      <sheetName val="Rating"/>
      <sheetName val="Broad Loan Category"/>
      <sheetName val="Diversity Calc"/>
      <sheetName val="Vlooku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Pipeline"/>
      <sheetName val="Monthly Financials"/>
      <sheetName val="Quarterly Financials"/>
      <sheetName val="Yearly Financials"/>
      <sheetName val="Distributions"/>
      <sheetName val="Returns"/>
      <sheetName val="Operations"/>
      <sheetName val="Payroll"/>
      <sheetName val="Depreciation"/>
      <sheetName val="Debt"/>
      <sheetName val="Equ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s"/>
      <sheetName val="Model"/>
      <sheetName val="Portfolio Input"/>
    </sheetNames>
    <sheetDataSet>
      <sheetData sheetId="0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TransSum"/>
      <sheetName val="Consolidated"/>
      <sheetName val="JDPC Proj."/>
      <sheetName val="EG Proj."/>
      <sheetName val="KBB Proj. 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inary"/>
      <sheetName val="Final"/>
    </sheetNames>
    <sheetDataSet>
      <sheetData sheetId="0" refreshError="1"/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01_05_v_Wicks_xls__01_05_v_Wic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Adj 2006"/>
      <sheetName val="Credit"/>
      <sheetName val="For Banks"/>
      <sheetName val="_01_05_v_Wicks_xls__01_05_v_W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Yields"/>
      <sheetName val="Vector Output"/>
      <sheetName val="Portfolio"/>
      <sheetName val="Action Items"/>
      <sheetName val="Defense Comps"/>
      <sheetName val="Telecom"/>
      <sheetName val="WARF"/>
      <sheetName val="Template"/>
      <sheetName val="1"/>
      <sheetName val="2"/>
      <sheetName val="3"/>
      <sheetName val="4"/>
      <sheetName val="Credit Breakdown"/>
      <sheetName val="Auto EVs"/>
      <sheetName val="WARF Tracker"/>
      <sheetName val="Deal Multiples"/>
      <sheetName val="Status"/>
      <sheetName val="Output"/>
      <sheetName val="Graphs"/>
      <sheetName val="Inputs"/>
      <sheetName val="LBO Summary"/>
      <sheetName val="Tanning Assumptions"/>
      <sheetName val="IncStmt"/>
      <sheetName val="BS"/>
      <sheetName val="DCF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y-by-night - Base"/>
      <sheetName val="Fly-by-night - problem 5"/>
      <sheetName val="Fly-by-night - problem 6"/>
      <sheetName val="Fly-by-night - Base with ltd"/>
      <sheetName val="Portfolio"/>
      <sheetName val="MASTER DRIVER"/>
      <sheetName val="LBO Summary"/>
      <sheetName val="IncStmt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BO Summary"/>
      <sheetName val="Financials"/>
      <sheetName val="Debt"/>
      <sheetName val="Cap"/>
      <sheetName val="Consolidated"/>
      <sheetName val="Television"/>
      <sheetName val="Corporate"/>
      <sheetName val="Capex"/>
      <sheetName val="Tax"/>
      <sheetName val="Credit"/>
      <sheetName val="Summary"/>
      <sheetName val="Segments"/>
      <sheetName val="Adjustments"/>
      <sheetName val="Fly-by-night - problem 5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al Info"/>
      <sheetName val="Qualitative Analysis"/>
      <sheetName val="Base"/>
      <sheetName val="EV_DCF Analysis"/>
      <sheetName val="VeCTOR Import"/>
      <sheetName val="Annual Summary"/>
      <sheetName val="LBO Summary"/>
      <sheetName val="Fly-by-night - problem 5"/>
      <sheetName val="Segment Info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UMMARY"/>
      <sheetName val="TRANSACTION"/>
      <sheetName val="Capital Structure"/>
      <sheetName val="DEBT DETAIL"/>
      <sheetName val="Sheet2"/>
      <sheetName val="Flat EBITDA"/>
      <sheetName val="Scenario Fan"/>
      <sheetName val="Sheet1"/>
      <sheetName val="Sheet1 (2)"/>
      <sheetName val="Case Comparison"/>
      <sheetName val="INCOME STATEMENT"/>
      <sheetName val="BALANCE SHEET"/>
      <sheetName val="CASH FLOW"/>
      <sheetName val="World Cup"/>
      <sheetName val="Taxes"/>
      <sheetName val="CAPEX &amp; INTANG"/>
      <sheetName val="Drivers"/>
      <sheetName val="WORKING CAPITAL"/>
      <sheetName val="Buildup"/>
      <sheetName val="S&amp;U"/>
      <sheetName val="TV Build"/>
      <sheetName val="TV Group"/>
      <sheetName val="UVN"/>
      <sheetName val="TLF"/>
      <sheetName val="Gala"/>
      <sheetName val="TV Station Group"/>
      <sheetName val="UTG"/>
      <sheetName val="TTG"/>
      <sheetName val="Radio Operating Build"/>
      <sheetName val="Radio Drivers"/>
      <sheetName val="Consolidated"/>
      <sheetName val="Market Build"/>
      <sheetName val="Other"/>
      <sheetName val="Overview"/>
      <sheetName val="Margin Bridge"/>
      <sheetName val="Projections Detail"/>
      <sheetName val="VeCTOR Import"/>
      <sheetName val="LBO Summary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preciation"/>
      <sheetName val="S&amp;U"/>
      <sheetName val="Sheet1"/>
      <sheetName val="1998 assump"/>
      <sheetName val="1997 assump"/>
      <sheetName val="******"/>
      <sheetName val="1998 P &amp; L"/>
      <sheetName val="1999 P &amp; L"/>
      <sheetName val="summ people"/>
      <sheetName val="people"/>
      <sheetName val="Sheet2"/>
      <sheetName val="B"/>
      <sheetName val="Sheet5"/>
      <sheetName val="Employees"/>
      <sheetName val="Reconcile"/>
      <sheetName val="D"/>
      <sheetName val="TRANSACTION"/>
      <sheetName val="VeCTOR Im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vCalcs Table"/>
      <sheetName val="IS Table"/>
      <sheetName val="BS Table"/>
      <sheetName val="SoCF Table"/>
      <sheetName val="RE &amp; DIVS Table"/>
      <sheetName val="Debt Table"/>
      <sheetName val="RE &amp; DIVS"/>
      <sheetName val="Debt"/>
      <sheetName val="BalSh Comb"/>
      <sheetName val="SoCF Comb"/>
      <sheetName val="IS Comb"/>
      <sheetName val="Covenant Summary"/>
      <sheetName val="UF P&amp;L-Mth"/>
      <sheetName val="Sheet1"/>
      <sheetName val="MASTER"/>
      <sheetName val="FC P&amp;L-Mth"/>
      <sheetName val="Headcount"/>
      <sheetName val="New FC Contracts"/>
      <sheetName val="UF Bal-Mth"/>
      <sheetName val="FC Bal-Mth"/>
      <sheetName val="Fixed Assets"/>
      <sheetName val="G&amp;A"/>
      <sheetName val="FC Contracts 2001"/>
      <sheetName val="End Model"/>
      <sheetName val="Combnd Hist BS"/>
      <sheetName val="UF Bal Sheet"/>
      <sheetName val="FC Bal Sheet"/>
      <sheetName val="UF P&amp;L Hist"/>
      <sheetName val="FC P&amp;L Hist"/>
      <sheetName val="UF2000"/>
      <sheetName val="UF2001"/>
      <sheetName val="FC2000"/>
      <sheetName val="FC2001"/>
      <sheetName val="vs. 2001 actuals"/>
      <sheetName val="Sheet3"/>
      <sheetName val="Equity Table"/>
      <sheetName val="Card Count Table"/>
      <sheetName val="BS Tables"/>
      <sheetName val="Concentr Table"/>
      <sheetName val="BS Analysis"/>
      <sheetName val="Table 5"/>
      <sheetName val="Table 4"/>
      <sheetName val="Table 3"/>
      <sheetName val="Table 2"/>
      <sheetName val="Table 1"/>
      <sheetName val="DCF"/>
      <sheetName val="top50hotels"/>
      <sheetName val="Sheet5"/>
      <sheetName val="D"/>
      <sheetName val="MASTER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OBS - MEDCON"/>
      <sheetName val="OBS - REFI"/>
      <sheetName val="AFS"/>
      <sheetName val="MBS"/>
      <sheetName val="MMIS (2)"/>
      <sheetName val="WHEC"/>
      <sheetName val="MIS"/>
      <sheetName val="MCF"/>
      <sheetName val="PACING06"/>
      <sheetName val="D&amp;A"/>
      <sheetName val="D&amp;A (2)"/>
      <sheetName val="DEBT"/>
      <sheetName val="CHARTS&gt;&gt;&gt;"/>
      <sheetName val="S&amp;U_CAP_MERGER"/>
      <sheetName val="S&amp;U_CAP_REFI"/>
      <sheetName val="MEDCON IS"/>
      <sheetName val="SUM IS"/>
      <sheetName val="PF IS"/>
      <sheetName val="PF BS"/>
      <sheetName val="COVS"/>
      <sheetName val="ECF"/>
      <sheetName val="Bridge"/>
      <sheetName val="HoldCo INT"/>
      <sheetName val="PACING05"/>
      <sheetName val="MASTER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EBITDA SUM"/>
      <sheetName val="RIF SUM"/>
      <sheetName val="OBS"/>
      <sheetName val="AFS"/>
      <sheetName val="MIS"/>
      <sheetName val="MBS"/>
      <sheetName val="MCF"/>
      <sheetName val="MC-MIS"/>
      <sheetName val="ED-MIS"/>
      <sheetName val="MED PUB-MIS"/>
      <sheetName val="OPT-MIS"/>
      <sheetName val="REV"/>
      <sheetName val="EXP"/>
      <sheetName val="MODR"/>
      <sheetName val="D&amp;A"/>
      <sheetName val="DEBT"/>
      <sheetName val="COVS"/>
      <sheetName val="CONTROL"/>
      <sheetName val="OBS - REFI"/>
      <sheetName val="WH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"/>
      <sheetName val="AFS"/>
      <sheetName val="MIS"/>
      <sheetName val="MBS"/>
      <sheetName val="MCF"/>
      <sheetName val="DEBT"/>
      <sheetName val="D&amp;A"/>
      <sheetName val="COVS_ACTUAL"/>
      <sheetName val="COVS"/>
      <sheetName val="PACING05"/>
      <sheetName val="PACING06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CF"/>
      <sheetName val="DCFnew"/>
      <sheetName val="COVS_ACTUAL"/>
      <sheetName val="D&amp;A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23"/>
  <sheetViews>
    <sheetView showGridLines="0" zoomScaleNormal="100" workbookViewId="0">
      <selection activeCell="S2" sqref="S2"/>
    </sheetView>
  </sheetViews>
  <sheetFormatPr defaultColWidth="9.140625" defaultRowHeight="15"/>
  <cols>
    <col min="1" max="1" width="9.140625" style="1"/>
    <col min="2" max="2" width="47.85546875" style="1" customWidth="1"/>
    <col min="3" max="6" width="13" style="1" customWidth="1"/>
    <col min="7" max="9" width="9.140625" style="1"/>
    <col min="10" max="10" width="36.28515625" style="1" customWidth="1"/>
    <col min="11" max="11" width="9.7109375" style="1" bestFit="1" customWidth="1"/>
    <col min="12" max="12" width="10.5703125" style="1" bestFit="1" customWidth="1"/>
    <col min="13" max="16384" width="9.140625" style="1"/>
  </cols>
  <sheetData>
    <row r="2" spans="1:12">
      <c r="A2" s="20" t="s">
        <v>0</v>
      </c>
      <c r="J2" s="10" t="s">
        <v>1</v>
      </c>
      <c r="K2" s="113">
        <f>Model!$AE$207</f>
        <v>1.0696903246510136E-2</v>
      </c>
    </row>
    <row r="3" spans="1:12">
      <c r="J3" s="10" t="s">
        <v>2</v>
      </c>
      <c r="K3" s="113">
        <f>Model!$AE$208</f>
        <v>1.1317885668984867E-2</v>
      </c>
    </row>
    <row r="4" spans="1:12" ht="15.75" thickBot="1">
      <c r="J4" s="6"/>
      <c r="K4" s="113"/>
    </row>
    <row r="5" spans="1:12">
      <c r="B5" s="313" t="s">
        <v>3</v>
      </c>
      <c r="C5" s="314" t="s">
        <v>4</v>
      </c>
      <c r="D5" s="315" t="s">
        <v>5</v>
      </c>
      <c r="E5" s="316" t="s">
        <v>6</v>
      </c>
      <c r="F5" s="316" t="s">
        <v>5</v>
      </c>
      <c r="J5" s="260" t="s">
        <v>7</v>
      </c>
      <c r="K5" s="261" t="s">
        <v>4</v>
      </c>
    </row>
    <row r="6" spans="1:12">
      <c r="B6" s="310" t="s">
        <v>8</v>
      </c>
      <c r="C6" s="17">
        <f>SUM(C7:C10)</f>
        <v>322770</v>
      </c>
      <c r="D6" s="19"/>
      <c r="E6" s="17">
        <f>SUM(E7:E10)</f>
        <v>3452.6394608760766</v>
      </c>
      <c r="J6" s="217" t="s">
        <v>9</v>
      </c>
      <c r="K6" s="171">
        <v>220450</v>
      </c>
    </row>
    <row r="7" spans="1:12">
      <c r="B7" s="311" t="s">
        <v>10</v>
      </c>
      <c r="C7" s="59">
        <f>Model!$AE$107</f>
        <v>65110</v>
      </c>
      <c r="D7" s="19"/>
      <c r="E7" s="123">
        <f>C7*$K2</f>
        <v>696.47537038027497</v>
      </c>
      <c r="J7" s="217" t="s">
        <v>11</v>
      </c>
      <c r="K7" s="171">
        <v>67200</v>
      </c>
      <c r="L7" s="272"/>
    </row>
    <row r="8" spans="1:12">
      <c r="B8" s="311" t="s">
        <v>12</v>
      </c>
      <c r="C8" s="59">
        <f>Model!$AE$108</f>
        <v>155350</v>
      </c>
      <c r="D8" s="19"/>
      <c r="E8" s="123">
        <f>C8*$K2</f>
        <v>1661.7639193453497</v>
      </c>
      <c r="J8" s="217" t="s">
        <v>13</v>
      </c>
      <c r="K8" s="171">
        <v>153250</v>
      </c>
    </row>
    <row r="9" spans="1:12" ht="15.75" thickBot="1">
      <c r="B9" s="311" t="s">
        <v>14</v>
      </c>
      <c r="C9" s="59">
        <f>Model!$AE$119</f>
        <v>102310</v>
      </c>
      <c r="D9" s="19"/>
      <c r="E9" s="123">
        <f>C9*$K2</f>
        <v>1094.400171150452</v>
      </c>
      <c r="J9" s="218" t="s">
        <v>15</v>
      </c>
      <c r="K9" s="229" t="s">
        <v>16</v>
      </c>
    </row>
    <row r="10" spans="1:12">
      <c r="B10" s="311" t="s">
        <v>17</v>
      </c>
      <c r="C10" s="59">
        <f>Model!$AE$126/2</f>
        <v>0</v>
      </c>
      <c r="D10" s="19"/>
      <c r="E10" s="123">
        <f>C10*$K2</f>
        <v>0</v>
      </c>
    </row>
    <row r="11" spans="1:12">
      <c r="B11" s="311"/>
      <c r="C11" s="59"/>
      <c r="D11" s="19"/>
      <c r="E11" s="123"/>
    </row>
    <row r="12" spans="1:12">
      <c r="B12" s="310" t="s">
        <v>18</v>
      </c>
      <c r="C12" s="17">
        <f>SUM(C13:C14)</f>
        <v>15300</v>
      </c>
      <c r="E12" s="17">
        <f>SUM(E13:E14)</f>
        <v>163.66261967160509</v>
      </c>
    </row>
    <row r="13" spans="1:12">
      <c r="B13" s="311" t="s">
        <v>10</v>
      </c>
      <c r="C13" s="59">
        <f>Model!AE112</f>
        <v>5090</v>
      </c>
      <c r="E13" s="123">
        <f>C13*$K2</f>
        <v>54.447237524736593</v>
      </c>
    </row>
    <row r="14" spans="1:12">
      <c r="B14" s="311" t="s">
        <v>12</v>
      </c>
      <c r="C14" s="59">
        <f>Model!AE113</f>
        <v>10210</v>
      </c>
      <c r="E14" s="123">
        <f>C14*$K2</f>
        <v>109.21538214686849</v>
      </c>
    </row>
    <row r="15" spans="1:12">
      <c r="B15" s="312" t="s">
        <v>19</v>
      </c>
      <c r="C15" s="15">
        <f>C12+C6</f>
        <v>338070</v>
      </c>
      <c r="D15" s="14">
        <f>C15/C21</f>
        <v>3.5259699624530665</v>
      </c>
      <c r="E15" s="15">
        <f>E12+E6</f>
        <v>3616.3020805476817</v>
      </c>
      <c r="F15" s="14">
        <f>E15/E21</f>
        <v>3.332509325643715</v>
      </c>
    </row>
    <row r="16" spans="1:12">
      <c r="B16" s="10" t="s">
        <v>20</v>
      </c>
      <c r="C16" s="127">
        <f>Model!$AE$121</f>
        <v>60860</v>
      </c>
      <c r="D16" s="128"/>
      <c r="E16" s="123">
        <f>C16*$K2</f>
        <v>651.0135315826069</v>
      </c>
    </row>
    <row r="17" spans="2:6">
      <c r="B17" s="61" t="s">
        <v>21</v>
      </c>
      <c r="C17" s="127">
        <f>Model!$AE$122</f>
        <v>6340</v>
      </c>
      <c r="D17" s="128"/>
      <c r="E17" s="123">
        <f>C17*$K2</f>
        <v>67.818366582874262</v>
      </c>
    </row>
    <row r="18" spans="2:6">
      <c r="B18" s="312" t="s">
        <v>13</v>
      </c>
      <c r="C18" s="15">
        <f>C15-C16-C17</f>
        <v>270870</v>
      </c>
      <c r="D18" s="14">
        <f>C18/C21</f>
        <v>2.8250938673341679</v>
      </c>
      <c r="E18" s="15">
        <f>E15-E16-E17</f>
        <v>2897.4701823822006</v>
      </c>
      <c r="F18" s="14">
        <f>E18/E21</f>
        <v>2.6700884462895647</v>
      </c>
    </row>
    <row r="19" spans="2:6" s="106" customFormat="1">
      <c r="B19" s="10" t="s">
        <v>22</v>
      </c>
      <c r="C19" s="127">
        <f>Model!$AE$127</f>
        <v>346960</v>
      </c>
      <c r="D19" s="128"/>
      <c r="E19" s="123">
        <f>C19*$K2</f>
        <v>3711.3975504091568</v>
      </c>
    </row>
    <row r="20" spans="2:6">
      <c r="B20" s="6" t="s">
        <v>23</v>
      </c>
      <c r="C20" s="13">
        <f>C18+C19</f>
        <v>617830</v>
      </c>
      <c r="D20" s="12"/>
      <c r="E20" s="121">
        <f>C20*$K2</f>
        <v>6608.8677327913574</v>
      </c>
    </row>
    <row r="21" spans="2:6" s="317" customFormat="1">
      <c r="B21" s="6" t="s">
        <v>24</v>
      </c>
      <c r="C21" s="51">
        <f>Model!$AE$85</f>
        <v>95880</v>
      </c>
      <c r="D21" s="6"/>
      <c r="E21" s="121">
        <f>C21*$K3</f>
        <v>1085.1588779422691</v>
      </c>
    </row>
    <row r="22" spans="2:6">
      <c r="B22" s="9" t="s">
        <v>25</v>
      </c>
      <c r="C22" s="8">
        <f>+C15-Model!$AE$120</f>
        <v>0</v>
      </c>
      <c r="D22" s="7"/>
    </row>
    <row r="23" spans="2:6">
      <c r="B23" s="9"/>
      <c r="C23" s="8"/>
      <c r="D23" s="7"/>
    </row>
    <row r="24" spans="2:6" ht="15.75" thickBot="1">
      <c r="B24" s="6"/>
      <c r="C24" s="5"/>
    </row>
    <row r="25" spans="2:6">
      <c r="B25" s="258" t="s">
        <v>26</v>
      </c>
      <c r="C25" s="259" t="s">
        <v>4</v>
      </c>
      <c r="D25" s="259" t="s">
        <v>6</v>
      </c>
    </row>
    <row r="26" spans="2:6">
      <c r="B26" s="3">
        <v>2026</v>
      </c>
      <c r="C26" s="212">
        <v>47138.68</v>
      </c>
      <c r="D26" s="142">
        <f>C26*$K$2</f>
        <v>504.2378991282024</v>
      </c>
    </row>
    <row r="27" spans="2:6">
      <c r="B27" s="3">
        <v>2027</v>
      </c>
      <c r="C27" s="212">
        <v>52138.68</v>
      </c>
      <c r="D27" s="142">
        <f>C27*$K$2</f>
        <v>557.72241536075308</v>
      </c>
    </row>
    <row r="28" spans="2:6">
      <c r="B28" s="3">
        <v>2028</v>
      </c>
      <c r="C28" s="212">
        <v>28358.21</v>
      </c>
      <c r="D28" s="142">
        <f t="shared" ref="D28:D32" si="0">C28*$K$2</f>
        <v>303.34502861421618</v>
      </c>
    </row>
    <row r="29" spans="2:6">
      <c r="B29" s="3">
        <v>2029</v>
      </c>
      <c r="C29" s="212">
        <v>66094.149999999994</v>
      </c>
      <c r="D29" s="142">
        <f t="shared" si="0"/>
        <v>707.0027277103278</v>
      </c>
    </row>
    <row r="30" spans="2:6">
      <c r="B30" s="3">
        <v>2030</v>
      </c>
      <c r="C30" s="212">
        <v>48338.68</v>
      </c>
      <c r="D30" s="142">
        <f t="shared" si="0"/>
        <v>517.07418302401459</v>
      </c>
    </row>
    <row r="31" spans="2:6">
      <c r="B31" s="3">
        <v>2031</v>
      </c>
      <c r="C31" s="212">
        <v>145</v>
      </c>
      <c r="D31" s="142">
        <f t="shared" si="0"/>
        <v>1.5510509707439697</v>
      </c>
    </row>
    <row r="32" spans="2:6" ht="15.75" thickBot="1">
      <c r="B32" s="3">
        <v>2032</v>
      </c>
      <c r="C32" s="212">
        <v>1690</v>
      </c>
      <c r="D32" s="142">
        <f t="shared" si="0"/>
        <v>18.07776648660213</v>
      </c>
    </row>
    <row r="33" spans="1:12" ht="15.75" thickBot="1">
      <c r="B33" s="213" t="s">
        <v>27</v>
      </c>
      <c r="C33" s="214">
        <f>SUM(C26:C32)</f>
        <v>243903.4</v>
      </c>
      <c r="D33" s="214">
        <f>SUM(D26:D32)</f>
        <v>2609.0110712948599</v>
      </c>
    </row>
    <row r="34" spans="1:12">
      <c r="B34" s="215"/>
      <c r="C34" s="232"/>
      <c r="D34" s="216"/>
    </row>
    <row r="35" spans="1:12">
      <c r="B35" s="6"/>
      <c r="C35" s="5"/>
    </row>
    <row r="40" spans="1:12">
      <c r="A40" s="20" t="s">
        <v>28</v>
      </c>
      <c r="J40" s="6" t="s">
        <v>29</v>
      </c>
      <c r="K40" s="113">
        <f>Model!$J$207</f>
        <v>1.0696903246510136E-2</v>
      </c>
    </row>
    <row r="41" spans="1:12">
      <c r="J41" s="6" t="s">
        <v>30</v>
      </c>
      <c r="K41" s="113">
        <f>Model!$J$208</f>
        <v>1.1317885668984867E-2</v>
      </c>
    </row>
    <row r="42" spans="1:12" ht="15.75" thickBot="1">
      <c r="J42" s="6"/>
      <c r="K42" s="113"/>
    </row>
    <row r="43" spans="1:12">
      <c r="B43" s="253" t="s">
        <v>31</v>
      </c>
      <c r="C43" s="254" t="s">
        <v>4</v>
      </c>
      <c r="D43" s="255" t="s">
        <v>5</v>
      </c>
      <c r="E43" s="256" t="s">
        <v>6</v>
      </c>
      <c r="F43" s="257" t="s">
        <v>5</v>
      </c>
      <c r="J43" s="260" t="s">
        <v>7</v>
      </c>
      <c r="K43" s="261" t="s">
        <v>4</v>
      </c>
    </row>
    <row r="44" spans="1:12">
      <c r="B44" s="120" t="s">
        <v>8</v>
      </c>
      <c r="C44" s="17">
        <f>SUM(C45:C48)</f>
        <v>339650</v>
      </c>
      <c r="D44" s="19"/>
      <c r="E44" s="17">
        <f>SUM(E45:E48)</f>
        <v>3633.203187677168</v>
      </c>
      <c r="F44" s="122"/>
      <c r="J44" s="217" t="s">
        <v>9</v>
      </c>
      <c r="K44" s="171">
        <v>284640</v>
      </c>
    </row>
    <row r="45" spans="1:12">
      <c r="B45" s="3" t="s">
        <v>10</v>
      </c>
      <c r="C45" s="59">
        <f>Model!$AD$107</f>
        <v>175070</v>
      </c>
      <c r="D45" s="19"/>
      <c r="E45" s="123">
        <f>C45*$K40</f>
        <v>1872.7068513665295</v>
      </c>
      <c r="F45" s="122"/>
      <c r="J45" s="217" t="s">
        <v>11</v>
      </c>
      <c r="K45" s="171">
        <v>51470</v>
      </c>
      <c r="L45" s="272"/>
    </row>
    <row r="46" spans="1:12">
      <c r="B46" s="3" t="s">
        <v>12</v>
      </c>
      <c r="C46" s="59">
        <f>Model!$AD$108</f>
        <v>109570</v>
      </c>
      <c r="D46" s="19"/>
      <c r="E46" s="123">
        <f>C46*$K40</f>
        <v>1172.0596887201157</v>
      </c>
      <c r="F46" s="122"/>
      <c r="J46" s="217" t="s">
        <v>13</v>
      </c>
      <c r="K46" s="171">
        <v>233170</v>
      </c>
    </row>
    <row r="47" spans="1:12" ht="15.75" thickBot="1">
      <c r="B47" s="3" t="s">
        <v>14</v>
      </c>
      <c r="C47" s="59">
        <f>Model!$AD$119</f>
        <v>55010</v>
      </c>
      <c r="D47" s="19"/>
      <c r="E47" s="123">
        <f>C47*$K40</f>
        <v>588.43664759052263</v>
      </c>
      <c r="F47" s="122"/>
      <c r="J47" s="218" t="s">
        <v>15</v>
      </c>
      <c r="K47" s="229" t="s">
        <v>32</v>
      </c>
    </row>
    <row r="48" spans="1:12">
      <c r="B48" s="3" t="s">
        <v>17</v>
      </c>
      <c r="C48" s="59">
        <f>Model!$AD$126/2</f>
        <v>0</v>
      </c>
      <c r="D48" s="19"/>
      <c r="E48" s="123">
        <f>C48*$K40</f>
        <v>0</v>
      </c>
      <c r="F48" s="122"/>
    </row>
    <row r="49" spans="2:6">
      <c r="B49" s="120" t="s">
        <v>18</v>
      </c>
      <c r="C49" s="17">
        <f>SUM(C50:C51)</f>
        <v>0</v>
      </c>
      <c r="E49" s="17">
        <f>SUM(E50:E51)</f>
        <v>0</v>
      </c>
      <c r="F49" s="122"/>
    </row>
    <row r="50" spans="2:6">
      <c r="B50" s="3" t="s">
        <v>10</v>
      </c>
      <c r="C50" s="59"/>
      <c r="E50" s="123"/>
      <c r="F50" s="122"/>
    </row>
    <row r="51" spans="2:6">
      <c r="B51" s="3" t="s">
        <v>12</v>
      </c>
      <c r="C51" s="59"/>
      <c r="E51" s="123"/>
      <c r="F51" s="122"/>
    </row>
    <row r="52" spans="2:6">
      <c r="B52" s="124" t="s">
        <v>19</v>
      </c>
      <c r="C52" s="15">
        <f>C49+C44</f>
        <v>339650</v>
      </c>
      <c r="D52" s="14">
        <f>C52/C58</f>
        <v>3.7006973196774897</v>
      </c>
      <c r="E52" s="15">
        <f>E49+E44</f>
        <v>3633.203187677168</v>
      </c>
      <c r="F52" s="125">
        <f>E52/E58</f>
        <v>3.4976498553691506</v>
      </c>
    </row>
    <row r="53" spans="2:6">
      <c r="B53" s="126" t="s">
        <v>20</v>
      </c>
      <c r="C53" s="127">
        <f>Model!$AD$121</f>
        <v>45950</v>
      </c>
      <c r="D53" s="128"/>
      <c r="E53" s="123">
        <f>C53*$K40</f>
        <v>491.52270417714072</v>
      </c>
      <c r="F53" s="122"/>
    </row>
    <row r="54" spans="2:6">
      <c r="B54" s="129" t="s">
        <v>21</v>
      </c>
      <c r="C54" s="127">
        <f>Model!$AD$122</f>
        <v>5520</v>
      </c>
      <c r="D54" s="128"/>
      <c r="E54" s="123">
        <f>C54*$K40</f>
        <v>59.046905920735952</v>
      </c>
      <c r="F54" s="122"/>
    </row>
    <row r="55" spans="2:6">
      <c r="B55" s="124" t="s">
        <v>13</v>
      </c>
      <c r="C55" s="15">
        <f>C52-C53-C54</f>
        <v>288180</v>
      </c>
      <c r="D55" s="14">
        <f>C55/C58</f>
        <v>3.1398997602963608</v>
      </c>
      <c r="E55" s="15">
        <f>E52-E53-E54</f>
        <v>3082.6335775792913</v>
      </c>
      <c r="F55" s="125">
        <f>E55/E58</f>
        <v>2.9676217733557539</v>
      </c>
    </row>
    <row r="56" spans="2:6">
      <c r="B56" s="130" t="s">
        <v>22</v>
      </c>
      <c r="C56" s="13">
        <f>Model!$AD$127</f>
        <v>326110</v>
      </c>
      <c r="D56" s="12"/>
      <c r="E56" s="121">
        <f>C56*$K40</f>
        <v>3488.3671177194205</v>
      </c>
      <c r="F56" s="122"/>
    </row>
    <row r="57" spans="2:6">
      <c r="B57" s="130" t="s">
        <v>23</v>
      </c>
      <c r="C57" s="13">
        <f>C55+C56</f>
        <v>614290</v>
      </c>
      <c r="D57" s="12"/>
      <c r="E57" s="121">
        <f>C57*$K40</f>
        <v>6571.0006952987114</v>
      </c>
      <c r="F57" s="122"/>
    </row>
    <row r="58" spans="2:6" ht="15.75" thickBot="1">
      <c r="B58" s="131" t="s">
        <v>24</v>
      </c>
      <c r="C58" s="132">
        <f>Model!$AD$85</f>
        <v>91780</v>
      </c>
      <c r="D58" s="133"/>
      <c r="E58" s="134">
        <f>C58*$K41</f>
        <v>1038.7555466994311</v>
      </c>
      <c r="F58" s="135"/>
    </row>
    <row r="59" spans="2:6">
      <c r="B59" s="9" t="s">
        <v>25</v>
      </c>
      <c r="C59" s="8">
        <f>+C52-Model!$AD$120</f>
        <v>55010</v>
      </c>
      <c r="D59" s="7"/>
    </row>
    <row r="60" spans="2:6">
      <c r="B60" s="9"/>
      <c r="C60" s="8"/>
      <c r="D60" s="7"/>
    </row>
    <row r="61" spans="2:6" ht="15.75" thickBot="1">
      <c r="B61" s="6"/>
      <c r="C61" s="5"/>
    </row>
    <row r="62" spans="2:6">
      <c r="B62" s="258" t="s">
        <v>33</v>
      </c>
      <c r="C62" s="259" t="s">
        <v>4</v>
      </c>
      <c r="D62" s="259" t="s">
        <v>6</v>
      </c>
    </row>
    <row r="63" spans="2:6">
      <c r="B63" s="3">
        <v>2026</v>
      </c>
      <c r="C63" s="212">
        <v>98587.67</v>
      </c>
      <c r="D63" s="142">
        <f>C63*$K$40</f>
        <v>1054.5827672888699</v>
      </c>
    </row>
    <row r="64" spans="2:6">
      <c r="B64" s="3">
        <v>2027</v>
      </c>
      <c r="C64" s="212">
        <v>50854.73</v>
      </c>
      <c r="D64" s="142">
        <f t="shared" ref="D64:D69" si="1">C64*$K$40</f>
        <v>543.98812643739643</v>
      </c>
    </row>
    <row r="65" spans="1:11">
      <c r="B65" s="3">
        <v>2028</v>
      </c>
      <c r="C65" s="212">
        <v>27587.84</v>
      </c>
      <c r="D65" s="142">
        <f t="shared" si="1"/>
        <v>295.1044552602022</v>
      </c>
    </row>
    <row r="66" spans="1:11">
      <c r="B66" s="3">
        <v>2029</v>
      </c>
      <c r="C66" s="212">
        <v>100</v>
      </c>
      <c r="D66" s="142">
        <f t="shared" si="1"/>
        <v>1.0696903246510137</v>
      </c>
    </row>
    <row r="67" spans="1:11">
      <c r="B67" s="3">
        <v>2030</v>
      </c>
      <c r="C67" s="212">
        <v>47054.73</v>
      </c>
      <c r="D67" s="142">
        <f t="shared" si="1"/>
        <v>503.33989410065794</v>
      </c>
    </row>
    <row r="68" spans="1:11">
      <c r="B68" s="3">
        <v>2031</v>
      </c>
      <c r="C68" s="212">
        <v>145</v>
      </c>
      <c r="D68" s="142">
        <f t="shared" si="1"/>
        <v>1.5510509707439697</v>
      </c>
    </row>
    <row r="69" spans="1:11" ht="15.75" thickBot="1">
      <c r="B69" s="3">
        <v>2032</v>
      </c>
      <c r="C69" s="212">
        <v>1690</v>
      </c>
      <c r="D69" s="142">
        <f t="shared" si="1"/>
        <v>18.07776648660213</v>
      </c>
    </row>
    <row r="70" spans="1:11" ht="15.75" thickBot="1">
      <c r="B70" s="213" t="s">
        <v>27</v>
      </c>
      <c r="C70" s="214">
        <f>SUM(C63:C69)</f>
        <v>226019.97</v>
      </c>
      <c r="D70" s="214">
        <f>SUM(D63:D69)</f>
        <v>2417.7137508691235</v>
      </c>
    </row>
    <row r="71" spans="1:11">
      <c r="B71" s="215"/>
      <c r="C71" s="232"/>
      <c r="D71" s="216"/>
    </row>
    <row r="72" spans="1:11">
      <c r="B72" s="6"/>
      <c r="C72" s="5"/>
    </row>
    <row r="76" spans="1:11">
      <c r="A76" s="20" t="s">
        <v>34</v>
      </c>
      <c r="J76" s="6" t="s">
        <v>35</v>
      </c>
      <c r="K76" s="113">
        <f>Model!$AC$207</f>
        <v>1.1256064204590223E-2</v>
      </c>
    </row>
    <row r="77" spans="1:11">
      <c r="J77" s="6" t="s">
        <v>36</v>
      </c>
      <c r="K77" s="113">
        <f>Model!$AC$208</f>
        <v>1.1630620034247642E-2</v>
      </c>
    </row>
    <row r="78" spans="1:11" ht="15.75" thickBot="1">
      <c r="J78" s="6"/>
      <c r="K78" s="113"/>
    </row>
    <row r="79" spans="1:11">
      <c r="B79" s="253" t="s">
        <v>37</v>
      </c>
      <c r="C79" s="254" t="s">
        <v>4</v>
      </c>
      <c r="D79" s="255" t="s">
        <v>5</v>
      </c>
      <c r="E79" s="256" t="s">
        <v>6</v>
      </c>
      <c r="F79" s="257" t="s">
        <v>5</v>
      </c>
      <c r="J79" s="260" t="s">
        <v>7</v>
      </c>
      <c r="K79" s="261" t="s">
        <v>4</v>
      </c>
    </row>
    <row r="80" spans="1:11">
      <c r="B80" s="120" t="s">
        <v>8</v>
      </c>
      <c r="C80" s="17">
        <f>SUM(C81:C84)</f>
        <v>334730</v>
      </c>
      <c r="D80" s="19"/>
      <c r="E80" s="17">
        <f>SUM(E81:E84)</f>
        <v>3767.7423712024852</v>
      </c>
      <c r="F80" s="122"/>
      <c r="J80" s="217" t="s">
        <v>9</v>
      </c>
      <c r="K80" s="171">
        <v>285620</v>
      </c>
    </row>
    <row r="81" spans="2:11">
      <c r="B81" s="3" t="s">
        <v>10</v>
      </c>
      <c r="C81" s="59">
        <v>113530</v>
      </c>
      <c r="D81" s="19"/>
      <c r="E81" s="123">
        <f>C81*$K76</f>
        <v>1277.9009691471281</v>
      </c>
      <c r="F81" s="122"/>
      <c r="J81" s="217" t="s">
        <v>11</v>
      </c>
      <c r="K81" s="171">
        <v>47600</v>
      </c>
    </row>
    <row r="82" spans="2:11">
      <c r="B82" s="3" t="s">
        <v>12</v>
      </c>
      <c r="C82" s="59">
        <v>172090</v>
      </c>
      <c r="D82" s="19"/>
      <c r="E82" s="123">
        <f>C82*$K76</f>
        <v>1937.0560889679314</v>
      </c>
      <c r="F82" s="122"/>
      <c r="J82" s="217" t="s">
        <v>13</v>
      </c>
      <c r="K82" s="171">
        <v>238020</v>
      </c>
    </row>
    <row r="83" spans="2:11" ht="15.75" thickBot="1">
      <c r="B83" s="3" t="s">
        <v>14</v>
      </c>
      <c r="C83" s="59">
        <f>Model!$AC$119</f>
        <v>49110</v>
      </c>
      <c r="D83" s="19"/>
      <c r="E83" s="123">
        <f>C83*$K76</f>
        <v>552.78531308742583</v>
      </c>
      <c r="F83" s="122"/>
      <c r="J83" s="218" t="s">
        <v>15</v>
      </c>
      <c r="K83" s="229" t="s">
        <v>38</v>
      </c>
    </row>
    <row r="84" spans="2:11">
      <c r="B84" s="3" t="s">
        <v>17</v>
      </c>
      <c r="C84" s="59">
        <f>Model!$AC$126/2</f>
        <v>0</v>
      </c>
      <c r="D84" s="19"/>
      <c r="E84" s="123">
        <f>C84*$K76</f>
        <v>0</v>
      </c>
      <c r="F84" s="122"/>
    </row>
    <row r="85" spans="2:11">
      <c r="B85" s="120" t="s">
        <v>18</v>
      </c>
      <c r="C85" s="17">
        <f>SUM(C86:C87)</f>
        <v>14600</v>
      </c>
      <c r="E85" s="17">
        <f>SUM(E86:E87)</f>
        <v>164.33853738701725</v>
      </c>
      <c r="F85" s="122"/>
    </row>
    <row r="86" spans="2:11">
      <c r="B86" s="3" t="s">
        <v>10</v>
      </c>
      <c r="C86" s="59">
        <v>4320</v>
      </c>
      <c r="E86" s="123">
        <f>C86*$K76</f>
        <v>48.62619736382976</v>
      </c>
      <c r="F86" s="122"/>
    </row>
    <row r="87" spans="2:11">
      <c r="B87" s="3" t="s">
        <v>12</v>
      </c>
      <c r="C87" s="59">
        <v>10280</v>
      </c>
      <c r="E87" s="123">
        <f>C87*$K76</f>
        <v>115.71234002318749</v>
      </c>
      <c r="F87" s="122"/>
    </row>
    <row r="88" spans="2:11">
      <c r="B88" s="124" t="s">
        <v>19</v>
      </c>
      <c r="C88" s="15">
        <f>C85+C80</f>
        <v>349330</v>
      </c>
      <c r="D88" s="14">
        <f>C88/C94</f>
        <v>3.9219714831031771</v>
      </c>
      <c r="E88" s="15">
        <f>E85+E80</f>
        <v>3932.0809085895025</v>
      </c>
      <c r="F88" s="125">
        <f>E88/E94</f>
        <v>3.7956671864774751</v>
      </c>
    </row>
    <row r="89" spans="2:11">
      <c r="B89" s="126" t="s">
        <v>20</v>
      </c>
      <c r="C89" s="127">
        <f>Model!$AC$121</f>
        <v>41520</v>
      </c>
      <c r="D89" s="128"/>
      <c r="E89" s="123">
        <f>C89*$K76</f>
        <v>467.35178577458606</v>
      </c>
      <c r="F89" s="122"/>
    </row>
    <row r="90" spans="2:11">
      <c r="B90" s="129" t="s">
        <v>21</v>
      </c>
      <c r="C90" s="127">
        <f>Model!$AC$122</f>
        <v>6080</v>
      </c>
      <c r="D90" s="128"/>
      <c r="E90" s="123">
        <f>C90*$K76</f>
        <v>68.436870363908554</v>
      </c>
      <c r="F90" s="122"/>
    </row>
    <row r="91" spans="2:11">
      <c r="B91" s="124" t="s">
        <v>13</v>
      </c>
      <c r="C91" s="15">
        <f>C88-C89-C90</f>
        <v>301730</v>
      </c>
      <c r="D91" s="14">
        <f>C91/C94</f>
        <v>3.3875603457954417</v>
      </c>
      <c r="E91" s="15">
        <f>E88-E89-E90</f>
        <v>3396.2922524510082</v>
      </c>
      <c r="F91" s="125">
        <f>E91/E94</f>
        <v>3.2784663789993664</v>
      </c>
    </row>
    <row r="92" spans="2:11">
      <c r="B92" s="130" t="s">
        <v>22</v>
      </c>
      <c r="C92" s="13">
        <f>Model!$AC$127</f>
        <v>318940</v>
      </c>
      <c r="D92" s="12"/>
      <c r="E92" s="121">
        <f>C92*$K76</f>
        <v>3590.0091174120057</v>
      </c>
      <c r="F92" s="122"/>
    </row>
    <row r="93" spans="2:11">
      <c r="B93" s="130" t="s">
        <v>23</v>
      </c>
      <c r="C93" s="13">
        <f>C91+C92</f>
        <v>620670</v>
      </c>
      <c r="D93" s="12"/>
      <c r="E93" s="121">
        <f>C93*$K76</f>
        <v>6986.3013698630139</v>
      </c>
      <c r="F93" s="122"/>
    </row>
    <row r="94" spans="2:11" ht="15.75" thickBot="1">
      <c r="B94" s="131" t="s">
        <v>24</v>
      </c>
      <c r="C94" s="132">
        <f>Model!$AC$85</f>
        <v>89070</v>
      </c>
      <c r="D94" s="133"/>
      <c r="E94" s="134">
        <f>C94*$K77</f>
        <v>1035.9393264504374</v>
      </c>
      <c r="F94" s="135"/>
    </row>
    <row r="95" spans="2:11">
      <c r="B95" s="9" t="s">
        <v>25</v>
      </c>
      <c r="C95" s="8">
        <f>+C88-Model!$AC$120</f>
        <v>49110</v>
      </c>
      <c r="D95" s="7"/>
    </row>
    <row r="96" spans="2:11">
      <c r="B96" s="9"/>
      <c r="C96" s="8"/>
      <c r="D96" s="7"/>
    </row>
    <row r="97" spans="1:11" ht="15.75" thickBot="1">
      <c r="B97" s="6"/>
      <c r="C97" s="5"/>
    </row>
    <row r="98" spans="1:11">
      <c r="B98" s="258" t="s">
        <v>39</v>
      </c>
      <c r="C98" s="259" t="s">
        <v>4</v>
      </c>
      <c r="D98" s="259" t="s">
        <v>6</v>
      </c>
    </row>
    <row r="99" spans="1:11">
      <c r="B99" s="3">
        <v>2026</v>
      </c>
      <c r="C99" s="212">
        <v>96629.21</v>
      </c>
      <c r="D99" s="142">
        <f>C99*$K$76</f>
        <v>1087.6645917988317</v>
      </c>
    </row>
    <row r="100" spans="1:11">
      <c r="B100" s="3">
        <v>2027</v>
      </c>
      <c r="C100" s="212">
        <v>49943.82</v>
      </c>
      <c r="D100" s="142">
        <f t="shared" ref="D100:D105" si="2">C100*$K$76</f>
        <v>562.17084454249721</v>
      </c>
    </row>
    <row r="101" spans="1:11">
      <c r="B101" s="120">
        <v>2028</v>
      </c>
      <c r="C101" s="212">
        <v>27041.29</v>
      </c>
      <c r="D101" s="142">
        <f t="shared" si="2"/>
        <v>304.37849641494358</v>
      </c>
    </row>
    <row r="102" spans="1:11">
      <c r="B102" s="120">
        <v>2029</v>
      </c>
      <c r="C102" s="212">
        <v>100</v>
      </c>
      <c r="D102" s="142">
        <f t="shared" si="2"/>
        <v>1.1256064204590224</v>
      </c>
    </row>
    <row r="103" spans="1:11">
      <c r="B103" s="3">
        <v>2030</v>
      </c>
      <c r="C103" s="212">
        <v>46143.82</v>
      </c>
      <c r="D103" s="142">
        <f t="shared" si="2"/>
        <v>519.39780056505447</v>
      </c>
    </row>
    <row r="104" spans="1:11">
      <c r="B104" s="3">
        <v>2031</v>
      </c>
      <c r="C104" s="212">
        <v>145</v>
      </c>
      <c r="D104" s="142">
        <f t="shared" si="2"/>
        <v>1.6321293096655822</v>
      </c>
    </row>
    <row r="105" spans="1:11" ht="15.75" thickBot="1">
      <c r="B105" s="3">
        <v>2032</v>
      </c>
      <c r="C105" s="212">
        <v>1690</v>
      </c>
      <c r="D105" s="142">
        <f t="shared" si="2"/>
        <v>19.022748505757477</v>
      </c>
    </row>
    <row r="106" spans="1:11" ht="14.25" customHeight="1" thickBot="1">
      <c r="B106" s="213" t="s">
        <v>27</v>
      </c>
      <c r="C106" s="214">
        <f>SUM(C99:C105)</f>
        <v>221693.14</v>
      </c>
      <c r="D106" s="214">
        <f>SUM(D99:D105)</f>
        <v>2495.3922175572093</v>
      </c>
    </row>
    <row r="107" spans="1:11">
      <c r="B107" s="215"/>
      <c r="C107" s="232"/>
      <c r="D107" s="216"/>
    </row>
    <row r="108" spans="1:11">
      <c r="B108" s="6"/>
      <c r="C108" s="5"/>
    </row>
    <row r="111" spans="1:11">
      <c r="A111" s="20" t="s">
        <v>40</v>
      </c>
      <c r="J111" s="6" t="s">
        <v>41</v>
      </c>
      <c r="K111" s="113">
        <f>Model!$AB$207</f>
        <v>1.1660447761194029E-2</v>
      </c>
    </row>
    <row r="112" spans="1:11">
      <c r="J112" s="6" t="s">
        <v>42</v>
      </c>
      <c r="K112" s="113">
        <f>Model!$AB$208</f>
        <v>1.1758491714095766E-2</v>
      </c>
    </row>
    <row r="113" spans="2:11" ht="15.75" thickBot="1">
      <c r="J113" s="6"/>
      <c r="K113" s="113"/>
    </row>
    <row r="114" spans="2:11">
      <c r="B114" s="221" t="s">
        <v>43</v>
      </c>
      <c r="C114" s="222" t="s">
        <v>4</v>
      </c>
      <c r="D114" s="223" t="s">
        <v>5</v>
      </c>
      <c r="E114" s="224" t="s">
        <v>6</v>
      </c>
      <c r="F114" s="225" t="s">
        <v>5</v>
      </c>
      <c r="J114" s="219" t="s">
        <v>7</v>
      </c>
      <c r="K114" s="220" t="s">
        <v>4</v>
      </c>
    </row>
    <row r="115" spans="2:11">
      <c r="B115" s="120" t="s">
        <v>8</v>
      </c>
      <c r="C115" s="146"/>
      <c r="D115" s="19"/>
      <c r="E115" s="17">
        <f>SUM(E116:E119)</f>
        <v>0</v>
      </c>
      <c r="F115" s="122"/>
      <c r="J115" s="217" t="s">
        <v>9</v>
      </c>
      <c r="K115" s="171">
        <v>268350</v>
      </c>
    </row>
    <row r="116" spans="2:11">
      <c r="B116" s="3" t="s">
        <v>10</v>
      </c>
      <c r="C116" s="146"/>
      <c r="D116" s="19"/>
      <c r="E116" s="123">
        <f>C116*$K111</f>
        <v>0</v>
      </c>
      <c r="F116" s="122"/>
      <c r="J116" s="217" t="s">
        <v>11</v>
      </c>
      <c r="K116" s="171">
        <v>54640</v>
      </c>
    </row>
    <row r="117" spans="2:11">
      <c r="B117" s="3" t="s">
        <v>12</v>
      </c>
      <c r="C117" s="146"/>
      <c r="D117" s="19"/>
      <c r="E117" s="123">
        <f>C117*$K111</f>
        <v>0</v>
      </c>
      <c r="F117" s="122"/>
      <c r="J117" s="217" t="s">
        <v>13</v>
      </c>
      <c r="K117" s="171">
        <v>213710</v>
      </c>
    </row>
    <row r="118" spans="2:11" ht="15.75" thickBot="1">
      <c r="B118" s="3" t="s">
        <v>14</v>
      </c>
      <c r="C118" s="146"/>
      <c r="D118" s="19"/>
      <c r="E118" s="123">
        <f>C118*$K111</f>
        <v>0</v>
      </c>
      <c r="F118" s="122"/>
      <c r="J118" s="218" t="s">
        <v>15</v>
      </c>
      <c r="K118" s="229" t="s">
        <v>44</v>
      </c>
    </row>
    <row r="119" spans="2:11">
      <c r="B119" s="3" t="s">
        <v>17</v>
      </c>
      <c r="C119" s="146"/>
      <c r="D119" s="19"/>
      <c r="E119" s="123">
        <f>C119*$K111</f>
        <v>0</v>
      </c>
      <c r="F119" s="122"/>
    </row>
    <row r="120" spans="2:11">
      <c r="B120" s="120" t="s">
        <v>18</v>
      </c>
      <c r="C120" s="146"/>
      <c r="E120" s="17">
        <f>SUM(E121:E122)</f>
        <v>0</v>
      </c>
      <c r="F120" s="122"/>
    </row>
    <row r="121" spans="2:11">
      <c r="B121" s="3" t="s">
        <v>10</v>
      </c>
      <c r="C121" s="146"/>
      <c r="E121" s="123">
        <f>C121*$K111</f>
        <v>0</v>
      </c>
      <c r="F121" s="122"/>
    </row>
    <row r="122" spans="2:11">
      <c r="B122" s="3" t="s">
        <v>12</v>
      </c>
      <c r="C122" s="146"/>
      <c r="E122" s="123">
        <f>C122*$K111</f>
        <v>0</v>
      </c>
      <c r="F122" s="122"/>
    </row>
    <row r="123" spans="2:11">
      <c r="B123" s="124" t="s">
        <v>19</v>
      </c>
      <c r="C123" s="15">
        <f>Model!AB120</f>
        <v>268350</v>
      </c>
      <c r="D123" s="14">
        <f>C123/C129</f>
        <v>3.2417250543609568</v>
      </c>
      <c r="E123" s="15">
        <f>C123*K111</f>
        <v>3129.0811567164178</v>
      </c>
      <c r="F123" s="125">
        <f>E123/E129</f>
        <v>3.2417250543609573</v>
      </c>
    </row>
    <row r="124" spans="2:11">
      <c r="B124" s="126" t="s">
        <v>20</v>
      </c>
      <c r="C124" s="127">
        <f>Model!$AB$121</f>
        <v>49980</v>
      </c>
      <c r="D124" s="128"/>
      <c r="E124" s="123">
        <f>C124*$K111</f>
        <v>582.78917910447751</v>
      </c>
      <c r="F124" s="122"/>
    </row>
    <row r="125" spans="2:11">
      <c r="B125" s="129" t="s">
        <v>21</v>
      </c>
      <c r="C125" s="127">
        <f>Model!$AB$122</f>
        <v>4660</v>
      </c>
      <c r="D125" s="128"/>
      <c r="E125" s="123">
        <f>C125*$K111</f>
        <v>54.337686567164177</v>
      </c>
      <c r="F125" s="122"/>
    </row>
    <row r="126" spans="2:11">
      <c r="B126" s="124" t="s">
        <v>13</v>
      </c>
      <c r="C126" s="15">
        <f>C123-C124-C125</f>
        <v>213710</v>
      </c>
      <c r="D126" s="14">
        <f>C126/C129</f>
        <v>2.5816622372553759</v>
      </c>
      <c r="E126" s="15">
        <f>E123-E124-E125</f>
        <v>2491.9542910447758</v>
      </c>
      <c r="F126" s="125">
        <f>E126/E129</f>
        <v>2.5816622372553759</v>
      </c>
    </row>
    <row r="127" spans="2:11">
      <c r="B127" s="130" t="s">
        <v>22</v>
      </c>
      <c r="C127" s="13">
        <f>Model!$AB$127</f>
        <v>0</v>
      </c>
      <c r="D127" s="12"/>
      <c r="E127" s="121">
        <f>C127*$K111</f>
        <v>0</v>
      </c>
      <c r="F127" s="122"/>
    </row>
    <row r="128" spans="2:11">
      <c r="B128" s="130" t="s">
        <v>23</v>
      </c>
      <c r="C128" s="13">
        <f>C126+C127</f>
        <v>213710</v>
      </c>
      <c r="D128" s="12"/>
      <c r="E128" s="121">
        <f>C128*$K111</f>
        <v>2491.9542910447758</v>
      </c>
      <c r="F128" s="122"/>
    </row>
    <row r="129" spans="2:6" ht="15.75" thickBot="1">
      <c r="B129" s="131" t="s">
        <v>24</v>
      </c>
      <c r="C129" s="132">
        <f>Model!$AB$85</f>
        <v>82780</v>
      </c>
      <c r="D129" s="133"/>
      <c r="E129" s="134">
        <f>C129*$K111</f>
        <v>965.25186567164167</v>
      </c>
      <c r="F129" s="135"/>
    </row>
    <row r="130" spans="2:6">
      <c r="B130" s="9" t="s">
        <v>25</v>
      </c>
      <c r="C130" s="8">
        <f>+C123-Model!$AB$120</f>
        <v>0</v>
      </c>
      <c r="D130" s="7"/>
    </row>
    <row r="131" spans="2:6">
      <c r="B131" s="9"/>
      <c r="C131" s="8"/>
      <c r="D131" s="7"/>
    </row>
    <row r="132" spans="2:6" ht="15.75" thickBot="1">
      <c r="B132" s="6"/>
      <c r="C132" s="5"/>
    </row>
    <row r="133" spans="2:6">
      <c r="B133" s="226" t="s">
        <v>45</v>
      </c>
      <c r="C133" s="227" t="s">
        <v>4</v>
      </c>
      <c r="D133" s="227" t="s">
        <v>6</v>
      </c>
      <c r="E133" s="106"/>
    </row>
    <row r="134" spans="2:6">
      <c r="B134" s="3">
        <v>2026</v>
      </c>
      <c r="C134" s="230">
        <f>D134/$K111</f>
        <v>42880.000000000007</v>
      </c>
      <c r="D134" s="212">
        <v>500</v>
      </c>
    </row>
    <row r="135" spans="2:6">
      <c r="B135" s="3">
        <v>2027</v>
      </c>
      <c r="C135" s="230">
        <f>D135/$K111</f>
        <v>77184</v>
      </c>
      <c r="D135" s="212">
        <f>500+400</f>
        <v>900</v>
      </c>
    </row>
    <row r="136" spans="2:6">
      <c r="B136" s="3">
        <v>2028</v>
      </c>
      <c r="C136" s="230">
        <f>D136/$K111</f>
        <v>66549.760000000009</v>
      </c>
      <c r="D136" s="212">
        <f>276+500</f>
        <v>776</v>
      </c>
    </row>
    <row r="137" spans="2:6" ht="15.75" thickBot="1">
      <c r="B137" s="3">
        <v>2031</v>
      </c>
      <c r="C137" s="230">
        <f>D137/$K111</f>
        <v>38506.240000000005</v>
      </c>
      <c r="D137" s="212">
        <v>449</v>
      </c>
    </row>
    <row r="138" spans="2:6" ht="15.75" thickBot="1">
      <c r="B138" s="213" t="s">
        <v>27</v>
      </c>
      <c r="C138" s="214">
        <f>SUM(C134:C137)</f>
        <v>225120</v>
      </c>
      <c r="D138" s="214">
        <f>SUM(D134:D137)</f>
        <v>2625</v>
      </c>
    </row>
    <row r="139" spans="2:6">
      <c r="B139" s="215"/>
      <c r="C139" s="232"/>
      <c r="D139" s="216"/>
    </row>
    <row r="140" spans="2:6" ht="15.75" thickBot="1">
      <c r="B140" s="6"/>
      <c r="C140" s="5"/>
    </row>
    <row r="141" spans="2:6">
      <c r="B141" s="226" t="s">
        <v>46</v>
      </c>
      <c r="C141" s="228" t="s">
        <v>4</v>
      </c>
      <c r="D141" s="225" t="s">
        <v>6</v>
      </c>
    </row>
    <row r="142" spans="2:6">
      <c r="B142" s="107" t="s">
        <v>20</v>
      </c>
      <c r="C142" s="147">
        <f>Model!AB$121</f>
        <v>49980</v>
      </c>
      <c r="D142" s="142">
        <f>C142*$K111</f>
        <v>582.78917910447751</v>
      </c>
    </row>
    <row r="143" spans="2:6">
      <c r="B143" s="107" t="s">
        <v>21</v>
      </c>
      <c r="C143" s="147">
        <f>Model!AB$122</f>
        <v>4660</v>
      </c>
      <c r="D143" s="142">
        <f>C143*$K111</f>
        <v>54.337686567164177</v>
      </c>
    </row>
    <row r="144" spans="2:6">
      <c r="B144" s="107" t="s">
        <v>47</v>
      </c>
      <c r="C144" s="140">
        <v>0</v>
      </c>
      <c r="D144" s="143">
        <f>C144*$K111</f>
        <v>0</v>
      </c>
    </row>
    <row r="145" spans="1:11" ht="15.75" thickBot="1">
      <c r="B145" s="2" t="s">
        <v>48</v>
      </c>
      <c r="C145" s="144">
        <f>SUM(C142:C144)</f>
        <v>54640</v>
      </c>
      <c r="D145" s="145">
        <f>SUM(D142:D144)</f>
        <v>637.12686567164167</v>
      </c>
    </row>
    <row r="148" spans="1:11">
      <c r="A148" s="20" t="s">
        <v>49</v>
      </c>
      <c r="J148" s="6" t="s">
        <v>50</v>
      </c>
      <c r="K148" s="113">
        <f>Model!$AA$207</f>
        <v>1.17E-2</v>
      </c>
    </row>
    <row r="149" spans="1:11">
      <c r="J149" s="6" t="s">
        <v>51</v>
      </c>
      <c r="K149" s="113">
        <f>Model!$AA$208</f>
        <v>1.183652656530307E-2</v>
      </c>
    </row>
    <row r="150" spans="1:11" ht="15.75" thickBot="1">
      <c r="J150" s="6"/>
      <c r="K150" s="113"/>
    </row>
    <row r="151" spans="1:11">
      <c r="B151" s="221" t="s">
        <v>52</v>
      </c>
      <c r="C151" s="222" t="s">
        <v>4</v>
      </c>
      <c r="D151" s="223" t="s">
        <v>5</v>
      </c>
      <c r="E151" s="224" t="s">
        <v>6</v>
      </c>
      <c r="F151" s="225" t="s">
        <v>5</v>
      </c>
      <c r="J151" s="219" t="s">
        <v>7</v>
      </c>
      <c r="K151" s="220" t="s">
        <v>4</v>
      </c>
    </row>
    <row r="152" spans="1:11">
      <c r="B152" s="120" t="s">
        <v>8</v>
      </c>
      <c r="C152" s="17">
        <f>SUM(C153:C156)</f>
        <v>340870</v>
      </c>
      <c r="D152" s="19"/>
      <c r="E152" s="17">
        <f>SUM(E153:E156)</f>
        <v>3988.1790000000005</v>
      </c>
      <c r="F152" s="122"/>
      <c r="J152" s="217" t="s">
        <v>9</v>
      </c>
      <c r="K152" s="171">
        <v>237100</v>
      </c>
    </row>
    <row r="153" spans="1:11">
      <c r="B153" s="3" t="s">
        <v>10</v>
      </c>
      <c r="C153" s="18">
        <v>54510</v>
      </c>
      <c r="D153" s="19"/>
      <c r="E153" s="123">
        <f>C153*$K148</f>
        <v>637.76700000000005</v>
      </c>
      <c r="F153" s="122"/>
      <c r="J153" s="217" t="s">
        <v>11</v>
      </c>
      <c r="K153" s="171">
        <v>98600</v>
      </c>
    </row>
    <row r="154" spans="1:11">
      <c r="B154" s="3" t="s">
        <v>12</v>
      </c>
      <c r="C154" s="18">
        <v>182630</v>
      </c>
      <c r="D154" s="19"/>
      <c r="E154" s="123">
        <f>C154*$K148</f>
        <v>2136.7710000000002</v>
      </c>
      <c r="F154" s="122"/>
      <c r="J154" s="217" t="s">
        <v>13</v>
      </c>
      <c r="K154" s="171">
        <v>138600</v>
      </c>
    </row>
    <row r="155" spans="1:11" ht="15.75" thickBot="1">
      <c r="B155" s="3" t="s">
        <v>14</v>
      </c>
      <c r="C155" s="211">
        <f>Model!$AA$119</f>
        <v>88800</v>
      </c>
      <c r="D155" s="19"/>
      <c r="E155" s="123">
        <f>C155*$K148</f>
        <v>1038.96</v>
      </c>
      <c r="F155" s="122"/>
      <c r="J155" s="218" t="s">
        <v>15</v>
      </c>
      <c r="K155" s="229" t="s">
        <v>53</v>
      </c>
    </row>
    <row r="156" spans="1:11">
      <c r="B156" s="3" t="s">
        <v>17</v>
      </c>
      <c r="C156" s="211">
        <f>Model!$AA$126/2</f>
        <v>14930</v>
      </c>
      <c r="D156" s="19"/>
      <c r="E156" s="123">
        <f>C156*$K148</f>
        <v>174.68100000000001</v>
      </c>
      <c r="F156" s="122"/>
    </row>
    <row r="157" spans="1:11">
      <c r="B157" s="120" t="s">
        <v>18</v>
      </c>
      <c r="C157" s="17">
        <f>SUM(C158:C159)</f>
        <v>13850</v>
      </c>
      <c r="E157" s="17">
        <f>SUM(E158:E159)</f>
        <v>162.04500000000002</v>
      </c>
      <c r="F157" s="122"/>
    </row>
    <row r="158" spans="1:11">
      <c r="B158" s="3" t="s">
        <v>10</v>
      </c>
      <c r="C158" s="18">
        <v>3920</v>
      </c>
      <c r="E158" s="123">
        <f>C158*$K148</f>
        <v>45.864000000000004</v>
      </c>
      <c r="F158" s="122"/>
    </row>
    <row r="159" spans="1:11">
      <c r="B159" s="3" t="s">
        <v>12</v>
      </c>
      <c r="C159" s="18">
        <v>9930</v>
      </c>
      <c r="E159" s="123">
        <f>C159*$K148</f>
        <v>116.181</v>
      </c>
      <c r="F159" s="122"/>
    </row>
    <row r="160" spans="1:11">
      <c r="B160" s="124" t="s">
        <v>19</v>
      </c>
      <c r="C160" s="15">
        <f>C157+C152</f>
        <v>354720</v>
      </c>
      <c r="D160" s="14">
        <f>C160/C166</f>
        <v>4.3684729064039409</v>
      </c>
      <c r="E160" s="15">
        <f>E157+E152</f>
        <v>4150.2240000000002</v>
      </c>
      <c r="F160" s="125">
        <f>E160/E166</f>
        <v>4.3684729064039409</v>
      </c>
    </row>
    <row r="161" spans="2:6">
      <c r="B161" s="126" t="s">
        <v>20</v>
      </c>
      <c r="C161" s="127">
        <f>Model!$AA$121</f>
        <v>95370</v>
      </c>
      <c r="D161" s="128"/>
      <c r="E161" s="123">
        <f>C161*$K148</f>
        <v>1115.829</v>
      </c>
      <c r="F161" s="122"/>
    </row>
    <row r="162" spans="2:6">
      <c r="B162" s="129" t="s">
        <v>21</v>
      </c>
      <c r="C162" s="127">
        <f>Model!$AA$122</f>
        <v>3200</v>
      </c>
      <c r="D162" s="128"/>
      <c r="E162" s="123">
        <f>C162*$K148</f>
        <v>37.44</v>
      </c>
      <c r="F162" s="122"/>
    </row>
    <row r="163" spans="2:6">
      <c r="B163" s="124" t="s">
        <v>13</v>
      </c>
      <c r="C163" s="15">
        <f>C160-C161-C162</f>
        <v>256150</v>
      </c>
      <c r="D163" s="14">
        <f>C163/C166</f>
        <v>3.1545566502463056</v>
      </c>
      <c r="E163" s="15">
        <f>E160-E161-E162</f>
        <v>2996.9550000000004</v>
      </c>
      <c r="F163" s="125">
        <f>E163/E166</f>
        <v>3.1545566502463056</v>
      </c>
    </row>
    <row r="164" spans="2:6">
      <c r="B164" s="130" t="s">
        <v>22</v>
      </c>
      <c r="C164" s="13">
        <f>Model!$AA$127</f>
        <v>262270</v>
      </c>
      <c r="D164" s="12"/>
      <c r="E164" s="121">
        <f>C164*$K148</f>
        <v>3068.5590000000002</v>
      </c>
      <c r="F164" s="122"/>
    </row>
    <row r="165" spans="2:6">
      <c r="B165" s="130" t="s">
        <v>23</v>
      </c>
      <c r="C165" s="13">
        <f>C163+C164</f>
        <v>518420</v>
      </c>
      <c r="D165" s="12"/>
      <c r="E165" s="121">
        <f>C165*$K148</f>
        <v>6065.5140000000001</v>
      </c>
      <c r="F165" s="122"/>
    </row>
    <row r="166" spans="2:6" ht="15.75" thickBot="1">
      <c r="B166" s="131" t="s">
        <v>24</v>
      </c>
      <c r="C166" s="132">
        <f>Model!$AA$85</f>
        <v>81200</v>
      </c>
      <c r="D166" s="133"/>
      <c r="E166" s="134">
        <f>C166*$K148</f>
        <v>950.04000000000008</v>
      </c>
      <c r="F166" s="135"/>
    </row>
    <row r="167" spans="2:6">
      <c r="B167" s="9" t="s">
        <v>25</v>
      </c>
      <c r="C167" s="8">
        <f>+C160-Model!$AA$120</f>
        <v>0</v>
      </c>
      <c r="D167" s="7"/>
    </row>
    <row r="168" spans="2:6">
      <c r="B168" s="9"/>
      <c r="C168" s="8"/>
      <c r="D168" s="7"/>
    </row>
    <row r="169" spans="2:6" ht="15.75" thickBot="1">
      <c r="B169" s="6"/>
      <c r="C169" s="5"/>
    </row>
    <row r="170" spans="2:6">
      <c r="B170" s="226" t="s">
        <v>54</v>
      </c>
      <c r="C170" s="227" t="s">
        <v>4</v>
      </c>
      <c r="D170" s="227" t="s">
        <v>6</v>
      </c>
      <c r="E170" s="106"/>
    </row>
    <row r="171" spans="2:6">
      <c r="B171" s="3">
        <v>2026</v>
      </c>
      <c r="C171" s="230">
        <f>D171/$K148</f>
        <v>42735.042735042734</v>
      </c>
      <c r="D171" s="212">
        <v>500</v>
      </c>
    </row>
    <row r="172" spans="2:6">
      <c r="B172" s="3">
        <v>2027</v>
      </c>
      <c r="C172" s="230">
        <f>D172/$K148</f>
        <v>76923.076923076922</v>
      </c>
      <c r="D172" s="212">
        <f>500+400</f>
        <v>900</v>
      </c>
    </row>
    <row r="173" spans="2:6">
      <c r="B173" s="3">
        <v>2028</v>
      </c>
      <c r="C173" s="230">
        <f>D173/$K148</f>
        <v>66324.786324786328</v>
      </c>
      <c r="D173" s="212">
        <f>276+500</f>
        <v>776</v>
      </c>
    </row>
    <row r="174" spans="2:6" ht="15.75" thickBot="1">
      <c r="B174" s="3">
        <v>2031</v>
      </c>
      <c r="C174" s="230">
        <f>D174/$K148</f>
        <v>38376.068376068375</v>
      </c>
      <c r="D174" s="212">
        <v>449</v>
      </c>
    </row>
    <row r="175" spans="2:6" ht="15.75" thickBot="1">
      <c r="B175" s="213" t="s">
        <v>27</v>
      </c>
      <c r="C175" s="214">
        <f>SUM(C171:C174)</f>
        <v>224358.97435897437</v>
      </c>
      <c r="D175" s="214">
        <f>SUM(D171:D174)</f>
        <v>2625</v>
      </c>
    </row>
    <row r="176" spans="2:6">
      <c r="B176" s="215"/>
      <c r="C176" s="232"/>
      <c r="D176" s="216"/>
    </row>
    <row r="177" spans="1:11" ht="15.75" thickBot="1">
      <c r="B177" s="6"/>
      <c r="C177" s="5"/>
    </row>
    <row r="178" spans="1:11">
      <c r="B178" s="226" t="s">
        <v>55</v>
      </c>
      <c r="C178" s="228" t="s">
        <v>4</v>
      </c>
      <c r="D178" s="225" t="s">
        <v>6</v>
      </c>
    </row>
    <row r="179" spans="1:11">
      <c r="B179" s="107" t="s">
        <v>20</v>
      </c>
      <c r="C179" s="147">
        <v>94780</v>
      </c>
      <c r="D179" s="142">
        <f>C179*$K148</f>
        <v>1108.9259999999999</v>
      </c>
    </row>
    <row r="180" spans="1:11">
      <c r="B180" s="107" t="s">
        <v>21</v>
      </c>
      <c r="C180" s="147">
        <v>3200</v>
      </c>
      <c r="D180" s="142">
        <f>C180*$K148</f>
        <v>37.44</v>
      </c>
    </row>
    <row r="181" spans="1:11">
      <c r="B181" s="107" t="s">
        <v>47</v>
      </c>
      <c r="C181" s="140">
        <v>0</v>
      </c>
      <c r="D181" s="143">
        <f>C181*$K148</f>
        <v>0</v>
      </c>
    </row>
    <row r="182" spans="1:11" ht="15.75" thickBot="1">
      <c r="B182" s="2" t="s">
        <v>48</v>
      </c>
      <c r="C182" s="144">
        <f>SUM(C179:C181)</f>
        <v>97980</v>
      </c>
      <c r="D182" s="145">
        <f>SUM(D179:D181)</f>
        <v>1146.366</v>
      </c>
    </row>
    <row r="185" spans="1:11">
      <c r="A185" s="20" t="s">
        <v>56</v>
      </c>
      <c r="J185" s="6" t="s">
        <v>57</v>
      </c>
      <c r="K185" s="113">
        <f>Model!$Z$207</f>
        <v>1.1688524206933632E-2</v>
      </c>
    </row>
    <row r="186" spans="1:11" ht="15.75" thickBot="1">
      <c r="J186" s="6" t="s">
        <v>58</v>
      </c>
      <c r="K186" s="113">
        <f>Model!$Z$206</f>
        <v>1.1842027355083192E-2</v>
      </c>
    </row>
    <row r="187" spans="1:11">
      <c r="B187" s="115" t="s">
        <v>59</v>
      </c>
      <c r="C187" s="116" t="s">
        <v>4</v>
      </c>
      <c r="D187" s="117" t="s">
        <v>5</v>
      </c>
      <c r="E187" s="118" t="s">
        <v>6</v>
      </c>
      <c r="F187" s="119" t="s">
        <v>5</v>
      </c>
    </row>
    <row r="188" spans="1:11">
      <c r="B188" s="120" t="s">
        <v>9</v>
      </c>
      <c r="C188" s="17">
        <f>Model!Z120</f>
        <v>346799</v>
      </c>
      <c r="D188" s="19"/>
      <c r="E188" s="121">
        <f>C188*$K$185</f>
        <v>4053.5685064403765</v>
      </c>
      <c r="F188" s="122"/>
    </row>
    <row r="189" spans="1:11">
      <c r="B189" s="3"/>
      <c r="C189" s="18"/>
      <c r="D189" s="19"/>
      <c r="E189" s="123"/>
      <c r="F189" s="122"/>
    </row>
    <row r="190" spans="1:11">
      <c r="B190" s="124" t="s">
        <v>19</v>
      </c>
      <c r="C190" s="15">
        <f>C188</f>
        <v>346799</v>
      </c>
      <c r="D190" s="14">
        <f>C190/C196</f>
        <v>5.0872671263018923</v>
      </c>
      <c r="E190" s="114">
        <f t="shared" ref="E190:E195" si="3">C190*$K$185</f>
        <v>4053.5685064403765</v>
      </c>
      <c r="F190" s="125">
        <f>E190/E196</f>
        <v>5.0213230530491062</v>
      </c>
    </row>
    <row r="191" spans="1:11">
      <c r="B191" s="126" t="s">
        <v>20</v>
      </c>
      <c r="C191" s="127">
        <f>Model!Z121</f>
        <v>40980</v>
      </c>
      <c r="D191" s="128"/>
      <c r="E191" s="123">
        <f t="shared" si="3"/>
        <v>478.99572200014023</v>
      </c>
      <c r="F191" s="122"/>
    </row>
    <row r="192" spans="1:11">
      <c r="B192" s="129" t="s">
        <v>21</v>
      </c>
      <c r="C192" s="127">
        <f>Model!Z122</f>
        <v>2760</v>
      </c>
      <c r="D192" s="128"/>
      <c r="E192" s="123">
        <f t="shared" si="3"/>
        <v>32.260326811136828</v>
      </c>
      <c r="F192" s="122"/>
    </row>
    <row r="193" spans="1:11">
      <c r="B193" s="124" t="s">
        <v>13</v>
      </c>
      <c r="C193" s="15">
        <f>C190-C191-C192</f>
        <v>303059</v>
      </c>
      <c r="D193" s="14">
        <f>C193/C196</f>
        <v>4.4456359102244392</v>
      </c>
      <c r="E193" s="114">
        <f t="shared" si="3"/>
        <v>3542.3124576290998</v>
      </c>
      <c r="F193" s="125">
        <f>E193/E196</f>
        <v>4.3880090286708127</v>
      </c>
    </row>
    <row r="194" spans="1:11">
      <c r="B194" s="130" t="s">
        <v>22</v>
      </c>
      <c r="C194" s="13">
        <f>C220</f>
        <v>282731.15941248619</v>
      </c>
      <c r="D194" s="12"/>
      <c r="E194" s="121">
        <f t="shared" si="3"/>
        <v>3304.7100008472567</v>
      </c>
      <c r="F194" s="122"/>
    </row>
    <row r="195" spans="1:11">
      <c r="B195" s="130" t="s">
        <v>23</v>
      </c>
      <c r="C195" s="13">
        <f>C193+C194</f>
        <v>585790.15941248625</v>
      </c>
      <c r="D195" s="12"/>
      <c r="E195" s="121">
        <f t="shared" si="3"/>
        <v>6847.0224584763564</v>
      </c>
      <c r="F195" s="122"/>
    </row>
    <row r="196" spans="1:11" ht="15.75" thickBot="1">
      <c r="B196" s="131" t="s">
        <v>24</v>
      </c>
      <c r="C196" s="132">
        <f>Model!$Z$85</f>
        <v>68170</v>
      </c>
      <c r="D196" s="133"/>
      <c r="E196" s="134">
        <f>C196*$K$186</f>
        <v>807.2710047960212</v>
      </c>
      <c r="F196" s="135"/>
    </row>
    <row r="197" spans="1:11">
      <c r="B197" s="9" t="s">
        <v>25</v>
      </c>
      <c r="C197" s="8">
        <f>+C190-Model!$Z$120</f>
        <v>0</v>
      </c>
      <c r="D197" s="7"/>
    </row>
    <row r="198" spans="1:11">
      <c r="B198" s="9"/>
      <c r="C198" s="8"/>
      <c r="D198" s="7"/>
    </row>
    <row r="199" spans="1:11" ht="15.75" thickBot="1">
      <c r="B199" s="6"/>
      <c r="C199" s="5"/>
    </row>
    <row r="200" spans="1:11">
      <c r="B200" s="4" t="s">
        <v>60</v>
      </c>
      <c r="C200" s="141" t="s">
        <v>4</v>
      </c>
      <c r="D200" s="119" t="s">
        <v>6</v>
      </c>
    </row>
    <row r="201" spans="1:11">
      <c r="B201" s="107" t="s">
        <v>20</v>
      </c>
      <c r="C201" s="140">
        <f>C191</f>
        <v>40980</v>
      </c>
      <c r="D201" s="142">
        <f>C201*$K$185</f>
        <v>478.99572200014023</v>
      </c>
    </row>
    <row r="202" spans="1:11">
      <c r="B202" s="107" t="s">
        <v>21</v>
      </c>
      <c r="C202" s="140">
        <f>C192</f>
        <v>2760</v>
      </c>
      <c r="D202" s="142">
        <f>C202*$K$185</f>
        <v>32.260326811136828</v>
      </c>
    </row>
    <row r="203" spans="1:11" ht="15.75" thickBot="1">
      <c r="B203" s="2" t="s">
        <v>48</v>
      </c>
      <c r="C203" s="144">
        <f>SUM(C201:C202)</f>
        <v>43740</v>
      </c>
      <c r="D203" s="145">
        <f>SUM(D201:D202)</f>
        <v>511.25604881127708</v>
      </c>
    </row>
    <row r="204" spans="1:11">
      <c r="B204" s="6"/>
      <c r="C204" s="5"/>
      <c r="D204" s="5"/>
    </row>
    <row r="205" spans="1:11">
      <c r="A205" s="20" t="s">
        <v>61</v>
      </c>
      <c r="J205" s="6" t="s">
        <v>57</v>
      </c>
      <c r="K205" s="113">
        <f>Model!$Y$207</f>
        <v>1.1939585696376336E-2</v>
      </c>
    </row>
    <row r="206" spans="1:11" ht="15.75" thickBot="1">
      <c r="J206" s="6" t="s">
        <v>58</v>
      </c>
      <c r="K206" s="113">
        <f>Model!$Y$206</f>
        <v>1.1965715620702859E-2</v>
      </c>
    </row>
    <row r="207" spans="1:11">
      <c r="B207" s="115" t="s">
        <v>62</v>
      </c>
      <c r="C207" s="116" t="s">
        <v>4</v>
      </c>
      <c r="D207" s="117" t="s">
        <v>5</v>
      </c>
      <c r="E207" s="118" t="s">
        <v>6</v>
      </c>
      <c r="F207" s="119" t="s">
        <v>5</v>
      </c>
    </row>
    <row r="208" spans="1:11">
      <c r="B208" s="120" t="s">
        <v>8</v>
      </c>
      <c r="C208" s="17">
        <f>SUM(C209:C212)</f>
        <v>394642.42029375694</v>
      </c>
      <c r="D208" s="19"/>
      <c r="E208" s="121">
        <f t="shared" ref="E208:E221" si="4">C208*$K$205</f>
        <v>4711.8669965226782</v>
      </c>
      <c r="F208" s="122"/>
    </row>
    <row r="209" spans="2:6">
      <c r="B209" s="3" t="s">
        <v>10</v>
      </c>
      <c r="C209" s="18">
        <v>97890</v>
      </c>
      <c r="D209" s="19"/>
      <c r="E209" s="123">
        <f t="shared" si="4"/>
        <v>1168.7660438182795</v>
      </c>
      <c r="F209" s="122"/>
    </row>
    <row r="210" spans="2:6">
      <c r="B210" s="3" t="s">
        <v>12</v>
      </c>
      <c r="C210" s="18">
        <v>220540</v>
      </c>
      <c r="D210" s="19"/>
      <c r="E210" s="123">
        <f t="shared" si="4"/>
        <v>2633.1562294788373</v>
      </c>
      <c r="F210" s="122"/>
    </row>
    <row r="211" spans="2:6">
      <c r="B211" s="3" t="s">
        <v>14</v>
      </c>
      <c r="C211" s="18">
        <f>Model!Y119</f>
        <v>59498</v>
      </c>
      <c r="D211" s="19"/>
      <c r="E211" s="123">
        <f t="shared" si="4"/>
        <v>710.38146976299925</v>
      </c>
      <c r="F211" s="122"/>
    </row>
    <row r="212" spans="2:6">
      <c r="B212" s="3" t="s">
        <v>17</v>
      </c>
      <c r="C212" s="18">
        <f>Model!Y126/2</f>
        <v>16714.420293756917</v>
      </c>
      <c r="D212" s="19"/>
      <c r="E212" s="123"/>
      <c r="F212" s="122"/>
    </row>
    <row r="213" spans="2:6">
      <c r="B213" s="120" t="s">
        <v>18</v>
      </c>
      <c r="C213" s="17">
        <f>SUM(C214:C215)</f>
        <v>13740</v>
      </c>
      <c r="E213" s="121">
        <f t="shared" si="4"/>
        <v>164.04990746821085</v>
      </c>
      <c r="F213" s="122"/>
    </row>
    <row r="214" spans="2:6">
      <c r="B214" s="3" t="s">
        <v>10</v>
      </c>
      <c r="C214" s="18">
        <v>3920</v>
      </c>
      <c r="E214" s="123">
        <f t="shared" si="4"/>
        <v>46.803175929795238</v>
      </c>
      <c r="F214" s="122"/>
    </row>
    <row r="215" spans="2:6">
      <c r="B215" s="3" t="s">
        <v>12</v>
      </c>
      <c r="C215" s="18">
        <v>9820</v>
      </c>
      <c r="E215" s="123">
        <f t="shared" si="4"/>
        <v>117.24673153841562</v>
      </c>
      <c r="F215" s="122"/>
    </row>
    <row r="216" spans="2:6">
      <c r="B216" s="124" t="s">
        <v>19</v>
      </c>
      <c r="C216" s="15">
        <f>C213+C208</f>
        <v>408382.42029375694</v>
      </c>
      <c r="D216" s="14">
        <f>C216/C222</f>
        <v>8.0548800846894864</v>
      </c>
      <c r="E216" s="114">
        <f t="shared" si="4"/>
        <v>4875.9169039908893</v>
      </c>
      <c r="F216" s="125">
        <f>E216/E222</f>
        <v>8.0372903797571702</v>
      </c>
    </row>
    <row r="217" spans="2:6">
      <c r="B217" s="126" t="s">
        <v>20</v>
      </c>
      <c r="C217" s="127">
        <f>Model!$Y$121</f>
        <v>39100</v>
      </c>
      <c r="D217" s="128"/>
      <c r="E217" s="123">
        <f t="shared" si="4"/>
        <v>466.83780072831473</v>
      </c>
      <c r="F217" s="122"/>
    </row>
    <row r="218" spans="2:6">
      <c r="B218" s="129" t="s">
        <v>21</v>
      </c>
      <c r="C218" s="127">
        <f>Model!$Y$122</f>
        <v>4030</v>
      </c>
      <c r="D218" s="128"/>
      <c r="E218" s="123">
        <f t="shared" si="4"/>
        <v>48.11653035639663</v>
      </c>
      <c r="F218" s="122"/>
    </row>
    <row r="219" spans="2:6">
      <c r="B219" s="124" t="s">
        <v>13</v>
      </c>
      <c r="C219" s="15">
        <f>C216-C217-C218</f>
        <v>365252.42029375694</v>
      </c>
      <c r="D219" s="14">
        <f>C219/C222</f>
        <v>7.2041897493837661</v>
      </c>
      <c r="E219" s="114">
        <f t="shared" si="4"/>
        <v>4360.9625729061781</v>
      </c>
      <c r="F219" s="125">
        <f>E219/E222</f>
        <v>7.1884577247433334</v>
      </c>
    </row>
    <row r="220" spans="2:6">
      <c r="B220" s="130" t="s">
        <v>22</v>
      </c>
      <c r="C220" s="13">
        <f>Model!$Y$127</f>
        <v>282731.15941248619</v>
      </c>
      <c r="D220" s="12"/>
      <c r="E220" s="121">
        <f t="shared" si="4"/>
        <v>3375.6929068412178</v>
      </c>
      <c r="F220" s="122"/>
    </row>
    <row r="221" spans="2:6">
      <c r="B221" s="130" t="s">
        <v>23</v>
      </c>
      <c r="C221" s="13">
        <f>C219+C220</f>
        <v>647983.57970624312</v>
      </c>
      <c r="D221" s="12"/>
      <c r="E221" s="121">
        <f t="shared" si="4"/>
        <v>7736.6554797473955</v>
      </c>
      <c r="F221" s="122"/>
    </row>
    <row r="222" spans="2:6" ht="15.75" thickBot="1">
      <c r="B222" s="131" t="s">
        <v>24</v>
      </c>
      <c r="C222" s="132">
        <f>Model!$Y$85</f>
        <v>50700</v>
      </c>
      <c r="D222" s="133"/>
      <c r="E222" s="134">
        <f>C222*$K$206</f>
        <v>606.66178196963494</v>
      </c>
      <c r="F222" s="135"/>
    </row>
    <row r="223" spans="2:6">
      <c r="B223" s="9" t="s">
        <v>25</v>
      </c>
      <c r="C223" s="8">
        <f>+C216-Model!$Y$120</f>
        <v>0</v>
      </c>
      <c r="D223" s="7"/>
    </row>
    <row r="224" spans="2:6">
      <c r="B224" s="9"/>
      <c r="C224" s="8"/>
      <c r="D224" s="7"/>
    </row>
    <row r="225" spans="1:11" ht="15.75" thickBot="1">
      <c r="B225" s="6"/>
      <c r="C225" s="5"/>
    </row>
    <row r="226" spans="1:11">
      <c r="B226" s="4" t="s">
        <v>63</v>
      </c>
      <c r="C226" s="136" t="s">
        <v>4</v>
      </c>
      <c r="D226" s="106"/>
      <c r="E226" s="106"/>
    </row>
    <row r="227" spans="1:11">
      <c r="B227" s="3">
        <v>2025</v>
      </c>
      <c r="C227" s="155">
        <v>21095.27</v>
      </c>
    </row>
    <row r="228" spans="1:11">
      <c r="B228" s="3">
        <v>2026</v>
      </c>
      <c r="C228" s="155">
        <v>90709.64</v>
      </c>
    </row>
    <row r="229" spans="1:11">
      <c r="B229" s="107" t="s">
        <v>64</v>
      </c>
      <c r="C229" s="155">
        <v>42190.53</v>
      </c>
    </row>
    <row r="230" spans="1:11" ht="15.75" thickBot="1">
      <c r="B230" s="203" t="s">
        <v>27</v>
      </c>
      <c r="C230" s="156">
        <f>SUM(C227:C229)</f>
        <v>153995.44</v>
      </c>
    </row>
    <row r="231" spans="1:11">
      <c r="C231" s="8"/>
    </row>
    <row r="232" spans="1:11" ht="15.75" thickBot="1">
      <c r="B232" s="6"/>
      <c r="C232" s="5"/>
    </row>
    <row r="233" spans="1:11">
      <c r="B233" s="4" t="s">
        <v>65</v>
      </c>
      <c r="C233" s="141" t="s">
        <v>4</v>
      </c>
      <c r="D233" s="119" t="s">
        <v>6</v>
      </c>
    </row>
    <row r="234" spans="1:11">
      <c r="B234" s="107" t="s">
        <v>20</v>
      </c>
      <c r="C234" s="140">
        <f>38740+360</f>
        <v>39100</v>
      </c>
      <c r="D234" s="142">
        <f>C234*$K$205</f>
        <v>466.83780072831473</v>
      </c>
    </row>
    <row r="235" spans="1:11">
      <c r="B235" s="107" t="s">
        <v>21</v>
      </c>
      <c r="C235" s="140">
        <v>4030</v>
      </c>
      <c r="D235" s="142">
        <f>C235*$K$205</f>
        <v>48.11653035639663</v>
      </c>
    </row>
    <row r="236" spans="1:11">
      <c r="B236" s="107" t="s">
        <v>47</v>
      </c>
      <c r="C236" s="140">
        <v>0</v>
      </c>
      <c r="D236" s="143">
        <f>C236*$K$284</f>
        <v>0</v>
      </c>
    </row>
    <row r="237" spans="1:11" ht="15.75" thickBot="1">
      <c r="B237" s="2" t="s">
        <v>48</v>
      </c>
      <c r="C237" s="144">
        <f>SUM(C234:C236)</f>
        <v>43130</v>
      </c>
      <c r="D237" s="145">
        <f>SUM(D234:D236)</f>
        <v>514.95433108471138</v>
      </c>
    </row>
    <row r="238" spans="1:11">
      <c r="B238" s="6"/>
      <c r="C238" s="5"/>
      <c r="D238" s="5"/>
    </row>
    <row r="239" spans="1:11">
      <c r="A239" s="20" t="s">
        <v>66</v>
      </c>
      <c r="J239" s="6" t="s">
        <v>67</v>
      </c>
      <c r="K239" s="113">
        <f>Model!$X$207</f>
        <v>1.199184554502938E-2</v>
      </c>
    </row>
    <row r="240" spans="1:11" ht="15.75" thickBot="1">
      <c r="J240" s="6" t="s">
        <v>68</v>
      </c>
      <c r="K240" s="113">
        <f>Model!$X$206</f>
        <v>1.1992363285426227E-2</v>
      </c>
    </row>
    <row r="241" spans="1:11">
      <c r="B241" s="115" t="s">
        <v>69</v>
      </c>
      <c r="C241" s="116" t="s">
        <v>4</v>
      </c>
      <c r="D241" s="117" t="s">
        <v>5</v>
      </c>
      <c r="E241" s="118" t="s">
        <v>6</v>
      </c>
      <c r="F241" s="119" t="s">
        <v>5</v>
      </c>
    </row>
    <row r="242" spans="1:11">
      <c r="B242" s="3" t="s">
        <v>70</v>
      </c>
      <c r="C242" s="18">
        <v>316450</v>
      </c>
      <c r="D242" s="19"/>
      <c r="E242" s="18">
        <v>3795</v>
      </c>
      <c r="F242" s="122"/>
    </row>
    <row r="243" spans="1:11">
      <c r="B243" s="124" t="s">
        <v>19</v>
      </c>
      <c r="C243" s="15">
        <f>SUM(C242)</f>
        <v>316450</v>
      </c>
      <c r="D243" s="14">
        <f>C243/C246</f>
        <v>6.2453128083678706</v>
      </c>
      <c r="E243" s="15">
        <f>SUM(E242)</f>
        <v>3795</v>
      </c>
      <c r="F243" s="125">
        <f>E243/E246</f>
        <v>6.1519893428063934</v>
      </c>
    </row>
    <row r="244" spans="1:11">
      <c r="B244" s="126" t="s">
        <v>20</v>
      </c>
      <c r="C244" s="127">
        <f>Model!X121+Model!X122</f>
        <v>41450</v>
      </c>
      <c r="D244" s="128"/>
      <c r="E244" s="18">
        <v>474</v>
      </c>
      <c r="F244" s="122"/>
    </row>
    <row r="245" spans="1:11">
      <c r="B245" s="124" t="s">
        <v>71</v>
      </c>
      <c r="C245" s="15">
        <f>C243-C244</f>
        <v>275000</v>
      </c>
      <c r="D245" s="14">
        <f>C245/C246</f>
        <v>5.4272745214130653</v>
      </c>
      <c r="E245" s="15">
        <f>E243-E244</f>
        <v>3321</v>
      </c>
      <c r="F245" s="125">
        <f>E245/E246</f>
        <v>5.3835985790408518</v>
      </c>
    </row>
    <row r="246" spans="1:11" ht="15.75" thickBot="1">
      <c r="B246" s="131" t="s">
        <v>24</v>
      </c>
      <c r="C246" s="132">
        <f>Model!$X$85</f>
        <v>50670</v>
      </c>
      <c r="D246" s="133"/>
      <c r="E246" s="154">
        <f>C246*$K$318</f>
        <v>616.87363038714398</v>
      </c>
      <c r="F246" s="135"/>
    </row>
    <row r="247" spans="1:11">
      <c r="B247" s="9" t="s">
        <v>25</v>
      </c>
      <c r="C247" s="8">
        <f>+C242-Model!$X$120</f>
        <v>0</v>
      </c>
      <c r="D247" s="7"/>
    </row>
    <row r="250" spans="1:11">
      <c r="A250" s="20" t="s">
        <v>72</v>
      </c>
      <c r="J250" s="6" t="s">
        <v>73</v>
      </c>
      <c r="K250" s="113">
        <f>Model!$W$207</f>
        <v>1.1992881025823071E-2</v>
      </c>
    </row>
    <row r="251" spans="1:11" ht="15.75" thickBot="1">
      <c r="J251" s="6" t="s">
        <v>74</v>
      </c>
      <c r="K251" s="113">
        <f>Model!$W$206</f>
        <v>1.2041098678007775E-2</v>
      </c>
    </row>
    <row r="252" spans="1:11">
      <c r="B252" s="115" t="s">
        <v>75</v>
      </c>
      <c r="C252" s="116" t="s">
        <v>4</v>
      </c>
      <c r="D252" s="117" t="s">
        <v>5</v>
      </c>
      <c r="E252" s="118" t="s">
        <v>6</v>
      </c>
      <c r="F252" s="119" t="s">
        <v>5</v>
      </c>
    </row>
    <row r="253" spans="1:11">
      <c r="B253" s="120" t="s">
        <v>8</v>
      </c>
      <c r="C253" s="17">
        <f>SUM(C254:C257)</f>
        <v>383250.22000000003</v>
      </c>
      <c r="D253" s="19"/>
      <c r="E253" s="121">
        <f>C253*$K$250</f>
        <v>4596.2742915805184</v>
      </c>
      <c r="F253" s="122"/>
    </row>
    <row r="254" spans="1:11">
      <c r="B254" s="3" t="s">
        <v>10</v>
      </c>
      <c r="C254" s="18">
        <v>44280</v>
      </c>
      <c r="D254" s="19"/>
      <c r="E254" s="123">
        <f t="shared" ref="E254:E266" si="5">C254*$K$250</f>
        <v>531.04477182344556</v>
      </c>
      <c r="F254" s="122"/>
    </row>
    <row r="255" spans="1:11">
      <c r="B255" s="3" t="s">
        <v>12</v>
      </c>
      <c r="C255" s="18">
        <v>240100</v>
      </c>
      <c r="D255" s="19"/>
      <c r="E255" s="123">
        <f t="shared" si="5"/>
        <v>2879.4907343001196</v>
      </c>
      <c r="F255" s="122"/>
    </row>
    <row r="256" spans="1:11">
      <c r="B256" s="3" t="s">
        <v>14</v>
      </c>
      <c r="C256" s="18">
        <f>Model!W119</f>
        <v>82260.44</v>
      </c>
      <c r="D256" s="19"/>
      <c r="E256" s="123">
        <f t="shared" si="5"/>
        <v>986.53967005185723</v>
      </c>
      <c r="F256" s="122"/>
    </row>
    <row r="257" spans="2:6">
      <c r="B257" s="3" t="s">
        <v>17</v>
      </c>
      <c r="C257" s="18">
        <f>Model!W126/2</f>
        <v>16609.780000000002</v>
      </c>
      <c r="D257" s="19"/>
      <c r="E257" s="123">
        <f>C257*$K$250</f>
        <v>199.19911540509557</v>
      </c>
      <c r="F257" s="122"/>
    </row>
    <row r="258" spans="2:6">
      <c r="B258" s="120" t="s">
        <v>18</v>
      </c>
      <c r="C258" s="17">
        <f>SUM(C259:C260)</f>
        <v>13160</v>
      </c>
      <c r="E258" s="121">
        <f t="shared" si="5"/>
        <v>157.82631429983161</v>
      </c>
      <c r="F258" s="122"/>
    </row>
    <row r="259" spans="2:6">
      <c r="B259" s="3" t="s">
        <v>10</v>
      </c>
      <c r="C259" s="18">
        <v>3580</v>
      </c>
      <c r="E259" s="123">
        <f t="shared" si="5"/>
        <v>42.934514072446596</v>
      </c>
      <c r="F259" s="122"/>
    </row>
    <row r="260" spans="2:6">
      <c r="B260" s="3" t="s">
        <v>12</v>
      </c>
      <c r="C260" s="18">
        <v>9580</v>
      </c>
      <c r="E260" s="123">
        <f t="shared" si="5"/>
        <v>114.89180022738502</v>
      </c>
      <c r="F260" s="122"/>
    </row>
    <row r="261" spans="2:6">
      <c r="B261" s="124" t="s">
        <v>19</v>
      </c>
      <c r="C261" s="15">
        <f>C258+C253</f>
        <v>396410.22000000003</v>
      </c>
      <c r="D261" s="14">
        <f>C261/C267</f>
        <v>7.1878553037171358</v>
      </c>
      <c r="E261" s="114">
        <f t="shared" si="5"/>
        <v>4754.1006058803496</v>
      </c>
      <c r="F261" s="125">
        <f>E261/E267</f>
        <v>7.1590720908013896</v>
      </c>
    </row>
    <row r="262" spans="2:6">
      <c r="B262" s="126" t="s">
        <v>20</v>
      </c>
      <c r="C262" s="127">
        <f>Model!$W$121</f>
        <v>60360</v>
      </c>
      <c r="D262" s="128"/>
      <c r="E262" s="123">
        <f t="shared" si="5"/>
        <v>723.89029871868058</v>
      </c>
      <c r="F262" s="122"/>
    </row>
    <row r="263" spans="2:6">
      <c r="B263" s="129" t="s">
        <v>21</v>
      </c>
      <c r="C263" s="127">
        <f>Model!$W$122</f>
        <v>2610</v>
      </c>
      <c r="D263" s="128"/>
      <c r="E263" s="123">
        <f t="shared" si="5"/>
        <v>31.301419477398216</v>
      </c>
      <c r="F263" s="122"/>
    </row>
    <row r="264" spans="2:6">
      <c r="B264" s="124" t="s">
        <v>13</v>
      </c>
      <c r="C264" s="15">
        <f>C261-C262-C263</f>
        <v>333440.22000000003</v>
      </c>
      <c r="D264" s="14">
        <f>C264/C267</f>
        <v>6.0460601994560292</v>
      </c>
      <c r="E264" s="114">
        <f t="shared" si="5"/>
        <v>3998.9088876842711</v>
      </c>
      <c r="F264" s="125">
        <f>E264/E267</f>
        <v>6.0218492170879836</v>
      </c>
    </row>
    <row r="265" spans="2:6">
      <c r="B265" s="130" t="s">
        <v>22</v>
      </c>
      <c r="C265" s="13">
        <f>Model!$W$127</f>
        <v>214850.44</v>
      </c>
      <c r="D265" s="12"/>
      <c r="E265" s="121">
        <f t="shared" si="5"/>
        <v>2576.6757652657384</v>
      </c>
      <c r="F265" s="122"/>
    </row>
    <row r="266" spans="2:6">
      <c r="B266" s="130" t="s">
        <v>23</v>
      </c>
      <c r="C266" s="13">
        <f>C264+C265</f>
        <v>548290.66</v>
      </c>
      <c r="D266" s="12"/>
      <c r="E266" s="121">
        <f t="shared" si="5"/>
        <v>6575.5846529500095</v>
      </c>
      <c r="F266" s="122"/>
    </row>
    <row r="267" spans="2:6" ht="15.75" thickBot="1">
      <c r="B267" s="131" t="s">
        <v>24</v>
      </c>
      <c r="C267" s="132">
        <f>Model!$W$85</f>
        <v>55150</v>
      </c>
      <c r="D267" s="133"/>
      <c r="E267" s="134">
        <f>C267*$K$251</f>
        <v>664.06659209212876</v>
      </c>
      <c r="F267" s="135"/>
    </row>
    <row r="268" spans="2:6">
      <c r="B268" s="9" t="s">
        <v>25</v>
      </c>
      <c r="C268" s="8">
        <f>+C261-Model!$W$120</f>
        <v>0</v>
      </c>
      <c r="D268" s="7"/>
    </row>
    <row r="269" spans="2:6">
      <c r="B269" s="9"/>
      <c r="C269" s="8"/>
      <c r="D269" s="7"/>
    </row>
    <row r="270" spans="2:6" ht="15.75" thickBot="1">
      <c r="B270" s="6"/>
      <c r="C270" s="5"/>
    </row>
    <row r="271" spans="2:6">
      <c r="B271" s="4" t="s">
        <v>76</v>
      </c>
      <c r="C271" s="136" t="s">
        <v>4</v>
      </c>
      <c r="D271" s="106"/>
      <c r="E271" s="106"/>
    </row>
    <row r="272" spans="2:6">
      <c r="B272" s="3">
        <v>2026</v>
      </c>
      <c r="C272" s="137">
        <v>0.26</v>
      </c>
    </row>
    <row r="273" spans="1:11">
      <c r="B273" s="3">
        <v>2027</v>
      </c>
      <c r="C273" s="137">
        <v>0.31</v>
      </c>
    </row>
    <row r="274" spans="1:11" ht="15.75" thickBot="1">
      <c r="B274" s="138" t="s">
        <v>77</v>
      </c>
      <c r="C274" s="139">
        <v>0.43</v>
      </c>
    </row>
    <row r="276" spans="1:11" ht="15.75" thickBot="1">
      <c r="B276" s="6"/>
      <c r="C276" s="5"/>
    </row>
    <row r="277" spans="1:11">
      <c r="B277" s="4" t="s">
        <v>78</v>
      </c>
      <c r="C277" s="141" t="s">
        <v>4</v>
      </c>
      <c r="D277" s="119" t="s">
        <v>6</v>
      </c>
    </row>
    <row r="278" spans="1:11">
      <c r="B278" s="107" t="s">
        <v>20</v>
      </c>
      <c r="C278" s="147">
        <v>62640</v>
      </c>
      <c r="D278" s="142">
        <f>C278*$K$250</f>
        <v>751.23406745755722</v>
      </c>
    </row>
    <row r="279" spans="1:11">
      <c r="B279" s="107" t="s">
        <v>21</v>
      </c>
      <c r="C279" s="147">
        <v>2610</v>
      </c>
      <c r="D279" s="142">
        <f>C279*$K$250</f>
        <v>31.301419477398216</v>
      </c>
    </row>
    <row r="280" spans="1:11">
      <c r="B280" s="107" t="s">
        <v>47</v>
      </c>
      <c r="C280" s="140">
        <v>0</v>
      </c>
      <c r="D280" s="143">
        <f>C280*$K$250</f>
        <v>0</v>
      </c>
    </row>
    <row r="281" spans="1:11" ht="15.75" thickBot="1">
      <c r="B281" s="2" t="s">
        <v>48</v>
      </c>
      <c r="C281" s="144">
        <f>SUM(C278:C280)</f>
        <v>65250</v>
      </c>
      <c r="D281" s="145">
        <f>SUM(D278:D280)</f>
        <v>782.53548693495543</v>
      </c>
    </row>
    <row r="284" spans="1:11">
      <c r="A284" s="20" t="s">
        <v>79</v>
      </c>
      <c r="J284" s="6" t="s">
        <v>80</v>
      </c>
      <c r="K284" s="113">
        <f>Model!$U$207</f>
        <v>1.2019999999999999E-2</v>
      </c>
    </row>
    <row r="285" spans="1:11" ht="15.75" thickBot="1">
      <c r="J285" s="6" t="s">
        <v>81</v>
      </c>
      <c r="K285" s="113">
        <f>Model!$U$206</f>
        <v>1.2104588005850804E-2</v>
      </c>
    </row>
    <row r="286" spans="1:11">
      <c r="B286" s="115" t="s">
        <v>82</v>
      </c>
      <c r="C286" s="116" t="s">
        <v>4</v>
      </c>
      <c r="D286" s="117" t="s">
        <v>5</v>
      </c>
      <c r="E286" s="118" t="s">
        <v>6</v>
      </c>
      <c r="F286" s="119" t="s">
        <v>5</v>
      </c>
    </row>
    <row r="287" spans="1:11">
      <c r="B287" s="120" t="s">
        <v>8</v>
      </c>
      <c r="C287" s="17">
        <f>SUM(C288:C290)</f>
        <v>400250</v>
      </c>
      <c r="D287" s="19"/>
      <c r="E287" s="121">
        <f t="shared" ref="E287:E299" si="6">C287*$K$284</f>
        <v>4811.0050000000001</v>
      </c>
      <c r="F287" s="122"/>
    </row>
    <row r="288" spans="1:11">
      <c r="B288" s="3" t="s">
        <v>10</v>
      </c>
      <c r="C288" s="18">
        <v>119010</v>
      </c>
      <c r="D288" s="19"/>
      <c r="E288" s="123">
        <f t="shared" si="6"/>
        <v>1430.5001999999999</v>
      </c>
      <c r="F288" s="122"/>
    </row>
    <row r="289" spans="2:6">
      <c r="B289" s="3" t="s">
        <v>12</v>
      </c>
      <c r="C289" s="18">
        <v>220330</v>
      </c>
      <c r="D289" s="19"/>
      <c r="E289" s="123">
        <f t="shared" si="6"/>
        <v>2648.3665999999998</v>
      </c>
      <c r="F289" s="122"/>
    </row>
    <row r="290" spans="2:6">
      <c r="B290" s="3" t="s">
        <v>14</v>
      </c>
      <c r="C290" s="18">
        <f>Model!U119</f>
        <v>60910</v>
      </c>
      <c r="D290" s="19"/>
      <c r="E290" s="123">
        <f t="shared" si="6"/>
        <v>732.13819999999998</v>
      </c>
      <c r="F290" s="122"/>
    </row>
    <row r="291" spans="2:6">
      <c r="B291" s="120" t="s">
        <v>18</v>
      </c>
      <c r="C291" s="17">
        <f>SUM(C292:C293)</f>
        <v>10020</v>
      </c>
      <c r="E291" s="121">
        <f t="shared" si="6"/>
        <v>120.4404</v>
      </c>
      <c r="F291" s="122"/>
    </row>
    <row r="292" spans="2:6">
      <c r="B292" s="3" t="s">
        <v>10</v>
      </c>
      <c r="C292" s="18">
        <v>2670</v>
      </c>
      <c r="E292" s="123">
        <f t="shared" si="6"/>
        <v>32.093399999999995</v>
      </c>
      <c r="F292" s="122"/>
    </row>
    <row r="293" spans="2:6">
      <c r="B293" s="3" t="s">
        <v>12</v>
      </c>
      <c r="C293" s="18">
        <v>7350</v>
      </c>
      <c r="E293" s="123">
        <f t="shared" si="6"/>
        <v>88.346999999999994</v>
      </c>
      <c r="F293" s="122"/>
    </row>
    <row r="294" spans="2:6">
      <c r="B294" s="124" t="s">
        <v>19</v>
      </c>
      <c r="C294" s="15">
        <f>C291+C287</f>
        <v>410270</v>
      </c>
      <c r="D294" s="14">
        <f>C294/C300</f>
        <v>4.4430366038553171</v>
      </c>
      <c r="E294" s="114">
        <f t="shared" si="6"/>
        <v>4931.4453999999996</v>
      </c>
      <c r="F294" s="125">
        <f>E294/E300</f>
        <v>4.4119882438400406</v>
      </c>
    </row>
    <row r="295" spans="2:6">
      <c r="B295" s="126" t="s">
        <v>20</v>
      </c>
      <c r="C295" s="127">
        <f>Model!$U$121</f>
        <v>31700</v>
      </c>
      <c r="D295" s="128"/>
      <c r="E295" s="123">
        <f t="shared" si="6"/>
        <v>381.03399999999999</v>
      </c>
      <c r="F295" s="122"/>
    </row>
    <row r="296" spans="2:6">
      <c r="B296" s="129" t="s">
        <v>21</v>
      </c>
      <c r="C296" s="127">
        <f>Model!$U$122</f>
        <v>1470</v>
      </c>
      <c r="D296" s="128"/>
      <c r="E296" s="123">
        <f t="shared" si="6"/>
        <v>17.6694</v>
      </c>
      <c r="F296" s="122"/>
    </row>
    <row r="297" spans="2:6">
      <c r="B297" s="124" t="s">
        <v>13</v>
      </c>
      <c r="C297" s="15">
        <f>C294-C295-C296</f>
        <v>377100</v>
      </c>
      <c r="D297" s="14">
        <f>C297/C300</f>
        <v>4.0838206627680309</v>
      </c>
      <c r="E297" s="114">
        <f t="shared" si="6"/>
        <v>4532.7420000000002</v>
      </c>
      <c r="F297" s="125">
        <f>E297/E300</f>
        <v>4.0552825377241319</v>
      </c>
    </row>
    <row r="298" spans="2:6">
      <c r="B298" s="130" t="s">
        <v>22</v>
      </c>
      <c r="C298" s="13">
        <f>Model!$U$127</f>
        <v>309294.67868822481</v>
      </c>
      <c r="D298" s="12"/>
      <c r="E298" s="121">
        <f t="shared" si="6"/>
        <v>3717.7220378324619</v>
      </c>
      <c r="F298" s="122"/>
    </row>
    <row r="299" spans="2:6">
      <c r="B299" s="130" t="s">
        <v>23</v>
      </c>
      <c r="C299" s="13">
        <f>C297+C298</f>
        <v>686394.67868822487</v>
      </c>
      <c r="D299" s="12"/>
      <c r="E299" s="121">
        <f t="shared" si="6"/>
        <v>8250.4640378324621</v>
      </c>
      <c r="F299" s="122"/>
    </row>
    <row r="300" spans="2:6" ht="15.75" thickBot="1">
      <c r="B300" s="131" t="s">
        <v>24</v>
      </c>
      <c r="C300" s="132">
        <f>Model!$U$85</f>
        <v>92340</v>
      </c>
      <c r="D300" s="133"/>
      <c r="E300" s="134">
        <f>C300*$K$285</f>
        <v>1117.7376564602632</v>
      </c>
      <c r="F300" s="135"/>
    </row>
    <row r="301" spans="2:6">
      <c r="B301" s="9" t="s">
        <v>25</v>
      </c>
      <c r="C301" s="8">
        <f>+C294-Model!$U$120</f>
        <v>-16522.660655887623</v>
      </c>
      <c r="D301" s="7"/>
    </row>
    <row r="302" spans="2:6">
      <c r="B302" s="9"/>
      <c r="C302" s="8"/>
      <c r="D302" s="7"/>
    </row>
    <row r="303" spans="2:6" ht="15.75" thickBot="1">
      <c r="B303" s="6"/>
      <c r="C303" s="5"/>
    </row>
    <row r="304" spans="2:6">
      <c r="B304" s="4" t="s">
        <v>83</v>
      </c>
      <c r="C304" s="136" t="s">
        <v>4</v>
      </c>
      <c r="D304" s="106"/>
      <c r="E304" s="106"/>
    </row>
    <row r="305" spans="1:11">
      <c r="B305" s="3">
        <v>2024</v>
      </c>
      <c r="C305" s="155">
        <v>16652.23</v>
      </c>
    </row>
    <row r="306" spans="1:11">
      <c r="B306" s="3">
        <v>2025</v>
      </c>
      <c r="C306" s="155">
        <v>20815.29</v>
      </c>
    </row>
    <row r="307" spans="1:11">
      <c r="B307" s="107" t="s">
        <v>84</v>
      </c>
      <c r="C307" s="155">
        <f>56201.29+41630.59</f>
        <v>97831.88</v>
      </c>
    </row>
    <row r="308" spans="1:11" ht="15.75" thickBot="1">
      <c r="B308" s="138" t="s">
        <v>77</v>
      </c>
      <c r="C308" s="156">
        <v>101433.41</v>
      </c>
    </row>
    <row r="309" spans="1:11">
      <c r="C309" s="8"/>
    </row>
    <row r="310" spans="1:11" ht="15.75" thickBot="1">
      <c r="B310" s="6"/>
      <c r="C310" s="5"/>
    </row>
    <row r="311" spans="1:11">
      <c r="B311" s="4" t="s">
        <v>85</v>
      </c>
      <c r="C311" s="141" t="s">
        <v>4</v>
      </c>
      <c r="D311" s="119" t="s">
        <v>6</v>
      </c>
    </row>
    <row r="312" spans="1:11">
      <c r="B312" s="107" t="s">
        <v>20</v>
      </c>
      <c r="C312" s="140">
        <f>31000+700</f>
        <v>31700</v>
      </c>
      <c r="D312" s="142">
        <f>C312*$K$284</f>
        <v>381.03399999999999</v>
      </c>
    </row>
    <row r="313" spans="1:11">
      <c r="B313" s="107" t="s">
        <v>21</v>
      </c>
      <c r="C313" s="140">
        <v>1470</v>
      </c>
      <c r="D313" s="142">
        <f>C313*$K$284</f>
        <v>17.6694</v>
      </c>
    </row>
    <row r="314" spans="1:11">
      <c r="B314" s="107" t="s">
        <v>47</v>
      </c>
      <c r="C314" s="140">
        <v>0</v>
      </c>
      <c r="D314" s="143">
        <f>C314*$K$284</f>
        <v>0</v>
      </c>
    </row>
    <row r="315" spans="1:11" ht="15.75" thickBot="1">
      <c r="B315" s="2" t="s">
        <v>48</v>
      </c>
      <c r="C315" s="144">
        <f>SUM(C312:C314)</f>
        <v>33170</v>
      </c>
      <c r="D315" s="145">
        <f>SUM(D312:D314)</f>
        <v>398.70339999999999</v>
      </c>
    </row>
    <row r="317" spans="1:11">
      <c r="A317" s="20" t="s">
        <v>86</v>
      </c>
      <c r="J317" s="6" t="s">
        <v>87</v>
      </c>
      <c r="K317" s="113">
        <f>Model!T207</f>
        <v>1.2189176011701608E-2</v>
      </c>
    </row>
    <row r="318" spans="1:11" ht="15.75" thickBot="1">
      <c r="J318" s="6" t="s">
        <v>88</v>
      </c>
      <c r="K318" s="113">
        <f>Model!T206</f>
        <v>1.2174336498660824E-2</v>
      </c>
    </row>
    <row r="319" spans="1:11">
      <c r="B319" s="115" t="s">
        <v>89</v>
      </c>
      <c r="C319" s="116" t="s">
        <v>4</v>
      </c>
      <c r="D319" s="117" t="s">
        <v>5</v>
      </c>
      <c r="E319" s="118" t="s">
        <v>6</v>
      </c>
      <c r="F319" s="119" t="s">
        <v>5</v>
      </c>
    </row>
    <row r="320" spans="1:11">
      <c r="B320" s="3" t="s">
        <v>70</v>
      </c>
      <c r="C320" s="18">
        <v>300830</v>
      </c>
      <c r="D320" s="19"/>
      <c r="E320" s="18">
        <v>3667</v>
      </c>
      <c r="F320" s="122"/>
    </row>
    <row r="321" spans="1:11">
      <c r="B321" s="124" t="s">
        <v>19</v>
      </c>
      <c r="C321" s="15">
        <f>SUM(C320)</f>
        <v>300830</v>
      </c>
      <c r="D321" s="14">
        <f>C321/C324</f>
        <v>2.8845526896154952</v>
      </c>
      <c r="E321" s="15">
        <f>SUM(E320)</f>
        <v>3667</v>
      </c>
      <c r="F321" s="125">
        <f>E321/E324</f>
        <v>2.8881712532361679</v>
      </c>
    </row>
    <row r="322" spans="1:11">
      <c r="B322" s="126" t="s">
        <v>20</v>
      </c>
      <c r="C322" s="127">
        <v>38890</v>
      </c>
      <c r="D322" s="128"/>
      <c r="E322" s="18">
        <v>474</v>
      </c>
      <c r="F322" s="122"/>
    </row>
    <row r="323" spans="1:11">
      <c r="B323" s="124" t="s">
        <v>71</v>
      </c>
      <c r="C323" s="15">
        <f>C321-C322</f>
        <v>261940</v>
      </c>
      <c r="D323" s="14">
        <f>C323/C324</f>
        <v>2.5116502061559114</v>
      </c>
      <c r="E323" s="15">
        <f>E321-E322</f>
        <v>3193</v>
      </c>
      <c r="F323" s="125">
        <f>E323/E324</f>
        <v>2.5148434173938052</v>
      </c>
    </row>
    <row r="324" spans="1:11" ht="15.75" thickBot="1">
      <c r="B324" s="131" t="s">
        <v>24</v>
      </c>
      <c r="C324" s="132">
        <f>Model!T85</f>
        <v>104290</v>
      </c>
      <c r="D324" s="133"/>
      <c r="E324" s="154">
        <f>C324*$K$318</f>
        <v>1269.6615534453374</v>
      </c>
      <c r="F324" s="135"/>
    </row>
    <row r="325" spans="1:11">
      <c r="B325" s="9" t="s">
        <v>25</v>
      </c>
      <c r="C325" s="8"/>
      <c r="D325" s="7"/>
    </row>
    <row r="327" spans="1:11">
      <c r="A327" s="20" t="s">
        <v>90</v>
      </c>
      <c r="J327" s="6" t="s">
        <v>91</v>
      </c>
      <c r="K327" s="113">
        <f>Model!S207</f>
        <v>1.2183235867446395E-2</v>
      </c>
    </row>
    <row r="328" spans="1:11" ht="15.75" thickBot="1">
      <c r="J328" s="6" t="s">
        <v>92</v>
      </c>
      <c r="K328" s="113">
        <f>Model!S206</f>
        <v>1.2503751125337602E-2</v>
      </c>
    </row>
    <row r="329" spans="1:11">
      <c r="B329" s="115" t="s">
        <v>93</v>
      </c>
      <c r="C329" s="116" t="s">
        <v>4</v>
      </c>
      <c r="D329" s="117" t="s">
        <v>5</v>
      </c>
      <c r="E329" s="118" t="s">
        <v>6</v>
      </c>
      <c r="F329" s="119" t="s">
        <v>5</v>
      </c>
    </row>
    <row r="330" spans="1:11">
      <c r="B330" s="120" t="s">
        <v>8</v>
      </c>
      <c r="C330" s="17">
        <f>SUM(C331:C333)</f>
        <v>345470</v>
      </c>
      <c r="D330" s="19"/>
      <c r="E330" s="121">
        <f t="shared" ref="E330:E342" si="7">C330*$K$327</f>
        <v>4208.9424951267056</v>
      </c>
      <c r="F330" s="122"/>
    </row>
    <row r="331" spans="1:11">
      <c r="B331" s="3" t="s">
        <v>10</v>
      </c>
      <c r="C331" s="18">
        <v>28550</v>
      </c>
      <c r="D331" s="19"/>
      <c r="E331" s="123">
        <f>C331*$K$327</f>
        <v>347.83138401559455</v>
      </c>
      <c r="F331" s="122"/>
    </row>
    <row r="332" spans="1:11">
      <c r="B332" s="3" t="s">
        <v>12</v>
      </c>
      <c r="C332" s="18">
        <v>201440</v>
      </c>
      <c r="D332" s="19"/>
      <c r="E332" s="123">
        <f t="shared" si="7"/>
        <v>2454.191033138402</v>
      </c>
      <c r="F332" s="122"/>
    </row>
    <row r="333" spans="1:11">
      <c r="B333" s="3" t="s">
        <v>14</v>
      </c>
      <c r="C333" s="18">
        <f>Model!F119</f>
        <v>115480</v>
      </c>
      <c r="D333" s="19"/>
      <c r="E333" s="123">
        <f t="shared" si="7"/>
        <v>1406.9200779727096</v>
      </c>
      <c r="F333" s="122"/>
    </row>
    <row r="334" spans="1:11">
      <c r="B334" s="120" t="s">
        <v>18</v>
      </c>
      <c r="C334" s="17">
        <f>SUM(C335:C336)</f>
        <v>9400</v>
      </c>
      <c r="E334" s="121">
        <f t="shared" si="7"/>
        <v>114.52241715399612</v>
      </c>
      <c r="F334" s="122"/>
    </row>
    <row r="335" spans="1:11">
      <c r="B335" s="3" t="s">
        <v>10</v>
      </c>
      <c r="C335" s="18">
        <v>2650</v>
      </c>
      <c r="E335" s="123">
        <f t="shared" si="7"/>
        <v>32.285575048732944</v>
      </c>
      <c r="F335" s="122"/>
    </row>
    <row r="336" spans="1:11">
      <c r="B336" s="3" t="s">
        <v>12</v>
      </c>
      <c r="C336" s="18">
        <v>6750</v>
      </c>
      <c r="E336" s="123">
        <f t="shared" si="7"/>
        <v>82.236842105263165</v>
      </c>
      <c r="F336" s="122"/>
    </row>
    <row r="337" spans="2:6">
      <c r="B337" s="124" t="s">
        <v>19</v>
      </c>
      <c r="C337" s="15">
        <f>C334+C330</f>
        <v>354870</v>
      </c>
      <c r="D337" s="14">
        <f>C337/C343</f>
        <v>3.1747181964573268</v>
      </c>
      <c r="E337" s="114">
        <f t="shared" si="7"/>
        <v>4323.4649122807023</v>
      </c>
      <c r="F337" s="125">
        <f>E337/E343</f>
        <v>3.0933389678346876</v>
      </c>
    </row>
    <row r="338" spans="2:6">
      <c r="B338" s="126" t="s">
        <v>20</v>
      </c>
      <c r="C338" s="127">
        <f>Model!S121</f>
        <v>60970</v>
      </c>
      <c r="D338" s="128"/>
      <c r="E338" s="123">
        <f t="shared" si="7"/>
        <v>742.81189083820664</v>
      </c>
      <c r="F338" s="122"/>
    </row>
    <row r="339" spans="2:6">
      <c r="B339" s="129" t="s">
        <v>21</v>
      </c>
      <c r="C339" s="127">
        <f>Model!S122</f>
        <v>460</v>
      </c>
      <c r="D339" s="128"/>
      <c r="E339" s="123">
        <f t="shared" si="7"/>
        <v>5.6042884990253414</v>
      </c>
      <c r="F339" s="122"/>
    </row>
    <row r="340" spans="2:6">
      <c r="B340" s="124" t="s">
        <v>13</v>
      </c>
      <c r="C340" s="15">
        <f>C337-C338-C339</f>
        <v>293440</v>
      </c>
      <c r="D340" s="14">
        <f>C340/C343</f>
        <v>2.6251565575237072</v>
      </c>
      <c r="E340" s="114">
        <f t="shared" si="7"/>
        <v>3575.04873294347</v>
      </c>
      <c r="F340" s="125">
        <f>E340/E343</f>
        <v>2.5578645327060916</v>
      </c>
    </row>
    <row r="341" spans="2:6">
      <c r="B341" s="130" t="s">
        <v>22</v>
      </c>
      <c r="C341" s="13">
        <f>Model!S127</f>
        <v>261089.6</v>
      </c>
      <c r="D341" s="12"/>
      <c r="E341" s="121">
        <f t="shared" si="7"/>
        <v>3180.9161793372323</v>
      </c>
      <c r="F341" s="122"/>
    </row>
    <row r="342" spans="2:6">
      <c r="B342" s="130" t="s">
        <v>23</v>
      </c>
      <c r="C342" s="13">
        <f>C340+C341</f>
        <v>554529.6</v>
      </c>
      <c r="D342" s="12"/>
      <c r="E342" s="121">
        <f t="shared" si="7"/>
        <v>6755.9649122807023</v>
      </c>
      <c r="F342" s="122"/>
    </row>
    <row r="343" spans="2:6" ht="15.75" thickBot="1">
      <c r="B343" s="131" t="s">
        <v>24</v>
      </c>
      <c r="C343" s="132">
        <f>Model!S85</f>
        <v>111780</v>
      </c>
      <c r="D343" s="133"/>
      <c r="E343" s="134">
        <f>C343*$K$328</f>
        <v>1397.6693007902372</v>
      </c>
      <c r="F343" s="135"/>
    </row>
    <row r="344" spans="2:6">
      <c r="B344" s="9" t="s">
        <v>25</v>
      </c>
      <c r="C344" s="8">
        <f>+C337-Model!S120</f>
        <v>-15995.200000000012</v>
      </c>
      <c r="D344" s="7"/>
    </row>
    <row r="345" spans="2:6">
      <c r="B345" s="9"/>
      <c r="C345" s="8"/>
      <c r="D345" s="7"/>
    </row>
    <row r="346" spans="2:6" ht="15.75" thickBot="1">
      <c r="B346" s="6"/>
      <c r="C346" s="5"/>
    </row>
    <row r="347" spans="2:6">
      <c r="B347" s="4" t="s">
        <v>94</v>
      </c>
      <c r="C347" s="136"/>
      <c r="D347" s="106"/>
      <c r="E347" s="106"/>
    </row>
    <row r="348" spans="2:6">
      <c r="B348" s="3">
        <v>2024</v>
      </c>
      <c r="C348" s="152">
        <v>7.0000000000000007E-2</v>
      </c>
    </row>
    <row r="349" spans="2:6">
      <c r="B349" s="107" t="s">
        <v>84</v>
      </c>
      <c r="C349" s="152">
        <v>0.47</v>
      </c>
    </row>
    <row r="350" spans="2:6" ht="15.75" thickBot="1">
      <c r="B350" s="138" t="s">
        <v>77</v>
      </c>
      <c r="C350" s="153">
        <v>0.46</v>
      </c>
    </row>
    <row r="351" spans="2:6">
      <c r="C351" s="8"/>
    </row>
    <row r="352" spans="2:6" ht="15.75" thickBot="1">
      <c r="B352" s="6"/>
      <c r="C352" s="5"/>
    </row>
    <row r="353" spans="1:11">
      <c r="B353" s="4" t="s">
        <v>95</v>
      </c>
      <c r="C353" s="141" t="s">
        <v>4</v>
      </c>
      <c r="D353" s="119" t="s">
        <v>6</v>
      </c>
    </row>
    <row r="354" spans="1:11">
      <c r="B354" s="107" t="s">
        <v>20</v>
      </c>
      <c r="C354" s="147">
        <v>60970</v>
      </c>
      <c r="D354" s="142">
        <f>C354*$K$327</f>
        <v>742.81189083820664</v>
      </c>
    </row>
    <row r="355" spans="1:11">
      <c r="B355" s="107" t="s">
        <v>21</v>
      </c>
      <c r="C355" s="147">
        <v>460</v>
      </c>
      <c r="D355" s="142">
        <f>C355*$K$327</f>
        <v>5.6042884990253414</v>
      </c>
    </row>
    <row r="356" spans="1:11">
      <c r="B356" s="107" t="s">
        <v>47</v>
      </c>
      <c r="C356" s="140">
        <v>0</v>
      </c>
      <c r="D356" s="143">
        <f>C356*$K$327</f>
        <v>0</v>
      </c>
    </row>
    <row r="357" spans="1:11" ht="15.75" thickBot="1">
      <c r="B357" s="2" t="s">
        <v>48</v>
      </c>
      <c r="C357" s="144">
        <f>SUM(C354:C356)</f>
        <v>61430</v>
      </c>
      <c r="D357" s="145">
        <f>SUM(D354:D356)</f>
        <v>748.41617933723194</v>
      </c>
    </row>
    <row r="360" spans="1:11">
      <c r="A360" s="20" t="s">
        <v>96</v>
      </c>
      <c r="J360" s="6" t="s">
        <v>97</v>
      </c>
      <c r="K360" s="113">
        <f>Model!Q207</f>
        <v>1.2278284870942948E-2</v>
      </c>
    </row>
    <row r="361" spans="1:11" ht="15.75" thickBot="1">
      <c r="J361" s="6" t="s">
        <v>98</v>
      </c>
      <c r="K361" s="113">
        <f>Model!Q206</f>
        <v>1.2469859072594796E-2</v>
      </c>
    </row>
    <row r="362" spans="1:11">
      <c r="B362" s="115" t="s">
        <v>99</v>
      </c>
      <c r="C362" s="116" t="s">
        <v>4</v>
      </c>
      <c r="D362" s="117" t="s">
        <v>5</v>
      </c>
      <c r="E362" s="118" t="s">
        <v>6</v>
      </c>
      <c r="F362" s="119" t="s">
        <v>5</v>
      </c>
    </row>
    <row r="363" spans="1:11">
      <c r="B363" s="120" t="s">
        <v>8</v>
      </c>
      <c r="C363" s="17">
        <f>SUM(C364:C366)</f>
        <v>392200</v>
      </c>
      <c r="D363" s="19"/>
      <c r="E363" s="121">
        <f t="shared" ref="E363:E375" si="8">C363*$K$360</f>
        <v>4815.543326383824</v>
      </c>
      <c r="F363" s="122"/>
    </row>
    <row r="364" spans="1:11">
      <c r="B364" s="3" t="s">
        <v>10</v>
      </c>
      <c r="C364" s="18">
        <v>92880</v>
      </c>
      <c r="D364" s="19"/>
      <c r="E364" s="123">
        <f t="shared" si="8"/>
        <v>1140.4070988131809</v>
      </c>
      <c r="F364" s="122"/>
    </row>
    <row r="365" spans="1:11">
      <c r="B365" s="3" t="s">
        <v>12</v>
      </c>
      <c r="C365" s="18">
        <v>232610</v>
      </c>
      <c r="D365" s="19"/>
      <c r="E365" s="123">
        <f t="shared" si="8"/>
        <v>2856.0518438300392</v>
      </c>
      <c r="F365" s="122"/>
    </row>
    <row r="366" spans="1:11">
      <c r="B366" s="3" t="s">
        <v>14</v>
      </c>
      <c r="C366" s="18">
        <f>Model!Q119</f>
        <v>66710</v>
      </c>
      <c r="D366" s="19"/>
      <c r="E366" s="123">
        <f t="shared" si="8"/>
        <v>819.08438374060404</v>
      </c>
      <c r="F366" s="122"/>
    </row>
    <row r="367" spans="1:11">
      <c r="B367" s="120" t="s">
        <v>18</v>
      </c>
      <c r="C367" s="17">
        <f>SUM(C368:C369)</f>
        <v>8890</v>
      </c>
      <c r="E367" s="121">
        <f t="shared" si="8"/>
        <v>109.15395250268281</v>
      </c>
      <c r="F367" s="122"/>
    </row>
    <row r="368" spans="1:11">
      <c r="B368" s="3" t="s">
        <v>10</v>
      </c>
      <c r="C368" s="18">
        <v>2090</v>
      </c>
      <c r="E368" s="123">
        <f t="shared" si="8"/>
        <v>25.661615380270764</v>
      </c>
      <c r="F368" s="122"/>
    </row>
    <row r="369" spans="2:6">
      <c r="B369" s="3" t="s">
        <v>12</v>
      </c>
      <c r="C369" s="18">
        <v>6800</v>
      </c>
      <c r="E369" s="123">
        <f t="shared" si="8"/>
        <v>83.492337122412053</v>
      </c>
      <c r="F369" s="122"/>
    </row>
    <row r="370" spans="2:6">
      <c r="B370" s="124" t="s">
        <v>19</v>
      </c>
      <c r="C370" s="15">
        <f>C367+C363</f>
        <v>401090</v>
      </c>
      <c r="D370" s="14">
        <f>C370/C376</f>
        <v>3.5282371569317381</v>
      </c>
      <c r="E370" s="114">
        <f t="shared" si="8"/>
        <v>4924.6972788865069</v>
      </c>
      <c r="F370" s="125">
        <f>E370/E376</f>
        <v>3.4740329183238567</v>
      </c>
    </row>
    <row r="371" spans="2:6">
      <c r="B371" s="126" t="s">
        <v>20</v>
      </c>
      <c r="C371" s="127">
        <f>Model!Q121</f>
        <v>35880</v>
      </c>
      <c r="D371" s="128"/>
      <c r="E371" s="123">
        <f t="shared" si="8"/>
        <v>440.54486116943298</v>
      </c>
      <c r="F371" s="122"/>
    </row>
    <row r="372" spans="2:6">
      <c r="B372" s="129" t="s">
        <v>21</v>
      </c>
      <c r="C372" s="127">
        <f>Model!Q122</f>
        <v>4450</v>
      </c>
      <c r="D372" s="128"/>
      <c r="E372" s="123">
        <f t="shared" si="8"/>
        <v>54.638367675696124</v>
      </c>
      <c r="F372" s="122"/>
    </row>
    <row r="373" spans="2:6">
      <c r="B373" s="124" t="s">
        <v>13</v>
      </c>
      <c r="C373" s="15">
        <f>C370-C371-C372</f>
        <v>360760</v>
      </c>
      <c r="D373" s="14">
        <f>C373/C376</f>
        <v>3.1734693877551021</v>
      </c>
      <c r="E373" s="114">
        <f t="shared" si="8"/>
        <v>4429.5140500413781</v>
      </c>
      <c r="F373" s="125">
        <f>E373/E376</f>
        <v>3.1247154394637477</v>
      </c>
    </row>
    <row r="374" spans="2:6">
      <c r="B374" s="130" t="s">
        <v>22</v>
      </c>
      <c r="C374" s="13">
        <f>Model!Q127</f>
        <v>269092.65272034338</v>
      </c>
      <c r="D374" s="12"/>
      <c r="E374" s="121">
        <f t="shared" si="8"/>
        <v>3303.996246778097</v>
      </c>
      <c r="F374" s="122"/>
    </row>
    <row r="375" spans="2:6">
      <c r="B375" s="130" t="s">
        <v>23</v>
      </c>
      <c r="C375" s="13">
        <f>C373+C374</f>
        <v>629852.65272034332</v>
      </c>
      <c r="D375" s="12"/>
      <c r="E375" s="121">
        <f t="shared" si="8"/>
        <v>7733.5102968194742</v>
      </c>
      <c r="F375" s="122"/>
    </row>
    <row r="376" spans="2:6" ht="15.75" thickBot="1">
      <c r="B376" s="131" t="s">
        <v>24</v>
      </c>
      <c r="C376" s="132">
        <f>Model!Q85</f>
        <v>113680</v>
      </c>
      <c r="D376" s="133"/>
      <c r="E376" s="134">
        <f>C376*$K$361</f>
        <v>1417.5735793725764</v>
      </c>
      <c r="F376" s="135"/>
    </row>
    <row r="377" spans="2:6">
      <c r="B377" s="9" t="s">
        <v>25</v>
      </c>
      <c r="C377" s="8">
        <f>+C370-Model!Q120</f>
        <v>-16038.673639828281</v>
      </c>
      <c r="D377" s="7"/>
    </row>
    <row r="378" spans="2:6">
      <c r="B378" s="9"/>
      <c r="C378" s="8"/>
      <c r="D378" s="7"/>
    </row>
    <row r="379" spans="2:6" ht="15.75" thickBot="1">
      <c r="B379" s="6"/>
      <c r="C379" s="5"/>
    </row>
    <row r="380" spans="2:6">
      <c r="B380" s="4" t="s">
        <v>100</v>
      </c>
      <c r="C380" s="136"/>
      <c r="D380" s="106"/>
      <c r="E380" s="106"/>
    </row>
    <row r="381" spans="2:6">
      <c r="B381" s="3">
        <v>2024</v>
      </c>
      <c r="C381" s="150"/>
    </row>
    <row r="382" spans="2:6">
      <c r="B382" s="107" t="s">
        <v>84</v>
      </c>
      <c r="C382" s="150"/>
    </row>
    <row r="383" spans="2:6" ht="15.75" thickBot="1">
      <c r="B383" s="138" t="s">
        <v>77</v>
      </c>
      <c r="C383" s="151"/>
    </row>
    <row r="384" spans="2:6">
      <c r="C384" s="8"/>
    </row>
    <row r="385" spans="1:11" ht="15.75" thickBot="1">
      <c r="B385" s="6"/>
      <c r="C385" s="5"/>
    </row>
    <row r="386" spans="1:11">
      <c r="B386" s="4" t="s">
        <v>101</v>
      </c>
      <c r="C386" s="141" t="s">
        <v>4</v>
      </c>
      <c r="D386" s="119" t="s">
        <v>6</v>
      </c>
    </row>
    <row r="387" spans="1:11">
      <c r="B387" s="107" t="s">
        <v>20</v>
      </c>
      <c r="C387" s="147">
        <v>35880</v>
      </c>
      <c r="D387" s="142">
        <f>C387*$K$360</f>
        <v>440.54486116943298</v>
      </c>
    </row>
    <row r="388" spans="1:11">
      <c r="B388" s="107" t="s">
        <v>21</v>
      </c>
      <c r="C388" s="147">
        <v>4450</v>
      </c>
      <c r="D388" s="142">
        <f>C388*$K$360</f>
        <v>54.638367675696124</v>
      </c>
    </row>
    <row r="389" spans="1:11">
      <c r="B389" s="107" t="s">
        <v>47</v>
      </c>
      <c r="C389" s="140">
        <v>0</v>
      </c>
      <c r="D389" s="143">
        <f>C389*$K$393</f>
        <v>0</v>
      </c>
    </row>
    <row r="390" spans="1:11" ht="15.75" thickBot="1">
      <c r="B390" s="2" t="s">
        <v>48</v>
      </c>
      <c r="C390" s="144">
        <f>SUM(C387:C389)</f>
        <v>40330</v>
      </c>
      <c r="D390" s="145">
        <f>SUM(D387:D389)</f>
        <v>495.18322884512912</v>
      </c>
    </row>
    <row r="393" spans="1:11">
      <c r="A393" s="20" t="s">
        <v>102</v>
      </c>
      <c r="J393" s="6" t="s">
        <v>103</v>
      </c>
      <c r="K393" s="113">
        <f>Model!E207</f>
        <v>1.3206550449022716E-2</v>
      </c>
    </row>
    <row r="394" spans="1:11" ht="15.75" thickBot="1">
      <c r="J394" s="6" t="s">
        <v>104</v>
      </c>
      <c r="K394" s="113">
        <f>Model!E206</f>
        <v>1.3206550449022716E-2</v>
      </c>
    </row>
    <row r="395" spans="1:11">
      <c r="B395" s="115" t="s">
        <v>105</v>
      </c>
      <c r="C395" s="116" t="s">
        <v>4</v>
      </c>
      <c r="D395" s="117" t="s">
        <v>5</v>
      </c>
      <c r="E395" s="118" t="s">
        <v>6</v>
      </c>
      <c r="F395" s="119" t="s">
        <v>5</v>
      </c>
    </row>
    <row r="396" spans="1:11">
      <c r="B396" s="120" t="s">
        <v>8</v>
      </c>
      <c r="C396" s="17">
        <f>SUM(C397:C399)</f>
        <v>379660</v>
      </c>
      <c r="D396" s="19"/>
      <c r="E396" s="121">
        <f>C396*$K$393</f>
        <v>5013.9989434759646</v>
      </c>
      <c r="F396" s="122"/>
    </row>
    <row r="397" spans="1:11">
      <c r="B397" s="3" t="s">
        <v>10</v>
      </c>
      <c r="C397" s="18">
        <v>42610</v>
      </c>
      <c r="D397" s="19"/>
      <c r="E397" s="123">
        <f t="shared" ref="E397:E408" si="9">C397*$K$393</f>
        <v>562.73111463285795</v>
      </c>
      <c r="F397" s="122"/>
    </row>
    <row r="398" spans="1:11">
      <c r="B398" s="3" t="s">
        <v>12</v>
      </c>
      <c r="C398" s="18">
        <v>216050</v>
      </c>
      <c r="D398" s="19"/>
      <c r="E398" s="123">
        <f t="shared" si="9"/>
        <v>2853.2752245113579</v>
      </c>
      <c r="F398" s="122"/>
    </row>
    <row r="399" spans="1:11">
      <c r="B399" s="3" t="s">
        <v>14</v>
      </c>
      <c r="C399" s="18">
        <f>Model!E119</f>
        <v>121000</v>
      </c>
      <c r="D399" s="19"/>
      <c r="E399" s="123">
        <f t="shared" si="9"/>
        <v>1597.9926043317487</v>
      </c>
      <c r="F399" s="122"/>
    </row>
    <row r="400" spans="1:11">
      <c r="B400" s="120" t="s">
        <v>18</v>
      </c>
      <c r="C400" s="17">
        <f>SUM(C401:C402)</f>
        <v>8430</v>
      </c>
      <c r="E400" s="121">
        <f t="shared" si="9"/>
        <v>111.33122028526149</v>
      </c>
      <c r="F400" s="122"/>
    </row>
    <row r="401" spans="2:6">
      <c r="B401" s="3" t="s">
        <v>10</v>
      </c>
      <c r="C401" s="18">
        <v>2170</v>
      </c>
      <c r="E401" s="123">
        <f t="shared" si="9"/>
        <v>28.658214474379292</v>
      </c>
      <c r="F401" s="122"/>
    </row>
    <row r="402" spans="2:6">
      <c r="B402" s="3" t="s">
        <v>12</v>
      </c>
      <c r="C402" s="18">
        <v>6260</v>
      </c>
      <c r="E402" s="123">
        <f t="shared" si="9"/>
        <v>82.673005810882202</v>
      </c>
      <c r="F402" s="122"/>
    </row>
    <row r="403" spans="2:6">
      <c r="B403" s="124" t="s">
        <v>19</v>
      </c>
      <c r="C403" s="15">
        <f>C400+C396</f>
        <v>388090</v>
      </c>
      <c r="D403" s="14">
        <f>C403/C409</f>
        <v>3.817904574520413</v>
      </c>
      <c r="E403" s="114">
        <f t="shared" si="9"/>
        <v>5125.3301637612258</v>
      </c>
      <c r="F403" s="125">
        <f>E403/E409</f>
        <v>3.8179045745204134</v>
      </c>
    </row>
    <row r="404" spans="2:6">
      <c r="B404" s="126" t="s">
        <v>20</v>
      </c>
      <c r="C404" s="127">
        <f>Model!E121</f>
        <v>61200</v>
      </c>
      <c r="D404" s="128"/>
      <c r="E404" s="123">
        <f t="shared" si="9"/>
        <v>808.24088748019017</v>
      </c>
      <c r="F404" s="122"/>
    </row>
    <row r="405" spans="2:6">
      <c r="B405" s="129" t="s">
        <v>21</v>
      </c>
      <c r="C405" s="127">
        <f>Model!E122</f>
        <v>8400</v>
      </c>
      <c r="D405" s="128"/>
      <c r="E405" s="123">
        <f t="shared" si="9"/>
        <v>110.93502377179081</v>
      </c>
      <c r="F405" s="122"/>
    </row>
    <row r="406" spans="2:6">
      <c r="B406" s="124" t="s">
        <v>13</v>
      </c>
      <c r="C406" s="15">
        <f>C403-C404-C405</f>
        <v>318490</v>
      </c>
      <c r="D406" s="14">
        <f>C406/C409</f>
        <v>3.1332021642892278</v>
      </c>
      <c r="E406" s="114">
        <f t="shared" si="9"/>
        <v>4206.1542525092445</v>
      </c>
      <c r="F406" s="125">
        <f>E406/E409</f>
        <v>3.1332021642892278</v>
      </c>
    </row>
    <row r="407" spans="2:6">
      <c r="B407" s="130" t="s">
        <v>22</v>
      </c>
      <c r="C407" s="13">
        <f>Model!E127</f>
        <v>262792</v>
      </c>
      <c r="D407" s="12"/>
      <c r="E407" s="121">
        <f t="shared" si="9"/>
        <v>3470.5758055995775</v>
      </c>
      <c r="F407" s="122"/>
    </row>
    <row r="408" spans="2:6">
      <c r="B408" s="130" t="s">
        <v>23</v>
      </c>
      <c r="C408" s="13">
        <f>C406+C407</f>
        <v>581282</v>
      </c>
      <c r="D408" s="12"/>
      <c r="E408" s="121">
        <f t="shared" si="9"/>
        <v>7676.730058108822</v>
      </c>
      <c r="F408" s="122"/>
    </row>
    <row r="409" spans="2:6" ht="15.75" thickBot="1">
      <c r="B409" s="131" t="s">
        <v>24</v>
      </c>
      <c r="C409" s="132">
        <f>Model!E85</f>
        <v>101650</v>
      </c>
      <c r="D409" s="133"/>
      <c r="E409" s="134">
        <f>C409*$K$394</f>
        <v>1342.445853143159</v>
      </c>
      <c r="F409" s="135"/>
    </row>
    <row r="410" spans="2:6">
      <c r="B410" s="9" t="s">
        <v>25</v>
      </c>
      <c r="C410" s="8">
        <f>+C403-Model!E120</f>
        <v>-15144</v>
      </c>
      <c r="D410" s="7"/>
    </row>
    <row r="411" spans="2:6">
      <c r="B411" s="9"/>
      <c r="C411" s="8"/>
      <c r="D411" s="7"/>
    </row>
    <row r="412" spans="2:6" ht="15.75" thickBot="1">
      <c r="B412" s="6"/>
      <c r="C412" s="5"/>
    </row>
    <row r="413" spans="2:6">
      <c r="B413" s="4" t="s">
        <v>106</v>
      </c>
      <c r="C413" s="136"/>
      <c r="D413" s="106"/>
      <c r="E413" s="106"/>
    </row>
    <row r="414" spans="2:6">
      <c r="B414" s="3">
        <v>2024</v>
      </c>
      <c r="C414" s="137">
        <v>0.3</v>
      </c>
    </row>
    <row r="415" spans="2:6">
      <c r="B415" s="107" t="s">
        <v>84</v>
      </c>
      <c r="C415" s="137">
        <v>0.43</v>
      </c>
    </row>
    <row r="416" spans="2:6" ht="15.75" thickBot="1">
      <c r="B416" s="138" t="s">
        <v>77</v>
      </c>
      <c r="C416" s="139">
        <v>0.26</v>
      </c>
    </row>
    <row r="417" spans="2:4">
      <c r="C417" s="8"/>
    </row>
    <row r="418" spans="2:4" ht="15.75" thickBot="1">
      <c r="B418" s="6"/>
      <c r="C418" s="5"/>
    </row>
    <row r="419" spans="2:4">
      <c r="B419" s="4" t="s">
        <v>107</v>
      </c>
      <c r="C419" s="141" t="s">
        <v>4</v>
      </c>
      <c r="D419" s="119" t="s">
        <v>6</v>
      </c>
    </row>
    <row r="420" spans="2:4">
      <c r="B420" s="107" t="s">
        <v>20</v>
      </c>
      <c r="C420" s="147">
        <f>57970+3230</f>
        <v>61200</v>
      </c>
      <c r="D420" s="142">
        <f>C420*$K$393</f>
        <v>808.24088748019017</v>
      </c>
    </row>
    <row r="421" spans="2:4">
      <c r="B421" s="107" t="s">
        <v>21</v>
      </c>
      <c r="C421" s="147">
        <v>8400</v>
      </c>
      <c r="D421" s="142">
        <f>C421*$K$393</f>
        <v>110.93502377179081</v>
      </c>
    </row>
    <row r="422" spans="2:4">
      <c r="B422" s="107" t="s">
        <v>47</v>
      </c>
      <c r="C422" s="140">
        <v>0</v>
      </c>
      <c r="D422" s="143">
        <f>C422*$K$393</f>
        <v>0</v>
      </c>
    </row>
    <row r="423" spans="2:4" ht="15.75" thickBot="1">
      <c r="B423" s="2" t="s">
        <v>48</v>
      </c>
      <c r="C423" s="144">
        <f>SUM(C420:C422)</f>
        <v>69600</v>
      </c>
      <c r="D423" s="145">
        <f>SUM(D420:D422)</f>
        <v>919.17591125198101</v>
      </c>
    </row>
  </sheetData>
  <pageMargins left="0.7" right="0.7" top="0.75" bottom="0.75" header="0.3" footer="0.3"/>
  <pageSetup orientation="portrait" horizontalDpi="90" verticalDpi="90" r:id="rId1"/>
  <headerFooter>
    <oddFooter>&amp;C_x000D_&amp;1#&amp;"Calibri"&amp;10&amp;K000000 Barings-Corporate</oddFooter>
  </headerFooter>
  <ignoredErrors>
    <ignoredError sqref="E294:E300" formula="1"/>
    <ignoredError sqref="C290" emptyCellReferenc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H279"/>
  <sheetViews>
    <sheetView showGridLines="0" tabSelected="1" zoomScaleNormal="100" workbookViewId="0">
      <pane xSplit="2" ySplit="6" topLeftCell="G7" activePane="bottomRight" state="frozen"/>
      <selection pane="bottomRight" activeCell="B2" sqref="B2"/>
      <selection pane="bottomLeft" activeCell="L24" sqref="L24"/>
      <selection pane="topRight" activeCell="L24" sqref="L24"/>
    </sheetView>
  </sheetViews>
  <sheetFormatPr defaultColWidth="11.42578125" defaultRowHeight="12.75" outlineLevelCol="1"/>
  <cols>
    <col min="1" max="1" width="2.7109375" style="21" customWidth="1"/>
    <col min="2" max="2" width="50.7109375" style="21" customWidth="1"/>
    <col min="3" max="6" width="12.7109375" style="21" hidden="1" customWidth="1" outlineLevel="1"/>
    <col min="7" max="7" width="12.7109375" style="21" customWidth="1" collapsed="1"/>
    <col min="8" max="11" width="12.7109375" style="21" customWidth="1"/>
    <col min="12" max="14" width="12.7109375" style="21" hidden="1" customWidth="1" outlineLevel="1"/>
    <col min="15" max="15" width="12.7109375" style="21" hidden="1" customWidth="1" outlineLevel="1" collapsed="1"/>
    <col min="16" max="19" width="12.7109375" style="21" hidden="1" customWidth="1" outlineLevel="1"/>
    <col min="20" max="20" width="12.7109375" style="21" hidden="1" customWidth="1" outlineLevel="1" collapsed="1"/>
    <col min="21" max="25" width="12.7109375" style="21" hidden="1" customWidth="1" outlineLevel="1"/>
    <col min="26" max="26" width="12.7109375" style="21" customWidth="1" collapsed="1"/>
    <col min="27" max="32" width="12.7109375" style="21" customWidth="1"/>
    <col min="33" max="251" width="11.42578125" style="21"/>
    <col min="252" max="252" width="3.5703125" style="21" customWidth="1"/>
    <col min="253" max="253" width="13.140625" style="21" customWidth="1"/>
    <col min="254" max="261" width="11.42578125" style="21" customWidth="1"/>
    <col min="262" max="262" width="9.85546875" style="21" bestFit="1" customWidth="1"/>
    <col min="263" max="266" width="0" style="21" hidden="1" customWidth="1"/>
    <col min="267" max="275" width="11.42578125" style="21" customWidth="1"/>
    <col min="276" max="507" width="11.42578125" style="21"/>
    <col min="508" max="508" width="3.5703125" style="21" customWidth="1"/>
    <col min="509" max="509" width="13.140625" style="21" customWidth="1"/>
    <col min="510" max="517" width="11.42578125" style="21" customWidth="1"/>
    <col min="518" max="518" width="9.85546875" style="21" bestFit="1" customWidth="1"/>
    <col min="519" max="522" width="0" style="21" hidden="1" customWidth="1"/>
    <col min="523" max="531" width="11.42578125" style="21" customWidth="1"/>
    <col min="532" max="763" width="11.42578125" style="21"/>
    <col min="764" max="764" width="3.5703125" style="21" customWidth="1"/>
    <col min="765" max="765" width="13.140625" style="21" customWidth="1"/>
    <col min="766" max="773" width="11.42578125" style="21" customWidth="1"/>
    <col min="774" max="774" width="9.85546875" style="21" bestFit="1" customWidth="1"/>
    <col min="775" max="778" width="0" style="21" hidden="1" customWidth="1"/>
    <col min="779" max="787" width="11.42578125" style="21" customWidth="1"/>
    <col min="788" max="1019" width="11.42578125" style="21"/>
    <col min="1020" max="1020" width="3.5703125" style="21" customWidth="1"/>
    <col min="1021" max="1021" width="13.140625" style="21" customWidth="1"/>
    <col min="1022" max="1029" width="11.42578125" style="21" customWidth="1"/>
    <col min="1030" max="1030" width="9.85546875" style="21" bestFit="1" customWidth="1"/>
    <col min="1031" max="1034" width="0" style="21" hidden="1" customWidth="1"/>
    <col min="1035" max="1043" width="11.42578125" style="21" customWidth="1"/>
    <col min="1044" max="1275" width="11.42578125" style="21"/>
    <col min="1276" max="1276" width="3.5703125" style="21" customWidth="1"/>
    <col min="1277" max="1277" width="13.140625" style="21" customWidth="1"/>
    <col min="1278" max="1285" width="11.42578125" style="21" customWidth="1"/>
    <col min="1286" max="1286" width="9.85546875" style="21" bestFit="1" customWidth="1"/>
    <col min="1287" max="1290" width="0" style="21" hidden="1" customWidth="1"/>
    <col min="1291" max="1299" width="11.42578125" style="21" customWidth="1"/>
    <col min="1300" max="1531" width="11.42578125" style="21"/>
    <col min="1532" max="1532" width="3.5703125" style="21" customWidth="1"/>
    <col min="1533" max="1533" width="13.140625" style="21" customWidth="1"/>
    <col min="1534" max="1541" width="11.42578125" style="21" customWidth="1"/>
    <col min="1542" max="1542" width="9.85546875" style="21" bestFit="1" customWidth="1"/>
    <col min="1543" max="1546" width="0" style="21" hidden="1" customWidth="1"/>
    <col min="1547" max="1555" width="11.42578125" style="21" customWidth="1"/>
    <col min="1556" max="1787" width="11.42578125" style="21"/>
    <col min="1788" max="1788" width="3.5703125" style="21" customWidth="1"/>
    <col min="1789" max="1789" width="13.140625" style="21" customWidth="1"/>
    <col min="1790" max="1797" width="11.42578125" style="21" customWidth="1"/>
    <col min="1798" max="1798" width="9.85546875" style="21" bestFit="1" customWidth="1"/>
    <col min="1799" max="1802" width="0" style="21" hidden="1" customWidth="1"/>
    <col min="1803" max="1811" width="11.42578125" style="21" customWidth="1"/>
    <col min="1812" max="2043" width="11.42578125" style="21"/>
    <col min="2044" max="2044" width="3.5703125" style="21" customWidth="1"/>
    <col min="2045" max="2045" width="13.140625" style="21" customWidth="1"/>
    <col min="2046" max="2053" width="11.42578125" style="21" customWidth="1"/>
    <col min="2054" max="2054" width="9.85546875" style="21" bestFit="1" customWidth="1"/>
    <col min="2055" max="2058" width="0" style="21" hidden="1" customWidth="1"/>
    <col min="2059" max="2067" width="11.42578125" style="21" customWidth="1"/>
    <col min="2068" max="2299" width="11.42578125" style="21"/>
    <col min="2300" max="2300" width="3.5703125" style="21" customWidth="1"/>
    <col min="2301" max="2301" width="13.140625" style="21" customWidth="1"/>
    <col min="2302" max="2309" width="11.42578125" style="21" customWidth="1"/>
    <col min="2310" max="2310" width="9.85546875" style="21" bestFit="1" customWidth="1"/>
    <col min="2311" max="2314" width="0" style="21" hidden="1" customWidth="1"/>
    <col min="2315" max="2323" width="11.42578125" style="21" customWidth="1"/>
    <col min="2324" max="2555" width="11.42578125" style="21"/>
    <col min="2556" max="2556" width="3.5703125" style="21" customWidth="1"/>
    <col min="2557" max="2557" width="13.140625" style="21" customWidth="1"/>
    <col min="2558" max="2565" width="11.42578125" style="21" customWidth="1"/>
    <col min="2566" max="2566" width="9.85546875" style="21" bestFit="1" customWidth="1"/>
    <col min="2567" max="2570" width="0" style="21" hidden="1" customWidth="1"/>
    <col min="2571" max="2579" width="11.42578125" style="21" customWidth="1"/>
    <col min="2580" max="2811" width="11.42578125" style="21"/>
    <col min="2812" max="2812" width="3.5703125" style="21" customWidth="1"/>
    <col min="2813" max="2813" width="13.140625" style="21" customWidth="1"/>
    <col min="2814" max="2821" width="11.42578125" style="21" customWidth="1"/>
    <col min="2822" max="2822" width="9.85546875" style="21" bestFit="1" customWidth="1"/>
    <col min="2823" max="2826" width="0" style="21" hidden="1" customWidth="1"/>
    <col min="2827" max="2835" width="11.42578125" style="21" customWidth="1"/>
    <col min="2836" max="3067" width="11.42578125" style="21"/>
    <col min="3068" max="3068" width="3.5703125" style="21" customWidth="1"/>
    <col min="3069" max="3069" width="13.140625" style="21" customWidth="1"/>
    <col min="3070" max="3077" width="11.42578125" style="21" customWidth="1"/>
    <col min="3078" max="3078" width="9.85546875" style="21" bestFit="1" customWidth="1"/>
    <col min="3079" max="3082" width="0" style="21" hidden="1" customWidth="1"/>
    <col min="3083" max="3091" width="11.42578125" style="21" customWidth="1"/>
    <col min="3092" max="3323" width="11.42578125" style="21"/>
    <col min="3324" max="3324" width="3.5703125" style="21" customWidth="1"/>
    <col min="3325" max="3325" width="13.140625" style="21" customWidth="1"/>
    <col min="3326" max="3333" width="11.42578125" style="21" customWidth="1"/>
    <col min="3334" max="3334" width="9.85546875" style="21" bestFit="1" customWidth="1"/>
    <col min="3335" max="3338" width="0" style="21" hidden="1" customWidth="1"/>
    <col min="3339" max="3347" width="11.42578125" style="21" customWidth="1"/>
    <col min="3348" max="3579" width="11.42578125" style="21"/>
    <col min="3580" max="3580" width="3.5703125" style="21" customWidth="1"/>
    <col min="3581" max="3581" width="13.140625" style="21" customWidth="1"/>
    <col min="3582" max="3589" width="11.42578125" style="21" customWidth="1"/>
    <col min="3590" max="3590" width="9.85546875" style="21" bestFit="1" customWidth="1"/>
    <col min="3591" max="3594" width="0" style="21" hidden="1" customWidth="1"/>
    <col min="3595" max="3603" width="11.42578125" style="21" customWidth="1"/>
    <col min="3604" max="3835" width="11.42578125" style="21"/>
    <col min="3836" max="3836" width="3.5703125" style="21" customWidth="1"/>
    <col min="3837" max="3837" width="13.140625" style="21" customWidth="1"/>
    <col min="3838" max="3845" width="11.42578125" style="21" customWidth="1"/>
    <col min="3846" max="3846" width="9.85546875" style="21" bestFit="1" customWidth="1"/>
    <col min="3847" max="3850" width="0" style="21" hidden="1" customWidth="1"/>
    <col min="3851" max="3859" width="11.42578125" style="21" customWidth="1"/>
    <col min="3860" max="4091" width="11.42578125" style="21"/>
    <col min="4092" max="4092" width="3.5703125" style="21" customWidth="1"/>
    <col min="4093" max="4093" width="13.140625" style="21" customWidth="1"/>
    <col min="4094" max="4101" width="11.42578125" style="21" customWidth="1"/>
    <col min="4102" max="4102" width="9.85546875" style="21" bestFit="1" customWidth="1"/>
    <col min="4103" max="4106" width="0" style="21" hidden="1" customWidth="1"/>
    <col min="4107" max="4115" width="11.42578125" style="21" customWidth="1"/>
    <col min="4116" max="4347" width="11.42578125" style="21"/>
    <col min="4348" max="4348" width="3.5703125" style="21" customWidth="1"/>
    <col min="4349" max="4349" width="13.140625" style="21" customWidth="1"/>
    <col min="4350" max="4357" width="11.42578125" style="21" customWidth="1"/>
    <col min="4358" max="4358" width="9.85546875" style="21" bestFit="1" customWidth="1"/>
    <col min="4359" max="4362" width="0" style="21" hidden="1" customWidth="1"/>
    <col min="4363" max="4371" width="11.42578125" style="21" customWidth="1"/>
    <col min="4372" max="4603" width="11.42578125" style="21"/>
    <col min="4604" max="4604" width="3.5703125" style="21" customWidth="1"/>
    <col min="4605" max="4605" width="13.140625" style="21" customWidth="1"/>
    <col min="4606" max="4613" width="11.42578125" style="21" customWidth="1"/>
    <col min="4614" max="4614" width="9.85546875" style="21" bestFit="1" customWidth="1"/>
    <col min="4615" max="4618" width="0" style="21" hidden="1" customWidth="1"/>
    <col min="4619" max="4627" width="11.42578125" style="21" customWidth="1"/>
    <col min="4628" max="4859" width="11.42578125" style="21"/>
    <col min="4860" max="4860" width="3.5703125" style="21" customWidth="1"/>
    <col min="4861" max="4861" width="13.140625" style="21" customWidth="1"/>
    <col min="4862" max="4869" width="11.42578125" style="21" customWidth="1"/>
    <col min="4870" max="4870" width="9.85546875" style="21" bestFit="1" customWidth="1"/>
    <col min="4871" max="4874" width="0" style="21" hidden="1" customWidth="1"/>
    <col min="4875" max="4883" width="11.42578125" style="21" customWidth="1"/>
    <col min="4884" max="5115" width="11.42578125" style="21"/>
    <col min="5116" max="5116" width="3.5703125" style="21" customWidth="1"/>
    <col min="5117" max="5117" width="13.140625" style="21" customWidth="1"/>
    <col min="5118" max="5125" width="11.42578125" style="21" customWidth="1"/>
    <col min="5126" max="5126" width="9.85546875" style="21" bestFit="1" customWidth="1"/>
    <col min="5127" max="5130" width="0" style="21" hidden="1" customWidth="1"/>
    <col min="5131" max="5139" width="11.42578125" style="21" customWidth="1"/>
    <col min="5140" max="5371" width="11.42578125" style="21"/>
    <col min="5372" max="5372" width="3.5703125" style="21" customWidth="1"/>
    <col min="5373" max="5373" width="13.140625" style="21" customWidth="1"/>
    <col min="5374" max="5381" width="11.42578125" style="21" customWidth="1"/>
    <col min="5382" max="5382" width="9.85546875" style="21" bestFit="1" customWidth="1"/>
    <col min="5383" max="5386" width="0" style="21" hidden="1" customWidth="1"/>
    <col min="5387" max="5395" width="11.42578125" style="21" customWidth="1"/>
    <col min="5396" max="5627" width="11.42578125" style="21"/>
    <col min="5628" max="5628" width="3.5703125" style="21" customWidth="1"/>
    <col min="5629" max="5629" width="13.140625" style="21" customWidth="1"/>
    <col min="5630" max="5637" width="11.42578125" style="21" customWidth="1"/>
    <col min="5638" max="5638" width="9.85546875" style="21" bestFit="1" customWidth="1"/>
    <col min="5639" max="5642" width="0" style="21" hidden="1" customWidth="1"/>
    <col min="5643" max="5651" width="11.42578125" style="21" customWidth="1"/>
    <col min="5652" max="5883" width="11.42578125" style="21"/>
    <col min="5884" max="5884" width="3.5703125" style="21" customWidth="1"/>
    <col min="5885" max="5885" width="13.140625" style="21" customWidth="1"/>
    <col min="5886" max="5893" width="11.42578125" style="21" customWidth="1"/>
    <col min="5894" max="5894" width="9.85546875" style="21" bestFit="1" customWidth="1"/>
    <col min="5895" max="5898" width="0" style="21" hidden="1" customWidth="1"/>
    <col min="5899" max="5907" width="11.42578125" style="21" customWidth="1"/>
    <col min="5908" max="6139" width="11.42578125" style="21"/>
    <col min="6140" max="6140" width="3.5703125" style="21" customWidth="1"/>
    <col min="6141" max="6141" width="13.140625" style="21" customWidth="1"/>
    <col min="6142" max="6149" width="11.42578125" style="21" customWidth="1"/>
    <col min="6150" max="6150" width="9.85546875" style="21" bestFit="1" customWidth="1"/>
    <col min="6151" max="6154" width="0" style="21" hidden="1" customWidth="1"/>
    <col min="6155" max="6163" width="11.42578125" style="21" customWidth="1"/>
    <col min="6164" max="6395" width="11.42578125" style="21"/>
    <col min="6396" max="6396" width="3.5703125" style="21" customWidth="1"/>
    <col min="6397" max="6397" width="13.140625" style="21" customWidth="1"/>
    <col min="6398" max="6405" width="11.42578125" style="21" customWidth="1"/>
    <col min="6406" max="6406" width="9.85546875" style="21" bestFit="1" customWidth="1"/>
    <col min="6407" max="6410" width="0" style="21" hidden="1" customWidth="1"/>
    <col min="6411" max="6419" width="11.42578125" style="21" customWidth="1"/>
    <col min="6420" max="6651" width="11.42578125" style="21"/>
    <col min="6652" max="6652" width="3.5703125" style="21" customWidth="1"/>
    <col min="6653" max="6653" width="13.140625" style="21" customWidth="1"/>
    <col min="6654" max="6661" width="11.42578125" style="21" customWidth="1"/>
    <col min="6662" max="6662" width="9.85546875" style="21" bestFit="1" customWidth="1"/>
    <col min="6663" max="6666" width="0" style="21" hidden="1" customWidth="1"/>
    <col min="6667" max="6675" width="11.42578125" style="21" customWidth="1"/>
    <col min="6676" max="6907" width="11.42578125" style="21"/>
    <col min="6908" max="6908" width="3.5703125" style="21" customWidth="1"/>
    <col min="6909" max="6909" width="13.140625" style="21" customWidth="1"/>
    <col min="6910" max="6917" width="11.42578125" style="21" customWidth="1"/>
    <col min="6918" max="6918" width="9.85546875" style="21" bestFit="1" customWidth="1"/>
    <col min="6919" max="6922" width="0" style="21" hidden="1" customWidth="1"/>
    <col min="6923" max="6931" width="11.42578125" style="21" customWidth="1"/>
    <col min="6932" max="7163" width="11.42578125" style="21"/>
    <col min="7164" max="7164" width="3.5703125" style="21" customWidth="1"/>
    <col min="7165" max="7165" width="13.140625" style="21" customWidth="1"/>
    <col min="7166" max="7173" width="11.42578125" style="21" customWidth="1"/>
    <col min="7174" max="7174" width="9.85546875" style="21" bestFit="1" customWidth="1"/>
    <col min="7175" max="7178" width="0" style="21" hidden="1" customWidth="1"/>
    <col min="7179" max="7187" width="11.42578125" style="21" customWidth="1"/>
    <col min="7188" max="7419" width="11.42578125" style="21"/>
    <col min="7420" max="7420" width="3.5703125" style="21" customWidth="1"/>
    <col min="7421" max="7421" width="13.140625" style="21" customWidth="1"/>
    <col min="7422" max="7429" width="11.42578125" style="21" customWidth="1"/>
    <col min="7430" max="7430" width="9.85546875" style="21" bestFit="1" customWidth="1"/>
    <col min="7431" max="7434" width="0" style="21" hidden="1" customWidth="1"/>
    <col min="7435" max="7443" width="11.42578125" style="21" customWidth="1"/>
    <col min="7444" max="7675" width="11.42578125" style="21"/>
    <col min="7676" max="7676" width="3.5703125" style="21" customWidth="1"/>
    <col min="7677" max="7677" width="13.140625" style="21" customWidth="1"/>
    <col min="7678" max="7685" width="11.42578125" style="21" customWidth="1"/>
    <col min="7686" max="7686" width="9.85546875" style="21" bestFit="1" customWidth="1"/>
    <col min="7687" max="7690" width="0" style="21" hidden="1" customWidth="1"/>
    <col min="7691" max="7699" width="11.42578125" style="21" customWidth="1"/>
    <col min="7700" max="7931" width="11.42578125" style="21"/>
    <col min="7932" max="7932" width="3.5703125" style="21" customWidth="1"/>
    <col min="7933" max="7933" width="13.140625" style="21" customWidth="1"/>
    <col min="7934" max="7941" width="11.42578125" style="21" customWidth="1"/>
    <col min="7942" max="7942" width="9.85546875" style="21" bestFit="1" customWidth="1"/>
    <col min="7943" max="7946" width="0" style="21" hidden="1" customWidth="1"/>
    <col min="7947" max="7955" width="11.42578125" style="21" customWidth="1"/>
    <col min="7956" max="8187" width="11.42578125" style="21"/>
    <col min="8188" max="8188" width="3.5703125" style="21" customWidth="1"/>
    <col min="8189" max="8189" width="13.140625" style="21" customWidth="1"/>
    <col min="8190" max="8197" width="11.42578125" style="21" customWidth="1"/>
    <col min="8198" max="8198" width="9.85546875" style="21" bestFit="1" customWidth="1"/>
    <col min="8199" max="8202" width="0" style="21" hidden="1" customWidth="1"/>
    <col min="8203" max="8211" width="11.42578125" style="21" customWidth="1"/>
    <col min="8212" max="8443" width="11.42578125" style="21"/>
    <col min="8444" max="8444" width="3.5703125" style="21" customWidth="1"/>
    <col min="8445" max="8445" width="13.140625" style="21" customWidth="1"/>
    <col min="8446" max="8453" width="11.42578125" style="21" customWidth="1"/>
    <col min="8454" max="8454" width="9.85546875" style="21" bestFit="1" customWidth="1"/>
    <col min="8455" max="8458" width="0" style="21" hidden="1" customWidth="1"/>
    <col min="8459" max="8467" width="11.42578125" style="21" customWidth="1"/>
    <col min="8468" max="8699" width="11.42578125" style="21"/>
    <col min="8700" max="8700" width="3.5703125" style="21" customWidth="1"/>
    <col min="8701" max="8701" width="13.140625" style="21" customWidth="1"/>
    <col min="8702" max="8709" width="11.42578125" style="21" customWidth="1"/>
    <col min="8710" max="8710" width="9.85546875" style="21" bestFit="1" customWidth="1"/>
    <col min="8711" max="8714" width="0" style="21" hidden="1" customWidth="1"/>
    <col min="8715" max="8723" width="11.42578125" style="21" customWidth="1"/>
    <col min="8724" max="8955" width="11.42578125" style="21"/>
    <col min="8956" max="8956" width="3.5703125" style="21" customWidth="1"/>
    <col min="8957" max="8957" width="13.140625" style="21" customWidth="1"/>
    <col min="8958" max="8965" width="11.42578125" style="21" customWidth="1"/>
    <col min="8966" max="8966" width="9.85546875" style="21" bestFit="1" customWidth="1"/>
    <col min="8967" max="8970" width="0" style="21" hidden="1" customWidth="1"/>
    <col min="8971" max="8979" width="11.42578125" style="21" customWidth="1"/>
    <col min="8980" max="9211" width="11.42578125" style="21"/>
    <col min="9212" max="9212" width="3.5703125" style="21" customWidth="1"/>
    <col min="9213" max="9213" width="13.140625" style="21" customWidth="1"/>
    <col min="9214" max="9221" width="11.42578125" style="21" customWidth="1"/>
    <col min="9222" max="9222" width="9.85546875" style="21" bestFit="1" customWidth="1"/>
    <col min="9223" max="9226" width="0" style="21" hidden="1" customWidth="1"/>
    <col min="9227" max="9235" width="11.42578125" style="21" customWidth="1"/>
    <col min="9236" max="9467" width="11.42578125" style="21"/>
    <col min="9468" max="9468" width="3.5703125" style="21" customWidth="1"/>
    <col min="9469" max="9469" width="13.140625" style="21" customWidth="1"/>
    <col min="9470" max="9477" width="11.42578125" style="21" customWidth="1"/>
    <col min="9478" max="9478" width="9.85546875" style="21" bestFit="1" customWidth="1"/>
    <col min="9479" max="9482" width="0" style="21" hidden="1" customWidth="1"/>
    <col min="9483" max="9491" width="11.42578125" style="21" customWidth="1"/>
    <col min="9492" max="9723" width="11.42578125" style="21"/>
    <col min="9724" max="9724" width="3.5703125" style="21" customWidth="1"/>
    <col min="9725" max="9725" width="13.140625" style="21" customWidth="1"/>
    <col min="9726" max="9733" width="11.42578125" style="21" customWidth="1"/>
    <col min="9734" max="9734" width="9.85546875" style="21" bestFit="1" customWidth="1"/>
    <col min="9735" max="9738" width="0" style="21" hidden="1" customWidth="1"/>
    <col min="9739" max="9747" width="11.42578125" style="21" customWidth="1"/>
    <col min="9748" max="9979" width="11.42578125" style="21"/>
    <col min="9980" max="9980" width="3.5703125" style="21" customWidth="1"/>
    <col min="9981" max="9981" width="13.140625" style="21" customWidth="1"/>
    <col min="9982" max="9989" width="11.42578125" style="21" customWidth="1"/>
    <col min="9990" max="9990" width="9.85546875" style="21" bestFit="1" customWidth="1"/>
    <col min="9991" max="9994" width="0" style="21" hidden="1" customWidth="1"/>
    <col min="9995" max="10003" width="11.42578125" style="21" customWidth="1"/>
    <col min="10004" max="10235" width="11.42578125" style="21"/>
    <col min="10236" max="10236" width="3.5703125" style="21" customWidth="1"/>
    <col min="10237" max="10237" width="13.140625" style="21" customWidth="1"/>
    <col min="10238" max="10245" width="11.42578125" style="21" customWidth="1"/>
    <col min="10246" max="10246" width="9.85546875" style="21" bestFit="1" customWidth="1"/>
    <col min="10247" max="10250" width="0" style="21" hidden="1" customWidth="1"/>
    <col min="10251" max="10259" width="11.42578125" style="21" customWidth="1"/>
    <col min="10260" max="10491" width="11.42578125" style="21"/>
    <col min="10492" max="10492" width="3.5703125" style="21" customWidth="1"/>
    <col min="10493" max="10493" width="13.140625" style="21" customWidth="1"/>
    <col min="10494" max="10501" width="11.42578125" style="21" customWidth="1"/>
    <col min="10502" max="10502" width="9.85546875" style="21" bestFit="1" customWidth="1"/>
    <col min="10503" max="10506" width="0" style="21" hidden="1" customWidth="1"/>
    <col min="10507" max="10515" width="11.42578125" style="21" customWidth="1"/>
    <col min="10516" max="10747" width="11.42578125" style="21"/>
    <col min="10748" max="10748" width="3.5703125" style="21" customWidth="1"/>
    <col min="10749" max="10749" width="13.140625" style="21" customWidth="1"/>
    <col min="10750" max="10757" width="11.42578125" style="21" customWidth="1"/>
    <col min="10758" max="10758" width="9.85546875" style="21" bestFit="1" customWidth="1"/>
    <col min="10759" max="10762" width="0" style="21" hidden="1" customWidth="1"/>
    <col min="10763" max="10771" width="11.42578125" style="21" customWidth="1"/>
    <col min="10772" max="11003" width="11.42578125" style="21"/>
    <col min="11004" max="11004" width="3.5703125" style="21" customWidth="1"/>
    <col min="11005" max="11005" width="13.140625" style="21" customWidth="1"/>
    <col min="11006" max="11013" width="11.42578125" style="21" customWidth="1"/>
    <col min="11014" max="11014" width="9.85546875" style="21" bestFit="1" customWidth="1"/>
    <col min="11015" max="11018" width="0" style="21" hidden="1" customWidth="1"/>
    <col min="11019" max="11027" width="11.42578125" style="21" customWidth="1"/>
    <col min="11028" max="11259" width="11.42578125" style="21"/>
    <col min="11260" max="11260" width="3.5703125" style="21" customWidth="1"/>
    <col min="11261" max="11261" width="13.140625" style="21" customWidth="1"/>
    <col min="11262" max="11269" width="11.42578125" style="21" customWidth="1"/>
    <col min="11270" max="11270" width="9.85546875" style="21" bestFit="1" customWidth="1"/>
    <col min="11271" max="11274" width="0" style="21" hidden="1" customWidth="1"/>
    <col min="11275" max="11283" width="11.42578125" style="21" customWidth="1"/>
    <col min="11284" max="11515" width="11.42578125" style="21"/>
    <col min="11516" max="11516" width="3.5703125" style="21" customWidth="1"/>
    <col min="11517" max="11517" width="13.140625" style="21" customWidth="1"/>
    <col min="11518" max="11525" width="11.42578125" style="21" customWidth="1"/>
    <col min="11526" max="11526" width="9.85546875" style="21" bestFit="1" customWidth="1"/>
    <col min="11527" max="11530" width="0" style="21" hidden="1" customWidth="1"/>
    <col min="11531" max="11539" width="11.42578125" style="21" customWidth="1"/>
    <col min="11540" max="11771" width="11.42578125" style="21"/>
    <col min="11772" max="11772" width="3.5703125" style="21" customWidth="1"/>
    <col min="11773" max="11773" width="13.140625" style="21" customWidth="1"/>
    <col min="11774" max="11781" width="11.42578125" style="21" customWidth="1"/>
    <col min="11782" max="11782" width="9.85546875" style="21" bestFit="1" customWidth="1"/>
    <col min="11783" max="11786" width="0" style="21" hidden="1" customWidth="1"/>
    <col min="11787" max="11795" width="11.42578125" style="21" customWidth="1"/>
    <col min="11796" max="12027" width="11.42578125" style="21"/>
    <col min="12028" max="12028" width="3.5703125" style="21" customWidth="1"/>
    <col min="12029" max="12029" width="13.140625" style="21" customWidth="1"/>
    <col min="12030" max="12037" width="11.42578125" style="21" customWidth="1"/>
    <col min="12038" max="12038" width="9.85546875" style="21" bestFit="1" customWidth="1"/>
    <col min="12039" max="12042" width="0" style="21" hidden="1" customWidth="1"/>
    <col min="12043" max="12051" width="11.42578125" style="21" customWidth="1"/>
    <col min="12052" max="12283" width="11.42578125" style="21"/>
    <col min="12284" max="12284" width="3.5703125" style="21" customWidth="1"/>
    <col min="12285" max="12285" width="13.140625" style="21" customWidth="1"/>
    <col min="12286" max="12293" width="11.42578125" style="21" customWidth="1"/>
    <col min="12294" max="12294" width="9.85546875" style="21" bestFit="1" customWidth="1"/>
    <col min="12295" max="12298" width="0" style="21" hidden="1" customWidth="1"/>
    <col min="12299" max="12307" width="11.42578125" style="21" customWidth="1"/>
    <col min="12308" max="12539" width="11.42578125" style="21"/>
    <col min="12540" max="12540" width="3.5703125" style="21" customWidth="1"/>
    <col min="12541" max="12541" width="13.140625" style="21" customWidth="1"/>
    <col min="12542" max="12549" width="11.42578125" style="21" customWidth="1"/>
    <col min="12550" max="12550" width="9.85546875" style="21" bestFit="1" customWidth="1"/>
    <col min="12551" max="12554" width="0" style="21" hidden="1" customWidth="1"/>
    <col min="12555" max="12563" width="11.42578125" style="21" customWidth="1"/>
    <col min="12564" max="12795" width="11.42578125" style="21"/>
    <col min="12796" max="12796" width="3.5703125" style="21" customWidth="1"/>
    <col min="12797" max="12797" width="13.140625" style="21" customWidth="1"/>
    <col min="12798" max="12805" width="11.42578125" style="21" customWidth="1"/>
    <col min="12806" max="12806" width="9.85546875" style="21" bestFit="1" customWidth="1"/>
    <col min="12807" max="12810" width="0" style="21" hidden="1" customWidth="1"/>
    <col min="12811" max="12819" width="11.42578125" style="21" customWidth="1"/>
    <col min="12820" max="13051" width="11.42578125" style="21"/>
    <col min="13052" max="13052" width="3.5703125" style="21" customWidth="1"/>
    <col min="13053" max="13053" width="13.140625" style="21" customWidth="1"/>
    <col min="13054" max="13061" width="11.42578125" style="21" customWidth="1"/>
    <col min="13062" max="13062" width="9.85546875" style="21" bestFit="1" customWidth="1"/>
    <col min="13063" max="13066" width="0" style="21" hidden="1" customWidth="1"/>
    <col min="13067" max="13075" width="11.42578125" style="21" customWidth="1"/>
    <col min="13076" max="13307" width="11.42578125" style="21"/>
    <col min="13308" max="13308" width="3.5703125" style="21" customWidth="1"/>
    <col min="13309" max="13309" width="13.140625" style="21" customWidth="1"/>
    <col min="13310" max="13317" width="11.42578125" style="21" customWidth="1"/>
    <col min="13318" max="13318" width="9.85546875" style="21" bestFit="1" customWidth="1"/>
    <col min="13319" max="13322" width="0" style="21" hidden="1" customWidth="1"/>
    <col min="13323" max="13331" width="11.42578125" style="21" customWidth="1"/>
    <col min="13332" max="13563" width="11.42578125" style="21"/>
    <col min="13564" max="13564" width="3.5703125" style="21" customWidth="1"/>
    <col min="13565" max="13565" width="13.140625" style="21" customWidth="1"/>
    <col min="13566" max="13573" width="11.42578125" style="21" customWidth="1"/>
    <col min="13574" max="13574" width="9.85546875" style="21" bestFit="1" customWidth="1"/>
    <col min="13575" max="13578" width="0" style="21" hidden="1" customWidth="1"/>
    <col min="13579" max="13587" width="11.42578125" style="21" customWidth="1"/>
    <col min="13588" max="13819" width="11.42578125" style="21"/>
    <col min="13820" max="13820" width="3.5703125" style="21" customWidth="1"/>
    <col min="13821" max="13821" width="13.140625" style="21" customWidth="1"/>
    <col min="13822" max="13829" width="11.42578125" style="21" customWidth="1"/>
    <col min="13830" max="13830" width="9.85546875" style="21" bestFit="1" customWidth="1"/>
    <col min="13831" max="13834" width="0" style="21" hidden="1" customWidth="1"/>
    <col min="13835" max="13843" width="11.42578125" style="21" customWidth="1"/>
    <col min="13844" max="14075" width="11.42578125" style="21"/>
    <col min="14076" max="14076" width="3.5703125" style="21" customWidth="1"/>
    <col min="14077" max="14077" width="13.140625" style="21" customWidth="1"/>
    <col min="14078" max="14085" width="11.42578125" style="21" customWidth="1"/>
    <col min="14086" max="14086" width="9.85546875" style="21" bestFit="1" customWidth="1"/>
    <col min="14087" max="14090" width="0" style="21" hidden="1" customWidth="1"/>
    <col min="14091" max="14099" width="11.42578125" style="21" customWidth="1"/>
    <col min="14100" max="14331" width="11.42578125" style="21"/>
    <col min="14332" max="14332" width="3.5703125" style="21" customWidth="1"/>
    <col min="14333" max="14333" width="13.140625" style="21" customWidth="1"/>
    <col min="14334" max="14341" width="11.42578125" style="21" customWidth="1"/>
    <col min="14342" max="14342" width="9.85546875" style="21" bestFit="1" customWidth="1"/>
    <col min="14343" max="14346" width="0" style="21" hidden="1" customWidth="1"/>
    <col min="14347" max="14355" width="11.42578125" style="21" customWidth="1"/>
    <col min="14356" max="14587" width="11.42578125" style="21"/>
    <col min="14588" max="14588" width="3.5703125" style="21" customWidth="1"/>
    <col min="14589" max="14589" width="13.140625" style="21" customWidth="1"/>
    <col min="14590" max="14597" width="11.42578125" style="21" customWidth="1"/>
    <col min="14598" max="14598" width="9.85546875" style="21" bestFit="1" customWidth="1"/>
    <col min="14599" max="14602" width="0" style="21" hidden="1" customWidth="1"/>
    <col min="14603" max="14611" width="11.42578125" style="21" customWidth="1"/>
    <col min="14612" max="14843" width="11.42578125" style="21"/>
    <col min="14844" max="14844" width="3.5703125" style="21" customWidth="1"/>
    <col min="14845" max="14845" width="13.140625" style="21" customWidth="1"/>
    <col min="14846" max="14853" width="11.42578125" style="21" customWidth="1"/>
    <col min="14854" max="14854" width="9.85546875" style="21" bestFit="1" customWidth="1"/>
    <col min="14855" max="14858" width="0" style="21" hidden="1" customWidth="1"/>
    <col min="14859" max="14867" width="11.42578125" style="21" customWidth="1"/>
    <col min="14868" max="15099" width="11.42578125" style="21"/>
    <col min="15100" max="15100" width="3.5703125" style="21" customWidth="1"/>
    <col min="15101" max="15101" width="13.140625" style="21" customWidth="1"/>
    <col min="15102" max="15109" width="11.42578125" style="21" customWidth="1"/>
    <col min="15110" max="15110" width="9.85546875" style="21" bestFit="1" customWidth="1"/>
    <col min="15111" max="15114" width="0" style="21" hidden="1" customWidth="1"/>
    <col min="15115" max="15123" width="11.42578125" style="21" customWidth="1"/>
    <col min="15124" max="15355" width="11.42578125" style="21"/>
    <col min="15356" max="15356" width="3.5703125" style="21" customWidth="1"/>
    <col min="15357" max="15357" width="13.140625" style="21" customWidth="1"/>
    <col min="15358" max="15365" width="11.42578125" style="21" customWidth="1"/>
    <col min="15366" max="15366" width="9.85546875" style="21" bestFit="1" customWidth="1"/>
    <col min="15367" max="15370" width="0" style="21" hidden="1" customWidth="1"/>
    <col min="15371" max="15379" width="11.42578125" style="21" customWidth="1"/>
    <col min="15380" max="15611" width="11.42578125" style="21"/>
    <col min="15612" max="15612" width="3.5703125" style="21" customWidth="1"/>
    <col min="15613" max="15613" width="13.140625" style="21" customWidth="1"/>
    <col min="15614" max="15621" width="11.42578125" style="21" customWidth="1"/>
    <col min="15622" max="15622" width="9.85546875" style="21" bestFit="1" customWidth="1"/>
    <col min="15623" max="15626" width="0" style="21" hidden="1" customWidth="1"/>
    <col min="15627" max="15635" width="11.42578125" style="21" customWidth="1"/>
    <col min="15636" max="15867" width="11.42578125" style="21"/>
    <col min="15868" max="15868" width="3.5703125" style="21" customWidth="1"/>
    <col min="15869" max="15869" width="13.140625" style="21" customWidth="1"/>
    <col min="15870" max="15877" width="11.42578125" style="21" customWidth="1"/>
    <col min="15878" max="15878" width="9.85546875" style="21" bestFit="1" customWidth="1"/>
    <col min="15879" max="15882" width="0" style="21" hidden="1" customWidth="1"/>
    <col min="15883" max="15891" width="11.42578125" style="21" customWidth="1"/>
    <col min="15892" max="16123" width="11.42578125" style="21"/>
    <col min="16124" max="16124" width="3.5703125" style="21" customWidth="1"/>
    <col min="16125" max="16125" width="13.140625" style="21" customWidth="1"/>
    <col min="16126" max="16133" width="11.42578125" style="21" customWidth="1"/>
    <col min="16134" max="16134" width="9.85546875" style="21" bestFit="1" customWidth="1"/>
    <col min="16135" max="16138" width="0" style="21" hidden="1" customWidth="1"/>
    <col min="16139" max="16147" width="11.42578125" style="21" customWidth="1"/>
    <col min="16148" max="16384" width="11.42578125" style="21"/>
  </cols>
  <sheetData>
    <row r="2" spans="2:31" s="45" customFormat="1" ht="24.75" customHeight="1">
      <c r="B2" s="109" t="s">
        <v>108</v>
      </c>
      <c r="C2" s="82" t="s">
        <v>109</v>
      </c>
      <c r="D2" s="82" t="s">
        <v>109</v>
      </c>
      <c r="E2" s="82" t="s">
        <v>109</v>
      </c>
      <c r="F2" s="82" t="s">
        <v>109</v>
      </c>
      <c r="G2" s="82" t="s">
        <v>109</v>
      </c>
      <c r="H2" s="82" t="s">
        <v>109</v>
      </c>
      <c r="I2" s="82" t="s">
        <v>109</v>
      </c>
      <c r="J2" s="82" t="s">
        <v>110</v>
      </c>
      <c r="K2" s="234"/>
      <c r="L2" s="82" t="s">
        <v>111</v>
      </c>
      <c r="M2" s="82" t="s">
        <v>111</v>
      </c>
      <c r="N2" s="82" t="s">
        <v>111</v>
      </c>
      <c r="O2" s="82" t="s">
        <v>111</v>
      </c>
      <c r="P2" s="82" t="s">
        <v>111</v>
      </c>
      <c r="Q2" s="82" t="s">
        <v>111</v>
      </c>
      <c r="R2" s="82" t="s">
        <v>111</v>
      </c>
      <c r="S2" s="82" t="s">
        <v>111</v>
      </c>
      <c r="T2" s="82" t="s">
        <v>111</v>
      </c>
      <c r="U2" s="82" t="s">
        <v>111</v>
      </c>
      <c r="V2" s="82" t="s">
        <v>111</v>
      </c>
      <c r="W2" s="82" t="s">
        <v>111</v>
      </c>
      <c r="X2" s="82" t="s">
        <v>111</v>
      </c>
      <c r="Y2" s="82" t="s">
        <v>111</v>
      </c>
      <c r="Z2" s="82" t="s">
        <v>111</v>
      </c>
      <c r="AA2" s="82" t="s">
        <v>111</v>
      </c>
      <c r="AB2" s="82" t="s">
        <v>111</v>
      </c>
      <c r="AC2" s="82" t="s">
        <v>111</v>
      </c>
      <c r="AD2" s="82" t="s">
        <v>111</v>
      </c>
      <c r="AE2" s="82" t="s">
        <v>111</v>
      </c>
    </row>
    <row r="3" spans="2:31" s="45" customFormat="1" ht="13.5" customHeight="1">
      <c r="B3" s="44" t="s">
        <v>112</v>
      </c>
      <c r="C3" s="43">
        <v>43921</v>
      </c>
      <c r="D3" s="43">
        <v>44286</v>
      </c>
      <c r="E3" s="43">
        <v>44651</v>
      </c>
      <c r="F3" s="43">
        <v>45016</v>
      </c>
      <c r="G3" s="43">
        <v>45382</v>
      </c>
      <c r="H3" s="43">
        <v>45747</v>
      </c>
      <c r="I3" s="43">
        <v>46112</v>
      </c>
      <c r="J3" s="43">
        <f>AE3</f>
        <v>46112</v>
      </c>
      <c r="K3" s="235"/>
      <c r="L3" s="43">
        <v>44377</v>
      </c>
      <c r="M3" s="43">
        <v>44469</v>
      </c>
      <c r="N3" s="43">
        <v>44561</v>
      </c>
      <c r="O3" s="43">
        <v>44651</v>
      </c>
      <c r="P3" s="43">
        <v>44742</v>
      </c>
      <c r="Q3" s="43">
        <v>44834</v>
      </c>
      <c r="R3" s="43">
        <v>44926</v>
      </c>
      <c r="S3" s="43">
        <v>45016</v>
      </c>
      <c r="T3" s="43">
        <v>45107</v>
      </c>
      <c r="U3" s="43">
        <v>45199</v>
      </c>
      <c r="V3" s="43">
        <v>45291</v>
      </c>
      <c r="W3" s="43">
        <v>45382</v>
      </c>
      <c r="X3" s="43">
        <v>45473</v>
      </c>
      <c r="Y3" s="43">
        <v>45565</v>
      </c>
      <c r="Z3" s="43">
        <v>45657</v>
      </c>
      <c r="AA3" s="43">
        <v>45747</v>
      </c>
      <c r="AB3" s="43">
        <v>45838</v>
      </c>
      <c r="AC3" s="43">
        <v>45930</v>
      </c>
      <c r="AD3" s="43">
        <v>46022</v>
      </c>
      <c r="AE3" s="43">
        <v>46112</v>
      </c>
    </row>
    <row r="4" spans="2:31" s="26" customFormat="1" ht="13.5" customHeight="1">
      <c r="B4" s="48"/>
      <c r="C4" s="43" t="s">
        <v>113</v>
      </c>
      <c r="D4" s="43" t="s">
        <v>113</v>
      </c>
      <c r="E4" s="43" t="s">
        <v>113</v>
      </c>
      <c r="F4" s="43" t="s">
        <v>113</v>
      </c>
      <c r="G4" s="43" t="s">
        <v>113</v>
      </c>
      <c r="H4" s="43" t="s">
        <v>113</v>
      </c>
      <c r="I4" s="43" t="s">
        <v>113</v>
      </c>
      <c r="J4" s="43" t="s">
        <v>113</v>
      </c>
      <c r="K4" s="235"/>
      <c r="L4" s="43" t="s">
        <v>113</v>
      </c>
      <c r="M4" s="43" t="s">
        <v>113</v>
      </c>
      <c r="N4" s="43" t="s">
        <v>113</v>
      </c>
      <c r="O4" s="43" t="s">
        <v>113</v>
      </c>
      <c r="P4" s="43" t="s">
        <v>113</v>
      </c>
      <c r="Q4" s="43" t="s">
        <v>113</v>
      </c>
      <c r="R4" s="43" t="s">
        <v>113</v>
      </c>
      <c r="S4" s="43" t="s">
        <v>113</v>
      </c>
      <c r="T4" s="43" t="s">
        <v>113</v>
      </c>
      <c r="U4" s="43" t="s">
        <v>113</v>
      </c>
      <c r="V4" s="43" t="s">
        <v>113</v>
      </c>
      <c r="W4" s="43" t="s">
        <v>113</v>
      </c>
      <c r="X4" s="43" t="s">
        <v>113</v>
      </c>
      <c r="Y4" s="43" t="s">
        <v>113</v>
      </c>
      <c r="Z4" s="43" t="s">
        <v>113</v>
      </c>
      <c r="AA4" s="43" t="s">
        <v>113</v>
      </c>
      <c r="AB4" s="43" t="s">
        <v>113</v>
      </c>
      <c r="AC4" s="43" t="s">
        <v>113</v>
      </c>
      <c r="AD4" s="43" t="s">
        <v>113</v>
      </c>
      <c r="AE4" s="43" t="s">
        <v>113</v>
      </c>
    </row>
    <row r="5" spans="2:31" s="79" customFormat="1" ht="13.5" customHeight="1">
      <c r="C5" s="81" t="s">
        <v>114</v>
      </c>
      <c r="D5" s="81" t="s">
        <v>114</v>
      </c>
      <c r="E5" s="81" t="s">
        <v>114</v>
      </c>
      <c r="F5" s="81" t="s">
        <v>114</v>
      </c>
      <c r="G5" s="81" t="s">
        <v>114</v>
      </c>
      <c r="H5" s="81" t="s">
        <v>114</v>
      </c>
      <c r="I5" s="81" t="s">
        <v>114</v>
      </c>
      <c r="J5" s="80" t="s">
        <v>110</v>
      </c>
      <c r="K5" s="81"/>
      <c r="L5" s="81" t="s">
        <v>115</v>
      </c>
      <c r="M5" s="81" t="s">
        <v>116</v>
      </c>
      <c r="N5" s="81" t="s">
        <v>117</v>
      </c>
      <c r="O5" s="80" t="s">
        <v>118</v>
      </c>
      <c r="P5" s="81" t="s">
        <v>115</v>
      </c>
      <c r="Q5" s="81" t="s">
        <v>116</v>
      </c>
      <c r="R5" s="81" t="s">
        <v>117</v>
      </c>
      <c r="S5" s="80" t="s">
        <v>118</v>
      </c>
      <c r="T5" s="81" t="s">
        <v>115</v>
      </c>
      <c r="U5" s="81" t="s">
        <v>116</v>
      </c>
      <c r="V5" s="81" t="s">
        <v>117</v>
      </c>
      <c r="W5" s="80" t="s">
        <v>118</v>
      </c>
      <c r="X5" s="81" t="s">
        <v>115</v>
      </c>
      <c r="Y5" s="81" t="s">
        <v>116</v>
      </c>
      <c r="Z5" s="81" t="s">
        <v>117</v>
      </c>
      <c r="AA5" s="80" t="s">
        <v>118</v>
      </c>
      <c r="AB5" s="81" t="s">
        <v>115</v>
      </c>
      <c r="AC5" s="81" t="s">
        <v>116</v>
      </c>
      <c r="AD5" s="81" t="s">
        <v>117</v>
      </c>
      <c r="AE5" s="80" t="s">
        <v>118</v>
      </c>
    </row>
    <row r="6" spans="2:31" ht="13.5" customHeight="1">
      <c r="B6" s="47" t="s">
        <v>119</v>
      </c>
      <c r="C6" s="78"/>
      <c r="D6" s="78"/>
      <c r="E6" s="78"/>
      <c r="F6" s="78"/>
      <c r="G6" s="78"/>
      <c r="H6" s="78"/>
      <c r="I6" s="78"/>
      <c r="J6" s="78"/>
      <c r="L6" s="77"/>
      <c r="M6" s="78"/>
      <c r="N6" s="78"/>
      <c r="O6" s="77"/>
      <c r="P6" s="77"/>
      <c r="Q6" s="78"/>
      <c r="R6" s="78"/>
      <c r="S6" s="77"/>
      <c r="T6" s="77"/>
      <c r="U6" s="78"/>
      <c r="V6" s="78"/>
      <c r="W6" s="77"/>
      <c r="X6" s="77"/>
      <c r="Y6" s="78"/>
      <c r="Z6" s="78"/>
      <c r="AA6" s="77"/>
      <c r="AB6" s="77"/>
      <c r="AC6" s="77"/>
      <c r="AD6" s="78"/>
      <c r="AE6" s="77"/>
    </row>
    <row r="7" spans="2:31" s="37" customFormat="1" ht="13.5" customHeight="1">
      <c r="B7" s="61" t="s">
        <v>120</v>
      </c>
      <c r="C7" s="59">
        <v>357560</v>
      </c>
      <c r="D7" s="59">
        <v>386940</v>
      </c>
      <c r="E7" s="59">
        <v>462400</v>
      </c>
      <c r="F7" s="59">
        <v>535760</v>
      </c>
      <c r="G7" s="59">
        <v>430980</v>
      </c>
      <c r="H7" s="59">
        <v>466370</v>
      </c>
      <c r="I7" s="59">
        <v>518390</v>
      </c>
      <c r="J7" s="11">
        <f>SUM(AB7:AE7)</f>
        <v>518390</v>
      </c>
      <c r="K7" s="21"/>
      <c r="L7" s="59">
        <v>85150</v>
      </c>
      <c r="M7" s="59">
        <v>105670</v>
      </c>
      <c r="N7" s="85">
        <v>112970</v>
      </c>
      <c r="O7" s="11">
        <f>E7-SUM(L7:N7)</f>
        <v>158610</v>
      </c>
      <c r="P7" s="59">
        <v>108210</v>
      </c>
      <c r="Q7" s="59">
        <v>125070</v>
      </c>
      <c r="R7" s="85">
        <v>136790</v>
      </c>
      <c r="S7" s="11">
        <f>F7-SUM(P7:R7)</f>
        <v>165690</v>
      </c>
      <c r="T7" s="59">
        <v>89630</v>
      </c>
      <c r="U7" s="59">
        <v>101700</v>
      </c>
      <c r="V7" s="85">
        <v>98870</v>
      </c>
      <c r="W7" s="11">
        <f>G7-SUM(T7:V7)</f>
        <v>140780</v>
      </c>
      <c r="X7" s="59">
        <v>90670</v>
      </c>
      <c r="Y7" s="59">
        <v>110900</v>
      </c>
      <c r="Z7" s="85">
        <v>109070</v>
      </c>
      <c r="AA7" s="11">
        <f>H7-SUM(X7:Z7)</f>
        <v>155730</v>
      </c>
      <c r="AB7" s="59">
        <v>92160</v>
      </c>
      <c r="AC7" s="59">
        <v>120190</v>
      </c>
      <c r="AD7" s="85">
        <v>122690</v>
      </c>
      <c r="AE7" s="11">
        <f>I7-SUM(AB7:AD7)</f>
        <v>183350</v>
      </c>
    </row>
    <row r="8" spans="2:31" s="37" customFormat="1" ht="13.5" customHeight="1">
      <c r="B8" s="61" t="s">
        <v>121</v>
      </c>
      <c r="C8" s="59">
        <v>1040</v>
      </c>
      <c r="D8" s="59">
        <v>2580</v>
      </c>
      <c r="E8" s="59">
        <v>2810</v>
      </c>
      <c r="F8" s="59">
        <v>4770</v>
      </c>
      <c r="G8" s="59">
        <v>4830</v>
      </c>
      <c r="H8" s="59">
        <v>4860</v>
      </c>
      <c r="I8" s="59">
        <v>6630</v>
      </c>
      <c r="J8" s="11">
        <f>SUM(AB8:AE8)</f>
        <v>6630</v>
      </c>
      <c r="L8" s="59">
        <v>480</v>
      </c>
      <c r="M8" s="59">
        <v>470</v>
      </c>
      <c r="N8" s="85">
        <v>700</v>
      </c>
      <c r="O8" s="11">
        <f>E8-SUM(L8:N8)</f>
        <v>1160</v>
      </c>
      <c r="P8" s="59">
        <v>730</v>
      </c>
      <c r="Q8" s="59">
        <v>780</v>
      </c>
      <c r="R8" s="85">
        <v>1150</v>
      </c>
      <c r="S8" s="11">
        <f>F8-SUM(P8:R8)</f>
        <v>2110</v>
      </c>
      <c r="T8" s="59">
        <v>1010</v>
      </c>
      <c r="U8" s="59">
        <v>1050</v>
      </c>
      <c r="V8" s="85">
        <v>1510</v>
      </c>
      <c r="W8" s="11">
        <f>G8-SUM(T8:V8)</f>
        <v>1260</v>
      </c>
      <c r="X8" s="59">
        <v>980</v>
      </c>
      <c r="Y8" s="59">
        <v>1110</v>
      </c>
      <c r="Z8" s="85">
        <v>1700</v>
      </c>
      <c r="AA8" s="11">
        <f>H8-SUM(X8:Z8)</f>
        <v>1070</v>
      </c>
      <c r="AB8" s="59">
        <v>1430</v>
      </c>
      <c r="AC8" s="59">
        <v>2500</v>
      </c>
      <c r="AD8" s="85">
        <v>920</v>
      </c>
      <c r="AE8" s="11">
        <f>I8-SUM(AB8:AD8)</f>
        <v>1780</v>
      </c>
    </row>
    <row r="9" spans="2:31" s="26" customFormat="1" ht="13.5" customHeight="1">
      <c r="B9" s="42" t="s">
        <v>122</v>
      </c>
      <c r="C9" s="75"/>
      <c r="D9" s="75">
        <f t="shared" ref="D9:I9" si="0">(D7/C7)-1</f>
        <v>8.216802774359544E-2</v>
      </c>
      <c r="E9" s="75">
        <f t="shared" si="0"/>
        <v>0.19501731534604838</v>
      </c>
      <c r="F9" s="75">
        <f t="shared" si="0"/>
        <v>0.1586505190311418</v>
      </c>
      <c r="G9" s="75">
        <f t="shared" si="0"/>
        <v>-0.19557264446767209</v>
      </c>
      <c r="H9" s="75">
        <f t="shared" si="0"/>
        <v>8.2115179358670964E-2</v>
      </c>
      <c r="I9" s="75">
        <f t="shared" si="0"/>
        <v>0.1115423376289213</v>
      </c>
      <c r="J9" s="75"/>
      <c r="K9" s="37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</row>
    <row r="10" spans="2:31" ht="13.5" customHeight="1">
      <c r="B10" s="61" t="s">
        <v>123</v>
      </c>
      <c r="C10" s="59">
        <v>-187430</v>
      </c>
      <c r="D10" s="59">
        <v>-190960</v>
      </c>
      <c r="E10" s="59">
        <v>-220720</v>
      </c>
      <c r="F10" s="59">
        <v>-272810</v>
      </c>
      <c r="G10" s="59">
        <v>-244940</v>
      </c>
      <c r="H10" s="59">
        <v>-242230</v>
      </c>
      <c r="I10" s="59">
        <f>-239280-38080+18450</f>
        <v>-258910</v>
      </c>
      <c r="J10" s="11">
        <f>SUM(AB10:AE10)</f>
        <v>-258910</v>
      </c>
      <c r="L10" s="59">
        <v>-37030</v>
      </c>
      <c r="M10" s="59">
        <v>-52210</v>
      </c>
      <c r="N10" s="59">
        <v>-51540</v>
      </c>
      <c r="O10" s="11">
        <f>E10-SUM(L10:N10)</f>
        <v>-79940</v>
      </c>
      <c r="P10" s="59">
        <v>-49190</v>
      </c>
      <c r="Q10" s="59">
        <v>-57810</v>
      </c>
      <c r="R10" s="59">
        <v>-66220</v>
      </c>
      <c r="S10" s="11">
        <f>F10-SUM(P10:R10)</f>
        <v>-99590</v>
      </c>
      <c r="T10" s="59">
        <v>-39300</v>
      </c>
      <c r="U10" s="59">
        <v>-52320</v>
      </c>
      <c r="V10" s="59">
        <v>-63230</v>
      </c>
      <c r="W10" s="11">
        <f>G10-SUM(T10:V10)</f>
        <v>-90090</v>
      </c>
      <c r="X10" s="59">
        <v>-45200</v>
      </c>
      <c r="Y10" s="59">
        <v>-58230</v>
      </c>
      <c r="Z10" s="59">
        <v>-53290</v>
      </c>
      <c r="AA10" s="11">
        <f>H10-SUM(X10:Z10)</f>
        <v>-85510</v>
      </c>
      <c r="AB10" s="59">
        <v>-41690</v>
      </c>
      <c r="AC10" s="59">
        <v>-57530</v>
      </c>
      <c r="AD10" s="59">
        <v>-58460</v>
      </c>
      <c r="AE10" s="11">
        <f>I10-SUM(AB10:AD10)</f>
        <v>-101230</v>
      </c>
    </row>
    <row r="11" spans="2:31" s="26" customFormat="1" ht="13.5" customHeight="1">
      <c r="B11" s="26" t="s">
        <v>124</v>
      </c>
      <c r="C11" s="51">
        <f t="shared" ref="C11:D11" si="1">C7+C8+C10</f>
        <v>171170</v>
      </c>
      <c r="D11" s="51">
        <f t="shared" si="1"/>
        <v>198560</v>
      </c>
      <c r="E11" s="51">
        <f t="shared" ref="E11:J11" si="2">E7+E8+E10</f>
        <v>244490</v>
      </c>
      <c r="F11" s="51">
        <f t="shared" si="2"/>
        <v>267720</v>
      </c>
      <c r="G11" s="51">
        <f t="shared" si="2"/>
        <v>190870</v>
      </c>
      <c r="H11" s="51">
        <f t="shared" si="2"/>
        <v>229000</v>
      </c>
      <c r="I11" s="51">
        <f t="shared" si="2"/>
        <v>266110</v>
      </c>
      <c r="J11" s="51">
        <f t="shared" si="2"/>
        <v>266110</v>
      </c>
      <c r="L11" s="51">
        <f t="shared" ref="L11:O11" si="3">L7+L8+L10</f>
        <v>48600</v>
      </c>
      <c r="M11" s="51">
        <f t="shared" si="3"/>
        <v>53930</v>
      </c>
      <c r="N11" s="51">
        <f t="shared" si="3"/>
        <v>62130</v>
      </c>
      <c r="O11" s="51">
        <f t="shared" si="3"/>
        <v>79830</v>
      </c>
      <c r="P11" s="51">
        <f t="shared" ref="P11:S11" si="4">P7+P8+P10</f>
        <v>59750</v>
      </c>
      <c r="Q11" s="51">
        <f t="shared" si="4"/>
        <v>68040</v>
      </c>
      <c r="R11" s="51">
        <f t="shared" si="4"/>
        <v>71720</v>
      </c>
      <c r="S11" s="51">
        <f t="shared" si="4"/>
        <v>68210</v>
      </c>
      <c r="T11" s="51">
        <f t="shared" ref="T11:W11" si="5">T7+T8+T10</f>
        <v>51340</v>
      </c>
      <c r="U11" s="51">
        <f t="shared" si="5"/>
        <v>50430</v>
      </c>
      <c r="V11" s="51">
        <f t="shared" si="5"/>
        <v>37150</v>
      </c>
      <c r="W11" s="51">
        <f t="shared" si="5"/>
        <v>51950</v>
      </c>
      <c r="X11" s="51">
        <f t="shared" ref="X11:AA11" si="6">X7+X8+X10</f>
        <v>46450</v>
      </c>
      <c r="Y11" s="51">
        <f t="shared" si="6"/>
        <v>53780</v>
      </c>
      <c r="Z11" s="51">
        <f t="shared" si="6"/>
        <v>57480</v>
      </c>
      <c r="AA11" s="51">
        <f t="shared" si="6"/>
        <v>71290</v>
      </c>
      <c r="AB11" s="51">
        <f t="shared" ref="AB11:AE11" si="7">AB7+AB8+AB10</f>
        <v>51900</v>
      </c>
      <c r="AC11" s="51">
        <f t="shared" si="7"/>
        <v>65160</v>
      </c>
      <c r="AD11" s="51">
        <f t="shared" si="7"/>
        <v>65150</v>
      </c>
      <c r="AE11" s="51">
        <f t="shared" si="7"/>
        <v>83900</v>
      </c>
    </row>
    <row r="12" spans="2:31" s="37" customFormat="1" ht="13.5" customHeight="1">
      <c r="B12" s="42" t="s">
        <v>125</v>
      </c>
      <c r="C12" s="75">
        <f t="shared" ref="C12:G12" si="8">C11/C7</f>
        <v>0.47871685870902786</v>
      </c>
      <c r="D12" s="75">
        <f t="shared" si="8"/>
        <v>0.51315449423683257</v>
      </c>
      <c r="E12" s="75">
        <f t="shared" si="8"/>
        <v>0.52874134948096885</v>
      </c>
      <c r="F12" s="75">
        <f t="shared" si="8"/>
        <v>0.49970135881738093</v>
      </c>
      <c r="G12" s="75">
        <f t="shared" si="8"/>
        <v>0.44287437932154622</v>
      </c>
      <c r="H12" s="75">
        <f t="shared" ref="H12:I12" si="9">H11/H7</f>
        <v>0.49102643823573555</v>
      </c>
      <c r="I12" s="75">
        <f t="shared" si="9"/>
        <v>0.51333937768861282</v>
      </c>
      <c r="J12" s="75">
        <f t="shared" ref="J12" si="10">J11/J7</f>
        <v>0.51333937768861282</v>
      </c>
      <c r="L12" s="75">
        <f t="shared" ref="L12:Q12" si="11">L11/L7</f>
        <v>0.57075748678802118</v>
      </c>
      <c r="M12" s="75">
        <f t="shared" si="11"/>
        <v>0.51036244913409667</v>
      </c>
      <c r="N12" s="75">
        <f t="shared" si="11"/>
        <v>0.54996901832344869</v>
      </c>
      <c r="O12" s="75">
        <f t="shared" si="11"/>
        <v>0.5033100056742954</v>
      </c>
      <c r="P12" s="75">
        <f t="shared" si="11"/>
        <v>0.55216708252472047</v>
      </c>
      <c r="Q12" s="75">
        <f t="shared" si="11"/>
        <v>0.54401535140321422</v>
      </c>
      <c r="R12" s="75">
        <f t="shared" ref="R12:U12" si="12">R11/R7</f>
        <v>0.52430733240733973</v>
      </c>
      <c r="S12" s="75">
        <f t="shared" si="12"/>
        <v>0.41167240026555618</v>
      </c>
      <c r="T12" s="75">
        <f t="shared" si="12"/>
        <v>0.57279928595336382</v>
      </c>
      <c r="U12" s="75">
        <f t="shared" si="12"/>
        <v>0.4958702064896755</v>
      </c>
      <c r="V12" s="75">
        <f t="shared" ref="V12:Y12" si="13">V11/V7</f>
        <v>0.37574592899767373</v>
      </c>
      <c r="W12" s="75">
        <f t="shared" si="13"/>
        <v>0.36901548515414123</v>
      </c>
      <c r="X12" s="75">
        <f t="shared" si="13"/>
        <v>0.51229734200948496</v>
      </c>
      <c r="Y12" s="75">
        <f t="shared" si="13"/>
        <v>0.48494138863841296</v>
      </c>
      <c r="Z12" s="75">
        <f t="shared" ref="Z12:AC12" si="14">Z11/Z7</f>
        <v>0.52700100852663423</v>
      </c>
      <c r="AA12" s="75">
        <f t="shared" si="14"/>
        <v>0.45777949014319658</v>
      </c>
      <c r="AB12" s="75">
        <f t="shared" si="14"/>
        <v>0.56315104166666663</v>
      </c>
      <c r="AC12" s="75">
        <f t="shared" si="14"/>
        <v>0.54214160911889508</v>
      </c>
      <c r="AD12" s="75">
        <f t="shared" ref="AD12:AE12" si="15">AD11/AD7</f>
        <v>0.53101312250387156</v>
      </c>
      <c r="AE12" s="75">
        <f t="shared" si="15"/>
        <v>0.45759476411235345</v>
      </c>
    </row>
    <row r="13" spans="2:31" s="37" customFormat="1" ht="13.5" customHeight="1">
      <c r="B13" s="26" t="s">
        <v>126</v>
      </c>
      <c r="C13" s="51"/>
      <c r="D13" s="51"/>
      <c r="E13" s="51"/>
      <c r="F13" s="51"/>
      <c r="G13" s="51"/>
      <c r="H13" s="51"/>
      <c r="I13" s="51"/>
      <c r="J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</row>
    <row r="14" spans="2:31" s="37" customFormat="1" ht="13.5" customHeight="1">
      <c r="B14" s="76" t="s">
        <v>127</v>
      </c>
      <c r="C14" s="59">
        <v>-33910</v>
      </c>
      <c r="D14" s="59">
        <v>-37120</v>
      </c>
      <c r="E14" s="59">
        <v>-46220</v>
      </c>
      <c r="F14" s="59">
        <v>-50560</v>
      </c>
      <c r="G14" s="59">
        <v>-46820</v>
      </c>
      <c r="H14" s="59">
        <v>-53090</v>
      </c>
      <c r="I14" s="59">
        <v>-58070</v>
      </c>
      <c r="J14" s="11">
        <f t="shared" ref="J14:J17" si="16">SUM(AB14:AE14)</f>
        <v>-58070</v>
      </c>
      <c r="L14" s="59">
        <v>-10300</v>
      </c>
      <c r="M14" s="59">
        <v>-10790</v>
      </c>
      <c r="N14" s="59">
        <v>-11660</v>
      </c>
      <c r="O14" s="11">
        <f>E14-SUM(L14:N14)</f>
        <v>-13470</v>
      </c>
      <c r="P14" s="59">
        <v>-12440</v>
      </c>
      <c r="Q14" s="59">
        <v>-12330</v>
      </c>
      <c r="R14" s="59">
        <v>-13210</v>
      </c>
      <c r="S14" s="11">
        <f>F14-SUM(P14:R14)</f>
        <v>-12580</v>
      </c>
      <c r="T14" s="59">
        <v>-12400</v>
      </c>
      <c r="U14" s="59">
        <v>-12510</v>
      </c>
      <c r="V14" s="59">
        <v>-11550</v>
      </c>
      <c r="W14" s="11">
        <f>G14-SUM(T14:V14)</f>
        <v>-10360</v>
      </c>
      <c r="X14" s="59">
        <v>-13370</v>
      </c>
      <c r="Y14" s="59">
        <v>-13370</v>
      </c>
      <c r="Z14" s="59">
        <v>-11840</v>
      </c>
      <c r="AA14" s="11">
        <f t="shared" ref="AA14:AA17" si="17">H14-SUM(X14:Z14)</f>
        <v>-14510</v>
      </c>
      <c r="AB14" s="59">
        <v>-13220</v>
      </c>
      <c r="AC14" s="59">
        <v>-14660</v>
      </c>
      <c r="AD14" s="59">
        <v>-13790</v>
      </c>
      <c r="AE14" s="11">
        <f t="shared" ref="AE14:AE17" si="18">I14-SUM(AB14:AD14)</f>
        <v>-16400</v>
      </c>
    </row>
    <row r="15" spans="2:31" s="37" customFormat="1" ht="13.5" customHeight="1">
      <c r="B15" s="76" t="s">
        <v>128</v>
      </c>
      <c r="C15" s="59">
        <v>-490</v>
      </c>
      <c r="D15" s="59">
        <v>-800</v>
      </c>
      <c r="E15" s="59">
        <v>150</v>
      </c>
      <c r="F15" s="59">
        <v>-1230</v>
      </c>
      <c r="G15" s="59">
        <v>-910</v>
      </c>
      <c r="H15" s="59">
        <v>-2400</v>
      </c>
      <c r="I15" s="59">
        <v>-7500</v>
      </c>
      <c r="J15" s="11">
        <f t="shared" si="16"/>
        <v>-7500</v>
      </c>
      <c r="L15" s="59">
        <v>370</v>
      </c>
      <c r="M15" s="59">
        <v>-580</v>
      </c>
      <c r="N15" s="59">
        <v>250</v>
      </c>
      <c r="O15" s="11">
        <f>E15-SUM(L15:N15)</f>
        <v>110</v>
      </c>
      <c r="P15" s="59">
        <v>-330</v>
      </c>
      <c r="Q15" s="59">
        <v>-500</v>
      </c>
      <c r="R15" s="59">
        <v>-80</v>
      </c>
      <c r="S15" s="11">
        <f>F15-SUM(P15:R15)</f>
        <v>-320</v>
      </c>
      <c r="T15" s="59">
        <v>-630</v>
      </c>
      <c r="U15" s="59">
        <v>-380</v>
      </c>
      <c r="V15" s="59">
        <v>-140</v>
      </c>
      <c r="W15" s="11">
        <f>G15-SUM(T15:V15)</f>
        <v>240</v>
      </c>
      <c r="X15" s="59">
        <v>-870</v>
      </c>
      <c r="Y15" s="59">
        <v>-1520</v>
      </c>
      <c r="Z15" s="59">
        <v>190</v>
      </c>
      <c r="AA15" s="11">
        <f t="shared" si="17"/>
        <v>-200</v>
      </c>
      <c r="AB15" s="59">
        <v>-1920</v>
      </c>
      <c r="AC15" s="59">
        <v>-1140</v>
      </c>
      <c r="AD15" s="59">
        <v>-650</v>
      </c>
      <c r="AE15" s="11">
        <f t="shared" si="18"/>
        <v>-3790</v>
      </c>
    </row>
    <row r="16" spans="2:31" s="37" customFormat="1" ht="13.5" customHeight="1">
      <c r="B16" s="76" t="s">
        <v>129</v>
      </c>
      <c r="C16" s="59">
        <v>-20120</v>
      </c>
      <c r="D16" s="59">
        <v>-21730</v>
      </c>
      <c r="E16" s="59">
        <v>-23590</v>
      </c>
      <c r="F16" s="59">
        <v>-25470</v>
      </c>
      <c r="G16" s="59">
        <v>-27630</v>
      </c>
      <c r="H16" s="59">
        <v>-27500</v>
      </c>
      <c r="I16" s="59">
        <v>-32440</v>
      </c>
      <c r="J16" s="11">
        <f t="shared" si="16"/>
        <v>-32440</v>
      </c>
      <c r="L16" s="59">
        <v>-5510</v>
      </c>
      <c r="M16" s="59">
        <v>-5660</v>
      </c>
      <c r="N16" s="59">
        <v>-6000</v>
      </c>
      <c r="O16" s="11">
        <f>E16-SUM(L16:N16)</f>
        <v>-6420</v>
      </c>
      <c r="P16" s="59">
        <v>-5880</v>
      </c>
      <c r="Q16" s="59">
        <v>-6080</v>
      </c>
      <c r="R16" s="59">
        <v>-6240</v>
      </c>
      <c r="S16" s="11">
        <f>F16-SUM(P16:R16)</f>
        <v>-7270</v>
      </c>
      <c r="T16" s="59">
        <v>-6360</v>
      </c>
      <c r="U16" s="59">
        <v>-6570</v>
      </c>
      <c r="V16" s="59">
        <v>-6760</v>
      </c>
      <c r="W16" s="11">
        <f>G16-SUM(T16:V16)</f>
        <v>-7940</v>
      </c>
      <c r="X16" s="59">
        <v>-6600</v>
      </c>
      <c r="Y16" s="59">
        <v>-6970</v>
      </c>
      <c r="Z16" s="59">
        <v>-6880</v>
      </c>
      <c r="AA16" s="11">
        <f t="shared" si="17"/>
        <v>-7050</v>
      </c>
      <c r="AB16" s="59">
        <v>-7310</v>
      </c>
      <c r="AC16" s="59">
        <v>-7710</v>
      </c>
      <c r="AD16" s="59">
        <v>-8270</v>
      </c>
      <c r="AE16" s="11">
        <f t="shared" si="18"/>
        <v>-9150</v>
      </c>
    </row>
    <row r="17" spans="2:31" s="37" customFormat="1" ht="13.5" customHeight="1">
      <c r="B17" s="76" t="s">
        <v>130</v>
      </c>
      <c r="C17" s="59">
        <v>-3310</v>
      </c>
      <c r="D17" s="59">
        <v>-2070</v>
      </c>
      <c r="E17" s="59">
        <v>-6360</v>
      </c>
      <c r="F17" s="59">
        <v>-9640</v>
      </c>
      <c r="G17" s="59">
        <v>-9760</v>
      </c>
      <c r="H17" s="59">
        <v>-5200</v>
      </c>
      <c r="I17" s="59">
        <v>-3160</v>
      </c>
      <c r="J17" s="11">
        <f t="shared" si="16"/>
        <v>-3160</v>
      </c>
      <c r="L17" s="59">
        <v>-890</v>
      </c>
      <c r="M17" s="59">
        <v>-1140</v>
      </c>
      <c r="N17" s="59">
        <v>-2210</v>
      </c>
      <c r="O17" s="11">
        <f>E17-SUM(L17:N17)</f>
        <v>-2120</v>
      </c>
      <c r="P17" s="59">
        <v>-1970</v>
      </c>
      <c r="Q17" s="59">
        <v>-3240</v>
      </c>
      <c r="R17" s="59">
        <v>-1500</v>
      </c>
      <c r="S17" s="11">
        <f>F17-SUM(P17:R17)</f>
        <v>-2930</v>
      </c>
      <c r="T17" s="59">
        <v>-3190</v>
      </c>
      <c r="U17" s="59">
        <v>-2500</v>
      </c>
      <c r="V17" s="59">
        <v>-3230</v>
      </c>
      <c r="W17" s="11">
        <f>G17-SUM(T17:V17)</f>
        <v>-840</v>
      </c>
      <c r="X17" s="59">
        <v>-450</v>
      </c>
      <c r="Y17" s="59">
        <v>-2230</v>
      </c>
      <c r="Z17" s="59">
        <v>-2060</v>
      </c>
      <c r="AA17" s="11">
        <f t="shared" si="17"/>
        <v>-460</v>
      </c>
      <c r="AB17" s="59">
        <v>930</v>
      </c>
      <c r="AC17" s="59">
        <v>-2040</v>
      </c>
      <c r="AD17" s="59">
        <v>-1160</v>
      </c>
      <c r="AE17" s="11">
        <f t="shared" si="18"/>
        <v>-890</v>
      </c>
    </row>
    <row r="18" spans="2:31" s="26" customFormat="1" ht="13.5" customHeight="1">
      <c r="B18" s="26" t="s">
        <v>131</v>
      </c>
      <c r="C18" s="51">
        <f t="shared" ref="C18:D18" si="19">C11+SUM(C14:C17)</f>
        <v>113340</v>
      </c>
      <c r="D18" s="51">
        <f t="shared" si="19"/>
        <v>136840</v>
      </c>
      <c r="E18" s="51">
        <f t="shared" ref="E18:J18" si="20">E11+SUM(E14:E17)</f>
        <v>168470</v>
      </c>
      <c r="F18" s="51">
        <f t="shared" si="20"/>
        <v>180820</v>
      </c>
      <c r="G18" s="51">
        <f t="shared" si="20"/>
        <v>105750</v>
      </c>
      <c r="H18" s="51">
        <f t="shared" si="20"/>
        <v>140810</v>
      </c>
      <c r="I18" s="51">
        <f t="shared" si="20"/>
        <v>164940</v>
      </c>
      <c r="J18" s="51">
        <f t="shared" si="20"/>
        <v>164940</v>
      </c>
      <c r="L18" s="51">
        <f t="shared" ref="L18:O18" si="21">L11+SUM(L14:L17)</f>
        <v>32270</v>
      </c>
      <c r="M18" s="51">
        <f t="shared" si="21"/>
        <v>35760</v>
      </c>
      <c r="N18" s="51">
        <f t="shared" si="21"/>
        <v>42510</v>
      </c>
      <c r="O18" s="51">
        <f t="shared" si="21"/>
        <v>57930</v>
      </c>
      <c r="P18" s="51">
        <f t="shared" ref="P18" si="22">P11+SUM(P14:P17)</f>
        <v>39130</v>
      </c>
      <c r="Q18" s="51">
        <f>Q11+SUM(Q14:Q17)</f>
        <v>45890</v>
      </c>
      <c r="R18" s="51">
        <f t="shared" ref="R18:T18" si="23">R11+SUM(R14:R17)</f>
        <v>50690</v>
      </c>
      <c r="S18" s="51">
        <f t="shared" si="23"/>
        <v>45110</v>
      </c>
      <c r="T18" s="51">
        <f t="shared" si="23"/>
        <v>28760</v>
      </c>
      <c r="U18" s="51">
        <f>U11+SUM(U14:U17)</f>
        <v>28470</v>
      </c>
      <c r="V18" s="51">
        <f t="shared" ref="V18:X18" si="24">V11+SUM(V14:V17)</f>
        <v>15470</v>
      </c>
      <c r="W18" s="51">
        <f t="shared" si="24"/>
        <v>33050</v>
      </c>
      <c r="X18" s="51">
        <f t="shared" si="24"/>
        <v>25160</v>
      </c>
      <c r="Y18" s="51">
        <f>Y11+SUM(Y14:Y17)</f>
        <v>29690</v>
      </c>
      <c r="Z18" s="51">
        <f t="shared" ref="Z18:AB18" si="25">Z11+SUM(Z14:Z17)</f>
        <v>36890</v>
      </c>
      <c r="AA18" s="51">
        <f t="shared" si="25"/>
        <v>49070</v>
      </c>
      <c r="AB18" s="51">
        <f t="shared" si="25"/>
        <v>30380</v>
      </c>
      <c r="AC18" s="51">
        <f>AC11+SUM(AC14:AC17)</f>
        <v>39610</v>
      </c>
      <c r="AD18" s="51">
        <f t="shared" ref="AD18:AE18" si="26">AD11+SUM(AD14:AD17)</f>
        <v>41280</v>
      </c>
      <c r="AE18" s="51">
        <f t="shared" si="26"/>
        <v>53670</v>
      </c>
    </row>
    <row r="19" spans="2:31" s="37" customFormat="1" ht="13.5" customHeight="1">
      <c r="B19" s="76" t="s">
        <v>132</v>
      </c>
      <c r="C19" s="59">
        <v>-14810</v>
      </c>
      <c r="D19" s="59">
        <v>-20600</v>
      </c>
      <c r="E19" s="59">
        <v>-22950</v>
      </c>
      <c r="F19" s="59">
        <v>-29630</v>
      </c>
      <c r="G19" s="59">
        <v>-38520</v>
      </c>
      <c r="H19" s="59">
        <v>-36270</v>
      </c>
      <c r="I19" s="59">
        <v>-34010</v>
      </c>
      <c r="J19" s="11">
        <f t="shared" ref="J19:J22" si="27">SUM(AB19:AE19)</f>
        <v>-34010</v>
      </c>
      <c r="L19" s="59">
        <v>-6070</v>
      </c>
      <c r="M19" s="59">
        <v>-3590</v>
      </c>
      <c r="N19" s="59">
        <v>-5290</v>
      </c>
      <c r="O19" s="11">
        <f>E19-SUM(L19:N19)</f>
        <v>-8000</v>
      </c>
      <c r="P19" s="59">
        <v>-5190</v>
      </c>
      <c r="Q19" s="59">
        <v>-6440</v>
      </c>
      <c r="R19" s="59">
        <v>-8940</v>
      </c>
      <c r="S19" s="11">
        <f>F19-SUM(P19:R19)</f>
        <v>-9060</v>
      </c>
      <c r="T19" s="59">
        <v>-7000</v>
      </c>
      <c r="U19" s="59">
        <v>-8710</v>
      </c>
      <c r="V19" s="59">
        <v>-11910</v>
      </c>
      <c r="W19" s="11">
        <f>G19-SUM(T19:V19)</f>
        <v>-10900</v>
      </c>
      <c r="X19" s="59">
        <v>-9130</v>
      </c>
      <c r="Y19" s="59">
        <v>-10700</v>
      </c>
      <c r="Z19" s="59">
        <v>-7300</v>
      </c>
      <c r="AA19" s="11">
        <f t="shared" ref="AA19:AA21" si="28">H19-SUM(X19:Z19)</f>
        <v>-9140</v>
      </c>
      <c r="AB19" s="59">
        <v>-10070</v>
      </c>
      <c r="AC19" s="59">
        <v>-7840</v>
      </c>
      <c r="AD19" s="59">
        <v>-7740</v>
      </c>
      <c r="AE19" s="11">
        <f t="shared" ref="AE19:AE22" si="29">I19-SUM(AB19:AD19)</f>
        <v>-8360</v>
      </c>
    </row>
    <row r="20" spans="2:31" s="37" customFormat="1" ht="13.5" customHeight="1">
      <c r="B20" s="76" t="s">
        <v>133</v>
      </c>
      <c r="C20" s="59">
        <v>-64690</v>
      </c>
      <c r="D20" s="59">
        <v>-72470</v>
      </c>
      <c r="E20" s="59">
        <v>-93960</v>
      </c>
      <c r="F20" s="59">
        <v>-99560</v>
      </c>
      <c r="G20" s="59">
        <v>-83160</v>
      </c>
      <c r="H20" s="59">
        <v>-87450</v>
      </c>
      <c r="I20" s="59">
        <v>-98030</v>
      </c>
      <c r="J20" s="11">
        <f t="shared" si="27"/>
        <v>-98030</v>
      </c>
      <c r="L20" s="59">
        <v>-19560</v>
      </c>
      <c r="M20" s="59">
        <v>-21640</v>
      </c>
      <c r="N20" s="59">
        <v>-23370</v>
      </c>
      <c r="O20" s="11">
        <f>E20-SUM(L20:N20)</f>
        <v>-29390</v>
      </c>
      <c r="P20" s="59">
        <v>-22820</v>
      </c>
      <c r="Q20" s="59">
        <v>-26750</v>
      </c>
      <c r="R20" s="59">
        <v>-26940</v>
      </c>
      <c r="S20" s="11">
        <f>F20-SUM(P20:R20)</f>
        <v>-23050</v>
      </c>
      <c r="T20" s="59">
        <v>-21380</v>
      </c>
      <c r="U20" s="59">
        <v>-20740</v>
      </c>
      <c r="V20" s="59">
        <v>-19790</v>
      </c>
      <c r="W20" s="11">
        <f>G20-SUM(T20:V20)</f>
        <v>-21250</v>
      </c>
      <c r="X20" s="59">
        <v>-19770</v>
      </c>
      <c r="Y20" s="59">
        <v>-22030</v>
      </c>
      <c r="Z20" s="59">
        <v>-22510</v>
      </c>
      <c r="AA20" s="11">
        <f t="shared" si="28"/>
        <v>-23140</v>
      </c>
      <c r="AB20" s="59">
        <v>-22300</v>
      </c>
      <c r="AC20" s="59">
        <v>-24810</v>
      </c>
      <c r="AD20" s="59">
        <v>-25460</v>
      </c>
      <c r="AE20" s="11">
        <f t="shared" si="29"/>
        <v>-25460</v>
      </c>
    </row>
    <row r="21" spans="2:31" s="37" customFormat="1" ht="13.5" customHeight="1">
      <c r="B21" s="76" t="s">
        <v>134</v>
      </c>
      <c r="C21" s="59">
        <v>30</v>
      </c>
      <c r="D21" s="59">
        <v>420</v>
      </c>
      <c r="E21" s="59">
        <v>1340</v>
      </c>
      <c r="F21" s="59">
        <v>1570</v>
      </c>
      <c r="G21" s="59">
        <v>-2420</v>
      </c>
      <c r="H21" s="59">
        <v>-4720</v>
      </c>
      <c r="I21" s="59">
        <v>-1940</v>
      </c>
      <c r="J21" s="11">
        <f t="shared" si="27"/>
        <v>-1940</v>
      </c>
      <c r="L21" s="59">
        <v>-40</v>
      </c>
      <c r="M21" s="59">
        <v>100</v>
      </c>
      <c r="N21" s="59">
        <v>140</v>
      </c>
      <c r="O21" s="11">
        <f>E21-SUM(L21:N21)</f>
        <v>1140</v>
      </c>
      <c r="P21" s="59">
        <v>300</v>
      </c>
      <c r="Q21" s="59">
        <v>-270</v>
      </c>
      <c r="R21" s="59">
        <v>340</v>
      </c>
      <c r="S21" s="11">
        <f>F21-SUM(P21:R21)</f>
        <v>1200</v>
      </c>
      <c r="T21" s="59">
        <v>-570</v>
      </c>
      <c r="U21" s="59">
        <v>-2040</v>
      </c>
      <c r="V21" s="59">
        <v>-260</v>
      </c>
      <c r="W21" s="11">
        <f>G21-SUM(T21:V21)</f>
        <v>450</v>
      </c>
      <c r="X21" s="59">
        <v>-320</v>
      </c>
      <c r="Y21" s="59">
        <v>-1350</v>
      </c>
      <c r="Z21" s="59">
        <v>-2780</v>
      </c>
      <c r="AA21" s="11">
        <f t="shared" si="28"/>
        <v>-270</v>
      </c>
      <c r="AB21" s="59">
        <v>180</v>
      </c>
      <c r="AC21" s="59">
        <v>-540</v>
      </c>
      <c r="AD21" s="59">
        <v>-810</v>
      </c>
      <c r="AE21" s="11">
        <f t="shared" si="29"/>
        <v>-770</v>
      </c>
    </row>
    <row r="22" spans="2:31" s="37" customFormat="1" ht="13.5" customHeight="1">
      <c r="B22" s="76" t="s">
        <v>135</v>
      </c>
      <c r="C22" s="59">
        <v>-6230</v>
      </c>
      <c r="D22" s="59">
        <v>-2380</v>
      </c>
      <c r="E22" s="59">
        <v>-3240</v>
      </c>
      <c r="F22" s="59">
        <v>-1700</v>
      </c>
      <c r="G22" s="59">
        <v>-2520</v>
      </c>
      <c r="H22" s="59">
        <v>-4080</v>
      </c>
      <c r="I22" s="59">
        <v>610</v>
      </c>
      <c r="J22" s="11">
        <f t="shared" si="27"/>
        <v>610</v>
      </c>
      <c r="L22" s="59">
        <v>-630</v>
      </c>
      <c r="M22" s="59">
        <v>-400</v>
      </c>
      <c r="N22" s="59">
        <v>-530</v>
      </c>
      <c r="O22" s="11">
        <f>E22-SUM(L22:N22)</f>
        <v>-1680</v>
      </c>
      <c r="P22" s="59">
        <v>-780</v>
      </c>
      <c r="Q22" s="59">
        <v>-430</v>
      </c>
      <c r="R22" s="59">
        <v>-200</v>
      </c>
      <c r="S22" s="11">
        <f>F22-SUM(P22:R22)</f>
        <v>-290</v>
      </c>
      <c r="T22" s="59">
        <v>-430</v>
      </c>
      <c r="U22" s="59">
        <v>-870</v>
      </c>
      <c r="V22" s="59">
        <v>-170</v>
      </c>
      <c r="W22" s="11">
        <f>G22-SUM(T22:V22)</f>
        <v>-1050</v>
      </c>
      <c r="X22" s="59">
        <v>-490</v>
      </c>
      <c r="Y22" s="59">
        <v>-80</v>
      </c>
      <c r="Z22" s="59">
        <v>-760</v>
      </c>
      <c r="AA22" s="11">
        <f>H22-SUM(X22:Z22)</f>
        <v>-2750</v>
      </c>
      <c r="AB22" s="59">
        <v>-90</v>
      </c>
      <c r="AC22" s="59">
        <f>(((142)/10)*10)*10</f>
        <v>1420</v>
      </c>
      <c r="AD22" s="59">
        <v>-560</v>
      </c>
      <c r="AE22" s="11">
        <f t="shared" si="29"/>
        <v>-160</v>
      </c>
    </row>
    <row r="23" spans="2:31" s="26" customFormat="1" ht="13.5" customHeight="1">
      <c r="B23" s="26" t="s">
        <v>136</v>
      </c>
      <c r="C23" s="51">
        <f t="shared" ref="C23:D23" si="30">C18+SUM(C19:C22)</f>
        <v>27640</v>
      </c>
      <c r="D23" s="51">
        <f t="shared" si="30"/>
        <v>41810</v>
      </c>
      <c r="E23" s="51">
        <f t="shared" ref="E23:J23" si="31">E18+SUM(E19:E22)</f>
        <v>49660</v>
      </c>
      <c r="F23" s="51">
        <f t="shared" si="31"/>
        <v>51500</v>
      </c>
      <c r="G23" s="51">
        <f t="shared" si="31"/>
        <v>-20870</v>
      </c>
      <c r="H23" s="51">
        <f t="shared" si="31"/>
        <v>8290</v>
      </c>
      <c r="I23" s="51">
        <f t="shared" si="31"/>
        <v>31570</v>
      </c>
      <c r="J23" s="51">
        <f t="shared" si="31"/>
        <v>31570</v>
      </c>
      <c r="L23" s="51">
        <f t="shared" ref="L23:O23" si="32">L18+SUM(L19:L22)</f>
        <v>5970</v>
      </c>
      <c r="M23" s="51">
        <f t="shared" si="32"/>
        <v>10230</v>
      </c>
      <c r="N23" s="51">
        <f t="shared" si="32"/>
        <v>13460</v>
      </c>
      <c r="O23" s="51">
        <f t="shared" si="32"/>
        <v>20000</v>
      </c>
      <c r="P23" s="51">
        <f t="shared" ref="P23:S23" si="33">P18+SUM(P19:P22)</f>
        <v>10640</v>
      </c>
      <c r="Q23" s="51">
        <f t="shared" si="33"/>
        <v>12000</v>
      </c>
      <c r="R23" s="51">
        <f t="shared" si="33"/>
        <v>14950</v>
      </c>
      <c r="S23" s="51">
        <f t="shared" si="33"/>
        <v>13910</v>
      </c>
      <c r="T23" s="51">
        <f t="shared" ref="T23:W23" si="34">T18+SUM(T19:T22)</f>
        <v>-620</v>
      </c>
      <c r="U23" s="51">
        <f t="shared" si="34"/>
        <v>-3890</v>
      </c>
      <c r="V23" s="51">
        <f t="shared" si="34"/>
        <v>-16660</v>
      </c>
      <c r="W23" s="51">
        <f t="shared" si="34"/>
        <v>300</v>
      </c>
      <c r="X23" s="51">
        <f t="shared" ref="X23:AA23" si="35">X18+SUM(X19:X22)</f>
        <v>-4550</v>
      </c>
      <c r="Y23" s="51">
        <f t="shared" si="35"/>
        <v>-4470</v>
      </c>
      <c r="Z23" s="51">
        <f t="shared" si="35"/>
        <v>3540</v>
      </c>
      <c r="AA23" s="51">
        <f t="shared" si="35"/>
        <v>13770</v>
      </c>
      <c r="AB23" s="51">
        <f t="shared" ref="AB23:AE23" si="36">AB18+SUM(AB19:AB22)</f>
        <v>-1900</v>
      </c>
      <c r="AC23" s="51">
        <f t="shared" si="36"/>
        <v>7840</v>
      </c>
      <c r="AD23" s="51">
        <f t="shared" si="36"/>
        <v>6710</v>
      </c>
      <c r="AE23" s="51">
        <f t="shared" si="36"/>
        <v>18920</v>
      </c>
    </row>
    <row r="24" spans="2:31" ht="13.5" customHeight="1">
      <c r="B24" s="21" t="s">
        <v>137</v>
      </c>
      <c r="C24" s="59">
        <v>-5860</v>
      </c>
      <c r="D24" s="59">
        <v>-6860</v>
      </c>
      <c r="E24" s="59">
        <v>-5290</v>
      </c>
      <c r="F24" s="59">
        <v>-7360</v>
      </c>
      <c r="G24" s="59">
        <v>2090</v>
      </c>
      <c r="H24" s="59">
        <f>(-295+286)*10</f>
        <v>-90</v>
      </c>
      <c r="I24" s="59">
        <f>-(1243-306)*10</f>
        <v>-9370</v>
      </c>
      <c r="J24" s="11">
        <f>SUM(AB24:AE24)</f>
        <v>-9370</v>
      </c>
      <c r="K24" s="236"/>
      <c r="L24" s="59">
        <v>1520</v>
      </c>
      <c r="M24" s="59">
        <v>-2490</v>
      </c>
      <c r="N24" s="59">
        <v>-1670</v>
      </c>
      <c r="O24" s="11">
        <f>E24-SUM(L24:N24)</f>
        <v>-2650</v>
      </c>
      <c r="P24" s="59">
        <v>-590</v>
      </c>
      <c r="Q24" s="59">
        <v>-2310</v>
      </c>
      <c r="R24" s="59">
        <v>-1350</v>
      </c>
      <c r="S24" s="11">
        <f>F24-SUM(P24:R24)</f>
        <v>-3110</v>
      </c>
      <c r="T24" s="59">
        <v>1640</v>
      </c>
      <c r="U24" s="59">
        <v>960</v>
      </c>
      <c r="V24" s="59">
        <v>590</v>
      </c>
      <c r="W24" s="11">
        <f>G24-SUM(T24:V24)</f>
        <v>-1100</v>
      </c>
      <c r="X24" s="59">
        <v>-720</v>
      </c>
      <c r="Y24" s="59">
        <v>-1380</v>
      </c>
      <c r="Z24" s="59">
        <v>4990</v>
      </c>
      <c r="AA24" s="11">
        <f>H24-SUM(X24:Z24)</f>
        <v>-2980</v>
      </c>
      <c r="AB24" s="59">
        <v>140</v>
      </c>
      <c r="AC24" s="59">
        <v>-1720</v>
      </c>
      <c r="AD24" s="59">
        <v>-1810</v>
      </c>
      <c r="AE24" s="11">
        <f>I24-SUM(AB24:AD24)</f>
        <v>-5980</v>
      </c>
    </row>
    <row r="25" spans="2:31" s="26" customFormat="1" ht="13.5" customHeight="1">
      <c r="B25" s="26" t="s">
        <v>138</v>
      </c>
      <c r="C25" s="51">
        <f t="shared" ref="C25:D25" si="37">+C23+C24</f>
        <v>21780</v>
      </c>
      <c r="D25" s="51">
        <f t="shared" si="37"/>
        <v>34950</v>
      </c>
      <c r="E25" s="51">
        <f t="shared" ref="E25:F25" si="38">+E23+E24</f>
        <v>44370</v>
      </c>
      <c r="F25" s="51">
        <f t="shared" si="38"/>
        <v>44140</v>
      </c>
      <c r="G25" s="51">
        <f t="shared" ref="G25:H25" si="39">+G23+G24</f>
        <v>-18780</v>
      </c>
      <c r="H25" s="51">
        <f t="shared" si="39"/>
        <v>8200</v>
      </c>
      <c r="I25" s="51">
        <f t="shared" ref="I25" si="40">+I23+I24</f>
        <v>22200</v>
      </c>
      <c r="J25" s="51">
        <f>+J23+J24</f>
        <v>22200</v>
      </c>
      <c r="L25" s="51">
        <f t="shared" ref="L25:O25" si="41">+L23+L24</f>
        <v>7490</v>
      </c>
      <c r="M25" s="51">
        <f t="shared" si="41"/>
        <v>7740</v>
      </c>
      <c r="N25" s="51">
        <f t="shared" si="41"/>
        <v>11790</v>
      </c>
      <c r="O25" s="51">
        <f t="shared" si="41"/>
        <v>17350</v>
      </c>
      <c r="P25" s="51">
        <f t="shared" ref="P25" si="42">+P23+P24</f>
        <v>10050</v>
      </c>
      <c r="Q25" s="51">
        <f>+Q23+Q24</f>
        <v>9690</v>
      </c>
      <c r="R25" s="51">
        <f t="shared" ref="R25:T25" si="43">+R23+R24</f>
        <v>13600</v>
      </c>
      <c r="S25" s="51">
        <f t="shared" si="43"/>
        <v>10800</v>
      </c>
      <c r="T25" s="51">
        <f t="shared" si="43"/>
        <v>1020</v>
      </c>
      <c r="U25" s="51">
        <f>+U23+U24</f>
        <v>-2930</v>
      </c>
      <c r="V25" s="51">
        <f t="shared" ref="V25:X25" si="44">+V23+V24</f>
        <v>-16070</v>
      </c>
      <c r="W25" s="51">
        <f t="shared" si="44"/>
        <v>-800</v>
      </c>
      <c r="X25" s="51">
        <f t="shared" si="44"/>
        <v>-5270</v>
      </c>
      <c r="Y25" s="51">
        <f>+Y23+Y24</f>
        <v>-5850</v>
      </c>
      <c r="Z25" s="51">
        <f t="shared" ref="Z25:AB25" si="45">+Z23+Z24</f>
        <v>8530</v>
      </c>
      <c r="AA25" s="51">
        <f t="shared" si="45"/>
        <v>10790</v>
      </c>
      <c r="AB25" s="51">
        <f t="shared" si="45"/>
        <v>-1760</v>
      </c>
      <c r="AC25" s="51">
        <f>+AC23+AC24</f>
        <v>6120</v>
      </c>
      <c r="AD25" s="51">
        <f t="shared" ref="AD25:AE25" si="46">+AD23+AD24</f>
        <v>4900</v>
      </c>
      <c r="AE25" s="51">
        <f t="shared" si="46"/>
        <v>12940</v>
      </c>
    </row>
    <row r="26" spans="2:31" s="37" customFormat="1" ht="13.5" customHeight="1">
      <c r="B26" s="42" t="s">
        <v>139</v>
      </c>
      <c r="C26" s="75">
        <f t="shared" ref="C26:G26" si="47">+C25/C7</f>
        <v>6.0912853786777042E-2</v>
      </c>
      <c r="D26" s="75">
        <f t="shared" si="47"/>
        <v>9.0324081252907432E-2</v>
      </c>
      <c r="E26" s="75">
        <f t="shared" si="47"/>
        <v>9.5955882352941183E-2</v>
      </c>
      <c r="F26" s="75">
        <f t="shared" si="47"/>
        <v>8.2387636255039573E-2</v>
      </c>
      <c r="G26" s="75">
        <f t="shared" si="47"/>
        <v>-4.3575107893637756E-2</v>
      </c>
      <c r="H26" s="75">
        <f t="shared" ref="H26:I26" si="48">+H25/H7</f>
        <v>1.7582606085297083E-2</v>
      </c>
      <c r="I26" s="75">
        <f t="shared" si="48"/>
        <v>4.2824900171685408E-2</v>
      </c>
      <c r="J26" s="75">
        <f t="shared" ref="J26" si="49">+J25/J7</f>
        <v>4.2824900171685408E-2</v>
      </c>
      <c r="L26" s="75">
        <f t="shared" ref="L26:Q26" si="50">+L25/L7</f>
        <v>8.7962419260129182E-2</v>
      </c>
      <c r="M26" s="75">
        <f t="shared" si="50"/>
        <v>7.3246900728683631E-2</v>
      </c>
      <c r="N26" s="75">
        <f t="shared" si="50"/>
        <v>0.10436399043993981</v>
      </c>
      <c r="O26" s="75">
        <f t="shared" si="50"/>
        <v>0.10938780656957317</v>
      </c>
      <c r="P26" s="75">
        <f t="shared" si="50"/>
        <v>9.287496534516218E-2</v>
      </c>
      <c r="Q26" s="75">
        <f t="shared" si="50"/>
        <v>7.7476613096665869E-2</v>
      </c>
      <c r="R26" s="75">
        <f t="shared" ref="R26:U26" si="51">+R25/R7</f>
        <v>9.9422472402953432E-2</v>
      </c>
      <c r="S26" s="75">
        <f t="shared" si="51"/>
        <v>6.5181966322650733E-2</v>
      </c>
      <c r="T26" s="75">
        <f t="shared" si="51"/>
        <v>1.1380118263974115E-2</v>
      </c>
      <c r="U26" s="75">
        <f t="shared" si="51"/>
        <v>-2.8810226155358897E-2</v>
      </c>
      <c r="V26" s="75">
        <f t="shared" ref="V26:Y26" si="52">+V25/V7</f>
        <v>-0.16253666430666533</v>
      </c>
      <c r="W26" s="75">
        <f t="shared" si="52"/>
        <v>-5.6826253729222904E-3</v>
      </c>
      <c r="X26" s="75">
        <f t="shared" si="52"/>
        <v>-5.8122863130031982E-2</v>
      </c>
      <c r="Y26" s="75">
        <f t="shared" si="52"/>
        <v>-5.2750225428313799E-2</v>
      </c>
      <c r="Z26" s="75">
        <f t="shared" ref="Z26:AC26" si="53">+Z25/Z7</f>
        <v>7.8206656275786199E-2</v>
      </c>
      <c r="AA26" s="75">
        <f t="shared" si="53"/>
        <v>6.9286585757400626E-2</v>
      </c>
      <c r="AB26" s="75">
        <f t="shared" si="53"/>
        <v>-1.9097222222222224E-2</v>
      </c>
      <c r="AC26" s="75">
        <f t="shared" si="53"/>
        <v>5.0919377652050922E-2</v>
      </c>
      <c r="AD26" s="75">
        <f t="shared" ref="AD26:AE26" si="54">+AD25/AD7</f>
        <v>3.9938055261227484E-2</v>
      </c>
      <c r="AE26" s="75">
        <f t="shared" si="54"/>
        <v>7.0575402236160351E-2</v>
      </c>
    </row>
    <row r="27" spans="2:31" ht="13.5" customHeight="1">
      <c r="B27" s="76" t="s">
        <v>140</v>
      </c>
      <c r="C27" s="59">
        <v>0</v>
      </c>
      <c r="D27" s="59">
        <v>0</v>
      </c>
      <c r="E27" s="59">
        <v>-8110</v>
      </c>
      <c r="F27" s="59">
        <v>-8440</v>
      </c>
      <c r="G27" s="59">
        <v>6780</v>
      </c>
      <c r="H27" s="59">
        <v>770</v>
      </c>
      <c r="I27" s="59">
        <v>-2980</v>
      </c>
      <c r="J27" s="11">
        <f>SUM(AB27:AE27)</f>
        <v>-2980</v>
      </c>
      <c r="K27" s="236"/>
      <c r="L27" s="59">
        <v>0</v>
      </c>
      <c r="M27" s="59">
        <v>0</v>
      </c>
      <c r="N27" s="59">
        <v>-2430</v>
      </c>
      <c r="O27" s="11">
        <f>E27-SUM(L27:N27)</f>
        <v>-5680</v>
      </c>
      <c r="P27" s="59">
        <v>0</v>
      </c>
      <c r="Q27" s="59">
        <v>-1550</v>
      </c>
      <c r="R27" s="59">
        <v>-2730</v>
      </c>
      <c r="S27" s="11">
        <f>F27-SUM(P27:R27)</f>
        <v>-4160</v>
      </c>
      <c r="T27" s="59">
        <v>640</v>
      </c>
      <c r="U27" s="59">
        <v>1040</v>
      </c>
      <c r="V27" s="59">
        <v>3900</v>
      </c>
      <c r="W27" s="11">
        <v>1200</v>
      </c>
      <c r="X27" s="59">
        <v>1430</v>
      </c>
      <c r="Y27" s="59">
        <v>1420</v>
      </c>
      <c r="Z27" s="59">
        <v>-250</v>
      </c>
      <c r="AA27" s="11">
        <f>H27-SUM(X27:Z27)</f>
        <v>-1830</v>
      </c>
      <c r="AB27" s="59">
        <v>880</v>
      </c>
      <c r="AC27" s="59">
        <v>-590</v>
      </c>
      <c r="AD27" s="59">
        <v>-940</v>
      </c>
      <c r="AE27" s="11">
        <f>I27-SUM(AB27:AD27)</f>
        <v>-2330</v>
      </c>
    </row>
    <row r="28" spans="2:31" s="26" customFormat="1" ht="13.5" customHeight="1">
      <c r="B28" s="26" t="s">
        <v>141</v>
      </c>
      <c r="C28" s="51">
        <f t="shared" ref="C28:G28" si="55">+C25+SUM(C27:C27)</f>
        <v>21780</v>
      </c>
      <c r="D28" s="51">
        <f t="shared" si="55"/>
        <v>34950</v>
      </c>
      <c r="E28" s="51">
        <f t="shared" si="55"/>
        <v>36260</v>
      </c>
      <c r="F28" s="51">
        <f t="shared" si="55"/>
        <v>35700</v>
      </c>
      <c r="G28" s="51">
        <f t="shared" si="55"/>
        <v>-12000</v>
      </c>
      <c r="H28" s="51">
        <f t="shared" ref="H28:I28" si="56">+H25+SUM(H27:H27)</f>
        <v>8970</v>
      </c>
      <c r="I28" s="51">
        <f t="shared" si="56"/>
        <v>19220</v>
      </c>
      <c r="J28" s="51">
        <f t="shared" ref="J28" si="57">+J25+SUM(J27:J27)</f>
        <v>19220</v>
      </c>
      <c r="L28" s="51">
        <f t="shared" ref="L28:Q28" si="58">+L25+SUM(L27:L27)</f>
        <v>7490</v>
      </c>
      <c r="M28" s="51">
        <f t="shared" si="58"/>
        <v>7740</v>
      </c>
      <c r="N28" s="51">
        <f t="shared" si="58"/>
        <v>9360</v>
      </c>
      <c r="O28" s="51">
        <f t="shared" si="58"/>
        <v>11670</v>
      </c>
      <c r="P28" s="51">
        <f t="shared" si="58"/>
        <v>10050</v>
      </c>
      <c r="Q28" s="51">
        <f t="shared" si="58"/>
        <v>8140</v>
      </c>
      <c r="R28" s="51">
        <f t="shared" ref="R28:U28" si="59">+R25+SUM(R27:R27)</f>
        <v>10870</v>
      </c>
      <c r="S28" s="51">
        <f t="shared" si="59"/>
        <v>6640</v>
      </c>
      <c r="T28" s="51">
        <f t="shared" si="59"/>
        <v>1660</v>
      </c>
      <c r="U28" s="51">
        <f t="shared" si="59"/>
        <v>-1890</v>
      </c>
      <c r="V28" s="51">
        <f t="shared" ref="V28:Y28" si="60">+V25+SUM(V27:V27)</f>
        <v>-12170</v>
      </c>
      <c r="W28" s="51">
        <f t="shared" si="60"/>
        <v>400</v>
      </c>
      <c r="X28" s="51">
        <f t="shared" si="60"/>
        <v>-3840</v>
      </c>
      <c r="Y28" s="51">
        <f t="shared" si="60"/>
        <v>-4430</v>
      </c>
      <c r="Z28" s="51">
        <f t="shared" ref="Z28:AC28" si="61">+Z25+SUM(Z27:Z27)</f>
        <v>8280</v>
      </c>
      <c r="AA28" s="51">
        <f t="shared" si="61"/>
        <v>8960</v>
      </c>
      <c r="AB28" s="51">
        <f t="shared" si="61"/>
        <v>-880</v>
      </c>
      <c r="AC28" s="51">
        <f t="shared" si="61"/>
        <v>5530</v>
      </c>
      <c r="AD28" s="51">
        <f t="shared" ref="AD28:AE28" si="62">+AD25+SUM(AD27:AD27)</f>
        <v>3960</v>
      </c>
      <c r="AE28" s="51">
        <f t="shared" si="62"/>
        <v>10610</v>
      </c>
    </row>
    <row r="29" spans="2:31" s="26" customFormat="1" ht="13.5" customHeight="1">
      <c r="B29" s="61"/>
      <c r="C29" s="74"/>
      <c r="D29" s="74"/>
      <c r="E29" s="74"/>
      <c r="F29" s="74"/>
      <c r="G29" s="74"/>
      <c r="H29" s="74"/>
      <c r="I29" s="74"/>
      <c r="J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</row>
    <row r="30" spans="2:31" s="26" customFormat="1" ht="13.5" customHeight="1">
      <c r="B30" s="295" t="s">
        <v>142</v>
      </c>
      <c r="C30" s="262"/>
      <c r="D30" s="262"/>
      <c r="E30" s="262"/>
      <c r="F30" s="262"/>
      <c r="G30" s="262"/>
      <c r="H30" s="262"/>
      <c r="I30" s="262"/>
      <c r="J30" s="263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</row>
    <row r="31" spans="2:31" s="37" customFormat="1" ht="13.5" customHeight="1">
      <c r="B31" s="276" t="str">
        <f>B14</f>
        <v>Employee benefit expense</v>
      </c>
      <c r="C31" s="73">
        <f t="shared" ref="C31:G31" si="63">-C14/C7</f>
        <v>9.4837230115225421E-2</v>
      </c>
      <c r="D31" s="73">
        <f t="shared" si="63"/>
        <v>9.5932185868610118E-2</v>
      </c>
      <c r="E31" s="73">
        <f t="shared" si="63"/>
        <v>9.9956747404844296E-2</v>
      </c>
      <c r="F31" s="73">
        <f t="shared" si="63"/>
        <v>9.437061370763028E-2</v>
      </c>
      <c r="G31" s="73">
        <f t="shared" si="63"/>
        <v>0.10863613160703513</v>
      </c>
      <c r="H31" s="73">
        <f t="shared" ref="H31:I31" si="64">-H14/H7</f>
        <v>0.11383665330102709</v>
      </c>
      <c r="I31" s="73">
        <f t="shared" si="64"/>
        <v>0.11201990779143116</v>
      </c>
      <c r="J31" s="73">
        <f t="shared" ref="J31" si="65">-J14/J7</f>
        <v>0.11201990779143116</v>
      </c>
      <c r="K31" s="26"/>
      <c r="L31" s="73">
        <f t="shared" ref="L31:Q31" si="66">-L14/L7</f>
        <v>0.12096300645918967</v>
      </c>
      <c r="M31" s="73">
        <f t="shared" si="66"/>
        <v>0.10211034352228636</v>
      </c>
      <c r="N31" s="73">
        <f t="shared" si="66"/>
        <v>0.10321324245374879</v>
      </c>
      <c r="O31" s="73">
        <f t="shared" si="66"/>
        <v>8.4925288443351621E-2</v>
      </c>
      <c r="P31" s="73">
        <f t="shared" si="66"/>
        <v>0.11496164864615101</v>
      </c>
      <c r="Q31" s="73">
        <f t="shared" si="66"/>
        <v>9.8584792516190928E-2</v>
      </c>
      <c r="R31" s="73">
        <f t="shared" ref="R31:U31" si="67">-R14/R7</f>
        <v>9.6571386797280501E-2</v>
      </c>
      <c r="S31" s="73">
        <f t="shared" si="67"/>
        <v>7.5924920031383916E-2</v>
      </c>
      <c r="T31" s="73">
        <f t="shared" si="67"/>
        <v>0.1383465357581167</v>
      </c>
      <c r="U31" s="73">
        <f t="shared" si="67"/>
        <v>0.12300884955752213</v>
      </c>
      <c r="V31" s="73">
        <f t="shared" ref="V31:Y31" si="68">-V14/V7</f>
        <v>0.11682006675432385</v>
      </c>
      <c r="W31" s="73">
        <f t="shared" si="68"/>
        <v>7.358999857934366E-2</v>
      </c>
      <c r="X31" s="73">
        <f t="shared" si="68"/>
        <v>0.14745781405095401</v>
      </c>
      <c r="Y31" s="73">
        <f t="shared" si="68"/>
        <v>0.12055906221821461</v>
      </c>
      <c r="Z31" s="73">
        <f t="shared" ref="Z31:AC31" si="69">-Z14/Z7</f>
        <v>0.10855413954341249</v>
      </c>
      <c r="AA31" s="73">
        <f t="shared" si="69"/>
        <v>9.317408334938676E-2</v>
      </c>
      <c r="AB31" s="73">
        <f t="shared" si="69"/>
        <v>0.14344618055555555</v>
      </c>
      <c r="AC31" s="73">
        <f t="shared" si="69"/>
        <v>0.12197354189200432</v>
      </c>
      <c r="AD31" s="73">
        <f t="shared" ref="AD31:AE31" si="70">-AD14/AD7</f>
        <v>0.11239709837802592</v>
      </c>
      <c r="AE31" s="73">
        <f t="shared" si="70"/>
        <v>8.9446413962367063E-2</v>
      </c>
    </row>
    <row r="32" spans="2:31" s="37" customFormat="1" ht="13.5" customHeight="1">
      <c r="B32" s="276" t="str">
        <f>B15</f>
        <v>Impairment loss/(writeback) on trade receivables</v>
      </c>
      <c r="C32" s="73">
        <f t="shared" ref="C32:D32" si="71">-C15/C7</f>
        <v>1.3703993735317149E-3</v>
      </c>
      <c r="D32" s="73">
        <f t="shared" si="71"/>
        <v>2.0675040057890112E-3</v>
      </c>
      <c r="E32" s="73">
        <f t="shared" ref="E32:J32" si="72">-E15/E7</f>
        <v>-3.2439446366782005E-4</v>
      </c>
      <c r="F32" s="73">
        <f t="shared" si="72"/>
        <v>2.2958040913842017E-3</v>
      </c>
      <c r="G32" s="73">
        <f t="shared" si="72"/>
        <v>2.111466889414822E-3</v>
      </c>
      <c r="H32" s="73">
        <f t="shared" si="72"/>
        <v>5.1461286103308534E-3</v>
      </c>
      <c r="I32" s="73">
        <f t="shared" si="72"/>
        <v>1.446787167962345E-2</v>
      </c>
      <c r="J32" s="73">
        <f t="shared" si="72"/>
        <v>1.446787167962345E-2</v>
      </c>
      <c r="K32" s="26"/>
      <c r="L32" s="73">
        <f t="shared" ref="L32:O32" si="73">-L15/L7</f>
        <v>-4.3452730475631238E-3</v>
      </c>
      <c r="M32" s="73">
        <f t="shared" si="73"/>
        <v>5.488785842717895E-3</v>
      </c>
      <c r="N32" s="73">
        <f t="shared" si="73"/>
        <v>-2.2129768965212003E-3</v>
      </c>
      <c r="O32" s="73">
        <f t="shared" si="73"/>
        <v>-6.9352499842380679E-4</v>
      </c>
      <c r="P32" s="73">
        <f t="shared" ref="P32:S32" si="74">-P15/P7</f>
        <v>3.049625727751594E-3</v>
      </c>
      <c r="Q32" s="73">
        <f t="shared" si="74"/>
        <v>3.9977612536979288E-3</v>
      </c>
      <c r="R32" s="73">
        <f t="shared" si="74"/>
        <v>5.8483807295854964E-4</v>
      </c>
      <c r="S32" s="73">
        <f t="shared" si="74"/>
        <v>1.9313175206711328E-3</v>
      </c>
      <c r="T32" s="73">
        <f t="shared" ref="T32:W32" si="75">-T15/T7</f>
        <v>7.0288965748075425E-3</v>
      </c>
      <c r="U32" s="73">
        <f t="shared" si="75"/>
        <v>3.736479842674533E-3</v>
      </c>
      <c r="V32" s="73">
        <f t="shared" si="75"/>
        <v>1.4160008091433196E-3</v>
      </c>
      <c r="W32" s="73">
        <f t="shared" si="75"/>
        <v>-1.704787611876687E-3</v>
      </c>
      <c r="X32" s="73">
        <f t="shared" ref="X32:AA32" si="76">-X15/X7</f>
        <v>9.595235469284218E-3</v>
      </c>
      <c r="Y32" s="73">
        <f t="shared" si="76"/>
        <v>1.3706041478809739E-2</v>
      </c>
      <c r="Z32" s="73">
        <f t="shared" si="76"/>
        <v>-1.742000550105437E-3</v>
      </c>
      <c r="AA32" s="73">
        <f t="shared" si="76"/>
        <v>1.2842740640852759E-3</v>
      </c>
      <c r="AB32" s="73">
        <f t="shared" ref="AB32:AE32" si="77">-AB15/AB7</f>
        <v>2.0833333333333332E-2</v>
      </c>
      <c r="AC32" s="73">
        <f t="shared" si="77"/>
        <v>9.4849821116565446E-3</v>
      </c>
      <c r="AD32" s="73">
        <f t="shared" si="77"/>
        <v>5.2979052897546659E-3</v>
      </c>
      <c r="AE32" s="73">
        <f t="shared" si="77"/>
        <v>2.0670848104717754E-2</v>
      </c>
    </row>
    <row r="33" spans="2:31" s="37" customFormat="1" ht="13.5" customHeight="1">
      <c r="B33" s="276" t="str">
        <f>B16</f>
        <v>Depreciation and Amortisation expense</v>
      </c>
      <c r="C33" s="73">
        <f t="shared" ref="C33:G33" si="78">-C16/C7</f>
        <v>5.627027631726144E-2</v>
      </c>
      <c r="D33" s="73">
        <f t="shared" si="78"/>
        <v>5.6158577557244016E-2</v>
      </c>
      <c r="E33" s="73">
        <f t="shared" si="78"/>
        <v>5.1016435986159167E-2</v>
      </c>
      <c r="F33" s="73">
        <f t="shared" si="78"/>
        <v>4.7539943258175302E-2</v>
      </c>
      <c r="G33" s="73">
        <f t="shared" si="78"/>
        <v>6.4109703466518161E-2</v>
      </c>
      <c r="H33" s="73">
        <f t="shared" ref="H33:I33" si="79">-H16/H7</f>
        <v>5.8966056993374358E-2</v>
      </c>
      <c r="I33" s="73">
        <f t="shared" si="79"/>
        <v>6.2578367638264631E-2</v>
      </c>
      <c r="J33" s="73">
        <f t="shared" ref="J33" si="80">-J16/J7</f>
        <v>6.2578367638264631E-2</v>
      </c>
      <c r="K33" s="26"/>
      <c r="L33" s="73">
        <f t="shared" ref="L33:Q33" si="81">-L16/L7</f>
        <v>6.4709336465061662E-2</v>
      </c>
      <c r="M33" s="73">
        <f t="shared" si="81"/>
        <v>5.3562979085833254E-2</v>
      </c>
      <c r="N33" s="73">
        <f t="shared" si="81"/>
        <v>5.3111445516508808E-2</v>
      </c>
      <c r="O33" s="73">
        <f t="shared" si="81"/>
        <v>4.0476640817098543E-2</v>
      </c>
      <c r="P33" s="73">
        <f t="shared" si="81"/>
        <v>5.4338785694482951E-2</v>
      </c>
      <c r="Q33" s="73">
        <f t="shared" si="81"/>
        <v>4.8612776844966815E-2</v>
      </c>
      <c r="R33" s="73">
        <f t="shared" ref="R33:U33" si="82">-R16/R7</f>
        <v>4.5617369690766872E-2</v>
      </c>
      <c r="S33" s="73">
        <f t="shared" si="82"/>
        <v>4.3877119922747301E-2</v>
      </c>
      <c r="T33" s="73">
        <f t="shared" si="82"/>
        <v>7.0958384469485658E-2</v>
      </c>
      <c r="U33" s="73">
        <f t="shared" si="82"/>
        <v>6.4601769911504431E-2</v>
      </c>
      <c r="V33" s="73">
        <f t="shared" ref="V33:Y33" si="83">-V16/V7</f>
        <v>6.8372610498634565E-2</v>
      </c>
      <c r="W33" s="73">
        <f t="shared" si="83"/>
        <v>5.6400056826253729E-2</v>
      </c>
      <c r="X33" s="73">
        <f t="shared" si="83"/>
        <v>7.2791441491121656E-2</v>
      </c>
      <c r="Y33" s="73">
        <f t="shared" si="83"/>
        <v>6.2849413886384126E-2</v>
      </c>
      <c r="Z33" s="73">
        <f t="shared" ref="Z33:AC33" si="84">-Z16/Z7</f>
        <v>6.3078756761712665E-2</v>
      </c>
      <c r="AA33" s="73">
        <f t="shared" si="84"/>
        <v>4.5270660759005973E-2</v>
      </c>
      <c r="AB33" s="73">
        <f t="shared" si="84"/>
        <v>7.9318576388888895E-2</v>
      </c>
      <c r="AC33" s="73">
        <f t="shared" si="84"/>
        <v>6.4148431649887677E-2</v>
      </c>
      <c r="AD33" s="73">
        <f t="shared" ref="AD33:AE33" si="85">-AD16/AD7</f>
        <v>6.7405656532724748E-2</v>
      </c>
      <c r="AE33" s="73">
        <f t="shared" si="85"/>
        <v>4.9904554131442597E-2</v>
      </c>
    </row>
    <row r="34" spans="2:31" s="37" customFormat="1" ht="13.5" customHeight="1">
      <c r="B34" s="276" t="str">
        <f>B17</f>
        <v>Exchange difference on trade receivables and trade payables</v>
      </c>
      <c r="C34" s="73">
        <f t="shared" ref="C34:D34" si="86">-C17/C7</f>
        <v>9.2571876048775023E-3</v>
      </c>
      <c r="D34" s="73">
        <f t="shared" si="86"/>
        <v>5.3496666149790663E-3</v>
      </c>
      <c r="E34" s="73">
        <f t="shared" ref="E34:J34" si="87">-E17/E7</f>
        <v>1.3754325259515572E-2</v>
      </c>
      <c r="F34" s="73">
        <f t="shared" si="87"/>
        <v>1.7993131252799763E-2</v>
      </c>
      <c r="G34" s="73">
        <f t="shared" si="87"/>
        <v>2.2646062462295235E-2</v>
      </c>
      <c r="H34" s="73">
        <f t="shared" si="87"/>
        <v>1.1149945322383515E-2</v>
      </c>
      <c r="I34" s="73">
        <f t="shared" si="87"/>
        <v>6.0957966010146804E-3</v>
      </c>
      <c r="J34" s="73">
        <f t="shared" si="87"/>
        <v>6.0957966010146804E-3</v>
      </c>
      <c r="K34" s="26"/>
      <c r="L34" s="73">
        <f t="shared" ref="L34:O34" si="88">-L17/L7</f>
        <v>1.0452143276570758E-2</v>
      </c>
      <c r="M34" s="73">
        <f t="shared" si="88"/>
        <v>1.078830320810069E-2</v>
      </c>
      <c r="N34" s="73">
        <f t="shared" si="88"/>
        <v>1.9562715765247412E-2</v>
      </c>
      <c r="O34" s="73">
        <f t="shared" si="88"/>
        <v>1.3366118151440641E-2</v>
      </c>
      <c r="P34" s="73">
        <f t="shared" ref="P34:S34" si="89">-P17/P7</f>
        <v>1.8205341465668608E-2</v>
      </c>
      <c r="Q34" s="73">
        <f t="shared" si="89"/>
        <v>2.5905492923962582E-2</v>
      </c>
      <c r="R34" s="73">
        <f t="shared" si="89"/>
        <v>1.0965713867972805E-2</v>
      </c>
      <c r="S34" s="73">
        <f t="shared" si="89"/>
        <v>1.7683626048645061E-2</v>
      </c>
      <c r="T34" s="73">
        <f t="shared" ref="T34:W34" si="90">-T17/T7</f>
        <v>3.5590762021644538E-2</v>
      </c>
      <c r="U34" s="73">
        <f t="shared" si="90"/>
        <v>2.4582104228121928E-2</v>
      </c>
      <c r="V34" s="73">
        <f t="shared" si="90"/>
        <v>3.2669161525235156E-2</v>
      </c>
      <c r="W34" s="73">
        <f t="shared" si="90"/>
        <v>5.9667566415684044E-3</v>
      </c>
      <c r="X34" s="73">
        <f t="shared" ref="X34:AA34" si="91">-X17/X7</f>
        <v>4.9630528289401126E-3</v>
      </c>
      <c r="Y34" s="73">
        <f t="shared" si="91"/>
        <v>2.0108205590622184E-2</v>
      </c>
      <c r="Z34" s="73">
        <f t="shared" si="91"/>
        <v>1.8886953332722105E-2</v>
      </c>
      <c r="AA34" s="73">
        <f t="shared" si="91"/>
        <v>2.9538303473961342E-3</v>
      </c>
      <c r="AB34" s="73">
        <f t="shared" ref="AB34:AE34" si="92">-AB17/AB7</f>
        <v>-1.0091145833333334E-2</v>
      </c>
      <c r="AC34" s="73">
        <f t="shared" si="92"/>
        <v>1.6973125884016973E-2</v>
      </c>
      <c r="AD34" s="73">
        <f t="shared" si="92"/>
        <v>9.4547232863314047E-3</v>
      </c>
      <c r="AE34" s="73">
        <f t="shared" si="92"/>
        <v>4.8541041723479681E-3</v>
      </c>
    </row>
    <row r="35" spans="2:31" s="37" customFormat="1" ht="13.5" customHeight="1">
      <c r="B35" s="276" t="s">
        <v>143</v>
      </c>
      <c r="C35" s="73">
        <f>-C19/C109</f>
        <v>5.1658585929052286E-2</v>
      </c>
      <c r="D35" s="73">
        <f t="shared" ref="D35:H35" si="93">-D19/D109</f>
        <v>8.6667508098784124E-2</v>
      </c>
      <c r="E35" s="73">
        <f t="shared" si="93"/>
        <v>8.8726513569937368E-2</v>
      </c>
      <c r="F35" s="73">
        <f t="shared" si="93"/>
        <v>0.12883168833427541</v>
      </c>
      <c r="G35" s="73">
        <f t="shared" si="93"/>
        <v>0.13545256347141149</v>
      </c>
      <c r="H35" s="73">
        <f t="shared" si="93"/>
        <v>0.15294762587501054</v>
      </c>
      <c r="I35" s="73">
        <f t="shared" ref="I35:J35" si="94">-I19/I109</f>
        <v>0.15426834799963712</v>
      </c>
      <c r="J35" s="73">
        <f t="shared" si="94"/>
        <v>0.15426834799963712</v>
      </c>
      <c r="K35" s="26"/>
      <c r="L35" s="73"/>
      <c r="M35" s="73"/>
      <c r="N35" s="73"/>
      <c r="O35" s="73">
        <f>-SUM(L19:O19)/O109</f>
        <v>8.8726513569937368E-2</v>
      </c>
      <c r="P35" s="73"/>
      <c r="Q35" s="73">
        <f t="shared" ref="Q35:AA35" si="95">-SUM(N19:Q19)/Q109</f>
        <v>7.6561491904513196E-2</v>
      </c>
      <c r="R35" s="73"/>
      <c r="S35" s="73">
        <f t="shared" si="95"/>
        <v>0.12883168833427541</v>
      </c>
      <c r="T35" s="73"/>
      <c r="U35" s="73">
        <f t="shared" si="95"/>
        <v>9.933989509046974E-2</v>
      </c>
      <c r="V35" s="73"/>
      <c r="W35" s="73">
        <f t="shared" si="95"/>
        <v>0.13545256347141149</v>
      </c>
      <c r="X35" s="73"/>
      <c r="Y35" s="73">
        <f t="shared" si="95"/>
        <v>0.13390698112615018</v>
      </c>
      <c r="Z35" s="73"/>
      <c r="AA35" s="73">
        <f t="shared" si="95"/>
        <v>0.15294762587501054</v>
      </c>
      <c r="AB35" s="73"/>
      <c r="AC35" s="73">
        <f>-SUM(Z19:AC19)/AC109</f>
        <v>0.12026468734682445</v>
      </c>
      <c r="AD35" s="73">
        <f>-SUM(AA19:AD19)/AD109</f>
        <v>0.12222456436200112</v>
      </c>
      <c r="AE35" s="73">
        <f>-SUM(AB19:AE19)/AE109</f>
        <v>0.15426834799963712</v>
      </c>
    </row>
    <row r="36" spans="2:31" s="37" customFormat="1" ht="13.5" customHeight="1">
      <c r="B36" s="296" t="s">
        <v>144</v>
      </c>
      <c r="C36" s="73">
        <f t="shared" ref="C36:G36" si="96">-C24/C23</f>
        <v>0.21201157742402316</v>
      </c>
      <c r="D36" s="73">
        <f t="shared" si="96"/>
        <v>0.16407558000478353</v>
      </c>
      <c r="E36" s="73">
        <f t="shared" si="96"/>
        <v>0.10652436568666936</v>
      </c>
      <c r="F36" s="73">
        <f t="shared" si="96"/>
        <v>0.14291262135922331</v>
      </c>
      <c r="G36" s="73">
        <f t="shared" si="96"/>
        <v>0.10014374700527072</v>
      </c>
      <c r="H36" s="73">
        <f t="shared" ref="H36:I36" si="97">-H24/H23</f>
        <v>1.0856453558504222E-2</v>
      </c>
      <c r="I36" s="73">
        <f t="shared" si="97"/>
        <v>0.29680076021539437</v>
      </c>
      <c r="J36" s="73">
        <f t="shared" ref="J36" si="98">-J24/J23</f>
        <v>0.29680076021539437</v>
      </c>
      <c r="K36" s="26"/>
      <c r="L36" s="73">
        <f>L24/L23</f>
        <v>0.25460636515912899</v>
      </c>
      <c r="M36" s="73">
        <f t="shared" ref="M36:R36" si="99">-M24/M23</f>
        <v>0.24340175953079179</v>
      </c>
      <c r="N36" s="73">
        <f t="shared" si="99"/>
        <v>0.12407132243684993</v>
      </c>
      <c r="O36" s="73">
        <f t="shared" si="99"/>
        <v>0.13250000000000001</v>
      </c>
      <c r="P36" s="73">
        <f t="shared" si="99"/>
        <v>5.5451127819548869E-2</v>
      </c>
      <c r="Q36" s="73">
        <f t="shared" si="99"/>
        <v>0.1925</v>
      </c>
      <c r="R36" s="73">
        <f t="shared" si="99"/>
        <v>9.0301003344481601E-2</v>
      </c>
      <c r="S36" s="73">
        <f t="shared" ref="S36:V36" si="100">-S24/S23</f>
        <v>0.22358015815959742</v>
      </c>
      <c r="T36" s="73">
        <f t="shared" si="100"/>
        <v>2.6451612903225805</v>
      </c>
      <c r="U36" s="73">
        <f t="shared" si="100"/>
        <v>0.2467866323907455</v>
      </c>
      <c r="V36" s="73">
        <f t="shared" si="100"/>
        <v>3.5414165666266505E-2</v>
      </c>
      <c r="W36" s="73">
        <f t="shared" ref="W36:Z36" si="101">-W24/W23</f>
        <v>3.6666666666666665</v>
      </c>
      <c r="X36" s="73">
        <f t="shared" si="101"/>
        <v>-0.15824175824175823</v>
      </c>
      <c r="Y36" s="73">
        <f t="shared" si="101"/>
        <v>-0.3087248322147651</v>
      </c>
      <c r="Z36" s="73">
        <f t="shared" si="101"/>
        <v>-1.4096045197740112</v>
      </c>
      <c r="AA36" s="73">
        <f t="shared" ref="AA36:AD36" si="102">-AA24/AA23</f>
        <v>0.21641249092229484</v>
      </c>
      <c r="AB36" s="73">
        <f t="shared" si="102"/>
        <v>7.3684210526315783E-2</v>
      </c>
      <c r="AC36" s="73">
        <f t="shared" si="102"/>
        <v>0.21938775510204081</v>
      </c>
      <c r="AD36" s="73">
        <f t="shared" si="102"/>
        <v>0.26974664679582711</v>
      </c>
      <c r="AE36" s="73">
        <f t="shared" ref="AE36" si="103">-AE24/AE23</f>
        <v>0.31606765327695563</v>
      </c>
    </row>
    <row r="37" spans="2:31" s="37" customFormat="1" ht="13.5" customHeight="1">
      <c r="B37" s="61"/>
      <c r="C37" s="297"/>
      <c r="D37" s="297"/>
      <c r="E37" s="297"/>
      <c r="F37" s="297"/>
      <c r="G37" s="297"/>
      <c r="H37" s="297"/>
      <c r="I37" s="297"/>
      <c r="J37" s="297"/>
      <c r="K37" s="26"/>
      <c r="L37" s="297"/>
      <c r="M37" s="297"/>
      <c r="N37" s="297"/>
      <c r="O37" s="297"/>
      <c r="P37" s="297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</row>
    <row r="38" spans="2:31" ht="13.5" customHeight="1">
      <c r="B38" s="39" t="s">
        <v>145</v>
      </c>
      <c r="C38" s="73">
        <f>C59/C7</f>
        <v>8.5300369168810827E-2</v>
      </c>
      <c r="D38" s="73">
        <f t="shared" ref="D38:J38" si="104">-D59/D7</f>
        <v>5.5305732154856046E-3</v>
      </c>
      <c r="E38" s="73">
        <f t="shared" si="104"/>
        <v>3.8213667820069207E-2</v>
      </c>
      <c r="F38" s="73">
        <f t="shared" si="104"/>
        <v>2.5552486187845305E-2</v>
      </c>
      <c r="G38" s="73">
        <f t="shared" si="104"/>
        <v>2.949092765325537E-2</v>
      </c>
      <c r="H38" s="73">
        <f t="shared" si="104"/>
        <v>-7.7620773205823695E-2</v>
      </c>
      <c r="I38" s="73">
        <f t="shared" ref="I38" si="105">-I59/I7</f>
        <v>2.2627751306931076E-2</v>
      </c>
      <c r="J38" s="73">
        <f t="shared" si="104"/>
        <v>2.2627751306931076E-2</v>
      </c>
      <c r="K38" s="26"/>
      <c r="L38" s="73">
        <f t="shared" ref="L38:Q38" si="106">L59/L7</f>
        <v>0</v>
      </c>
      <c r="M38" s="73">
        <f t="shared" si="106"/>
        <v>-0.53279076369830602</v>
      </c>
      <c r="N38" s="73">
        <f t="shared" si="106"/>
        <v>0</v>
      </c>
      <c r="O38" s="73">
        <f t="shared" si="106"/>
        <v>0.24355336990101506</v>
      </c>
      <c r="P38" s="73">
        <f t="shared" si="106"/>
        <v>0</v>
      </c>
      <c r="Q38" s="73">
        <f t="shared" si="106"/>
        <v>-0.68761493563604381</v>
      </c>
      <c r="R38" s="73">
        <f t="shared" ref="R38:U38" si="107">R59/R7</f>
        <v>0</v>
      </c>
      <c r="S38" s="73">
        <f t="shared" si="107"/>
        <v>0.43641740599915507</v>
      </c>
      <c r="T38" s="73">
        <f t="shared" si="107"/>
        <v>0</v>
      </c>
      <c r="U38" s="73">
        <f t="shared" si="107"/>
        <v>-1.1230088495575221</v>
      </c>
      <c r="V38" s="73">
        <f t="shared" ref="V38:Y38" si="108">V59/V7</f>
        <v>0</v>
      </c>
      <c r="W38" s="73">
        <f t="shared" si="108"/>
        <v>0.72098309418951556</v>
      </c>
      <c r="X38" s="73">
        <f t="shared" si="108"/>
        <v>0</v>
      </c>
      <c r="Y38" s="73">
        <f t="shared" si="108"/>
        <v>-0.44129846708746617</v>
      </c>
      <c r="Z38" s="73">
        <f t="shared" ref="Z38:AC38" si="109">Z59/Z7</f>
        <v>0</v>
      </c>
      <c r="AA38" s="73">
        <f t="shared" si="109"/>
        <v>0.54671546908110191</v>
      </c>
      <c r="AB38" s="73">
        <f t="shared" si="109"/>
        <v>0</v>
      </c>
      <c r="AC38" s="73">
        <f t="shared" si="109"/>
        <v>-0.6898244446293369</v>
      </c>
      <c r="AD38" s="73">
        <f t="shared" ref="AD38:AE38" si="110">AD59/AD7</f>
        <v>0</v>
      </c>
      <c r="AE38" s="73">
        <f t="shared" si="110"/>
        <v>0.38821925279520042</v>
      </c>
    </row>
    <row r="39" spans="2:31" s="37" customFormat="1" ht="13.5" customHeight="1">
      <c r="B39" s="39" t="s">
        <v>146</v>
      </c>
      <c r="C39" s="73">
        <f t="shared" ref="C39:G39" si="111">-C63/C7</f>
        <v>3.9993287839803111E-2</v>
      </c>
      <c r="D39" s="73">
        <f t="shared" si="111"/>
        <v>4.0368015713030447E-2</v>
      </c>
      <c r="E39" s="73">
        <f t="shared" si="111"/>
        <v>4.1068339100346019E-2</v>
      </c>
      <c r="F39" s="73">
        <f t="shared" si="111"/>
        <v>2.9882783335822009E-2</v>
      </c>
      <c r="G39" s="73">
        <f t="shared" si="111"/>
        <v>2.5940878927096386E-2</v>
      </c>
      <c r="H39" s="73">
        <f t="shared" ref="H39:I39" si="112">-H63/H7</f>
        <v>7.9979415485558671E-3</v>
      </c>
      <c r="I39" s="73">
        <f t="shared" si="112"/>
        <v>3.1115569358976834E-2</v>
      </c>
      <c r="J39" s="73">
        <f t="shared" ref="J39" si="113">-J63/J7</f>
        <v>3.1115569358976834E-2</v>
      </c>
      <c r="K39" s="26"/>
      <c r="L39" s="73">
        <f t="shared" ref="L39:Q39" si="114">-L63/L7</f>
        <v>0</v>
      </c>
      <c r="M39" s="73">
        <f t="shared" si="114"/>
        <v>7.1354215955332645E-2</v>
      </c>
      <c r="N39" s="73">
        <f t="shared" si="114"/>
        <v>0</v>
      </c>
      <c r="O39" s="73">
        <f t="shared" si="114"/>
        <v>7.2189647563205353E-2</v>
      </c>
      <c r="P39" s="73">
        <f t="shared" si="114"/>
        <v>0</v>
      </c>
      <c r="Q39" s="73">
        <f t="shared" si="114"/>
        <v>7.7956344447109624E-2</v>
      </c>
      <c r="R39" s="73">
        <f t="shared" ref="R39:U39" si="115">-R63/R7</f>
        <v>0</v>
      </c>
      <c r="S39" s="73">
        <f t="shared" si="115"/>
        <v>3.7781398998129039E-2</v>
      </c>
      <c r="T39" s="73">
        <f t="shared" si="115"/>
        <v>0</v>
      </c>
      <c r="U39" s="73">
        <f t="shared" si="115"/>
        <v>6.8633235004916415E-2</v>
      </c>
      <c r="V39" s="73">
        <f t="shared" ref="V39:Y39" si="116">-V63/V7</f>
        <v>0</v>
      </c>
      <c r="W39" s="73">
        <f t="shared" si="116"/>
        <v>2.9833783207842024E-2</v>
      </c>
      <c r="X39" s="73">
        <f t="shared" si="116"/>
        <v>0</v>
      </c>
      <c r="Y39" s="73">
        <f t="shared" si="116"/>
        <v>6.582506762849414E-3</v>
      </c>
      <c r="Z39" s="73">
        <f t="shared" ref="Z39:AC39" si="117">-Z63/Z7</f>
        <v>0</v>
      </c>
      <c r="AA39" s="73">
        <f t="shared" si="117"/>
        <v>1.9264110961279137E-2</v>
      </c>
      <c r="AB39" s="73">
        <f t="shared" si="117"/>
        <v>0</v>
      </c>
      <c r="AC39" s="73">
        <f t="shared" si="117"/>
        <v>6.6062068391713122E-2</v>
      </c>
      <c r="AD39" s="73">
        <f t="shared" ref="AD39:AE39" si="118">-AD63/AD7</f>
        <v>0</v>
      </c>
      <c r="AE39" s="73">
        <f t="shared" si="118"/>
        <v>4.4668666484865012E-2</v>
      </c>
    </row>
    <row r="40" spans="2:31" s="1" customFormat="1" ht="13.5" customHeight="1">
      <c r="K40" s="26"/>
    </row>
    <row r="41" spans="2:31" ht="13.5" customHeight="1">
      <c r="B41" s="47" t="s">
        <v>147</v>
      </c>
      <c r="C41" s="52">
        <f t="shared" ref="C41:H41" si="119">C3</f>
        <v>43921</v>
      </c>
      <c r="D41" s="52">
        <f t="shared" si="119"/>
        <v>44286</v>
      </c>
      <c r="E41" s="52">
        <f t="shared" si="119"/>
        <v>44651</v>
      </c>
      <c r="F41" s="52">
        <f t="shared" si="119"/>
        <v>45016</v>
      </c>
      <c r="G41" s="52">
        <f t="shared" si="119"/>
        <v>45382</v>
      </c>
      <c r="H41" s="52">
        <f t="shared" si="119"/>
        <v>45747</v>
      </c>
      <c r="I41" s="52">
        <f t="shared" ref="I41" si="120">I3</f>
        <v>46112</v>
      </c>
      <c r="J41" s="52" t="str">
        <f>J2</f>
        <v>LTM</v>
      </c>
      <c r="K41" s="26"/>
      <c r="L41" s="52">
        <f t="shared" ref="L41:Q41" si="121">L3</f>
        <v>44377</v>
      </c>
      <c r="M41" s="52">
        <f t="shared" si="121"/>
        <v>44469</v>
      </c>
      <c r="N41" s="52">
        <f t="shared" si="121"/>
        <v>44561</v>
      </c>
      <c r="O41" s="52">
        <f t="shared" si="121"/>
        <v>44651</v>
      </c>
      <c r="P41" s="52">
        <f t="shared" si="121"/>
        <v>44742</v>
      </c>
      <c r="Q41" s="52">
        <f t="shared" si="121"/>
        <v>44834</v>
      </c>
      <c r="R41" s="52">
        <f t="shared" ref="R41:U41" si="122">R3</f>
        <v>44926</v>
      </c>
      <c r="S41" s="52">
        <f t="shared" si="122"/>
        <v>45016</v>
      </c>
      <c r="T41" s="52">
        <f t="shared" si="122"/>
        <v>45107</v>
      </c>
      <c r="U41" s="52">
        <f t="shared" si="122"/>
        <v>45199</v>
      </c>
      <c r="V41" s="52">
        <f t="shared" ref="V41:Y41" si="123">V3</f>
        <v>45291</v>
      </c>
      <c r="W41" s="52">
        <f t="shared" si="123"/>
        <v>45382</v>
      </c>
      <c r="X41" s="52">
        <f t="shared" si="123"/>
        <v>45473</v>
      </c>
      <c r="Y41" s="52">
        <f t="shared" si="123"/>
        <v>45565</v>
      </c>
      <c r="Z41" s="52">
        <f t="shared" ref="Z41:AC41" si="124">Z3</f>
        <v>45657</v>
      </c>
      <c r="AA41" s="52">
        <f t="shared" si="124"/>
        <v>45747</v>
      </c>
      <c r="AB41" s="52">
        <f t="shared" si="124"/>
        <v>45838</v>
      </c>
      <c r="AC41" s="52">
        <f t="shared" si="124"/>
        <v>45930</v>
      </c>
      <c r="AD41" s="52">
        <f t="shared" ref="AD41:AE41" si="125">AD3</f>
        <v>46022</v>
      </c>
      <c r="AE41" s="52">
        <f t="shared" si="125"/>
        <v>46112</v>
      </c>
    </row>
    <row r="42" spans="2:31" s="26" customFormat="1" ht="13.5" customHeight="1">
      <c r="B42" s="67" t="s">
        <v>131</v>
      </c>
      <c r="C42" s="51">
        <f t="shared" ref="C42:G42" si="126">C18</f>
        <v>113340</v>
      </c>
      <c r="D42" s="51">
        <f t="shared" si="126"/>
        <v>136840</v>
      </c>
      <c r="E42" s="51">
        <f t="shared" si="126"/>
        <v>168470</v>
      </c>
      <c r="F42" s="51">
        <f t="shared" si="126"/>
        <v>180820</v>
      </c>
      <c r="G42" s="51">
        <f t="shared" si="126"/>
        <v>105750</v>
      </c>
      <c r="H42" s="51">
        <f t="shared" ref="H42:I42" si="127">H18</f>
        <v>140810</v>
      </c>
      <c r="I42" s="51">
        <f t="shared" si="127"/>
        <v>164940</v>
      </c>
      <c r="J42" s="51">
        <f t="shared" ref="J42" si="128">J18</f>
        <v>164940</v>
      </c>
      <c r="L42" s="51">
        <f t="shared" ref="L42:Q42" si="129">L18</f>
        <v>32270</v>
      </c>
      <c r="M42" s="51">
        <f t="shared" si="129"/>
        <v>35760</v>
      </c>
      <c r="N42" s="51">
        <f t="shared" si="129"/>
        <v>42510</v>
      </c>
      <c r="O42" s="51">
        <f t="shared" si="129"/>
        <v>57930</v>
      </c>
      <c r="P42" s="51">
        <f t="shared" si="129"/>
        <v>39130</v>
      </c>
      <c r="Q42" s="51">
        <f t="shared" si="129"/>
        <v>45890</v>
      </c>
      <c r="R42" s="51">
        <f t="shared" ref="R42:U42" si="130">R18</f>
        <v>50690</v>
      </c>
      <c r="S42" s="51">
        <f t="shared" si="130"/>
        <v>45110</v>
      </c>
      <c r="T42" s="51">
        <f t="shared" si="130"/>
        <v>28760</v>
      </c>
      <c r="U42" s="51">
        <f t="shared" si="130"/>
        <v>28470</v>
      </c>
      <c r="V42" s="51">
        <f t="shared" ref="V42:Y42" si="131">V18</f>
        <v>15470</v>
      </c>
      <c r="W42" s="51">
        <f t="shared" si="131"/>
        <v>33050</v>
      </c>
      <c r="X42" s="51">
        <f t="shared" si="131"/>
        <v>25160</v>
      </c>
      <c r="Y42" s="51">
        <f t="shared" si="131"/>
        <v>29690</v>
      </c>
      <c r="Z42" s="51">
        <f t="shared" ref="Z42:AC42" si="132">Z18</f>
        <v>36890</v>
      </c>
      <c r="AA42" s="51">
        <f t="shared" si="132"/>
        <v>49070</v>
      </c>
      <c r="AB42" s="51">
        <f t="shared" si="132"/>
        <v>30380</v>
      </c>
      <c r="AC42" s="51">
        <f t="shared" si="132"/>
        <v>39610</v>
      </c>
      <c r="AD42" s="51">
        <f t="shared" ref="AD42:AE42" si="133">AD18</f>
        <v>41280</v>
      </c>
      <c r="AE42" s="51">
        <f t="shared" si="133"/>
        <v>53670</v>
      </c>
    </row>
    <row r="43" spans="2:31" ht="13.5" customHeight="1">
      <c r="B43" s="61" t="s">
        <v>148</v>
      </c>
      <c r="C43" s="148">
        <f t="shared" ref="C43:H43" si="134">-C16</f>
        <v>20120</v>
      </c>
      <c r="D43" s="148">
        <f t="shared" si="134"/>
        <v>21730</v>
      </c>
      <c r="E43" s="205">
        <f t="shared" si="134"/>
        <v>23590</v>
      </c>
      <c r="F43" s="205">
        <f t="shared" si="134"/>
        <v>25470</v>
      </c>
      <c r="G43" s="205">
        <f t="shared" si="134"/>
        <v>27630</v>
      </c>
      <c r="H43" s="205">
        <f t="shared" si="134"/>
        <v>27500</v>
      </c>
      <c r="I43" s="205">
        <f t="shared" ref="I43" si="135">-I16</f>
        <v>32440</v>
      </c>
      <c r="J43" s="11">
        <f>SUM(AB43:AE43)</f>
        <v>32440</v>
      </c>
      <c r="K43" s="11"/>
      <c r="L43" s="204">
        <f>-L16</f>
        <v>5510</v>
      </c>
      <c r="M43" s="204">
        <f>-M16</f>
        <v>5660</v>
      </c>
      <c r="N43" s="204">
        <f>-N16</f>
        <v>6000</v>
      </c>
      <c r="O43" s="11">
        <f>E43-SUM(L43:N43)</f>
        <v>6420</v>
      </c>
      <c r="P43" s="204">
        <f>-P16</f>
        <v>5880</v>
      </c>
      <c r="Q43" s="204">
        <f>-Q16</f>
        <v>6080</v>
      </c>
      <c r="R43" s="204">
        <f>-R16</f>
        <v>6240</v>
      </c>
      <c r="S43" s="11">
        <f>F43-SUM(P43:R43)</f>
        <v>7270</v>
      </c>
      <c r="T43" s="204">
        <f>-T16</f>
        <v>6360</v>
      </c>
      <c r="U43" s="204">
        <f>-U16</f>
        <v>6570</v>
      </c>
      <c r="V43" s="204">
        <f>-V16</f>
        <v>6760</v>
      </c>
      <c r="W43" s="11">
        <f>G43-SUM(T43:V43)</f>
        <v>7940</v>
      </c>
      <c r="X43" s="204">
        <f>-X16</f>
        <v>6600</v>
      </c>
      <c r="Y43" s="204">
        <f>-Y16</f>
        <v>6970</v>
      </c>
      <c r="Z43" s="204">
        <f>-Z16</f>
        <v>6880</v>
      </c>
      <c r="AA43" s="11">
        <f>H43-SUM(X43:Z43)</f>
        <v>7050</v>
      </c>
      <c r="AB43" s="204">
        <f>-AB16</f>
        <v>7310</v>
      </c>
      <c r="AC43" s="204">
        <f>-AC16</f>
        <v>7710</v>
      </c>
      <c r="AD43" s="204">
        <f>-AD16</f>
        <v>8270</v>
      </c>
      <c r="AE43" s="205">
        <f t="shared" ref="AE43" si="136">-AE16</f>
        <v>9150</v>
      </c>
    </row>
    <row r="44" spans="2:31" s="26" customFormat="1" ht="13.5" customHeight="1">
      <c r="B44" s="26" t="s">
        <v>147</v>
      </c>
      <c r="C44" s="51">
        <f t="shared" ref="C44:D44" si="137">SUM(C42:C43)</f>
        <v>133460</v>
      </c>
      <c r="D44" s="51">
        <f t="shared" si="137"/>
        <v>158570</v>
      </c>
      <c r="E44" s="51">
        <f t="shared" ref="E44:F44" si="138">SUM(E42:E43)</f>
        <v>192060</v>
      </c>
      <c r="F44" s="51">
        <f t="shared" si="138"/>
        <v>206290</v>
      </c>
      <c r="G44" s="51">
        <f t="shared" ref="G44:H44" si="139">SUM(G42:G43)</f>
        <v>133380</v>
      </c>
      <c r="H44" s="51">
        <f t="shared" si="139"/>
        <v>168310</v>
      </c>
      <c r="I44" s="51">
        <f t="shared" ref="I44" si="140">SUM(I42:I43)</f>
        <v>197380</v>
      </c>
      <c r="J44" s="51">
        <f>SUM(J42:J43)</f>
        <v>197380</v>
      </c>
      <c r="K44" s="51"/>
      <c r="L44" s="51">
        <f t="shared" ref="L44:O44" si="141">SUM(L42:L43)</f>
        <v>37780</v>
      </c>
      <c r="M44" s="51">
        <f t="shared" si="141"/>
        <v>41420</v>
      </c>
      <c r="N44" s="51">
        <f t="shared" si="141"/>
        <v>48510</v>
      </c>
      <c r="O44" s="51">
        <f t="shared" si="141"/>
        <v>64350</v>
      </c>
      <c r="P44" s="51">
        <f t="shared" ref="P44" si="142">SUM(P42:P43)</f>
        <v>45010</v>
      </c>
      <c r="Q44" s="51">
        <f>SUM(Q42:Q43)</f>
        <v>51970</v>
      </c>
      <c r="R44" s="51">
        <f t="shared" ref="R44:T44" si="143">SUM(R42:R43)</f>
        <v>56930</v>
      </c>
      <c r="S44" s="51">
        <f t="shared" si="143"/>
        <v>52380</v>
      </c>
      <c r="T44" s="51">
        <f t="shared" si="143"/>
        <v>35120</v>
      </c>
      <c r="U44" s="51">
        <f>SUM(U42:U43)</f>
        <v>35040</v>
      </c>
      <c r="V44" s="51">
        <f t="shared" ref="V44:X44" si="144">SUM(V42:V43)</f>
        <v>22230</v>
      </c>
      <c r="W44" s="51">
        <f t="shared" si="144"/>
        <v>40990</v>
      </c>
      <c r="X44" s="51">
        <f t="shared" si="144"/>
        <v>31760</v>
      </c>
      <c r="Y44" s="51">
        <f>SUM(Y42:Y43)</f>
        <v>36660</v>
      </c>
      <c r="Z44" s="51">
        <f t="shared" ref="Z44:AB44" si="145">SUM(Z42:Z43)</f>
        <v>43770</v>
      </c>
      <c r="AA44" s="51">
        <f t="shared" si="145"/>
        <v>56120</v>
      </c>
      <c r="AB44" s="51">
        <f t="shared" si="145"/>
        <v>37690</v>
      </c>
      <c r="AC44" s="51">
        <f>SUM(AC42:AC43)</f>
        <v>47320</v>
      </c>
      <c r="AD44" s="51">
        <f t="shared" ref="AD44" si="146">SUM(AD42:AD43)</f>
        <v>49550</v>
      </c>
      <c r="AE44" s="51">
        <f>SUM(AE42:AE43)</f>
        <v>62820</v>
      </c>
    </row>
    <row r="45" spans="2:31" s="37" customFormat="1" ht="13.5" customHeight="1">
      <c r="B45" s="42" t="s">
        <v>149</v>
      </c>
      <c r="C45" s="70"/>
      <c r="D45" s="70">
        <f t="shared" ref="D45:I45" si="147">+D44/C44-1</f>
        <v>0.18814626105200061</v>
      </c>
      <c r="E45" s="70">
        <f t="shared" si="147"/>
        <v>0.21120010090180985</v>
      </c>
      <c r="F45" s="70">
        <f t="shared" si="147"/>
        <v>7.4091429761532934E-2</v>
      </c>
      <c r="G45" s="70">
        <f t="shared" si="147"/>
        <v>-0.35343448543312816</v>
      </c>
      <c r="H45" s="70">
        <f t="shared" si="147"/>
        <v>0.2618833408307093</v>
      </c>
      <c r="I45" s="70">
        <f t="shared" si="147"/>
        <v>0.17271701027865238</v>
      </c>
      <c r="J45" s="70"/>
      <c r="K45" s="208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</row>
    <row r="46" spans="2:31" s="37" customFormat="1" ht="13.5" customHeight="1">
      <c r="B46" s="42" t="s">
        <v>139</v>
      </c>
      <c r="C46" s="70">
        <f t="shared" ref="C46:G46" si="148">+C44/C7</f>
        <v>0.37325204161539322</v>
      </c>
      <c r="D46" s="70">
        <f t="shared" si="148"/>
        <v>0.40980513774745436</v>
      </c>
      <c r="E46" s="70">
        <f t="shared" si="148"/>
        <v>0.41535467128027681</v>
      </c>
      <c r="F46" s="70">
        <f t="shared" si="148"/>
        <v>0.38504180976556668</v>
      </c>
      <c r="G46" s="70">
        <f t="shared" si="148"/>
        <v>0.30948071836280105</v>
      </c>
      <c r="H46" s="70">
        <f t="shared" ref="H46:I46" si="149">+H44/H7</f>
        <v>0.36089371100199413</v>
      </c>
      <c r="I46" s="70">
        <f t="shared" si="149"/>
        <v>0.38075580161654354</v>
      </c>
      <c r="J46" s="70">
        <f t="shared" ref="J46" si="150">+J44/J7</f>
        <v>0.38075580161654354</v>
      </c>
      <c r="K46" s="237"/>
      <c r="L46" s="70">
        <f t="shared" ref="L46:Q46" si="151">+L44/L7</f>
        <v>0.44368761009982383</v>
      </c>
      <c r="M46" s="70">
        <f t="shared" si="151"/>
        <v>0.39197501656099176</v>
      </c>
      <c r="N46" s="70">
        <f t="shared" si="151"/>
        <v>0.42940603700097368</v>
      </c>
      <c r="O46" s="70">
        <f t="shared" si="151"/>
        <v>0.40571212407792701</v>
      </c>
      <c r="P46" s="70">
        <f t="shared" si="151"/>
        <v>0.41595046668514923</v>
      </c>
      <c r="Q46" s="70">
        <f t="shared" si="151"/>
        <v>0.41552730470936278</v>
      </c>
      <c r="R46" s="70">
        <f t="shared" ref="R46:U46" si="152">+R44/R7</f>
        <v>0.41618539366912788</v>
      </c>
      <c r="S46" s="70">
        <f t="shared" si="152"/>
        <v>0.31613253666485608</v>
      </c>
      <c r="T46" s="70">
        <f t="shared" si="152"/>
        <v>0.39183309159879504</v>
      </c>
      <c r="U46" s="70">
        <f t="shared" si="152"/>
        <v>0.34454277286135693</v>
      </c>
      <c r="V46" s="70">
        <f t="shared" ref="V46:Y46" si="153">+V44/V7</f>
        <v>0.22484069990897138</v>
      </c>
      <c r="W46" s="70">
        <f t="shared" si="153"/>
        <v>0.29116351754510583</v>
      </c>
      <c r="X46" s="70">
        <f t="shared" si="153"/>
        <v>0.35028123966030661</v>
      </c>
      <c r="Y46" s="70">
        <f t="shared" si="153"/>
        <v>0.33056807935076643</v>
      </c>
      <c r="Z46" s="70">
        <f t="shared" ref="Z46:AC46" si="154">+Z44/Z7</f>
        <v>0.40130191620060512</v>
      </c>
      <c r="AA46" s="70">
        <f t="shared" si="154"/>
        <v>0.36036730238232839</v>
      </c>
      <c r="AB46" s="70">
        <f t="shared" si="154"/>
        <v>0.4089626736111111</v>
      </c>
      <c r="AC46" s="70">
        <f t="shared" si="154"/>
        <v>0.39370995923121727</v>
      </c>
      <c r="AD46" s="70">
        <f t="shared" ref="AD46:AE46" si="155">+AD44/AD7</f>
        <v>0.40386339554975953</v>
      </c>
      <c r="AE46" s="70">
        <f t="shared" si="155"/>
        <v>0.34262339787292062</v>
      </c>
    </row>
    <row r="47" spans="2:31" s="37" customFormat="1" ht="13.5" customHeight="1">
      <c r="B47" s="72"/>
      <c r="C47" s="63"/>
      <c r="D47" s="63"/>
      <c r="E47" s="63"/>
      <c r="F47" s="63"/>
      <c r="G47" s="63"/>
      <c r="H47" s="63"/>
      <c r="I47" s="63"/>
      <c r="J47" s="63"/>
      <c r="K47" s="237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8" spans="2:31" ht="13.5" customHeight="1">
      <c r="B48" s="263" t="s">
        <v>150</v>
      </c>
      <c r="C48" s="263">
        <f t="shared" ref="C48:H48" si="156">C49-C44</f>
        <v>-62430</v>
      </c>
      <c r="D48" s="263">
        <f t="shared" si="156"/>
        <v>-72980</v>
      </c>
      <c r="E48" s="263">
        <f t="shared" si="156"/>
        <v>-90410</v>
      </c>
      <c r="F48" s="263">
        <f t="shared" si="156"/>
        <v>-94510</v>
      </c>
      <c r="G48" s="263">
        <f t="shared" si="156"/>
        <v>-78230</v>
      </c>
      <c r="H48" s="263">
        <f t="shared" si="156"/>
        <v>-87110</v>
      </c>
      <c r="I48" s="263">
        <f t="shared" ref="I48" si="157">I49-I44</f>
        <v>-101500</v>
      </c>
      <c r="J48" s="263">
        <f t="shared" ref="J48" si="158">J49-J44</f>
        <v>-101500</v>
      </c>
      <c r="K48" s="237"/>
      <c r="L48" s="263">
        <f>L49-L44</f>
        <v>-19160</v>
      </c>
      <c r="M48" s="263">
        <f>M49-M44</f>
        <v>-20970</v>
      </c>
      <c r="N48" s="263">
        <f>N49-N44</f>
        <v>-21850</v>
      </c>
      <c r="O48" s="263">
        <f>E48-SUM(L48:N48)</f>
        <v>-28430</v>
      </c>
      <c r="P48" s="263">
        <f>P49-P44</f>
        <v>-21590</v>
      </c>
      <c r="Q48" s="263">
        <f>Q49-Q44</f>
        <v>-24290</v>
      </c>
      <c r="R48" s="263">
        <f>R49-R44</f>
        <v>-26580</v>
      </c>
      <c r="S48" s="263">
        <f>F48-SUM(P48:R48)</f>
        <v>-22050</v>
      </c>
      <c r="T48" s="263">
        <f>T49-T44</f>
        <v>-19190</v>
      </c>
      <c r="U48" s="263">
        <f>U49-U44</f>
        <v>-19310</v>
      </c>
      <c r="V48" s="263">
        <f>V49-V44</f>
        <v>-18070</v>
      </c>
      <c r="W48" s="263">
        <f>G48-SUM(T48:V48)</f>
        <v>-21660</v>
      </c>
      <c r="X48" s="263">
        <f>X49-X44</f>
        <v>-20310</v>
      </c>
      <c r="Y48" s="263">
        <f>Y49-Y44</f>
        <v>-20900</v>
      </c>
      <c r="Z48" s="263">
        <f>Z49-Z44</f>
        <v>-22140</v>
      </c>
      <c r="AA48" s="263">
        <f>M48-SUM(X48:Z48)</f>
        <v>42380</v>
      </c>
      <c r="AB48" s="263">
        <f>AB49-AB44</f>
        <v>-24660</v>
      </c>
      <c r="AC48" s="263">
        <f>AC49-AC44</f>
        <v>-25270</v>
      </c>
      <c r="AD48" s="263">
        <f>AD49-AD44</f>
        <v>-25210</v>
      </c>
      <c r="AE48" s="263">
        <f>I48-SUM(AB48:AD48)</f>
        <v>-26360</v>
      </c>
    </row>
    <row r="49" spans="2:31" s="26" customFormat="1" ht="13.5" customHeight="1">
      <c r="B49" s="26" t="s">
        <v>151</v>
      </c>
      <c r="C49" s="110">
        <v>71030</v>
      </c>
      <c r="D49" s="110">
        <v>85590</v>
      </c>
      <c r="E49" s="110">
        <v>101650</v>
      </c>
      <c r="F49" s="110">
        <v>111780</v>
      </c>
      <c r="G49" s="110">
        <v>55150</v>
      </c>
      <c r="H49" s="110">
        <f>81.2*1000</f>
        <v>81200</v>
      </c>
      <c r="I49" s="110">
        <v>95880</v>
      </c>
      <c r="J49" s="51">
        <f>SUM(AB49:AE49)</f>
        <v>95880</v>
      </c>
      <c r="K49" s="237"/>
      <c r="L49" s="110">
        <v>18620</v>
      </c>
      <c r="M49" s="110">
        <v>20450</v>
      </c>
      <c r="N49" s="110">
        <v>26660</v>
      </c>
      <c r="O49" s="51">
        <f t="shared" ref="O49" si="159">O44+O48</f>
        <v>35920</v>
      </c>
      <c r="P49" s="110">
        <v>23420</v>
      </c>
      <c r="Q49" s="110">
        <v>27680</v>
      </c>
      <c r="R49" s="110">
        <v>30350</v>
      </c>
      <c r="S49" s="51">
        <f t="shared" ref="S49" si="160">S44+S48</f>
        <v>30330</v>
      </c>
      <c r="T49" s="110">
        <v>15930</v>
      </c>
      <c r="U49" s="110">
        <v>15730</v>
      </c>
      <c r="V49" s="110">
        <v>4160</v>
      </c>
      <c r="W49" s="51">
        <f t="shared" ref="W49" si="161">W44+W48</f>
        <v>19330</v>
      </c>
      <c r="X49" s="110">
        <v>11450</v>
      </c>
      <c r="Y49" s="110">
        <v>15760</v>
      </c>
      <c r="Z49" s="110">
        <v>21630</v>
      </c>
      <c r="AA49" s="51">
        <f>H49-SUM(X49:Z49)</f>
        <v>32360</v>
      </c>
      <c r="AB49" s="110">
        <v>13030</v>
      </c>
      <c r="AC49" s="110">
        <v>22050</v>
      </c>
      <c r="AD49" s="110">
        <v>24340</v>
      </c>
      <c r="AE49" s="51">
        <f>I49-SUM(AB49:AD49)</f>
        <v>36460</v>
      </c>
    </row>
    <row r="50" spans="2:31" s="37" customFormat="1" ht="13.5" customHeight="1">
      <c r="B50" s="42" t="s">
        <v>149</v>
      </c>
      <c r="C50" s="70"/>
      <c r="D50" s="70">
        <f t="shared" ref="D50:I50" si="162">+D49/C49-1</f>
        <v>0.20498380965789109</v>
      </c>
      <c r="E50" s="70">
        <f t="shared" si="162"/>
        <v>0.18763874284379023</v>
      </c>
      <c r="F50" s="70">
        <f t="shared" si="162"/>
        <v>9.9655681259222861E-2</v>
      </c>
      <c r="G50" s="70">
        <f t="shared" si="162"/>
        <v>-0.50662014671676503</v>
      </c>
      <c r="H50" s="70">
        <f t="shared" si="162"/>
        <v>0.47234814143245685</v>
      </c>
      <c r="I50" s="70">
        <f t="shared" si="162"/>
        <v>0.18078817733990138</v>
      </c>
      <c r="J50" s="70"/>
      <c r="K50" s="237"/>
      <c r="L50" s="70"/>
      <c r="M50" s="70"/>
      <c r="N50" s="70"/>
      <c r="O50" s="70"/>
      <c r="P50" s="70">
        <f>P49/L49-1</f>
        <v>0.25778732545649841</v>
      </c>
      <c r="Q50" s="70">
        <f t="shared" ref="Q50:AE50" si="163">Q49/M49-1</f>
        <v>0.35354523227383861</v>
      </c>
      <c r="R50" s="70">
        <f t="shared" si="163"/>
        <v>0.13840960240060007</v>
      </c>
      <c r="S50" s="70">
        <f t="shared" si="163"/>
        <v>-0.15562360801781738</v>
      </c>
      <c r="T50" s="70">
        <f t="shared" si="163"/>
        <v>-0.31981212638770284</v>
      </c>
      <c r="U50" s="70">
        <f t="shared" si="163"/>
        <v>-0.4317196531791907</v>
      </c>
      <c r="V50" s="70">
        <f t="shared" si="163"/>
        <v>-0.8629324546952224</v>
      </c>
      <c r="W50" s="70">
        <f t="shared" si="163"/>
        <v>-0.36267721727662383</v>
      </c>
      <c r="X50" s="70">
        <f t="shared" si="163"/>
        <v>-0.28123038292529823</v>
      </c>
      <c r="Y50" s="70">
        <f t="shared" si="163"/>
        <v>1.9071837253654689E-3</v>
      </c>
      <c r="Z50" s="70">
        <f t="shared" si="163"/>
        <v>4.1995192307692308</v>
      </c>
      <c r="AA50" s="70">
        <f t="shared" si="163"/>
        <v>0.67408173823072937</v>
      </c>
      <c r="AB50" s="70">
        <f t="shared" si="163"/>
        <v>0.13799126637554582</v>
      </c>
      <c r="AC50" s="70">
        <f t="shared" si="163"/>
        <v>0.39911167512690349</v>
      </c>
      <c r="AD50" s="70">
        <f t="shared" si="163"/>
        <v>0.125288950531669</v>
      </c>
      <c r="AE50" s="70">
        <f t="shared" si="163"/>
        <v>0.12669962917181699</v>
      </c>
    </row>
    <row r="51" spans="2:31" s="37" customFormat="1" ht="13.5" customHeight="1">
      <c r="B51" s="42" t="s">
        <v>139</v>
      </c>
      <c r="C51" s="70">
        <f t="shared" ref="C51:G51" si="164">+C49/C7</f>
        <v>0.19865197449379124</v>
      </c>
      <c r="D51" s="70">
        <f t="shared" si="164"/>
        <v>0.22119708481935182</v>
      </c>
      <c r="E51" s="70">
        <f t="shared" si="164"/>
        <v>0.21983131487889274</v>
      </c>
      <c r="F51" s="70">
        <f t="shared" si="164"/>
        <v>0.20863819620725699</v>
      </c>
      <c r="G51" s="70">
        <f t="shared" si="164"/>
        <v>0.1279641746716785</v>
      </c>
      <c r="H51" s="70">
        <f t="shared" ref="H51:I51" si="165">+H49/H7</f>
        <v>0.1741106846495272</v>
      </c>
      <c r="I51" s="70">
        <f t="shared" si="165"/>
        <v>0.18495727155230618</v>
      </c>
      <c r="J51" s="70">
        <f t="shared" ref="J51" si="166">+J49/J7</f>
        <v>0.18495727155230618</v>
      </c>
      <c r="K51" s="208"/>
      <c r="L51" s="70">
        <f t="shared" ref="L51:Q51" si="167">+L49/L7</f>
        <v>0.21867293012331179</v>
      </c>
      <c r="M51" s="70">
        <f t="shared" si="167"/>
        <v>0.19352701807513958</v>
      </c>
      <c r="N51" s="70">
        <f t="shared" si="167"/>
        <v>0.23599185624502081</v>
      </c>
      <c r="O51" s="70">
        <f t="shared" si="167"/>
        <v>0.22646743584893764</v>
      </c>
      <c r="P51" s="70">
        <f t="shared" si="167"/>
        <v>0.21643101376952223</v>
      </c>
      <c r="Q51" s="70">
        <f t="shared" si="167"/>
        <v>0.22131606300471734</v>
      </c>
      <c r="R51" s="70">
        <f t="shared" ref="R51:U51" si="168">+R49/R7</f>
        <v>0.22187294392864976</v>
      </c>
      <c r="S51" s="70">
        <f t="shared" si="168"/>
        <v>0.1830526887561108</v>
      </c>
      <c r="T51" s="70">
        <f t="shared" si="168"/>
        <v>0.17773067053441927</v>
      </c>
      <c r="U51" s="70">
        <f t="shared" si="168"/>
        <v>0.15467059980334316</v>
      </c>
      <c r="V51" s="70">
        <f t="shared" ref="V51:Y51" si="169">+V49/V7</f>
        <v>4.2075452614544352E-2</v>
      </c>
      <c r="W51" s="70">
        <f t="shared" si="169"/>
        <v>0.13730643557323483</v>
      </c>
      <c r="X51" s="70">
        <f t="shared" si="169"/>
        <v>0.12628212198080954</v>
      </c>
      <c r="Y51" s="70">
        <f t="shared" si="169"/>
        <v>0.14211000901713255</v>
      </c>
      <c r="Z51" s="70">
        <f t="shared" ref="Z51:AC51" si="170">+Z49/Z7</f>
        <v>0.19831300999358209</v>
      </c>
      <c r="AA51" s="70">
        <f t="shared" si="170"/>
        <v>0.20779554356899763</v>
      </c>
      <c r="AB51" s="70">
        <f t="shared" si="170"/>
        <v>0.1413845486111111</v>
      </c>
      <c r="AC51" s="70">
        <f t="shared" si="170"/>
        <v>0.18345952242283051</v>
      </c>
      <c r="AD51" s="70">
        <f t="shared" ref="AD51:AE51" si="171">+AD49/AD7</f>
        <v>0.19838617654250551</v>
      </c>
      <c r="AE51" s="70">
        <f t="shared" si="171"/>
        <v>0.19885464957731117</v>
      </c>
    </row>
    <row r="52" spans="2:31" s="37" customFormat="1" ht="13.5" customHeight="1">
      <c r="B52" s="72"/>
      <c r="C52" s="63"/>
      <c r="D52" s="63"/>
      <c r="E52" s="63"/>
      <c r="F52" s="63"/>
      <c r="G52" s="63"/>
      <c r="H52" s="63"/>
      <c r="I52" s="63"/>
      <c r="J52" s="63"/>
      <c r="K52" s="208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</row>
    <row r="53" spans="2:31" s="37" customFormat="1" ht="13.5" customHeight="1">
      <c r="B53" s="42" t="s">
        <v>152</v>
      </c>
      <c r="C53" s="70">
        <f t="shared" ref="C53:G53" si="172">-C63/C7</f>
        <v>3.9993287839803111E-2</v>
      </c>
      <c r="D53" s="70">
        <f t="shared" si="172"/>
        <v>4.0368015713030447E-2</v>
      </c>
      <c r="E53" s="70">
        <f t="shared" si="172"/>
        <v>4.1068339100346019E-2</v>
      </c>
      <c r="F53" s="70">
        <f t="shared" si="172"/>
        <v>2.9882783335822009E-2</v>
      </c>
      <c r="G53" s="70">
        <f t="shared" si="172"/>
        <v>2.5940878927096386E-2</v>
      </c>
      <c r="H53" s="70">
        <f t="shared" ref="H53:I53" si="173">-H63/H7</f>
        <v>7.9979415485558671E-3</v>
      </c>
      <c r="I53" s="70">
        <f t="shared" si="173"/>
        <v>3.1115569358976834E-2</v>
      </c>
      <c r="J53" s="70">
        <f t="shared" ref="J53" si="174">-J63/J7</f>
        <v>3.1115569358976834E-2</v>
      </c>
      <c r="K53" s="208"/>
      <c r="L53" s="70">
        <f t="shared" ref="L53:Q53" si="175">-L63/L7</f>
        <v>0</v>
      </c>
      <c r="M53" s="70">
        <f t="shared" si="175"/>
        <v>7.1354215955332645E-2</v>
      </c>
      <c r="N53" s="70">
        <f t="shared" si="175"/>
        <v>0</v>
      </c>
      <c r="O53" s="70">
        <f t="shared" si="175"/>
        <v>7.2189647563205353E-2</v>
      </c>
      <c r="P53" s="70">
        <f t="shared" si="175"/>
        <v>0</v>
      </c>
      <c r="Q53" s="70">
        <f t="shared" si="175"/>
        <v>7.7956344447109624E-2</v>
      </c>
      <c r="R53" s="70">
        <f t="shared" ref="R53:U53" si="176">-R63/R7</f>
        <v>0</v>
      </c>
      <c r="S53" s="70">
        <f t="shared" si="176"/>
        <v>3.7781398998129039E-2</v>
      </c>
      <c r="T53" s="70">
        <f t="shared" si="176"/>
        <v>0</v>
      </c>
      <c r="U53" s="70">
        <f t="shared" si="176"/>
        <v>6.8633235004916415E-2</v>
      </c>
      <c r="V53" s="70">
        <f t="shared" ref="V53:Y53" si="177">-V63/V7</f>
        <v>0</v>
      </c>
      <c r="W53" s="70">
        <f t="shared" si="177"/>
        <v>2.9833783207842024E-2</v>
      </c>
      <c r="X53" s="70">
        <f t="shared" si="177"/>
        <v>0</v>
      </c>
      <c r="Y53" s="70">
        <f t="shared" si="177"/>
        <v>6.582506762849414E-3</v>
      </c>
      <c r="Z53" s="70">
        <f t="shared" ref="Z53:AC53" si="178">-Z63/Z7</f>
        <v>0</v>
      </c>
      <c r="AA53" s="70">
        <f t="shared" si="178"/>
        <v>1.9264110961279137E-2</v>
      </c>
      <c r="AB53" s="70">
        <f t="shared" si="178"/>
        <v>0</v>
      </c>
      <c r="AC53" s="70">
        <f t="shared" si="178"/>
        <v>6.6062068391713122E-2</v>
      </c>
      <c r="AD53" s="70">
        <f t="shared" ref="AD53:AE53" si="179">-AD63/AD7</f>
        <v>0</v>
      </c>
      <c r="AE53" s="70">
        <f t="shared" si="179"/>
        <v>4.4668666484865012E-2</v>
      </c>
    </row>
    <row r="54" spans="2:31" s="37" customFormat="1" ht="13.5" customHeight="1">
      <c r="B54" s="42" t="s">
        <v>153</v>
      </c>
      <c r="C54" s="70">
        <f>C59/C7</f>
        <v>8.5300369168810827E-2</v>
      </c>
      <c r="D54" s="70">
        <f t="shared" ref="D54:J54" si="180">-D59/D7</f>
        <v>5.5305732154856046E-3</v>
      </c>
      <c r="E54" s="70">
        <f t="shared" si="180"/>
        <v>3.8213667820069207E-2</v>
      </c>
      <c r="F54" s="70">
        <f t="shared" si="180"/>
        <v>2.5552486187845305E-2</v>
      </c>
      <c r="G54" s="70">
        <f t="shared" si="180"/>
        <v>2.949092765325537E-2</v>
      </c>
      <c r="H54" s="70">
        <f t="shared" si="180"/>
        <v>-7.7620773205823695E-2</v>
      </c>
      <c r="I54" s="70">
        <f t="shared" ref="I54" si="181">-I59/I7</f>
        <v>2.2627751306931076E-2</v>
      </c>
      <c r="J54" s="70">
        <f t="shared" si="180"/>
        <v>2.2627751306931076E-2</v>
      </c>
      <c r="K54" s="208"/>
      <c r="L54" s="70">
        <f t="shared" ref="L54:Q54" si="182">L59/L7</f>
        <v>0</v>
      </c>
      <c r="M54" s="70">
        <f t="shared" si="182"/>
        <v>-0.53279076369830602</v>
      </c>
      <c r="N54" s="70">
        <f t="shared" si="182"/>
        <v>0</v>
      </c>
      <c r="O54" s="70">
        <f t="shared" si="182"/>
        <v>0.24355336990101506</v>
      </c>
      <c r="P54" s="70">
        <f t="shared" si="182"/>
        <v>0</v>
      </c>
      <c r="Q54" s="70">
        <f t="shared" si="182"/>
        <v>-0.68761493563604381</v>
      </c>
      <c r="R54" s="70">
        <f t="shared" ref="R54:U54" si="183">R59/R7</f>
        <v>0</v>
      </c>
      <c r="S54" s="70">
        <f t="shared" si="183"/>
        <v>0.43641740599915507</v>
      </c>
      <c r="T54" s="70">
        <f t="shared" si="183"/>
        <v>0</v>
      </c>
      <c r="U54" s="70">
        <f t="shared" si="183"/>
        <v>-1.1230088495575221</v>
      </c>
      <c r="V54" s="70">
        <f t="shared" ref="V54:Y54" si="184">V59/V7</f>
        <v>0</v>
      </c>
      <c r="W54" s="70">
        <f t="shared" si="184"/>
        <v>0.72098309418951556</v>
      </c>
      <c r="X54" s="70">
        <f t="shared" si="184"/>
        <v>0</v>
      </c>
      <c r="Y54" s="70">
        <f t="shared" si="184"/>
        <v>-0.44129846708746617</v>
      </c>
      <c r="Z54" s="70">
        <f t="shared" ref="Z54:AC54" si="185">Z59/Z7</f>
        <v>0</v>
      </c>
      <c r="AA54" s="70">
        <f t="shared" si="185"/>
        <v>0.54671546908110191</v>
      </c>
      <c r="AB54" s="70">
        <f t="shared" si="185"/>
        <v>0</v>
      </c>
      <c r="AC54" s="70">
        <f t="shared" si="185"/>
        <v>-0.6898244446293369</v>
      </c>
      <c r="AD54" s="70">
        <f t="shared" ref="AD54:AE54" si="186">AD59/AD7</f>
        <v>0</v>
      </c>
      <c r="AE54" s="70">
        <f t="shared" si="186"/>
        <v>0.38821925279520042</v>
      </c>
    </row>
    <row r="55" spans="2:31" ht="13.5" customHeight="1">
      <c r="C55" s="71"/>
      <c r="D55" s="71"/>
      <c r="E55" s="71"/>
      <c r="F55" s="71"/>
      <c r="G55" s="71"/>
      <c r="H55" s="71"/>
      <c r="I55" s="71"/>
      <c r="J55" s="71"/>
      <c r="K55" s="65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 spans="2:31" ht="13.5" customHeight="1">
      <c r="B56" s="47" t="s">
        <v>154</v>
      </c>
      <c r="C56" s="52">
        <f t="shared" ref="C56:H56" si="187">C3</f>
        <v>43921</v>
      </c>
      <c r="D56" s="52">
        <f t="shared" si="187"/>
        <v>44286</v>
      </c>
      <c r="E56" s="52">
        <f t="shared" si="187"/>
        <v>44651</v>
      </c>
      <c r="F56" s="52">
        <f t="shared" si="187"/>
        <v>45016</v>
      </c>
      <c r="G56" s="52">
        <f t="shared" si="187"/>
        <v>45382</v>
      </c>
      <c r="H56" s="52">
        <f t="shared" si="187"/>
        <v>45747</v>
      </c>
      <c r="I56" s="52">
        <f t="shared" ref="I56" si="188">I3</f>
        <v>46112</v>
      </c>
      <c r="J56" s="52" t="str">
        <f>J2</f>
        <v>LTM</v>
      </c>
      <c r="K56" s="235"/>
      <c r="L56" s="52">
        <f t="shared" ref="L56:Q56" si="189">L3</f>
        <v>44377</v>
      </c>
      <c r="M56" s="52">
        <f t="shared" si="189"/>
        <v>44469</v>
      </c>
      <c r="N56" s="52">
        <f t="shared" si="189"/>
        <v>44561</v>
      </c>
      <c r="O56" s="52">
        <f t="shared" si="189"/>
        <v>44651</v>
      </c>
      <c r="P56" s="52">
        <f t="shared" si="189"/>
        <v>44742</v>
      </c>
      <c r="Q56" s="52">
        <f t="shared" si="189"/>
        <v>44834</v>
      </c>
      <c r="R56" s="52">
        <f t="shared" ref="R56:U56" si="190">R3</f>
        <v>44926</v>
      </c>
      <c r="S56" s="52">
        <f t="shared" si="190"/>
        <v>45016</v>
      </c>
      <c r="T56" s="52">
        <f t="shared" si="190"/>
        <v>45107</v>
      </c>
      <c r="U56" s="52">
        <f t="shared" si="190"/>
        <v>45199</v>
      </c>
      <c r="V56" s="52">
        <f t="shared" ref="V56:Y56" si="191">V3</f>
        <v>45291</v>
      </c>
      <c r="W56" s="52">
        <f t="shared" si="191"/>
        <v>45382</v>
      </c>
      <c r="X56" s="52">
        <f t="shared" si="191"/>
        <v>45473</v>
      </c>
      <c r="Y56" s="52">
        <f t="shared" si="191"/>
        <v>45565</v>
      </c>
      <c r="Z56" s="52">
        <f t="shared" ref="Z56:AC56" si="192">Z3</f>
        <v>45657</v>
      </c>
      <c r="AA56" s="52">
        <f t="shared" si="192"/>
        <v>45747</v>
      </c>
      <c r="AB56" s="52">
        <f t="shared" si="192"/>
        <v>45838</v>
      </c>
      <c r="AC56" s="52">
        <f t="shared" si="192"/>
        <v>45930</v>
      </c>
      <c r="AD56" s="52">
        <f t="shared" ref="AD56:AE56" si="193">AD3</f>
        <v>46022</v>
      </c>
      <c r="AE56" s="52">
        <f t="shared" si="193"/>
        <v>46112</v>
      </c>
    </row>
    <row r="57" spans="2:31" ht="13.5" customHeight="1">
      <c r="B57" s="44"/>
      <c r="C57" s="43"/>
      <c r="D57" s="43"/>
      <c r="E57" s="43"/>
      <c r="F57" s="43"/>
      <c r="G57" s="43"/>
      <c r="H57" s="43"/>
      <c r="I57" s="43"/>
      <c r="J57" s="43"/>
      <c r="K57" s="235"/>
      <c r="L57" s="43"/>
      <c r="M57" s="43" t="s">
        <v>155</v>
      </c>
      <c r="N57" s="43"/>
      <c r="O57" s="43" t="s">
        <v>156</v>
      </c>
      <c r="P57" s="43"/>
      <c r="Q57" s="43" t="s">
        <v>155</v>
      </c>
      <c r="R57" s="43"/>
      <c r="S57" s="43" t="s">
        <v>156</v>
      </c>
      <c r="T57" s="43"/>
      <c r="U57" s="43" t="s">
        <v>155</v>
      </c>
      <c r="V57" s="43"/>
      <c r="W57" s="43" t="s">
        <v>156</v>
      </c>
      <c r="X57" s="43"/>
      <c r="Y57" s="43" t="s">
        <v>155</v>
      </c>
      <c r="Z57" s="43"/>
      <c r="AA57" s="43" t="s">
        <v>156</v>
      </c>
      <c r="AB57" s="43"/>
      <c r="AC57" s="43" t="s">
        <v>155</v>
      </c>
      <c r="AD57" s="43"/>
      <c r="AE57" s="43" t="s">
        <v>156</v>
      </c>
    </row>
    <row r="58" spans="2:31" s="26" customFormat="1" ht="13.5" customHeight="1">
      <c r="B58" s="26" t="s">
        <v>151</v>
      </c>
      <c r="C58" s="51">
        <f t="shared" ref="C58:D58" si="194">C49</f>
        <v>71030</v>
      </c>
      <c r="D58" s="51">
        <f t="shared" si="194"/>
        <v>85590</v>
      </c>
      <c r="E58" s="51">
        <f t="shared" ref="E58:F58" si="195">E49</f>
        <v>101650</v>
      </c>
      <c r="F58" s="51">
        <f t="shared" si="195"/>
        <v>111780</v>
      </c>
      <c r="G58" s="51">
        <f t="shared" ref="G58:H58" si="196">G49</f>
        <v>55150</v>
      </c>
      <c r="H58" s="51">
        <f t="shared" si="196"/>
        <v>81200</v>
      </c>
      <c r="I58" s="51">
        <f t="shared" ref="I58" si="197">I49</f>
        <v>95880</v>
      </c>
      <c r="J58" s="51">
        <f>J49</f>
        <v>95880</v>
      </c>
      <c r="K58" s="51"/>
      <c r="L58" s="267"/>
      <c r="M58" s="51">
        <f>M49+L49</f>
        <v>39070</v>
      </c>
      <c r="N58" s="267"/>
      <c r="O58" s="51">
        <f>O49+N49</f>
        <v>62580</v>
      </c>
      <c r="P58" s="267"/>
      <c r="Q58" s="51">
        <f>Q49+P49</f>
        <v>51100</v>
      </c>
      <c r="R58" s="267"/>
      <c r="S58" s="51">
        <f>S49+R49</f>
        <v>60680</v>
      </c>
      <c r="T58" s="267"/>
      <c r="U58" s="51">
        <f>U49+T49</f>
        <v>31660</v>
      </c>
      <c r="V58" s="267"/>
      <c r="W58" s="51">
        <f>W49+V49</f>
        <v>23490</v>
      </c>
      <c r="X58" s="267"/>
      <c r="Y58" s="51">
        <f>Y49+X49</f>
        <v>27210</v>
      </c>
      <c r="Z58" s="267"/>
      <c r="AA58" s="51">
        <f>AA49+Z49</f>
        <v>53990</v>
      </c>
      <c r="AB58" s="267"/>
      <c r="AC58" s="51">
        <f>AC49+AB49</f>
        <v>35080</v>
      </c>
      <c r="AD58" s="267"/>
      <c r="AE58" s="51">
        <f>AE49+AD49</f>
        <v>60800</v>
      </c>
    </row>
    <row r="59" spans="2:31" ht="13.5" customHeight="1">
      <c r="B59" s="61" t="s">
        <v>157</v>
      </c>
      <c r="C59" s="59">
        <v>30500</v>
      </c>
      <c r="D59" s="59">
        <v>-2140</v>
      </c>
      <c r="E59" s="59">
        <v>-17670</v>
      </c>
      <c r="F59" s="59">
        <v>-13690</v>
      </c>
      <c r="G59" s="59">
        <f>29650-42360</f>
        <v>-12710</v>
      </c>
      <c r="H59" s="59">
        <f>(11057-7437)*10</f>
        <v>36200</v>
      </c>
      <c r="I59" s="59">
        <f>(8426-9599)*10</f>
        <v>-11730</v>
      </c>
      <c r="J59" s="11">
        <f>SUM(AB59:AE59)</f>
        <v>-11730</v>
      </c>
      <c r="K59" s="11"/>
      <c r="L59" s="265"/>
      <c r="M59" s="59">
        <v>-56300</v>
      </c>
      <c r="N59" s="265"/>
      <c r="O59" s="11">
        <f>E59-SUM(L59:N59)</f>
        <v>38630</v>
      </c>
      <c r="P59" s="265"/>
      <c r="Q59" s="59">
        <v>-86000</v>
      </c>
      <c r="R59" s="265"/>
      <c r="S59" s="11">
        <f>F59-SUM(P59:R59)</f>
        <v>72310</v>
      </c>
      <c r="T59" s="265"/>
      <c r="U59" s="59">
        <v>-114210</v>
      </c>
      <c r="V59" s="265"/>
      <c r="W59" s="11">
        <f>G59-SUM(T59:V59)</f>
        <v>101500</v>
      </c>
      <c r="X59" s="265"/>
      <c r="Y59" s="59">
        <v>-48940</v>
      </c>
      <c r="Z59" s="265"/>
      <c r="AA59" s="11">
        <f>H59-SUM(X59:Z59)</f>
        <v>85140</v>
      </c>
      <c r="AB59" s="265"/>
      <c r="AC59" s="59">
        <f>(-4844-3447)*10</f>
        <v>-82910</v>
      </c>
      <c r="AD59" s="265"/>
      <c r="AE59" s="11">
        <f>I59-SUM(AB59:AD59)</f>
        <v>71180</v>
      </c>
    </row>
    <row r="60" spans="2:31" ht="13.5" customHeight="1">
      <c r="B60" s="61" t="s">
        <v>158</v>
      </c>
      <c r="C60" s="59">
        <v>-8190</v>
      </c>
      <c r="D60" s="59">
        <v>-7250</v>
      </c>
      <c r="E60" s="59">
        <v>-10040</v>
      </c>
      <c r="F60" s="59">
        <v>-12620</v>
      </c>
      <c r="G60" s="59">
        <v>-11430</v>
      </c>
      <c r="H60" s="59">
        <v>-9830</v>
      </c>
      <c r="I60" s="59">
        <v>-5710</v>
      </c>
      <c r="J60" s="11">
        <f>SUM(AB60:AE60)</f>
        <v>-5710</v>
      </c>
      <c r="K60" s="11"/>
      <c r="L60" s="265"/>
      <c r="M60" s="59">
        <v>-4380</v>
      </c>
      <c r="N60" s="265"/>
      <c r="O60" s="11">
        <f>E60-SUM(L60:N60)</f>
        <v>-5660</v>
      </c>
      <c r="P60" s="265"/>
      <c r="Q60" s="59">
        <v>-5690</v>
      </c>
      <c r="R60" s="265"/>
      <c r="S60" s="11">
        <f>F60-SUM(P60:R60)</f>
        <v>-6930</v>
      </c>
      <c r="T60" s="265"/>
      <c r="U60" s="59">
        <v>-8400</v>
      </c>
      <c r="V60" s="265"/>
      <c r="W60" s="11">
        <f>G60-SUM(T60:V60)</f>
        <v>-3030</v>
      </c>
      <c r="X60" s="265"/>
      <c r="Y60" s="59">
        <v>-5470</v>
      </c>
      <c r="Z60" s="265"/>
      <c r="AA60" s="11">
        <f t="shared" ref="AA60:AA61" si="198">H60-SUM(X60:Z60)</f>
        <v>-4360</v>
      </c>
      <c r="AB60" s="265"/>
      <c r="AC60" s="59">
        <v>330</v>
      </c>
      <c r="AD60" s="265"/>
      <c r="AE60" s="11">
        <f>I60-SUM(AB60:AD60)</f>
        <v>-6040</v>
      </c>
    </row>
    <row r="61" spans="2:31" ht="13.5" customHeight="1">
      <c r="B61" s="61" t="s">
        <v>159</v>
      </c>
      <c r="C61" s="59">
        <v>-16460</v>
      </c>
      <c r="D61" s="59">
        <v>-16550</v>
      </c>
      <c r="E61" s="59">
        <v>-19410</v>
      </c>
      <c r="F61" s="59">
        <v>-23450</v>
      </c>
      <c r="G61" s="59">
        <v>-34050</v>
      </c>
      <c r="H61" s="59">
        <v>-33280</v>
      </c>
      <c r="I61" s="59">
        <v>-28790</v>
      </c>
      <c r="J61" s="11">
        <f>SUM(AB61:AE61)</f>
        <v>-28790</v>
      </c>
      <c r="K61" s="11"/>
      <c r="L61" s="265"/>
      <c r="M61" s="59">
        <v>-9490</v>
      </c>
      <c r="N61" s="265"/>
      <c r="O61" s="11">
        <f>E61-SUM(L61:N61)</f>
        <v>-9920</v>
      </c>
      <c r="P61" s="265"/>
      <c r="Q61" s="59">
        <v>-8360</v>
      </c>
      <c r="R61" s="265"/>
      <c r="S61" s="11">
        <f>F61-SUM(P61:R61)</f>
        <v>-15090</v>
      </c>
      <c r="T61" s="265"/>
      <c r="U61" s="59">
        <v>-13750</v>
      </c>
      <c r="V61" s="265"/>
      <c r="W61" s="11">
        <f>G61-SUM(T61:V61)</f>
        <v>-20300</v>
      </c>
      <c r="X61" s="265"/>
      <c r="Y61" s="59">
        <v>-17440</v>
      </c>
      <c r="Z61" s="265"/>
      <c r="AA61" s="11">
        <f t="shared" si="198"/>
        <v>-15840</v>
      </c>
      <c r="AB61" s="265"/>
      <c r="AC61" s="59">
        <v>-15610</v>
      </c>
      <c r="AD61" s="265"/>
      <c r="AE61" s="11">
        <f>I61-SUM(AB61:AD61)</f>
        <v>-13180</v>
      </c>
    </row>
    <row r="62" spans="2:31" s="26" customFormat="1" ht="13.5" customHeight="1">
      <c r="B62" s="26" t="s">
        <v>160</v>
      </c>
      <c r="C62" s="69">
        <f t="shared" ref="C62" si="199">SUM(C58:C61)</f>
        <v>76880</v>
      </c>
      <c r="D62" s="69">
        <f t="shared" ref="D62" si="200">SUM(D58:D61)</f>
        <v>59650</v>
      </c>
      <c r="E62" s="69">
        <f t="shared" ref="E62:F62" si="201">SUM(E58:E61)</f>
        <v>54530</v>
      </c>
      <c r="F62" s="69">
        <f t="shared" si="201"/>
        <v>62020</v>
      </c>
      <c r="G62" s="69">
        <f t="shared" ref="G62:H62" si="202">SUM(G58:G61)</f>
        <v>-3040</v>
      </c>
      <c r="H62" s="69">
        <f t="shared" si="202"/>
        <v>74290</v>
      </c>
      <c r="I62" s="69">
        <f t="shared" ref="I62:J62" si="203">SUM(I58:I61)</f>
        <v>49650</v>
      </c>
      <c r="J62" s="69">
        <f t="shared" si="203"/>
        <v>49650</v>
      </c>
      <c r="K62" s="51"/>
      <c r="L62" s="266"/>
      <c r="M62" s="69">
        <f t="shared" ref="M62:O62" si="204">SUM(M58:M61)</f>
        <v>-31100</v>
      </c>
      <c r="N62" s="266"/>
      <c r="O62" s="69">
        <f t="shared" si="204"/>
        <v>85630</v>
      </c>
      <c r="P62" s="266"/>
      <c r="Q62" s="69">
        <f>SUM(Q58:Q61)</f>
        <v>-48950</v>
      </c>
      <c r="R62" s="266"/>
      <c r="S62" s="69">
        <f t="shared" ref="S62" si="205">SUM(S58:S61)</f>
        <v>110970</v>
      </c>
      <c r="T62" s="266"/>
      <c r="U62" s="69">
        <f>SUM(U58:U61)</f>
        <v>-104700</v>
      </c>
      <c r="V62" s="266"/>
      <c r="W62" s="69">
        <f t="shared" ref="W62" si="206">SUM(W58:W61)</f>
        <v>101660</v>
      </c>
      <c r="X62" s="266"/>
      <c r="Y62" s="69">
        <f>SUM(Y58:Y61)</f>
        <v>-44640</v>
      </c>
      <c r="Z62" s="266"/>
      <c r="AA62" s="69">
        <f t="shared" ref="AA62" si="207">SUM(AA58:AA61)</f>
        <v>118930</v>
      </c>
      <c r="AB62" s="266"/>
      <c r="AC62" s="69">
        <f>SUM(AC58:AC61)</f>
        <v>-63110</v>
      </c>
      <c r="AD62" s="266"/>
      <c r="AE62" s="69">
        <f t="shared" ref="AE62" si="208">SUM(AE58:AE61)</f>
        <v>112760</v>
      </c>
    </row>
    <row r="63" spans="2:31" ht="13.5" customHeight="1">
      <c r="B63" s="61" t="s">
        <v>161</v>
      </c>
      <c r="C63" s="59">
        <f>-14750+450</f>
        <v>-14300</v>
      </c>
      <c r="D63" s="59">
        <f>-16190+570</f>
        <v>-15620</v>
      </c>
      <c r="E63" s="59">
        <f>-20220+1230</f>
        <v>-18990</v>
      </c>
      <c r="F63" s="59">
        <f>-16720+710</f>
        <v>-16010</v>
      </c>
      <c r="G63" s="59">
        <f>-11590+410</f>
        <v>-11180</v>
      </c>
      <c r="H63" s="59">
        <f>(-813+440)*10</f>
        <v>-3730</v>
      </c>
      <c r="I63" s="59">
        <f>(-1666+53)*10</f>
        <v>-16130</v>
      </c>
      <c r="J63" s="11">
        <f>SUM(AB63:AE63)</f>
        <v>-16130</v>
      </c>
      <c r="K63" s="11"/>
      <c r="L63" s="265"/>
      <c r="M63" s="59">
        <f>-7790+250</f>
        <v>-7540</v>
      </c>
      <c r="N63" s="265"/>
      <c r="O63" s="11">
        <f>E63-SUM(L63:N63)</f>
        <v>-11450</v>
      </c>
      <c r="P63" s="265"/>
      <c r="Q63" s="59">
        <f>-9900+150</f>
        <v>-9750</v>
      </c>
      <c r="R63" s="265"/>
      <c r="S63" s="11">
        <f>F63-SUM(P63:R63)</f>
        <v>-6260</v>
      </c>
      <c r="T63" s="265"/>
      <c r="U63" s="59">
        <f>-7230+250</f>
        <v>-6980</v>
      </c>
      <c r="V63" s="265"/>
      <c r="W63" s="11">
        <f>G63-SUM(T63:V63)</f>
        <v>-4200</v>
      </c>
      <c r="X63" s="265"/>
      <c r="Y63" s="59">
        <f>-4940+4210</f>
        <v>-730</v>
      </c>
      <c r="Z63" s="265"/>
      <c r="AA63" s="11">
        <f t="shared" ref="AA63:AA65" si="209">H63-SUM(X63:Z63)</f>
        <v>-3000</v>
      </c>
      <c r="AB63" s="265"/>
      <c r="AC63" s="59">
        <f>(-800+6)*10</f>
        <v>-7940</v>
      </c>
      <c r="AD63" s="265"/>
      <c r="AE63" s="11">
        <f t="shared" ref="AE63:AE65" si="210">I63-SUM(AB63:AD63)</f>
        <v>-8190</v>
      </c>
    </row>
    <row r="64" spans="2:31" ht="13.5" customHeight="1">
      <c r="B64" s="61" t="s">
        <v>162</v>
      </c>
      <c r="C64" s="59">
        <v>-5050</v>
      </c>
      <c r="D64" s="59">
        <v>-5030</v>
      </c>
      <c r="E64" s="59">
        <v>-6660</v>
      </c>
      <c r="F64" s="59">
        <v>-6880</v>
      </c>
      <c r="G64" s="59">
        <v>-8360</v>
      </c>
      <c r="H64" s="59">
        <f>(-882)*10</f>
        <v>-8820</v>
      </c>
      <c r="I64" s="59">
        <f>(-740)*10</f>
        <v>-7400</v>
      </c>
      <c r="J64" s="11">
        <f>SUM(AB64:AE64)</f>
        <v>-7400</v>
      </c>
      <c r="K64" s="11"/>
      <c r="L64" s="265"/>
      <c r="M64" s="59">
        <v>-2550</v>
      </c>
      <c r="N64" s="265"/>
      <c r="O64" s="11">
        <f>E64-SUM(L64:N64)</f>
        <v>-4110</v>
      </c>
      <c r="P64" s="265"/>
      <c r="Q64" s="59">
        <v>-1810</v>
      </c>
      <c r="R64" s="265"/>
      <c r="S64" s="11">
        <f>F64-SUM(P64:R64)</f>
        <v>-5070</v>
      </c>
      <c r="T64" s="265"/>
      <c r="U64" s="59">
        <v>-3540</v>
      </c>
      <c r="V64" s="265"/>
      <c r="W64" s="11">
        <f>G64-SUM(T64:V64)</f>
        <v>-4820</v>
      </c>
      <c r="X64" s="265"/>
      <c r="Y64" s="59">
        <v>-4530</v>
      </c>
      <c r="Z64" s="265"/>
      <c r="AA64" s="11">
        <f t="shared" si="209"/>
        <v>-4290</v>
      </c>
      <c r="AB64" s="265"/>
      <c r="AC64" s="59">
        <v>-1890</v>
      </c>
      <c r="AD64" s="265"/>
      <c r="AE64" s="11">
        <f t="shared" si="210"/>
        <v>-5510</v>
      </c>
    </row>
    <row r="65" spans="2:31" ht="13.5" customHeight="1">
      <c r="B65" s="61" t="s">
        <v>163</v>
      </c>
      <c r="C65" s="59">
        <v>-7610</v>
      </c>
      <c r="D65" s="59">
        <v>-1790</v>
      </c>
      <c r="E65" s="59">
        <v>-1300</v>
      </c>
      <c r="F65" s="59">
        <v>-560</v>
      </c>
      <c r="G65" s="59">
        <v>-1360</v>
      </c>
      <c r="H65" s="59">
        <v>-1850</v>
      </c>
      <c r="I65" s="59">
        <v>0</v>
      </c>
      <c r="J65" s="11">
        <f>SUM(AB65:AE65)</f>
        <v>0</v>
      </c>
      <c r="K65" s="11"/>
      <c r="L65" s="265"/>
      <c r="M65" s="59">
        <v>-150</v>
      </c>
      <c r="N65" s="265"/>
      <c r="O65" s="11">
        <f>E65-SUM(L65:N65)</f>
        <v>-1150</v>
      </c>
      <c r="P65" s="265"/>
      <c r="Q65" s="59">
        <v>-560</v>
      </c>
      <c r="R65" s="265"/>
      <c r="S65" s="11">
        <f>F65-SUM(P65:R65)</f>
        <v>0</v>
      </c>
      <c r="T65" s="265"/>
      <c r="U65" s="59">
        <v>-850</v>
      </c>
      <c r="V65" s="265"/>
      <c r="W65" s="11">
        <f>G65-SUM(T65:V65)</f>
        <v>-510</v>
      </c>
      <c r="X65" s="265"/>
      <c r="Y65" s="59">
        <v>-1850</v>
      </c>
      <c r="Z65" s="265"/>
      <c r="AA65" s="11">
        <f t="shared" si="209"/>
        <v>0</v>
      </c>
      <c r="AB65" s="265"/>
      <c r="AC65" s="59">
        <v>-470</v>
      </c>
      <c r="AD65" s="265"/>
      <c r="AE65" s="11">
        <f t="shared" si="210"/>
        <v>470</v>
      </c>
    </row>
    <row r="66" spans="2:31" s="26" customFormat="1" ht="13.5" customHeight="1">
      <c r="B66" s="67" t="s">
        <v>164</v>
      </c>
      <c r="C66" s="51">
        <f t="shared" ref="C66" si="211">SUM(C62:C65)</f>
        <v>49920</v>
      </c>
      <c r="D66" s="51">
        <f t="shared" ref="D66" si="212">SUM(D62:D65)</f>
        <v>37210</v>
      </c>
      <c r="E66" s="51">
        <f t="shared" ref="E66:F66" si="213">SUM(E62:E65)</f>
        <v>27580</v>
      </c>
      <c r="F66" s="51">
        <f t="shared" si="213"/>
        <v>38570</v>
      </c>
      <c r="G66" s="51">
        <f t="shared" ref="G66:H66" si="214">SUM(G62:G65)</f>
        <v>-23940</v>
      </c>
      <c r="H66" s="51">
        <f t="shared" si="214"/>
        <v>59890</v>
      </c>
      <c r="I66" s="51">
        <f t="shared" ref="I66:J66" si="215">SUM(I62:I65)</f>
        <v>26120</v>
      </c>
      <c r="J66" s="51">
        <f t="shared" si="215"/>
        <v>26120</v>
      </c>
      <c r="K66" s="51"/>
      <c r="L66" s="267"/>
      <c r="M66" s="51">
        <f t="shared" ref="M66:O66" si="216">SUM(M62:M65)</f>
        <v>-41340</v>
      </c>
      <c r="N66" s="267"/>
      <c r="O66" s="51">
        <f t="shared" si="216"/>
        <v>68920</v>
      </c>
      <c r="P66" s="267"/>
      <c r="Q66" s="51">
        <f t="shared" ref="Q66" si="217">SUM(Q62:Q65)</f>
        <v>-61070</v>
      </c>
      <c r="R66" s="267"/>
      <c r="S66" s="51">
        <f t="shared" ref="S66" si="218">SUM(S62:S65)</f>
        <v>99640</v>
      </c>
      <c r="T66" s="267"/>
      <c r="U66" s="51">
        <f t="shared" ref="U66" si="219">SUM(U62:U65)</f>
        <v>-116070</v>
      </c>
      <c r="V66" s="267"/>
      <c r="W66" s="51">
        <f>SUM(W62:W65)</f>
        <v>92130</v>
      </c>
      <c r="X66" s="267"/>
      <c r="Y66" s="51">
        <f t="shared" ref="Y66" si="220">SUM(Y62:Y65)</f>
        <v>-51750</v>
      </c>
      <c r="Z66" s="267"/>
      <c r="AA66" s="51">
        <f>SUM(AA62:AA65)</f>
        <v>111640</v>
      </c>
      <c r="AB66" s="267"/>
      <c r="AC66" s="51">
        <f t="shared" ref="AC66" si="221">SUM(AC62:AC65)</f>
        <v>-73410</v>
      </c>
      <c r="AD66" s="267"/>
      <c r="AE66" s="51">
        <f>SUM(AE62:AE65)</f>
        <v>99530</v>
      </c>
    </row>
    <row r="67" spans="2:31" s="26" customFormat="1" ht="13.5" customHeight="1">
      <c r="B67" s="61" t="s">
        <v>165</v>
      </c>
      <c r="C67" s="59">
        <f>-940-90+630-120+170-30+60+850</f>
        <v>530</v>
      </c>
      <c r="D67" s="59">
        <f>250-280-230-20+1710</f>
        <v>1430</v>
      </c>
      <c r="E67" s="59">
        <f>1320-8400-3190+160-170-2670+160+1550</f>
        <v>-11240</v>
      </c>
      <c r="F67" s="59">
        <f>210-6190+11070-610+1930+300+1840</f>
        <v>8550</v>
      </c>
      <c r="G67" s="59">
        <f>-8810+470+610+370+260+3220</f>
        <v>-3880</v>
      </c>
      <c r="H67" s="59">
        <f>(-680-9-48-17+34+21+299)*10</f>
        <v>-4000</v>
      </c>
      <c r="I67" s="59">
        <f>(-22-65-313-162-52+275+512+25-207)*10</f>
        <v>-90</v>
      </c>
      <c r="J67" s="11">
        <f>SUM(AB67:AE67)</f>
        <v>-90</v>
      </c>
      <c r="K67" s="238"/>
      <c r="L67" s="265"/>
      <c r="M67" s="59">
        <f>320-130+150-80+20+740</f>
        <v>1020</v>
      </c>
      <c r="N67" s="265"/>
      <c r="O67" s="11">
        <f>E67-SUM(L67:N67)</f>
        <v>-12260</v>
      </c>
      <c r="P67" s="265"/>
      <c r="Q67" s="59">
        <f>-6900+9110-40+2770+220+1080</f>
        <v>6240</v>
      </c>
      <c r="R67" s="265"/>
      <c r="S67" s="11">
        <f>F67-SUM(P67:R67)</f>
        <v>2310</v>
      </c>
      <c r="T67" s="265"/>
      <c r="U67" s="59">
        <f>-3910-820+250+600+260+1420</f>
        <v>-2200</v>
      </c>
      <c r="V67" s="265"/>
      <c r="W67" s="11">
        <f>G67-SUM(T67:V67)</f>
        <v>-1680</v>
      </c>
      <c r="X67" s="265"/>
      <c r="Y67" s="59">
        <f>-130-140-1650+80+570+210+1240</f>
        <v>180</v>
      </c>
      <c r="Z67" s="265"/>
      <c r="AA67" s="11">
        <f t="shared" ref="AA67:AA71" si="222">H67-SUM(X67:Z67)</f>
        <v>-4180</v>
      </c>
      <c r="AB67" s="265"/>
      <c r="AC67" s="59">
        <f>(-9-2+26-278+39-35+151+345)*10</f>
        <v>2370</v>
      </c>
      <c r="AD67" s="265"/>
      <c r="AE67" s="11">
        <f t="shared" ref="AE67:AE71" si="223">I67-SUM(AB67:AD67)</f>
        <v>-2460</v>
      </c>
    </row>
    <row r="68" spans="2:31" ht="13.5" customHeight="1">
      <c r="B68" s="61" t="s">
        <v>166</v>
      </c>
      <c r="C68" s="59">
        <v>0</v>
      </c>
      <c r="D68" s="59">
        <v>0</v>
      </c>
      <c r="E68" s="59">
        <v>0</v>
      </c>
      <c r="F68" s="59">
        <v>-13550</v>
      </c>
      <c r="G68" s="59">
        <v>0</v>
      </c>
      <c r="H68" s="59">
        <v>16330</v>
      </c>
      <c r="I68" s="59">
        <v>17000</v>
      </c>
      <c r="J68" s="11">
        <f>SUM(AB68:AE68)</f>
        <v>17000</v>
      </c>
      <c r="K68" s="11"/>
      <c r="L68" s="265"/>
      <c r="M68" s="59">
        <v>0</v>
      </c>
      <c r="N68" s="265"/>
      <c r="O68" s="11">
        <f>E68-SUM(L68:N68)</f>
        <v>0</v>
      </c>
      <c r="P68" s="265"/>
      <c r="Q68" s="59">
        <v>0</v>
      </c>
      <c r="R68" s="265"/>
      <c r="S68" s="11">
        <f>F68-SUM(P68:R68)</f>
        <v>-13550</v>
      </c>
      <c r="T68" s="265"/>
      <c r="U68" s="59">
        <v>0</v>
      </c>
      <c r="V68" s="265"/>
      <c r="W68" s="11">
        <f>G68-SUM(T68:V68)</f>
        <v>0</v>
      </c>
      <c r="X68" s="265"/>
      <c r="Y68" s="59">
        <v>0</v>
      </c>
      <c r="Z68" s="265"/>
      <c r="AA68" s="11">
        <f t="shared" si="222"/>
        <v>16330</v>
      </c>
      <c r="AB68" s="265"/>
      <c r="AC68" s="59">
        <f>(1685)*10</f>
        <v>16850</v>
      </c>
      <c r="AD68" s="265"/>
      <c r="AE68" s="11">
        <f t="shared" si="223"/>
        <v>150</v>
      </c>
    </row>
    <row r="69" spans="2:31" ht="13.5" customHeight="1">
      <c r="B69" s="61" t="s">
        <v>167</v>
      </c>
      <c r="C69" s="59">
        <f>-500-4070</f>
        <v>-4570</v>
      </c>
      <c r="D69" s="59">
        <v>-4580</v>
      </c>
      <c r="E69" s="59">
        <f>-1580-7640</f>
        <v>-9220</v>
      </c>
      <c r="F69" s="59">
        <v>-7500</v>
      </c>
      <c r="G69" s="59">
        <v>-7490</v>
      </c>
      <c r="H69" s="59">
        <v>-770</v>
      </c>
      <c r="I69" s="59">
        <f>-4780-90</f>
        <v>-4870</v>
      </c>
      <c r="J69" s="11">
        <f>SUM(AB69:AE69)</f>
        <v>-4870</v>
      </c>
      <c r="K69" s="11"/>
      <c r="L69" s="265"/>
      <c r="M69" s="59">
        <f>-7630</f>
        <v>-7630</v>
      </c>
      <c r="N69" s="265"/>
      <c r="O69" s="11">
        <f>E69-SUM(L69:N69)</f>
        <v>-1590</v>
      </c>
      <c r="P69" s="265"/>
      <c r="Q69" s="59">
        <v>-7520</v>
      </c>
      <c r="R69" s="265"/>
      <c r="S69" s="11">
        <f>F69-SUM(P69:R69)</f>
        <v>20</v>
      </c>
      <c r="T69" s="265"/>
      <c r="U69" s="59">
        <v>-7520</v>
      </c>
      <c r="V69" s="265"/>
      <c r="W69" s="11">
        <f>G69-SUM(T69:V69)</f>
        <v>30</v>
      </c>
      <c r="X69" s="265"/>
      <c r="Y69" s="59">
        <v>-760</v>
      </c>
      <c r="Z69" s="265"/>
      <c r="AA69" s="11">
        <f t="shared" si="222"/>
        <v>-10</v>
      </c>
      <c r="AB69" s="265"/>
      <c r="AC69" s="59">
        <v>-4780</v>
      </c>
      <c r="AD69" s="265"/>
      <c r="AE69" s="11">
        <f t="shared" si="223"/>
        <v>-90</v>
      </c>
    </row>
    <row r="70" spans="2:31" ht="13.5" customHeight="1">
      <c r="B70" s="61" t="s">
        <v>168</v>
      </c>
      <c r="C70" s="59">
        <f>-16670-12030+30270</f>
        <v>1570</v>
      </c>
      <c r="D70" s="59">
        <f>73110-116750+1450</f>
        <v>-42190</v>
      </c>
      <c r="E70" s="59">
        <f>71930-84640+25770</f>
        <v>13060</v>
      </c>
      <c r="F70" s="59">
        <f>61630-78640-28940</f>
        <v>-45950</v>
      </c>
      <c r="G70" s="59">
        <f>33130-16610+31530</f>
        <v>48050</v>
      </c>
      <c r="H70" s="59">
        <f>(-2137-3217-530)*10</f>
        <v>-58840</v>
      </c>
      <c r="I70" s="59">
        <f>(-4742+575-641-3409)*10</f>
        <v>-82170</v>
      </c>
      <c r="J70" s="11">
        <f>SUM(AB70:AE70)</f>
        <v>-82170</v>
      </c>
      <c r="K70" s="11"/>
      <c r="L70" s="265"/>
      <c r="M70" s="59">
        <f>18560-21060+33180</f>
        <v>30680</v>
      </c>
      <c r="N70" s="265"/>
      <c r="O70" s="11">
        <f>E70-SUM(L70:N70)</f>
        <v>-17620</v>
      </c>
      <c r="P70" s="265"/>
      <c r="Q70" s="59">
        <f>54990-54990+50060</f>
        <v>50060</v>
      </c>
      <c r="R70" s="265"/>
      <c r="S70" s="11">
        <f>F70-SUM(P70:R70)</f>
        <v>-96010</v>
      </c>
      <c r="T70" s="265"/>
      <c r="U70" s="59">
        <f>16330+90760</f>
        <v>107090</v>
      </c>
      <c r="V70" s="265"/>
      <c r="W70" s="11">
        <f>G70-SUM(T70:V70)</f>
        <v>-59040</v>
      </c>
      <c r="X70" s="265"/>
      <c r="Y70" s="59">
        <f>31850</f>
        <v>31850</v>
      </c>
      <c r="Z70" s="265"/>
      <c r="AA70" s="11">
        <f t="shared" si="222"/>
        <v>-90690</v>
      </c>
      <c r="AB70" s="265"/>
      <c r="AC70" s="59">
        <f>(3902-3409-294)*10</f>
        <v>1990</v>
      </c>
      <c r="AD70" s="265"/>
      <c r="AE70" s="11">
        <f t="shared" si="223"/>
        <v>-84160</v>
      </c>
    </row>
    <row r="71" spans="2:31" ht="13.5" customHeight="1">
      <c r="B71" s="61" t="s">
        <v>169</v>
      </c>
      <c r="C71" s="59">
        <f>-400-1890</f>
        <v>-2290</v>
      </c>
      <c r="D71" s="59">
        <f>-990-2820</f>
        <v>-3810</v>
      </c>
      <c r="E71" s="59">
        <f>-860-2780</f>
        <v>-3640</v>
      </c>
      <c r="F71" s="59">
        <f>13840-480-3700-2080+40540-19940</f>
        <v>28180</v>
      </c>
      <c r="G71" s="59">
        <f>-530-4340-0+0-0</f>
        <v>-4870</v>
      </c>
      <c r="H71" s="59">
        <v>28630</v>
      </c>
      <c r="I71" s="59">
        <v>0</v>
      </c>
      <c r="J71" s="11">
        <f>SUM(AB71:AE71)</f>
        <v>0</v>
      </c>
      <c r="K71" s="11"/>
      <c r="L71" s="265"/>
      <c r="M71" s="59">
        <f>-440-1380</f>
        <v>-1820</v>
      </c>
      <c r="N71" s="265"/>
      <c r="O71" s="11">
        <f>E71-SUM(L71:N71)</f>
        <v>-1820</v>
      </c>
      <c r="P71" s="265"/>
      <c r="Q71" s="59">
        <f>13840-480-1720-13550</f>
        <v>-1910</v>
      </c>
      <c r="R71" s="265"/>
      <c r="S71" s="11">
        <f>F71-SUM(P71:R71)</f>
        <v>30090</v>
      </c>
      <c r="T71" s="265"/>
      <c r="U71" s="59">
        <f>-1860</f>
        <v>-1860</v>
      </c>
      <c r="V71" s="265"/>
      <c r="W71" s="11">
        <f>G71-SUM(T71:V71)</f>
        <v>-3010</v>
      </c>
      <c r="X71" s="265"/>
      <c r="Y71" s="59">
        <f>-2520</f>
        <v>-2520</v>
      </c>
      <c r="Z71" s="265"/>
      <c r="AA71" s="11">
        <f t="shared" si="222"/>
        <v>31150</v>
      </c>
      <c r="AB71" s="265"/>
      <c r="AC71" s="59">
        <v>0</v>
      </c>
      <c r="AD71" s="265"/>
      <c r="AE71" s="11">
        <f t="shared" si="223"/>
        <v>0</v>
      </c>
    </row>
    <row r="72" spans="2:31" ht="13.5" customHeight="1">
      <c r="B72" s="67" t="s">
        <v>170</v>
      </c>
      <c r="C72" s="51">
        <f t="shared" ref="C72" si="224">SUM(C66:C71)</f>
        <v>45160</v>
      </c>
      <c r="D72" s="51">
        <f t="shared" ref="D72" si="225">SUM(D66:D71)</f>
        <v>-11940</v>
      </c>
      <c r="E72" s="51">
        <f t="shared" ref="E72:F72" si="226">SUM(E66:E71)</f>
        <v>16540</v>
      </c>
      <c r="F72" s="51">
        <f t="shared" si="226"/>
        <v>8300</v>
      </c>
      <c r="G72" s="51">
        <f t="shared" ref="G72:H72" si="227">SUM(G66:G71)</f>
        <v>7870</v>
      </c>
      <c r="H72" s="51">
        <f t="shared" si="227"/>
        <v>41240</v>
      </c>
      <c r="I72" s="51">
        <f t="shared" ref="I72:J72" si="228">SUM(I66:I71)</f>
        <v>-44010</v>
      </c>
      <c r="J72" s="51">
        <f t="shared" si="228"/>
        <v>-44010</v>
      </c>
      <c r="K72" s="51"/>
      <c r="L72" s="267"/>
      <c r="M72" s="51">
        <f t="shared" ref="M72:O72" si="229">SUM(M66:M71)</f>
        <v>-19090</v>
      </c>
      <c r="N72" s="267"/>
      <c r="O72" s="51">
        <f t="shared" si="229"/>
        <v>35630</v>
      </c>
      <c r="P72" s="267"/>
      <c r="Q72" s="51">
        <f>SUM(Q66:Q71)</f>
        <v>-14200</v>
      </c>
      <c r="R72" s="267"/>
      <c r="S72" s="51">
        <f t="shared" ref="S72" si="230">SUM(S66:S71)</f>
        <v>22500</v>
      </c>
      <c r="T72" s="267"/>
      <c r="U72" s="51">
        <f>SUM(U66:U71)</f>
        <v>-20560</v>
      </c>
      <c r="V72" s="267"/>
      <c r="W72" s="51">
        <f>SUM(W66:W71)</f>
        <v>28430</v>
      </c>
      <c r="X72" s="267"/>
      <c r="Y72" s="51">
        <f>SUM(Y66:Y71)</f>
        <v>-23000</v>
      </c>
      <c r="Z72" s="267"/>
      <c r="AA72" s="51">
        <f>SUM(AA66:AA71)</f>
        <v>64240</v>
      </c>
      <c r="AB72" s="267"/>
      <c r="AC72" s="51">
        <f>SUM(AC66:AC71)</f>
        <v>-56980</v>
      </c>
      <c r="AD72" s="267"/>
      <c r="AE72" s="51">
        <f>SUM(AE66:AE71)</f>
        <v>12970</v>
      </c>
    </row>
    <row r="73" spans="2:31" ht="13.5" customHeight="1">
      <c r="B73" s="61" t="s">
        <v>171</v>
      </c>
      <c r="C73" s="11">
        <f>38980-C72-C74</f>
        <v>-5950</v>
      </c>
      <c r="D73" s="11">
        <f>-19270-D72-D74</f>
        <v>-4080</v>
      </c>
      <c r="E73" s="11">
        <f>10000-E72-E74</f>
        <v>-8980</v>
      </c>
      <c r="F73" s="11">
        <f>1700-F72-F74</f>
        <v>-7960</v>
      </c>
      <c r="G73" s="303">
        <f>-240-G72-G74</f>
        <v>-12790</v>
      </c>
      <c r="H73" s="303">
        <f>35350-H72-H74</f>
        <v>-6830</v>
      </c>
      <c r="I73" s="303">
        <f>-35030-I72-I74</f>
        <v>110</v>
      </c>
      <c r="J73" s="11">
        <f>-35030-J72-J74</f>
        <v>110</v>
      </c>
      <c r="K73" s="11"/>
      <c r="L73" s="268"/>
      <c r="M73" s="11">
        <f>-19860-M72-M74</f>
        <v>-2540</v>
      </c>
      <c r="N73" s="268"/>
      <c r="O73" s="11">
        <f>10000-M73-O72-M72-O74-M74</f>
        <v>-6440</v>
      </c>
      <c r="P73" s="268"/>
      <c r="Q73" s="11">
        <f>-22090-Q72-Q74</f>
        <v>-5350</v>
      </c>
      <c r="R73" s="268"/>
      <c r="S73" s="11">
        <f>1700-Q73-S72-Q72-S74-Q74</f>
        <v>-2610</v>
      </c>
      <c r="T73" s="268"/>
      <c r="U73" s="11">
        <f>-28670-U72-U74</f>
        <v>-5960</v>
      </c>
      <c r="V73" s="268"/>
      <c r="W73" s="11">
        <f>-240-U73-W72-U72-W74-U74</f>
        <v>-6830</v>
      </c>
      <c r="X73" s="268"/>
      <c r="Y73" s="11">
        <f>-20690-Y72-Y74</f>
        <v>4570</v>
      </c>
      <c r="Z73" s="268"/>
      <c r="AA73" s="11">
        <f>35350-Y73-AA72-Y72-AA74-Y74</f>
        <v>-11400</v>
      </c>
      <c r="AB73" s="268"/>
      <c r="AC73" s="303">
        <f>-54200-AC72-AC74</f>
        <v>-610</v>
      </c>
      <c r="AD73" s="268"/>
      <c r="AE73" s="303">
        <f>-35030-AC73-AE72-AC72-AE74-AC74</f>
        <v>720</v>
      </c>
    </row>
    <row r="74" spans="2:31" ht="13.5" customHeight="1">
      <c r="B74" s="61" t="s">
        <v>172</v>
      </c>
      <c r="C74" s="59">
        <v>-230</v>
      </c>
      <c r="D74" s="59">
        <v>-3250</v>
      </c>
      <c r="E74" s="59">
        <v>2440</v>
      </c>
      <c r="F74" s="59">
        <v>1360</v>
      </c>
      <c r="G74" s="59">
        <v>4680</v>
      </c>
      <c r="H74" s="59">
        <f>170+770</f>
        <v>940</v>
      </c>
      <c r="I74" s="59">
        <v>8870</v>
      </c>
      <c r="J74" s="11">
        <f>SUM(AB74:AE74)</f>
        <v>8870</v>
      </c>
      <c r="K74" s="11"/>
      <c r="L74" s="265"/>
      <c r="M74" s="59">
        <v>1770</v>
      </c>
      <c r="N74" s="265"/>
      <c r="O74" s="11">
        <f>E74-SUM(L74:N74)</f>
        <v>670</v>
      </c>
      <c r="P74" s="265"/>
      <c r="Q74" s="59">
        <v>-2540</v>
      </c>
      <c r="R74" s="265"/>
      <c r="S74" s="11">
        <f>F74-SUM(P74:R74)</f>
        <v>3900</v>
      </c>
      <c r="T74" s="265"/>
      <c r="U74" s="59">
        <v>-2150</v>
      </c>
      <c r="V74" s="265"/>
      <c r="W74" s="11">
        <f>G74-SUM(T74:V74)</f>
        <v>6830</v>
      </c>
      <c r="X74" s="265"/>
      <c r="Y74" s="59">
        <v>-2260</v>
      </c>
      <c r="Z74" s="265"/>
      <c r="AA74" s="11">
        <f t="shared" ref="AA74" si="231">H74-SUM(X74:Z74)</f>
        <v>3200</v>
      </c>
      <c r="AB74" s="265"/>
      <c r="AC74" s="59">
        <v>3390</v>
      </c>
      <c r="AD74" s="265"/>
      <c r="AE74" s="11">
        <f>I74-SUM(AB74:AD74)</f>
        <v>5480</v>
      </c>
    </row>
    <row r="75" spans="2:31" s="26" customFormat="1" ht="13.5" customHeight="1">
      <c r="B75" s="67" t="s">
        <v>173</v>
      </c>
      <c r="C75" s="51">
        <f t="shared" ref="C75:D75" si="232">SUM(C72:C74)</f>
        <v>38980</v>
      </c>
      <c r="D75" s="51">
        <f t="shared" si="232"/>
        <v>-19270</v>
      </c>
      <c r="E75" s="51">
        <f t="shared" ref="E75:F75" si="233">SUM(E72:E74)</f>
        <v>10000</v>
      </c>
      <c r="F75" s="51">
        <f t="shared" si="233"/>
        <v>1700</v>
      </c>
      <c r="G75" s="51">
        <f t="shared" ref="G75:H75" si="234">SUM(G72:G74)</f>
        <v>-240</v>
      </c>
      <c r="H75" s="51">
        <f t="shared" si="234"/>
        <v>35350</v>
      </c>
      <c r="I75" s="51">
        <f t="shared" ref="I75" si="235">SUM(I72:I74)</f>
        <v>-35030</v>
      </c>
      <c r="J75" s="51">
        <f>SUM(AB75:AE75)</f>
        <v>-35030</v>
      </c>
      <c r="K75" s="51"/>
      <c r="L75" s="267"/>
      <c r="M75" s="51">
        <f t="shared" ref="M75:O75" si="236">SUM(M72:M74)</f>
        <v>-19860</v>
      </c>
      <c r="N75" s="267"/>
      <c r="O75" s="51">
        <f t="shared" si="236"/>
        <v>29860</v>
      </c>
      <c r="P75" s="267"/>
      <c r="Q75" s="51">
        <f t="shared" ref="Q75" si="237">SUM(Q72:Q74)</f>
        <v>-22090</v>
      </c>
      <c r="R75" s="267"/>
      <c r="S75" s="51">
        <f t="shared" ref="S75" si="238">SUM(S72:S74)</f>
        <v>23790</v>
      </c>
      <c r="T75" s="267"/>
      <c r="U75" s="51">
        <f t="shared" ref="U75" si="239">SUM(U72:U74)</f>
        <v>-28670</v>
      </c>
      <c r="V75" s="267"/>
      <c r="W75" s="51">
        <f t="shared" ref="W75" si="240">SUM(W72:W74)</f>
        <v>28430</v>
      </c>
      <c r="X75" s="267"/>
      <c r="Y75" s="51">
        <f t="shared" ref="Y75" si="241">SUM(Y72:Y74)</f>
        <v>-20690</v>
      </c>
      <c r="Z75" s="267"/>
      <c r="AA75" s="51">
        <f t="shared" ref="AA75" si="242">SUM(AA72:AA74)</f>
        <v>56040</v>
      </c>
      <c r="AB75" s="267"/>
      <c r="AC75" s="51">
        <f t="shared" ref="AC75" si="243">SUM(AC72:AC74)</f>
        <v>-54200</v>
      </c>
      <c r="AD75" s="267"/>
      <c r="AE75" s="51">
        <f t="shared" ref="AE75" si="244">SUM(AE72:AE74)</f>
        <v>19170</v>
      </c>
    </row>
    <row r="76" spans="2:31" ht="13.5" customHeight="1">
      <c r="B76" s="67" t="s">
        <v>174</v>
      </c>
      <c r="C76" s="51">
        <f>28260+C75</f>
        <v>67240</v>
      </c>
      <c r="D76" s="51">
        <f t="shared" ref="D76:I76" si="245">C76+D75</f>
        <v>47970</v>
      </c>
      <c r="E76" s="51">
        <f t="shared" si="245"/>
        <v>57970</v>
      </c>
      <c r="F76" s="51">
        <f t="shared" si="245"/>
        <v>59670</v>
      </c>
      <c r="G76" s="51">
        <f t="shared" si="245"/>
        <v>59430</v>
      </c>
      <c r="H76" s="51">
        <f t="shared" si="245"/>
        <v>94780</v>
      </c>
      <c r="I76" s="51">
        <f t="shared" si="245"/>
        <v>59750</v>
      </c>
      <c r="J76" s="51">
        <f>AA76+J75</f>
        <v>59750</v>
      </c>
      <c r="K76" s="83"/>
      <c r="L76" s="267"/>
      <c r="M76" s="51">
        <f>48530+M75</f>
        <v>28670</v>
      </c>
      <c r="N76" s="267"/>
      <c r="O76" s="51">
        <f>D76+O75+M75</f>
        <v>57970</v>
      </c>
      <c r="P76" s="267"/>
      <c r="Q76" s="51">
        <f>O76+Q75</f>
        <v>35880</v>
      </c>
      <c r="R76" s="267"/>
      <c r="S76" s="51">
        <f>E76+S75+Q75</f>
        <v>59670</v>
      </c>
      <c r="T76" s="267"/>
      <c r="U76" s="51">
        <f>S76+U75</f>
        <v>31000</v>
      </c>
      <c r="V76" s="267"/>
      <c r="W76" s="51">
        <f>F76+W75+U75</f>
        <v>59430</v>
      </c>
      <c r="X76" s="267"/>
      <c r="Y76" s="51">
        <f>W76+Y75</f>
        <v>38740</v>
      </c>
      <c r="Z76" s="267"/>
      <c r="AA76" s="51">
        <f>Y76+AA75</f>
        <v>94780</v>
      </c>
      <c r="AB76" s="267"/>
      <c r="AC76" s="51">
        <f>AA76+AC75</f>
        <v>40580</v>
      </c>
      <c r="AD76" s="267"/>
      <c r="AE76" s="51">
        <f>AC76+AE75</f>
        <v>59750</v>
      </c>
    </row>
    <row r="77" spans="2:31" ht="13.5" customHeight="1">
      <c r="B77" s="67"/>
      <c r="C77" s="59"/>
      <c r="D77" s="59"/>
      <c r="E77" s="59"/>
      <c r="F77" s="59"/>
      <c r="G77" s="59"/>
      <c r="H77" s="59"/>
      <c r="I77" s="59"/>
      <c r="J77" s="11"/>
      <c r="K77" s="11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spans="2:31" ht="11.25" customHeight="1">
      <c r="B78" s="68" t="s">
        <v>175</v>
      </c>
      <c r="C78" s="298">
        <f>+C76-C121+280</f>
        <v>0</v>
      </c>
      <c r="D78" s="298">
        <f>+D76-D121+560</f>
        <v>0</v>
      </c>
      <c r="E78" s="298">
        <f>+E76-E121+3230</f>
        <v>0</v>
      </c>
      <c r="F78" s="298">
        <f>+F76-F121+1300</f>
        <v>0</v>
      </c>
      <c r="G78" s="298">
        <f>+G76-G121+930</f>
        <v>0</v>
      </c>
      <c r="H78" s="298">
        <f>+H76-H121+590</f>
        <v>0</v>
      </c>
      <c r="I78" s="298">
        <f>+I76-I121+1110</f>
        <v>0</v>
      </c>
      <c r="J78" s="298"/>
      <c r="K78" s="299"/>
      <c r="L78" s="298"/>
      <c r="M78" s="298">
        <f>+M76-M121</f>
        <v>0</v>
      </c>
      <c r="N78" s="298"/>
      <c r="O78" s="298">
        <f>+O76-O121+3230</f>
        <v>0</v>
      </c>
      <c r="P78" s="298"/>
      <c r="Q78" s="298">
        <f>+Q76-Q121</f>
        <v>0</v>
      </c>
      <c r="R78" s="298"/>
      <c r="S78" s="298">
        <f>+S76-S121+1300</f>
        <v>0</v>
      </c>
      <c r="T78" s="298"/>
      <c r="U78" s="298">
        <f>+U76-U121+700</f>
        <v>0</v>
      </c>
      <c r="V78" s="298"/>
      <c r="W78" s="298">
        <f>+W76-W121+930</f>
        <v>0</v>
      </c>
      <c r="X78" s="298"/>
      <c r="Y78" s="298">
        <f>+Y76-Y121+360</f>
        <v>0</v>
      </c>
      <c r="Z78" s="298"/>
      <c r="AA78" s="298">
        <f>+AA76-AA121+590</f>
        <v>0</v>
      </c>
      <c r="AB78" s="298"/>
      <c r="AC78" s="298">
        <f>+AC76-AC121+940</f>
        <v>0</v>
      </c>
      <c r="AD78" s="298"/>
      <c r="AE78" s="298">
        <f>+AE76-AE121+1110</f>
        <v>0</v>
      </c>
    </row>
    <row r="79" spans="2:31" ht="13.5" customHeight="1">
      <c r="B79" s="68" t="s">
        <v>176</v>
      </c>
      <c r="C79" s="298">
        <f xml:space="preserve">  87390-(C62+C73)+C61</f>
        <v>0</v>
      </c>
      <c r="D79" s="298">
        <f xml:space="preserve">  72120-(D62+D73)+D61</f>
        <v>0</v>
      </c>
      <c r="E79" s="298">
        <f xml:space="preserve">  64960-(E62+E73)+E61</f>
        <v>0</v>
      </c>
      <c r="F79" s="298">
        <f xml:space="preserve">  77510-(F62+F73)+F61</f>
        <v>0</v>
      </c>
      <c r="G79" s="298">
        <f xml:space="preserve">  18220-(G62+G73)+G61</f>
        <v>0</v>
      </c>
      <c r="H79" s="298">
        <f>100740-(H62+H73)+H61</f>
        <v>0</v>
      </c>
      <c r="I79" s="298">
        <f>78550-(I62+I73)+I61</f>
        <v>0</v>
      </c>
      <c r="J79" s="300"/>
      <c r="K79" s="301"/>
      <c r="L79" s="302"/>
      <c r="M79" s="298">
        <f xml:space="preserve">  -24150-(M62+M73)+M61</f>
        <v>0</v>
      </c>
      <c r="N79" s="302"/>
      <c r="O79" s="300"/>
      <c r="P79" s="302"/>
      <c r="Q79" s="298">
        <f>-45940-(Q62+Q73)+Q61</f>
        <v>0</v>
      </c>
      <c r="R79" s="302"/>
      <c r="S79" s="300"/>
      <c r="T79" s="302"/>
      <c r="U79" s="298">
        <f>-96910-(U62+U73)+U61</f>
        <v>0</v>
      </c>
      <c r="V79" s="302"/>
      <c r="W79" s="300"/>
      <c r="X79" s="302"/>
      <c r="Y79" s="298"/>
      <c r="Z79" s="302"/>
      <c r="AA79" s="300"/>
      <c r="AB79" s="302"/>
      <c r="AC79" s="298"/>
      <c r="AD79" s="302"/>
      <c r="AE79" s="300"/>
    </row>
    <row r="80" spans="2:31" ht="11.25" customHeight="1">
      <c r="C80" s="66"/>
      <c r="D80" s="66"/>
      <c r="E80" s="66"/>
      <c r="F80" s="66"/>
      <c r="G80" s="66"/>
      <c r="H80" s="66"/>
      <c r="I80" s="66"/>
      <c r="J80" s="66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</row>
    <row r="81" spans="2:31" ht="13.5" customHeight="1">
      <c r="B81" s="47" t="s">
        <v>177</v>
      </c>
      <c r="C81" s="52">
        <f t="shared" ref="C81:H81" si="246">C3</f>
        <v>43921</v>
      </c>
      <c r="D81" s="52">
        <f t="shared" si="246"/>
        <v>44286</v>
      </c>
      <c r="E81" s="52">
        <f t="shared" si="246"/>
        <v>44651</v>
      </c>
      <c r="F81" s="52">
        <f t="shared" si="246"/>
        <v>45016</v>
      </c>
      <c r="G81" s="52">
        <f t="shared" si="246"/>
        <v>45382</v>
      </c>
      <c r="H81" s="52">
        <f t="shared" si="246"/>
        <v>45747</v>
      </c>
      <c r="I81" s="52">
        <f t="shared" ref="I81" si="247">I3</f>
        <v>46112</v>
      </c>
      <c r="J81" s="52" t="str">
        <f>J2</f>
        <v>LTM</v>
      </c>
      <c r="K81" s="235"/>
      <c r="L81" s="52">
        <f t="shared" ref="L81:Q81" si="248">L3</f>
        <v>44377</v>
      </c>
      <c r="M81" s="52">
        <f t="shared" si="248"/>
        <v>44469</v>
      </c>
      <c r="N81" s="52">
        <f t="shared" si="248"/>
        <v>44561</v>
      </c>
      <c r="O81" s="52">
        <f t="shared" si="248"/>
        <v>44651</v>
      </c>
      <c r="P81" s="52">
        <f t="shared" si="248"/>
        <v>44742</v>
      </c>
      <c r="Q81" s="52">
        <f t="shared" si="248"/>
        <v>44834</v>
      </c>
      <c r="R81" s="52">
        <f t="shared" ref="R81:U81" si="249">R3</f>
        <v>44926</v>
      </c>
      <c r="S81" s="52">
        <f t="shared" si="249"/>
        <v>45016</v>
      </c>
      <c r="T81" s="52">
        <f t="shared" si="249"/>
        <v>45107</v>
      </c>
      <c r="U81" s="52">
        <f t="shared" si="249"/>
        <v>45199</v>
      </c>
      <c r="V81" s="52">
        <f t="shared" ref="V81:Y81" si="250">V3</f>
        <v>45291</v>
      </c>
      <c r="W81" s="52">
        <f t="shared" si="250"/>
        <v>45382</v>
      </c>
      <c r="X81" s="52">
        <f t="shared" si="250"/>
        <v>45473</v>
      </c>
      <c r="Y81" s="52">
        <f t="shared" si="250"/>
        <v>45565</v>
      </c>
      <c r="Z81" s="52">
        <f t="shared" ref="Z81:AC81" si="251">Z3</f>
        <v>45657</v>
      </c>
      <c r="AA81" s="52">
        <f t="shared" si="251"/>
        <v>45747</v>
      </c>
      <c r="AB81" s="52">
        <f t="shared" si="251"/>
        <v>45838</v>
      </c>
      <c r="AC81" s="52">
        <f t="shared" si="251"/>
        <v>45930</v>
      </c>
      <c r="AD81" s="52">
        <f t="shared" ref="AD81:AE81" si="252">AD3</f>
        <v>46022</v>
      </c>
      <c r="AE81" s="52">
        <f t="shared" si="252"/>
        <v>46112</v>
      </c>
    </row>
    <row r="82" spans="2:31" ht="13.5" customHeight="1">
      <c r="B82" s="21" t="str">
        <f t="shared" ref="B82:F82" si="253">B7</f>
        <v>Revenue from Operations</v>
      </c>
      <c r="C82" s="11">
        <f t="shared" si="253"/>
        <v>357560</v>
      </c>
      <c r="D82" s="11">
        <f t="shared" si="253"/>
        <v>386940</v>
      </c>
      <c r="E82" s="11">
        <f t="shared" si="253"/>
        <v>462400</v>
      </c>
      <c r="F82" s="11">
        <f t="shared" si="253"/>
        <v>535760</v>
      </c>
      <c r="G82" s="11">
        <f t="shared" ref="G82:H82" si="254">G7</f>
        <v>430980</v>
      </c>
      <c r="H82" s="11">
        <f t="shared" si="254"/>
        <v>466370</v>
      </c>
      <c r="I82" s="11">
        <f t="shared" ref="I82" si="255">I7</f>
        <v>518390</v>
      </c>
      <c r="J82" s="11">
        <f t="shared" ref="J82" si="256">J7</f>
        <v>518390</v>
      </c>
      <c r="K82" s="11"/>
      <c r="L82" s="268"/>
      <c r="M82" s="268"/>
      <c r="N82" s="268"/>
      <c r="O82" s="11">
        <f t="shared" ref="O82:AD82" si="257">SUM(L7:O7)</f>
        <v>462400</v>
      </c>
      <c r="P82" s="11">
        <f t="shared" si="257"/>
        <v>485460</v>
      </c>
      <c r="Q82" s="11">
        <f t="shared" si="257"/>
        <v>504860</v>
      </c>
      <c r="R82" s="11">
        <f t="shared" si="257"/>
        <v>528680</v>
      </c>
      <c r="S82" s="11">
        <f t="shared" si="257"/>
        <v>535760</v>
      </c>
      <c r="T82" s="11">
        <f t="shared" si="257"/>
        <v>517180</v>
      </c>
      <c r="U82" s="11">
        <f t="shared" si="257"/>
        <v>493810</v>
      </c>
      <c r="V82" s="11">
        <f t="shared" si="257"/>
        <v>455890</v>
      </c>
      <c r="W82" s="11">
        <f t="shared" si="257"/>
        <v>430980</v>
      </c>
      <c r="X82" s="11">
        <f t="shared" si="257"/>
        <v>432020</v>
      </c>
      <c r="Y82" s="11">
        <f t="shared" si="257"/>
        <v>441220</v>
      </c>
      <c r="Z82" s="11">
        <f t="shared" si="257"/>
        <v>451420</v>
      </c>
      <c r="AA82" s="11">
        <f>SUM(X7:AA7)</f>
        <v>466370</v>
      </c>
      <c r="AB82" s="11">
        <f t="shared" si="257"/>
        <v>467860</v>
      </c>
      <c r="AC82" s="11">
        <f t="shared" si="257"/>
        <v>477150</v>
      </c>
      <c r="AD82" s="11">
        <f t="shared" si="257"/>
        <v>490770</v>
      </c>
      <c r="AE82" s="11">
        <f>SUM(AB7:AE7)</f>
        <v>518390</v>
      </c>
    </row>
    <row r="83" spans="2:31" ht="13.5" customHeight="1">
      <c r="B83" s="21" t="s">
        <v>131</v>
      </c>
      <c r="C83" s="11">
        <f t="shared" ref="C83:G83" si="258">C18</f>
        <v>113340</v>
      </c>
      <c r="D83" s="11">
        <f t="shared" si="258"/>
        <v>136840</v>
      </c>
      <c r="E83" s="11">
        <f t="shared" si="258"/>
        <v>168470</v>
      </c>
      <c r="F83" s="11">
        <f t="shared" si="258"/>
        <v>180820</v>
      </c>
      <c r="G83" s="11">
        <f t="shared" si="258"/>
        <v>105750</v>
      </c>
      <c r="H83" s="11">
        <f t="shared" ref="H83:I83" si="259">H18</f>
        <v>140810</v>
      </c>
      <c r="I83" s="11">
        <f t="shared" si="259"/>
        <v>164940</v>
      </c>
      <c r="J83" s="11">
        <f t="shared" ref="J83" si="260">J18</f>
        <v>164940</v>
      </c>
      <c r="K83" s="11"/>
      <c r="L83" s="268"/>
      <c r="M83" s="268"/>
      <c r="N83" s="268"/>
      <c r="O83" s="11">
        <f t="shared" ref="O83:AE83" si="261">SUM(L18:O18)</f>
        <v>168470</v>
      </c>
      <c r="P83" s="11">
        <f t="shared" si="261"/>
        <v>175330</v>
      </c>
      <c r="Q83" s="11">
        <f t="shared" si="261"/>
        <v>185460</v>
      </c>
      <c r="R83" s="11">
        <f t="shared" si="261"/>
        <v>193640</v>
      </c>
      <c r="S83" s="11">
        <f t="shared" si="261"/>
        <v>180820</v>
      </c>
      <c r="T83" s="11">
        <f t="shared" si="261"/>
        <v>170450</v>
      </c>
      <c r="U83" s="11">
        <f t="shared" si="261"/>
        <v>153030</v>
      </c>
      <c r="V83" s="11">
        <f t="shared" si="261"/>
        <v>117810</v>
      </c>
      <c r="W83" s="11">
        <f t="shared" si="261"/>
        <v>105750</v>
      </c>
      <c r="X83" s="11">
        <f t="shared" si="261"/>
        <v>102150</v>
      </c>
      <c r="Y83" s="11">
        <f t="shared" si="261"/>
        <v>103370</v>
      </c>
      <c r="Z83" s="11">
        <f t="shared" si="261"/>
        <v>124790</v>
      </c>
      <c r="AA83" s="11">
        <f t="shared" si="261"/>
        <v>140810</v>
      </c>
      <c r="AB83" s="11">
        <f t="shared" si="261"/>
        <v>146030</v>
      </c>
      <c r="AC83" s="11">
        <f t="shared" si="261"/>
        <v>155950</v>
      </c>
      <c r="AD83" s="11">
        <f t="shared" si="261"/>
        <v>160340</v>
      </c>
      <c r="AE83" s="11">
        <f t="shared" si="261"/>
        <v>164940</v>
      </c>
    </row>
    <row r="84" spans="2:31" ht="13.5" customHeight="1">
      <c r="B84" s="21" t="s">
        <v>178</v>
      </c>
      <c r="C84" s="11">
        <f t="shared" ref="C84:D84" si="262">+C44</f>
        <v>133460</v>
      </c>
      <c r="D84" s="11">
        <f t="shared" si="262"/>
        <v>158570</v>
      </c>
      <c r="E84" s="11">
        <f t="shared" ref="E84:F84" si="263">+E44</f>
        <v>192060</v>
      </c>
      <c r="F84" s="11">
        <f t="shared" si="263"/>
        <v>206290</v>
      </c>
      <c r="G84" s="11">
        <f t="shared" ref="G84:H84" si="264">+G44</f>
        <v>133380</v>
      </c>
      <c r="H84" s="11">
        <f t="shared" si="264"/>
        <v>168310</v>
      </c>
      <c r="I84" s="11">
        <f t="shared" ref="I84" si="265">+I44</f>
        <v>197380</v>
      </c>
      <c r="J84" s="11">
        <f t="shared" ref="J84" si="266">+J44</f>
        <v>197380</v>
      </c>
      <c r="K84" s="11"/>
      <c r="L84" s="268"/>
      <c r="M84" s="268"/>
      <c r="N84" s="268"/>
      <c r="O84" s="11">
        <f t="shared" ref="O84:AE84" si="267">SUM(L44:O44)</f>
        <v>192060</v>
      </c>
      <c r="P84" s="11">
        <f t="shared" si="267"/>
        <v>199290</v>
      </c>
      <c r="Q84" s="11">
        <f t="shared" si="267"/>
        <v>209840</v>
      </c>
      <c r="R84" s="11">
        <f t="shared" si="267"/>
        <v>218260</v>
      </c>
      <c r="S84" s="11">
        <f t="shared" si="267"/>
        <v>206290</v>
      </c>
      <c r="T84" s="11">
        <f t="shared" si="267"/>
        <v>196400</v>
      </c>
      <c r="U84" s="11">
        <f t="shared" si="267"/>
        <v>179470</v>
      </c>
      <c r="V84" s="11">
        <f t="shared" si="267"/>
        <v>144770</v>
      </c>
      <c r="W84" s="11">
        <f t="shared" si="267"/>
        <v>133380</v>
      </c>
      <c r="X84" s="11">
        <f t="shared" si="267"/>
        <v>130020</v>
      </c>
      <c r="Y84" s="11">
        <f t="shared" si="267"/>
        <v>131640</v>
      </c>
      <c r="Z84" s="11">
        <f t="shared" si="267"/>
        <v>153180</v>
      </c>
      <c r="AA84" s="11">
        <f t="shared" si="267"/>
        <v>168310</v>
      </c>
      <c r="AB84" s="11">
        <f t="shared" si="267"/>
        <v>174240</v>
      </c>
      <c r="AC84" s="11">
        <f t="shared" si="267"/>
        <v>184900</v>
      </c>
      <c r="AD84" s="11">
        <f t="shared" si="267"/>
        <v>190680</v>
      </c>
      <c r="AE84" s="11">
        <f t="shared" si="267"/>
        <v>197380</v>
      </c>
    </row>
    <row r="85" spans="2:31" s="26" customFormat="1" ht="13.5" customHeight="1">
      <c r="B85" s="21" t="s">
        <v>179</v>
      </c>
      <c r="C85" s="11">
        <f t="shared" ref="C85:D85" si="268">+C49</f>
        <v>71030</v>
      </c>
      <c r="D85" s="11">
        <f t="shared" si="268"/>
        <v>85590</v>
      </c>
      <c r="E85" s="11">
        <f t="shared" ref="E85:F85" si="269">+E49</f>
        <v>101650</v>
      </c>
      <c r="F85" s="11">
        <f t="shared" si="269"/>
        <v>111780</v>
      </c>
      <c r="G85" s="11">
        <f t="shared" ref="G85:H85" si="270">+G49</f>
        <v>55150</v>
      </c>
      <c r="H85" s="11">
        <f t="shared" si="270"/>
        <v>81200</v>
      </c>
      <c r="I85" s="11">
        <f t="shared" ref="I85" si="271">+I49</f>
        <v>95880</v>
      </c>
      <c r="J85" s="11">
        <f>+J49</f>
        <v>95880</v>
      </c>
      <c r="K85" s="11"/>
      <c r="L85" s="268"/>
      <c r="M85" s="268"/>
      <c r="N85" s="268"/>
      <c r="O85" s="11">
        <f t="shared" ref="O85:AE85" si="272">SUM(L49:O49)</f>
        <v>101650</v>
      </c>
      <c r="P85" s="11">
        <f t="shared" si="272"/>
        <v>106450</v>
      </c>
      <c r="Q85" s="11">
        <f t="shared" si="272"/>
        <v>113680</v>
      </c>
      <c r="R85" s="11">
        <f t="shared" si="272"/>
        <v>117370</v>
      </c>
      <c r="S85" s="11">
        <f t="shared" si="272"/>
        <v>111780</v>
      </c>
      <c r="T85" s="11">
        <f t="shared" si="272"/>
        <v>104290</v>
      </c>
      <c r="U85" s="11">
        <f t="shared" si="272"/>
        <v>92340</v>
      </c>
      <c r="V85" s="11">
        <f t="shared" si="272"/>
        <v>66150</v>
      </c>
      <c r="W85" s="11">
        <f t="shared" si="272"/>
        <v>55150</v>
      </c>
      <c r="X85" s="11">
        <f t="shared" si="272"/>
        <v>50670</v>
      </c>
      <c r="Y85" s="11">
        <f t="shared" si="272"/>
        <v>50700</v>
      </c>
      <c r="Z85" s="11">
        <f t="shared" si="272"/>
        <v>68170</v>
      </c>
      <c r="AA85" s="11">
        <f t="shared" si="272"/>
        <v>81200</v>
      </c>
      <c r="AB85" s="11">
        <f t="shared" si="272"/>
        <v>82780</v>
      </c>
      <c r="AC85" s="11">
        <f t="shared" si="272"/>
        <v>89070</v>
      </c>
      <c r="AD85" s="11">
        <f t="shared" si="272"/>
        <v>91780</v>
      </c>
      <c r="AE85" s="11">
        <f t="shared" si="272"/>
        <v>95880</v>
      </c>
    </row>
    <row r="86" spans="2:31" ht="13.5" customHeight="1">
      <c r="B86" s="21" t="s">
        <v>159</v>
      </c>
      <c r="C86" s="11">
        <f t="shared" ref="C86:D86" si="273">-C61</f>
        <v>16460</v>
      </c>
      <c r="D86" s="11">
        <f t="shared" si="273"/>
        <v>16550</v>
      </c>
      <c r="E86" s="11">
        <f t="shared" ref="E86:F86" si="274">-E61</f>
        <v>19410</v>
      </c>
      <c r="F86" s="11">
        <f t="shared" si="274"/>
        <v>23450</v>
      </c>
      <c r="G86" s="11">
        <f t="shared" ref="G86:H86" si="275">-G61</f>
        <v>34050</v>
      </c>
      <c r="H86" s="11">
        <f t="shared" si="275"/>
        <v>33280</v>
      </c>
      <c r="I86" s="11">
        <f t="shared" ref="I86:J86" si="276">-I61</f>
        <v>28790</v>
      </c>
      <c r="J86" s="11">
        <f t="shared" si="276"/>
        <v>28790</v>
      </c>
      <c r="K86" s="11"/>
      <c r="L86" s="268"/>
      <c r="M86" s="268"/>
      <c r="N86" s="268"/>
      <c r="O86" s="11">
        <f t="shared" ref="O86:AE86" si="277">-SUM(L61:O61)</f>
        <v>19410</v>
      </c>
      <c r="P86" s="268"/>
      <c r="Q86" s="11">
        <f t="shared" si="277"/>
        <v>18280</v>
      </c>
      <c r="R86" s="268"/>
      <c r="S86" s="11">
        <f t="shared" si="277"/>
        <v>23450</v>
      </c>
      <c r="T86" s="268"/>
      <c r="U86" s="11">
        <f t="shared" si="277"/>
        <v>28840</v>
      </c>
      <c r="V86" s="268"/>
      <c r="W86" s="11">
        <f t="shared" si="277"/>
        <v>34050</v>
      </c>
      <c r="X86" s="268"/>
      <c r="Y86" s="11">
        <f t="shared" si="277"/>
        <v>37740</v>
      </c>
      <c r="Z86" s="268"/>
      <c r="AA86" s="11">
        <f t="shared" si="277"/>
        <v>33280</v>
      </c>
      <c r="AB86" s="268"/>
      <c r="AC86" s="11">
        <f t="shared" si="277"/>
        <v>31450</v>
      </c>
      <c r="AD86" s="268"/>
      <c r="AE86" s="11">
        <f t="shared" si="277"/>
        <v>28790</v>
      </c>
    </row>
    <row r="87" spans="2:31" ht="13.5" customHeight="1">
      <c r="B87" s="21" t="s">
        <v>180</v>
      </c>
      <c r="C87" s="11">
        <f t="shared" ref="C87:G87" si="278">+C25</f>
        <v>21780</v>
      </c>
      <c r="D87" s="11">
        <f t="shared" si="278"/>
        <v>34950</v>
      </c>
      <c r="E87" s="11">
        <f t="shared" si="278"/>
        <v>44370</v>
      </c>
      <c r="F87" s="11">
        <f t="shared" si="278"/>
        <v>44140</v>
      </c>
      <c r="G87" s="11">
        <f t="shared" si="278"/>
        <v>-18780</v>
      </c>
      <c r="H87" s="11">
        <f t="shared" ref="H87:I87" si="279">+H25</f>
        <v>8200</v>
      </c>
      <c r="I87" s="11">
        <f t="shared" si="279"/>
        <v>22200</v>
      </c>
      <c r="J87" s="11">
        <f t="shared" ref="J87" si="280">+J25</f>
        <v>22200</v>
      </c>
      <c r="K87" s="11"/>
      <c r="L87" s="268"/>
      <c r="M87" s="268"/>
      <c r="N87" s="268"/>
      <c r="O87" s="11">
        <f t="shared" ref="O87:AE87" si="281">SUM(L25:O25)</f>
        <v>44370</v>
      </c>
      <c r="P87" s="11">
        <f t="shared" si="281"/>
        <v>46930</v>
      </c>
      <c r="Q87" s="11">
        <f t="shared" si="281"/>
        <v>48880</v>
      </c>
      <c r="R87" s="11">
        <f t="shared" si="281"/>
        <v>50690</v>
      </c>
      <c r="S87" s="11">
        <f t="shared" si="281"/>
        <v>44140</v>
      </c>
      <c r="T87" s="11">
        <f t="shared" si="281"/>
        <v>35110</v>
      </c>
      <c r="U87" s="11">
        <f t="shared" si="281"/>
        <v>22490</v>
      </c>
      <c r="V87" s="11">
        <f t="shared" si="281"/>
        <v>-7180</v>
      </c>
      <c r="W87" s="11">
        <f t="shared" si="281"/>
        <v>-18780</v>
      </c>
      <c r="X87" s="11">
        <f t="shared" si="281"/>
        <v>-25070</v>
      </c>
      <c r="Y87" s="11">
        <f t="shared" si="281"/>
        <v>-27990</v>
      </c>
      <c r="Z87" s="11">
        <f t="shared" si="281"/>
        <v>-3390</v>
      </c>
      <c r="AA87" s="11">
        <f t="shared" si="281"/>
        <v>8200</v>
      </c>
      <c r="AB87" s="11">
        <f t="shared" si="281"/>
        <v>11710</v>
      </c>
      <c r="AC87" s="11">
        <f t="shared" si="281"/>
        <v>23680</v>
      </c>
      <c r="AD87" s="11">
        <f t="shared" si="281"/>
        <v>20050</v>
      </c>
      <c r="AE87" s="11">
        <f t="shared" si="281"/>
        <v>22200</v>
      </c>
    </row>
    <row r="88" spans="2:31" ht="13.5" customHeight="1">
      <c r="B88" s="21" t="s">
        <v>181</v>
      </c>
      <c r="C88" s="11">
        <f t="shared" ref="C88:D88" si="282">-C63</f>
        <v>14300</v>
      </c>
      <c r="D88" s="11">
        <f t="shared" si="282"/>
        <v>15620</v>
      </c>
      <c r="E88" s="11">
        <f t="shared" ref="E88:F88" si="283">-E63</f>
        <v>18990</v>
      </c>
      <c r="F88" s="11">
        <f t="shared" si="283"/>
        <v>16010</v>
      </c>
      <c r="G88" s="11">
        <f t="shared" ref="G88:H88" si="284">-G63</f>
        <v>11180</v>
      </c>
      <c r="H88" s="11">
        <f t="shared" si="284"/>
        <v>3730</v>
      </c>
      <c r="I88" s="11">
        <f t="shared" ref="I88:J88" si="285">-I63</f>
        <v>16130</v>
      </c>
      <c r="J88" s="11">
        <f t="shared" si="285"/>
        <v>16130</v>
      </c>
      <c r="K88" s="11"/>
      <c r="L88" s="268"/>
      <c r="M88" s="268"/>
      <c r="N88" s="268"/>
      <c r="O88" s="11">
        <f t="shared" ref="O88:AE88" si="286">-SUM(L63:O63)</f>
        <v>18990</v>
      </c>
      <c r="P88" s="268"/>
      <c r="Q88" s="11">
        <f t="shared" si="286"/>
        <v>21200</v>
      </c>
      <c r="R88" s="268"/>
      <c r="S88" s="11">
        <f t="shared" si="286"/>
        <v>16010</v>
      </c>
      <c r="T88" s="268"/>
      <c r="U88" s="11">
        <f t="shared" si="286"/>
        <v>13240</v>
      </c>
      <c r="V88" s="268"/>
      <c r="W88" s="11">
        <f t="shared" si="286"/>
        <v>11180</v>
      </c>
      <c r="X88" s="268"/>
      <c r="Y88" s="11">
        <f t="shared" si="286"/>
        <v>4930</v>
      </c>
      <c r="Z88" s="268"/>
      <c r="AA88" s="11">
        <f t="shared" si="286"/>
        <v>3730</v>
      </c>
      <c r="AB88" s="268"/>
      <c r="AC88" s="11">
        <f t="shared" si="286"/>
        <v>10940</v>
      </c>
      <c r="AD88" s="268"/>
      <c r="AE88" s="11">
        <f t="shared" si="286"/>
        <v>16130</v>
      </c>
    </row>
    <row r="89" spans="2:31" ht="13.5" customHeight="1">
      <c r="B89" s="21" t="s">
        <v>164</v>
      </c>
      <c r="C89" s="11">
        <f t="shared" ref="C89:D89" si="287">+C66</f>
        <v>49920</v>
      </c>
      <c r="D89" s="11">
        <f t="shared" si="287"/>
        <v>37210</v>
      </c>
      <c r="E89" s="11">
        <f t="shared" ref="E89:F89" si="288">+E66</f>
        <v>27580</v>
      </c>
      <c r="F89" s="11">
        <f t="shared" si="288"/>
        <v>38570</v>
      </c>
      <c r="G89" s="11">
        <f t="shared" ref="G89:H89" si="289">+G66</f>
        <v>-23940</v>
      </c>
      <c r="H89" s="11">
        <f t="shared" si="289"/>
        <v>59890</v>
      </c>
      <c r="I89" s="11">
        <f t="shared" ref="I89:J89" si="290">+I66</f>
        <v>26120</v>
      </c>
      <c r="J89" s="11">
        <f t="shared" si="290"/>
        <v>26120</v>
      </c>
      <c r="K89" s="11"/>
      <c r="L89" s="268"/>
      <c r="M89" s="268"/>
      <c r="N89" s="268"/>
      <c r="O89" s="11">
        <f t="shared" ref="O89:AE89" si="291">SUM(L66:O66)</f>
        <v>27580</v>
      </c>
      <c r="P89" s="268"/>
      <c r="Q89" s="11">
        <f t="shared" si="291"/>
        <v>7850</v>
      </c>
      <c r="R89" s="268"/>
      <c r="S89" s="11">
        <f t="shared" si="291"/>
        <v>38570</v>
      </c>
      <c r="T89" s="268"/>
      <c r="U89" s="11">
        <f t="shared" si="291"/>
        <v>-16430</v>
      </c>
      <c r="V89" s="268"/>
      <c r="W89" s="11">
        <f t="shared" si="291"/>
        <v>-23940</v>
      </c>
      <c r="X89" s="268"/>
      <c r="Y89" s="11">
        <f t="shared" si="291"/>
        <v>40380</v>
      </c>
      <c r="Z89" s="268"/>
      <c r="AA89" s="11">
        <f t="shared" si="291"/>
        <v>59890</v>
      </c>
      <c r="AB89" s="268"/>
      <c r="AC89" s="11">
        <f t="shared" si="291"/>
        <v>38230</v>
      </c>
      <c r="AD89" s="268"/>
      <c r="AE89" s="11">
        <f t="shared" si="291"/>
        <v>26120</v>
      </c>
    </row>
    <row r="90" spans="2:31" ht="13.5" customHeight="1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 spans="2:31" ht="13.5" customHeight="1">
      <c r="B91" s="47" t="s">
        <v>182</v>
      </c>
      <c r="C91" s="52">
        <f t="shared" ref="C91:H91" si="292">C3</f>
        <v>43921</v>
      </c>
      <c r="D91" s="52">
        <f t="shared" si="292"/>
        <v>44286</v>
      </c>
      <c r="E91" s="52">
        <f t="shared" si="292"/>
        <v>44651</v>
      </c>
      <c r="F91" s="52">
        <f t="shared" si="292"/>
        <v>45016</v>
      </c>
      <c r="G91" s="52">
        <f t="shared" si="292"/>
        <v>45382</v>
      </c>
      <c r="H91" s="52">
        <f t="shared" si="292"/>
        <v>45747</v>
      </c>
      <c r="I91" s="52">
        <f t="shared" ref="I91" si="293">I3</f>
        <v>46112</v>
      </c>
      <c r="J91" s="52" t="str">
        <f>J2</f>
        <v>LTM</v>
      </c>
      <c r="K91" s="235"/>
      <c r="L91" s="52">
        <f t="shared" ref="L91:Q91" si="294">L3</f>
        <v>44377</v>
      </c>
      <c r="M91" s="52">
        <f t="shared" si="294"/>
        <v>44469</v>
      </c>
      <c r="N91" s="52">
        <f t="shared" si="294"/>
        <v>44561</v>
      </c>
      <c r="O91" s="52">
        <f t="shared" si="294"/>
        <v>44651</v>
      </c>
      <c r="P91" s="52">
        <f t="shared" si="294"/>
        <v>44742</v>
      </c>
      <c r="Q91" s="52">
        <f t="shared" si="294"/>
        <v>44834</v>
      </c>
      <c r="R91" s="52">
        <f t="shared" ref="R91:U91" si="295">R3</f>
        <v>44926</v>
      </c>
      <c r="S91" s="52">
        <f t="shared" si="295"/>
        <v>45016</v>
      </c>
      <c r="T91" s="52">
        <f t="shared" si="295"/>
        <v>45107</v>
      </c>
      <c r="U91" s="52">
        <f t="shared" si="295"/>
        <v>45199</v>
      </c>
      <c r="V91" s="52">
        <f t="shared" ref="V91:Y91" si="296">V3</f>
        <v>45291</v>
      </c>
      <c r="W91" s="52">
        <f t="shared" si="296"/>
        <v>45382</v>
      </c>
      <c r="X91" s="52">
        <f t="shared" si="296"/>
        <v>45473</v>
      </c>
      <c r="Y91" s="52">
        <f t="shared" si="296"/>
        <v>45565</v>
      </c>
      <c r="Z91" s="52">
        <f t="shared" ref="Z91:AC91" si="297">Z3</f>
        <v>45657</v>
      </c>
      <c r="AA91" s="52">
        <f t="shared" si="297"/>
        <v>45747</v>
      </c>
      <c r="AB91" s="52">
        <f t="shared" si="297"/>
        <v>45838</v>
      </c>
      <c r="AC91" s="52">
        <f t="shared" si="297"/>
        <v>45930</v>
      </c>
      <c r="AD91" s="52">
        <f t="shared" ref="AD91:AE91" si="298">AD3</f>
        <v>46022</v>
      </c>
      <c r="AE91" s="52">
        <f t="shared" si="298"/>
        <v>46112</v>
      </c>
    </row>
    <row r="92" spans="2:31" ht="13.5" customHeight="1"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 spans="2:31" s="26" customFormat="1" ht="13.5" customHeight="1">
      <c r="B93" s="21" t="s">
        <v>183</v>
      </c>
      <c r="C93" s="59">
        <f>55960+10590+6420</f>
        <v>72970</v>
      </c>
      <c r="D93" s="59">
        <f>64520+8990+6950</f>
        <v>80460</v>
      </c>
      <c r="E93" s="59">
        <f>72860+11840+7920</f>
        <v>92620</v>
      </c>
      <c r="F93" s="59">
        <f>81640+11970+9060</f>
        <v>102670</v>
      </c>
      <c r="G93" s="59">
        <f>84430+11060+12650</f>
        <v>108140</v>
      </c>
      <c r="H93" s="59">
        <f>(8107+615+1324)*10</f>
        <v>100460</v>
      </c>
      <c r="I93" s="59">
        <f>(8474+999+1440)*10</f>
        <v>109130</v>
      </c>
      <c r="J93" s="11">
        <f>AE93</f>
        <v>109130</v>
      </c>
      <c r="K93" s="11"/>
      <c r="L93" s="265"/>
      <c r="M93" s="59">
        <f>65960+10090+6940</f>
        <v>82990</v>
      </c>
      <c r="N93" s="265"/>
      <c r="O93" s="11">
        <f>E93</f>
        <v>92620</v>
      </c>
      <c r="P93" s="265"/>
      <c r="Q93" s="59">
        <f>75580+15430+8680</f>
        <v>99690</v>
      </c>
      <c r="R93" s="265"/>
      <c r="S93" s="11">
        <f>F93</f>
        <v>102670</v>
      </c>
      <c r="T93" s="265"/>
      <c r="U93" s="59">
        <f>81670+13140+9590</f>
        <v>104400</v>
      </c>
      <c r="V93" s="265"/>
      <c r="W93" s="11">
        <f>G93</f>
        <v>108140</v>
      </c>
      <c r="X93" s="265"/>
      <c r="Y93" s="59">
        <f>79070+10980+13100</f>
        <v>103150</v>
      </c>
      <c r="Z93" s="265"/>
      <c r="AA93" s="11">
        <f>H93</f>
        <v>100460</v>
      </c>
      <c r="AB93" s="265"/>
      <c r="AC93" s="59">
        <f>(8351+794+1385)*10</f>
        <v>105300</v>
      </c>
      <c r="AD93" s="265"/>
      <c r="AE93" s="11">
        <f>I93</f>
        <v>109130</v>
      </c>
    </row>
    <row r="94" spans="2:31" s="26" customFormat="1" ht="13.5" customHeight="1">
      <c r="B94" s="61" t="s">
        <v>184</v>
      </c>
      <c r="C94" s="59">
        <v>78500</v>
      </c>
      <c r="D94" s="59">
        <v>94220</v>
      </c>
      <c r="E94" s="59">
        <v>130780</v>
      </c>
      <c r="F94" s="59">
        <v>139850</v>
      </c>
      <c r="G94" s="59">
        <v>127760</v>
      </c>
      <c r="H94" s="59">
        <v>103160</v>
      </c>
      <c r="I94" s="59">
        <v>126760</v>
      </c>
      <c r="J94" s="11">
        <f>AE94</f>
        <v>126760</v>
      </c>
      <c r="K94" s="11"/>
      <c r="L94" s="265"/>
      <c r="M94" s="59">
        <v>130770</v>
      </c>
      <c r="N94" s="265"/>
      <c r="O94" s="11">
        <f>E94</f>
        <v>130780</v>
      </c>
      <c r="P94" s="265"/>
      <c r="Q94" s="59">
        <v>194570</v>
      </c>
      <c r="R94" s="265"/>
      <c r="S94" s="11">
        <f>F94</f>
        <v>139850</v>
      </c>
      <c r="T94" s="265"/>
      <c r="U94" s="59">
        <v>182460</v>
      </c>
      <c r="V94" s="265"/>
      <c r="W94" s="11">
        <f>G94</f>
        <v>127760</v>
      </c>
      <c r="X94" s="265"/>
      <c r="Y94" s="59">
        <v>141060</v>
      </c>
      <c r="Z94" s="59">
        <v>135310</v>
      </c>
      <c r="AA94" s="11">
        <f t="shared" ref="AA94:AA96" si="299">H94</f>
        <v>103160</v>
      </c>
      <c r="AB94" s="265"/>
      <c r="AC94" s="59">
        <v>161930</v>
      </c>
      <c r="AD94" s="59">
        <v>170660</v>
      </c>
      <c r="AE94" s="11">
        <f>I94</f>
        <v>126760</v>
      </c>
    </row>
    <row r="95" spans="2:31" s="26" customFormat="1" ht="13.5" customHeight="1">
      <c r="B95" s="61" t="s">
        <v>185</v>
      </c>
      <c r="C95" s="59">
        <v>118670</v>
      </c>
      <c r="D95" s="59">
        <v>121450</v>
      </c>
      <c r="E95" s="59">
        <v>153280</v>
      </c>
      <c r="F95" s="59">
        <v>182240</v>
      </c>
      <c r="G95" s="59">
        <v>163540</v>
      </c>
      <c r="H95" s="59">
        <v>155050</v>
      </c>
      <c r="I95" s="59">
        <v>178740</v>
      </c>
      <c r="J95" s="11">
        <f>AE95</f>
        <v>178740</v>
      </c>
      <c r="K95" s="11"/>
      <c r="L95" s="265"/>
      <c r="M95" s="59">
        <v>140800</v>
      </c>
      <c r="N95" s="265"/>
      <c r="O95" s="11">
        <f>E95</f>
        <v>153280</v>
      </c>
      <c r="P95" s="265"/>
      <c r="Q95" s="59">
        <v>165490</v>
      </c>
      <c r="R95" s="265"/>
      <c r="S95" s="11">
        <f>F95</f>
        <v>182240</v>
      </c>
      <c r="T95" s="265"/>
      <c r="U95" s="59">
        <v>182290</v>
      </c>
      <c r="V95" s="265"/>
      <c r="W95" s="11">
        <f>G95</f>
        <v>163540</v>
      </c>
      <c r="X95" s="265"/>
      <c r="Y95" s="59">
        <v>157190</v>
      </c>
      <c r="Z95" s="59">
        <v>135300</v>
      </c>
      <c r="AA95" s="11">
        <f t="shared" si="299"/>
        <v>155050</v>
      </c>
      <c r="AB95" s="265"/>
      <c r="AC95" s="59">
        <v>164090</v>
      </c>
      <c r="AD95" s="59">
        <v>167270</v>
      </c>
      <c r="AE95" s="11">
        <f>I95</f>
        <v>178740</v>
      </c>
    </row>
    <row r="96" spans="2:31" s="26" customFormat="1" ht="13.5" customHeight="1">
      <c r="B96" s="61" t="s">
        <v>186</v>
      </c>
      <c r="C96" s="59">
        <f>64+101690</f>
        <v>101754</v>
      </c>
      <c r="D96" s="59">
        <f>870+126720</f>
        <v>127590</v>
      </c>
      <c r="E96" s="59">
        <f>1440+164080</f>
        <v>165520</v>
      </c>
      <c r="F96" s="59">
        <f>820+175320</f>
        <v>176140</v>
      </c>
      <c r="G96" s="59">
        <f>840+156000</f>
        <v>156840</v>
      </c>
      <c r="H96" s="59">
        <f>(38+10829)*10</f>
        <v>108670</v>
      </c>
      <c r="I96" s="59">
        <f>(34+11984)*10</f>
        <v>120180</v>
      </c>
      <c r="J96" s="11">
        <f>AE96</f>
        <v>120180</v>
      </c>
      <c r="K96" s="11"/>
      <c r="L96" s="265"/>
      <c r="M96" s="59">
        <f>1770+142640</f>
        <v>144410</v>
      </c>
      <c r="N96" s="265"/>
      <c r="O96" s="11">
        <f>E96</f>
        <v>165520</v>
      </c>
      <c r="P96" s="265"/>
      <c r="Q96" s="59">
        <f>510+194750</f>
        <v>195260</v>
      </c>
      <c r="R96" s="265"/>
      <c r="S96" s="11">
        <f>F96</f>
        <v>176140</v>
      </c>
      <c r="T96" s="265"/>
      <c r="U96" s="59">
        <f>500+154800</f>
        <v>155300</v>
      </c>
      <c r="V96" s="265"/>
      <c r="W96" s="11">
        <f>G96</f>
        <v>156840</v>
      </c>
      <c r="X96" s="265"/>
      <c r="Y96" s="59">
        <f>350+141900</f>
        <v>142250</v>
      </c>
      <c r="Z96" s="59">
        <v>137820</v>
      </c>
      <c r="AA96" s="11">
        <f t="shared" si="299"/>
        <v>108670</v>
      </c>
      <c r="AB96" s="265"/>
      <c r="AC96" s="59">
        <f>(12854+43)*10</f>
        <v>128970</v>
      </c>
      <c r="AD96" s="59">
        <v>181690</v>
      </c>
      <c r="AE96" s="11">
        <f>I96</f>
        <v>120180</v>
      </c>
    </row>
    <row r="97" spans="2:32" s="26" customFormat="1" ht="13.5" customHeight="1">
      <c r="B97" s="26" t="s">
        <v>187</v>
      </c>
      <c r="C97" s="51">
        <f t="shared" ref="C97" si="300">+C94+C95-C96</f>
        <v>95416</v>
      </c>
      <c r="D97" s="51">
        <f t="shared" ref="D97:J97" si="301">+D94+D95-D96</f>
        <v>88080</v>
      </c>
      <c r="E97" s="51">
        <f t="shared" si="301"/>
        <v>118540</v>
      </c>
      <c r="F97" s="51">
        <f t="shared" si="301"/>
        <v>145950</v>
      </c>
      <c r="G97" s="51">
        <f t="shared" si="301"/>
        <v>134460</v>
      </c>
      <c r="H97" s="51">
        <f t="shared" si="301"/>
        <v>149540</v>
      </c>
      <c r="I97" s="51">
        <f t="shared" ref="I97" si="302">+I94+I95-I96</f>
        <v>185320</v>
      </c>
      <c r="J97" s="51">
        <f t="shared" si="301"/>
        <v>185320</v>
      </c>
      <c r="K97" s="11"/>
      <c r="L97" s="267"/>
      <c r="M97" s="51">
        <f t="shared" ref="M97:O97" si="303">+M94+M95-M96</f>
        <v>127160</v>
      </c>
      <c r="N97" s="267"/>
      <c r="O97" s="51">
        <f t="shared" si="303"/>
        <v>118540</v>
      </c>
      <c r="P97" s="267"/>
      <c r="Q97" s="51">
        <f>+Q94+Q95-Q96</f>
        <v>164800</v>
      </c>
      <c r="R97" s="267"/>
      <c r="S97" s="51">
        <f t="shared" ref="S97" si="304">+S94+S95-S96</f>
        <v>145950</v>
      </c>
      <c r="T97" s="267"/>
      <c r="U97" s="51">
        <f>+U94+U95-U96</f>
        <v>209450</v>
      </c>
      <c r="V97" s="267"/>
      <c r="W97" s="51">
        <f>+W94+W95-W96</f>
        <v>134460</v>
      </c>
      <c r="X97" s="267"/>
      <c r="Y97" s="51">
        <f>+Y94+Y95-Y96</f>
        <v>156000</v>
      </c>
      <c r="Z97" s="51">
        <f>+Z94+Z95-Z96</f>
        <v>132790</v>
      </c>
      <c r="AA97" s="51">
        <f>+AA94+AA95-AA96</f>
        <v>149540</v>
      </c>
      <c r="AB97" s="267"/>
      <c r="AC97" s="51">
        <f>+AC94+AC95-AC96</f>
        <v>197050</v>
      </c>
      <c r="AD97" s="51">
        <f>+AD94+AD95-AD96</f>
        <v>156240</v>
      </c>
      <c r="AE97" s="51">
        <f>+AE94+AE95-AE96</f>
        <v>185320</v>
      </c>
      <c r="AF97" s="197"/>
    </row>
    <row r="98" spans="2:32" s="37" customFormat="1" ht="13.5" customHeight="1">
      <c r="B98" s="64" t="s">
        <v>188</v>
      </c>
      <c r="C98" s="70">
        <f t="shared" ref="C98:D98" si="305">+C97/C82</f>
        <v>0.2668531155610247</v>
      </c>
      <c r="D98" s="70">
        <f t="shared" si="305"/>
        <v>0.22763219103737015</v>
      </c>
      <c r="E98" s="70">
        <f t="shared" ref="E98" si="306">+E97/E82</f>
        <v>0.25635813148788927</v>
      </c>
      <c r="F98" s="70">
        <f>+F97/F82</f>
        <v>0.27241675377034491</v>
      </c>
      <c r="G98" s="70">
        <f>+G97/G82</f>
        <v>0.31198663511067798</v>
      </c>
      <c r="H98" s="70">
        <f>+H97/H82</f>
        <v>0.32064669682869823</v>
      </c>
      <c r="I98" s="70">
        <f>+I97/I82</f>
        <v>0.35749146395570902</v>
      </c>
      <c r="J98" s="70">
        <f>+J97/J82</f>
        <v>0.35749146395570902</v>
      </c>
      <c r="K98" s="11"/>
      <c r="L98" s="75"/>
      <c r="M98" s="70"/>
      <c r="N98" s="70"/>
      <c r="O98" s="70">
        <f t="shared" ref="O98:Q98" si="307">+O97/O82</f>
        <v>0.25635813148788927</v>
      </c>
      <c r="P98" s="75"/>
      <c r="Q98" s="70">
        <f t="shared" si="307"/>
        <v>0.32642712831279957</v>
      </c>
      <c r="R98" s="70"/>
      <c r="S98" s="70">
        <f>+S97/S82</f>
        <v>0.27241675377034491</v>
      </c>
      <c r="T98" s="75"/>
      <c r="U98" s="70">
        <f>+U97/U82</f>
        <v>0.42415098924687633</v>
      </c>
      <c r="V98" s="70"/>
      <c r="W98" s="70">
        <f>+W97/W82</f>
        <v>0.31198663511067798</v>
      </c>
      <c r="X98" s="75"/>
      <c r="Y98" s="70">
        <f>+Y97/Y82</f>
        <v>0.35356511490866233</v>
      </c>
      <c r="Z98" s="70">
        <f>+Z97/Z82</f>
        <v>0.29416064861991048</v>
      </c>
      <c r="AA98" s="70">
        <f>+AA97/AA82</f>
        <v>0.32064669682869823</v>
      </c>
      <c r="AB98" s="75"/>
      <c r="AC98" s="70">
        <f>+AC97/AC82</f>
        <v>0.41297285968772923</v>
      </c>
      <c r="AD98" s="70">
        <f>+AD97/AD82</f>
        <v>0.31835686777920413</v>
      </c>
      <c r="AE98" s="70">
        <f>+AE97/AE82</f>
        <v>0.35749146395570902</v>
      </c>
    </row>
    <row r="99" spans="2:32" ht="13.5" customHeight="1"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59"/>
      <c r="AD99" s="62"/>
      <c r="AE99" s="62"/>
      <c r="AF99" s="62"/>
    </row>
    <row r="100" spans="2:32" ht="13.5" customHeight="1">
      <c r="B100" s="37" t="s">
        <v>189</v>
      </c>
      <c r="C100" s="304">
        <v>81</v>
      </c>
      <c r="D100" s="304">
        <v>90</v>
      </c>
      <c r="E100" s="304">
        <v>104</v>
      </c>
      <c r="F100" s="304">
        <v>95</v>
      </c>
      <c r="G100" s="304">
        <v>108</v>
      </c>
      <c r="H100" s="304">
        <v>81</v>
      </c>
      <c r="I100" s="304">
        <v>89</v>
      </c>
      <c r="J100" s="301">
        <f t="shared" ref="J100:J103" si="308">AE100</f>
        <v>89</v>
      </c>
      <c r="K100" s="301"/>
      <c r="L100" s="304">
        <v>118</v>
      </c>
      <c r="M100" s="304">
        <v>117</v>
      </c>
      <c r="N100" s="304">
        <v>122</v>
      </c>
      <c r="O100" s="301">
        <f>E100</f>
        <v>104</v>
      </c>
      <c r="P100" s="304">
        <v>128</v>
      </c>
      <c r="Q100" s="304">
        <v>141</v>
      </c>
      <c r="R100" s="304">
        <v>138</v>
      </c>
      <c r="S100" s="301">
        <f>F100</f>
        <v>95</v>
      </c>
      <c r="T100" s="304">
        <v>125</v>
      </c>
      <c r="U100" s="304">
        <v>135</v>
      </c>
      <c r="V100" s="304">
        <v>140</v>
      </c>
      <c r="W100" s="301">
        <f>G100</f>
        <v>108</v>
      </c>
      <c r="X100" s="304">
        <v>117</v>
      </c>
      <c r="Y100" s="304">
        <v>117</v>
      </c>
      <c r="Z100" s="304">
        <v>109</v>
      </c>
      <c r="AA100" s="301">
        <f t="shared" ref="AA100:AA103" si="309">H100</f>
        <v>81</v>
      </c>
      <c r="AB100" s="304">
        <v>110</v>
      </c>
      <c r="AC100" s="304">
        <v>124</v>
      </c>
      <c r="AD100" s="304">
        <v>127</v>
      </c>
      <c r="AE100" s="301">
        <f>I100</f>
        <v>89</v>
      </c>
    </row>
    <row r="101" spans="2:32" ht="13.5" customHeight="1">
      <c r="B101" s="37" t="s">
        <v>190</v>
      </c>
      <c r="C101" s="304">
        <v>118</v>
      </c>
      <c r="D101" s="304">
        <v>113</v>
      </c>
      <c r="E101" s="304">
        <v>114</v>
      </c>
      <c r="F101" s="304">
        <v>102</v>
      </c>
      <c r="G101" s="304">
        <v>124</v>
      </c>
      <c r="H101" s="304">
        <v>102</v>
      </c>
      <c r="I101" s="304">
        <v>116</v>
      </c>
      <c r="J101" s="301">
        <f t="shared" si="308"/>
        <v>116</v>
      </c>
      <c r="K101" s="301"/>
      <c r="L101" s="304">
        <v>118</v>
      </c>
      <c r="M101" s="304">
        <v>134</v>
      </c>
      <c r="N101" s="304">
        <v>113</v>
      </c>
      <c r="O101" s="301">
        <f>E101</f>
        <v>114</v>
      </c>
      <c r="P101" s="304">
        <v>125</v>
      </c>
      <c r="Q101" s="304">
        <v>130</v>
      </c>
      <c r="R101" s="304">
        <v>117</v>
      </c>
      <c r="S101" s="301">
        <f>F101</f>
        <v>102</v>
      </c>
      <c r="T101" s="304">
        <v>124</v>
      </c>
      <c r="U101" s="304">
        <v>135</v>
      </c>
      <c r="V101" s="304">
        <v>133</v>
      </c>
      <c r="W101" s="301">
        <f>G101</f>
        <v>124</v>
      </c>
      <c r="X101" s="304">
        <v>135</v>
      </c>
      <c r="Y101" s="304">
        <v>133</v>
      </c>
      <c r="Z101" s="304">
        <v>109</v>
      </c>
      <c r="AA101" s="301">
        <f t="shared" si="309"/>
        <v>102</v>
      </c>
      <c r="AB101" s="304">
        <v>129</v>
      </c>
      <c r="AC101" s="304">
        <v>146</v>
      </c>
      <c r="AD101" s="304">
        <v>124</v>
      </c>
      <c r="AE101" s="301">
        <f>I101</f>
        <v>116</v>
      </c>
    </row>
    <row r="102" spans="2:32" ht="13.5" customHeight="1">
      <c r="B102" s="37" t="s">
        <v>191</v>
      </c>
      <c r="C102" s="304">
        <v>119</v>
      </c>
      <c r="D102" s="304">
        <v>131</v>
      </c>
      <c r="E102" s="304">
        <v>149</v>
      </c>
      <c r="F102" s="304">
        <v>133</v>
      </c>
      <c r="G102" s="304">
        <v>146</v>
      </c>
      <c r="H102" s="304">
        <v>130</v>
      </c>
      <c r="I102" s="304">
        <v>148</v>
      </c>
      <c r="J102" s="301">
        <f t="shared" si="308"/>
        <v>148</v>
      </c>
      <c r="K102" s="301"/>
      <c r="L102" s="304">
        <v>145</v>
      </c>
      <c r="M102" s="304">
        <v>137</v>
      </c>
      <c r="N102" s="304">
        <v>127</v>
      </c>
      <c r="O102" s="301">
        <f>E102</f>
        <v>149</v>
      </c>
      <c r="P102" s="304">
        <v>145</v>
      </c>
      <c r="Q102" s="304">
        <v>147</v>
      </c>
      <c r="R102" s="304">
        <v>134</v>
      </c>
      <c r="S102" s="301">
        <f>F102</f>
        <v>133</v>
      </c>
      <c r="T102" s="304">
        <v>127</v>
      </c>
      <c r="U102" s="304">
        <v>121</v>
      </c>
      <c r="V102" s="304">
        <v>118</v>
      </c>
      <c r="W102" s="301">
        <f>G102</f>
        <v>146</v>
      </c>
      <c r="X102" s="304">
        <v>131</v>
      </c>
      <c r="Y102" s="304">
        <v>127</v>
      </c>
      <c r="Z102" s="304">
        <v>111</v>
      </c>
      <c r="AA102" s="301">
        <f t="shared" si="309"/>
        <v>130</v>
      </c>
      <c r="AB102" s="304">
        <v>152</v>
      </c>
      <c r="AC102" s="304">
        <v>151</v>
      </c>
      <c r="AD102" s="304">
        <v>135</v>
      </c>
      <c r="AE102" s="301">
        <f>I102</f>
        <v>148</v>
      </c>
    </row>
    <row r="103" spans="2:32" ht="13.5" customHeight="1">
      <c r="B103" s="37" t="s">
        <v>192</v>
      </c>
      <c r="C103" s="304">
        <v>80</v>
      </c>
      <c r="D103" s="304">
        <v>71</v>
      </c>
      <c r="E103" s="304">
        <v>69</v>
      </c>
      <c r="F103" s="304">
        <v>64</v>
      </c>
      <c r="G103" s="304">
        <v>86</v>
      </c>
      <c r="H103" s="304">
        <v>53</v>
      </c>
      <c r="I103" s="304">
        <v>57</v>
      </c>
      <c r="J103" s="301">
        <f t="shared" si="308"/>
        <v>57</v>
      </c>
      <c r="K103" s="301"/>
      <c r="L103" s="304">
        <v>91</v>
      </c>
      <c r="M103" s="304">
        <v>114</v>
      </c>
      <c r="N103" s="304">
        <v>108</v>
      </c>
      <c r="O103" s="301">
        <f>E103</f>
        <v>69</v>
      </c>
      <c r="P103" s="304">
        <v>108</v>
      </c>
      <c r="Q103" s="304">
        <v>124</v>
      </c>
      <c r="R103" s="304">
        <v>121</v>
      </c>
      <c r="S103" s="301">
        <f>F103</f>
        <v>64</v>
      </c>
      <c r="T103" s="304">
        <v>122</v>
      </c>
      <c r="U103" s="304">
        <v>149</v>
      </c>
      <c r="V103" s="304">
        <v>155</v>
      </c>
      <c r="W103" s="301">
        <f>G103</f>
        <v>86</v>
      </c>
      <c r="X103" s="304">
        <v>121</v>
      </c>
      <c r="Y103" s="304">
        <v>123</v>
      </c>
      <c r="Z103" s="304">
        <v>107</v>
      </c>
      <c r="AA103" s="301">
        <f t="shared" si="309"/>
        <v>53</v>
      </c>
      <c r="AB103" s="304">
        <v>86</v>
      </c>
      <c r="AC103" s="304">
        <v>118</v>
      </c>
      <c r="AD103" s="304">
        <v>116</v>
      </c>
      <c r="AE103" s="301">
        <f>I103</f>
        <v>57</v>
      </c>
    </row>
    <row r="104" spans="2:32" ht="13.5" customHeight="1"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 spans="2:32" ht="13.5" customHeight="1"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 spans="2:32" ht="13.5" customHeight="1">
      <c r="B106" s="6" t="s">
        <v>193</v>
      </c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 spans="2:32" ht="13.5" customHeight="1">
      <c r="B107" s="10" t="s">
        <v>194</v>
      </c>
      <c r="C107" s="59">
        <v>12980</v>
      </c>
      <c r="D107" s="59">
        <v>16280</v>
      </c>
      <c r="E107" s="59">
        <v>42610</v>
      </c>
      <c r="F107" s="59">
        <v>28550</v>
      </c>
      <c r="G107" s="59">
        <v>44280</v>
      </c>
      <c r="H107" s="59">
        <v>54510</v>
      </c>
      <c r="I107" s="59">
        <v>65110</v>
      </c>
      <c r="J107" s="11">
        <f>AE107</f>
        <v>65110</v>
      </c>
      <c r="K107" s="11"/>
      <c r="L107" s="265"/>
      <c r="M107" s="59">
        <v>49130</v>
      </c>
      <c r="N107" s="265"/>
      <c r="O107" s="11">
        <f>E107</f>
        <v>42610</v>
      </c>
      <c r="P107" s="265"/>
      <c r="Q107" s="59">
        <v>92880</v>
      </c>
      <c r="R107" s="265"/>
      <c r="S107" s="11">
        <f>F107</f>
        <v>28550</v>
      </c>
      <c r="T107" s="265"/>
      <c r="U107" s="59">
        <v>119010</v>
      </c>
      <c r="V107" s="265"/>
      <c r="W107" s="11">
        <f>G107</f>
        <v>44280</v>
      </c>
      <c r="X107" s="265"/>
      <c r="Y107" s="59">
        <v>97890</v>
      </c>
      <c r="Z107" s="59">
        <v>175070</v>
      </c>
      <c r="AA107" s="11">
        <f t="shared" ref="AA107:AA108" si="310">H107</f>
        <v>54510</v>
      </c>
      <c r="AB107" s="265"/>
      <c r="AC107" s="59">
        <v>113530</v>
      </c>
      <c r="AD107" s="59">
        <v>175070</v>
      </c>
      <c r="AE107" s="11">
        <f>I107</f>
        <v>65110</v>
      </c>
    </row>
    <row r="108" spans="2:32" ht="13.5" customHeight="1">
      <c r="B108" s="10" t="s">
        <v>195</v>
      </c>
      <c r="C108" s="59">
        <v>273710</v>
      </c>
      <c r="D108" s="59">
        <v>221410</v>
      </c>
      <c r="E108" s="59">
        <v>216050</v>
      </c>
      <c r="F108" s="59">
        <v>201440</v>
      </c>
      <c r="G108" s="59">
        <v>240100</v>
      </c>
      <c r="H108" s="59">
        <v>182630</v>
      </c>
      <c r="I108" s="59">
        <v>155350</v>
      </c>
      <c r="J108" s="11">
        <f>AE108</f>
        <v>155350</v>
      </c>
      <c r="K108" s="11"/>
      <c r="L108" s="265"/>
      <c r="M108" s="59">
        <v>222330</v>
      </c>
      <c r="N108" s="265"/>
      <c r="O108" s="11">
        <f>E108</f>
        <v>216050</v>
      </c>
      <c r="P108" s="265"/>
      <c r="Q108" s="59">
        <v>232610</v>
      </c>
      <c r="R108" s="265"/>
      <c r="S108" s="11">
        <f>F108</f>
        <v>201440</v>
      </c>
      <c r="T108" s="265"/>
      <c r="U108" s="59">
        <v>220330</v>
      </c>
      <c r="V108" s="265"/>
      <c r="W108" s="11">
        <f>G108</f>
        <v>240100</v>
      </c>
      <c r="X108" s="265"/>
      <c r="Y108" s="59">
        <v>220540</v>
      </c>
      <c r="Z108" s="59">
        <v>109570</v>
      </c>
      <c r="AA108" s="11">
        <f t="shared" si="310"/>
        <v>182630</v>
      </c>
      <c r="AB108" s="265"/>
      <c r="AC108" s="59">
        <v>172090</v>
      </c>
      <c r="AD108" s="59">
        <v>109570</v>
      </c>
      <c r="AE108" s="11">
        <f>I108</f>
        <v>155350</v>
      </c>
    </row>
    <row r="109" spans="2:32" ht="13.5" customHeight="1">
      <c r="B109" s="6" t="s">
        <v>196</v>
      </c>
      <c r="C109" s="51">
        <f t="shared" ref="C109" si="311">SUM(C107:C108)</f>
        <v>286690</v>
      </c>
      <c r="D109" s="51">
        <f t="shared" ref="D109:E109" si="312">SUM(D107:D108)</f>
        <v>237690</v>
      </c>
      <c r="E109" s="51">
        <f t="shared" si="312"/>
        <v>258660</v>
      </c>
      <c r="F109" s="51">
        <f t="shared" ref="F109:G109" si="313">SUM(F107:F108)</f>
        <v>229990</v>
      </c>
      <c r="G109" s="51">
        <f t="shared" si="313"/>
        <v>284380</v>
      </c>
      <c r="H109" s="51">
        <f t="shared" ref="H109:J109" si="314">SUM(H107:H108)</f>
        <v>237140</v>
      </c>
      <c r="I109" s="51">
        <f t="shared" ref="I109" si="315">SUM(I107:I108)</f>
        <v>220460</v>
      </c>
      <c r="J109" s="51">
        <f t="shared" si="314"/>
        <v>220460</v>
      </c>
      <c r="K109" s="51"/>
      <c r="L109" s="267"/>
      <c r="M109" s="51">
        <f t="shared" ref="M109:O109" si="316">SUM(M107:M108)</f>
        <v>271460</v>
      </c>
      <c r="N109" s="267"/>
      <c r="O109" s="51">
        <f t="shared" si="316"/>
        <v>258660</v>
      </c>
      <c r="P109" s="267"/>
      <c r="Q109" s="51">
        <f t="shared" ref="Q109" si="317">SUM(Q107:Q108)</f>
        <v>325490</v>
      </c>
      <c r="R109" s="267"/>
      <c r="S109" s="51">
        <f t="shared" ref="S109" si="318">SUM(S107:S108)</f>
        <v>229990</v>
      </c>
      <c r="T109" s="267"/>
      <c r="U109" s="51">
        <f t="shared" ref="U109" si="319">SUM(U107:U108)</f>
        <v>339340</v>
      </c>
      <c r="V109" s="267"/>
      <c r="W109" s="51">
        <f>SUM(W107:W108)</f>
        <v>284380</v>
      </c>
      <c r="X109" s="267"/>
      <c r="Y109" s="51">
        <f t="shared" ref="Y109:Z109" si="320">SUM(Y107:Y108)</f>
        <v>318430</v>
      </c>
      <c r="Z109" s="51">
        <f t="shared" si="320"/>
        <v>284640</v>
      </c>
      <c r="AA109" s="51">
        <f>SUM(AA107:AA108)</f>
        <v>237140</v>
      </c>
      <c r="AB109" s="267"/>
      <c r="AC109" s="51">
        <f t="shared" ref="AC109:AD109" si="321">SUM(AC107:AC108)</f>
        <v>285620</v>
      </c>
      <c r="AD109" s="51">
        <f t="shared" si="321"/>
        <v>284640</v>
      </c>
      <c r="AE109" s="51">
        <f>SUM(AE107:AE108)</f>
        <v>220460</v>
      </c>
    </row>
    <row r="110" spans="2:32" ht="13.5" customHeight="1"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62"/>
      <c r="AB110" s="59"/>
      <c r="AC110" s="59"/>
      <c r="AD110" s="59"/>
      <c r="AE110" s="62"/>
    </row>
    <row r="111" spans="2:32" ht="13.5" customHeight="1">
      <c r="B111" s="6" t="s">
        <v>197</v>
      </c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62"/>
      <c r="AB111" s="59"/>
      <c r="AC111" s="59"/>
      <c r="AD111" s="59"/>
      <c r="AE111" s="62"/>
    </row>
    <row r="112" spans="2:32" ht="13.5" customHeight="1">
      <c r="B112" s="10" t="s">
        <v>198</v>
      </c>
      <c r="C112" s="59">
        <v>960</v>
      </c>
      <c r="D112" s="59">
        <v>1560</v>
      </c>
      <c r="E112" s="59">
        <v>2170</v>
      </c>
      <c r="F112" s="59">
        <v>2650</v>
      </c>
      <c r="G112" s="59">
        <v>3580</v>
      </c>
      <c r="H112" s="59">
        <v>3920</v>
      </c>
      <c r="I112" s="59">
        <v>5090</v>
      </c>
      <c r="J112" s="11">
        <f>AE112</f>
        <v>5090</v>
      </c>
      <c r="K112" s="11"/>
      <c r="L112" s="265"/>
      <c r="M112" s="59">
        <v>1550</v>
      </c>
      <c r="N112" s="265"/>
      <c r="O112" s="11">
        <f>E112</f>
        <v>2170</v>
      </c>
      <c r="P112" s="265"/>
      <c r="Q112" s="59">
        <v>2090</v>
      </c>
      <c r="R112" s="265"/>
      <c r="S112" s="11">
        <f>F112</f>
        <v>2650</v>
      </c>
      <c r="T112" s="265"/>
      <c r="U112" s="59">
        <v>2670</v>
      </c>
      <c r="V112" s="265"/>
      <c r="W112" s="11">
        <f>G112</f>
        <v>3580</v>
      </c>
      <c r="X112" s="265"/>
      <c r="Y112" s="59">
        <v>3920</v>
      </c>
      <c r="Z112" s="265"/>
      <c r="AA112" s="11">
        <f t="shared" ref="AA112:AA113" si="322">H112</f>
        <v>3920</v>
      </c>
      <c r="AB112" s="265"/>
      <c r="AC112" s="59">
        <v>4320</v>
      </c>
      <c r="AD112" s="265"/>
      <c r="AE112" s="11">
        <f>I112</f>
        <v>5090</v>
      </c>
    </row>
    <row r="113" spans="2:33" ht="13.5" customHeight="1">
      <c r="B113" s="10" t="s">
        <v>199</v>
      </c>
      <c r="C113" s="59">
        <v>5860</v>
      </c>
      <c r="D113" s="59">
        <v>5850</v>
      </c>
      <c r="E113" s="59">
        <v>6260</v>
      </c>
      <c r="F113" s="59">
        <v>6750</v>
      </c>
      <c r="G113" s="59">
        <v>9580</v>
      </c>
      <c r="H113" s="59">
        <v>9930</v>
      </c>
      <c r="I113" s="59">
        <v>10210</v>
      </c>
      <c r="J113" s="11">
        <f>AE113</f>
        <v>10210</v>
      </c>
      <c r="K113" s="11"/>
      <c r="L113" s="265"/>
      <c r="M113" s="59">
        <v>5780</v>
      </c>
      <c r="N113" s="265"/>
      <c r="O113" s="11">
        <f>E113</f>
        <v>6260</v>
      </c>
      <c r="P113" s="265"/>
      <c r="Q113" s="59">
        <v>6800</v>
      </c>
      <c r="R113" s="265"/>
      <c r="S113" s="11">
        <f>F113</f>
        <v>6750</v>
      </c>
      <c r="T113" s="265"/>
      <c r="U113" s="59">
        <v>7350</v>
      </c>
      <c r="V113" s="265"/>
      <c r="W113" s="11">
        <f>G113</f>
        <v>9580</v>
      </c>
      <c r="X113" s="265"/>
      <c r="Y113" s="59">
        <v>9820</v>
      </c>
      <c r="Z113" s="265"/>
      <c r="AA113" s="11">
        <f t="shared" si="322"/>
        <v>9930</v>
      </c>
      <c r="AB113" s="265"/>
      <c r="AC113" s="59">
        <v>10280</v>
      </c>
      <c r="AD113" s="265"/>
      <c r="AE113" s="11">
        <f>I113</f>
        <v>10210</v>
      </c>
    </row>
    <row r="114" spans="2:33" ht="13.5" customHeight="1">
      <c r="B114" s="6" t="s">
        <v>200</v>
      </c>
      <c r="C114" s="51">
        <f t="shared" ref="C114" si="323">SUM(C112:C113)</f>
        <v>6820</v>
      </c>
      <c r="D114" s="51">
        <f t="shared" ref="D114:E114" si="324">SUM(D112:D113)</f>
        <v>7410</v>
      </c>
      <c r="E114" s="51">
        <f t="shared" si="324"/>
        <v>8430</v>
      </c>
      <c r="F114" s="51">
        <f t="shared" ref="F114:G114" si="325">SUM(F112:F113)</f>
        <v>9400</v>
      </c>
      <c r="G114" s="51">
        <f t="shared" si="325"/>
        <v>13160</v>
      </c>
      <c r="H114" s="51">
        <f t="shared" ref="H114:J114" si="326">SUM(H112:H113)</f>
        <v>13850</v>
      </c>
      <c r="I114" s="51">
        <f t="shared" ref="I114" si="327">SUM(I112:I113)</f>
        <v>15300</v>
      </c>
      <c r="J114" s="51">
        <f t="shared" si="326"/>
        <v>15300</v>
      </c>
      <c r="K114" s="51"/>
      <c r="L114" s="267"/>
      <c r="M114" s="51">
        <f t="shared" ref="M114:O114" si="328">SUM(M112:M113)</f>
        <v>7330</v>
      </c>
      <c r="N114" s="267"/>
      <c r="O114" s="51">
        <f t="shared" si="328"/>
        <v>8430</v>
      </c>
      <c r="P114" s="267"/>
      <c r="Q114" s="51">
        <f t="shared" ref="Q114" si="329">SUM(Q112:Q113)</f>
        <v>8890</v>
      </c>
      <c r="R114" s="267"/>
      <c r="S114" s="51">
        <f t="shared" ref="S114" si="330">SUM(S112:S113)</f>
        <v>9400</v>
      </c>
      <c r="T114" s="267"/>
      <c r="U114" s="51">
        <f t="shared" ref="U114" si="331">SUM(U112:U113)</f>
        <v>10020</v>
      </c>
      <c r="V114" s="267"/>
      <c r="W114" s="51">
        <f t="shared" ref="W114" si="332">SUM(W112:W113)</f>
        <v>13160</v>
      </c>
      <c r="X114" s="267"/>
      <c r="Y114" s="51">
        <f t="shared" ref="Y114" si="333">SUM(Y112:Y113)</f>
        <v>13740</v>
      </c>
      <c r="Z114" s="267"/>
      <c r="AA114" s="51">
        <f t="shared" ref="AA114" si="334">SUM(AA112:AA113)</f>
        <v>13850</v>
      </c>
      <c r="AB114" s="267"/>
      <c r="AC114" s="51">
        <f t="shared" ref="AC114" si="335">SUM(AC112:AC113)</f>
        <v>14600</v>
      </c>
      <c r="AD114" s="265"/>
      <c r="AE114" s="51">
        <f t="shared" ref="AE114" si="336">SUM(AE112:AE113)</f>
        <v>15300</v>
      </c>
    </row>
    <row r="115" spans="2:33" ht="13.5" customHeight="1">
      <c r="B115" s="26"/>
      <c r="C115" s="59"/>
      <c r="D115" s="59"/>
      <c r="E115" s="59"/>
      <c r="F115" s="59"/>
      <c r="G115" s="59"/>
      <c r="H115" s="59"/>
      <c r="I115" s="59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</row>
    <row r="116" spans="2:33" ht="13.5" customHeight="1">
      <c r="B116" s="6" t="s">
        <v>201</v>
      </c>
      <c r="C116" s="59"/>
      <c r="D116" s="59"/>
      <c r="E116" s="59"/>
      <c r="F116" s="59"/>
      <c r="G116" s="59"/>
      <c r="H116" s="59"/>
      <c r="I116" s="59"/>
      <c r="J116" s="208"/>
      <c r="K116" s="208"/>
      <c r="L116" s="208"/>
      <c r="M116" s="208"/>
      <c r="N116" s="208"/>
      <c r="O116" s="208"/>
      <c r="P116" s="208"/>
      <c r="Q116" s="208"/>
      <c r="R116" s="208"/>
      <c r="S116" s="208"/>
      <c r="T116" s="208"/>
      <c r="U116" s="208"/>
      <c r="V116" s="208"/>
      <c r="W116" s="208"/>
      <c r="X116" s="208"/>
      <c r="Y116" s="208"/>
      <c r="Z116" s="208"/>
      <c r="AA116" s="208"/>
      <c r="AB116" s="208"/>
      <c r="AC116" s="208"/>
      <c r="AD116" s="208"/>
      <c r="AE116" s="208"/>
      <c r="AF116" s="208"/>
    </row>
    <row r="117" spans="2:33" ht="13.5" customHeight="1">
      <c r="B117" s="10" t="s">
        <v>194</v>
      </c>
      <c r="C117" s="11">
        <f t="shared" ref="C117:D118" si="337">C107+C112</f>
        <v>13940</v>
      </c>
      <c r="D117" s="11">
        <f t="shared" si="337"/>
        <v>17840</v>
      </c>
      <c r="E117" s="11">
        <f t="shared" ref="E117:F117" si="338">E107+E112</f>
        <v>44780</v>
      </c>
      <c r="F117" s="11">
        <f t="shared" si="338"/>
        <v>31200</v>
      </c>
      <c r="G117" s="11">
        <f t="shared" ref="G117:H117" si="339">G107+G112</f>
        <v>47860</v>
      </c>
      <c r="H117" s="11">
        <f t="shared" si="339"/>
        <v>58430</v>
      </c>
      <c r="I117" s="11">
        <f t="shared" ref="I117" si="340">I107+I112</f>
        <v>70200</v>
      </c>
      <c r="J117" s="11">
        <f t="shared" ref="J117" si="341">J107+J112</f>
        <v>70200</v>
      </c>
      <c r="K117" s="11"/>
      <c r="L117" s="268"/>
      <c r="M117" s="11">
        <f t="shared" ref="M117:O118" si="342">M107+M112</f>
        <v>50680</v>
      </c>
      <c r="N117" s="268"/>
      <c r="O117" s="11">
        <f t="shared" si="342"/>
        <v>44780</v>
      </c>
      <c r="P117" s="268"/>
      <c r="Q117" s="11">
        <f t="shared" ref="Q117" si="343">Q107+Q112</f>
        <v>94970</v>
      </c>
      <c r="R117" s="268"/>
      <c r="S117" s="11">
        <f t="shared" ref="S117" si="344">S107+S112</f>
        <v>31200</v>
      </c>
      <c r="T117" s="268"/>
      <c r="U117" s="11">
        <f t="shared" ref="U117:U118" si="345">U107+U112</f>
        <v>121680</v>
      </c>
      <c r="V117" s="268"/>
      <c r="W117" s="11">
        <f t="shared" ref="W117:W118" si="346">W107+W112</f>
        <v>47860</v>
      </c>
      <c r="X117" s="268"/>
      <c r="Y117" s="11">
        <f t="shared" ref="Y117:Z118" si="347">Y107+Y112</f>
        <v>101810</v>
      </c>
      <c r="Z117" s="11">
        <f t="shared" si="347"/>
        <v>175070</v>
      </c>
      <c r="AA117" s="11">
        <f t="shared" ref="AA117:AA118" si="348">AA107+AA112</f>
        <v>58430</v>
      </c>
      <c r="AB117" s="268"/>
      <c r="AC117" s="11">
        <f t="shared" ref="AC117:AC118" si="349">AC107+AC112</f>
        <v>117850</v>
      </c>
      <c r="AD117" s="11">
        <f t="shared" ref="AD117:AE118" si="350">AD107+AD112</f>
        <v>175070</v>
      </c>
      <c r="AE117" s="11">
        <f t="shared" si="350"/>
        <v>70200</v>
      </c>
      <c r="AF117" s="208"/>
    </row>
    <row r="118" spans="2:33" ht="13.5" customHeight="1">
      <c r="B118" s="10" t="s">
        <v>195</v>
      </c>
      <c r="C118" s="11">
        <f t="shared" si="337"/>
        <v>279570</v>
      </c>
      <c r="D118" s="11">
        <f t="shared" si="337"/>
        <v>227260</v>
      </c>
      <c r="E118" s="11">
        <f t="shared" ref="E118:F118" si="351">E108+E113</f>
        <v>222310</v>
      </c>
      <c r="F118" s="11">
        <f t="shared" si="351"/>
        <v>208190</v>
      </c>
      <c r="G118" s="11">
        <f t="shared" ref="G118:H118" si="352">G108+G113</f>
        <v>249680</v>
      </c>
      <c r="H118" s="11">
        <f t="shared" si="352"/>
        <v>192560</v>
      </c>
      <c r="I118" s="11">
        <f t="shared" ref="I118" si="353">I108+I113</f>
        <v>165560</v>
      </c>
      <c r="J118" s="11">
        <f t="shared" ref="J118" si="354">J108+J113</f>
        <v>165560</v>
      </c>
      <c r="K118" s="11"/>
      <c r="L118" s="268"/>
      <c r="M118" s="11">
        <f t="shared" si="342"/>
        <v>228110</v>
      </c>
      <c r="N118" s="268"/>
      <c r="O118" s="11">
        <f t="shared" si="342"/>
        <v>222310</v>
      </c>
      <c r="P118" s="268"/>
      <c r="Q118" s="11">
        <f t="shared" ref="Q118" si="355">Q108+Q113</f>
        <v>239410</v>
      </c>
      <c r="R118" s="268"/>
      <c r="S118" s="11">
        <f t="shared" ref="S118" si="356">S108+S113</f>
        <v>208190</v>
      </c>
      <c r="T118" s="268"/>
      <c r="U118" s="11">
        <f t="shared" si="345"/>
        <v>227680</v>
      </c>
      <c r="V118" s="268"/>
      <c r="W118" s="11">
        <f t="shared" si="346"/>
        <v>249680</v>
      </c>
      <c r="X118" s="268"/>
      <c r="Y118" s="11">
        <f t="shared" si="347"/>
        <v>230360</v>
      </c>
      <c r="Z118" s="11">
        <f t="shared" si="347"/>
        <v>109570</v>
      </c>
      <c r="AA118" s="11">
        <f t="shared" si="348"/>
        <v>192560</v>
      </c>
      <c r="AB118" s="268"/>
      <c r="AC118" s="11">
        <f t="shared" si="349"/>
        <v>182370</v>
      </c>
      <c r="AD118" s="11">
        <f t="shared" ref="AD118" si="357">AD108+AD113</f>
        <v>109570</v>
      </c>
      <c r="AE118" s="11">
        <f t="shared" si="350"/>
        <v>165560</v>
      </c>
      <c r="AF118" s="208"/>
    </row>
    <row r="119" spans="2:33" ht="13.5" customHeight="1">
      <c r="B119" s="10" t="s">
        <v>14</v>
      </c>
      <c r="C119" s="59">
        <v>2500</v>
      </c>
      <c r="D119" s="59">
        <v>2750</v>
      </c>
      <c r="E119" s="59">
        <f>O119</f>
        <v>121000</v>
      </c>
      <c r="F119" s="59">
        <f>S119</f>
        <v>115480</v>
      </c>
      <c r="G119" s="59">
        <f>W119</f>
        <v>82260.44</v>
      </c>
      <c r="H119" s="59">
        <v>88800</v>
      </c>
      <c r="I119" s="59">
        <v>102310</v>
      </c>
      <c r="J119" s="11">
        <f>AE119</f>
        <v>102310</v>
      </c>
      <c r="K119" s="11"/>
      <c r="L119" s="11">
        <v>70040</v>
      </c>
      <c r="M119" s="11">
        <v>51490</v>
      </c>
      <c r="N119" s="11">
        <v>71750</v>
      </c>
      <c r="O119" s="11">
        <v>121000</v>
      </c>
      <c r="P119" s="11">
        <v>90100</v>
      </c>
      <c r="Q119" s="11">
        <v>66710</v>
      </c>
      <c r="R119" s="11">
        <v>90810</v>
      </c>
      <c r="S119" s="11">
        <v>115480</v>
      </c>
      <c r="T119" s="11">
        <v>73040</v>
      </c>
      <c r="U119" s="11">
        <f>Q119-5800</f>
        <v>60910</v>
      </c>
      <c r="V119" s="11">
        <f>R119-28280</f>
        <v>62530</v>
      </c>
      <c r="W119" s="11">
        <f>S119-400/W206</f>
        <v>82260.44</v>
      </c>
      <c r="X119" s="11">
        <v>61540</v>
      </c>
      <c r="Y119" s="11">
        <f>U119-1412</f>
        <v>59498</v>
      </c>
      <c r="Z119" s="59">
        <v>45270</v>
      </c>
      <c r="AA119" s="11">
        <f>H119</f>
        <v>88800</v>
      </c>
      <c r="AB119" s="11">
        <v>59400</v>
      </c>
      <c r="AC119" s="59">
        <v>49110</v>
      </c>
      <c r="AD119" s="59">
        <v>55010</v>
      </c>
      <c r="AE119" s="11">
        <f>I119</f>
        <v>102310</v>
      </c>
      <c r="AF119" s="200"/>
    </row>
    <row r="120" spans="2:33" s="26" customFormat="1" ht="13.5" customHeight="1">
      <c r="B120" s="26" t="s">
        <v>202</v>
      </c>
      <c r="C120" s="51">
        <f t="shared" ref="C120:D120" si="358">SUM(C117:C119)</f>
        <v>296010</v>
      </c>
      <c r="D120" s="51">
        <f t="shared" si="358"/>
        <v>247850</v>
      </c>
      <c r="E120" s="51">
        <f>SUM(E117:E119)+50%*E126</f>
        <v>403234</v>
      </c>
      <c r="F120" s="51">
        <f t="shared" ref="F120:W120" si="359">SUM(F117:F119)+50%*F126</f>
        <v>370865.2</v>
      </c>
      <c r="G120" s="51">
        <f t="shared" si="359"/>
        <v>396410.22000000003</v>
      </c>
      <c r="H120" s="51">
        <f t="shared" ref="H120:J120" si="360">SUM(H117:H119)+50%*H126</f>
        <v>354720</v>
      </c>
      <c r="I120" s="51">
        <f t="shared" ref="I120" si="361">SUM(I117:I119)+50%*I126</f>
        <v>338070</v>
      </c>
      <c r="J120" s="51">
        <f t="shared" si="360"/>
        <v>338070</v>
      </c>
      <c r="K120" s="51"/>
      <c r="L120" s="51"/>
      <c r="M120" s="51">
        <f t="shared" si="359"/>
        <v>345142.30964715447</v>
      </c>
      <c r="N120" s="51"/>
      <c r="O120" s="51">
        <f t="shared" si="359"/>
        <v>403234</v>
      </c>
      <c r="P120" s="51"/>
      <c r="Q120" s="51">
        <f t="shared" si="359"/>
        <v>417128.67363982828</v>
      </c>
      <c r="R120" s="51"/>
      <c r="S120" s="51">
        <f t="shared" si="359"/>
        <v>370865.2</v>
      </c>
      <c r="T120" s="202">
        <v>300830</v>
      </c>
      <c r="U120" s="51">
        <f t="shared" si="359"/>
        <v>426792.66065588762</v>
      </c>
      <c r="V120" s="59">
        <v>361730</v>
      </c>
      <c r="W120" s="51">
        <f t="shared" si="359"/>
        <v>396410.22000000003</v>
      </c>
      <c r="X120" s="202">
        <v>316450</v>
      </c>
      <c r="Y120" s="51">
        <f t="shared" ref="Y120:Z120" si="362">SUM(Y117:Y119)+50%*Y126</f>
        <v>408382.42029375694</v>
      </c>
      <c r="Z120" s="51">
        <f t="shared" si="362"/>
        <v>346799</v>
      </c>
      <c r="AA120" s="51">
        <f t="shared" ref="AA120" si="363">SUM(AA117:AA119)+50%*AA126</f>
        <v>354720</v>
      </c>
      <c r="AB120" s="202">
        <v>268350</v>
      </c>
      <c r="AC120" s="51">
        <f>SUM(AC117:AC119)-AC119</f>
        <v>300220</v>
      </c>
      <c r="AD120" s="51">
        <f>SUM(AD117:AD119)-AD119</f>
        <v>284640</v>
      </c>
      <c r="AE120" s="51">
        <f>SUM(AE117:AE119)+50%*AE126</f>
        <v>338070</v>
      </c>
      <c r="AF120" s="201"/>
    </row>
    <row r="121" spans="2:33" ht="13.5" customHeight="1">
      <c r="B121" s="61" t="s">
        <v>174</v>
      </c>
      <c r="C121" s="59">
        <f>67240+280</f>
        <v>67520</v>
      </c>
      <c r="D121" s="59">
        <f>47970+560</f>
        <v>48530</v>
      </c>
      <c r="E121" s="59">
        <f>57970+3230</f>
        <v>61200</v>
      </c>
      <c r="F121" s="59">
        <f>59670+1300</f>
        <v>60970</v>
      </c>
      <c r="G121" s="59">
        <f>59430+930</f>
        <v>60360</v>
      </c>
      <c r="H121" s="59">
        <f>94780+590</f>
        <v>95370</v>
      </c>
      <c r="I121" s="59">
        <f>59750+1110</f>
        <v>60860</v>
      </c>
      <c r="J121" s="11">
        <f>AE121</f>
        <v>60860</v>
      </c>
      <c r="K121" s="11"/>
      <c r="L121" s="265"/>
      <c r="M121" s="59">
        <f>27920+750</f>
        <v>28670</v>
      </c>
      <c r="N121" s="265"/>
      <c r="O121" s="11">
        <f>E121</f>
        <v>61200</v>
      </c>
      <c r="P121" s="265"/>
      <c r="Q121" s="59">
        <v>35880</v>
      </c>
      <c r="R121" s="265"/>
      <c r="S121" s="11">
        <f>F121</f>
        <v>60970</v>
      </c>
      <c r="T121" s="59">
        <v>38890</v>
      </c>
      <c r="U121" s="59">
        <f>31000+700</f>
        <v>31700</v>
      </c>
      <c r="V121" s="59">
        <f>48270-V122</f>
        <v>44730</v>
      </c>
      <c r="W121" s="11">
        <f>G121</f>
        <v>60360</v>
      </c>
      <c r="X121" s="59">
        <f>41450-X122</f>
        <v>39050</v>
      </c>
      <c r="Y121" s="59">
        <f>38740+360</f>
        <v>39100</v>
      </c>
      <c r="Z121" s="11">
        <f>43740-Z122</f>
        <v>40980</v>
      </c>
      <c r="AA121" s="11">
        <f>H121</f>
        <v>95370</v>
      </c>
      <c r="AB121" s="59">
        <f>54640-AB122</f>
        <v>49980</v>
      </c>
      <c r="AC121" s="11">
        <f>47600-AC122</f>
        <v>41520</v>
      </c>
      <c r="AD121" s="11">
        <f>51470-AD122</f>
        <v>45950</v>
      </c>
      <c r="AE121" s="11">
        <f>I121</f>
        <v>60860</v>
      </c>
      <c r="AF121" s="200"/>
    </row>
    <row r="122" spans="2:33" ht="13.5" customHeight="1">
      <c r="B122" s="61" t="s">
        <v>21</v>
      </c>
      <c r="C122" s="59">
        <v>0</v>
      </c>
      <c r="D122" s="59">
        <v>370</v>
      </c>
      <c r="E122" s="59">
        <v>8400</v>
      </c>
      <c r="F122" s="59">
        <v>460</v>
      </c>
      <c r="G122" s="59">
        <v>2610</v>
      </c>
      <c r="H122" s="59">
        <v>3200</v>
      </c>
      <c r="I122" s="59">
        <v>6340</v>
      </c>
      <c r="J122" s="11">
        <f>AE122</f>
        <v>6340</v>
      </c>
      <c r="K122" s="11"/>
      <c r="L122" s="265"/>
      <c r="M122" s="59">
        <v>0</v>
      </c>
      <c r="N122" s="265"/>
      <c r="O122" s="11">
        <f>E122</f>
        <v>8400</v>
      </c>
      <c r="P122" s="265"/>
      <c r="Q122" s="59">
        <v>4450</v>
      </c>
      <c r="R122" s="265"/>
      <c r="S122" s="11">
        <f>F122</f>
        <v>460</v>
      </c>
      <c r="T122" s="265"/>
      <c r="U122" s="59">
        <v>1470</v>
      </c>
      <c r="V122" s="59">
        <v>3540</v>
      </c>
      <c r="W122" s="11">
        <f>G122</f>
        <v>2610</v>
      </c>
      <c r="X122" s="59">
        <v>2400</v>
      </c>
      <c r="Y122" s="59">
        <v>4030</v>
      </c>
      <c r="Z122" s="59">
        <v>2760</v>
      </c>
      <c r="AA122" s="11">
        <f>H122</f>
        <v>3200</v>
      </c>
      <c r="AB122" s="59">
        <v>4660</v>
      </c>
      <c r="AC122" s="59">
        <v>6080</v>
      </c>
      <c r="AD122" s="59">
        <v>5520</v>
      </c>
      <c r="AE122" s="11">
        <f>I122</f>
        <v>6340</v>
      </c>
    </row>
    <row r="123" spans="2:33" ht="13.5" customHeight="1">
      <c r="B123" s="26" t="s">
        <v>203</v>
      </c>
      <c r="C123" s="51">
        <f t="shared" ref="C123" si="364">C120-C121-C122</f>
        <v>228490</v>
      </c>
      <c r="D123" s="51">
        <f t="shared" ref="D123:J123" si="365">D120-D121-D122</f>
        <v>198950</v>
      </c>
      <c r="E123" s="51">
        <f t="shared" si="365"/>
        <v>333634</v>
      </c>
      <c r="F123" s="51">
        <f t="shared" si="365"/>
        <v>309435.2</v>
      </c>
      <c r="G123" s="51">
        <f t="shared" si="365"/>
        <v>333440.22000000003</v>
      </c>
      <c r="H123" s="51">
        <f t="shared" si="365"/>
        <v>256150</v>
      </c>
      <c r="I123" s="51">
        <f>I120-I121-I122</f>
        <v>270870</v>
      </c>
      <c r="J123" s="51">
        <f t="shared" si="365"/>
        <v>270870</v>
      </c>
      <c r="K123" s="51"/>
      <c r="L123" s="267"/>
      <c r="M123" s="51">
        <f t="shared" ref="M123" si="366">M120-M121-M122</f>
        <v>316472.30964715447</v>
      </c>
      <c r="N123" s="267"/>
      <c r="O123" s="51">
        <f t="shared" ref="O123" si="367">O120-O121-O122</f>
        <v>333634</v>
      </c>
      <c r="P123" s="267"/>
      <c r="Q123" s="51">
        <f t="shared" ref="Q123" si="368">Q120-Q121-Q122</f>
        <v>376798.67363982828</v>
      </c>
      <c r="R123" s="267"/>
      <c r="S123" s="51">
        <f t="shared" ref="S123:T123" si="369">S120-S121-S122</f>
        <v>309435.2</v>
      </c>
      <c r="T123" s="51">
        <f t="shared" si="369"/>
        <v>261940</v>
      </c>
      <c r="U123" s="51">
        <f t="shared" ref="U123" si="370">U120-U121-U122</f>
        <v>393622.66065588762</v>
      </c>
      <c r="V123" s="51">
        <f t="shared" ref="V123:Z123" si="371">V120-V121-V122</f>
        <v>313460</v>
      </c>
      <c r="W123" s="51">
        <f t="shared" si="371"/>
        <v>333440.22000000003</v>
      </c>
      <c r="X123" s="51">
        <f t="shared" si="371"/>
        <v>275000</v>
      </c>
      <c r="Y123" s="51">
        <f t="shared" si="371"/>
        <v>365252.42029375694</v>
      </c>
      <c r="Z123" s="51">
        <f t="shared" si="371"/>
        <v>303059</v>
      </c>
      <c r="AA123" s="51">
        <f t="shared" ref="AA123:AD123" si="372">AA120-AA121-AA122</f>
        <v>256150</v>
      </c>
      <c r="AB123" s="51">
        <f t="shared" si="372"/>
        <v>213710</v>
      </c>
      <c r="AC123" s="51">
        <f t="shared" si="372"/>
        <v>252620</v>
      </c>
      <c r="AD123" s="51">
        <f t="shared" si="372"/>
        <v>233170</v>
      </c>
      <c r="AE123" s="51">
        <f t="shared" ref="AE123" si="373">AE120-AE121-AE122</f>
        <v>270870</v>
      </c>
      <c r="AF123" s="11"/>
    </row>
    <row r="124" spans="2:33" ht="13.5" customHeight="1">
      <c r="B124" s="21" t="s">
        <v>204</v>
      </c>
      <c r="C124" s="60"/>
      <c r="D124" s="60"/>
      <c r="E124" s="198">
        <f>(E95+E119)/E7</f>
        <v>0.59316608996539788</v>
      </c>
      <c r="F124" s="198">
        <f t="shared" ref="F124:G124" si="374">(F95+F119)/F7</f>
        <v>0.55569658055845905</v>
      </c>
      <c r="G124" s="198">
        <f t="shared" si="374"/>
        <v>0.57032911039955447</v>
      </c>
      <c r="H124" s="198">
        <f t="shared" ref="H124" si="375">(H95+H119)/H7</f>
        <v>0.52286810901215774</v>
      </c>
      <c r="I124" s="198">
        <f>(I95+I119)/I7</f>
        <v>0.54215937807442272</v>
      </c>
      <c r="J124" s="273"/>
      <c r="K124" s="239"/>
      <c r="L124" s="273"/>
      <c r="M124" s="198"/>
      <c r="N124" s="273"/>
      <c r="O124" s="199"/>
      <c r="P124" s="273"/>
      <c r="Q124" s="198"/>
      <c r="R124" s="273"/>
      <c r="S124" s="199"/>
      <c r="T124" s="273"/>
      <c r="U124" s="273"/>
      <c r="V124" s="273"/>
      <c r="W124" s="273"/>
      <c r="X124" s="273"/>
      <c r="Y124" s="273"/>
      <c r="Z124" s="273"/>
      <c r="AA124" s="273"/>
      <c r="AB124" s="273"/>
      <c r="AC124" s="273"/>
      <c r="AD124" s="273"/>
      <c r="AE124" s="273"/>
      <c r="AG124" s="11"/>
    </row>
    <row r="125" spans="2:33" ht="13.5" customHeight="1">
      <c r="B125" s="26" t="s">
        <v>205</v>
      </c>
      <c r="C125" s="51">
        <f t="shared" ref="C125" si="376">C123</f>
        <v>228490</v>
      </c>
      <c r="D125" s="51">
        <f>D123</f>
        <v>198950</v>
      </c>
      <c r="E125" s="51">
        <f>E123</f>
        <v>333634</v>
      </c>
      <c r="F125" s="231">
        <v>169020</v>
      </c>
      <c r="G125" s="231">
        <v>221700</v>
      </c>
      <c r="H125" s="293">
        <v>172670</v>
      </c>
      <c r="I125" s="18">
        <v>153250</v>
      </c>
      <c r="J125" s="51">
        <f>AE125</f>
        <v>153250</v>
      </c>
      <c r="K125" s="51"/>
      <c r="L125" s="267"/>
      <c r="M125" s="51">
        <f t="shared" ref="M125" si="377">M123</f>
        <v>316472.30964715447</v>
      </c>
      <c r="N125" s="267"/>
      <c r="O125" s="51">
        <f>E125</f>
        <v>333634</v>
      </c>
      <c r="P125" s="267"/>
      <c r="Q125" s="51">
        <f t="shared" ref="Q125" si="378">Q123</f>
        <v>376798.67363982828</v>
      </c>
      <c r="R125" s="267"/>
      <c r="S125" s="11">
        <f>F125</f>
        <v>169020</v>
      </c>
      <c r="T125" s="267"/>
      <c r="U125" s="51">
        <f t="shared" ref="U125" si="379">U123</f>
        <v>393622.66065588762</v>
      </c>
      <c r="V125" s="231">
        <v>313460</v>
      </c>
      <c r="W125" s="51">
        <f>G125</f>
        <v>221700</v>
      </c>
      <c r="X125" s="231">
        <v>275000</v>
      </c>
      <c r="Y125" s="231">
        <v>275310</v>
      </c>
      <c r="Z125" s="231">
        <f>Z123</f>
        <v>303059</v>
      </c>
      <c r="AA125" s="51">
        <f>H125</f>
        <v>172670</v>
      </c>
      <c r="AB125" s="231">
        <v>213710</v>
      </c>
      <c r="AC125" s="231">
        <v>238020</v>
      </c>
      <c r="AD125" s="231">
        <v>233170</v>
      </c>
      <c r="AE125" s="51">
        <f>I125</f>
        <v>153250</v>
      </c>
    </row>
    <row r="126" spans="2:33" ht="13.5" customHeight="1">
      <c r="B126" s="21" t="s">
        <v>206</v>
      </c>
      <c r="C126" s="59">
        <v>29860</v>
      </c>
      <c r="D126" s="59">
        <v>29860</v>
      </c>
      <c r="E126" s="59">
        <f>400/E206</f>
        <v>30288</v>
      </c>
      <c r="F126" s="59">
        <f t="shared" ref="F126:V126" si="380">400/F206</f>
        <v>31990.399999999998</v>
      </c>
      <c r="G126" s="59">
        <f t="shared" si="380"/>
        <v>33219.560000000005</v>
      </c>
      <c r="H126" s="59">
        <v>29860</v>
      </c>
      <c r="I126" s="59">
        <v>0</v>
      </c>
      <c r="J126" s="11">
        <f>AE126</f>
        <v>0</v>
      </c>
      <c r="K126" s="59"/>
      <c r="L126" s="59">
        <f t="shared" si="380"/>
        <v>29601.24</v>
      </c>
      <c r="M126" s="59">
        <f t="shared" si="380"/>
        <v>29724.61929430889</v>
      </c>
      <c r="N126" s="59">
        <f t="shared" si="380"/>
        <v>29750.544664167668</v>
      </c>
      <c r="O126" s="59">
        <f t="shared" si="380"/>
        <v>30288</v>
      </c>
      <c r="P126" s="59">
        <f t="shared" si="380"/>
        <v>30869.200000000001</v>
      </c>
      <c r="Q126" s="59">
        <f t="shared" si="380"/>
        <v>32077.347279656609</v>
      </c>
      <c r="R126" s="59">
        <f t="shared" si="380"/>
        <v>32840.701786617719</v>
      </c>
      <c r="S126" s="59">
        <f t="shared" si="380"/>
        <v>31990.399999999998</v>
      </c>
      <c r="T126" s="59">
        <f t="shared" si="380"/>
        <v>32856</v>
      </c>
      <c r="U126" s="59">
        <f t="shared" si="380"/>
        <v>33045.321311775195</v>
      </c>
      <c r="V126" s="59">
        <f t="shared" si="380"/>
        <v>33291.71868497711</v>
      </c>
      <c r="W126" s="59">
        <f>400/W206</f>
        <v>33219.560000000005</v>
      </c>
      <c r="X126" s="59">
        <f t="shared" ref="X126:Z126" si="381">400/X206</f>
        <v>33354.559937831589</v>
      </c>
      <c r="Y126" s="59">
        <f t="shared" si="381"/>
        <v>33428.840587513834</v>
      </c>
      <c r="Z126" s="59">
        <f t="shared" si="381"/>
        <v>33777.999999999993</v>
      </c>
      <c r="AA126" s="11">
        <f>H126</f>
        <v>29860</v>
      </c>
      <c r="AB126" s="265"/>
      <c r="AC126" s="265"/>
      <c r="AD126" s="265"/>
      <c r="AE126" s="11">
        <f>I126</f>
        <v>0</v>
      </c>
    </row>
    <row r="127" spans="2:33" ht="13.5" customHeight="1">
      <c r="B127" s="21" t="s">
        <v>207</v>
      </c>
      <c r="C127" s="59">
        <f>225940-C126</f>
        <v>196080</v>
      </c>
      <c r="D127" s="59">
        <f>245800-D126</f>
        <v>215940</v>
      </c>
      <c r="E127" s="59">
        <f>293080-E126</f>
        <v>262792</v>
      </c>
      <c r="F127" s="59">
        <f>293080-F126</f>
        <v>261089.6</v>
      </c>
      <c r="G127" s="59">
        <f>248070-G126</f>
        <v>214850.44</v>
      </c>
      <c r="H127" s="59">
        <f>292130-H126</f>
        <v>262270</v>
      </c>
      <c r="I127" s="59">
        <f>346960-I126</f>
        <v>346960</v>
      </c>
      <c r="J127" s="11">
        <f>AE127</f>
        <v>346960</v>
      </c>
      <c r="K127" s="11"/>
      <c r="L127" s="265"/>
      <c r="M127" s="59">
        <f>256290-M126</f>
        <v>226565.38070569112</v>
      </c>
      <c r="N127" s="265"/>
      <c r="O127" s="11">
        <f>E127</f>
        <v>262792</v>
      </c>
      <c r="P127" s="265"/>
      <c r="Q127" s="59">
        <f>301170-Q126</f>
        <v>269092.65272034338</v>
      </c>
      <c r="R127" s="265"/>
      <c r="S127" s="11">
        <f>F127</f>
        <v>261089.6</v>
      </c>
      <c r="T127" s="265"/>
      <c r="U127" s="59">
        <f>342340-U126</f>
        <v>309294.67868822481</v>
      </c>
      <c r="V127" s="265"/>
      <c r="W127" s="11">
        <f>G127</f>
        <v>214850.44</v>
      </c>
      <c r="X127" s="265"/>
      <c r="Y127" s="59">
        <f>316160-Y126</f>
        <v>282731.15941248619</v>
      </c>
      <c r="Z127" s="265"/>
      <c r="AA127" s="11">
        <f>H127</f>
        <v>262270</v>
      </c>
      <c r="AB127" s="265"/>
      <c r="AC127" s="59">
        <f>318940-AC126</f>
        <v>318940</v>
      </c>
      <c r="AD127" s="59">
        <v>326110</v>
      </c>
      <c r="AE127" s="11">
        <f>I127</f>
        <v>346960</v>
      </c>
    </row>
    <row r="128" spans="2:33" s="26" customFormat="1" ht="13.5" customHeight="1">
      <c r="B128" s="26" t="s">
        <v>208</v>
      </c>
      <c r="C128" s="51">
        <f t="shared" ref="C128:G128" si="382">+C120+C127</f>
        <v>492090</v>
      </c>
      <c r="D128" s="51">
        <f t="shared" si="382"/>
        <v>463790</v>
      </c>
      <c r="E128" s="51">
        <f>+E120+E127</f>
        <v>666026</v>
      </c>
      <c r="F128" s="51">
        <f t="shared" si="382"/>
        <v>631954.80000000005</v>
      </c>
      <c r="G128" s="51">
        <f t="shared" si="382"/>
        <v>611260.66</v>
      </c>
      <c r="H128" s="51">
        <f t="shared" ref="H128:J128" si="383">+H120+H127</f>
        <v>616990</v>
      </c>
      <c r="I128" s="51">
        <f>+I120+I127</f>
        <v>685030</v>
      </c>
      <c r="J128" s="51">
        <f t="shared" si="383"/>
        <v>685030</v>
      </c>
      <c r="K128" s="51"/>
      <c r="L128" s="267"/>
      <c r="M128" s="51">
        <f t="shared" ref="M128:O128" si="384">+M120+M127</f>
        <v>571707.69035284559</v>
      </c>
      <c r="N128" s="267"/>
      <c r="O128" s="51">
        <f t="shared" si="384"/>
        <v>666026</v>
      </c>
      <c r="P128" s="267"/>
      <c r="Q128" s="51">
        <f t="shared" ref="Q128" si="385">+Q120+Q127</f>
        <v>686221.32636017166</v>
      </c>
      <c r="R128" s="267"/>
      <c r="S128" s="51">
        <f t="shared" ref="S128" si="386">+S120+S127</f>
        <v>631954.80000000005</v>
      </c>
      <c r="T128" s="267"/>
      <c r="U128" s="51">
        <f t="shared" ref="U128" si="387">+U120+U127</f>
        <v>736087.33934411244</v>
      </c>
      <c r="V128" s="267"/>
      <c r="W128" s="51">
        <f t="shared" ref="W128" si="388">+W120+W127</f>
        <v>611260.66</v>
      </c>
      <c r="X128" s="267"/>
      <c r="Y128" s="51">
        <f t="shared" ref="Y128" si="389">+Y120+Y127</f>
        <v>691113.57970624312</v>
      </c>
      <c r="Z128" s="267"/>
      <c r="AA128" s="51">
        <f t="shared" ref="AA128" si="390">+AA120+AA127</f>
        <v>616990</v>
      </c>
      <c r="AB128" s="267"/>
      <c r="AC128" s="51">
        <f t="shared" ref="AC128:AE128" si="391">+AC120+AC127</f>
        <v>619160</v>
      </c>
      <c r="AD128" s="51">
        <f t="shared" si="391"/>
        <v>610750</v>
      </c>
      <c r="AE128" s="51">
        <f t="shared" si="391"/>
        <v>685030</v>
      </c>
    </row>
    <row r="129" spans="2:31" ht="13.5" customHeight="1"/>
    <row r="130" spans="2:31" ht="13.5" customHeight="1">
      <c r="B130" s="47" t="s">
        <v>209</v>
      </c>
      <c r="C130" s="52">
        <f t="shared" ref="C130:H130" si="392">C3</f>
        <v>43921</v>
      </c>
      <c r="D130" s="52">
        <f t="shared" si="392"/>
        <v>44286</v>
      </c>
      <c r="E130" s="52">
        <f t="shared" si="392"/>
        <v>44651</v>
      </c>
      <c r="F130" s="52">
        <f t="shared" si="392"/>
        <v>45016</v>
      </c>
      <c r="G130" s="52">
        <f t="shared" si="392"/>
        <v>45382</v>
      </c>
      <c r="H130" s="52">
        <f t="shared" si="392"/>
        <v>45747</v>
      </c>
      <c r="I130" s="52">
        <f t="shared" ref="I130" si="393">I3</f>
        <v>46112</v>
      </c>
      <c r="J130" s="52" t="str">
        <f>J2</f>
        <v>LTM</v>
      </c>
      <c r="K130" s="235"/>
      <c r="L130" s="52">
        <f t="shared" ref="L130:Q130" si="394">L3</f>
        <v>44377</v>
      </c>
      <c r="M130" s="52">
        <f t="shared" si="394"/>
        <v>44469</v>
      </c>
      <c r="N130" s="52">
        <f t="shared" si="394"/>
        <v>44561</v>
      </c>
      <c r="O130" s="52">
        <f t="shared" si="394"/>
        <v>44651</v>
      </c>
      <c r="P130" s="52">
        <f t="shared" si="394"/>
        <v>44742</v>
      </c>
      <c r="Q130" s="52">
        <f t="shared" si="394"/>
        <v>44834</v>
      </c>
      <c r="R130" s="52">
        <f t="shared" ref="R130:U130" si="395">R3</f>
        <v>44926</v>
      </c>
      <c r="S130" s="52">
        <f t="shared" si="395"/>
        <v>45016</v>
      </c>
      <c r="T130" s="52">
        <f t="shared" si="395"/>
        <v>45107</v>
      </c>
      <c r="U130" s="52">
        <f t="shared" si="395"/>
        <v>45199</v>
      </c>
      <c r="V130" s="52">
        <f t="shared" ref="V130:Y130" si="396">V3</f>
        <v>45291</v>
      </c>
      <c r="W130" s="52">
        <f t="shared" si="396"/>
        <v>45382</v>
      </c>
      <c r="X130" s="52">
        <f t="shared" si="396"/>
        <v>45473</v>
      </c>
      <c r="Y130" s="52">
        <f t="shared" si="396"/>
        <v>45565</v>
      </c>
      <c r="Z130" s="52">
        <f t="shared" ref="Z130:AC130" si="397">Z3</f>
        <v>45657</v>
      </c>
      <c r="AA130" s="52">
        <f t="shared" si="397"/>
        <v>45747</v>
      </c>
      <c r="AB130" s="52">
        <f t="shared" si="397"/>
        <v>45838</v>
      </c>
      <c r="AC130" s="52">
        <f t="shared" si="397"/>
        <v>45930</v>
      </c>
      <c r="AD130" s="52">
        <f t="shared" ref="AD130:AE130" si="398">AD3</f>
        <v>46022</v>
      </c>
      <c r="AE130" s="52">
        <f t="shared" si="398"/>
        <v>46112</v>
      </c>
    </row>
    <row r="131" spans="2:31" ht="13.5" customHeight="1">
      <c r="B131" s="26"/>
    </row>
    <row r="132" spans="2:31" ht="13.5" customHeight="1">
      <c r="B132" s="6" t="s">
        <v>210</v>
      </c>
      <c r="C132" s="108">
        <f t="shared" ref="C132:G132" si="399">IF((C123-C114)&lt;0,"net cash",(C123-C114)/C85)</f>
        <v>3.1207940306912572</v>
      </c>
      <c r="D132" s="108">
        <f t="shared" si="399"/>
        <v>2.2378782568057014</v>
      </c>
      <c r="E132" s="108">
        <f t="shared" si="399"/>
        <v>3.1992523364485983</v>
      </c>
      <c r="F132" s="108">
        <f t="shared" si="399"/>
        <v>2.6841581678296653</v>
      </c>
      <c r="G132" s="108">
        <f t="shared" si="399"/>
        <v>5.8074382592928382</v>
      </c>
      <c r="H132" s="108">
        <f t="shared" ref="H132:I132" si="400">IF((H123-H114)&lt;0,"net cash",(H123-H114)/H85)</f>
        <v>2.9839901477832513</v>
      </c>
      <c r="I132" s="108">
        <f t="shared" si="400"/>
        <v>2.6655193992490611</v>
      </c>
      <c r="J132" s="108">
        <f>IF((J123-J114)&lt;0,"net cash",(J123-J114)/J85)</f>
        <v>2.6655193992490611</v>
      </c>
      <c r="L132" s="274"/>
      <c r="M132" s="274"/>
      <c r="N132" s="274"/>
      <c r="O132" s="108">
        <f>IF((O123-O114)&lt;0,"net cash",(O123-O114)/O85)</f>
        <v>3.1992523364485983</v>
      </c>
      <c r="P132" s="274"/>
      <c r="Q132" s="108">
        <f>IF((Q123-Q114)&lt;0,"net cash",(Q123-Q114)/Q85)</f>
        <v>3.2363535682602769</v>
      </c>
      <c r="R132" s="274"/>
      <c r="S132" s="108">
        <f>IF((S123-S114)&lt;0,"net cash",(S123-S114)/S85)</f>
        <v>2.6841581678296653</v>
      </c>
      <c r="T132" s="274"/>
      <c r="U132" s="108">
        <f t="shared" ref="U132:AB132" si="401">IF((U123-U114)&lt;0,"net cash",(U123-U114)/U85)</f>
        <v>4.1542415059117133</v>
      </c>
      <c r="V132" s="108">
        <f t="shared" si="401"/>
        <v>4.738624338624339</v>
      </c>
      <c r="W132" s="108">
        <f t="shared" si="401"/>
        <v>5.8074382592928382</v>
      </c>
      <c r="X132" s="108">
        <f t="shared" si="401"/>
        <v>5.4272745214130653</v>
      </c>
      <c r="Y132" s="108">
        <f t="shared" si="401"/>
        <v>6.9331838322240023</v>
      </c>
      <c r="Z132" s="108">
        <f t="shared" si="401"/>
        <v>4.4456359102244392</v>
      </c>
      <c r="AA132" s="108">
        <f t="shared" si="401"/>
        <v>2.9839901477832513</v>
      </c>
      <c r="AB132" s="108">
        <f t="shared" si="401"/>
        <v>2.5816622372553759</v>
      </c>
      <c r="AC132" s="108">
        <f t="shared" ref="AC132:AE132" si="402">IF((AC123-AC114)&lt;0,"net cash",(AC123-AC114)/AC85)</f>
        <v>2.6722802290333445</v>
      </c>
      <c r="AD132" s="108">
        <f t="shared" si="402"/>
        <v>2.540531706254086</v>
      </c>
      <c r="AE132" s="108">
        <f t="shared" si="402"/>
        <v>2.6655193992490611</v>
      </c>
    </row>
    <row r="133" spans="2:31" ht="13.5" customHeight="1">
      <c r="B133" s="10" t="s">
        <v>211</v>
      </c>
      <c r="C133" s="57">
        <f t="shared" ref="C133:G133" si="403">(C120-C114)/C85</f>
        <v>4.0713782908630156</v>
      </c>
      <c r="D133" s="57">
        <f t="shared" si="403"/>
        <v>2.8092066830237177</v>
      </c>
      <c r="E133" s="57">
        <f t="shared" si="403"/>
        <v>3.8839547466797835</v>
      </c>
      <c r="F133" s="57">
        <f t="shared" si="403"/>
        <v>3.2337198067632853</v>
      </c>
      <c r="G133" s="57">
        <f t="shared" si="403"/>
        <v>6.9492333635539447</v>
      </c>
      <c r="H133" s="57">
        <f t="shared" ref="H133:J133" si="404">(H120-H114)/H85</f>
        <v>4.1979064039408867</v>
      </c>
      <c r="I133" s="57">
        <f t="shared" ref="I133" si="405">(I120-I114)/I85</f>
        <v>3.3663954943679602</v>
      </c>
      <c r="J133" s="57">
        <f t="shared" si="404"/>
        <v>3.3663954943679602</v>
      </c>
      <c r="L133" s="275"/>
      <c r="M133" s="275"/>
      <c r="N133" s="275"/>
      <c r="O133" s="57">
        <f>(O120-O114)/O85</f>
        <v>3.8839547466797835</v>
      </c>
      <c r="P133" s="275"/>
      <c r="Q133" s="57">
        <f>(Q120-Q114)/Q85</f>
        <v>3.5911213374369133</v>
      </c>
      <c r="R133" s="275"/>
      <c r="S133" s="57">
        <f>(S120-S114)/S85</f>
        <v>3.2337198067632853</v>
      </c>
      <c r="T133" s="275"/>
      <c r="U133" s="57">
        <f t="shared" ref="U133:AB133" si="406">(U120-U114)/U85</f>
        <v>4.5134574469989994</v>
      </c>
      <c r="V133" s="57">
        <f t="shared" si="406"/>
        <v>5.4683295540438399</v>
      </c>
      <c r="W133" s="57">
        <f t="shared" si="406"/>
        <v>6.9492333635539447</v>
      </c>
      <c r="X133" s="57">
        <f t="shared" si="406"/>
        <v>6.2453128083678706</v>
      </c>
      <c r="Y133" s="57">
        <f t="shared" si="406"/>
        <v>7.7838741675297225</v>
      </c>
      <c r="Z133" s="57">
        <f t="shared" si="406"/>
        <v>5.0872671263018923</v>
      </c>
      <c r="AA133" s="57">
        <f t="shared" si="406"/>
        <v>4.1979064039408867</v>
      </c>
      <c r="AB133" s="57">
        <f t="shared" si="406"/>
        <v>3.2417250543609568</v>
      </c>
      <c r="AC133" s="57">
        <f t="shared" ref="AC133:AE133" si="407">(AC120-AC114)/AC85</f>
        <v>3.2066913663410799</v>
      </c>
      <c r="AD133" s="57">
        <f t="shared" si="407"/>
        <v>3.1013292656352145</v>
      </c>
      <c r="AE133" s="57">
        <f t="shared" si="407"/>
        <v>3.3663954943679602</v>
      </c>
    </row>
    <row r="134" spans="2:31" ht="13.5" customHeight="1">
      <c r="B134" s="6"/>
      <c r="L134" s="276"/>
      <c r="M134" s="276"/>
      <c r="N134" s="276"/>
      <c r="P134" s="276"/>
      <c r="R134" s="276"/>
      <c r="T134" s="276"/>
    </row>
    <row r="135" spans="2:31" s="26" customFormat="1" ht="13.5" customHeight="1">
      <c r="B135" s="6" t="s">
        <v>212</v>
      </c>
      <c r="C135" s="108">
        <f t="shared" ref="C135:G135" si="408">IF(C123&lt;0,"net cash", C123/C85)</f>
        <v>3.2168097986766155</v>
      </c>
      <c r="D135" s="108">
        <f t="shared" si="408"/>
        <v>2.3244537913307628</v>
      </c>
      <c r="E135" s="108">
        <f t="shared" si="408"/>
        <v>3.282183964584358</v>
      </c>
      <c r="F135" s="108">
        <f t="shared" si="408"/>
        <v>2.7682519234210057</v>
      </c>
      <c r="G135" s="108">
        <f t="shared" si="408"/>
        <v>6.0460601994560292</v>
      </c>
      <c r="H135" s="108">
        <f t="shared" ref="H135:J135" si="409">IF(H123&lt;0,"net cash", H123/H85)</f>
        <v>3.1545566502463056</v>
      </c>
      <c r="I135" s="108">
        <f t="shared" ref="I135" si="410">IF(I123&lt;0,"net cash", I123/I85)</f>
        <v>2.8250938673341679</v>
      </c>
      <c r="J135" s="108">
        <f t="shared" si="409"/>
        <v>2.8250938673341679</v>
      </c>
      <c r="K135" s="58"/>
      <c r="L135" s="274"/>
      <c r="M135" s="274"/>
      <c r="N135" s="274"/>
      <c r="O135" s="108">
        <f>IF(O123&lt;0,"net cash", O123/O85)</f>
        <v>3.282183964584358</v>
      </c>
      <c r="P135" s="274"/>
      <c r="Q135" s="108">
        <f>IF(Q123&lt;0,"net cash", Q123/Q85)</f>
        <v>3.3145555387036265</v>
      </c>
      <c r="R135" s="274"/>
      <c r="S135" s="108">
        <f>IF(S123&lt;0,"net cash", S123/S85)</f>
        <v>2.7682519234210057</v>
      </c>
      <c r="T135" s="274"/>
      <c r="U135" s="108">
        <f t="shared" ref="U135:AB135" si="411">IF(U123&lt;0,"net cash", U123/U85)</f>
        <v>4.2627535267044356</v>
      </c>
      <c r="V135" s="108">
        <f t="shared" si="411"/>
        <v>4.738624338624339</v>
      </c>
      <c r="W135" s="108">
        <f t="shared" si="411"/>
        <v>6.0460601994560292</v>
      </c>
      <c r="X135" s="108">
        <f t="shared" si="411"/>
        <v>5.4272745214130653</v>
      </c>
      <c r="Y135" s="108">
        <f t="shared" si="411"/>
        <v>7.2041897493837661</v>
      </c>
      <c r="Z135" s="108">
        <f t="shared" si="411"/>
        <v>4.4456359102244392</v>
      </c>
      <c r="AA135" s="108">
        <f t="shared" si="411"/>
        <v>3.1545566502463056</v>
      </c>
      <c r="AB135" s="108">
        <f t="shared" si="411"/>
        <v>2.5816622372553759</v>
      </c>
      <c r="AC135" s="108">
        <f t="shared" ref="AC135:AE135" si="412">IF(AC123&lt;0,"net cash", AC123/AC85)</f>
        <v>2.8361962501403393</v>
      </c>
      <c r="AD135" s="108">
        <f t="shared" si="412"/>
        <v>2.540531706254086</v>
      </c>
      <c r="AE135" s="108">
        <f t="shared" si="412"/>
        <v>2.8250938673341679</v>
      </c>
    </row>
    <row r="136" spans="2:31" ht="13.5" customHeight="1">
      <c r="B136" s="10" t="s">
        <v>213</v>
      </c>
      <c r="C136" s="57">
        <f t="shared" ref="C136:G136" si="413">+C120/C85</f>
        <v>4.167394058848374</v>
      </c>
      <c r="D136" s="57">
        <f t="shared" si="413"/>
        <v>2.8957822175487791</v>
      </c>
      <c r="E136" s="57">
        <f t="shared" si="413"/>
        <v>3.9668863748155436</v>
      </c>
      <c r="F136" s="57">
        <f t="shared" si="413"/>
        <v>3.3178135623546252</v>
      </c>
      <c r="G136" s="57">
        <f t="shared" si="413"/>
        <v>7.1878553037171358</v>
      </c>
      <c r="H136" s="57">
        <f t="shared" ref="H136:J136" si="414">+H120/H85</f>
        <v>4.3684729064039409</v>
      </c>
      <c r="I136" s="57">
        <f t="shared" ref="I136" si="415">+I120/I85</f>
        <v>3.5259699624530665</v>
      </c>
      <c r="J136" s="57">
        <f t="shared" si="414"/>
        <v>3.5259699624530665</v>
      </c>
      <c r="K136" s="57"/>
      <c r="L136" s="275"/>
      <c r="M136" s="275"/>
      <c r="N136" s="275"/>
      <c r="O136" s="57">
        <f>+O120/O85</f>
        <v>3.9668863748155436</v>
      </c>
      <c r="P136" s="275"/>
      <c r="Q136" s="57">
        <f>+Q120/Q85</f>
        <v>3.669323307880263</v>
      </c>
      <c r="R136" s="275"/>
      <c r="S136" s="57">
        <f>+S120/S85</f>
        <v>3.3178135623546252</v>
      </c>
      <c r="T136" s="275"/>
      <c r="U136" s="57">
        <f t="shared" ref="U136:AB136" si="416">+U120/U85</f>
        <v>4.6219694677917218</v>
      </c>
      <c r="V136" s="57">
        <f t="shared" si="416"/>
        <v>5.4683295540438399</v>
      </c>
      <c r="W136" s="57">
        <f t="shared" si="416"/>
        <v>7.1878553037171358</v>
      </c>
      <c r="X136" s="57">
        <f t="shared" si="416"/>
        <v>6.2453128083678706</v>
      </c>
      <c r="Y136" s="57">
        <f t="shared" si="416"/>
        <v>8.0548800846894864</v>
      </c>
      <c r="Z136" s="57">
        <f t="shared" si="416"/>
        <v>5.0872671263018923</v>
      </c>
      <c r="AA136" s="57">
        <f t="shared" si="416"/>
        <v>4.3684729064039409</v>
      </c>
      <c r="AB136" s="57">
        <f t="shared" si="416"/>
        <v>3.2417250543609568</v>
      </c>
      <c r="AC136" s="57">
        <f t="shared" ref="AC136:AE136" si="417">+AC120/AC85</f>
        <v>3.3706073874480746</v>
      </c>
      <c r="AD136" s="57">
        <f t="shared" si="417"/>
        <v>3.1013292656352145</v>
      </c>
      <c r="AE136" s="57">
        <f t="shared" si="417"/>
        <v>3.5259699624530665</v>
      </c>
    </row>
    <row r="137" spans="2:31" ht="13.5" customHeight="1">
      <c r="C137" s="57"/>
      <c r="D137" s="57"/>
      <c r="E137" s="57"/>
      <c r="F137" s="57"/>
      <c r="G137" s="57"/>
      <c r="H137" s="57"/>
      <c r="I137" s="57"/>
      <c r="J137" s="57"/>
      <c r="K137" s="57"/>
      <c r="L137" s="275"/>
      <c r="M137" s="275"/>
      <c r="N137" s="275"/>
      <c r="O137" s="57"/>
      <c r="P137" s="275"/>
      <c r="Q137" s="57"/>
      <c r="R137" s="275"/>
      <c r="S137" s="57"/>
      <c r="T137" s="275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</row>
    <row r="138" spans="2:31" ht="13.5" customHeight="1">
      <c r="B138" s="26" t="s">
        <v>214</v>
      </c>
      <c r="C138" s="108">
        <f t="shared" ref="C138:G138" si="418">C125/C85</f>
        <v>3.2168097986766155</v>
      </c>
      <c r="D138" s="108">
        <f t="shared" si="418"/>
        <v>2.3244537913307628</v>
      </c>
      <c r="E138" s="108">
        <f t="shared" si="418"/>
        <v>3.282183964584358</v>
      </c>
      <c r="F138" s="108">
        <f t="shared" si="418"/>
        <v>1.5120772946859904</v>
      </c>
      <c r="G138" s="108">
        <f t="shared" si="418"/>
        <v>4.0199456029011786</v>
      </c>
      <c r="H138" s="108">
        <f t="shared" ref="H138:J138" si="419">H125/H85</f>
        <v>2.1264778325123155</v>
      </c>
      <c r="I138" s="108">
        <f t="shared" ref="I138" si="420">I125/I85</f>
        <v>1.5983521068001669</v>
      </c>
      <c r="J138" s="108">
        <f t="shared" si="419"/>
        <v>1.5983521068001669</v>
      </c>
      <c r="K138" s="57"/>
      <c r="L138" s="275"/>
      <c r="M138" s="275"/>
      <c r="N138" s="275"/>
      <c r="O138" s="108">
        <f>O125/O85</f>
        <v>3.282183964584358</v>
      </c>
      <c r="P138" s="275"/>
      <c r="Q138" s="108">
        <f>Q125/Q85</f>
        <v>3.3145555387036265</v>
      </c>
      <c r="R138" s="275"/>
      <c r="S138" s="108">
        <f>S125/S85</f>
        <v>1.5120772946859904</v>
      </c>
      <c r="T138" s="275"/>
      <c r="U138" s="108">
        <f t="shared" ref="U138:AB138" si="421">U125/U85</f>
        <v>4.2627535267044356</v>
      </c>
      <c r="V138" s="108">
        <f t="shared" si="421"/>
        <v>4.738624338624339</v>
      </c>
      <c r="W138" s="108">
        <f t="shared" si="421"/>
        <v>4.0199456029011786</v>
      </c>
      <c r="X138" s="108">
        <f t="shared" si="421"/>
        <v>5.4272745214130653</v>
      </c>
      <c r="Y138" s="108">
        <f t="shared" si="421"/>
        <v>5.4301775147928995</v>
      </c>
      <c r="Z138" s="108">
        <f t="shared" si="421"/>
        <v>4.4456359102244392</v>
      </c>
      <c r="AA138" s="108">
        <f t="shared" si="421"/>
        <v>2.1264778325123155</v>
      </c>
      <c r="AB138" s="108">
        <f t="shared" si="421"/>
        <v>2.5816622372553759</v>
      </c>
      <c r="AC138" s="108">
        <f t="shared" ref="AC138:AE138" si="422">AC125/AC85</f>
        <v>2.6722802290333445</v>
      </c>
      <c r="AD138" s="108">
        <f t="shared" si="422"/>
        <v>2.540531706254086</v>
      </c>
      <c r="AE138" s="108">
        <f t="shared" si="422"/>
        <v>1.5983521068001669</v>
      </c>
    </row>
    <row r="139" spans="2:31" ht="13.5" customHeight="1">
      <c r="C139" s="57"/>
      <c r="D139" s="57"/>
      <c r="E139" s="57"/>
      <c r="F139" s="57"/>
      <c r="G139" s="57"/>
      <c r="H139" s="57"/>
      <c r="I139" s="57"/>
      <c r="J139" s="57"/>
      <c r="K139" s="57"/>
      <c r="L139" s="275"/>
      <c r="M139" s="275"/>
      <c r="N139" s="275"/>
      <c r="O139" s="57"/>
      <c r="P139" s="275"/>
      <c r="Q139" s="57"/>
      <c r="R139" s="275"/>
      <c r="S139" s="57"/>
      <c r="T139" s="275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</row>
    <row r="140" spans="2:31" s="26" customFormat="1" ht="13.5" customHeight="1">
      <c r="B140" s="26" t="s">
        <v>215</v>
      </c>
      <c r="C140" s="108">
        <f t="shared" ref="C140:G140" si="423">+(C85-C88)/C86</f>
        <v>3.4465370595382745</v>
      </c>
      <c r="D140" s="108">
        <f t="shared" si="423"/>
        <v>4.2277945619335346</v>
      </c>
      <c r="E140" s="108">
        <f t="shared" si="423"/>
        <v>4.2586295723853684</v>
      </c>
      <c r="F140" s="108">
        <f t="shared" si="423"/>
        <v>4.0840085287846479</v>
      </c>
      <c r="G140" s="108">
        <f t="shared" si="423"/>
        <v>1.2913362701908957</v>
      </c>
      <c r="H140" s="108">
        <f t="shared" ref="H140:J140" si="424">+(H85-H88)/H86</f>
        <v>2.3278245192307692</v>
      </c>
      <c r="I140" s="108">
        <f>+(I85-I88)/I86</f>
        <v>2.7700590482806531</v>
      </c>
      <c r="J140" s="108">
        <f t="shared" si="424"/>
        <v>2.7700590482806531</v>
      </c>
      <c r="K140" s="58"/>
      <c r="L140" s="277"/>
      <c r="M140" s="277"/>
      <c r="N140" s="277"/>
      <c r="O140" s="108">
        <f>+(O85-O88)/O86</f>
        <v>4.2586295723853684</v>
      </c>
      <c r="P140" s="277"/>
      <c r="Q140" s="108">
        <f>+(Q85-Q88)/Q86</f>
        <v>5.0590809628008753</v>
      </c>
      <c r="R140" s="277"/>
      <c r="S140" s="108">
        <f>+(S85-S88)/S86</f>
        <v>4.0840085287846479</v>
      </c>
      <c r="T140" s="277"/>
      <c r="U140" s="108">
        <f>+(U85-U88)/U86</f>
        <v>2.7427184466019416</v>
      </c>
      <c r="V140" s="277"/>
      <c r="W140" s="108">
        <f>+(W85-W88)/W86</f>
        <v>1.2913362701908957</v>
      </c>
      <c r="X140" s="277"/>
      <c r="Y140" s="108">
        <f>+(Y85-Y88)/Y86</f>
        <v>1.2127715951245364</v>
      </c>
      <c r="Z140" s="277"/>
      <c r="AA140" s="108">
        <f>+(AA85-AA88)/AA86</f>
        <v>2.3278245192307692</v>
      </c>
      <c r="AB140" s="277"/>
      <c r="AC140" s="108">
        <f>+(AC85-AC88)/AC86</f>
        <v>2.484260731319555</v>
      </c>
      <c r="AD140" s="277"/>
      <c r="AE140" s="108">
        <f>+(AE85-AE88)/AE86</f>
        <v>2.7700590482806531</v>
      </c>
    </row>
    <row r="141" spans="2:31" ht="13.5" customHeight="1">
      <c r="B141" s="21" t="s">
        <v>216</v>
      </c>
      <c r="C141" s="57">
        <f t="shared" ref="C141:G141" si="425">+(C85)/C86</f>
        <v>4.3153098420413123</v>
      </c>
      <c r="D141" s="57">
        <f t="shared" si="425"/>
        <v>5.1716012084592142</v>
      </c>
      <c r="E141" s="57">
        <f t="shared" si="425"/>
        <v>5.2369912416280266</v>
      </c>
      <c r="F141" s="57">
        <f t="shared" si="425"/>
        <v>4.7667377398720685</v>
      </c>
      <c r="G141" s="57">
        <f t="shared" si="425"/>
        <v>1.619676945668135</v>
      </c>
      <c r="H141" s="57">
        <f t="shared" ref="H141:J141" si="426">+(H85)/H86</f>
        <v>2.4399038461538463</v>
      </c>
      <c r="I141" s="57">
        <f t="shared" ref="I141" si="427">+(I85)/I86</f>
        <v>3.3303230288294547</v>
      </c>
      <c r="J141" s="57">
        <f t="shared" si="426"/>
        <v>3.3303230288294547</v>
      </c>
      <c r="K141" s="57"/>
      <c r="L141" s="275"/>
      <c r="M141" s="275"/>
      <c r="N141" s="275"/>
      <c r="O141" s="57">
        <f>+(O85)/O86</f>
        <v>5.2369912416280266</v>
      </c>
      <c r="P141" s="275"/>
      <c r="Q141" s="57">
        <f>+(Q85)/Q86</f>
        <v>6.2188183807439827</v>
      </c>
      <c r="R141" s="275"/>
      <c r="S141" s="57">
        <f>+(S85)/S86</f>
        <v>4.7667377398720685</v>
      </c>
      <c r="T141" s="275"/>
      <c r="U141" s="57">
        <f>+(U85)/U86</f>
        <v>3.2018030513176146</v>
      </c>
      <c r="V141" s="275"/>
      <c r="W141" s="57">
        <f>+(W85)/W86</f>
        <v>1.619676945668135</v>
      </c>
      <c r="X141" s="275"/>
      <c r="Y141" s="57">
        <f>+(Y85)/Y86</f>
        <v>1.343402225755167</v>
      </c>
      <c r="Z141" s="275"/>
      <c r="AA141" s="57">
        <f>+(AA85)/AA86</f>
        <v>2.4399038461538463</v>
      </c>
      <c r="AB141" s="275"/>
      <c r="AC141" s="57">
        <f>+(AC85)/AC86</f>
        <v>2.832114467408585</v>
      </c>
      <c r="AD141" s="275"/>
      <c r="AE141" s="57">
        <f>+(AE85)/AE86</f>
        <v>3.3303230288294547</v>
      </c>
    </row>
    <row r="142" spans="2:31" ht="13.5" customHeight="1">
      <c r="C142" s="56"/>
      <c r="D142" s="56"/>
      <c r="E142" s="56"/>
      <c r="F142" s="56"/>
      <c r="G142" s="56"/>
      <c r="H142" s="56"/>
      <c r="I142" s="56"/>
      <c r="J142" s="56"/>
      <c r="K142" s="56"/>
      <c r="L142" s="278"/>
      <c r="M142" s="278"/>
      <c r="N142" s="278"/>
      <c r="O142" s="56"/>
      <c r="P142" s="278"/>
      <c r="Q142" s="56"/>
      <c r="R142" s="278"/>
      <c r="S142" s="56"/>
      <c r="T142" s="278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</row>
    <row r="143" spans="2:31" s="26" customFormat="1" ht="13.5" customHeight="1">
      <c r="B143" s="55" t="s">
        <v>217</v>
      </c>
      <c r="C143" s="54">
        <f t="shared" ref="C143:G143" si="428">C123/C127</f>
        <v>1.1652896776825785</v>
      </c>
      <c r="D143" s="54">
        <f t="shared" si="428"/>
        <v>0.92132073724182639</v>
      </c>
      <c r="E143" s="54">
        <f t="shared" si="428"/>
        <v>1.2695744162683795</v>
      </c>
      <c r="F143" s="54">
        <f t="shared" si="428"/>
        <v>1.1851686164443165</v>
      </c>
      <c r="G143" s="54">
        <f t="shared" si="428"/>
        <v>1.5519643338873312</v>
      </c>
      <c r="H143" s="54">
        <f t="shared" ref="H143:I143" si="429">H123/H127</f>
        <v>0.97666526861631142</v>
      </c>
      <c r="I143" s="54">
        <f t="shared" si="429"/>
        <v>0.78069518100069168</v>
      </c>
      <c r="J143" s="54">
        <f>J123/J127</f>
        <v>0.78069518100069168</v>
      </c>
      <c r="K143" s="240"/>
      <c r="L143" s="279"/>
      <c r="M143" s="54">
        <f>M123/M127</f>
        <v>1.3968255373412615</v>
      </c>
      <c r="N143" s="279"/>
      <c r="O143" s="54">
        <f>O123/O127</f>
        <v>1.2695744162683795</v>
      </c>
      <c r="P143" s="279"/>
      <c r="Q143" s="54">
        <f>Q123/Q127</f>
        <v>1.4002562679829806</v>
      </c>
      <c r="R143" s="279"/>
      <c r="S143" s="54">
        <f>S123/S127</f>
        <v>1.1851686164443165</v>
      </c>
      <c r="T143" s="279"/>
      <c r="U143" s="54">
        <f>U123/U127</f>
        <v>1.2726460808356392</v>
      </c>
      <c r="V143" s="275"/>
      <c r="W143" s="54">
        <f>W123/W127</f>
        <v>1.5519643338873312</v>
      </c>
      <c r="X143" s="279"/>
      <c r="Y143" s="54">
        <f>Y123/Y127</f>
        <v>1.291871829948809</v>
      </c>
      <c r="Z143" s="275"/>
      <c r="AA143" s="54">
        <f>AA123/AA127</f>
        <v>0.97666526861631142</v>
      </c>
      <c r="AB143" s="275"/>
      <c r="AC143" s="54">
        <f>AC123/AC127</f>
        <v>0.79206120273405656</v>
      </c>
      <c r="AD143" s="275"/>
      <c r="AE143" s="54">
        <f>AE123/AE127</f>
        <v>0.78069518100069168</v>
      </c>
    </row>
    <row r="144" spans="2:31" s="26" customFormat="1" ht="13.5" customHeight="1"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</row>
    <row r="145" spans="2:31" s="26" customFormat="1" ht="13.5" customHeight="1"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</row>
    <row r="146" spans="2:31" ht="13.5" customHeight="1">
      <c r="B146" s="44" t="s">
        <v>218</v>
      </c>
      <c r="C146" s="52">
        <f t="shared" ref="C146:H146" si="430">C3</f>
        <v>43921</v>
      </c>
      <c r="D146" s="52">
        <f t="shared" si="430"/>
        <v>44286</v>
      </c>
      <c r="E146" s="52">
        <f t="shared" si="430"/>
        <v>44651</v>
      </c>
      <c r="F146" s="52">
        <f t="shared" si="430"/>
        <v>45016</v>
      </c>
      <c r="G146" s="52">
        <f t="shared" si="430"/>
        <v>45382</v>
      </c>
      <c r="H146" s="52">
        <f t="shared" si="430"/>
        <v>45747</v>
      </c>
      <c r="I146" s="52">
        <f t="shared" ref="I146" si="431">I3</f>
        <v>46112</v>
      </c>
      <c r="J146" s="52" t="str">
        <f>J2</f>
        <v>LTM</v>
      </c>
      <c r="K146" s="235"/>
      <c r="L146" s="52">
        <f t="shared" ref="L146:Q146" si="432">L3</f>
        <v>44377</v>
      </c>
      <c r="M146" s="52">
        <f t="shared" si="432"/>
        <v>44469</v>
      </c>
      <c r="N146" s="52">
        <f t="shared" si="432"/>
        <v>44561</v>
      </c>
      <c r="O146" s="52">
        <f t="shared" si="432"/>
        <v>44651</v>
      </c>
      <c r="P146" s="52">
        <f t="shared" si="432"/>
        <v>44742</v>
      </c>
      <c r="Q146" s="52">
        <f t="shared" si="432"/>
        <v>44834</v>
      </c>
      <c r="R146" s="52">
        <f t="shared" ref="R146:U146" si="433">R3</f>
        <v>44926</v>
      </c>
      <c r="S146" s="52">
        <f t="shared" si="433"/>
        <v>45016</v>
      </c>
      <c r="T146" s="52">
        <f t="shared" si="433"/>
        <v>45107</v>
      </c>
      <c r="U146" s="52">
        <f t="shared" si="433"/>
        <v>45199</v>
      </c>
      <c r="V146" s="52">
        <f t="shared" ref="V146:Y146" si="434">V3</f>
        <v>45291</v>
      </c>
      <c r="W146" s="52">
        <f t="shared" si="434"/>
        <v>45382</v>
      </c>
      <c r="X146" s="52">
        <f t="shared" si="434"/>
        <v>45473</v>
      </c>
      <c r="Y146" s="52">
        <f t="shared" si="434"/>
        <v>45565</v>
      </c>
      <c r="Z146" s="52">
        <f t="shared" ref="Z146:AC146" si="435">Z3</f>
        <v>45657</v>
      </c>
      <c r="AA146" s="52">
        <f t="shared" si="435"/>
        <v>45747</v>
      </c>
      <c r="AB146" s="52">
        <f t="shared" si="435"/>
        <v>45838</v>
      </c>
      <c r="AC146" s="52">
        <f t="shared" si="435"/>
        <v>45930</v>
      </c>
      <c r="AD146" s="52">
        <f t="shared" ref="AD146:AE146" si="436">AD3</f>
        <v>46022</v>
      </c>
      <c r="AE146" s="52">
        <f t="shared" si="436"/>
        <v>46112</v>
      </c>
    </row>
    <row r="147" spans="2:31" ht="13.5" customHeight="1">
      <c r="B147" s="21" t="s">
        <v>219</v>
      </c>
      <c r="C147" s="11">
        <f t="shared" ref="C147:G147" si="437">C82</f>
        <v>357560</v>
      </c>
      <c r="D147" s="11">
        <f t="shared" si="437"/>
        <v>386940</v>
      </c>
      <c r="E147" s="11">
        <f t="shared" si="437"/>
        <v>462400</v>
      </c>
      <c r="F147" s="11">
        <f t="shared" si="437"/>
        <v>535760</v>
      </c>
      <c r="G147" s="11">
        <f t="shared" si="437"/>
        <v>430980</v>
      </c>
      <c r="H147" s="11">
        <f t="shared" ref="H147:I147" si="438">H82</f>
        <v>466370</v>
      </c>
      <c r="I147" s="11">
        <f t="shared" si="438"/>
        <v>518390</v>
      </c>
      <c r="J147" s="11">
        <f t="shared" ref="J147" si="439">J82</f>
        <v>518390</v>
      </c>
      <c r="K147" s="11"/>
      <c r="L147" s="268"/>
      <c r="M147" s="268"/>
      <c r="N147" s="268"/>
      <c r="O147" s="11">
        <f>O82</f>
        <v>462400</v>
      </c>
      <c r="P147" s="11">
        <f>P82</f>
        <v>485460</v>
      </c>
      <c r="Q147" s="11">
        <f>Q82</f>
        <v>504860</v>
      </c>
      <c r="R147" s="268"/>
      <c r="S147" s="11">
        <f>S82</f>
        <v>535760</v>
      </c>
      <c r="T147" s="11">
        <f>T82</f>
        <v>517180</v>
      </c>
      <c r="U147" s="11">
        <f>U82</f>
        <v>493810</v>
      </c>
      <c r="V147" s="268"/>
      <c r="W147" s="11">
        <f t="shared" ref="W147:AB147" si="440">W82</f>
        <v>430980</v>
      </c>
      <c r="X147" s="11">
        <f t="shared" si="440"/>
        <v>432020</v>
      </c>
      <c r="Y147" s="11">
        <f t="shared" si="440"/>
        <v>441220</v>
      </c>
      <c r="Z147" s="11">
        <f t="shared" si="440"/>
        <v>451420</v>
      </c>
      <c r="AA147" s="11">
        <f t="shared" si="440"/>
        <v>466370</v>
      </c>
      <c r="AB147" s="11">
        <f t="shared" si="440"/>
        <v>467860</v>
      </c>
      <c r="AC147" s="11">
        <f t="shared" ref="AC147:AE147" si="441">AC82</f>
        <v>477150</v>
      </c>
      <c r="AD147" s="11">
        <f t="shared" si="441"/>
        <v>490770</v>
      </c>
      <c r="AE147" s="11">
        <f t="shared" si="441"/>
        <v>518390</v>
      </c>
    </row>
    <row r="148" spans="2:31" ht="13.5" customHeight="1">
      <c r="B148" s="21" t="s">
        <v>220</v>
      </c>
      <c r="C148" s="11">
        <f t="shared" ref="C148:G148" si="442">C85</f>
        <v>71030</v>
      </c>
      <c r="D148" s="11">
        <f t="shared" si="442"/>
        <v>85590</v>
      </c>
      <c r="E148" s="11">
        <f t="shared" si="442"/>
        <v>101650</v>
      </c>
      <c r="F148" s="11">
        <f t="shared" si="442"/>
        <v>111780</v>
      </c>
      <c r="G148" s="11">
        <f t="shared" si="442"/>
        <v>55150</v>
      </c>
      <c r="H148" s="11">
        <f t="shared" ref="H148:I148" si="443">H85</f>
        <v>81200</v>
      </c>
      <c r="I148" s="11">
        <f t="shared" si="443"/>
        <v>95880</v>
      </c>
      <c r="J148" s="11">
        <f t="shared" ref="J148" si="444">J85</f>
        <v>95880</v>
      </c>
      <c r="K148" s="11"/>
      <c r="L148" s="268"/>
      <c r="M148" s="268"/>
      <c r="N148" s="268"/>
      <c r="O148" s="11">
        <f>O85</f>
        <v>101650</v>
      </c>
      <c r="P148" s="11">
        <f>P85</f>
        <v>106450</v>
      </c>
      <c r="Q148" s="11">
        <f>Q85</f>
        <v>113680</v>
      </c>
      <c r="R148" s="268"/>
      <c r="S148" s="11">
        <f>S85</f>
        <v>111780</v>
      </c>
      <c r="T148" s="11">
        <f>T85</f>
        <v>104290</v>
      </c>
      <c r="U148" s="11">
        <f>U85</f>
        <v>92340</v>
      </c>
      <c r="V148" s="268"/>
      <c r="W148" s="11">
        <f t="shared" ref="W148:AB148" si="445">W85</f>
        <v>55150</v>
      </c>
      <c r="X148" s="11">
        <f t="shared" si="445"/>
        <v>50670</v>
      </c>
      <c r="Y148" s="11">
        <f t="shared" si="445"/>
        <v>50700</v>
      </c>
      <c r="Z148" s="11">
        <f t="shared" si="445"/>
        <v>68170</v>
      </c>
      <c r="AA148" s="11">
        <f t="shared" si="445"/>
        <v>81200</v>
      </c>
      <c r="AB148" s="11">
        <f t="shared" si="445"/>
        <v>82780</v>
      </c>
      <c r="AC148" s="11">
        <f t="shared" ref="AC148:AE148" si="446">AC85</f>
        <v>89070</v>
      </c>
      <c r="AD148" s="11">
        <f t="shared" si="446"/>
        <v>91780</v>
      </c>
      <c r="AE148" s="11">
        <f t="shared" si="446"/>
        <v>95880</v>
      </c>
    </row>
    <row r="149" spans="2:31" ht="13.5" customHeight="1">
      <c r="B149" s="21" t="s">
        <v>221</v>
      </c>
      <c r="C149" s="22">
        <f t="shared" ref="C149:D149" si="447">C148/C147</f>
        <v>0.19865197449379124</v>
      </c>
      <c r="D149" s="22">
        <f t="shared" si="447"/>
        <v>0.22119708481935182</v>
      </c>
      <c r="E149" s="22">
        <f t="shared" ref="E149:F149" si="448">E148/E147</f>
        <v>0.21983131487889274</v>
      </c>
      <c r="F149" s="22">
        <f t="shared" si="448"/>
        <v>0.20863819620725699</v>
      </c>
      <c r="G149" s="22">
        <f t="shared" ref="G149:H149" si="449">G148/G147</f>
        <v>0.1279641746716785</v>
      </c>
      <c r="H149" s="22">
        <f t="shared" si="449"/>
        <v>0.1741106846495272</v>
      </c>
      <c r="I149" s="22">
        <f t="shared" ref="I149" si="450">I148/I147</f>
        <v>0.18495727155230618</v>
      </c>
      <c r="J149" s="22">
        <f t="shared" ref="J149" si="451">J148/J147</f>
        <v>0.18495727155230618</v>
      </c>
      <c r="K149" s="22"/>
      <c r="L149" s="280"/>
      <c r="M149" s="280"/>
      <c r="N149" s="280"/>
      <c r="O149" s="22">
        <f t="shared" ref="O149:P149" si="452">O148/O147</f>
        <v>0.21983131487889274</v>
      </c>
      <c r="P149" s="22">
        <f t="shared" si="452"/>
        <v>0.21927656243562807</v>
      </c>
      <c r="Q149" s="22">
        <f t="shared" ref="Q149" si="453">Q148/Q147</f>
        <v>0.22517133462742148</v>
      </c>
      <c r="R149" s="280"/>
      <c r="S149" s="22">
        <f t="shared" ref="S149:U149" si="454">S148/S147</f>
        <v>0.20863819620725699</v>
      </c>
      <c r="T149" s="22">
        <f t="shared" si="454"/>
        <v>0.20165126261649716</v>
      </c>
      <c r="U149" s="22">
        <f t="shared" si="454"/>
        <v>0.18699499807618314</v>
      </c>
      <c r="V149" s="280"/>
      <c r="W149" s="22">
        <f t="shared" ref="W149:X149" si="455">W148/W147</f>
        <v>0.1279641746716785</v>
      </c>
      <c r="X149" s="22">
        <f t="shared" si="455"/>
        <v>0.11728623674829869</v>
      </c>
      <c r="Y149" s="22">
        <f>Y148/Y147</f>
        <v>0.11490866234531526</v>
      </c>
      <c r="Z149" s="22">
        <f>Z148/Z147</f>
        <v>0.1510123609941961</v>
      </c>
      <c r="AA149" s="22">
        <f t="shared" ref="AA149:AB149" si="456">AA148/AA147</f>
        <v>0.1741106846495272</v>
      </c>
      <c r="AB149" s="22">
        <f t="shared" si="456"/>
        <v>0.17693327063651521</v>
      </c>
      <c r="AC149" s="22">
        <f>AC148/AC147</f>
        <v>0.18667085822068533</v>
      </c>
      <c r="AD149" s="22">
        <f>AD148/AD147</f>
        <v>0.18701224606231023</v>
      </c>
      <c r="AE149" s="22">
        <f t="shared" ref="AE149" si="457">AE148/AE147</f>
        <v>0.18495727155230618</v>
      </c>
    </row>
    <row r="150" spans="2:31" ht="13.5" customHeight="1">
      <c r="B150" s="21" t="s">
        <v>222</v>
      </c>
      <c r="C150" s="11">
        <f t="shared" ref="C150:G150" si="458">C120</f>
        <v>296010</v>
      </c>
      <c r="D150" s="11">
        <f t="shared" si="458"/>
        <v>247850</v>
      </c>
      <c r="E150" s="11">
        <f t="shared" si="458"/>
        <v>403234</v>
      </c>
      <c r="F150" s="11">
        <f t="shared" si="458"/>
        <v>370865.2</v>
      </c>
      <c r="G150" s="11">
        <f t="shared" si="458"/>
        <v>396410.22000000003</v>
      </c>
      <c r="H150" s="11">
        <f t="shared" ref="H150:J150" si="459">H120</f>
        <v>354720</v>
      </c>
      <c r="I150" s="11">
        <f t="shared" ref="I150" si="460">I120</f>
        <v>338070</v>
      </c>
      <c r="J150" s="11">
        <f t="shared" si="459"/>
        <v>338070</v>
      </c>
      <c r="K150" s="11"/>
      <c r="L150" s="268"/>
      <c r="M150" s="280"/>
      <c r="N150" s="268"/>
      <c r="O150" s="11">
        <f t="shared" ref="O150:P150" si="461">O120</f>
        <v>403234</v>
      </c>
      <c r="P150" s="11">
        <f t="shared" si="461"/>
        <v>0</v>
      </c>
      <c r="Q150" s="11">
        <f t="shared" ref="Q150" si="462">Q120</f>
        <v>417128.67363982828</v>
      </c>
      <c r="R150" s="268"/>
      <c r="S150" s="11">
        <f t="shared" ref="S150:U150" si="463">S120</f>
        <v>370865.2</v>
      </c>
      <c r="T150" s="268"/>
      <c r="U150" s="11">
        <f t="shared" si="463"/>
        <v>426792.66065588762</v>
      </c>
      <c r="V150" s="268"/>
      <c r="W150" s="11">
        <f t="shared" ref="W150:X150" si="464">W120</f>
        <v>396410.22000000003</v>
      </c>
      <c r="X150" s="11">
        <f t="shared" si="464"/>
        <v>316450</v>
      </c>
      <c r="Y150" s="11">
        <f t="shared" ref="Y150:AA150" si="465">Y120</f>
        <v>408382.42029375694</v>
      </c>
      <c r="Z150" s="11">
        <f t="shared" si="465"/>
        <v>346799</v>
      </c>
      <c r="AA150" s="11">
        <f t="shared" si="465"/>
        <v>354720</v>
      </c>
      <c r="AB150" s="11">
        <f t="shared" ref="AB150:AE150" si="466">AB120</f>
        <v>268350</v>
      </c>
      <c r="AC150" s="11">
        <f t="shared" si="466"/>
        <v>300220</v>
      </c>
      <c r="AD150" s="11">
        <f t="shared" si="466"/>
        <v>284640</v>
      </c>
      <c r="AE150" s="11">
        <f t="shared" si="466"/>
        <v>338070</v>
      </c>
    </row>
    <row r="151" spans="2:31" ht="13.5" customHeight="1">
      <c r="B151" s="21" t="s">
        <v>223</v>
      </c>
      <c r="C151" s="11">
        <f t="shared" ref="C151:D151" si="467">C121+C122</f>
        <v>67520</v>
      </c>
      <c r="D151" s="11">
        <f t="shared" si="467"/>
        <v>48900</v>
      </c>
      <c r="E151" s="11">
        <f t="shared" ref="E151:F151" si="468">E121+E122</f>
        <v>69600</v>
      </c>
      <c r="F151" s="11">
        <f t="shared" si="468"/>
        <v>61430</v>
      </c>
      <c r="G151" s="11">
        <f t="shared" ref="G151:H151" si="469">G121+G122</f>
        <v>62970</v>
      </c>
      <c r="H151" s="11">
        <f t="shared" si="469"/>
        <v>98570</v>
      </c>
      <c r="I151" s="11">
        <f t="shared" ref="I151" si="470">I121+I122</f>
        <v>67200</v>
      </c>
      <c r="J151" s="11">
        <f t="shared" ref="J151" si="471">J121+J122</f>
        <v>67200</v>
      </c>
      <c r="K151" s="11"/>
      <c r="L151" s="268"/>
      <c r="M151" s="280"/>
      <c r="N151" s="268"/>
      <c r="O151" s="11">
        <f t="shared" ref="O151:P151" si="472">O121+O122</f>
        <v>69600</v>
      </c>
      <c r="P151" s="11">
        <f t="shared" si="472"/>
        <v>0</v>
      </c>
      <c r="Q151" s="11">
        <f t="shared" ref="Q151" si="473">Q121+Q122</f>
        <v>40330</v>
      </c>
      <c r="R151" s="268"/>
      <c r="S151" s="11">
        <f t="shared" ref="S151:U151" si="474">S121+S122</f>
        <v>61430</v>
      </c>
      <c r="T151" s="268"/>
      <c r="U151" s="11">
        <f t="shared" si="474"/>
        <v>33170</v>
      </c>
      <c r="V151" s="268"/>
      <c r="W151" s="11">
        <f t="shared" ref="W151:X151" si="475">W121+W122</f>
        <v>62970</v>
      </c>
      <c r="X151" s="11">
        <f t="shared" si="475"/>
        <v>41450</v>
      </c>
      <c r="Y151" s="11">
        <f t="shared" ref="Y151:AA151" si="476">Y121+Y122</f>
        <v>43130</v>
      </c>
      <c r="Z151" s="11">
        <f t="shared" si="476"/>
        <v>43740</v>
      </c>
      <c r="AA151" s="11">
        <f t="shared" si="476"/>
        <v>98570</v>
      </c>
      <c r="AB151" s="11">
        <f t="shared" ref="AB151:AE151" si="477">AB121+AB122</f>
        <v>54640</v>
      </c>
      <c r="AC151" s="11">
        <f t="shared" si="477"/>
        <v>47600</v>
      </c>
      <c r="AD151" s="11">
        <f t="shared" si="477"/>
        <v>51470</v>
      </c>
      <c r="AE151" s="11">
        <f t="shared" si="477"/>
        <v>67200</v>
      </c>
    </row>
    <row r="152" spans="2:31" ht="13.5" customHeight="1">
      <c r="B152" s="21" t="s">
        <v>224</v>
      </c>
      <c r="C152" s="11">
        <f t="shared" ref="C152:D152" si="478">C150-C151</f>
        <v>228490</v>
      </c>
      <c r="D152" s="11">
        <f t="shared" si="478"/>
        <v>198950</v>
      </c>
      <c r="E152" s="11">
        <f t="shared" ref="E152:F152" si="479">E150-E151</f>
        <v>333634</v>
      </c>
      <c r="F152" s="11">
        <f t="shared" si="479"/>
        <v>309435.2</v>
      </c>
      <c r="G152" s="11">
        <f t="shared" ref="G152:H152" si="480">G150-G151</f>
        <v>333440.22000000003</v>
      </c>
      <c r="H152" s="11">
        <f t="shared" si="480"/>
        <v>256150</v>
      </c>
      <c r="I152" s="11">
        <f t="shared" ref="I152" si="481">I150-I151</f>
        <v>270870</v>
      </c>
      <c r="J152" s="11">
        <f t="shared" ref="J152" si="482">J150-J151</f>
        <v>270870</v>
      </c>
      <c r="K152" s="11"/>
      <c r="L152" s="268"/>
      <c r="M152" s="280"/>
      <c r="N152" s="268"/>
      <c r="O152" s="11">
        <f t="shared" ref="O152:P152" si="483">O150-O151</f>
        <v>333634</v>
      </c>
      <c r="P152" s="11">
        <f t="shared" si="483"/>
        <v>0</v>
      </c>
      <c r="Q152" s="11">
        <f t="shared" ref="Q152" si="484">Q150-Q151</f>
        <v>376798.67363982828</v>
      </c>
      <c r="R152" s="268"/>
      <c r="S152" s="11">
        <f t="shared" ref="S152:U152" si="485">S150-S151</f>
        <v>309435.2</v>
      </c>
      <c r="T152" s="268"/>
      <c r="U152" s="11">
        <f t="shared" si="485"/>
        <v>393622.66065588762</v>
      </c>
      <c r="V152" s="268"/>
      <c r="W152" s="11">
        <f t="shared" ref="W152:X152" si="486">W150-W151</f>
        <v>333440.22000000003</v>
      </c>
      <c r="X152" s="11">
        <f t="shared" si="486"/>
        <v>275000</v>
      </c>
      <c r="Y152" s="11">
        <f t="shared" ref="Y152:AA152" si="487">Y150-Y151</f>
        <v>365252.42029375694</v>
      </c>
      <c r="Z152" s="11">
        <f t="shared" si="487"/>
        <v>303059</v>
      </c>
      <c r="AA152" s="11">
        <f t="shared" si="487"/>
        <v>256150</v>
      </c>
      <c r="AB152" s="11">
        <f t="shared" ref="AB152:AE152" si="488">AB150-AB151</f>
        <v>213710</v>
      </c>
      <c r="AC152" s="11">
        <f t="shared" si="488"/>
        <v>252620</v>
      </c>
      <c r="AD152" s="11">
        <f t="shared" si="488"/>
        <v>233170</v>
      </c>
      <c r="AE152" s="11">
        <f t="shared" si="488"/>
        <v>270870</v>
      </c>
    </row>
    <row r="153" spans="2:31" ht="13.5" customHeight="1">
      <c r="B153" s="21" t="s">
        <v>225</v>
      </c>
      <c r="C153" s="29">
        <f t="shared" ref="C153:G153" si="489">C136</f>
        <v>4.167394058848374</v>
      </c>
      <c r="D153" s="29">
        <f t="shared" si="489"/>
        <v>2.8957822175487791</v>
      </c>
      <c r="E153" s="29">
        <f t="shared" si="489"/>
        <v>3.9668863748155436</v>
      </c>
      <c r="F153" s="29">
        <f t="shared" si="489"/>
        <v>3.3178135623546252</v>
      </c>
      <c r="G153" s="29">
        <f t="shared" si="489"/>
        <v>7.1878553037171358</v>
      </c>
      <c r="H153" s="29">
        <f t="shared" ref="H153:J153" si="490">H136</f>
        <v>4.3684729064039409</v>
      </c>
      <c r="I153" s="29">
        <f t="shared" ref="I153" si="491">I136</f>
        <v>3.5259699624530665</v>
      </c>
      <c r="J153" s="29">
        <f t="shared" si="490"/>
        <v>3.5259699624530665</v>
      </c>
      <c r="K153" s="29"/>
      <c r="L153" s="281"/>
      <c r="M153" s="281"/>
      <c r="N153" s="281"/>
      <c r="O153" s="29">
        <f>O136</f>
        <v>3.9668863748155436</v>
      </c>
      <c r="P153" s="29">
        <f>P136</f>
        <v>0</v>
      </c>
      <c r="Q153" s="29">
        <f>Q136</f>
        <v>3.669323307880263</v>
      </c>
      <c r="R153" s="281"/>
      <c r="S153" s="29">
        <f>S136</f>
        <v>3.3178135623546252</v>
      </c>
      <c r="T153" s="281"/>
      <c r="U153" s="29">
        <f>U136</f>
        <v>4.6219694677917218</v>
      </c>
      <c r="V153" s="281"/>
      <c r="W153" s="29">
        <f>W136</f>
        <v>7.1878553037171358</v>
      </c>
      <c r="X153" s="281"/>
      <c r="Y153" s="29">
        <f t="shared" ref="Y153:AD153" si="492">Y136</f>
        <v>8.0548800846894864</v>
      </c>
      <c r="Z153" s="29">
        <f t="shared" si="492"/>
        <v>5.0872671263018923</v>
      </c>
      <c r="AA153" s="29">
        <f t="shared" si="492"/>
        <v>4.3684729064039409</v>
      </c>
      <c r="AB153" s="29">
        <f t="shared" si="492"/>
        <v>3.2417250543609568</v>
      </c>
      <c r="AC153" s="29">
        <f t="shared" si="492"/>
        <v>3.3706073874480746</v>
      </c>
      <c r="AD153" s="29">
        <f t="shared" si="492"/>
        <v>3.1013292656352145</v>
      </c>
      <c r="AE153" s="29">
        <f t="shared" ref="AE153" si="493">AE136</f>
        <v>3.5259699624530665</v>
      </c>
    </row>
    <row r="154" spans="2:31" ht="13.5" customHeight="1">
      <c r="B154" s="21" t="s">
        <v>226</v>
      </c>
      <c r="C154" s="29">
        <f t="shared" ref="C154:G154" si="494">C135</f>
        <v>3.2168097986766155</v>
      </c>
      <c r="D154" s="29">
        <f t="shared" si="494"/>
        <v>2.3244537913307628</v>
      </c>
      <c r="E154" s="29">
        <f t="shared" si="494"/>
        <v>3.282183964584358</v>
      </c>
      <c r="F154" s="29">
        <f t="shared" si="494"/>
        <v>2.7682519234210057</v>
      </c>
      <c r="G154" s="29">
        <f t="shared" si="494"/>
        <v>6.0460601994560292</v>
      </c>
      <c r="H154" s="29">
        <f t="shared" ref="H154:J154" si="495">H135</f>
        <v>3.1545566502463056</v>
      </c>
      <c r="I154" s="29">
        <f t="shared" ref="I154" si="496">I135</f>
        <v>2.8250938673341679</v>
      </c>
      <c r="J154" s="29">
        <f t="shared" si="495"/>
        <v>2.8250938673341679</v>
      </c>
      <c r="K154" s="29"/>
      <c r="L154" s="281"/>
      <c r="M154" s="281"/>
      <c r="N154" s="281"/>
      <c r="O154" s="29">
        <f>O135</f>
        <v>3.282183964584358</v>
      </c>
      <c r="P154" s="29">
        <f>P135</f>
        <v>0</v>
      </c>
      <c r="Q154" s="29">
        <f>Q135</f>
        <v>3.3145555387036265</v>
      </c>
      <c r="R154" s="281"/>
      <c r="S154" s="29">
        <f>S135</f>
        <v>2.7682519234210057</v>
      </c>
      <c r="T154" s="281"/>
      <c r="U154" s="29">
        <f>U135</f>
        <v>4.2627535267044356</v>
      </c>
      <c r="V154" s="281"/>
      <c r="W154" s="29">
        <f>W135</f>
        <v>6.0460601994560292</v>
      </c>
      <c r="X154" s="281"/>
      <c r="Y154" s="29">
        <f t="shared" ref="Y154:AD154" si="497">Y135</f>
        <v>7.2041897493837661</v>
      </c>
      <c r="Z154" s="29">
        <f t="shared" si="497"/>
        <v>4.4456359102244392</v>
      </c>
      <c r="AA154" s="29">
        <f t="shared" si="497"/>
        <v>3.1545566502463056</v>
      </c>
      <c r="AB154" s="29">
        <f t="shared" si="497"/>
        <v>2.5816622372553759</v>
      </c>
      <c r="AC154" s="29">
        <f t="shared" si="497"/>
        <v>2.8361962501403393</v>
      </c>
      <c r="AD154" s="29">
        <f t="shared" si="497"/>
        <v>2.540531706254086</v>
      </c>
      <c r="AE154" s="29">
        <f t="shared" ref="AE154" si="498">AE135</f>
        <v>2.8250938673341679</v>
      </c>
    </row>
    <row r="155" spans="2:31" ht="13.5" customHeight="1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 spans="2:31" ht="13.5" customHeight="1">
      <c r="B156" s="47" t="s">
        <v>227</v>
      </c>
      <c r="C156" s="46"/>
      <c r="D156" s="46"/>
      <c r="E156" s="46"/>
      <c r="F156" s="46"/>
      <c r="G156" s="46"/>
      <c r="H156" s="46"/>
      <c r="I156" s="46"/>
      <c r="J156" s="46"/>
      <c r="K156" s="241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</row>
    <row r="157" spans="2:31" s="45" customFormat="1" ht="13.5" customHeight="1">
      <c r="B157" s="44" t="s">
        <v>112</v>
      </c>
      <c r="C157" s="43">
        <f t="shared" ref="C157:H157" si="499">C3</f>
        <v>43921</v>
      </c>
      <c r="D157" s="43">
        <f t="shared" si="499"/>
        <v>44286</v>
      </c>
      <c r="E157" s="43">
        <f t="shared" si="499"/>
        <v>44651</v>
      </c>
      <c r="F157" s="43">
        <f t="shared" si="499"/>
        <v>45016</v>
      </c>
      <c r="G157" s="43">
        <f t="shared" si="499"/>
        <v>45382</v>
      </c>
      <c r="H157" s="43">
        <f t="shared" si="499"/>
        <v>45747</v>
      </c>
      <c r="I157" s="43">
        <f t="shared" ref="I157" si="500">I3</f>
        <v>46112</v>
      </c>
      <c r="J157" s="43" t="str">
        <f>J2</f>
        <v>LTM</v>
      </c>
      <c r="K157" s="235"/>
      <c r="L157" s="43">
        <f t="shared" ref="L157:Q157" si="501">L3</f>
        <v>44377</v>
      </c>
      <c r="M157" s="43">
        <f t="shared" si="501"/>
        <v>44469</v>
      </c>
      <c r="N157" s="43">
        <f t="shared" si="501"/>
        <v>44561</v>
      </c>
      <c r="O157" s="43">
        <f t="shared" si="501"/>
        <v>44651</v>
      </c>
      <c r="P157" s="43">
        <f t="shared" si="501"/>
        <v>44742</v>
      </c>
      <c r="Q157" s="43">
        <f t="shared" si="501"/>
        <v>44834</v>
      </c>
      <c r="R157" s="43">
        <f t="shared" ref="R157:U157" si="502">R3</f>
        <v>44926</v>
      </c>
      <c r="S157" s="43">
        <f t="shared" si="502"/>
        <v>45016</v>
      </c>
      <c r="T157" s="43">
        <f t="shared" si="502"/>
        <v>45107</v>
      </c>
      <c r="U157" s="43">
        <f t="shared" si="502"/>
        <v>45199</v>
      </c>
      <c r="V157" s="43">
        <f t="shared" ref="V157:Y157" si="503">V3</f>
        <v>45291</v>
      </c>
      <c r="W157" s="43">
        <f t="shared" si="503"/>
        <v>45382</v>
      </c>
      <c r="X157" s="43">
        <f t="shared" si="503"/>
        <v>45473</v>
      </c>
      <c r="Y157" s="43">
        <f t="shared" si="503"/>
        <v>45565</v>
      </c>
      <c r="Z157" s="43">
        <f t="shared" ref="Z157:AC157" si="504">Z3</f>
        <v>45657</v>
      </c>
      <c r="AA157" s="43">
        <f t="shared" si="504"/>
        <v>45747</v>
      </c>
      <c r="AB157" s="43">
        <f t="shared" si="504"/>
        <v>45838</v>
      </c>
      <c r="AC157" s="43">
        <f t="shared" si="504"/>
        <v>45930</v>
      </c>
      <c r="AD157" s="43">
        <f t="shared" ref="AD157:AE157" si="505">AD3</f>
        <v>46022</v>
      </c>
      <c r="AE157" s="43">
        <f t="shared" si="505"/>
        <v>46112</v>
      </c>
    </row>
    <row r="158" spans="2:31" s="26" customFormat="1" ht="13.5" customHeight="1">
      <c r="B158" s="44"/>
      <c r="C158" s="43" t="s">
        <v>113</v>
      </c>
      <c r="D158" s="43" t="s">
        <v>113</v>
      </c>
      <c r="E158" s="43" t="s">
        <v>113</v>
      </c>
      <c r="F158" s="43" t="s">
        <v>113</v>
      </c>
      <c r="G158" s="43" t="s">
        <v>113</v>
      </c>
      <c r="H158" s="43" t="s">
        <v>113</v>
      </c>
      <c r="I158" s="43" t="s">
        <v>113</v>
      </c>
      <c r="J158" s="43" t="s">
        <v>113</v>
      </c>
      <c r="K158" s="235"/>
      <c r="L158" s="43" t="s">
        <v>113</v>
      </c>
      <c r="M158" s="43" t="s">
        <v>113</v>
      </c>
      <c r="N158" s="43" t="s">
        <v>113</v>
      </c>
      <c r="O158" s="43" t="s">
        <v>113</v>
      </c>
      <c r="P158" s="43" t="s">
        <v>113</v>
      </c>
      <c r="Q158" s="43" t="s">
        <v>113</v>
      </c>
      <c r="R158" s="43" t="s">
        <v>113</v>
      </c>
      <c r="S158" s="43" t="s">
        <v>113</v>
      </c>
      <c r="T158" s="43" t="s">
        <v>113</v>
      </c>
      <c r="U158" s="43" t="s">
        <v>113</v>
      </c>
      <c r="V158" s="43" t="s">
        <v>113</v>
      </c>
      <c r="W158" s="43" t="s">
        <v>113</v>
      </c>
      <c r="X158" s="43" t="s">
        <v>113</v>
      </c>
      <c r="Y158" s="43" t="s">
        <v>113</v>
      </c>
      <c r="Z158" s="43" t="s">
        <v>113</v>
      </c>
      <c r="AA158" s="43" t="s">
        <v>113</v>
      </c>
      <c r="AB158" s="43" t="s">
        <v>113</v>
      </c>
      <c r="AC158" s="43" t="s">
        <v>113</v>
      </c>
      <c r="AD158" s="43" t="s">
        <v>113</v>
      </c>
      <c r="AE158" s="43" t="s">
        <v>113</v>
      </c>
    </row>
    <row r="159" spans="2:31" ht="13.5" customHeight="1"/>
    <row r="160" spans="2:31" s="26" customFormat="1" ht="13.5" customHeight="1">
      <c r="B160" s="26" t="str">
        <f t="shared" ref="B160:F160" si="506">B7</f>
        <v>Revenue from Operations</v>
      </c>
      <c r="C160" s="51">
        <f t="shared" si="506"/>
        <v>357560</v>
      </c>
      <c r="D160" s="51">
        <f t="shared" si="506"/>
        <v>386940</v>
      </c>
      <c r="E160" s="51">
        <f t="shared" si="506"/>
        <v>462400</v>
      </c>
      <c r="F160" s="51">
        <f t="shared" si="506"/>
        <v>535760</v>
      </c>
      <c r="G160" s="51">
        <f t="shared" ref="G160:H160" si="507">G7</f>
        <v>430980</v>
      </c>
      <c r="H160" s="51">
        <f t="shared" si="507"/>
        <v>466370</v>
      </c>
      <c r="I160" s="51">
        <f t="shared" ref="I160" si="508">I7</f>
        <v>518390</v>
      </c>
      <c r="J160" s="51">
        <f t="shared" ref="J160" si="509">J7</f>
        <v>518390</v>
      </c>
      <c r="K160" s="41"/>
      <c r="L160" s="41">
        <f t="shared" ref="L160:Q160" si="510">L7</f>
        <v>85150</v>
      </c>
      <c r="M160" s="41">
        <f t="shared" si="510"/>
        <v>105670</v>
      </c>
      <c r="N160" s="41">
        <f t="shared" si="510"/>
        <v>112970</v>
      </c>
      <c r="O160" s="41">
        <f t="shared" si="510"/>
        <v>158610</v>
      </c>
      <c r="P160" s="41">
        <f t="shared" si="510"/>
        <v>108210</v>
      </c>
      <c r="Q160" s="41">
        <f t="shared" si="510"/>
        <v>125070</v>
      </c>
      <c r="R160" s="41">
        <f t="shared" ref="R160:U160" si="511">R7</f>
        <v>136790</v>
      </c>
      <c r="S160" s="41">
        <f t="shared" si="511"/>
        <v>165690</v>
      </c>
      <c r="T160" s="41">
        <f t="shared" si="511"/>
        <v>89630</v>
      </c>
      <c r="U160" s="41">
        <f t="shared" si="511"/>
        <v>101700</v>
      </c>
      <c r="V160" s="41">
        <f t="shared" ref="V160:Y160" si="512">V7</f>
        <v>98870</v>
      </c>
      <c r="W160" s="41">
        <f t="shared" si="512"/>
        <v>140780</v>
      </c>
      <c r="X160" s="41">
        <f t="shared" si="512"/>
        <v>90670</v>
      </c>
      <c r="Y160" s="41">
        <f t="shared" si="512"/>
        <v>110900</v>
      </c>
      <c r="Z160" s="41">
        <f t="shared" ref="Z160:AC160" si="513">Z7</f>
        <v>109070</v>
      </c>
      <c r="AA160" s="41">
        <f t="shared" si="513"/>
        <v>155730</v>
      </c>
      <c r="AB160" s="41">
        <f t="shared" si="513"/>
        <v>92160</v>
      </c>
      <c r="AC160" s="41">
        <f t="shared" si="513"/>
        <v>120190</v>
      </c>
      <c r="AD160" s="41">
        <f t="shared" ref="AD160:AE160" si="514">AD7</f>
        <v>122690</v>
      </c>
      <c r="AE160" s="41">
        <f t="shared" si="514"/>
        <v>183350</v>
      </c>
    </row>
    <row r="161" spans="2:31" s="37" customFormat="1" ht="13.5" customHeight="1">
      <c r="B161" s="42" t="s">
        <v>228</v>
      </c>
      <c r="C161" s="50"/>
      <c r="D161" s="50">
        <f t="shared" ref="D161:I161" si="515">D160/C160-1</f>
        <v>8.216802774359544E-2</v>
      </c>
      <c r="E161" s="50">
        <f t="shared" si="515"/>
        <v>0.19501731534604838</v>
      </c>
      <c r="F161" s="50">
        <f t="shared" si="515"/>
        <v>0.1586505190311418</v>
      </c>
      <c r="G161" s="50">
        <f t="shared" si="515"/>
        <v>-0.19557264446767209</v>
      </c>
      <c r="H161" s="50">
        <f t="shared" si="515"/>
        <v>8.2115179358670964E-2</v>
      </c>
      <c r="I161" s="50">
        <f t="shared" si="515"/>
        <v>0.1115423376289213</v>
      </c>
      <c r="J161" s="50"/>
      <c r="K161" s="242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</row>
    <row r="162" spans="2:31" ht="13.5" customHeight="1"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</row>
    <row r="163" spans="2:31" s="26" customFormat="1" ht="13.5" customHeight="1" thickBot="1">
      <c r="B163" s="32" t="str">
        <f t="shared" ref="B163:F163" si="516">B49</f>
        <v xml:space="preserve">Adj. EBITDA </v>
      </c>
      <c r="C163" s="40">
        <f t="shared" si="516"/>
        <v>71030</v>
      </c>
      <c r="D163" s="40">
        <f t="shared" si="516"/>
        <v>85590</v>
      </c>
      <c r="E163" s="40">
        <f t="shared" si="516"/>
        <v>101650</v>
      </c>
      <c r="F163" s="40">
        <f t="shared" si="516"/>
        <v>111780</v>
      </c>
      <c r="G163" s="40">
        <f t="shared" ref="G163:H163" si="517">G49</f>
        <v>55150</v>
      </c>
      <c r="H163" s="40">
        <f t="shared" si="517"/>
        <v>81200</v>
      </c>
      <c r="I163" s="40">
        <f t="shared" ref="I163" si="518">I49</f>
        <v>95880</v>
      </c>
      <c r="J163" s="40">
        <f t="shared" ref="J163" si="519">J49</f>
        <v>95880</v>
      </c>
      <c r="K163" s="51"/>
      <c r="L163" s="40">
        <f>L49</f>
        <v>18620</v>
      </c>
      <c r="M163" s="40">
        <f>M49</f>
        <v>20450</v>
      </c>
      <c r="N163" s="40">
        <f>N49</f>
        <v>26660</v>
      </c>
      <c r="O163" s="40">
        <f>O49</f>
        <v>35920</v>
      </c>
      <c r="P163" s="40">
        <f t="shared" ref="P163:S163" si="520">P49</f>
        <v>23420</v>
      </c>
      <c r="Q163" s="40">
        <f t="shared" si="520"/>
        <v>27680</v>
      </c>
      <c r="R163" s="40">
        <f t="shared" si="520"/>
        <v>30350</v>
      </c>
      <c r="S163" s="40">
        <f t="shared" si="520"/>
        <v>30330</v>
      </c>
      <c r="T163" s="40">
        <f t="shared" ref="T163:W163" si="521">T49</f>
        <v>15930</v>
      </c>
      <c r="U163" s="40">
        <f t="shared" si="521"/>
        <v>15730</v>
      </c>
      <c r="V163" s="40">
        <f t="shared" si="521"/>
        <v>4160</v>
      </c>
      <c r="W163" s="40">
        <f t="shared" si="521"/>
        <v>19330</v>
      </c>
      <c r="X163" s="40">
        <f t="shared" ref="X163:AA163" si="522">X49</f>
        <v>11450</v>
      </c>
      <c r="Y163" s="40">
        <f t="shared" si="522"/>
        <v>15760</v>
      </c>
      <c r="Z163" s="40">
        <f t="shared" si="522"/>
        <v>21630</v>
      </c>
      <c r="AA163" s="40">
        <f t="shared" si="522"/>
        <v>32360</v>
      </c>
      <c r="AB163" s="40">
        <f t="shared" ref="AB163:AE163" si="523">AB49</f>
        <v>13030</v>
      </c>
      <c r="AC163" s="40">
        <f t="shared" si="523"/>
        <v>22050</v>
      </c>
      <c r="AD163" s="40">
        <f t="shared" si="523"/>
        <v>24340</v>
      </c>
      <c r="AE163" s="40">
        <f t="shared" si="523"/>
        <v>36460</v>
      </c>
    </row>
    <row r="164" spans="2:31" s="37" customFormat="1" ht="13.5" customHeight="1" thickTop="1">
      <c r="B164" s="39" t="str">
        <f t="shared" ref="B164:E165" si="524">B50</f>
        <v xml:space="preserve">% growth </v>
      </c>
      <c r="C164" s="50">
        <f t="shared" si="524"/>
        <v>0</v>
      </c>
      <c r="D164" s="50">
        <f t="shared" si="524"/>
        <v>0.20498380965789109</v>
      </c>
      <c r="E164" s="50">
        <f t="shared" si="524"/>
        <v>0.18763874284379023</v>
      </c>
      <c r="F164" s="50">
        <f t="shared" ref="F164:G164" si="525">F50</f>
        <v>9.9655681259222861E-2</v>
      </c>
      <c r="G164" s="50">
        <f t="shared" si="525"/>
        <v>-0.50662014671676503</v>
      </c>
      <c r="H164" s="50">
        <f t="shared" ref="H164:I164" si="526">H50</f>
        <v>0.47234814143245685</v>
      </c>
      <c r="I164" s="50">
        <f t="shared" si="526"/>
        <v>0.18078817733990138</v>
      </c>
      <c r="J164" s="50"/>
      <c r="K164" s="242"/>
      <c r="L164" s="50"/>
      <c r="M164" s="50"/>
      <c r="N164" s="50"/>
      <c r="O164" s="50"/>
      <c r="P164" s="50">
        <f>P163/L163-1</f>
        <v>0.25778732545649841</v>
      </c>
      <c r="Q164" s="50">
        <f t="shared" ref="Q164:AE164" si="527">Q163/M163-1</f>
        <v>0.35354523227383861</v>
      </c>
      <c r="R164" s="50">
        <f t="shared" si="527"/>
        <v>0.13840960240060007</v>
      </c>
      <c r="S164" s="50">
        <f t="shared" si="527"/>
        <v>-0.15562360801781738</v>
      </c>
      <c r="T164" s="50">
        <f t="shared" si="527"/>
        <v>-0.31981212638770284</v>
      </c>
      <c r="U164" s="50">
        <f t="shared" si="527"/>
        <v>-0.4317196531791907</v>
      </c>
      <c r="V164" s="50">
        <f t="shared" si="527"/>
        <v>-0.8629324546952224</v>
      </c>
      <c r="W164" s="50">
        <f t="shared" si="527"/>
        <v>-0.36267721727662383</v>
      </c>
      <c r="X164" s="50">
        <f t="shared" si="527"/>
        <v>-0.28123038292529823</v>
      </c>
      <c r="Y164" s="50">
        <f t="shared" si="527"/>
        <v>1.9071837253654689E-3</v>
      </c>
      <c r="Z164" s="50">
        <f t="shared" si="527"/>
        <v>4.1995192307692308</v>
      </c>
      <c r="AA164" s="50">
        <f t="shared" si="527"/>
        <v>0.67408173823072937</v>
      </c>
      <c r="AB164" s="50">
        <f t="shared" si="527"/>
        <v>0.13799126637554582</v>
      </c>
      <c r="AC164" s="50">
        <f t="shared" si="527"/>
        <v>0.39911167512690349</v>
      </c>
      <c r="AD164" s="50">
        <f t="shared" si="527"/>
        <v>0.125288950531669</v>
      </c>
      <c r="AE164" s="50">
        <f t="shared" si="527"/>
        <v>0.12669962917181699</v>
      </c>
    </row>
    <row r="165" spans="2:31" s="37" customFormat="1" ht="13.5" customHeight="1">
      <c r="B165" s="39" t="str">
        <f t="shared" si="524"/>
        <v>% margin</v>
      </c>
      <c r="C165" s="50">
        <f t="shared" si="524"/>
        <v>0.19865197449379124</v>
      </c>
      <c r="D165" s="50">
        <f t="shared" si="524"/>
        <v>0.22119708481935182</v>
      </c>
      <c r="E165" s="50">
        <f t="shared" si="524"/>
        <v>0.21983131487889274</v>
      </c>
      <c r="F165" s="50">
        <f t="shared" ref="F165:G165" si="528">F51</f>
        <v>0.20863819620725699</v>
      </c>
      <c r="G165" s="50">
        <f t="shared" si="528"/>
        <v>0.1279641746716785</v>
      </c>
      <c r="H165" s="50">
        <f t="shared" ref="H165:I165" si="529">H51</f>
        <v>0.1741106846495272</v>
      </c>
      <c r="I165" s="50">
        <f t="shared" si="529"/>
        <v>0.18495727155230618</v>
      </c>
      <c r="J165" s="50">
        <f>J51</f>
        <v>0.18495727155230618</v>
      </c>
      <c r="K165" s="242"/>
      <c r="L165" s="50">
        <f>L51</f>
        <v>0.21867293012331179</v>
      </c>
      <c r="M165" s="50">
        <f>M51</f>
        <v>0.19352701807513958</v>
      </c>
      <c r="N165" s="50">
        <f>N51</f>
        <v>0.23599185624502081</v>
      </c>
      <c r="O165" s="50">
        <f>O51</f>
        <v>0.22646743584893764</v>
      </c>
      <c r="P165" s="50">
        <f t="shared" ref="P165:S165" si="530">P51</f>
        <v>0.21643101376952223</v>
      </c>
      <c r="Q165" s="50">
        <f t="shared" si="530"/>
        <v>0.22131606300471734</v>
      </c>
      <c r="R165" s="50">
        <f t="shared" si="530"/>
        <v>0.22187294392864976</v>
      </c>
      <c r="S165" s="50">
        <f t="shared" si="530"/>
        <v>0.1830526887561108</v>
      </c>
      <c r="T165" s="50">
        <f t="shared" ref="T165:W165" si="531">T51</f>
        <v>0.17773067053441927</v>
      </c>
      <c r="U165" s="50">
        <f t="shared" si="531"/>
        <v>0.15467059980334316</v>
      </c>
      <c r="V165" s="50">
        <f t="shared" si="531"/>
        <v>4.2075452614544352E-2</v>
      </c>
      <c r="W165" s="50">
        <f t="shared" si="531"/>
        <v>0.13730643557323483</v>
      </c>
      <c r="X165" s="50">
        <f t="shared" ref="X165:AA165" si="532">X51</f>
        <v>0.12628212198080954</v>
      </c>
      <c r="Y165" s="50">
        <f t="shared" si="532"/>
        <v>0.14211000901713255</v>
      </c>
      <c r="Z165" s="50">
        <f t="shared" si="532"/>
        <v>0.19831300999358209</v>
      </c>
      <c r="AA165" s="50">
        <f t="shared" si="532"/>
        <v>0.20779554356899763</v>
      </c>
      <c r="AB165" s="50">
        <f t="shared" ref="AB165:AE165" si="533">AB51</f>
        <v>0.1413845486111111</v>
      </c>
      <c r="AC165" s="50">
        <f t="shared" si="533"/>
        <v>0.18345952242283051</v>
      </c>
      <c r="AD165" s="50">
        <f t="shared" si="533"/>
        <v>0.19838617654250551</v>
      </c>
      <c r="AE165" s="50">
        <f t="shared" si="533"/>
        <v>0.19885464957731117</v>
      </c>
    </row>
    <row r="166" spans="2:31" ht="13.5" customHeight="1">
      <c r="L166" s="36"/>
      <c r="M166" s="36"/>
      <c r="N166" s="36"/>
      <c r="O166" s="196">
        <f>-O168/M168</f>
        <v>0.68614564831261105</v>
      </c>
      <c r="P166" s="36"/>
      <c r="Q166" s="36"/>
      <c r="R166" s="36"/>
      <c r="S166" s="196">
        <f>-S168/Q168</f>
        <v>0.84081395348837207</v>
      </c>
      <c r="T166" s="36"/>
      <c r="U166" s="36"/>
      <c r="V166" s="36"/>
      <c r="W166" s="196">
        <f>-W168/U168</f>
        <v>0.88871377287452935</v>
      </c>
      <c r="X166" s="36"/>
      <c r="Y166" s="36"/>
      <c r="Z166" s="36"/>
      <c r="AA166" s="196">
        <f>-AA168/Y168</f>
        <v>1.7396812423375563</v>
      </c>
      <c r="AB166" s="36"/>
      <c r="AC166" s="36"/>
      <c r="AD166" s="36"/>
      <c r="AE166" s="196">
        <f>-AE168/AC168</f>
        <v>0.85852128814377038</v>
      </c>
    </row>
    <row r="167" spans="2:31" s="26" customFormat="1" ht="13.5" customHeight="1">
      <c r="B167" s="26" t="str">
        <f t="shared" ref="B167:E176" si="534">B58</f>
        <v xml:space="preserve">Adj. EBITDA </v>
      </c>
      <c r="C167" s="35">
        <f t="shared" si="534"/>
        <v>71030</v>
      </c>
      <c r="D167" s="35">
        <f t="shared" si="534"/>
        <v>85590</v>
      </c>
      <c r="E167" s="35">
        <f t="shared" si="534"/>
        <v>101650</v>
      </c>
      <c r="F167" s="35">
        <f t="shared" ref="F167:G167" si="535">F58</f>
        <v>111780</v>
      </c>
      <c r="G167" s="35">
        <f t="shared" si="535"/>
        <v>55150</v>
      </c>
      <c r="H167" s="35">
        <f t="shared" ref="H167:J167" si="536">H58</f>
        <v>81200</v>
      </c>
      <c r="I167" s="35">
        <f t="shared" ref="I167" si="537">I58</f>
        <v>95880</v>
      </c>
      <c r="J167" s="35">
        <f t="shared" si="536"/>
        <v>95880</v>
      </c>
      <c r="K167" s="13"/>
      <c r="L167" s="282"/>
      <c r="M167" s="35">
        <f t="shared" ref="M167:M184" si="538">M58</f>
        <v>39070</v>
      </c>
      <c r="N167" s="282"/>
      <c r="O167" s="35">
        <f t="shared" ref="O167:O184" si="539">O58</f>
        <v>62580</v>
      </c>
      <c r="P167" s="282"/>
      <c r="Q167" s="35">
        <f t="shared" ref="Q167:Q184" si="540">Q58</f>
        <v>51100</v>
      </c>
      <c r="R167" s="282"/>
      <c r="S167" s="35">
        <f t="shared" ref="S167:S184" si="541">S58</f>
        <v>60680</v>
      </c>
      <c r="T167" s="282"/>
      <c r="U167" s="35">
        <f t="shared" ref="U167:U184" si="542">U58</f>
        <v>31660</v>
      </c>
      <c r="V167" s="282"/>
      <c r="W167" s="35">
        <f t="shared" ref="W167:W184" si="543">W58</f>
        <v>23490</v>
      </c>
      <c r="X167" s="282"/>
      <c r="Y167" s="35">
        <f t="shared" ref="Y167:Y184" si="544">Y58</f>
        <v>27210</v>
      </c>
      <c r="Z167" s="282"/>
      <c r="AA167" s="35">
        <f t="shared" ref="AA167:AA184" si="545">AA58</f>
        <v>53990</v>
      </c>
      <c r="AB167" s="282"/>
      <c r="AC167" s="35">
        <f t="shared" ref="AC167:AC184" si="546">AC58</f>
        <v>35080</v>
      </c>
      <c r="AD167" s="282"/>
      <c r="AE167" s="35">
        <f t="shared" ref="AE167:AE184" si="547">AE58</f>
        <v>60800</v>
      </c>
    </row>
    <row r="168" spans="2:31" ht="13.5" customHeight="1">
      <c r="B168" s="21" t="str">
        <f t="shared" si="534"/>
        <v>Working Capital</v>
      </c>
      <c r="C168" s="16">
        <f t="shared" si="534"/>
        <v>30500</v>
      </c>
      <c r="D168" s="16">
        <f t="shared" si="534"/>
        <v>-2140</v>
      </c>
      <c r="E168" s="16">
        <f t="shared" si="534"/>
        <v>-17670</v>
      </c>
      <c r="F168" s="16">
        <f t="shared" ref="F168:G168" si="548">F59</f>
        <v>-13690</v>
      </c>
      <c r="G168" s="16">
        <f t="shared" si="548"/>
        <v>-12710</v>
      </c>
      <c r="H168" s="16">
        <f t="shared" ref="H168:J168" si="549">H59</f>
        <v>36200</v>
      </c>
      <c r="I168" s="16">
        <f t="shared" ref="I168" si="550">I59</f>
        <v>-11730</v>
      </c>
      <c r="J168" s="16">
        <f t="shared" si="549"/>
        <v>-11730</v>
      </c>
      <c r="K168" s="127"/>
      <c r="L168" s="283"/>
      <c r="M168" s="16">
        <f t="shared" si="538"/>
        <v>-56300</v>
      </c>
      <c r="N168" s="283"/>
      <c r="O168" s="16">
        <f t="shared" si="539"/>
        <v>38630</v>
      </c>
      <c r="P168" s="283"/>
      <c r="Q168" s="16">
        <f t="shared" si="540"/>
        <v>-86000</v>
      </c>
      <c r="R168" s="283"/>
      <c r="S168" s="16">
        <f t="shared" si="541"/>
        <v>72310</v>
      </c>
      <c r="T168" s="283"/>
      <c r="U168" s="16">
        <f t="shared" si="542"/>
        <v>-114210</v>
      </c>
      <c r="V168" s="283"/>
      <c r="W168" s="16">
        <f>W59</f>
        <v>101500</v>
      </c>
      <c r="X168" s="283"/>
      <c r="Y168" s="16">
        <f t="shared" si="544"/>
        <v>-48940</v>
      </c>
      <c r="Z168" s="283"/>
      <c r="AA168" s="16">
        <f>AA59</f>
        <v>85140</v>
      </c>
      <c r="AB168" s="283"/>
      <c r="AC168" s="16">
        <f t="shared" si="546"/>
        <v>-82910</v>
      </c>
      <c r="AD168" s="283"/>
      <c r="AE168" s="16">
        <f>AE59</f>
        <v>71180</v>
      </c>
    </row>
    <row r="169" spans="2:31" ht="13.5" customHeight="1">
      <c r="B169" s="21" t="str">
        <f t="shared" si="534"/>
        <v>Taxes</v>
      </c>
      <c r="C169" s="16">
        <f t="shared" si="534"/>
        <v>-8190</v>
      </c>
      <c r="D169" s="16">
        <f t="shared" si="534"/>
        <v>-7250</v>
      </c>
      <c r="E169" s="16">
        <f t="shared" si="534"/>
        <v>-10040</v>
      </c>
      <c r="F169" s="16">
        <f t="shared" ref="F169:G169" si="551">F60</f>
        <v>-12620</v>
      </c>
      <c r="G169" s="16">
        <f t="shared" si="551"/>
        <v>-11430</v>
      </c>
      <c r="H169" s="16">
        <f t="shared" ref="H169:J169" si="552">H60</f>
        <v>-9830</v>
      </c>
      <c r="I169" s="16">
        <f t="shared" ref="I169" si="553">I60</f>
        <v>-5710</v>
      </c>
      <c r="J169" s="16">
        <f t="shared" si="552"/>
        <v>-5710</v>
      </c>
      <c r="K169" s="127"/>
      <c r="L169" s="283"/>
      <c r="M169" s="16">
        <f t="shared" si="538"/>
        <v>-4380</v>
      </c>
      <c r="N169" s="283"/>
      <c r="O169" s="16">
        <f t="shared" si="539"/>
        <v>-5660</v>
      </c>
      <c r="P169" s="283"/>
      <c r="Q169" s="16">
        <f t="shared" si="540"/>
        <v>-5690</v>
      </c>
      <c r="R169" s="283"/>
      <c r="S169" s="16">
        <f t="shared" si="541"/>
        <v>-6930</v>
      </c>
      <c r="T169" s="283"/>
      <c r="U169" s="16">
        <f t="shared" si="542"/>
        <v>-8400</v>
      </c>
      <c r="V169" s="283"/>
      <c r="W169" s="16">
        <f t="shared" si="543"/>
        <v>-3030</v>
      </c>
      <c r="X169" s="283"/>
      <c r="Y169" s="16">
        <f t="shared" si="544"/>
        <v>-5470</v>
      </c>
      <c r="Z169" s="283"/>
      <c r="AA169" s="16">
        <f t="shared" si="545"/>
        <v>-4360</v>
      </c>
      <c r="AB169" s="283"/>
      <c r="AC169" s="16">
        <f t="shared" si="546"/>
        <v>330</v>
      </c>
      <c r="AD169" s="283"/>
      <c r="AE169" s="16">
        <f t="shared" si="547"/>
        <v>-6040</v>
      </c>
    </row>
    <row r="170" spans="2:31" ht="13.5" customHeight="1">
      <c r="B170" s="21" t="str">
        <f t="shared" si="534"/>
        <v>Cash interest paid</v>
      </c>
      <c r="C170" s="16">
        <f t="shared" si="534"/>
        <v>-16460</v>
      </c>
      <c r="D170" s="16">
        <f t="shared" si="534"/>
        <v>-16550</v>
      </c>
      <c r="E170" s="16">
        <f t="shared" si="534"/>
        <v>-19410</v>
      </c>
      <c r="F170" s="16">
        <f t="shared" ref="F170:G170" si="554">F61</f>
        <v>-23450</v>
      </c>
      <c r="G170" s="16">
        <f t="shared" si="554"/>
        <v>-34050</v>
      </c>
      <c r="H170" s="16">
        <f t="shared" ref="H170:J170" si="555">H61</f>
        <v>-33280</v>
      </c>
      <c r="I170" s="16">
        <f t="shared" ref="I170" si="556">I61</f>
        <v>-28790</v>
      </c>
      <c r="J170" s="16">
        <f t="shared" si="555"/>
        <v>-28790</v>
      </c>
      <c r="K170" s="127"/>
      <c r="L170" s="283"/>
      <c r="M170" s="16">
        <f t="shared" si="538"/>
        <v>-9490</v>
      </c>
      <c r="N170" s="283"/>
      <c r="O170" s="16">
        <f t="shared" si="539"/>
        <v>-9920</v>
      </c>
      <c r="P170" s="283"/>
      <c r="Q170" s="16">
        <f t="shared" si="540"/>
        <v>-8360</v>
      </c>
      <c r="R170" s="283"/>
      <c r="S170" s="16">
        <f t="shared" si="541"/>
        <v>-15090</v>
      </c>
      <c r="T170" s="283"/>
      <c r="U170" s="16">
        <f t="shared" si="542"/>
        <v>-13750</v>
      </c>
      <c r="V170" s="283"/>
      <c r="W170" s="16">
        <f t="shared" si="543"/>
        <v>-20300</v>
      </c>
      <c r="X170" s="283"/>
      <c r="Y170" s="16">
        <f t="shared" si="544"/>
        <v>-17440</v>
      </c>
      <c r="Z170" s="283"/>
      <c r="AA170" s="16">
        <f t="shared" si="545"/>
        <v>-15840</v>
      </c>
      <c r="AB170" s="283"/>
      <c r="AC170" s="16">
        <f t="shared" si="546"/>
        <v>-15610</v>
      </c>
      <c r="AD170" s="283"/>
      <c r="AE170" s="16">
        <f t="shared" si="547"/>
        <v>-13180</v>
      </c>
    </row>
    <row r="171" spans="2:31" s="26" customFormat="1" ht="13.5" customHeight="1" thickBot="1">
      <c r="B171" s="32" t="str">
        <f t="shared" si="534"/>
        <v xml:space="preserve">Net cash from operations </v>
      </c>
      <c r="C171" s="31">
        <f t="shared" si="534"/>
        <v>76880</v>
      </c>
      <c r="D171" s="31">
        <f t="shared" si="534"/>
        <v>59650</v>
      </c>
      <c r="E171" s="31">
        <f t="shared" si="534"/>
        <v>54530</v>
      </c>
      <c r="F171" s="31">
        <f t="shared" ref="F171:G171" si="557">F62</f>
        <v>62020</v>
      </c>
      <c r="G171" s="31">
        <f t="shared" si="557"/>
        <v>-3040</v>
      </c>
      <c r="H171" s="31">
        <f t="shared" ref="H171:J171" si="558">H62</f>
        <v>74290</v>
      </c>
      <c r="I171" s="31">
        <f t="shared" ref="I171" si="559">I62</f>
        <v>49650</v>
      </c>
      <c r="J171" s="31">
        <f t="shared" si="558"/>
        <v>49650</v>
      </c>
      <c r="K171" s="33"/>
      <c r="L171" s="284"/>
      <c r="M171" s="31">
        <f t="shared" si="538"/>
        <v>-31100</v>
      </c>
      <c r="N171" s="284"/>
      <c r="O171" s="31">
        <f t="shared" si="539"/>
        <v>85630</v>
      </c>
      <c r="P171" s="284"/>
      <c r="Q171" s="31">
        <f t="shared" si="540"/>
        <v>-48950</v>
      </c>
      <c r="R171" s="284"/>
      <c r="S171" s="31">
        <f t="shared" si="541"/>
        <v>110970</v>
      </c>
      <c r="T171" s="284"/>
      <c r="U171" s="31">
        <f t="shared" si="542"/>
        <v>-104700</v>
      </c>
      <c r="V171" s="284"/>
      <c r="W171" s="31">
        <f t="shared" si="543"/>
        <v>101660</v>
      </c>
      <c r="X171" s="284"/>
      <c r="Y171" s="31">
        <f t="shared" si="544"/>
        <v>-44640</v>
      </c>
      <c r="Z171" s="284"/>
      <c r="AA171" s="31">
        <f t="shared" si="545"/>
        <v>118930</v>
      </c>
      <c r="AB171" s="284"/>
      <c r="AC171" s="31">
        <f t="shared" si="546"/>
        <v>-63110</v>
      </c>
      <c r="AD171" s="284"/>
      <c r="AE171" s="31">
        <f t="shared" si="547"/>
        <v>112760</v>
      </c>
    </row>
    <row r="172" spans="2:31" ht="13.5" customHeight="1" thickTop="1">
      <c r="B172" s="21" t="str">
        <f t="shared" si="534"/>
        <v>Net Capex</v>
      </c>
      <c r="C172" s="34">
        <f t="shared" si="534"/>
        <v>-14300</v>
      </c>
      <c r="D172" s="34">
        <f t="shared" si="534"/>
        <v>-15620</v>
      </c>
      <c r="E172" s="34">
        <f t="shared" si="534"/>
        <v>-18990</v>
      </c>
      <c r="F172" s="34">
        <f t="shared" ref="F172:G172" si="560">F63</f>
        <v>-16010</v>
      </c>
      <c r="G172" s="34">
        <f t="shared" si="560"/>
        <v>-11180</v>
      </c>
      <c r="H172" s="34">
        <f t="shared" ref="H172:J172" si="561">H63</f>
        <v>-3730</v>
      </c>
      <c r="I172" s="34">
        <f t="shared" ref="I172" si="562">I63</f>
        <v>-16130</v>
      </c>
      <c r="J172" s="34">
        <f t="shared" si="561"/>
        <v>-16130</v>
      </c>
      <c r="K172" s="127"/>
      <c r="L172" s="283"/>
      <c r="M172" s="34">
        <f t="shared" si="538"/>
        <v>-7540</v>
      </c>
      <c r="N172" s="283"/>
      <c r="O172" s="34">
        <f t="shared" si="539"/>
        <v>-11450</v>
      </c>
      <c r="P172" s="283"/>
      <c r="Q172" s="34">
        <f t="shared" si="540"/>
        <v>-9750</v>
      </c>
      <c r="R172" s="283"/>
      <c r="S172" s="34">
        <f t="shared" si="541"/>
        <v>-6260</v>
      </c>
      <c r="T172" s="283"/>
      <c r="U172" s="34">
        <f t="shared" si="542"/>
        <v>-6980</v>
      </c>
      <c r="V172" s="283"/>
      <c r="W172" s="34">
        <f t="shared" si="543"/>
        <v>-4200</v>
      </c>
      <c r="X172" s="283"/>
      <c r="Y172" s="34">
        <f t="shared" si="544"/>
        <v>-730</v>
      </c>
      <c r="Z172" s="283"/>
      <c r="AA172" s="34">
        <f t="shared" si="545"/>
        <v>-3000</v>
      </c>
      <c r="AB172" s="283"/>
      <c r="AC172" s="34">
        <f t="shared" si="546"/>
        <v>-7940</v>
      </c>
      <c r="AD172" s="283"/>
      <c r="AE172" s="34">
        <f t="shared" si="547"/>
        <v>-8190</v>
      </c>
    </row>
    <row r="173" spans="2:31" ht="13.5" customHeight="1">
      <c r="B173" s="21" t="str">
        <f t="shared" si="534"/>
        <v>Purchase of intangible assets</v>
      </c>
      <c r="C173" s="34">
        <f t="shared" si="534"/>
        <v>-5050</v>
      </c>
      <c r="D173" s="34">
        <f t="shared" si="534"/>
        <v>-5030</v>
      </c>
      <c r="E173" s="34">
        <f t="shared" si="534"/>
        <v>-6660</v>
      </c>
      <c r="F173" s="34">
        <f t="shared" ref="F173:G173" si="563">F64</f>
        <v>-6880</v>
      </c>
      <c r="G173" s="34">
        <f t="shared" si="563"/>
        <v>-8360</v>
      </c>
      <c r="H173" s="34">
        <f t="shared" ref="H173:J173" si="564">H64</f>
        <v>-8820</v>
      </c>
      <c r="I173" s="34">
        <f t="shared" ref="I173" si="565">I64</f>
        <v>-7400</v>
      </c>
      <c r="J173" s="34">
        <f t="shared" si="564"/>
        <v>-7400</v>
      </c>
      <c r="K173" s="127"/>
      <c r="L173" s="283"/>
      <c r="M173" s="34">
        <f t="shared" si="538"/>
        <v>-2550</v>
      </c>
      <c r="N173" s="283"/>
      <c r="O173" s="34">
        <f t="shared" si="539"/>
        <v>-4110</v>
      </c>
      <c r="P173" s="283"/>
      <c r="Q173" s="34">
        <f t="shared" si="540"/>
        <v>-1810</v>
      </c>
      <c r="R173" s="283"/>
      <c r="S173" s="34">
        <f t="shared" si="541"/>
        <v>-5070</v>
      </c>
      <c r="T173" s="283"/>
      <c r="U173" s="34">
        <f t="shared" si="542"/>
        <v>-3540</v>
      </c>
      <c r="V173" s="283"/>
      <c r="W173" s="34">
        <f t="shared" si="543"/>
        <v>-4820</v>
      </c>
      <c r="X173" s="283"/>
      <c r="Y173" s="34">
        <f t="shared" si="544"/>
        <v>-4530</v>
      </c>
      <c r="Z173" s="283"/>
      <c r="AA173" s="34">
        <f t="shared" si="545"/>
        <v>-4290</v>
      </c>
      <c r="AB173" s="283"/>
      <c r="AC173" s="34">
        <f t="shared" si="546"/>
        <v>-1890</v>
      </c>
      <c r="AD173" s="283"/>
      <c r="AE173" s="34">
        <f t="shared" si="547"/>
        <v>-5510</v>
      </c>
    </row>
    <row r="174" spans="2:31" ht="13.5" customHeight="1">
      <c r="B174" s="21" t="str">
        <f t="shared" si="534"/>
        <v>Disposals/ Acquistion, of subsidiaries, businesses</v>
      </c>
      <c r="C174" s="34">
        <f t="shared" si="534"/>
        <v>-7610</v>
      </c>
      <c r="D174" s="34">
        <f t="shared" si="534"/>
        <v>-1790</v>
      </c>
      <c r="E174" s="34">
        <f t="shared" si="534"/>
        <v>-1300</v>
      </c>
      <c r="F174" s="34">
        <f t="shared" ref="F174:G174" si="566">F65</f>
        <v>-560</v>
      </c>
      <c r="G174" s="34">
        <f t="shared" si="566"/>
        <v>-1360</v>
      </c>
      <c r="H174" s="34">
        <f t="shared" ref="H174:J174" si="567">H65</f>
        <v>-1850</v>
      </c>
      <c r="I174" s="34">
        <f t="shared" ref="I174" si="568">I65</f>
        <v>0</v>
      </c>
      <c r="J174" s="34">
        <f t="shared" si="567"/>
        <v>0</v>
      </c>
      <c r="K174" s="127"/>
      <c r="L174" s="283"/>
      <c r="M174" s="34">
        <f t="shared" si="538"/>
        <v>-150</v>
      </c>
      <c r="N174" s="283"/>
      <c r="O174" s="34">
        <f t="shared" si="539"/>
        <v>-1150</v>
      </c>
      <c r="P174" s="283"/>
      <c r="Q174" s="34">
        <f t="shared" si="540"/>
        <v>-560</v>
      </c>
      <c r="R174" s="283"/>
      <c r="S174" s="34">
        <f t="shared" si="541"/>
        <v>0</v>
      </c>
      <c r="T174" s="283"/>
      <c r="U174" s="34">
        <f t="shared" si="542"/>
        <v>-850</v>
      </c>
      <c r="V174" s="283"/>
      <c r="W174" s="34">
        <f t="shared" si="543"/>
        <v>-510</v>
      </c>
      <c r="X174" s="283"/>
      <c r="Y174" s="34">
        <f t="shared" si="544"/>
        <v>-1850</v>
      </c>
      <c r="Z174" s="283"/>
      <c r="AA174" s="34">
        <f t="shared" si="545"/>
        <v>0</v>
      </c>
      <c r="AB174" s="283"/>
      <c r="AC174" s="34">
        <f t="shared" si="546"/>
        <v>-470</v>
      </c>
      <c r="AD174" s="283"/>
      <c r="AE174" s="34">
        <f t="shared" si="547"/>
        <v>470</v>
      </c>
    </row>
    <row r="175" spans="2:31" s="26" customFormat="1" ht="13.5" customHeight="1" thickBot="1">
      <c r="B175" s="32" t="str">
        <f t="shared" si="534"/>
        <v xml:space="preserve">Free cash flow </v>
      </c>
      <c r="C175" s="31">
        <f t="shared" si="534"/>
        <v>49920</v>
      </c>
      <c r="D175" s="31">
        <f t="shared" si="534"/>
        <v>37210</v>
      </c>
      <c r="E175" s="31">
        <f t="shared" si="534"/>
        <v>27580</v>
      </c>
      <c r="F175" s="31">
        <f t="shared" ref="F175:G175" si="569">F66</f>
        <v>38570</v>
      </c>
      <c r="G175" s="31">
        <f t="shared" si="569"/>
        <v>-23940</v>
      </c>
      <c r="H175" s="31">
        <f t="shared" ref="H175:J175" si="570">H66</f>
        <v>59890</v>
      </c>
      <c r="I175" s="31">
        <f t="shared" ref="I175" si="571">I66</f>
        <v>26120</v>
      </c>
      <c r="J175" s="31">
        <f t="shared" si="570"/>
        <v>26120</v>
      </c>
      <c r="K175" s="33"/>
      <c r="L175" s="284"/>
      <c r="M175" s="31">
        <f t="shared" si="538"/>
        <v>-41340</v>
      </c>
      <c r="N175" s="284"/>
      <c r="O175" s="31">
        <f t="shared" si="539"/>
        <v>68920</v>
      </c>
      <c r="P175" s="284"/>
      <c r="Q175" s="31">
        <f t="shared" si="540"/>
        <v>-61070</v>
      </c>
      <c r="R175" s="284"/>
      <c r="S175" s="31">
        <f t="shared" si="541"/>
        <v>99640</v>
      </c>
      <c r="T175" s="284"/>
      <c r="U175" s="31">
        <f t="shared" si="542"/>
        <v>-116070</v>
      </c>
      <c r="V175" s="284"/>
      <c r="W175" s="31">
        <f t="shared" si="543"/>
        <v>92130</v>
      </c>
      <c r="X175" s="284"/>
      <c r="Y175" s="31">
        <f t="shared" si="544"/>
        <v>-51750</v>
      </c>
      <c r="Z175" s="284"/>
      <c r="AA175" s="31">
        <f t="shared" si="545"/>
        <v>111640</v>
      </c>
      <c r="AB175" s="284"/>
      <c r="AC175" s="31">
        <f t="shared" si="546"/>
        <v>-73410</v>
      </c>
      <c r="AD175" s="284"/>
      <c r="AE175" s="31">
        <f t="shared" si="547"/>
        <v>99530</v>
      </c>
    </row>
    <row r="176" spans="2:31" s="26" customFormat="1" ht="13.5" customHeight="1" thickTop="1">
      <c r="B176" s="21" t="str">
        <f t="shared" si="534"/>
        <v xml:space="preserve">Other Investing </v>
      </c>
      <c r="C176" s="34">
        <f t="shared" si="534"/>
        <v>530</v>
      </c>
      <c r="D176" s="34">
        <f t="shared" si="534"/>
        <v>1430</v>
      </c>
      <c r="E176" s="34">
        <f t="shared" si="534"/>
        <v>-11240</v>
      </c>
      <c r="F176" s="34">
        <f t="shared" ref="F176:G176" si="572">F67</f>
        <v>8550</v>
      </c>
      <c r="G176" s="34">
        <f t="shared" si="572"/>
        <v>-3880</v>
      </c>
      <c r="H176" s="34">
        <f t="shared" ref="H176:J176" si="573">H67</f>
        <v>-4000</v>
      </c>
      <c r="I176" s="34">
        <f t="shared" ref="I176" si="574">I67</f>
        <v>-90</v>
      </c>
      <c r="J176" s="34">
        <f t="shared" si="573"/>
        <v>-90</v>
      </c>
      <c r="K176" s="127"/>
      <c r="L176" s="283"/>
      <c r="M176" s="34">
        <f t="shared" si="538"/>
        <v>1020</v>
      </c>
      <c r="N176" s="283"/>
      <c r="O176" s="34">
        <f t="shared" si="539"/>
        <v>-12260</v>
      </c>
      <c r="P176" s="283"/>
      <c r="Q176" s="34">
        <f t="shared" si="540"/>
        <v>6240</v>
      </c>
      <c r="R176" s="283"/>
      <c r="S176" s="34">
        <f t="shared" si="541"/>
        <v>2310</v>
      </c>
      <c r="T176" s="283"/>
      <c r="U176" s="34">
        <f t="shared" si="542"/>
        <v>-2200</v>
      </c>
      <c r="V176" s="283"/>
      <c r="W176" s="34">
        <f t="shared" si="543"/>
        <v>-1680</v>
      </c>
      <c r="X176" s="283"/>
      <c r="Y176" s="34">
        <f t="shared" si="544"/>
        <v>180</v>
      </c>
      <c r="Z176" s="283"/>
      <c r="AA176" s="34">
        <f t="shared" si="545"/>
        <v>-4180</v>
      </c>
      <c r="AB176" s="283"/>
      <c r="AC176" s="34">
        <f t="shared" si="546"/>
        <v>2370</v>
      </c>
      <c r="AD176" s="283"/>
      <c r="AE176" s="34">
        <f t="shared" si="547"/>
        <v>-2460</v>
      </c>
    </row>
    <row r="177" spans="2:31" ht="13.5" customHeight="1">
      <c r="B177" s="21" t="str">
        <f t="shared" ref="B177:E184" si="575">B68</f>
        <v>Equity Issuance</v>
      </c>
      <c r="C177" s="34">
        <f t="shared" si="575"/>
        <v>0</v>
      </c>
      <c r="D177" s="34">
        <f t="shared" si="575"/>
        <v>0</v>
      </c>
      <c r="E177" s="34">
        <f t="shared" si="575"/>
        <v>0</v>
      </c>
      <c r="F177" s="34">
        <f t="shared" ref="F177:G177" si="576">F68</f>
        <v>-13550</v>
      </c>
      <c r="G177" s="34">
        <f t="shared" si="576"/>
        <v>0</v>
      </c>
      <c r="H177" s="34">
        <f t="shared" ref="H177:J177" si="577">H68</f>
        <v>16330</v>
      </c>
      <c r="I177" s="34">
        <f t="shared" ref="I177" si="578">I68</f>
        <v>17000</v>
      </c>
      <c r="J177" s="34">
        <f t="shared" si="577"/>
        <v>17000</v>
      </c>
      <c r="K177" s="127"/>
      <c r="L177" s="283"/>
      <c r="M177" s="34">
        <f t="shared" si="538"/>
        <v>0</v>
      </c>
      <c r="N177" s="283"/>
      <c r="O177" s="34">
        <f t="shared" si="539"/>
        <v>0</v>
      </c>
      <c r="P177" s="283"/>
      <c r="Q177" s="34">
        <f t="shared" si="540"/>
        <v>0</v>
      </c>
      <c r="R177" s="283"/>
      <c r="S177" s="34">
        <f t="shared" si="541"/>
        <v>-13550</v>
      </c>
      <c r="T177" s="283"/>
      <c r="U177" s="34">
        <f t="shared" si="542"/>
        <v>0</v>
      </c>
      <c r="V177" s="283"/>
      <c r="W177" s="34">
        <f t="shared" si="543"/>
        <v>0</v>
      </c>
      <c r="X177" s="283"/>
      <c r="Y177" s="34">
        <f t="shared" si="544"/>
        <v>0</v>
      </c>
      <c r="Z177" s="283"/>
      <c r="AA177" s="34">
        <f t="shared" si="545"/>
        <v>16330</v>
      </c>
      <c r="AB177" s="283"/>
      <c r="AC177" s="34">
        <f t="shared" si="546"/>
        <v>16850</v>
      </c>
      <c r="AD177" s="283"/>
      <c r="AE177" s="34">
        <f t="shared" si="547"/>
        <v>150</v>
      </c>
    </row>
    <row r="178" spans="2:31" ht="13.5" customHeight="1">
      <c r="B178" s="21" t="str">
        <f t="shared" si="575"/>
        <v>Dividends</v>
      </c>
      <c r="C178" s="34">
        <f t="shared" si="575"/>
        <v>-4570</v>
      </c>
      <c r="D178" s="34">
        <f t="shared" si="575"/>
        <v>-4580</v>
      </c>
      <c r="E178" s="34">
        <f t="shared" si="575"/>
        <v>-9220</v>
      </c>
      <c r="F178" s="34">
        <f t="shared" ref="F178:G178" si="579">F69</f>
        <v>-7500</v>
      </c>
      <c r="G178" s="34">
        <f t="shared" si="579"/>
        <v>-7490</v>
      </c>
      <c r="H178" s="34">
        <f t="shared" ref="H178:J178" si="580">H69</f>
        <v>-770</v>
      </c>
      <c r="I178" s="34">
        <f t="shared" ref="I178" si="581">I69</f>
        <v>-4870</v>
      </c>
      <c r="J178" s="34">
        <f t="shared" si="580"/>
        <v>-4870</v>
      </c>
      <c r="K178" s="127"/>
      <c r="L178" s="283"/>
      <c r="M178" s="34">
        <f t="shared" si="538"/>
        <v>-7630</v>
      </c>
      <c r="N178" s="283"/>
      <c r="O178" s="34">
        <f t="shared" si="539"/>
        <v>-1590</v>
      </c>
      <c r="P178" s="283"/>
      <c r="Q178" s="34">
        <f t="shared" si="540"/>
        <v>-7520</v>
      </c>
      <c r="R178" s="283"/>
      <c r="S178" s="34">
        <f t="shared" si="541"/>
        <v>20</v>
      </c>
      <c r="T178" s="283"/>
      <c r="U178" s="34">
        <f t="shared" si="542"/>
        <v>-7520</v>
      </c>
      <c r="V178" s="283"/>
      <c r="W178" s="34">
        <f t="shared" si="543"/>
        <v>30</v>
      </c>
      <c r="X178" s="283"/>
      <c r="Y178" s="34">
        <f t="shared" si="544"/>
        <v>-760</v>
      </c>
      <c r="Z178" s="283"/>
      <c r="AA178" s="34">
        <f t="shared" si="545"/>
        <v>-10</v>
      </c>
      <c r="AB178" s="283"/>
      <c r="AC178" s="34">
        <f t="shared" si="546"/>
        <v>-4780</v>
      </c>
      <c r="AD178" s="283"/>
      <c r="AE178" s="34">
        <f t="shared" si="547"/>
        <v>-90</v>
      </c>
    </row>
    <row r="179" spans="2:31" ht="13.5" customHeight="1">
      <c r="B179" s="21" t="str">
        <f t="shared" si="575"/>
        <v>Net Change in debt</v>
      </c>
      <c r="C179" s="34">
        <f t="shared" si="575"/>
        <v>1570</v>
      </c>
      <c r="D179" s="34">
        <f t="shared" si="575"/>
        <v>-42190</v>
      </c>
      <c r="E179" s="34">
        <f t="shared" si="575"/>
        <v>13060</v>
      </c>
      <c r="F179" s="34">
        <f t="shared" ref="F179:G179" si="582">F70</f>
        <v>-45950</v>
      </c>
      <c r="G179" s="34">
        <f t="shared" si="582"/>
        <v>48050</v>
      </c>
      <c r="H179" s="34">
        <f t="shared" ref="H179:J179" si="583">H70</f>
        <v>-58840</v>
      </c>
      <c r="I179" s="34">
        <f t="shared" ref="I179" si="584">I70</f>
        <v>-82170</v>
      </c>
      <c r="J179" s="34">
        <f t="shared" si="583"/>
        <v>-82170</v>
      </c>
      <c r="K179" s="127"/>
      <c r="L179" s="283"/>
      <c r="M179" s="34">
        <f t="shared" si="538"/>
        <v>30680</v>
      </c>
      <c r="N179" s="283"/>
      <c r="O179" s="34">
        <f t="shared" si="539"/>
        <v>-17620</v>
      </c>
      <c r="P179" s="283"/>
      <c r="Q179" s="34">
        <f t="shared" si="540"/>
        <v>50060</v>
      </c>
      <c r="R179" s="283"/>
      <c r="S179" s="34">
        <f t="shared" si="541"/>
        <v>-96010</v>
      </c>
      <c r="T179" s="283"/>
      <c r="U179" s="34">
        <f t="shared" si="542"/>
        <v>107090</v>
      </c>
      <c r="V179" s="283"/>
      <c r="W179" s="34">
        <f t="shared" si="543"/>
        <v>-59040</v>
      </c>
      <c r="X179" s="283"/>
      <c r="Y179" s="34">
        <f t="shared" si="544"/>
        <v>31850</v>
      </c>
      <c r="Z179" s="283"/>
      <c r="AA179" s="34">
        <f t="shared" si="545"/>
        <v>-90690</v>
      </c>
      <c r="AB179" s="283"/>
      <c r="AC179" s="34">
        <f t="shared" si="546"/>
        <v>1990</v>
      </c>
      <c r="AD179" s="283"/>
      <c r="AE179" s="34">
        <f t="shared" si="547"/>
        <v>-84160</v>
      </c>
    </row>
    <row r="180" spans="2:31" ht="13.5" customHeight="1">
      <c r="B180" s="21" t="str">
        <f t="shared" si="575"/>
        <v>Other financing activities</v>
      </c>
      <c r="C180" s="34">
        <f t="shared" si="575"/>
        <v>-2290</v>
      </c>
      <c r="D180" s="34">
        <f t="shared" si="575"/>
        <v>-3810</v>
      </c>
      <c r="E180" s="34">
        <f t="shared" si="575"/>
        <v>-3640</v>
      </c>
      <c r="F180" s="34">
        <f t="shared" ref="F180:G180" si="585">F71</f>
        <v>28180</v>
      </c>
      <c r="G180" s="34">
        <f t="shared" si="585"/>
        <v>-4870</v>
      </c>
      <c r="H180" s="34">
        <f t="shared" ref="H180:J180" si="586">H71</f>
        <v>28630</v>
      </c>
      <c r="I180" s="34">
        <f t="shared" ref="I180" si="587">I71</f>
        <v>0</v>
      </c>
      <c r="J180" s="34">
        <f t="shared" si="586"/>
        <v>0</v>
      </c>
      <c r="K180" s="127"/>
      <c r="L180" s="283"/>
      <c r="M180" s="34">
        <f t="shared" si="538"/>
        <v>-1820</v>
      </c>
      <c r="N180" s="283"/>
      <c r="O180" s="34">
        <f t="shared" si="539"/>
        <v>-1820</v>
      </c>
      <c r="P180" s="283"/>
      <c r="Q180" s="34">
        <f t="shared" si="540"/>
        <v>-1910</v>
      </c>
      <c r="R180" s="283"/>
      <c r="S180" s="34">
        <f t="shared" si="541"/>
        <v>30090</v>
      </c>
      <c r="T180" s="283"/>
      <c r="U180" s="34">
        <f t="shared" si="542"/>
        <v>-1860</v>
      </c>
      <c r="V180" s="283"/>
      <c r="W180" s="34">
        <f t="shared" si="543"/>
        <v>-3010</v>
      </c>
      <c r="X180" s="283"/>
      <c r="Y180" s="34">
        <f t="shared" si="544"/>
        <v>-2520</v>
      </c>
      <c r="Z180" s="283"/>
      <c r="AA180" s="34">
        <f t="shared" si="545"/>
        <v>31150</v>
      </c>
      <c r="AB180" s="283"/>
      <c r="AC180" s="34">
        <f t="shared" si="546"/>
        <v>0</v>
      </c>
      <c r="AD180" s="283"/>
      <c r="AE180" s="34">
        <f t="shared" si="547"/>
        <v>0</v>
      </c>
    </row>
    <row r="181" spans="2:31" s="26" customFormat="1" ht="13.5" customHeight="1" thickBot="1">
      <c r="B181" s="32" t="str">
        <f t="shared" si="575"/>
        <v>Cash flow after financing activities</v>
      </c>
      <c r="C181" s="31">
        <f t="shared" si="575"/>
        <v>45160</v>
      </c>
      <c r="D181" s="31">
        <f t="shared" si="575"/>
        <v>-11940</v>
      </c>
      <c r="E181" s="31">
        <f t="shared" si="575"/>
        <v>16540</v>
      </c>
      <c r="F181" s="31">
        <f t="shared" ref="F181:G181" si="588">F72</f>
        <v>8300</v>
      </c>
      <c r="G181" s="31">
        <f t="shared" si="588"/>
        <v>7870</v>
      </c>
      <c r="H181" s="31">
        <f t="shared" ref="H181:J181" si="589">H72</f>
        <v>41240</v>
      </c>
      <c r="I181" s="31">
        <f t="shared" ref="I181" si="590">I72</f>
        <v>-44010</v>
      </c>
      <c r="J181" s="31">
        <f t="shared" si="589"/>
        <v>-44010</v>
      </c>
      <c r="K181" s="33"/>
      <c r="L181" s="284"/>
      <c r="M181" s="31">
        <f t="shared" si="538"/>
        <v>-19090</v>
      </c>
      <c r="N181" s="284"/>
      <c r="O181" s="31">
        <f t="shared" si="539"/>
        <v>35630</v>
      </c>
      <c r="P181" s="284"/>
      <c r="Q181" s="31">
        <f t="shared" si="540"/>
        <v>-14200</v>
      </c>
      <c r="R181" s="284"/>
      <c r="S181" s="31">
        <f t="shared" si="541"/>
        <v>22500</v>
      </c>
      <c r="T181" s="284"/>
      <c r="U181" s="31">
        <f t="shared" si="542"/>
        <v>-20560</v>
      </c>
      <c r="V181" s="284"/>
      <c r="W181" s="31">
        <f t="shared" si="543"/>
        <v>28430</v>
      </c>
      <c r="X181" s="284"/>
      <c r="Y181" s="31">
        <f t="shared" si="544"/>
        <v>-23000</v>
      </c>
      <c r="Z181" s="284"/>
      <c r="AA181" s="31">
        <f t="shared" si="545"/>
        <v>64240</v>
      </c>
      <c r="AB181" s="284"/>
      <c r="AC181" s="31">
        <f t="shared" si="546"/>
        <v>-56980</v>
      </c>
      <c r="AD181" s="284"/>
      <c r="AE181" s="31">
        <f t="shared" si="547"/>
        <v>12970</v>
      </c>
    </row>
    <row r="182" spans="2:31" s="26" customFormat="1" ht="13.5" customHeight="1" thickTop="1">
      <c r="B182" s="21" t="str">
        <f t="shared" si="575"/>
        <v>Balancing figure</v>
      </c>
      <c r="C182" s="34">
        <f t="shared" si="575"/>
        <v>-5950</v>
      </c>
      <c r="D182" s="34">
        <f t="shared" si="575"/>
        <v>-4080</v>
      </c>
      <c r="E182" s="34">
        <f t="shared" si="575"/>
        <v>-8980</v>
      </c>
      <c r="F182" s="34">
        <f t="shared" ref="F182:G182" si="591">F73</f>
        <v>-7960</v>
      </c>
      <c r="G182" s="34">
        <f t="shared" si="591"/>
        <v>-12790</v>
      </c>
      <c r="H182" s="34">
        <f t="shared" ref="H182:J182" si="592">H73</f>
        <v>-6830</v>
      </c>
      <c r="I182" s="34">
        <f t="shared" ref="I182" si="593">I73</f>
        <v>110</v>
      </c>
      <c r="J182" s="34">
        <f t="shared" si="592"/>
        <v>110</v>
      </c>
      <c r="K182" s="127"/>
      <c r="L182" s="283"/>
      <c r="M182" s="34">
        <f t="shared" si="538"/>
        <v>-2540</v>
      </c>
      <c r="N182" s="283"/>
      <c r="O182" s="34">
        <f t="shared" si="539"/>
        <v>-6440</v>
      </c>
      <c r="P182" s="283"/>
      <c r="Q182" s="34">
        <f t="shared" si="540"/>
        <v>-5350</v>
      </c>
      <c r="R182" s="283"/>
      <c r="S182" s="34">
        <f t="shared" si="541"/>
        <v>-2610</v>
      </c>
      <c r="T182" s="283"/>
      <c r="U182" s="34">
        <f t="shared" si="542"/>
        <v>-5960</v>
      </c>
      <c r="V182" s="283"/>
      <c r="W182" s="34">
        <f t="shared" si="543"/>
        <v>-6830</v>
      </c>
      <c r="X182" s="283"/>
      <c r="Y182" s="34">
        <f t="shared" si="544"/>
        <v>4570</v>
      </c>
      <c r="Z182" s="283"/>
      <c r="AA182" s="34">
        <f t="shared" si="545"/>
        <v>-11400</v>
      </c>
      <c r="AB182" s="283"/>
      <c r="AC182" s="34">
        <f t="shared" si="546"/>
        <v>-610</v>
      </c>
      <c r="AD182" s="283"/>
      <c r="AE182" s="34">
        <f t="shared" si="547"/>
        <v>720</v>
      </c>
    </row>
    <row r="183" spans="2:31" ht="13.5" customHeight="1">
      <c r="B183" s="21" t="str">
        <f t="shared" si="575"/>
        <v xml:space="preserve">FX </v>
      </c>
      <c r="C183" s="34">
        <f t="shared" si="575"/>
        <v>-230</v>
      </c>
      <c r="D183" s="34">
        <f t="shared" si="575"/>
        <v>-3250</v>
      </c>
      <c r="E183" s="34">
        <f t="shared" si="575"/>
        <v>2440</v>
      </c>
      <c r="F183" s="34">
        <f t="shared" ref="F183:G183" si="594">F74</f>
        <v>1360</v>
      </c>
      <c r="G183" s="34">
        <f t="shared" si="594"/>
        <v>4680</v>
      </c>
      <c r="H183" s="34">
        <f t="shared" ref="H183:J183" si="595">H74</f>
        <v>940</v>
      </c>
      <c r="I183" s="34">
        <f t="shared" ref="I183" si="596">I74</f>
        <v>8870</v>
      </c>
      <c r="J183" s="34">
        <f t="shared" si="595"/>
        <v>8870</v>
      </c>
      <c r="K183" s="127"/>
      <c r="L183" s="283"/>
      <c r="M183" s="34">
        <f t="shared" si="538"/>
        <v>1770</v>
      </c>
      <c r="N183" s="283"/>
      <c r="O183" s="34">
        <f t="shared" si="539"/>
        <v>670</v>
      </c>
      <c r="P183" s="283"/>
      <c r="Q183" s="34">
        <f t="shared" si="540"/>
        <v>-2540</v>
      </c>
      <c r="R183" s="283"/>
      <c r="S183" s="34">
        <f t="shared" si="541"/>
        <v>3900</v>
      </c>
      <c r="T183" s="283"/>
      <c r="U183" s="34">
        <f t="shared" si="542"/>
        <v>-2150</v>
      </c>
      <c r="V183" s="283"/>
      <c r="W183" s="34">
        <f t="shared" si="543"/>
        <v>6830</v>
      </c>
      <c r="X183" s="283"/>
      <c r="Y183" s="34">
        <f t="shared" si="544"/>
        <v>-2260</v>
      </c>
      <c r="Z183" s="283"/>
      <c r="AA183" s="34">
        <f t="shared" si="545"/>
        <v>3200</v>
      </c>
      <c r="AB183" s="283"/>
      <c r="AC183" s="34">
        <f t="shared" si="546"/>
        <v>3390</v>
      </c>
      <c r="AD183" s="283"/>
      <c r="AE183" s="34">
        <f t="shared" si="547"/>
        <v>5480</v>
      </c>
    </row>
    <row r="184" spans="2:31" s="26" customFormat="1" ht="13.5" customHeight="1" thickBot="1">
      <c r="B184" s="32" t="str">
        <f t="shared" si="575"/>
        <v xml:space="preserve">Net change in cash </v>
      </c>
      <c r="C184" s="31">
        <f t="shared" si="575"/>
        <v>38980</v>
      </c>
      <c r="D184" s="31">
        <f t="shared" si="575"/>
        <v>-19270</v>
      </c>
      <c r="E184" s="31">
        <f t="shared" si="575"/>
        <v>10000</v>
      </c>
      <c r="F184" s="31">
        <f t="shared" ref="F184:G184" si="597">F75</f>
        <v>1700</v>
      </c>
      <c r="G184" s="31">
        <f t="shared" si="597"/>
        <v>-240</v>
      </c>
      <c r="H184" s="31">
        <f t="shared" ref="H184:J184" si="598">H75</f>
        <v>35350</v>
      </c>
      <c r="I184" s="31">
        <f t="shared" ref="I184" si="599">I75</f>
        <v>-35030</v>
      </c>
      <c r="J184" s="31">
        <f t="shared" si="598"/>
        <v>-35030</v>
      </c>
      <c r="K184" s="33"/>
      <c r="L184" s="284"/>
      <c r="M184" s="31">
        <f t="shared" si="538"/>
        <v>-19860</v>
      </c>
      <c r="N184" s="284"/>
      <c r="O184" s="31">
        <f t="shared" si="539"/>
        <v>29860</v>
      </c>
      <c r="P184" s="284"/>
      <c r="Q184" s="31">
        <f t="shared" si="540"/>
        <v>-22090</v>
      </c>
      <c r="R184" s="284"/>
      <c r="S184" s="31">
        <f t="shared" si="541"/>
        <v>23790</v>
      </c>
      <c r="T184" s="284"/>
      <c r="U184" s="31">
        <f t="shared" si="542"/>
        <v>-28670</v>
      </c>
      <c r="V184" s="284"/>
      <c r="W184" s="31">
        <f t="shared" si="543"/>
        <v>28430</v>
      </c>
      <c r="X184" s="284"/>
      <c r="Y184" s="31">
        <f t="shared" si="544"/>
        <v>-20690</v>
      </c>
      <c r="Z184" s="284"/>
      <c r="AA184" s="31">
        <f t="shared" si="545"/>
        <v>56040</v>
      </c>
      <c r="AB184" s="284"/>
      <c r="AC184" s="31">
        <f t="shared" si="546"/>
        <v>-54200</v>
      </c>
      <c r="AD184" s="284"/>
      <c r="AE184" s="31">
        <f t="shared" si="547"/>
        <v>19170</v>
      </c>
    </row>
    <row r="185" spans="2:31" ht="13.5" customHeight="1" thickTop="1">
      <c r="C185" s="30"/>
      <c r="D185" s="30"/>
      <c r="E185" s="30"/>
      <c r="F185" s="30"/>
      <c r="G185" s="30"/>
      <c r="H185" s="30"/>
      <c r="I185" s="30"/>
      <c r="J185" s="30"/>
      <c r="K185" s="30"/>
      <c r="L185" s="285"/>
      <c r="M185" s="30"/>
      <c r="N185" s="285"/>
      <c r="O185" s="30"/>
      <c r="P185" s="285"/>
      <c r="Q185" s="30"/>
      <c r="R185" s="285"/>
      <c r="S185" s="30"/>
      <c r="T185" s="285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</row>
    <row r="186" spans="2:31" s="26" customFormat="1" ht="13.5" customHeight="1">
      <c r="B186" s="26" t="str">
        <f>+B120</f>
        <v>Total debt</v>
      </c>
      <c r="C186" s="33">
        <f>C120</f>
        <v>296010</v>
      </c>
      <c r="D186" s="33">
        <f>D120</f>
        <v>247850</v>
      </c>
      <c r="E186" s="33">
        <f t="shared" ref="E186:F186" si="600">E120</f>
        <v>403234</v>
      </c>
      <c r="F186" s="33">
        <f t="shared" si="600"/>
        <v>370865.2</v>
      </c>
      <c r="G186" s="33">
        <f t="shared" ref="G186:H186" si="601">G120</f>
        <v>396410.22000000003</v>
      </c>
      <c r="H186" s="33">
        <f t="shared" si="601"/>
        <v>354720</v>
      </c>
      <c r="I186" s="33">
        <f t="shared" ref="I186" si="602">I120</f>
        <v>338070</v>
      </c>
      <c r="J186" s="33">
        <f t="shared" ref="J186" si="603">J120</f>
        <v>338070</v>
      </c>
      <c r="K186" s="33"/>
      <c r="L186" s="286"/>
      <c r="M186" s="33">
        <f>M120</f>
        <v>345142.30964715447</v>
      </c>
      <c r="N186" s="286"/>
      <c r="O186" s="33">
        <f>O120</f>
        <v>403234</v>
      </c>
      <c r="P186" s="286"/>
      <c r="Q186" s="33">
        <f>Q120</f>
        <v>417128.67363982828</v>
      </c>
      <c r="R186" s="286"/>
      <c r="S186" s="33">
        <f>S120</f>
        <v>370865.2</v>
      </c>
      <c r="T186" s="286"/>
      <c r="U186" s="33">
        <f t="shared" ref="U186:W187" si="604">U120</f>
        <v>426792.66065588762</v>
      </c>
      <c r="V186" s="33">
        <f t="shared" si="604"/>
        <v>361730</v>
      </c>
      <c r="W186" s="33">
        <f t="shared" si="604"/>
        <v>396410.22000000003</v>
      </c>
      <c r="X186" s="33">
        <f t="shared" ref="X186" si="605">X120</f>
        <v>316450</v>
      </c>
      <c r="Y186" s="33">
        <f>Y120</f>
        <v>408382.42029375694</v>
      </c>
      <c r="Z186" s="33">
        <f>Z120</f>
        <v>346799</v>
      </c>
      <c r="AA186" s="33">
        <f t="shared" ref="AA186:AB186" si="606">AA120</f>
        <v>354720</v>
      </c>
      <c r="AB186" s="33">
        <f t="shared" si="606"/>
        <v>268350</v>
      </c>
      <c r="AC186" s="33">
        <f>AC120</f>
        <v>300220</v>
      </c>
      <c r="AD186" s="33">
        <f>AD120</f>
        <v>284640</v>
      </c>
      <c r="AE186" s="33">
        <f t="shared" ref="AE186" si="607">AE120</f>
        <v>338070</v>
      </c>
    </row>
    <row r="187" spans="2:31" ht="13.5" customHeight="1">
      <c r="B187" s="21" t="str">
        <f>+B121</f>
        <v>Cash and cash equivalents</v>
      </c>
      <c r="C187" s="30">
        <f>C121</f>
        <v>67520</v>
      </c>
      <c r="D187" s="30">
        <f>D121</f>
        <v>48530</v>
      </c>
      <c r="E187" s="30">
        <f t="shared" ref="E187:F187" si="608">E121</f>
        <v>61200</v>
      </c>
      <c r="F187" s="30">
        <f t="shared" si="608"/>
        <v>60970</v>
      </c>
      <c r="G187" s="30">
        <f t="shared" ref="G187:H187" si="609">G121</f>
        <v>60360</v>
      </c>
      <c r="H187" s="30">
        <f t="shared" si="609"/>
        <v>95370</v>
      </c>
      <c r="I187" s="30">
        <f t="shared" ref="I187" si="610">I121</f>
        <v>60860</v>
      </c>
      <c r="J187" s="30">
        <f t="shared" ref="J187" si="611">J121</f>
        <v>60860</v>
      </c>
      <c r="K187" s="30"/>
      <c r="L187" s="285"/>
      <c r="M187" s="30">
        <f>M121</f>
        <v>28670</v>
      </c>
      <c r="N187" s="285"/>
      <c r="O187" s="30">
        <f>O121</f>
        <v>61200</v>
      </c>
      <c r="P187" s="285"/>
      <c r="Q187" s="30">
        <f>Q121</f>
        <v>35880</v>
      </c>
      <c r="R187" s="285"/>
      <c r="S187" s="30">
        <f>S121</f>
        <v>60970</v>
      </c>
      <c r="T187" s="285"/>
      <c r="U187" s="30">
        <f t="shared" si="604"/>
        <v>31700</v>
      </c>
      <c r="V187" s="30">
        <f t="shared" si="604"/>
        <v>44730</v>
      </c>
      <c r="W187" s="30">
        <f t="shared" si="604"/>
        <v>60360</v>
      </c>
      <c r="X187" s="30">
        <f t="shared" ref="X187" si="612">X121</f>
        <v>39050</v>
      </c>
      <c r="Y187" s="30">
        <f>Y121</f>
        <v>39100</v>
      </c>
      <c r="Z187" s="30">
        <f>Z121</f>
        <v>40980</v>
      </c>
      <c r="AA187" s="30">
        <f t="shared" ref="AA187:AB187" si="613">AA121</f>
        <v>95370</v>
      </c>
      <c r="AB187" s="30">
        <f t="shared" si="613"/>
        <v>49980</v>
      </c>
      <c r="AC187" s="30">
        <f>AC121</f>
        <v>41520</v>
      </c>
      <c r="AD187" s="30">
        <f>AD121</f>
        <v>45950</v>
      </c>
      <c r="AE187" s="30">
        <f t="shared" ref="AE187" si="614">AE121</f>
        <v>60860</v>
      </c>
    </row>
    <row r="188" spans="2:31" s="26" customFormat="1" ht="13.5" customHeight="1" thickBot="1">
      <c r="B188" s="32" t="str">
        <f>+B123</f>
        <v xml:space="preserve">Net debt </v>
      </c>
      <c r="C188" s="31">
        <f t="shared" ref="C188:G188" si="615">C123</f>
        <v>228490</v>
      </c>
      <c r="D188" s="31">
        <f t="shared" si="615"/>
        <v>198950</v>
      </c>
      <c r="E188" s="31">
        <f t="shared" si="615"/>
        <v>333634</v>
      </c>
      <c r="F188" s="31">
        <f t="shared" si="615"/>
        <v>309435.2</v>
      </c>
      <c r="G188" s="31">
        <f t="shared" si="615"/>
        <v>333440.22000000003</v>
      </c>
      <c r="H188" s="31">
        <f t="shared" ref="H188:J188" si="616">H123</f>
        <v>256150</v>
      </c>
      <c r="I188" s="31">
        <f t="shared" ref="I188" si="617">I123</f>
        <v>270870</v>
      </c>
      <c r="J188" s="31">
        <f t="shared" si="616"/>
        <v>270870</v>
      </c>
      <c r="K188" s="33"/>
      <c r="L188" s="284"/>
      <c r="M188" s="31">
        <f t="shared" ref="M188:O188" si="618">M123</f>
        <v>316472.30964715447</v>
      </c>
      <c r="N188" s="284"/>
      <c r="O188" s="31">
        <f t="shared" si="618"/>
        <v>333634</v>
      </c>
      <c r="P188" s="284"/>
      <c r="Q188" s="31">
        <f t="shared" ref="Q188" si="619">Q123</f>
        <v>376798.67363982828</v>
      </c>
      <c r="R188" s="284"/>
      <c r="S188" s="31">
        <f t="shared" ref="S188" si="620">S123</f>
        <v>309435.2</v>
      </c>
      <c r="T188" s="284"/>
      <c r="U188" s="31">
        <f t="shared" ref="U188:V188" si="621">U123</f>
        <v>393622.66065588762</v>
      </c>
      <c r="V188" s="31">
        <f t="shared" si="621"/>
        <v>313460</v>
      </c>
      <c r="W188" s="31">
        <f t="shared" ref="W188:X188" si="622">W123</f>
        <v>333440.22000000003</v>
      </c>
      <c r="X188" s="31">
        <f t="shared" si="622"/>
        <v>275000</v>
      </c>
      <c r="Y188" s="31">
        <f t="shared" ref="Y188:AB188" si="623">Y123</f>
        <v>365252.42029375694</v>
      </c>
      <c r="Z188" s="31">
        <f t="shared" si="623"/>
        <v>303059</v>
      </c>
      <c r="AA188" s="31">
        <f t="shared" si="623"/>
        <v>256150</v>
      </c>
      <c r="AB188" s="31">
        <f t="shared" si="623"/>
        <v>213710</v>
      </c>
      <c r="AC188" s="31">
        <f t="shared" ref="AC188:AE188" si="624">AC123</f>
        <v>252620</v>
      </c>
      <c r="AD188" s="31">
        <f t="shared" si="624"/>
        <v>233170</v>
      </c>
      <c r="AE188" s="31">
        <f t="shared" si="624"/>
        <v>270870</v>
      </c>
    </row>
    <row r="189" spans="2:31" ht="13.5" customHeight="1" thickTop="1">
      <c r="C189" s="25"/>
      <c r="D189" s="25"/>
      <c r="E189" s="25"/>
      <c r="F189" s="25"/>
      <c r="G189" s="25"/>
      <c r="H189" s="25"/>
      <c r="I189" s="25"/>
      <c r="J189" s="25"/>
      <c r="K189" s="25"/>
      <c r="L189" s="287"/>
      <c r="M189" s="25"/>
      <c r="N189" s="287"/>
      <c r="O189" s="25"/>
      <c r="P189" s="287"/>
      <c r="Q189" s="25"/>
      <c r="R189" s="287"/>
      <c r="S189" s="25"/>
      <c r="T189" s="287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 spans="2:31" ht="13.5" customHeight="1">
      <c r="B190" s="26" t="str">
        <f t="shared" ref="B190:F190" si="625">B125</f>
        <v>Company reported net debt</v>
      </c>
      <c r="C190" s="49">
        <f t="shared" si="625"/>
        <v>228490</v>
      </c>
      <c r="D190" s="49">
        <f t="shared" si="625"/>
        <v>198950</v>
      </c>
      <c r="E190" s="49">
        <f t="shared" si="625"/>
        <v>333634</v>
      </c>
      <c r="F190" s="49">
        <f t="shared" si="625"/>
        <v>169020</v>
      </c>
      <c r="G190" s="49">
        <f t="shared" ref="G190:H190" si="626">G125</f>
        <v>221700</v>
      </c>
      <c r="H190" s="49">
        <f t="shared" si="626"/>
        <v>172670</v>
      </c>
      <c r="I190" s="49">
        <f t="shared" ref="I190" si="627">I125</f>
        <v>153250</v>
      </c>
      <c r="J190" s="49">
        <f t="shared" ref="J190" si="628">J125</f>
        <v>153250</v>
      </c>
      <c r="K190" s="30"/>
      <c r="L190" s="288"/>
      <c r="M190" s="49">
        <f t="shared" ref="M190:O190" si="629">M125</f>
        <v>316472.30964715447</v>
      </c>
      <c r="N190" s="288"/>
      <c r="O190" s="49">
        <f t="shared" si="629"/>
        <v>333634</v>
      </c>
      <c r="P190" s="288"/>
      <c r="Q190" s="49">
        <f t="shared" ref="Q190" si="630">Q125</f>
        <v>376798.67363982828</v>
      </c>
      <c r="R190" s="288"/>
      <c r="S190" s="49">
        <f t="shared" ref="S190" si="631">S125</f>
        <v>169020</v>
      </c>
      <c r="T190" s="288"/>
      <c r="U190" s="49">
        <f t="shared" ref="U190:V190" si="632">U125</f>
        <v>393622.66065588762</v>
      </c>
      <c r="V190" s="207">
        <f t="shared" si="632"/>
        <v>313460</v>
      </c>
      <c r="W190" s="49">
        <f t="shared" ref="W190:X190" si="633">W125</f>
        <v>221700</v>
      </c>
      <c r="X190" s="49">
        <f t="shared" si="633"/>
        <v>275000</v>
      </c>
      <c r="Y190" s="49">
        <f t="shared" ref="Y190:AB190" si="634">Y125</f>
        <v>275310</v>
      </c>
      <c r="Z190" s="207">
        <f t="shared" si="634"/>
        <v>303059</v>
      </c>
      <c r="AA190" s="49">
        <f t="shared" si="634"/>
        <v>172670</v>
      </c>
      <c r="AB190" s="49">
        <f t="shared" si="634"/>
        <v>213710</v>
      </c>
      <c r="AC190" s="49">
        <f t="shared" ref="AC190:AE190" si="635">AC125</f>
        <v>238020</v>
      </c>
      <c r="AD190" s="207">
        <f t="shared" si="635"/>
        <v>233170</v>
      </c>
      <c r="AE190" s="49">
        <f t="shared" si="635"/>
        <v>153250</v>
      </c>
    </row>
    <row r="191" spans="2:31" ht="13.5" customHeight="1">
      <c r="C191" s="25"/>
      <c r="D191" s="25"/>
      <c r="E191" s="25"/>
      <c r="F191" s="25"/>
      <c r="G191" s="25"/>
      <c r="H191" s="25"/>
      <c r="I191" s="25"/>
      <c r="J191" s="25"/>
      <c r="K191" s="25"/>
      <c r="L191" s="287"/>
      <c r="M191" s="25"/>
      <c r="N191" s="287"/>
      <c r="O191" s="25"/>
      <c r="P191" s="287"/>
      <c r="Q191" s="25"/>
      <c r="R191" s="287"/>
      <c r="S191" s="25"/>
      <c r="T191" s="287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 spans="2:31" ht="13.5" customHeight="1">
      <c r="B192" s="26" t="str">
        <f>+B132</f>
        <v>Net Leverage excluding lease obligations</v>
      </c>
      <c r="C192" s="28">
        <f t="shared" ref="C192:D193" si="636">C132</f>
        <v>3.1207940306912572</v>
      </c>
      <c r="D192" s="28">
        <f t="shared" si="636"/>
        <v>2.2378782568057014</v>
      </c>
      <c r="E192" s="28">
        <f t="shared" ref="E192:F192" si="637">E132</f>
        <v>3.1992523364485983</v>
      </c>
      <c r="F192" s="28">
        <f t="shared" si="637"/>
        <v>2.6841581678296653</v>
      </c>
      <c r="G192" s="28">
        <f t="shared" ref="G192:H192" si="638">G132</f>
        <v>5.8074382592928382</v>
      </c>
      <c r="H192" s="28">
        <f t="shared" si="638"/>
        <v>2.9839901477832513</v>
      </c>
      <c r="I192" s="28">
        <f t="shared" ref="I192" si="639">I132</f>
        <v>2.6655193992490611</v>
      </c>
      <c r="J192" s="28">
        <f t="shared" ref="J192" si="640">J132</f>
        <v>2.6655193992490611</v>
      </c>
      <c r="K192" s="28"/>
      <c r="L192" s="289"/>
      <c r="M192" s="289"/>
      <c r="N192" s="289"/>
      <c r="O192" s="28">
        <f t="shared" ref="O192:Q193" si="641">O132</f>
        <v>3.1992523364485983</v>
      </c>
      <c r="P192" s="289"/>
      <c r="Q192" s="28">
        <f t="shared" si="641"/>
        <v>3.2363535682602769</v>
      </c>
      <c r="R192" s="289"/>
      <c r="S192" s="28">
        <f t="shared" ref="S192" si="642">S132</f>
        <v>2.6841581678296653</v>
      </c>
      <c r="T192" s="289"/>
      <c r="U192" s="28">
        <f t="shared" ref="U192:V192" si="643">U132</f>
        <v>4.1542415059117133</v>
      </c>
      <c r="V192" s="28">
        <f t="shared" si="643"/>
        <v>4.738624338624339</v>
      </c>
      <c r="W192" s="28">
        <f t="shared" ref="W192:X193" si="644">W132</f>
        <v>5.8074382592928382</v>
      </c>
      <c r="X192" s="28">
        <f t="shared" si="644"/>
        <v>5.4272745214130653</v>
      </c>
      <c r="Y192" s="28">
        <f t="shared" ref="Y192:AA193" si="645">Y132</f>
        <v>6.9331838322240023</v>
      </c>
      <c r="Z192" s="28">
        <f t="shared" si="645"/>
        <v>4.4456359102244392</v>
      </c>
      <c r="AA192" s="28">
        <f t="shared" si="645"/>
        <v>2.9839901477832513</v>
      </c>
      <c r="AB192" s="28">
        <f t="shared" ref="AB192:AE192" si="646">AB132</f>
        <v>2.5816622372553759</v>
      </c>
      <c r="AC192" s="28">
        <f t="shared" si="646"/>
        <v>2.6722802290333445</v>
      </c>
      <c r="AD192" s="28">
        <f t="shared" si="646"/>
        <v>2.540531706254086</v>
      </c>
      <c r="AE192" s="28">
        <f t="shared" si="646"/>
        <v>2.6655193992490611</v>
      </c>
    </row>
    <row r="193" spans="2:32" ht="13.5" customHeight="1">
      <c r="B193" s="21" t="str">
        <f>+B133</f>
        <v>Gross Leverage  excluding lease obligations</v>
      </c>
      <c r="C193" s="29">
        <f t="shared" si="636"/>
        <v>4.0713782908630156</v>
      </c>
      <c r="D193" s="29">
        <f t="shared" si="636"/>
        <v>2.8092066830237177</v>
      </c>
      <c r="E193" s="29">
        <f t="shared" ref="E193:F193" si="647">E133</f>
        <v>3.8839547466797835</v>
      </c>
      <c r="F193" s="29">
        <f t="shared" si="647"/>
        <v>3.2337198067632853</v>
      </c>
      <c r="G193" s="29">
        <f t="shared" ref="G193:H193" si="648">G133</f>
        <v>6.9492333635539447</v>
      </c>
      <c r="H193" s="29">
        <f t="shared" si="648"/>
        <v>4.1979064039408867</v>
      </c>
      <c r="I193" s="29">
        <f t="shared" ref="I193" si="649">I133</f>
        <v>3.3663954943679602</v>
      </c>
      <c r="J193" s="29">
        <f t="shared" ref="J193" si="650">J133</f>
        <v>3.3663954943679602</v>
      </c>
      <c r="K193" s="29"/>
      <c r="L193" s="281"/>
      <c r="M193" s="281"/>
      <c r="N193" s="281"/>
      <c r="O193" s="29">
        <f t="shared" si="641"/>
        <v>3.8839547466797835</v>
      </c>
      <c r="P193" s="281"/>
      <c r="Q193" s="29">
        <f t="shared" si="641"/>
        <v>3.5911213374369133</v>
      </c>
      <c r="R193" s="281"/>
      <c r="S193" s="29">
        <f t="shared" ref="S193" si="651">S133</f>
        <v>3.2337198067632853</v>
      </c>
      <c r="T193" s="281"/>
      <c r="U193" s="29">
        <f t="shared" ref="U193:V193" si="652">U133</f>
        <v>4.5134574469989994</v>
      </c>
      <c r="V193" s="29">
        <f t="shared" si="652"/>
        <v>5.4683295540438399</v>
      </c>
      <c r="W193" s="29">
        <f t="shared" si="644"/>
        <v>6.9492333635539447</v>
      </c>
      <c r="X193" s="29">
        <f t="shared" si="644"/>
        <v>6.2453128083678706</v>
      </c>
      <c r="Y193" s="29">
        <f t="shared" si="645"/>
        <v>7.7838741675297225</v>
      </c>
      <c r="Z193" s="29">
        <f t="shared" si="645"/>
        <v>5.0872671263018923</v>
      </c>
      <c r="AA193" s="29">
        <f t="shared" si="645"/>
        <v>4.1979064039408867</v>
      </c>
      <c r="AB193" s="29">
        <f t="shared" ref="AB193:AE193" si="653">AB133</f>
        <v>3.2417250543609568</v>
      </c>
      <c r="AC193" s="29">
        <f t="shared" si="653"/>
        <v>3.2066913663410799</v>
      </c>
      <c r="AD193" s="29">
        <f t="shared" si="653"/>
        <v>3.1013292656352145</v>
      </c>
      <c r="AE193" s="29">
        <f t="shared" si="653"/>
        <v>3.3663954943679602</v>
      </c>
    </row>
    <row r="194" spans="2:32" ht="13.5" customHeight="1">
      <c r="C194" s="25"/>
      <c r="D194" s="25"/>
      <c r="E194" s="25"/>
      <c r="F194" s="25"/>
      <c r="G194" s="25"/>
      <c r="H194" s="25"/>
      <c r="I194" s="25"/>
      <c r="J194" s="25"/>
      <c r="K194" s="25"/>
      <c r="L194" s="287"/>
      <c r="M194" s="287"/>
      <c r="N194" s="287"/>
      <c r="O194" s="25"/>
      <c r="P194" s="287"/>
      <c r="Q194" s="25"/>
      <c r="R194" s="287"/>
      <c r="S194" s="25"/>
      <c r="T194" s="287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 spans="2:32" s="26" customFormat="1" ht="13.5" customHeight="1">
      <c r="B195" s="26" t="str">
        <f>+B135</f>
        <v>Net Leverage including lease obligations</v>
      </c>
      <c r="C195" s="28">
        <f t="shared" ref="C195:D196" si="654">C135</f>
        <v>3.2168097986766155</v>
      </c>
      <c r="D195" s="28">
        <f t="shared" si="654"/>
        <v>2.3244537913307628</v>
      </c>
      <c r="E195" s="28">
        <f t="shared" ref="E195:F195" si="655">E135</f>
        <v>3.282183964584358</v>
      </c>
      <c r="F195" s="28">
        <f t="shared" si="655"/>
        <v>2.7682519234210057</v>
      </c>
      <c r="G195" s="28">
        <f t="shared" ref="G195:H195" si="656">G135</f>
        <v>6.0460601994560292</v>
      </c>
      <c r="H195" s="28">
        <f t="shared" si="656"/>
        <v>3.1545566502463056</v>
      </c>
      <c r="I195" s="28">
        <f t="shared" ref="I195" si="657">I135</f>
        <v>2.8250938673341679</v>
      </c>
      <c r="J195" s="28">
        <f t="shared" ref="J195" si="658">J135</f>
        <v>2.8250938673341679</v>
      </c>
      <c r="K195" s="28"/>
      <c r="L195" s="289"/>
      <c r="M195" s="289"/>
      <c r="N195" s="289"/>
      <c r="O195" s="28">
        <f t="shared" ref="O195:Q196" si="659">O135</f>
        <v>3.282183964584358</v>
      </c>
      <c r="P195" s="289"/>
      <c r="Q195" s="28">
        <f t="shared" si="659"/>
        <v>3.3145555387036265</v>
      </c>
      <c r="R195" s="289"/>
      <c r="S195" s="28">
        <f t="shared" ref="S195" si="660">S135</f>
        <v>2.7682519234210057</v>
      </c>
      <c r="T195" s="289"/>
      <c r="U195" s="28">
        <f t="shared" ref="U195:V195" si="661">U135</f>
        <v>4.2627535267044356</v>
      </c>
      <c r="V195" s="28">
        <f t="shared" si="661"/>
        <v>4.738624338624339</v>
      </c>
      <c r="W195" s="28">
        <f t="shared" ref="W195:X196" si="662">W135</f>
        <v>6.0460601994560292</v>
      </c>
      <c r="X195" s="28">
        <f t="shared" si="662"/>
        <v>5.4272745214130653</v>
      </c>
      <c r="Y195" s="28">
        <f t="shared" ref="Y195:AA196" si="663">Y135</f>
        <v>7.2041897493837661</v>
      </c>
      <c r="Z195" s="28">
        <f t="shared" si="663"/>
        <v>4.4456359102244392</v>
      </c>
      <c r="AA195" s="28">
        <f t="shared" si="663"/>
        <v>3.1545566502463056</v>
      </c>
      <c r="AB195" s="28">
        <f t="shared" ref="AB195:AE195" si="664">AB135</f>
        <v>2.5816622372553759</v>
      </c>
      <c r="AC195" s="28">
        <f t="shared" si="664"/>
        <v>2.8361962501403393</v>
      </c>
      <c r="AD195" s="28">
        <f t="shared" si="664"/>
        <v>2.540531706254086</v>
      </c>
      <c r="AE195" s="28">
        <f t="shared" si="664"/>
        <v>2.8250938673341679</v>
      </c>
    </row>
    <row r="196" spans="2:32" ht="13.5" customHeight="1">
      <c r="B196" s="21" t="str">
        <f>+B136</f>
        <v>Gross Leverage  including lease obligations</v>
      </c>
      <c r="C196" s="29">
        <f t="shared" si="654"/>
        <v>4.167394058848374</v>
      </c>
      <c r="D196" s="29">
        <f t="shared" si="654"/>
        <v>2.8957822175487791</v>
      </c>
      <c r="E196" s="29">
        <f t="shared" ref="E196:F196" si="665">E136</f>
        <v>3.9668863748155436</v>
      </c>
      <c r="F196" s="29">
        <f t="shared" si="665"/>
        <v>3.3178135623546252</v>
      </c>
      <c r="G196" s="29">
        <f t="shared" ref="G196:H196" si="666">G136</f>
        <v>7.1878553037171358</v>
      </c>
      <c r="H196" s="29">
        <f t="shared" si="666"/>
        <v>4.3684729064039409</v>
      </c>
      <c r="I196" s="29">
        <f t="shared" ref="I196" si="667">I136</f>
        <v>3.5259699624530665</v>
      </c>
      <c r="J196" s="29">
        <f t="shared" ref="J196" si="668">J136</f>
        <v>3.5259699624530665</v>
      </c>
      <c r="K196" s="29"/>
      <c r="L196" s="281"/>
      <c r="M196" s="281"/>
      <c r="N196" s="281"/>
      <c r="O196" s="29">
        <f t="shared" si="659"/>
        <v>3.9668863748155436</v>
      </c>
      <c r="P196" s="281"/>
      <c r="Q196" s="29">
        <f t="shared" si="659"/>
        <v>3.669323307880263</v>
      </c>
      <c r="R196" s="281"/>
      <c r="S196" s="29">
        <f t="shared" ref="S196" si="669">S136</f>
        <v>3.3178135623546252</v>
      </c>
      <c r="T196" s="281"/>
      <c r="U196" s="29">
        <f t="shared" ref="U196:V196" si="670">U136</f>
        <v>4.6219694677917218</v>
      </c>
      <c r="V196" s="29">
        <f t="shared" si="670"/>
        <v>5.4683295540438399</v>
      </c>
      <c r="W196" s="29">
        <f t="shared" si="662"/>
        <v>7.1878553037171358</v>
      </c>
      <c r="X196" s="29">
        <f t="shared" si="662"/>
        <v>6.2453128083678706</v>
      </c>
      <c r="Y196" s="29">
        <f t="shared" si="663"/>
        <v>8.0548800846894864</v>
      </c>
      <c r="Z196" s="29">
        <f>Z136</f>
        <v>5.0872671263018923</v>
      </c>
      <c r="AA196" s="29">
        <f t="shared" si="663"/>
        <v>4.3684729064039409</v>
      </c>
      <c r="AB196" s="29">
        <f t="shared" ref="AB196:AC196" si="671">AB136</f>
        <v>3.2417250543609568</v>
      </c>
      <c r="AC196" s="29">
        <f t="shared" si="671"/>
        <v>3.3706073874480746</v>
      </c>
      <c r="AD196" s="29">
        <f>AD136</f>
        <v>3.1013292656352145</v>
      </c>
      <c r="AE196" s="29">
        <f t="shared" ref="AE196" si="672">AE136</f>
        <v>3.5259699624530665</v>
      </c>
    </row>
    <row r="197" spans="2:32" ht="13.5" customHeight="1">
      <c r="C197" s="29"/>
      <c r="D197" s="29"/>
      <c r="E197" s="29"/>
      <c r="F197" s="29"/>
      <c r="G197" s="29"/>
      <c r="H197" s="29"/>
      <c r="I197" s="29"/>
      <c r="J197" s="29"/>
      <c r="K197" s="29"/>
      <c r="L197" s="281"/>
      <c r="M197" s="281"/>
      <c r="N197" s="281"/>
      <c r="O197" s="29"/>
      <c r="P197" s="281"/>
      <c r="Q197" s="29"/>
      <c r="R197" s="281"/>
      <c r="S197" s="29"/>
      <c r="T197" s="281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</row>
    <row r="198" spans="2:32" ht="13.5" customHeight="1">
      <c r="B198" s="26" t="str">
        <f>+B138</f>
        <v>Company reported net leverage</v>
      </c>
      <c r="C198" s="28">
        <f t="shared" ref="C198:G198" si="673">C138</f>
        <v>3.2168097986766155</v>
      </c>
      <c r="D198" s="28">
        <f t="shared" si="673"/>
        <v>2.3244537913307628</v>
      </c>
      <c r="E198" s="28">
        <f t="shared" si="673"/>
        <v>3.282183964584358</v>
      </c>
      <c r="F198" s="28">
        <f t="shared" si="673"/>
        <v>1.5120772946859904</v>
      </c>
      <c r="G198" s="28">
        <f t="shared" si="673"/>
        <v>4.0199456029011786</v>
      </c>
      <c r="H198" s="28">
        <f t="shared" ref="H198:I198" si="674">H138</f>
        <v>2.1264778325123155</v>
      </c>
      <c r="I198" s="28">
        <f t="shared" si="674"/>
        <v>1.5983521068001669</v>
      </c>
      <c r="J198" s="28">
        <f t="shared" ref="J198" si="675">J138</f>
        <v>1.5983521068001669</v>
      </c>
      <c r="K198" s="29"/>
      <c r="L198" s="289"/>
      <c r="M198" s="289"/>
      <c r="N198" s="289"/>
      <c r="O198" s="28">
        <f>O138</f>
        <v>3.282183964584358</v>
      </c>
      <c r="P198" s="289"/>
      <c r="Q198" s="28">
        <f>Q138</f>
        <v>3.3145555387036265</v>
      </c>
      <c r="R198" s="289"/>
      <c r="S198" s="28">
        <f>S138</f>
        <v>1.5120772946859904</v>
      </c>
      <c r="T198" s="289"/>
      <c r="U198" s="28">
        <f t="shared" ref="U198:AB198" si="676">U138</f>
        <v>4.2627535267044356</v>
      </c>
      <c r="V198" s="28">
        <f t="shared" si="676"/>
        <v>4.738624338624339</v>
      </c>
      <c r="W198" s="28">
        <f t="shared" si="676"/>
        <v>4.0199456029011786</v>
      </c>
      <c r="X198" s="28">
        <f t="shared" si="676"/>
        <v>5.4272745214130653</v>
      </c>
      <c r="Y198" s="28">
        <f t="shared" si="676"/>
        <v>5.4301775147928995</v>
      </c>
      <c r="Z198" s="28">
        <f t="shared" si="676"/>
        <v>4.4456359102244392</v>
      </c>
      <c r="AA198" s="28">
        <f t="shared" si="676"/>
        <v>2.1264778325123155</v>
      </c>
      <c r="AB198" s="28">
        <f t="shared" si="676"/>
        <v>2.5816622372553759</v>
      </c>
      <c r="AC198" s="28">
        <f t="shared" ref="AC198:AE198" si="677">AC138</f>
        <v>2.6722802290333445</v>
      </c>
      <c r="AD198" s="28">
        <f t="shared" si="677"/>
        <v>2.540531706254086</v>
      </c>
      <c r="AE198" s="28">
        <f t="shared" si="677"/>
        <v>1.5983521068001669</v>
      </c>
    </row>
    <row r="199" spans="2:32" ht="13.5" customHeight="1"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</row>
    <row r="200" spans="2:32" ht="13.5" customHeight="1">
      <c r="B200" s="21" t="str">
        <f>+B140</f>
        <v>EBITDA - Capex / Interest</v>
      </c>
      <c r="C200" s="29">
        <f t="shared" ref="C200:D201" si="678">C140</f>
        <v>3.4465370595382745</v>
      </c>
      <c r="D200" s="29">
        <f t="shared" si="678"/>
        <v>4.2277945619335346</v>
      </c>
      <c r="E200" s="29">
        <f t="shared" ref="E200:F200" si="679">E140</f>
        <v>4.2586295723853684</v>
      </c>
      <c r="F200" s="29">
        <f t="shared" si="679"/>
        <v>4.0840085287846479</v>
      </c>
      <c r="G200" s="29">
        <f t="shared" ref="G200:H200" si="680">G140</f>
        <v>1.2913362701908957</v>
      </c>
      <c r="H200" s="29">
        <f t="shared" si="680"/>
        <v>2.3278245192307692</v>
      </c>
      <c r="I200" s="29">
        <f t="shared" ref="I200" si="681">I140</f>
        <v>2.7700590482806531</v>
      </c>
      <c r="J200" s="29">
        <f t="shared" ref="J200" si="682">J140</f>
        <v>2.7700590482806531</v>
      </c>
      <c r="K200" s="29"/>
      <c r="L200" s="281"/>
      <c r="M200" s="281"/>
      <c r="N200" s="281"/>
      <c r="O200" s="29">
        <f t="shared" ref="O200:Q201" si="683">O140</f>
        <v>4.2586295723853684</v>
      </c>
      <c r="P200" s="281"/>
      <c r="Q200" s="29">
        <f t="shared" si="683"/>
        <v>5.0590809628008753</v>
      </c>
      <c r="R200" s="281"/>
      <c r="S200" s="29">
        <f t="shared" ref="S200" si="684">S140</f>
        <v>4.0840085287846479</v>
      </c>
      <c r="T200" s="281"/>
      <c r="U200" s="29">
        <f t="shared" ref="U200" si="685">U140</f>
        <v>2.7427184466019416</v>
      </c>
      <c r="V200" s="281"/>
      <c r="W200" s="29">
        <f t="shared" ref="W200:W201" si="686">W140</f>
        <v>1.2913362701908957</v>
      </c>
      <c r="X200" s="281"/>
      <c r="Y200" s="29">
        <f t="shared" ref="Y200:AA201" si="687">Y140</f>
        <v>1.2127715951245364</v>
      </c>
      <c r="Z200" s="281"/>
      <c r="AA200" s="29">
        <f t="shared" si="687"/>
        <v>2.3278245192307692</v>
      </c>
      <c r="AB200" s="281"/>
      <c r="AC200" s="29">
        <f t="shared" ref="AC200" si="688">AC140</f>
        <v>2.484260731319555</v>
      </c>
      <c r="AD200" s="281"/>
      <c r="AE200" s="29">
        <f t="shared" ref="AE200" si="689">AE140</f>
        <v>2.7700590482806531</v>
      </c>
    </row>
    <row r="201" spans="2:32" s="26" customFormat="1" ht="12.75" customHeight="1">
      <c r="B201" s="26" t="str">
        <f>+B141</f>
        <v>EBITDA/Interest</v>
      </c>
      <c r="C201" s="28">
        <f t="shared" si="678"/>
        <v>4.3153098420413123</v>
      </c>
      <c r="D201" s="28">
        <f t="shared" si="678"/>
        <v>5.1716012084592142</v>
      </c>
      <c r="E201" s="28">
        <f t="shared" ref="E201:F201" si="690">E141</f>
        <v>5.2369912416280266</v>
      </c>
      <c r="F201" s="28">
        <f t="shared" si="690"/>
        <v>4.7667377398720685</v>
      </c>
      <c r="G201" s="28">
        <f t="shared" ref="G201:H201" si="691">G141</f>
        <v>1.619676945668135</v>
      </c>
      <c r="H201" s="28">
        <f t="shared" si="691"/>
        <v>2.4399038461538463</v>
      </c>
      <c r="I201" s="28">
        <f t="shared" ref="I201" si="692">I141</f>
        <v>3.3303230288294547</v>
      </c>
      <c r="J201" s="28">
        <f t="shared" ref="J201" si="693">J141</f>
        <v>3.3303230288294547</v>
      </c>
      <c r="K201" s="28"/>
      <c r="L201" s="289"/>
      <c r="M201" s="289"/>
      <c r="N201" s="289"/>
      <c r="O201" s="28">
        <f t="shared" si="683"/>
        <v>5.2369912416280266</v>
      </c>
      <c r="P201" s="289"/>
      <c r="Q201" s="28">
        <f t="shared" si="683"/>
        <v>6.2188183807439827</v>
      </c>
      <c r="R201" s="289"/>
      <c r="S201" s="28">
        <f t="shared" ref="S201" si="694">S141</f>
        <v>4.7667377398720685</v>
      </c>
      <c r="T201" s="289"/>
      <c r="U201" s="28">
        <f t="shared" ref="U201" si="695">U141</f>
        <v>3.2018030513176146</v>
      </c>
      <c r="V201" s="289"/>
      <c r="W201" s="28">
        <f t="shared" si="686"/>
        <v>1.619676945668135</v>
      </c>
      <c r="X201" s="289"/>
      <c r="Y201" s="28">
        <f t="shared" si="687"/>
        <v>1.343402225755167</v>
      </c>
      <c r="Z201" s="289"/>
      <c r="AA201" s="28">
        <f t="shared" si="687"/>
        <v>2.4399038461538463</v>
      </c>
      <c r="AB201" s="289"/>
      <c r="AC201" s="28">
        <f t="shared" ref="AC201" si="696">AC141</f>
        <v>2.832114467408585</v>
      </c>
      <c r="AD201" s="289"/>
      <c r="AE201" s="28">
        <f t="shared" ref="AE201" si="697">AE141</f>
        <v>3.3303230288294547</v>
      </c>
    </row>
    <row r="202" spans="2:32" ht="13.5" customHeight="1"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spans="2:32" ht="13.5" customHeight="1">
      <c r="B203" s="24" t="str">
        <f t="shared" ref="B203:D203" si="698">+B143</f>
        <v xml:space="preserve">Gearing (Net debt / Equity) </v>
      </c>
      <c r="C203" s="23">
        <f t="shared" si="698"/>
        <v>1.1652896776825785</v>
      </c>
      <c r="D203" s="23">
        <f t="shared" si="698"/>
        <v>0.92132073724182639</v>
      </c>
      <c r="E203" s="23">
        <f t="shared" ref="E203:F203" si="699">+E143</f>
        <v>1.2695744162683795</v>
      </c>
      <c r="F203" s="23">
        <f t="shared" si="699"/>
        <v>1.1851686164443165</v>
      </c>
      <c r="G203" s="23">
        <f t="shared" ref="G203:H203" si="700">+G143</f>
        <v>1.5519643338873312</v>
      </c>
      <c r="H203" s="23">
        <f t="shared" si="700"/>
        <v>0.97666526861631142</v>
      </c>
      <c r="I203" s="23">
        <f t="shared" ref="I203" si="701">+I143</f>
        <v>0.78069518100069168</v>
      </c>
      <c r="J203" s="23">
        <f>+J143</f>
        <v>0.78069518100069168</v>
      </c>
      <c r="K203" s="22"/>
      <c r="L203" s="290"/>
      <c r="M203" s="23">
        <f t="shared" ref="M203:O203" si="702">+M143</f>
        <v>1.3968255373412615</v>
      </c>
      <c r="N203" s="290"/>
      <c r="O203" s="23">
        <f t="shared" si="702"/>
        <v>1.2695744162683795</v>
      </c>
      <c r="P203" s="290"/>
      <c r="Q203" s="23">
        <f t="shared" ref="Q203" si="703">+Q143</f>
        <v>1.4002562679829806</v>
      </c>
      <c r="R203" s="290"/>
      <c r="S203" s="23">
        <f t="shared" ref="S203" si="704">+S143</f>
        <v>1.1851686164443165</v>
      </c>
      <c r="T203" s="290"/>
      <c r="U203" s="23">
        <f t="shared" ref="U203" si="705">+U143</f>
        <v>1.2726460808356392</v>
      </c>
      <c r="V203" s="290"/>
      <c r="W203" s="23">
        <f t="shared" ref="W203" si="706">+W143</f>
        <v>1.5519643338873312</v>
      </c>
      <c r="X203" s="290"/>
      <c r="Y203" s="23">
        <f t="shared" ref="Y203:AA203" si="707">+Y143</f>
        <v>1.291871829948809</v>
      </c>
      <c r="Z203" s="290"/>
      <c r="AA203" s="23">
        <f t="shared" si="707"/>
        <v>0.97666526861631142</v>
      </c>
      <c r="AB203" s="290"/>
      <c r="AC203" s="23">
        <f t="shared" ref="AC203" si="708">+AC143</f>
        <v>0.79206120273405656</v>
      </c>
      <c r="AD203" s="290"/>
      <c r="AE203" s="23">
        <f t="shared" ref="AE203" si="709">+AE143</f>
        <v>0.78069518100069168</v>
      </c>
    </row>
    <row r="204" spans="2:32" ht="13.5" customHeight="1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</row>
    <row r="205" spans="2:32" ht="13.5" customHeight="1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</row>
    <row r="206" spans="2:32" ht="13.5" customHeight="1">
      <c r="B206" s="305" t="s">
        <v>229</v>
      </c>
      <c r="C206" s="248">
        <f>1/73.6613</f>
        <v>1.3575649628773861E-2</v>
      </c>
      <c r="D206" s="248">
        <f>1/73.11</f>
        <v>1.3678019422787581E-2</v>
      </c>
      <c r="E206" s="248">
        <f>1/75.72</f>
        <v>1.3206550449022716E-2</v>
      </c>
      <c r="F206" s="248">
        <f>1/79.976</f>
        <v>1.2503751125337602E-2</v>
      </c>
      <c r="G206" s="248">
        <f>1/AVERAGE(83.111,82.9704,83.0653)</f>
        <v>1.2041098678007775E-2</v>
      </c>
      <c r="H206" s="248">
        <f>AVERAGE(X206:AA206)</f>
        <v>1.183652656530307E-2</v>
      </c>
      <c r="I206" s="249">
        <f>AVERAGE(AB206:AE206)</f>
        <v>1.1317885668984867E-2</v>
      </c>
      <c r="J206" s="249">
        <f>AVERAGE(AB206:AE206)</f>
        <v>1.1317885668984867E-2</v>
      </c>
      <c r="K206" s="11"/>
      <c r="L206" s="248">
        <f>1/74.0031</f>
        <v>1.351294743058061E-2</v>
      </c>
      <c r="M206" s="248">
        <f>AVERAGE(L207:M207)</f>
        <v>1.3456858640964476E-2</v>
      </c>
      <c r="N206" s="248">
        <f>AVERAGE(M207:N207)</f>
        <v>1.3445131997256186E-2</v>
      </c>
      <c r="O206" s="248">
        <f>E206</f>
        <v>1.3206550449022716E-2</v>
      </c>
      <c r="P206" s="248">
        <f>1/77.173</f>
        <v>1.2957899783603073E-2</v>
      </c>
      <c r="Q206" s="248">
        <f>AVERAGE(P207:Q207)</f>
        <v>1.2469859072594796E-2</v>
      </c>
      <c r="R206" s="248">
        <f>AVERAGE(Q207:R207)</f>
        <v>1.2180007680682278E-2</v>
      </c>
      <c r="S206" s="248">
        <f>F206</f>
        <v>1.2503751125337602E-2</v>
      </c>
      <c r="T206" s="248">
        <f>1/82.14</f>
        <v>1.2174336498660824E-2</v>
      </c>
      <c r="U206" s="248">
        <f>AVERAGE(T207:U207)</f>
        <v>1.2104588005850804E-2</v>
      </c>
      <c r="V206" s="248">
        <f>AVERAGE(U207:V207)</f>
        <v>1.2015E-2</v>
      </c>
      <c r="W206" s="248">
        <f>G206</f>
        <v>1.2041098678007775E-2</v>
      </c>
      <c r="X206" s="248">
        <f>AVERAGE(W207:X207)</f>
        <v>1.1992363285426227E-2</v>
      </c>
      <c r="Y206" s="248">
        <f>AVERAGE(X207:Y207)</f>
        <v>1.1965715620702859E-2</v>
      </c>
      <c r="Z206" s="248">
        <f>1/84.445</f>
        <v>1.1842027355083192E-2</v>
      </c>
      <c r="AA206" s="248">
        <v>1.1546000000000001E-2</v>
      </c>
      <c r="AB206" s="248">
        <f>AVERAGE(AA207:AB207)</f>
        <v>1.1680223880597015E-2</v>
      </c>
      <c r="AC206" s="248">
        <f>1/87.304</f>
        <v>1.1454228901310363E-2</v>
      </c>
      <c r="AD206" s="248">
        <f>1/89.086</f>
        <v>1.1225108322295309E-2</v>
      </c>
      <c r="AE206" s="248">
        <f>AVERAGE(AD207:AE207)</f>
        <v>1.0911981571736781E-2</v>
      </c>
    </row>
    <row r="207" spans="2:32" ht="13.5" customHeight="1">
      <c r="B207" s="305" t="s">
        <v>230</v>
      </c>
      <c r="C207" s="248">
        <f>1/73.6613</f>
        <v>1.3575649628773861E-2</v>
      </c>
      <c r="D207" s="248">
        <f>1/73.11</f>
        <v>1.3678019422787581E-2</v>
      </c>
      <c r="E207" s="248">
        <f>1/75.72</f>
        <v>1.3206550449022716E-2</v>
      </c>
      <c r="F207" s="248">
        <f>1/82.08</f>
        <v>1.2183235867446395E-2</v>
      </c>
      <c r="G207" s="248">
        <f>1/83.3828</f>
        <v>1.1992881025823071E-2</v>
      </c>
      <c r="H207" s="248">
        <f>AA207</f>
        <v>1.17E-2</v>
      </c>
      <c r="I207" s="249">
        <f>AE207</f>
        <v>1.0696903246510136E-2</v>
      </c>
      <c r="J207" s="249">
        <f>AE207</f>
        <v>1.0696903246510136E-2</v>
      </c>
      <c r="K207" s="11"/>
      <c r="L207" s="248">
        <f>1/74.3001</f>
        <v>1.3458932087574579E-2</v>
      </c>
      <c r="M207" s="248">
        <f>1/74.323</f>
        <v>1.3454785194354373E-2</v>
      </c>
      <c r="N207" s="248">
        <f>1/74.4298</f>
        <v>1.3435478800158001E-2</v>
      </c>
      <c r="O207" s="248">
        <f>E207</f>
        <v>1.3206550449022716E-2</v>
      </c>
      <c r="P207" s="248">
        <f>1/78.98</f>
        <v>1.2661433274246644E-2</v>
      </c>
      <c r="Q207" s="248">
        <f>1/81.4446</f>
        <v>1.2278284870942948E-2</v>
      </c>
      <c r="R207" s="248">
        <f>1/82.7696</f>
        <v>1.2081730490421605E-2</v>
      </c>
      <c r="S207" s="248">
        <f>F207</f>
        <v>1.2183235867446395E-2</v>
      </c>
      <c r="T207" s="248">
        <f>1/82.04</f>
        <v>1.2189176011701608E-2</v>
      </c>
      <c r="U207" s="248">
        <f>0.01202</f>
        <v>1.2019999999999999E-2</v>
      </c>
      <c r="V207" s="248">
        <v>1.201E-2</v>
      </c>
      <c r="W207" s="248">
        <f>G207</f>
        <v>1.1992881025823071E-2</v>
      </c>
      <c r="X207" s="248">
        <f>1/83.39</f>
        <v>1.199184554502938E-2</v>
      </c>
      <c r="Y207" s="248">
        <f>1/83.755</f>
        <v>1.1939585696376336E-2</v>
      </c>
      <c r="Z207" s="248">
        <f>1/85.554</f>
        <v>1.1688524206933632E-2</v>
      </c>
      <c r="AA207" s="248">
        <v>1.17E-2</v>
      </c>
      <c r="AB207" s="248">
        <f>1/85.76</f>
        <v>1.1660447761194029E-2</v>
      </c>
      <c r="AC207" s="248">
        <f>1/88.841</f>
        <v>1.1256064204590223E-2</v>
      </c>
      <c r="AD207" s="248">
        <f>1/89.871</f>
        <v>1.1127059896963425E-2</v>
      </c>
      <c r="AE207" s="248">
        <f>1/93.485</f>
        <v>1.0696903246510136E-2</v>
      </c>
    </row>
    <row r="208" spans="2:32" ht="13.5" customHeight="1">
      <c r="B208" s="305" t="s">
        <v>231</v>
      </c>
      <c r="C208" s="249">
        <f t="shared" ref="C208:G208" si="710">C206</f>
        <v>1.3575649628773861E-2</v>
      </c>
      <c r="D208" s="249">
        <f t="shared" si="710"/>
        <v>1.3678019422787581E-2</v>
      </c>
      <c r="E208" s="249">
        <f t="shared" si="710"/>
        <v>1.3206550449022716E-2</v>
      </c>
      <c r="F208" s="249">
        <f t="shared" si="710"/>
        <v>1.2503751125337602E-2</v>
      </c>
      <c r="G208" s="249">
        <f t="shared" si="710"/>
        <v>1.2041098678007775E-2</v>
      </c>
      <c r="H208" s="249">
        <f t="shared" ref="H208:I208" si="711">H206</f>
        <v>1.183652656530307E-2</v>
      </c>
      <c r="I208" s="249">
        <f t="shared" si="711"/>
        <v>1.1317885668984867E-2</v>
      </c>
      <c r="J208" s="249">
        <f>J206</f>
        <v>1.1317885668984867E-2</v>
      </c>
      <c r="K208" s="11"/>
      <c r="L208" s="249">
        <f>AVERAGE(L206:L206)</f>
        <v>1.351294743058061E-2</v>
      </c>
      <c r="M208" s="249">
        <f>AVERAGE(L206:M206)</f>
        <v>1.3484903035772544E-2</v>
      </c>
      <c r="N208" s="249">
        <f>AVERAGE(L206:N206)</f>
        <v>1.3471646022933758E-2</v>
      </c>
      <c r="O208" s="249">
        <f t="shared" ref="O208" si="712">AVERAGE(L206:O206)</f>
        <v>1.3405372129455997E-2</v>
      </c>
      <c r="P208" s="249">
        <f>AVERAGE(M206:P206)</f>
        <v>1.3266610217711612E-2</v>
      </c>
      <c r="Q208" s="249">
        <f>AVERAGE(N206:Q206)</f>
        <v>1.3019860325619194E-2</v>
      </c>
      <c r="R208" s="249">
        <f>AVERAGE(P206:R206)</f>
        <v>1.2535922178960051E-2</v>
      </c>
      <c r="S208" s="249">
        <f t="shared" ref="S208" si="713">AVERAGE(P206:S206)</f>
        <v>1.2527879415554439E-2</v>
      </c>
      <c r="T208" s="249">
        <f>AVERAGE(Q206:T206)</f>
        <v>1.2331988594318874E-2</v>
      </c>
      <c r="U208" s="249">
        <f>AVERAGE(R206:U206)</f>
        <v>1.2240670827632878E-2</v>
      </c>
      <c r="V208" s="249">
        <f>AVERAGE(T206:V206)</f>
        <v>1.2097974834837209E-2</v>
      </c>
      <c r="W208" s="249">
        <f t="shared" ref="W208" si="714">AVERAGE(T206:W206)</f>
        <v>1.208375579562985E-2</v>
      </c>
      <c r="X208" s="249">
        <f>AVERAGE(U206:X206)</f>
        <v>1.2038262492321202E-2</v>
      </c>
      <c r="Y208" s="249">
        <f>AVERAGE(V206:Y206)</f>
        <v>1.2003544396034216E-2</v>
      </c>
      <c r="Z208" s="249">
        <f>AVERAGE(W206:Z206)</f>
        <v>1.1960301234805012E-2</v>
      </c>
      <c r="AA208" s="249">
        <f t="shared" ref="AA208" si="715">AVERAGE(X206:AA206)</f>
        <v>1.183652656530307E-2</v>
      </c>
      <c r="AB208" s="249">
        <f>AVERAGE(Y206:AB206)</f>
        <v>1.1758491714095766E-2</v>
      </c>
      <c r="AC208" s="249">
        <f>AVERAGE(Z206:AC206)</f>
        <v>1.1630620034247642E-2</v>
      </c>
      <c r="AD208" s="249">
        <f>AVERAGE(AA206:AD206)</f>
        <v>1.1476390276050671E-2</v>
      </c>
      <c r="AE208" s="249">
        <f>AVERAGE(AB206:AE206)</f>
        <v>1.1317885668984867E-2</v>
      </c>
    </row>
    <row r="209" spans="2:31" ht="13.5" customHeight="1">
      <c r="B209" s="276" t="s">
        <v>232</v>
      </c>
      <c r="C209" s="306">
        <f>1/C207</f>
        <v>73.661299999999997</v>
      </c>
      <c r="D209" s="306">
        <f t="shared" ref="D209:AE209" si="716">1/D207</f>
        <v>73.11</v>
      </c>
      <c r="E209" s="306">
        <f t="shared" si="716"/>
        <v>75.72</v>
      </c>
      <c r="F209" s="306">
        <f t="shared" si="716"/>
        <v>82.08</v>
      </c>
      <c r="G209" s="306">
        <f t="shared" si="716"/>
        <v>83.382800000000003</v>
      </c>
      <c r="H209" s="306">
        <f t="shared" si="716"/>
        <v>85.470085470085465</v>
      </c>
      <c r="I209" s="306">
        <f t="shared" si="716"/>
        <v>93.484999999999999</v>
      </c>
      <c r="J209" s="306">
        <f t="shared" si="716"/>
        <v>93.484999999999999</v>
      </c>
      <c r="K209" s="11"/>
      <c r="L209" s="306">
        <f t="shared" si="716"/>
        <v>74.3001</v>
      </c>
      <c r="M209" s="306">
        <f t="shared" si="716"/>
        <v>74.322999999999993</v>
      </c>
      <c r="N209" s="306">
        <f t="shared" si="716"/>
        <v>74.4298</v>
      </c>
      <c r="O209" s="306">
        <f t="shared" si="716"/>
        <v>75.72</v>
      </c>
      <c r="P209" s="306">
        <f t="shared" si="716"/>
        <v>78.98</v>
      </c>
      <c r="Q209" s="306">
        <f t="shared" si="716"/>
        <v>81.444599999999994</v>
      </c>
      <c r="R209" s="306">
        <f t="shared" si="716"/>
        <v>82.769599999999997</v>
      </c>
      <c r="S209" s="306">
        <f t="shared" si="716"/>
        <v>82.08</v>
      </c>
      <c r="T209" s="306">
        <f t="shared" si="716"/>
        <v>82.04</v>
      </c>
      <c r="U209" s="306">
        <f t="shared" si="716"/>
        <v>83.194675540765388</v>
      </c>
      <c r="V209" s="306">
        <f t="shared" si="716"/>
        <v>83.263946711074112</v>
      </c>
      <c r="W209" s="306">
        <f t="shared" si="716"/>
        <v>83.382800000000003</v>
      </c>
      <c r="X209" s="306">
        <f t="shared" si="716"/>
        <v>83.39</v>
      </c>
      <c r="Y209" s="306">
        <f t="shared" si="716"/>
        <v>83.754999999999995</v>
      </c>
      <c r="Z209" s="306">
        <f t="shared" si="716"/>
        <v>85.554000000000002</v>
      </c>
      <c r="AA209" s="306">
        <f t="shared" si="716"/>
        <v>85.470085470085465</v>
      </c>
      <c r="AB209" s="306">
        <f t="shared" si="716"/>
        <v>85.76</v>
      </c>
      <c r="AC209" s="306">
        <f t="shared" si="716"/>
        <v>88.840999999999994</v>
      </c>
      <c r="AD209" s="306">
        <f t="shared" si="716"/>
        <v>89.870999999999995</v>
      </c>
      <c r="AE209" s="306">
        <f t="shared" si="716"/>
        <v>93.484999999999999</v>
      </c>
    </row>
    <row r="210" spans="2:31" ht="13.5" customHeight="1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</row>
    <row r="211" spans="2:31" ht="13.5" customHeight="1">
      <c r="B211" s="44" t="s">
        <v>233</v>
      </c>
      <c r="C211" s="43">
        <f t="shared" ref="C211:H211" si="717">C3</f>
        <v>43921</v>
      </c>
      <c r="D211" s="43">
        <f t="shared" si="717"/>
        <v>44286</v>
      </c>
      <c r="E211" s="43">
        <f t="shared" si="717"/>
        <v>44651</v>
      </c>
      <c r="F211" s="43">
        <f t="shared" si="717"/>
        <v>45016</v>
      </c>
      <c r="G211" s="43">
        <f t="shared" si="717"/>
        <v>45382</v>
      </c>
      <c r="H211" s="43">
        <f t="shared" si="717"/>
        <v>45747</v>
      </c>
      <c r="I211" s="43">
        <f t="shared" ref="I211" si="718">I3</f>
        <v>46112</v>
      </c>
      <c r="J211" s="43" t="str">
        <f>J2</f>
        <v>LTM</v>
      </c>
      <c r="K211" s="11"/>
      <c r="L211" s="43">
        <f t="shared" ref="L211:Q211" si="719">L3</f>
        <v>44377</v>
      </c>
      <c r="M211" s="43">
        <f t="shared" si="719"/>
        <v>44469</v>
      </c>
      <c r="N211" s="43">
        <f t="shared" si="719"/>
        <v>44561</v>
      </c>
      <c r="O211" s="43">
        <f t="shared" si="719"/>
        <v>44651</v>
      </c>
      <c r="P211" s="43">
        <f t="shared" si="719"/>
        <v>44742</v>
      </c>
      <c r="Q211" s="43">
        <f t="shared" si="719"/>
        <v>44834</v>
      </c>
      <c r="R211" s="43">
        <f t="shared" ref="R211:U211" si="720">R3</f>
        <v>44926</v>
      </c>
      <c r="S211" s="43">
        <f t="shared" si="720"/>
        <v>45016</v>
      </c>
      <c r="T211" s="43">
        <f t="shared" si="720"/>
        <v>45107</v>
      </c>
      <c r="U211" s="43">
        <f t="shared" si="720"/>
        <v>45199</v>
      </c>
      <c r="V211" s="43">
        <f t="shared" ref="V211:Y211" si="721">V3</f>
        <v>45291</v>
      </c>
      <c r="W211" s="43">
        <f t="shared" si="721"/>
        <v>45382</v>
      </c>
      <c r="X211" s="43">
        <f t="shared" si="721"/>
        <v>45473</v>
      </c>
      <c r="Y211" s="43">
        <f t="shared" si="721"/>
        <v>45565</v>
      </c>
      <c r="Z211" s="43">
        <f t="shared" ref="Z211:AC211" si="722">Z3</f>
        <v>45657</v>
      </c>
      <c r="AA211" s="43">
        <f t="shared" si="722"/>
        <v>45747</v>
      </c>
      <c r="AB211" s="43">
        <f t="shared" si="722"/>
        <v>45838</v>
      </c>
      <c r="AC211" s="43">
        <f t="shared" si="722"/>
        <v>45930</v>
      </c>
      <c r="AD211" s="43">
        <f t="shared" ref="AD211:AE211" si="723">AD3</f>
        <v>46022</v>
      </c>
      <c r="AE211" s="43">
        <f t="shared" si="723"/>
        <v>46112</v>
      </c>
    </row>
    <row r="212" spans="2:31" ht="13.5" customHeight="1">
      <c r="B212" s="21" t="s">
        <v>219</v>
      </c>
      <c r="C212" s="11">
        <f t="shared" ref="C212:J212" si="724">C147*C$208</f>
        <v>4854.1092812643819</v>
      </c>
      <c r="D212" s="11">
        <f t="shared" si="724"/>
        <v>5292.5728354534267</v>
      </c>
      <c r="E212" s="11">
        <f t="shared" si="724"/>
        <v>6106.708927628104</v>
      </c>
      <c r="F212" s="11">
        <f t="shared" si="724"/>
        <v>6699.0097029108738</v>
      </c>
      <c r="G212" s="11">
        <f t="shared" si="724"/>
        <v>5189.4727082477912</v>
      </c>
      <c r="H212" s="11">
        <f t="shared" si="724"/>
        <v>5520.2008942603925</v>
      </c>
      <c r="I212" s="11">
        <f t="shared" si="724"/>
        <v>5867.0787519450651</v>
      </c>
      <c r="J212" s="11">
        <f t="shared" si="724"/>
        <v>5867.0787519450651</v>
      </c>
      <c r="K212" s="11"/>
      <c r="L212" s="268"/>
      <c r="M212" s="268"/>
      <c r="N212" s="268"/>
      <c r="O212" s="11">
        <f>O147*O$208</f>
        <v>6198.6440726604533</v>
      </c>
      <c r="P212" s="11">
        <f>P147*P$208</f>
        <v>6440.4085962902791</v>
      </c>
      <c r="Q212" s="11">
        <f t="shared" ref="Q212" si="725">Q147*Q$208</f>
        <v>6573.2066839921063</v>
      </c>
      <c r="R212" s="268"/>
      <c r="S212" s="11">
        <f>S147*S$208</f>
        <v>6711.9366756774461</v>
      </c>
      <c r="T212" s="11">
        <f>T147*T$208</f>
        <v>6377.8578612098354</v>
      </c>
      <c r="U212" s="11">
        <f>U147*U$208</f>
        <v>6044.5656613933916</v>
      </c>
      <c r="V212" s="268"/>
      <c r="W212" s="11">
        <f t="shared" ref="W212:Y212" si="726">W147*W$208</f>
        <v>5207.8570728005525</v>
      </c>
      <c r="X212" s="11">
        <f t="shared" si="726"/>
        <v>5200.7701619326053</v>
      </c>
      <c r="Y212" s="11">
        <f t="shared" si="726"/>
        <v>5296.2038584182164</v>
      </c>
      <c r="Z212" s="11">
        <f t="shared" ref="Z212:AC212" si="727">Z147*Z$208</f>
        <v>5399.119183415678</v>
      </c>
      <c r="AA212" s="11">
        <f t="shared" si="727"/>
        <v>5520.2008942603925</v>
      </c>
      <c r="AB212" s="11">
        <f t="shared" si="727"/>
        <v>5501.3279333568453</v>
      </c>
      <c r="AC212" s="11">
        <f t="shared" si="727"/>
        <v>5549.5503493412625</v>
      </c>
      <c r="AD212" s="11">
        <f t="shared" ref="AD212:AE212" si="728">AD147*AD$208</f>
        <v>5632.2680557773883</v>
      </c>
      <c r="AE212" s="11">
        <f t="shared" si="728"/>
        <v>5867.0787519450651</v>
      </c>
    </row>
    <row r="213" spans="2:31" ht="13.5" customHeight="1">
      <c r="B213" s="21" t="s">
        <v>220</v>
      </c>
      <c r="C213" s="11">
        <f t="shared" ref="C213:J213" si="729">C148*C$208</f>
        <v>964.27839313180743</v>
      </c>
      <c r="D213" s="11">
        <f t="shared" si="729"/>
        <v>1170.7016823963891</v>
      </c>
      <c r="E213" s="11">
        <f t="shared" si="729"/>
        <v>1342.445853143159</v>
      </c>
      <c r="F213" s="11">
        <f t="shared" si="729"/>
        <v>1397.6693007902372</v>
      </c>
      <c r="G213" s="11">
        <f t="shared" si="729"/>
        <v>664.06659209212876</v>
      </c>
      <c r="H213" s="11">
        <f t="shared" si="729"/>
        <v>961.12595710260928</v>
      </c>
      <c r="I213" s="11">
        <f t="shared" si="729"/>
        <v>1085.1588779422691</v>
      </c>
      <c r="J213" s="11">
        <f t="shared" si="729"/>
        <v>1085.1588779422691</v>
      </c>
      <c r="K213" s="11"/>
      <c r="L213" s="268"/>
      <c r="M213" s="268"/>
      <c r="N213" s="268"/>
      <c r="O213" s="11">
        <f>O148*O$208</f>
        <v>1362.656076959202</v>
      </c>
      <c r="P213" s="11">
        <f>P148*P$208</f>
        <v>1412.2306576754011</v>
      </c>
      <c r="Q213" s="11">
        <f t="shared" ref="Q213" si="730">Q148*Q$208</f>
        <v>1480.09772181639</v>
      </c>
      <c r="R213" s="268"/>
      <c r="S213" s="11">
        <f t="shared" ref="S213:T213" si="731">S148*S$208</f>
        <v>1400.3663610706751</v>
      </c>
      <c r="T213" s="11">
        <f t="shared" si="731"/>
        <v>1286.1030905015155</v>
      </c>
      <c r="U213" s="11">
        <f>U148*U$208</f>
        <v>1130.3035442236198</v>
      </c>
      <c r="V213" s="268"/>
      <c r="W213" s="11">
        <f t="shared" ref="W213:X213" si="732">W148*W$208</f>
        <v>666.41913212898623</v>
      </c>
      <c r="X213" s="11">
        <f t="shared" si="732"/>
        <v>609.97876048591536</v>
      </c>
      <c r="Y213" s="11">
        <f>Y148*Y$208</f>
        <v>608.57970087893477</v>
      </c>
      <c r="Z213" s="11">
        <f>Z148*Z$208</f>
        <v>815.33373517665768</v>
      </c>
      <c r="AA213" s="11">
        <f t="shared" ref="AA213:AB213" si="733">AA148*AA$208</f>
        <v>961.12595710260928</v>
      </c>
      <c r="AB213" s="11">
        <f t="shared" si="733"/>
        <v>973.36794409284755</v>
      </c>
      <c r="AC213" s="11">
        <f>AC148*AC$208</f>
        <v>1035.9393264504374</v>
      </c>
      <c r="AD213" s="11">
        <f>AD148*AD$208</f>
        <v>1053.3030995359306</v>
      </c>
      <c r="AE213" s="11">
        <f t="shared" ref="AE213" si="734">AE148*AE$208</f>
        <v>1085.1588779422691</v>
      </c>
    </row>
    <row r="214" spans="2:31" ht="13.5" customHeight="1">
      <c r="B214" s="21" t="s">
        <v>221</v>
      </c>
      <c r="C214" s="22">
        <f t="shared" ref="C214:D214" si="735">C213/C212</f>
        <v>0.19865197449379127</v>
      </c>
      <c r="D214" s="22">
        <f t="shared" si="735"/>
        <v>0.22119708481935182</v>
      </c>
      <c r="E214" s="22">
        <f t="shared" ref="E214:F214" si="736">E213/E212</f>
        <v>0.21983131487889271</v>
      </c>
      <c r="F214" s="22">
        <f t="shared" si="736"/>
        <v>0.20863819620725699</v>
      </c>
      <c r="G214" s="22">
        <f t="shared" ref="G214:H214" si="737">G213/G212</f>
        <v>0.12796417467167848</v>
      </c>
      <c r="H214" s="22">
        <f t="shared" si="737"/>
        <v>0.1741106846495272</v>
      </c>
      <c r="I214" s="22">
        <f t="shared" ref="I214" si="738">I213/I212</f>
        <v>0.18495727155230618</v>
      </c>
      <c r="J214" s="22">
        <f t="shared" ref="J214" si="739">J213/J212</f>
        <v>0.18495727155230618</v>
      </c>
      <c r="K214" s="22"/>
      <c r="L214" s="280"/>
      <c r="M214" s="280"/>
      <c r="N214" s="280"/>
      <c r="O214" s="22">
        <f t="shared" ref="O214:P214" si="740">O213/O212</f>
        <v>0.21983131487889271</v>
      </c>
      <c r="P214" s="22">
        <f t="shared" si="740"/>
        <v>0.21927656243562807</v>
      </c>
      <c r="Q214" s="22">
        <f t="shared" ref="Q214" si="741">Q213/Q212</f>
        <v>0.22517133462742148</v>
      </c>
      <c r="R214" s="280"/>
      <c r="S214" s="22">
        <f t="shared" ref="S214:U214" si="742">S213/S212</f>
        <v>0.20863819620725696</v>
      </c>
      <c r="T214" s="22">
        <f t="shared" si="742"/>
        <v>0.20165126261649716</v>
      </c>
      <c r="U214" s="22">
        <f t="shared" si="742"/>
        <v>0.18699499807618314</v>
      </c>
      <c r="V214" s="280"/>
      <c r="W214" s="22">
        <f t="shared" ref="W214:Y214" si="743">W213/W212</f>
        <v>0.1279641746716785</v>
      </c>
      <c r="X214" s="22">
        <f t="shared" si="743"/>
        <v>0.1172862367482987</v>
      </c>
      <c r="Y214" s="22">
        <f t="shared" si="743"/>
        <v>0.11490866234531527</v>
      </c>
      <c r="Z214" s="22">
        <f t="shared" ref="Z214:AC214" si="744">Z213/Z212</f>
        <v>0.1510123609941961</v>
      </c>
      <c r="AA214" s="22">
        <f t="shared" si="744"/>
        <v>0.1741106846495272</v>
      </c>
      <c r="AB214" s="22">
        <f t="shared" si="744"/>
        <v>0.17693327063651521</v>
      </c>
      <c r="AC214" s="22">
        <f t="shared" si="744"/>
        <v>0.1866708582206853</v>
      </c>
      <c r="AD214" s="22">
        <f t="shared" ref="AD214:AE214" si="745">AD213/AD212</f>
        <v>0.18701224606231023</v>
      </c>
      <c r="AE214" s="22">
        <f t="shared" si="745"/>
        <v>0.18495727155230618</v>
      </c>
    </row>
    <row r="215" spans="2:31" ht="13.5" customHeight="1">
      <c r="B215" s="21" t="s">
        <v>222</v>
      </c>
      <c r="C215" s="11">
        <f>C150*C$207</f>
        <v>4018.5280466133509</v>
      </c>
      <c r="D215" s="11">
        <f>D150*D$207</f>
        <v>3390.0971139379017</v>
      </c>
      <c r="E215" s="11">
        <f t="shared" ref="E215:F215" si="746">E150*E$207</f>
        <v>5325.3301637612258</v>
      </c>
      <c r="F215" s="11">
        <f t="shared" si="746"/>
        <v>4518.3382066276808</v>
      </c>
      <c r="G215" s="11">
        <f t="shared" ref="G215" si="747">G150*G$207</f>
        <v>4754.1006058803496</v>
      </c>
      <c r="H215" s="11">
        <f>H150*H$207</f>
        <v>4150.2240000000002</v>
      </c>
      <c r="I215" s="11">
        <f t="shared" ref="I215" si="748">I150*I$207</f>
        <v>3616.3020805476817</v>
      </c>
      <c r="J215" s="11">
        <f>J150*J$207</f>
        <v>3616.3020805476817</v>
      </c>
      <c r="K215" s="11"/>
      <c r="L215" s="268"/>
      <c r="M215" s="280"/>
      <c r="N215" s="268"/>
      <c r="O215" s="11">
        <f>O150*O$207</f>
        <v>5325.3301637612258</v>
      </c>
      <c r="P215" s="11">
        <f>P150*P$207</f>
        <v>0</v>
      </c>
      <c r="Q215" s="11">
        <f t="shared" ref="Q215" si="749">Q150*Q$207</f>
        <v>5121.6246827884024</v>
      </c>
      <c r="R215" s="268"/>
      <c r="S215" s="11">
        <f>S150*S$207</f>
        <v>4518.3382066276808</v>
      </c>
      <c r="T215" s="268"/>
      <c r="U215" s="11">
        <f>U150*U$207</f>
        <v>5130.0477810837692</v>
      </c>
      <c r="V215" s="268"/>
      <c r="W215" s="11">
        <f t="shared" ref="W215:X215" si="750">W150*W$207</f>
        <v>4754.1006058803496</v>
      </c>
      <c r="X215" s="11">
        <f t="shared" si="750"/>
        <v>3794.8195227245474</v>
      </c>
      <c r="Y215" s="11">
        <f>Y150*Y$207</f>
        <v>4875.9169039908893</v>
      </c>
      <c r="Z215" s="11">
        <f>Z150*Z$207</f>
        <v>4053.5685064403765</v>
      </c>
      <c r="AA215" s="11">
        <f>AA150*AA$207</f>
        <v>4150.2240000000002</v>
      </c>
      <c r="AB215" s="11">
        <f>AB150*AB$207</f>
        <v>3129.0811567164178</v>
      </c>
      <c r="AC215" s="11">
        <f t="shared" ref="AC215:AE215" si="751">AC150*AC$207</f>
        <v>3379.2955955020766</v>
      </c>
      <c r="AD215" s="11">
        <f t="shared" si="751"/>
        <v>3167.2063290716692</v>
      </c>
      <c r="AE215" s="11">
        <f t="shared" si="751"/>
        <v>3616.3020805476817</v>
      </c>
    </row>
    <row r="216" spans="2:31" ht="13.5" customHeight="1">
      <c r="B216" s="21" t="s">
        <v>223</v>
      </c>
      <c r="C216" s="11">
        <f>C151*C$207</f>
        <v>916.62786293481111</v>
      </c>
      <c r="D216" s="11">
        <f>D151*D$207</f>
        <v>668.85514977431274</v>
      </c>
      <c r="E216" s="11">
        <f t="shared" ref="E216:F216" si="752">E151*E$207</f>
        <v>919.17591125198101</v>
      </c>
      <c r="F216" s="11">
        <f t="shared" si="752"/>
        <v>748.41617933723205</v>
      </c>
      <c r="G216" s="11">
        <f t="shared" ref="G216" si="753">G151*G$207</f>
        <v>755.1917181960788</v>
      </c>
      <c r="H216" s="11">
        <f>H151*H$207</f>
        <v>1153.269</v>
      </c>
      <c r="I216" s="11">
        <f t="shared" ref="I216" si="754">I151*I$207</f>
        <v>718.83189816548111</v>
      </c>
      <c r="J216" s="11">
        <f>J151*J$207</f>
        <v>718.83189816548111</v>
      </c>
      <c r="K216" s="11"/>
      <c r="L216" s="268"/>
      <c r="M216" s="280"/>
      <c r="N216" s="268"/>
      <c r="O216" s="11">
        <f>O151*O$207</f>
        <v>919.17591125198101</v>
      </c>
      <c r="P216" s="11">
        <f>P151*P$207</f>
        <v>0</v>
      </c>
      <c r="Q216" s="11">
        <f t="shared" ref="Q216" si="755">Q151*Q$207</f>
        <v>495.18322884512912</v>
      </c>
      <c r="R216" s="268"/>
      <c r="S216" s="11">
        <f t="shared" ref="S216" si="756">S151*S$207</f>
        <v>748.41617933723205</v>
      </c>
      <c r="T216" s="268"/>
      <c r="U216" s="11">
        <f>U151*U$207</f>
        <v>398.70339999999999</v>
      </c>
      <c r="V216" s="268"/>
      <c r="W216" s="11">
        <f t="shared" ref="W216:X216" si="757">W151*W$207</f>
        <v>755.1917181960788</v>
      </c>
      <c r="X216" s="11">
        <f t="shared" si="757"/>
        <v>497.06199784146781</v>
      </c>
      <c r="Y216" s="11">
        <f t="shared" ref="Y216:Z216" si="758">Y151*Y$207</f>
        <v>514.95433108471138</v>
      </c>
      <c r="Z216" s="11">
        <f t="shared" si="758"/>
        <v>511.25604881127708</v>
      </c>
      <c r="AA216" s="11">
        <f>AA151*AA$207</f>
        <v>1153.269</v>
      </c>
      <c r="AB216" s="11">
        <f>AB151*AB$207</f>
        <v>637.12686567164178</v>
      </c>
      <c r="AC216" s="11">
        <f>AC151*AC$207</f>
        <v>535.78865613849462</v>
      </c>
      <c r="AD216" s="11">
        <f>AD151*AD$207</f>
        <v>572.70977289670748</v>
      </c>
      <c r="AE216" s="11">
        <f t="shared" ref="AE216" si="759">AE151*AE$207</f>
        <v>718.83189816548111</v>
      </c>
    </row>
    <row r="217" spans="2:31" ht="13.5" customHeight="1">
      <c r="B217" s="21" t="s">
        <v>224</v>
      </c>
      <c r="C217" s="11">
        <f>C152*C$207</f>
        <v>3101.9001836785396</v>
      </c>
      <c r="D217" s="11">
        <f>D152*D$207</f>
        <v>2721.2419641635893</v>
      </c>
      <c r="E217" s="11">
        <f t="shared" ref="E217:F217" si="760">E152*E$207</f>
        <v>4406.1542525092445</v>
      </c>
      <c r="F217" s="11">
        <f t="shared" si="760"/>
        <v>3769.922027290449</v>
      </c>
      <c r="G217" s="11">
        <f t="shared" ref="G217" si="761">G152*G$207</f>
        <v>3998.9088876842711</v>
      </c>
      <c r="H217" s="11">
        <f>H152*H$207</f>
        <v>2996.9549999999999</v>
      </c>
      <c r="I217" s="11">
        <f t="shared" ref="I217" si="762">I152*I$207</f>
        <v>2897.4701823822006</v>
      </c>
      <c r="J217" s="11">
        <f>J152*J$207</f>
        <v>2897.4701823822006</v>
      </c>
      <c r="K217" s="11"/>
      <c r="L217" s="268"/>
      <c r="M217" s="280"/>
      <c r="N217" s="268"/>
      <c r="O217" s="11">
        <f>O152*O$207</f>
        <v>4406.1542525092445</v>
      </c>
      <c r="P217" s="11">
        <f>P152*P$207</f>
        <v>0</v>
      </c>
      <c r="Q217" s="11">
        <f t="shared" ref="Q217" si="763">Q152*Q$207</f>
        <v>4626.4414539432728</v>
      </c>
      <c r="R217" s="268"/>
      <c r="S217" s="11">
        <f t="shared" ref="S217" si="764">S152*S$207</f>
        <v>3769.922027290449</v>
      </c>
      <c r="T217" s="268"/>
      <c r="U217" s="11">
        <f>U152*U$207</f>
        <v>4731.3443810837689</v>
      </c>
      <c r="V217" s="268"/>
      <c r="W217" s="11">
        <f t="shared" ref="W217:X217" si="765">W152*W$207</f>
        <v>3998.9088876842711</v>
      </c>
      <c r="X217" s="11">
        <f t="shared" si="765"/>
        <v>3297.7575248830794</v>
      </c>
      <c r="Y217" s="11">
        <f t="shared" ref="Y217:Z217" si="766">Y152*Y$207</f>
        <v>4360.9625729061781</v>
      </c>
      <c r="Z217" s="11">
        <f t="shared" si="766"/>
        <v>3542.3124576290998</v>
      </c>
      <c r="AA217" s="11">
        <f>AA152*AA$207</f>
        <v>2996.9549999999999</v>
      </c>
      <c r="AB217" s="11">
        <f>AB152*AB$207</f>
        <v>2491.9542910447758</v>
      </c>
      <c r="AC217" s="11">
        <f>AC152*AC$207</f>
        <v>2843.5069393635822</v>
      </c>
      <c r="AD217" s="11">
        <f>AD152*AD$207</f>
        <v>2594.4965561749618</v>
      </c>
      <c r="AE217" s="11">
        <f t="shared" ref="AE217" si="767">AE152*AE$207</f>
        <v>2897.4701823822006</v>
      </c>
    </row>
    <row r="218" spans="2:31" ht="13.5" customHeight="1">
      <c r="B218" s="21" t="s">
        <v>225</v>
      </c>
      <c r="C218" s="29">
        <f t="shared" ref="C218:D218" si="768">C215/C213</f>
        <v>4.167394058848374</v>
      </c>
      <c r="D218" s="29">
        <f t="shared" si="768"/>
        <v>2.8957822175487786</v>
      </c>
      <c r="E218" s="29">
        <f t="shared" ref="E218:F218" si="769">E215/E213</f>
        <v>3.9668863748155436</v>
      </c>
      <c r="F218" s="29">
        <f t="shared" si="769"/>
        <v>3.2327662946256517</v>
      </c>
      <c r="G218" s="29">
        <f t="shared" ref="G218" si="770">G215/G213</f>
        <v>7.1590720908013896</v>
      </c>
      <c r="H218" s="29">
        <f>H215/H213</f>
        <v>4.3180854385737133</v>
      </c>
      <c r="I218" s="29">
        <f>I215/I213</f>
        <v>3.332509325643715</v>
      </c>
      <c r="J218" s="29">
        <f>J215/J213</f>
        <v>3.332509325643715</v>
      </c>
      <c r="K218" s="29"/>
      <c r="L218" s="281"/>
      <c r="M218" s="281"/>
      <c r="N218" s="281"/>
      <c r="O218" s="29">
        <f t="shared" ref="O218:P218" si="771">O215/O213</f>
        <v>3.9080515280457422</v>
      </c>
      <c r="P218" s="29">
        <f t="shared" si="771"/>
        <v>0</v>
      </c>
      <c r="Q218" s="29">
        <f t="shared" ref="Q218" si="772">Q215/Q213</f>
        <v>3.4603287386342947</v>
      </c>
      <c r="R218" s="281"/>
      <c r="S218" s="29">
        <f t="shared" ref="S218:U218" si="773">S215/S213</f>
        <v>3.2265400913894453</v>
      </c>
      <c r="T218" s="281"/>
      <c r="U218" s="29">
        <f t="shared" si="773"/>
        <v>4.5386461073228643</v>
      </c>
      <c r="V218" s="281"/>
      <c r="W218" s="29">
        <f t="shared" ref="W218:X218" si="774">W215/W213</f>
        <v>7.1337997015370611</v>
      </c>
      <c r="X218" s="29">
        <f t="shared" si="774"/>
        <v>6.2212322273345304</v>
      </c>
      <c r="Y218" s="29">
        <f t="shared" ref="Y218:AB218" si="775">Y215/Y213</f>
        <v>8.0119611234960644</v>
      </c>
      <c r="Z218" s="29">
        <f t="shared" si="775"/>
        <v>4.9716678355791242</v>
      </c>
      <c r="AA218" s="29">
        <f t="shared" si="775"/>
        <v>4.3180854385737133</v>
      </c>
      <c r="AB218" s="29">
        <f t="shared" si="775"/>
        <v>3.2146950962440379</v>
      </c>
      <c r="AC218" s="29">
        <f t="shared" ref="AC218:AE218" si="776">AC215/AC213</f>
        <v>3.2620593785940732</v>
      </c>
      <c r="AD218" s="29">
        <f t="shared" si="776"/>
        <v>3.0069277594142583</v>
      </c>
      <c r="AE218" s="29">
        <f t="shared" si="776"/>
        <v>3.332509325643715</v>
      </c>
    </row>
    <row r="219" spans="2:31" ht="13.5" customHeight="1">
      <c r="B219" s="21" t="s">
        <v>226</v>
      </c>
      <c r="C219" s="29">
        <f t="shared" ref="C219:D219" si="777">C217/C213</f>
        <v>3.2168097986766155</v>
      </c>
      <c r="D219" s="29">
        <f t="shared" si="777"/>
        <v>2.3244537913307628</v>
      </c>
      <c r="E219" s="29">
        <f t="shared" ref="E219:F219" si="778">E217/E213</f>
        <v>3.282183964584358</v>
      </c>
      <c r="F219" s="29">
        <f t="shared" si="778"/>
        <v>2.6972918594970561</v>
      </c>
      <c r="G219" s="29">
        <f t="shared" ref="G219" si="779">G217/G213</f>
        <v>6.0218492170879836</v>
      </c>
      <c r="H219" s="29">
        <f>H217/H213</f>
        <v>3.1181709097052788</v>
      </c>
      <c r="I219" s="29">
        <f>I217/I213</f>
        <v>2.6700884462895647</v>
      </c>
      <c r="J219" s="29">
        <f>J217/J213</f>
        <v>2.6700884462895647</v>
      </c>
      <c r="K219" s="29"/>
      <c r="L219" s="281"/>
      <c r="M219" s="281"/>
      <c r="N219" s="281"/>
      <c r="O219" s="29">
        <f t="shared" ref="O219:P219" si="780">O217/O213</f>
        <v>3.2335042766929702</v>
      </c>
      <c r="P219" s="29">
        <f t="shared" si="780"/>
        <v>0</v>
      </c>
      <c r="Q219" s="29">
        <f t="shared" ref="Q219" si="781">Q217/Q213</f>
        <v>3.1257675663912647</v>
      </c>
      <c r="R219" s="281"/>
      <c r="S219" s="29">
        <f t="shared" ref="S219:U219" si="782">S217/S213</f>
        <v>2.6920969626891691</v>
      </c>
      <c r="T219" s="281"/>
      <c r="U219" s="29">
        <f t="shared" si="782"/>
        <v>4.1859059942465482</v>
      </c>
      <c r="V219" s="281"/>
      <c r="W219" s="29">
        <f t="shared" ref="W219:X219" si="783">W217/W213</f>
        <v>6.0005913619392865</v>
      </c>
      <c r="X219" s="29">
        <f t="shared" si="783"/>
        <v>5.4063481198198637</v>
      </c>
      <c r="Y219" s="29">
        <f t="shared" ref="Y219:AB219" si="784">Y217/Y213</f>
        <v>7.1658035366738391</v>
      </c>
      <c r="Z219" s="29">
        <f t="shared" si="784"/>
        <v>4.3446165720857728</v>
      </c>
      <c r="AA219" s="29">
        <f t="shared" si="784"/>
        <v>3.1181709097052788</v>
      </c>
      <c r="AB219" s="29">
        <f t="shared" si="784"/>
        <v>2.5601359754734982</v>
      </c>
      <c r="AC219" s="29">
        <f t="shared" ref="AC219:AE219" si="785">AC217/AC213</f>
        <v>2.7448585711159645</v>
      </c>
      <c r="AD219" s="29">
        <f t="shared" si="785"/>
        <v>2.4632003431092699</v>
      </c>
      <c r="AE219" s="29">
        <f t="shared" si="785"/>
        <v>2.6700884462895647</v>
      </c>
    </row>
    <row r="220" spans="2:31" ht="13.5" customHeight="1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</row>
    <row r="221" spans="2:31" ht="13.5" customHeight="1">
      <c r="B221" s="47" t="s">
        <v>227</v>
      </c>
      <c r="C221" s="46"/>
      <c r="D221" s="46"/>
      <c r="E221" s="46"/>
      <c r="F221" s="46"/>
      <c r="G221" s="46"/>
      <c r="H221" s="46"/>
      <c r="I221" s="46"/>
      <c r="J221" s="46"/>
      <c r="K221" s="241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</row>
    <row r="222" spans="2:31" s="45" customFormat="1" ht="13.5" customHeight="1">
      <c r="B222" s="44" t="s">
        <v>234</v>
      </c>
      <c r="C222" s="43">
        <f t="shared" ref="C222:H222" si="786">C3</f>
        <v>43921</v>
      </c>
      <c r="D222" s="43">
        <f t="shared" si="786"/>
        <v>44286</v>
      </c>
      <c r="E222" s="43">
        <f t="shared" si="786"/>
        <v>44651</v>
      </c>
      <c r="F222" s="43">
        <f t="shared" si="786"/>
        <v>45016</v>
      </c>
      <c r="G222" s="43">
        <f t="shared" si="786"/>
        <v>45382</v>
      </c>
      <c r="H222" s="43">
        <f t="shared" si="786"/>
        <v>45747</v>
      </c>
      <c r="I222" s="43">
        <f t="shared" ref="I222" si="787">I3</f>
        <v>46112</v>
      </c>
      <c r="J222" s="43" t="str">
        <f>J2</f>
        <v>LTM</v>
      </c>
      <c r="K222" s="235"/>
      <c r="L222" s="43">
        <f t="shared" ref="L222:Q222" si="788">L3</f>
        <v>44377</v>
      </c>
      <c r="M222" s="43">
        <f t="shared" si="788"/>
        <v>44469</v>
      </c>
      <c r="N222" s="43">
        <f t="shared" si="788"/>
        <v>44561</v>
      </c>
      <c r="O222" s="43">
        <f t="shared" si="788"/>
        <v>44651</v>
      </c>
      <c r="P222" s="43">
        <f t="shared" si="788"/>
        <v>44742</v>
      </c>
      <c r="Q222" s="43">
        <f t="shared" si="788"/>
        <v>44834</v>
      </c>
      <c r="R222" s="43">
        <f t="shared" ref="R222:U222" si="789">R3</f>
        <v>44926</v>
      </c>
      <c r="S222" s="43">
        <f t="shared" si="789"/>
        <v>45016</v>
      </c>
      <c r="T222" s="43">
        <f t="shared" si="789"/>
        <v>45107</v>
      </c>
      <c r="U222" s="43">
        <f t="shared" si="789"/>
        <v>45199</v>
      </c>
      <c r="V222" s="43">
        <f t="shared" ref="V222:Y222" si="790">V3</f>
        <v>45291</v>
      </c>
      <c r="W222" s="43">
        <f t="shared" si="790"/>
        <v>45382</v>
      </c>
      <c r="X222" s="43">
        <f t="shared" si="790"/>
        <v>45473</v>
      </c>
      <c r="Y222" s="43">
        <f t="shared" si="790"/>
        <v>45565</v>
      </c>
      <c r="Z222" s="43">
        <f t="shared" ref="Z222:AC222" si="791">Z3</f>
        <v>45657</v>
      </c>
      <c r="AA222" s="43">
        <f t="shared" si="791"/>
        <v>45747</v>
      </c>
      <c r="AB222" s="43">
        <f t="shared" si="791"/>
        <v>45838</v>
      </c>
      <c r="AC222" s="43">
        <f t="shared" si="791"/>
        <v>45930</v>
      </c>
      <c r="AD222" s="43">
        <f t="shared" ref="AD222:AE222" si="792">AD3</f>
        <v>46022</v>
      </c>
      <c r="AE222" s="43">
        <f t="shared" si="792"/>
        <v>46112</v>
      </c>
    </row>
    <row r="223" spans="2:31" s="26" customFormat="1" ht="13.5" customHeight="1">
      <c r="B223" s="44"/>
      <c r="C223" s="43" t="s">
        <v>113</v>
      </c>
      <c r="D223" s="43" t="s">
        <v>113</v>
      </c>
      <c r="E223" s="43" t="s">
        <v>113</v>
      </c>
      <c r="F223" s="43" t="s">
        <v>113</v>
      </c>
      <c r="G223" s="43" t="s">
        <v>113</v>
      </c>
      <c r="H223" s="43" t="s">
        <v>113</v>
      </c>
      <c r="I223" s="43" t="s">
        <v>113</v>
      </c>
      <c r="J223" s="43" t="s">
        <v>113</v>
      </c>
      <c r="K223" s="235"/>
      <c r="L223" s="43" t="s">
        <v>113</v>
      </c>
      <c r="M223" s="43" t="s">
        <v>113</v>
      </c>
      <c r="N223" s="43" t="s">
        <v>113</v>
      </c>
      <c r="O223" s="43" t="s">
        <v>113</v>
      </c>
      <c r="P223" s="43" t="s">
        <v>113</v>
      </c>
      <c r="Q223" s="43" t="s">
        <v>113</v>
      </c>
      <c r="R223" s="43" t="s">
        <v>113</v>
      </c>
      <c r="S223" s="43" t="s">
        <v>113</v>
      </c>
      <c r="T223" s="43" t="s">
        <v>113</v>
      </c>
      <c r="U223" s="43" t="s">
        <v>113</v>
      </c>
      <c r="V223" s="43" t="s">
        <v>113</v>
      </c>
      <c r="W223" s="43" t="s">
        <v>113</v>
      </c>
      <c r="X223" s="43" t="s">
        <v>113</v>
      </c>
      <c r="Y223" s="43" t="s">
        <v>113</v>
      </c>
      <c r="Z223" s="43" t="s">
        <v>113</v>
      </c>
      <c r="AA223" s="43" t="s">
        <v>113</v>
      </c>
      <c r="AB223" s="43" t="s">
        <v>113</v>
      </c>
      <c r="AC223" s="43" t="s">
        <v>113</v>
      </c>
      <c r="AD223" s="43" t="s">
        <v>113</v>
      </c>
      <c r="AE223" s="43" t="s">
        <v>113</v>
      </c>
    </row>
    <row r="224" spans="2:31" ht="13.5" customHeight="1"/>
    <row r="225" spans="2:31" s="26" customFormat="1" ht="13.5" customHeight="1">
      <c r="B225" s="26" t="str">
        <f>B7</f>
        <v>Revenue from Operations</v>
      </c>
      <c r="C225" s="41">
        <f t="shared" ref="C225:G225" si="793">C7*C$206</f>
        <v>4854.1092812643819</v>
      </c>
      <c r="D225" s="41">
        <f t="shared" si="793"/>
        <v>5292.5728354534267</v>
      </c>
      <c r="E225" s="41">
        <f t="shared" si="793"/>
        <v>6106.708927628104</v>
      </c>
      <c r="F225" s="41">
        <f t="shared" si="793"/>
        <v>6699.0097029108738</v>
      </c>
      <c r="G225" s="41">
        <f t="shared" si="793"/>
        <v>5189.4727082477912</v>
      </c>
      <c r="H225" s="41">
        <f t="shared" ref="H225:I225" si="794">H7*H$206</f>
        <v>5520.2008942603925</v>
      </c>
      <c r="I225" s="41">
        <f t="shared" si="794"/>
        <v>5867.0787519450651</v>
      </c>
      <c r="J225" s="41">
        <f t="shared" ref="J225" si="795">J7*J$206</f>
        <v>5867.0787519450651</v>
      </c>
      <c r="K225" s="41"/>
      <c r="L225" s="41">
        <f t="shared" ref="L225:Q225" si="796">L7*L$206</f>
        <v>1150.627473713939</v>
      </c>
      <c r="M225" s="41">
        <f t="shared" si="796"/>
        <v>1421.9862525907163</v>
      </c>
      <c r="N225" s="41">
        <f t="shared" si="796"/>
        <v>1518.8965617300314</v>
      </c>
      <c r="O225" s="41">
        <f t="shared" si="796"/>
        <v>2094.6909667194927</v>
      </c>
      <c r="P225" s="41">
        <f t="shared" si="796"/>
        <v>1402.1743355836886</v>
      </c>
      <c r="Q225" s="41">
        <f t="shared" si="796"/>
        <v>1559.6052742094312</v>
      </c>
      <c r="R225" s="41">
        <f t="shared" ref="R225:U225" si="797">R7*R$206</f>
        <v>1666.1032506405288</v>
      </c>
      <c r="S225" s="41">
        <f t="shared" si="797"/>
        <v>2071.746523957187</v>
      </c>
      <c r="T225" s="41">
        <f t="shared" si="797"/>
        <v>1091.1857803749697</v>
      </c>
      <c r="U225" s="41">
        <f t="shared" si="797"/>
        <v>1231.0366001950267</v>
      </c>
      <c r="V225" s="41">
        <f t="shared" ref="V225:Y225" si="798">V7*V$206</f>
        <v>1187.9230499999999</v>
      </c>
      <c r="W225" s="41">
        <f t="shared" si="798"/>
        <v>1695.1458718899346</v>
      </c>
      <c r="X225" s="41">
        <f t="shared" si="798"/>
        <v>1087.3475790895959</v>
      </c>
      <c r="Y225" s="41">
        <f t="shared" si="798"/>
        <v>1326.997862335947</v>
      </c>
      <c r="Z225" s="41">
        <f t="shared" ref="Z225:AC225" si="799">Z7*Z$206</f>
        <v>1291.6099236189236</v>
      </c>
      <c r="AA225" s="41">
        <f t="shared" si="799"/>
        <v>1798.0585800000001</v>
      </c>
      <c r="AB225" s="41">
        <f t="shared" si="799"/>
        <v>1076.449432835821</v>
      </c>
      <c r="AC225" s="41">
        <f t="shared" si="799"/>
        <v>1376.6837716484927</v>
      </c>
      <c r="AD225" s="41">
        <f t="shared" ref="AD225:AE225" si="800">AD7*AD$206</f>
        <v>1377.2085400624114</v>
      </c>
      <c r="AE225" s="41">
        <f t="shared" si="800"/>
        <v>2000.7118211779386</v>
      </c>
    </row>
    <row r="226" spans="2:31" s="37" customFormat="1" ht="13.5" customHeight="1">
      <c r="B226" s="42" t="s">
        <v>228</v>
      </c>
      <c r="C226" s="38" t="e">
        <f>C225/#REF!-1</f>
        <v>#REF!</v>
      </c>
      <c r="D226" s="38">
        <f t="shared" ref="D226:I226" si="801">D225/C225-1</f>
        <v>9.0328323649696562E-2</v>
      </c>
      <c r="E226" s="38">
        <f t="shared" si="801"/>
        <v>0.15382614797873218</v>
      </c>
      <c r="F226" s="38">
        <f t="shared" si="801"/>
        <v>9.6991813807117966E-2</v>
      </c>
      <c r="G226" s="38">
        <f t="shared" si="801"/>
        <v>-0.22533733515972576</v>
      </c>
      <c r="H226" s="38">
        <f t="shared" si="801"/>
        <v>6.3730595497104137E-2</v>
      </c>
      <c r="I226" s="38">
        <f t="shared" si="801"/>
        <v>6.2837904693892055E-2</v>
      </c>
      <c r="J226" s="38"/>
      <c r="K226" s="41"/>
      <c r="L226" s="38"/>
      <c r="M226" s="38"/>
      <c r="N226" s="38"/>
      <c r="O226" s="38"/>
      <c r="P226" s="38">
        <f>P225/L225-1</f>
        <v>0.21861711771736081</v>
      </c>
      <c r="Q226" s="38">
        <f t="shared" ref="Q226:AE226" si="802">Q225/M225-1</f>
        <v>9.6779431846114372E-2</v>
      </c>
      <c r="R226" s="38">
        <f t="shared" si="802"/>
        <v>9.6916862292997896E-2</v>
      </c>
      <c r="S226" s="38">
        <f t="shared" si="802"/>
        <v>-1.095361708569309E-2</v>
      </c>
      <c r="T226" s="38">
        <f t="shared" si="802"/>
        <v>-0.22179022059996734</v>
      </c>
      <c r="U226" s="38">
        <f t="shared" si="802"/>
        <v>-0.21067425165060238</v>
      </c>
      <c r="V226" s="38">
        <f t="shared" si="802"/>
        <v>-0.28700514236239194</v>
      </c>
      <c r="W226" s="38">
        <f t="shared" si="802"/>
        <v>-0.18177930925059194</v>
      </c>
      <c r="X226" s="38">
        <f t="shared" si="802"/>
        <v>-3.5174590380520065E-3</v>
      </c>
      <c r="Y226" s="38">
        <f t="shared" si="802"/>
        <v>7.7951591468294001E-2</v>
      </c>
      <c r="Z226" s="38">
        <f t="shared" si="802"/>
        <v>8.7284166780772443E-2</v>
      </c>
      <c r="AA226" s="38">
        <f t="shared" si="802"/>
        <v>6.0710237282014745E-2</v>
      </c>
      <c r="AB226" s="38">
        <f t="shared" si="802"/>
        <v>-1.0022688663085644E-2</v>
      </c>
      <c r="AC226" s="38">
        <f t="shared" si="802"/>
        <v>3.7442343143704981E-2</v>
      </c>
      <c r="AD226" s="38">
        <f t="shared" si="802"/>
        <v>6.6272807972589387E-2</v>
      </c>
      <c r="AE226" s="38">
        <f t="shared" si="802"/>
        <v>0.11270669567280645</v>
      </c>
    </row>
    <row r="227" spans="2:31" ht="13.5" customHeight="1"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</row>
    <row r="228" spans="2:31" s="26" customFormat="1" ht="13.5" customHeight="1" thickBot="1">
      <c r="B228" s="32" t="str">
        <f>B49</f>
        <v xml:space="preserve">Adj. EBITDA </v>
      </c>
      <c r="C228" s="40">
        <f t="shared" ref="C228:G228" si="803">C49*C$206</f>
        <v>964.27839313180743</v>
      </c>
      <c r="D228" s="40">
        <f t="shared" si="803"/>
        <v>1170.7016823963891</v>
      </c>
      <c r="E228" s="40">
        <f t="shared" si="803"/>
        <v>1342.445853143159</v>
      </c>
      <c r="F228" s="40">
        <f t="shared" si="803"/>
        <v>1397.6693007902372</v>
      </c>
      <c r="G228" s="40">
        <f t="shared" si="803"/>
        <v>664.06659209212876</v>
      </c>
      <c r="H228" s="40">
        <f t="shared" ref="H228:I228" si="804">H49*H$206</f>
        <v>961.12595710260928</v>
      </c>
      <c r="I228" s="40">
        <f t="shared" si="804"/>
        <v>1085.1588779422691</v>
      </c>
      <c r="J228" s="40">
        <f t="shared" ref="J228" si="805">J49*J$206</f>
        <v>1085.1588779422691</v>
      </c>
      <c r="K228" s="51"/>
      <c r="L228" s="40">
        <f t="shared" ref="L228:Q228" si="806">L49*L$206</f>
        <v>251.61108115741095</v>
      </c>
      <c r="M228" s="40">
        <f t="shared" si="806"/>
        <v>275.19275920772355</v>
      </c>
      <c r="N228" s="40">
        <f t="shared" si="806"/>
        <v>358.44721904684991</v>
      </c>
      <c r="O228" s="40">
        <f t="shared" si="806"/>
        <v>474.37929212889594</v>
      </c>
      <c r="P228" s="40">
        <f t="shared" si="806"/>
        <v>303.47401293198396</v>
      </c>
      <c r="Q228" s="40">
        <f t="shared" si="806"/>
        <v>345.16569912942396</v>
      </c>
      <c r="R228" s="40">
        <f t="shared" ref="R228:U228" si="807">R49*R$206</f>
        <v>369.66323310870712</v>
      </c>
      <c r="S228" s="40">
        <f t="shared" si="807"/>
        <v>379.23877163148944</v>
      </c>
      <c r="T228" s="40">
        <f t="shared" si="807"/>
        <v>193.93718042366692</v>
      </c>
      <c r="U228" s="40">
        <f t="shared" si="807"/>
        <v>190.40516933203315</v>
      </c>
      <c r="V228" s="40">
        <f t="shared" ref="V228:Y228" si="808">V49*V$206</f>
        <v>49.982399999999998</v>
      </c>
      <c r="W228" s="40">
        <f t="shared" si="808"/>
        <v>232.75443744589029</v>
      </c>
      <c r="X228" s="40">
        <f t="shared" si="808"/>
        <v>137.31255961813031</v>
      </c>
      <c r="Y228" s="40">
        <f t="shared" si="808"/>
        <v>188.57967818227706</v>
      </c>
      <c r="Z228" s="40">
        <f t="shared" ref="Z228:AC228" si="809">Z49*Z$206</f>
        <v>256.14305169044945</v>
      </c>
      <c r="AA228" s="40">
        <f t="shared" si="809"/>
        <v>373.62856000000005</v>
      </c>
      <c r="AB228" s="40">
        <f t="shared" si="809"/>
        <v>152.19331716417912</v>
      </c>
      <c r="AC228" s="40">
        <f t="shared" si="809"/>
        <v>252.56574727389352</v>
      </c>
      <c r="AD228" s="40">
        <f t="shared" ref="AD228:AE228" si="810">AD49*AD$206</f>
        <v>273.21913656466785</v>
      </c>
      <c r="AE228" s="40">
        <f t="shared" si="810"/>
        <v>397.85084810552303</v>
      </c>
    </row>
    <row r="229" spans="2:31" s="37" customFormat="1" ht="13.5" customHeight="1" thickTop="1">
      <c r="B229" s="39" t="str">
        <f>B50</f>
        <v xml:space="preserve">% growth </v>
      </c>
      <c r="C229" s="38" t="e">
        <f>C228/#REF!-1</f>
        <v>#REF!</v>
      </c>
      <c r="D229" s="38">
        <f t="shared" ref="D229:I229" si="811">D228/C228-1</f>
        <v>0.21407022156138433</v>
      </c>
      <c r="E229" s="38">
        <f t="shared" si="811"/>
        <v>0.14670190820535511</v>
      </c>
      <c r="F229" s="38">
        <f t="shared" si="811"/>
        <v>4.1136443244828014E-2</v>
      </c>
      <c r="G229" s="38">
        <f t="shared" si="811"/>
        <v>-0.52487574012202465</v>
      </c>
      <c r="H229" s="38">
        <f t="shared" si="811"/>
        <v>0.44733369898130371</v>
      </c>
      <c r="I229" s="38">
        <f t="shared" si="811"/>
        <v>0.1290496005472237</v>
      </c>
      <c r="J229" s="38"/>
      <c r="K229" s="243"/>
      <c r="L229" s="38"/>
      <c r="M229" s="38"/>
      <c r="N229" s="38"/>
      <c r="O229" s="38"/>
      <c r="P229" s="38">
        <f>P228/L228-1</f>
        <v>0.20612340098855553</v>
      </c>
      <c r="Q229" s="38">
        <f t="shared" ref="Q229:AE229" si="812">Q228/M228-1</f>
        <v>0.25426882641517023</v>
      </c>
      <c r="R229" s="38">
        <f t="shared" si="812"/>
        <v>3.1290559574382648E-2</v>
      </c>
      <c r="S229" s="38">
        <f t="shared" si="812"/>
        <v>-0.20055791236257292</v>
      </c>
      <c r="T229" s="38">
        <f t="shared" si="812"/>
        <v>-0.3609430390761893</v>
      </c>
      <c r="U229" s="38">
        <f t="shared" si="812"/>
        <v>-0.44836590132718113</v>
      </c>
      <c r="V229" s="38">
        <f t="shared" si="812"/>
        <v>-0.86478936631141345</v>
      </c>
      <c r="W229" s="38">
        <f t="shared" si="812"/>
        <v>-0.38625885627522183</v>
      </c>
      <c r="X229" s="38">
        <f t="shared" si="812"/>
        <v>-0.29197403345679707</v>
      </c>
      <c r="Y229" s="38">
        <f t="shared" si="812"/>
        <v>-9.5874033050686869E-3</v>
      </c>
      <c r="Z229" s="38">
        <f t="shared" si="812"/>
        <v>4.1246649158593716</v>
      </c>
      <c r="AA229" s="38">
        <f t="shared" si="812"/>
        <v>0.60524784876275262</v>
      </c>
      <c r="AB229" s="38">
        <f t="shared" si="812"/>
        <v>0.10837142346943773</v>
      </c>
      <c r="AC229" s="38">
        <f t="shared" si="812"/>
        <v>0.33930521946149939</v>
      </c>
      <c r="AD229" s="38">
        <f t="shared" si="812"/>
        <v>6.6666203754201181E-2</v>
      </c>
      <c r="AE229" s="38">
        <f t="shared" si="812"/>
        <v>6.4829862325093579E-2</v>
      </c>
    </row>
    <row r="230" spans="2:31" s="37" customFormat="1" ht="13.5" customHeight="1">
      <c r="B230" s="39" t="str">
        <f>B51</f>
        <v>% margin</v>
      </c>
      <c r="C230" s="38">
        <f t="shared" ref="C230:D230" si="813">C228/C225</f>
        <v>0.19865197449379127</v>
      </c>
      <c r="D230" s="38">
        <f t="shared" si="813"/>
        <v>0.22119708481935182</v>
      </c>
      <c r="E230" s="38">
        <f t="shared" ref="E230:F230" si="814">E228/E225</f>
        <v>0.21983131487889271</v>
      </c>
      <c r="F230" s="38">
        <f t="shared" si="814"/>
        <v>0.20863819620725699</v>
      </c>
      <c r="G230" s="38">
        <f t="shared" ref="G230:H230" si="815">G228/G225</f>
        <v>0.12796417467167848</v>
      </c>
      <c r="H230" s="38">
        <f t="shared" si="815"/>
        <v>0.1741106846495272</v>
      </c>
      <c r="I230" s="38">
        <f t="shared" ref="I230" si="816">I228/I225</f>
        <v>0.18495727155230618</v>
      </c>
      <c r="J230" s="38">
        <f t="shared" ref="J230" si="817">J228/J225</f>
        <v>0.18495727155230618</v>
      </c>
      <c r="K230" s="243"/>
      <c r="L230" s="38">
        <f t="shared" ref="L230:O230" si="818">L228/L225</f>
        <v>0.21867293012331179</v>
      </c>
      <c r="M230" s="38">
        <f t="shared" si="818"/>
        <v>0.19352701807513958</v>
      </c>
      <c r="N230" s="38">
        <f t="shared" si="818"/>
        <v>0.23599185624502078</v>
      </c>
      <c r="O230" s="38">
        <f t="shared" si="818"/>
        <v>0.22646743584893766</v>
      </c>
      <c r="P230" s="38">
        <f t="shared" ref="P230:S230" si="819">P228/P225</f>
        <v>0.2164310137695222</v>
      </c>
      <c r="Q230" s="38">
        <f t="shared" si="819"/>
        <v>0.22131606300471734</v>
      </c>
      <c r="R230" s="38">
        <f t="shared" si="819"/>
        <v>0.22187294392864973</v>
      </c>
      <c r="S230" s="38">
        <f t="shared" si="819"/>
        <v>0.1830526887561108</v>
      </c>
      <c r="T230" s="38">
        <f t="shared" ref="T230:W230" si="820">T228/T225</f>
        <v>0.17773067053441927</v>
      </c>
      <c r="U230" s="38">
        <f t="shared" si="820"/>
        <v>0.15467059980334319</v>
      </c>
      <c r="V230" s="38">
        <f t="shared" si="820"/>
        <v>4.2075452614544352E-2</v>
      </c>
      <c r="W230" s="38">
        <f t="shared" si="820"/>
        <v>0.13730643557323483</v>
      </c>
      <c r="X230" s="38">
        <f t="shared" ref="X230:AA230" si="821">X228/X225</f>
        <v>0.12628212198080954</v>
      </c>
      <c r="Y230" s="38">
        <f t="shared" si="821"/>
        <v>0.14211000901713255</v>
      </c>
      <c r="Z230" s="38">
        <f t="shared" si="821"/>
        <v>0.19831300999358212</v>
      </c>
      <c r="AA230" s="38">
        <f t="shared" si="821"/>
        <v>0.20779554356899763</v>
      </c>
      <c r="AB230" s="38">
        <f t="shared" ref="AB230:AE230" si="822">AB228/AB225</f>
        <v>0.1413845486111111</v>
      </c>
      <c r="AC230" s="38">
        <f t="shared" si="822"/>
        <v>0.18345952242283051</v>
      </c>
      <c r="AD230" s="38">
        <f t="shared" si="822"/>
        <v>0.19838617654250554</v>
      </c>
      <c r="AE230" s="38">
        <f t="shared" si="822"/>
        <v>0.19885464957731117</v>
      </c>
    </row>
    <row r="231" spans="2:31" ht="13.5" customHeight="1"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</row>
    <row r="232" spans="2:31" s="26" customFormat="1" ht="13.5" customHeight="1">
      <c r="B232" s="26" t="str">
        <f>B58</f>
        <v xml:space="preserve">Adj. EBITDA </v>
      </c>
      <c r="C232" s="35">
        <f>C58*C$206</f>
        <v>964.27839313180743</v>
      </c>
      <c r="D232" s="35">
        <f>D58*D$206</f>
        <v>1170.7016823963891</v>
      </c>
      <c r="E232" s="35">
        <f>E58*E$206</f>
        <v>1342.445853143159</v>
      </c>
      <c r="F232" s="35">
        <f t="shared" ref="F232:G232" si="823">F58*F$206</f>
        <v>1397.6693007902372</v>
      </c>
      <c r="G232" s="35">
        <f t="shared" si="823"/>
        <v>664.06659209212876</v>
      </c>
      <c r="H232" s="35">
        <f t="shared" ref="H232:J232" si="824">H58*H$206</f>
        <v>961.12595710260928</v>
      </c>
      <c r="I232" s="35">
        <f t="shared" ref="I232" si="825">I58*I$206</f>
        <v>1085.1588779422691</v>
      </c>
      <c r="J232" s="35">
        <f t="shared" si="824"/>
        <v>1085.1588779422691</v>
      </c>
      <c r="K232" s="13"/>
      <c r="L232" s="282"/>
      <c r="M232" s="35">
        <f>M58*M$206</f>
        <v>525.75946710248206</v>
      </c>
      <c r="N232" s="282"/>
      <c r="O232" s="35">
        <f>O58*O$206</f>
        <v>826.46592709984156</v>
      </c>
      <c r="P232" s="282"/>
      <c r="Q232" s="35">
        <f>Q58*Q$206</f>
        <v>637.20979860959415</v>
      </c>
      <c r="R232" s="282"/>
      <c r="S232" s="35">
        <f>S58*S$206</f>
        <v>758.72761828548573</v>
      </c>
      <c r="T232" s="282"/>
      <c r="U232" s="35">
        <f>U58*U$206</f>
        <v>383.23125626523642</v>
      </c>
      <c r="V232" s="282"/>
      <c r="W232" s="35">
        <f>W58*W$206</f>
        <v>282.84540794640264</v>
      </c>
      <c r="X232" s="282"/>
      <c r="Y232" s="35">
        <f>Y58*Y$206</f>
        <v>325.58712203932481</v>
      </c>
      <c r="Z232" s="282"/>
      <c r="AA232" s="35">
        <f>AA58*AA$206</f>
        <v>623.36854000000005</v>
      </c>
      <c r="AB232" s="282"/>
      <c r="AC232" s="35">
        <f>AC58*AC$206</f>
        <v>401.81434985796756</v>
      </c>
      <c r="AD232" s="282"/>
      <c r="AE232" s="35">
        <f>AE58*AE$206</f>
        <v>663.44847956159629</v>
      </c>
    </row>
    <row r="233" spans="2:31" ht="13.5" customHeight="1">
      <c r="B233" s="21" t="str">
        <f>B59</f>
        <v>Working Capital</v>
      </c>
      <c r="C233" s="16">
        <f>C59*C$206</f>
        <v>414.05731367760279</v>
      </c>
      <c r="D233" s="16">
        <f>D59*D$206</f>
        <v>-29.270961564765422</v>
      </c>
      <c r="E233" s="16">
        <f>E59*E$206</f>
        <v>-233.3597464342314</v>
      </c>
      <c r="F233" s="16">
        <f t="shared" ref="F233:G233" si="826">F59*F$206</f>
        <v>-171.17635290587177</v>
      </c>
      <c r="G233" s="16">
        <f t="shared" si="826"/>
        <v>-153.04236419747883</v>
      </c>
      <c r="H233" s="16">
        <f t="shared" ref="H233:J233" si="827">H59*H$206</f>
        <v>428.48226166397114</v>
      </c>
      <c r="I233" s="16">
        <f t="shared" ref="I233" si="828">I59*I$206</f>
        <v>-132.75879889719249</v>
      </c>
      <c r="J233" s="16">
        <f t="shared" si="827"/>
        <v>-132.75879889719249</v>
      </c>
      <c r="K233" s="127"/>
      <c r="L233" s="283"/>
      <c r="M233" s="16">
        <f>M59*M$206</f>
        <v>-757.62114148629996</v>
      </c>
      <c r="N233" s="283"/>
      <c r="O233" s="16">
        <f>O59*O$206</f>
        <v>510.16904384574752</v>
      </c>
      <c r="P233" s="283"/>
      <c r="Q233" s="16">
        <f>Q59*Q$206</f>
        <v>-1072.4078802431525</v>
      </c>
      <c r="R233" s="283"/>
      <c r="S233" s="16">
        <f>S59*S$206</f>
        <v>904.14624387316201</v>
      </c>
      <c r="T233" s="283"/>
      <c r="U233" s="16">
        <f>U59*U$206</f>
        <v>-1382.4649961482203</v>
      </c>
      <c r="V233" s="283"/>
      <c r="W233" s="16">
        <f>W59*W$206</f>
        <v>1222.1715158177892</v>
      </c>
      <c r="X233" s="283"/>
      <c r="Y233" s="16">
        <f>Y59*Y$206</f>
        <v>-585.6021224771979</v>
      </c>
      <c r="Z233" s="283"/>
      <c r="AA233" s="16">
        <f>AA59*AA$206</f>
        <v>983.02644000000009</v>
      </c>
      <c r="AB233" s="283"/>
      <c r="AC233" s="16">
        <f>AC59*AC$206</f>
        <v>-949.67011820764219</v>
      </c>
      <c r="AD233" s="283"/>
      <c r="AE233" s="16">
        <f>AE59*AE$206</f>
        <v>776.71484827622407</v>
      </c>
    </row>
    <row r="234" spans="2:31" ht="13.5" customHeight="1">
      <c r="B234" s="21" t="str">
        <f>B60</f>
        <v>Taxes</v>
      </c>
      <c r="C234" s="16">
        <f>C60*C$206</f>
        <v>-111.18457045965792</v>
      </c>
      <c r="D234" s="16">
        <f>D60*D$206</f>
        <v>-99.165640815209954</v>
      </c>
      <c r="E234" s="16">
        <f>E60*E$206</f>
        <v>-132.59376650818805</v>
      </c>
      <c r="F234" s="16">
        <f t="shared" ref="F234:G234" si="829">F60*F$206</f>
        <v>-157.79733920176054</v>
      </c>
      <c r="G234" s="16">
        <f t="shared" si="829"/>
        <v>-137.62975788962888</v>
      </c>
      <c r="H234" s="16">
        <f t="shared" ref="H234:J234" si="830">H60*H$206</f>
        <v>-116.35305613692918</v>
      </c>
      <c r="I234" s="16">
        <f t="shared" ref="I234" si="831">I60*I$206</f>
        <v>-64.625127169903593</v>
      </c>
      <c r="J234" s="16">
        <f t="shared" si="830"/>
        <v>-64.625127169903593</v>
      </c>
      <c r="K234" s="127"/>
      <c r="L234" s="283"/>
      <c r="M234" s="16">
        <f>M60*M$206</f>
        <v>-58.941040847424404</v>
      </c>
      <c r="N234" s="283"/>
      <c r="O234" s="16">
        <f>O60*O$206</f>
        <v>-74.749075541468571</v>
      </c>
      <c r="P234" s="283"/>
      <c r="Q234" s="16">
        <f>Q60*Q$206</f>
        <v>-70.953498123064392</v>
      </c>
      <c r="R234" s="283"/>
      <c r="S234" s="16">
        <f>S60*S$206</f>
        <v>-86.650995298589578</v>
      </c>
      <c r="T234" s="283"/>
      <c r="U234" s="16">
        <f>U60*U$206</f>
        <v>-101.67853924914675</v>
      </c>
      <c r="V234" s="283"/>
      <c r="W234" s="16">
        <f>W60*W$206</f>
        <v>-36.484528994363558</v>
      </c>
      <c r="X234" s="283"/>
      <c r="Y234" s="16">
        <f>Y60*Y$206</f>
        <v>-65.452464445244644</v>
      </c>
      <c r="Z234" s="283"/>
      <c r="AA234" s="16">
        <f>AA60*AA$206</f>
        <v>-50.340560000000004</v>
      </c>
      <c r="AB234" s="283"/>
      <c r="AC234" s="16">
        <f>AC60*AC$206</f>
        <v>3.7798955374324201</v>
      </c>
      <c r="AD234" s="283"/>
      <c r="AE234" s="16">
        <f>AE60*AE$206</f>
        <v>-65.908368693290157</v>
      </c>
    </row>
    <row r="235" spans="2:31" ht="13.5" customHeight="1">
      <c r="B235" s="21" t="str">
        <f>B61</f>
        <v>Cash interest paid</v>
      </c>
      <c r="C235" s="16">
        <f>C61*C$206</f>
        <v>-223.45519288961776</v>
      </c>
      <c r="D235" s="16">
        <f>D61*D$206</f>
        <v>-226.37122144713445</v>
      </c>
      <c r="E235" s="16">
        <f>E61*E$206</f>
        <v>-256.33914421553089</v>
      </c>
      <c r="F235" s="16">
        <f t="shared" ref="F235:G235" si="832">F61*F$206</f>
        <v>-293.21296388916676</v>
      </c>
      <c r="G235" s="16">
        <f t="shared" si="832"/>
        <v>-409.99940998616472</v>
      </c>
      <c r="H235" s="16">
        <f t="shared" ref="H235:J235" si="833">H61*H$206</f>
        <v>-393.91960409328618</v>
      </c>
      <c r="I235" s="16">
        <f t="shared" ref="I235" si="834">I61*I$206</f>
        <v>-325.84192841007433</v>
      </c>
      <c r="J235" s="16">
        <f t="shared" si="833"/>
        <v>-325.84192841007433</v>
      </c>
      <c r="K235" s="127"/>
      <c r="L235" s="283"/>
      <c r="M235" s="16">
        <f>M61*M$206</f>
        <v>-127.70558850275287</v>
      </c>
      <c r="N235" s="283"/>
      <c r="O235" s="16">
        <f>O61*O$206</f>
        <v>-131.00898045430534</v>
      </c>
      <c r="P235" s="283"/>
      <c r="Q235" s="16">
        <f>Q61*Q$206</f>
        <v>-104.2480218468925</v>
      </c>
      <c r="R235" s="283"/>
      <c r="S235" s="16">
        <f>S61*S$206</f>
        <v>-188.68160448134441</v>
      </c>
      <c r="T235" s="283"/>
      <c r="U235" s="16">
        <f>U61*U$206</f>
        <v>-166.43808508044856</v>
      </c>
      <c r="V235" s="283"/>
      <c r="W235" s="16">
        <f>W61*W$206</f>
        <v>-244.43430316355784</v>
      </c>
      <c r="X235" s="283"/>
      <c r="Y235" s="16">
        <f>Y61*Y$206</f>
        <v>-208.68208042505785</v>
      </c>
      <c r="Z235" s="283"/>
      <c r="AA235" s="16">
        <f>AA61*AA$206</f>
        <v>-182.88864000000001</v>
      </c>
      <c r="AB235" s="283"/>
      <c r="AC235" s="16">
        <f>AC61*AC$206</f>
        <v>-178.80051314945479</v>
      </c>
      <c r="AD235" s="283"/>
      <c r="AE235" s="16">
        <f>AE61*AE$206</f>
        <v>-143.81991711549077</v>
      </c>
    </row>
    <row r="236" spans="2:31" s="26" customFormat="1" ht="13.5" customHeight="1" thickBot="1">
      <c r="B236" s="32" t="str">
        <f>B62</f>
        <v xml:space="preserve">Net cash from operations </v>
      </c>
      <c r="C236" s="31">
        <f>C62*C$206</f>
        <v>1043.6959434601345</v>
      </c>
      <c r="D236" s="31">
        <f>D62*D$206</f>
        <v>815.89385856927913</v>
      </c>
      <c r="E236" s="31">
        <f>E62*E$206</f>
        <v>720.15319598520864</v>
      </c>
      <c r="F236" s="31">
        <f t="shared" ref="F236:G236" si="835">F62*F$206</f>
        <v>775.48264479343811</v>
      </c>
      <c r="G236" s="31">
        <f t="shared" si="835"/>
        <v>-36.604939981143637</v>
      </c>
      <c r="H236" s="31">
        <f t="shared" ref="H236:J236" si="836">H62*H$206</f>
        <v>879.33555853636506</v>
      </c>
      <c r="I236" s="31">
        <f t="shared" ref="I236" si="837">I62*I$206</f>
        <v>561.9330234650987</v>
      </c>
      <c r="J236" s="31">
        <f t="shared" si="836"/>
        <v>561.9330234650987</v>
      </c>
      <c r="K236" s="33"/>
      <c r="L236" s="284"/>
      <c r="M236" s="31">
        <f>M62*M$206</f>
        <v>-418.50830373399521</v>
      </c>
      <c r="N236" s="284"/>
      <c r="O236" s="31">
        <f>O62*O$206</f>
        <v>1130.876914949815</v>
      </c>
      <c r="P236" s="284"/>
      <c r="Q236" s="31">
        <f>Q62*Q$206</f>
        <v>-610.39960160351529</v>
      </c>
      <c r="R236" s="284"/>
      <c r="S236" s="31">
        <f>S62*S$206</f>
        <v>1387.5412623787138</v>
      </c>
      <c r="T236" s="284"/>
      <c r="U236" s="31">
        <f>U62*U$206</f>
        <v>-1267.3503642125791</v>
      </c>
      <c r="V236" s="284"/>
      <c r="W236" s="31">
        <f>W62*W$206</f>
        <v>1224.0980916062704</v>
      </c>
      <c r="X236" s="284"/>
      <c r="Y236" s="31">
        <f>Y62*Y$206</f>
        <v>-534.14954530817568</v>
      </c>
      <c r="Z236" s="284"/>
      <c r="AA236" s="31">
        <f>AA62*AA$206</f>
        <v>1373.16578</v>
      </c>
      <c r="AB236" s="284"/>
      <c r="AC236" s="31">
        <f>AC62*AC$206</f>
        <v>-722.876385961697</v>
      </c>
      <c r="AD236" s="284"/>
      <c r="AE236" s="31">
        <f>AE62*AE$206</f>
        <v>1230.4350420290393</v>
      </c>
    </row>
    <row r="237" spans="2:31" ht="13.5" customHeight="1" thickTop="1">
      <c r="B237" s="21" t="str">
        <f>B63</f>
        <v>Net Capex</v>
      </c>
      <c r="C237" s="34">
        <f>C63*C$206</f>
        <v>-194.13178969146622</v>
      </c>
      <c r="D237" s="34">
        <f>D63*D$206</f>
        <v>-213.650663383942</v>
      </c>
      <c r="E237" s="34">
        <f>E63*E$206</f>
        <v>-250.79239302694137</v>
      </c>
      <c r="F237" s="34">
        <f t="shared" ref="F237:G237" si="838">F63*F$206</f>
        <v>-200.18505551665501</v>
      </c>
      <c r="G237" s="34">
        <f t="shared" si="838"/>
        <v>-134.61948322012694</v>
      </c>
      <c r="H237" s="34">
        <f t="shared" ref="H237:J237" si="839">H63*H$206</f>
        <v>-44.15024408858045</v>
      </c>
      <c r="I237" s="34">
        <f t="shared" ref="I237" si="840">I63*I$206</f>
        <v>-182.55749584072592</v>
      </c>
      <c r="J237" s="34">
        <f t="shared" si="839"/>
        <v>-182.55749584072592</v>
      </c>
      <c r="K237" s="127"/>
      <c r="L237" s="283"/>
      <c r="M237" s="34">
        <f>M63*M$206</f>
        <v>-101.46471415287215</v>
      </c>
      <c r="N237" s="283"/>
      <c r="O237" s="34">
        <f>O63*O$206</f>
        <v>-151.21500264131009</v>
      </c>
      <c r="P237" s="283"/>
      <c r="Q237" s="34">
        <f>Q63*Q$206</f>
        <v>-121.58112595779926</v>
      </c>
      <c r="R237" s="283"/>
      <c r="S237" s="34">
        <f>S63*S$206</f>
        <v>-78.273482044613388</v>
      </c>
      <c r="T237" s="283"/>
      <c r="U237" s="34">
        <f>U63*U$206</f>
        <v>-84.490024280838611</v>
      </c>
      <c r="V237" s="283"/>
      <c r="W237" s="34">
        <f>W63*W$206</f>
        <v>-50.572614447632652</v>
      </c>
      <c r="X237" s="283"/>
      <c r="Y237" s="34">
        <f>Y63*Y$206</f>
        <v>-8.7349724031130869</v>
      </c>
      <c r="Z237" s="283"/>
      <c r="AA237" s="34">
        <f>AA63*AA$206</f>
        <v>-34.638000000000005</v>
      </c>
      <c r="AB237" s="283"/>
      <c r="AC237" s="34">
        <f>AC63*AC$206</f>
        <v>-90.946577476404286</v>
      </c>
      <c r="AD237" s="283"/>
      <c r="AE237" s="34">
        <f>AE63*AE$206</f>
        <v>-89.369129072524231</v>
      </c>
    </row>
    <row r="238" spans="2:31" ht="13.5" customHeight="1">
      <c r="B238" s="21" t="str">
        <f>B64</f>
        <v>Purchase of intangible assets</v>
      </c>
      <c r="C238" s="34">
        <f>C64*C$206</f>
        <v>-68.557030625308002</v>
      </c>
      <c r="D238" s="34">
        <f>D64*D$206</f>
        <v>-68.800437696621529</v>
      </c>
      <c r="E238" s="34">
        <f>E64*E$206</f>
        <v>-87.955625990491285</v>
      </c>
      <c r="F238" s="34">
        <f t="shared" ref="F238:G238" si="841">F64*F$206</f>
        <v>-86.025807742322698</v>
      </c>
      <c r="G238" s="34">
        <f t="shared" si="841"/>
        <v>-100.663584948145</v>
      </c>
      <c r="H238" s="34">
        <f t="shared" ref="H238:J238" si="842">H64*H$206</f>
        <v>-104.39816430597308</v>
      </c>
      <c r="I238" s="34">
        <f t="shared" ref="I238" si="843">I64*I$206</f>
        <v>-83.752353950488015</v>
      </c>
      <c r="J238" s="34">
        <f t="shared" si="842"/>
        <v>-83.752353950488015</v>
      </c>
      <c r="K238" s="127"/>
      <c r="L238" s="283"/>
      <c r="M238" s="34">
        <f>M64*M$206</f>
        <v>-34.314989534459414</v>
      </c>
      <c r="N238" s="283"/>
      <c r="O238" s="34">
        <f>O64*O$206</f>
        <v>-54.278922345483359</v>
      </c>
      <c r="P238" s="283"/>
      <c r="Q238" s="34">
        <f>Q64*Q$206</f>
        <v>-22.570444921396582</v>
      </c>
      <c r="R238" s="283"/>
      <c r="S238" s="34">
        <f>S64*S$206</f>
        <v>-63.394018205461641</v>
      </c>
      <c r="T238" s="283"/>
      <c r="U238" s="34">
        <f>U64*U$206</f>
        <v>-42.850241540711842</v>
      </c>
      <c r="V238" s="283"/>
      <c r="W238" s="34">
        <f>W64*W$206</f>
        <v>-58.038095627997478</v>
      </c>
      <c r="X238" s="283"/>
      <c r="Y238" s="34">
        <f>Y64*Y$206</f>
        <v>-54.204691761783948</v>
      </c>
      <c r="Z238" s="283"/>
      <c r="AA238" s="34">
        <f>AA64*AA$206</f>
        <v>-49.532340000000005</v>
      </c>
      <c r="AB238" s="283"/>
      <c r="AC238" s="34">
        <f>AC64*AC$206</f>
        <v>-21.648492623476589</v>
      </c>
      <c r="AD238" s="283"/>
      <c r="AE238" s="34">
        <f>AE64*AE$206</f>
        <v>-60.125018460269658</v>
      </c>
    </row>
    <row r="239" spans="2:31" ht="13.5" customHeight="1">
      <c r="B239" s="21" t="str">
        <f>B65</f>
        <v>Disposals/ Acquistion, of subsidiaries, businesses</v>
      </c>
      <c r="C239" s="34">
        <f>C65*C$206</f>
        <v>-103.31069367496909</v>
      </c>
      <c r="D239" s="34">
        <f>D65*D$206</f>
        <v>-24.483654766789769</v>
      </c>
      <c r="E239" s="34">
        <f>E65*E$206</f>
        <v>-17.16851558372953</v>
      </c>
      <c r="F239" s="34">
        <f t="shared" ref="F239:G239" si="844">F65*F$206</f>
        <v>-7.0021006301890569</v>
      </c>
      <c r="G239" s="34">
        <f t="shared" si="844"/>
        <v>-16.375894202090574</v>
      </c>
      <c r="H239" s="34">
        <f t="shared" ref="H239:J239" si="845">H65*H$206</f>
        <v>-21.89757414581068</v>
      </c>
      <c r="I239" s="34">
        <f t="shared" ref="I239" si="846">I65*I$206</f>
        <v>0</v>
      </c>
      <c r="J239" s="34">
        <f t="shared" si="845"/>
        <v>0</v>
      </c>
      <c r="K239" s="127"/>
      <c r="L239" s="283"/>
      <c r="M239" s="34">
        <f>M65*M$206</f>
        <v>-2.0185287961446714</v>
      </c>
      <c r="N239" s="283"/>
      <c r="O239" s="34">
        <f>O65*O$206</f>
        <v>-15.187533016376124</v>
      </c>
      <c r="P239" s="283"/>
      <c r="Q239" s="34">
        <f>Q65*Q$206</f>
        <v>-6.9831210806530857</v>
      </c>
      <c r="R239" s="283"/>
      <c r="S239" s="34">
        <f>S65*S$206</f>
        <v>0</v>
      </c>
      <c r="T239" s="283"/>
      <c r="U239" s="34">
        <f>U65*U$206</f>
        <v>-10.288899804973184</v>
      </c>
      <c r="V239" s="283"/>
      <c r="W239" s="34">
        <f>W65*W$206</f>
        <v>-6.1409603257839649</v>
      </c>
      <c r="X239" s="283"/>
      <c r="Y239" s="34">
        <f>Y65*Y$206</f>
        <v>-22.136573898300288</v>
      </c>
      <c r="Z239" s="283"/>
      <c r="AA239" s="34">
        <f>AA65*AA$206</f>
        <v>0</v>
      </c>
      <c r="AB239" s="283"/>
      <c r="AC239" s="34">
        <f>AC65*AC$206</f>
        <v>-5.3834875836158709</v>
      </c>
      <c r="AD239" s="283"/>
      <c r="AE239" s="34">
        <f>AE65*AE$206</f>
        <v>5.1286313387162865</v>
      </c>
    </row>
    <row r="240" spans="2:31" s="26" customFormat="1" ht="13.5" customHeight="1" thickBot="1">
      <c r="B240" s="32" t="str">
        <f>B66</f>
        <v xml:space="preserve">Free cash flow </v>
      </c>
      <c r="C240" s="31">
        <f>C66*C$206</f>
        <v>677.69642946839122</v>
      </c>
      <c r="D240" s="31">
        <f>D66*D$206</f>
        <v>508.95910272192589</v>
      </c>
      <c r="E240" s="31">
        <f>E66*E$206</f>
        <v>364.2366613840465</v>
      </c>
      <c r="F240" s="31">
        <f t="shared" ref="F240:G240" si="847">F66*F$206</f>
        <v>482.2696809042713</v>
      </c>
      <c r="G240" s="31">
        <f t="shared" si="847"/>
        <v>-288.26390235150615</v>
      </c>
      <c r="H240" s="31">
        <f t="shared" ref="H240:J240" si="848">H66*H$206</f>
        <v>708.88957599600087</v>
      </c>
      <c r="I240" s="31">
        <f t="shared" ref="I240" si="849">I66*I$206</f>
        <v>295.62317367388471</v>
      </c>
      <c r="J240" s="31">
        <f t="shared" si="848"/>
        <v>295.62317367388471</v>
      </c>
      <c r="K240" s="33"/>
      <c r="L240" s="284"/>
      <c r="M240" s="31">
        <f>M66*M$206</f>
        <v>-556.30653621747149</v>
      </c>
      <c r="N240" s="284"/>
      <c r="O240" s="31">
        <f>O66*O$206</f>
        <v>910.19545694664555</v>
      </c>
      <c r="P240" s="284"/>
      <c r="Q240" s="31">
        <f>Q66*Q$206</f>
        <v>-761.53429356336426</v>
      </c>
      <c r="R240" s="284"/>
      <c r="S240" s="31">
        <f>S66*S$206</f>
        <v>1245.8737621286386</v>
      </c>
      <c r="T240" s="284"/>
      <c r="U240" s="31">
        <f>U66*U$206</f>
        <v>-1404.9795298391027</v>
      </c>
      <c r="V240" s="284"/>
      <c r="W240" s="31">
        <f>W66*W$206</f>
        <v>1109.3464212048564</v>
      </c>
      <c r="X240" s="284"/>
      <c r="Y240" s="31">
        <f>Y66*Y$206</f>
        <v>-619.22578337137293</v>
      </c>
      <c r="Z240" s="284"/>
      <c r="AA240" s="31">
        <f>AA66*AA$206</f>
        <v>1288.9954400000001</v>
      </c>
      <c r="AB240" s="284"/>
      <c r="AC240" s="31">
        <f>AC66*AC$206</f>
        <v>-840.85494364519377</v>
      </c>
      <c r="AD240" s="284"/>
      <c r="AE240" s="31">
        <f>AE66*AE$206</f>
        <v>1086.0695258349617</v>
      </c>
    </row>
    <row r="241" spans="2:31" s="26" customFormat="1" ht="13.5" customHeight="1" thickTop="1">
      <c r="B241" s="21" t="str">
        <f>B67</f>
        <v xml:space="preserve">Other Investing </v>
      </c>
      <c r="C241" s="34">
        <f>C67*C$206</f>
        <v>7.1950943032501469</v>
      </c>
      <c r="D241" s="34">
        <f>D67*D$206</f>
        <v>19.559567774586242</v>
      </c>
      <c r="E241" s="34">
        <f>E67*E$206</f>
        <v>-148.44162704701532</v>
      </c>
      <c r="F241" s="34">
        <f t="shared" ref="F241:G241" si="850">F67*F$206</f>
        <v>106.9070721216365</v>
      </c>
      <c r="G241" s="34">
        <f t="shared" si="850"/>
        <v>-46.719462870670164</v>
      </c>
      <c r="H241" s="34">
        <f t="shared" ref="H241:J241" si="851">H67*H$206</f>
        <v>-47.346106261212277</v>
      </c>
      <c r="I241" s="34">
        <f t="shared" ref="I241" si="852">I67*I$206</f>
        <v>-1.018609710208638</v>
      </c>
      <c r="J241" s="34">
        <f t="shared" si="851"/>
        <v>-1.018609710208638</v>
      </c>
      <c r="K241" s="127"/>
      <c r="L241" s="283"/>
      <c r="M241" s="34">
        <f>M67*M$206</f>
        <v>13.725995813783765</v>
      </c>
      <c r="N241" s="283"/>
      <c r="O241" s="34">
        <f>O67*O$206</f>
        <v>-161.9123085050185</v>
      </c>
      <c r="P241" s="283"/>
      <c r="Q241" s="34">
        <f>Q67*Q$206</f>
        <v>77.811920612991528</v>
      </c>
      <c r="R241" s="283"/>
      <c r="S241" s="34">
        <f>S67*S$206</f>
        <v>28.88366509952986</v>
      </c>
      <c r="T241" s="283"/>
      <c r="U241" s="34">
        <f>U67*U$206</f>
        <v>-26.630093612871768</v>
      </c>
      <c r="V241" s="283"/>
      <c r="W241" s="34">
        <f>W67*W$206</f>
        <v>-20.229045779053063</v>
      </c>
      <c r="X241" s="283"/>
      <c r="Y241" s="34">
        <f>Y67*Y$206</f>
        <v>2.1538288117265147</v>
      </c>
      <c r="Z241" s="283"/>
      <c r="AA241" s="34">
        <f>AA67*AA$206</f>
        <v>-48.262280000000004</v>
      </c>
      <c r="AB241" s="283"/>
      <c r="AC241" s="34">
        <f>AC67*AC$206</f>
        <v>27.146522496105561</v>
      </c>
      <c r="AD241" s="283"/>
      <c r="AE241" s="34">
        <f>AE67*AE$206</f>
        <v>-26.843474666472481</v>
      </c>
    </row>
    <row r="242" spans="2:31" ht="13.5" customHeight="1">
      <c r="B242" s="21" t="str">
        <f>B68</f>
        <v>Equity Issuance</v>
      </c>
      <c r="C242" s="34">
        <f>C68*C$206</f>
        <v>0</v>
      </c>
      <c r="D242" s="34">
        <f>D68*D$206</f>
        <v>0</v>
      </c>
      <c r="E242" s="34">
        <f>E68*E$206</f>
        <v>0</v>
      </c>
      <c r="F242" s="34">
        <f t="shared" ref="F242:G242" si="853">F68*F$206</f>
        <v>-169.42582774832451</v>
      </c>
      <c r="G242" s="34">
        <f t="shared" si="853"/>
        <v>0</v>
      </c>
      <c r="H242" s="34">
        <f t="shared" ref="H242:J242" si="854">H68*H$206</f>
        <v>193.29047881139914</v>
      </c>
      <c r="I242" s="34">
        <f t="shared" ref="I242" si="855">I68*I$206</f>
        <v>192.40405637274273</v>
      </c>
      <c r="J242" s="34">
        <f t="shared" si="854"/>
        <v>192.40405637274273</v>
      </c>
      <c r="K242" s="127"/>
      <c r="L242" s="283"/>
      <c r="M242" s="34">
        <f>M68*M$206</f>
        <v>0</v>
      </c>
      <c r="N242" s="283"/>
      <c r="O242" s="34">
        <f>O68*O$206</f>
        <v>0</v>
      </c>
      <c r="P242" s="283"/>
      <c r="Q242" s="34">
        <f>Q68*Q$206</f>
        <v>0</v>
      </c>
      <c r="R242" s="283"/>
      <c r="S242" s="34">
        <f>S68*S$206</f>
        <v>-169.42582774832451</v>
      </c>
      <c r="T242" s="283"/>
      <c r="U242" s="34">
        <f>U68*U$206</f>
        <v>0</v>
      </c>
      <c r="V242" s="283"/>
      <c r="W242" s="34">
        <f>W68*W$206</f>
        <v>0</v>
      </c>
      <c r="X242" s="283"/>
      <c r="Y242" s="34">
        <f>Y68*Y$206</f>
        <v>0</v>
      </c>
      <c r="Z242" s="283"/>
      <c r="AA242" s="34">
        <f>AA68*AA$206</f>
        <v>188.54618000000002</v>
      </c>
      <c r="AB242" s="283"/>
      <c r="AC242" s="34">
        <f>AC68*AC$206</f>
        <v>193.00375698707961</v>
      </c>
      <c r="AD242" s="283"/>
      <c r="AE242" s="34">
        <f>AE68*AE$206</f>
        <v>1.6367972357605172</v>
      </c>
    </row>
    <row r="243" spans="2:31" ht="13.5" customHeight="1">
      <c r="B243" s="21" t="str">
        <f>B69</f>
        <v>Dividends</v>
      </c>
      <c r="C243" s="34">
        <f>C69*C$206</f>
        <v>-62.040718803496546</v>
      </c>
      <c r="D243" s="34">
        <f>D69*D$206</f>
        <v>-62.645328956367116</v>
      </c>
      <c r="E243" s="34">
        <f>E69*E$206</f>
        <v>-121.76439513998945</v>
      </c>
      <c r="F243" s="34">
        <f t="shared" ref="F243:G243" si="856">F69*F$206</f>
        <v>-93.778133440032008</v>
      </c>
      <c r="G243" s="34">
        <f t="shared" si="856"/>
        <v>-90.187829098278229</v>
      </c>
      <c r="H243" s="34">
        <f t="shared" ref="H243:J243" si="857">H69*H$206</f>
        <v>-9.1141254552833644</v>
      </c>
      <c r="I243" s="34">
        <f t="shared" ref="I243" si="858">I69*I$206</f>
        <v>-55.118103207956302</v>
      </c>
      <c r="J243" s="34">
        <f t="shared" si="857"/>
        <v>-55.118103207956302</v>
      </c>
      <c r="K243" s="127"/>
      <c r="L243" s="283"/>
      <c r="M243" s="34">
        <f>M69*M$206</f>
        <v>-102.67583143055896</v>
      </c>
      <c r="N243" s="283"/>
      <c r="O243" s="34">
        <f>O69*O$206</f>
        <v>-20.998415213946117</v>
      </c>
      <c r="P243" s="283"/>
      <c r="Q243" s="34">
        <f>Q69*Q$206</f>
        <v>-93.773340225912875</v>
      </c>
      <c r="R243" s="283"/>
      <c r="S243" s="34">
        <f>S69*S$206</f>
        <v>0.25007502250675206</v>
      </c>
      <c r="T243" s="283"/>
      <c r="U243" s="34">
        <f>U69*U$206</f>
        <v>-91.026501803998045</v>
      </c>
      <c r="V243" s="283"/>
      <c r="W243" s="34">
        <f>W69*W$206</f>
        <v>0.36123296034023322</v>
      </c>
      <c r="X243" s="283"/>
      <c r="Y243" s="34">
        <f>Y69*Y$206</f>
        <v>-9.0939438717341723</v>
      </c>
      <c r="Z243" s="283"/>
      <c r="AA243" s="34">
        <f>AA69*AA$206</f>
        <v>-0.11546000000000001</v>
      </c>
      <c r="AB243" s="283"/>
      <c r="AC243" s="34">
        <f>AC69*AC$206</f>
        <v>-54.751214148263536</v>
      </c>
      <c r="AD243" s="283"/>
      <c r="AE243" s="34">
        <f>AE69*AE$206</f>
        <v>-0.98207834145631023</v>
      </c>
    </row>
    <row r="244" spans="2:31" ht="13.5" customHeight="1">
      <c r="B244" s="21" t="str">
        <f>B70</f>
        <v>Net Change in debt</v>
      </c>
      <c r="C244" s="34">
        <f>C70*C$206</f>
        <v>21.313769917174962</v>
      </c>
      <c r="D244" s="34">
        <f>D70*D$206</f>
        <v>-577.07563944740798</v>
      </c>
      <c r="E244" s="34">
        <f>E70*E$206</f>
        <v>172.47754886423667</v>
      </c>
      <c r="F244" s="34">
        <f t="shared" ref="F244:G244" si="859">F70*F$206</f>
        <v>-574.54736420926281</v>
      </c>
      <c r="G244" s="34">
        <f t="shared" si="859"/>
        <v>578.5747914782736</v>
      </c>
      <c r="H244" s="34">
        <f t="shared" ref="H244:J244" si="860">H70*H$206</f>
        <v>-696.46122310243265</v>
      </c>
      <c r="I244" s="34">
        <f t="shared" ref="I244" si="861">I70*I$206</f>
        <v>-929.99066542048649</v>
      </c>
      <c r="J244" s="34">
        <f t="shared" si="860"/>
        <v>-929.99066542048649</v>
      </c>
      <c r="K244" s="127"/>
      <c r="L244" s="283"/>
      <c r="M244" s="34">
        <f>M70*M$206</f>
        <v>412.85642310479011</v>
      </c>
      <c r="N244" s="283"/>
      <c r="O244" s="34">
        <f>O70*O$206</f>
        <v>-232.69941891178024</v>
      </c>
      <c r="P244" s="283"/>
      <c r="Q244" s="34">
        <f>Q70*Q$206</f>
        <v>624.24114517409555</v>
      </c>
      <c r="R244" s="283"/>
      <c r="S244" s="34">
        <f>S70*S$206</f>
        <v>-1200.4851455436631</v>
      </c>
      <c r="T244" s="283"/>
      <c r="U244" s="34">
        <f>U70*U$206</f>
        <v>1296.2803295465626</v>
      </c>
      <c r="V244" s="283"/>
      <c r="W244" s="34">
        <f>W70*W$206</f>
        <v>-710.906465949579</v>
      </c>
      <c r="X244" s="283"/>
      <c r="Y244" s="34">
        <f>Y70*Y$206</f>
        <v>381.10804251938606</v>
      </c>
      <c r="Z244" s="283"/>
      <c r="AA244" s="34">
        <f>AA70*AA$206</f>
        <v>-1047.1067400000002</v>
      </c>
      <c r="AB244" s="283"/>
      <c r="AC244" s="34">
        <f>AC70*AC$206</f>
        <v>22.793915513607622</v>
      </c>
      <c r="AD244" s="283"/>
      <c r="AE244" s="34">
        <f>AE70*AE$206</f>
        <v>-918.35236907736748</v>
      </c>
    </row>
    <row r="245" spans="2:31" ht="13.5" customHeight="1">
      <c r="B245" s="21" t="str">
        <f>B71</f>
        <v>Other financing activities</v>
      </c>
      <c r="C245" s="34">
        <f>C71*C$206</f>
        <v>-31.088237649892143</v>
      </c>
      <c r="D245" s="34">
        <f>D71*D$206</f>
        <v>-52.113254000820682</v>
      </c>
      <c r="E245" s="34">
        <f>E71*E$206</f>
        <v>-48.071843634442686</v>
      </c>
      <c r="F245" s="34">
        <f t="shared" ref="F245:G245" si="862">F71*F$206</f>
        <v>352.35570671201361</v>
      </c>
      <c r="G245" s="34">
        <f t="shared" si="862"/>
        <v>-58.640150561897862</v>
      </c>
      <c r="H245" s="34">
        <f t="shared" ref="H245:J245" si="863">H71*H$206</f>
        <v>338.87975556462692</v>
      </c>
      <c r="I245" s="34">
        <f t="shared" ref="I245" si="864">I71*I$206</f>
        <v>0</v>
      </c>
      <c r="J245" s="34">
        <f t="shared" si="863"/>
        <v>0</v>
      </c>
      <c r="K245" s="127"/>
      <c r="L245" s="283"/>
      <c r="M245" s="34">
        <f>M71*M$206</f>
        <v>-24.491482726555347</v>
      </c>
      <c r="N245" s="283"/>
      <c r="O245" s="34">
        <f>O71*O$206</f>
        <v>-24.035921817221343</v>
      </c>
      <c r="P245" s="283"/>
      <c r="Q245" s="34">
        <f>Q71*Q$206</f>
        <v>-23.817430828656061</v>
      </c>
      <c r="R245" s="283"/>
      <c r="S245" s="34">
        <f>S71*S$206</f>
        <v>376.23787136140845</v>
      </c>
      <c r="T245" s="283"/>
      <c r="U245" s="34">
        <f>U71*U$206</f>
        <v>-22.514533690882494</v>
      </c>
      <c r="V245" s="283"/>
      <c r="W245" s="34">
        <f>W71*W$206</f>
        <v>-36.243707020803406</v>
      </c>
      <c r="X245" s="283"/>
      <c r="Y245" s="34">
        <f>Y71*Y$206</f>
        <v>-30.153603364171204</v>
      </c>
      <c r="Z245" s="283"/>
      <c r="AA245" s="34">
        <f>AA71*AA$206</f>
        <v>359.65790000000004</v>
      </c>
      <c r="AB245" s="283"/>
      <c r="AC245" s="34">
        <f>AC71*AC$206</f>
        <v>0</v>
      </c>
      <c r="AD245" s="283"/>
      <c r="AE245" s="34">
        <f>AE71*AE$206</f>
        <v>0</v>
      </c>
    </row>
    <row r="246" spans="2:31" s="26" customFormat="1" ht="13.5" customHeight="1" thickBot="1">
      <c r="B246" s="32" t="str">
        <f>B72</f>
        <v>Cash flow after financing activities</v>
      </c>
      <c r="C246" s="31">
        <f>C72*C$206</f>
        <v>613.07633723542756</v>
      </c>
      <c r="D246" s="31">
        <f>D72*D$206</f>
        <v>-163.31555190808371</v>
      </c>
      <c r="E246" s="31">
        <f>E72*E$206</f>
        <v>218.43634442683572</v>
      </c>
      <c r="F246" s="31">
        <f t="shared" ref="F246:G246" si="865">F72*F$206</f>
        <v>103.78113434030209</v>
      </c>
      <c r="G246" s="31">
        <f t="shared" si="865"/>
        <v>94.763446595921195</v>
      </c>
      <c r="H246" s="31">
        <f t="shared" ref="H246:J246" si="866">H72*H$206</f>
        <v>488.13835555309862</v>
      </c>
      <c r="I246" s="31">
        <f t="shared" ref="I246" si="867">I72*I$206</f>
        <v>-498.10014829202402</v>
      </c>
      <c r="J246" s="31">
        <f t="shared" si="866"/>
        <v>-498.10014829202402</v>
      </c>
      <c r="K246" s="33"/>
      <c r="L246" s="284"/>
      <c r="M246" s="31">
        <f>M72*M$206</f>
        <v>-256.89143145601184</v>
      </c>
      <c r="N246" s="284"/>
      <c r="O246" s="31">
        <f>O72*O$206</f>
        <v>470.54939249867937</v>
      </c>
      <c r="P246" s="284"/>
      <c r="Q246" s="31">
        <f>Q72*Q$206</f>
        <v>-177.0719988308461</v>
      </c>
      <c r="R246" s="284"/>
      <c r="S246" s="31">
        <f>S72*S$206</f>
        <v>281.33440032009605</v>
      </c>
      <c r="T246" s="284"/>
      <c r="U246" s="31">
        <f>U72*U$206</f>
        <v>-248.87032940029252</v>
      </c>
      <c r="V246" s="284"/>
      <c r="W246" s="31">
        <f>W72*W$206</f>
        <v>342.32843541576102</v>
      </c>
      <c r="X246" s="284"/>
      <c r="Y246" s="31">
        <f>Y72*Y$206</f>
        <v>-275.21145927616578</v>
      </c>
      <c r="Z246" s="284"/>
      <c r="AA246" s="31">
        <f>AA72*AA$206</f>
        <v>741.71504000000004</v>
      </c>
      <c r="AB246" s="284"/>
      <c r="AC246" s="31">
        <f>AC72*AC$206</f>
        <v>-652.66196279666451</v>
      </c>
      <c r="AD246" s="284"/>
      <c r="AE246" s="31">
        <f>AE72*AE$206</f>
        <v>141.52840098542603</v>
      </c>
    </row>
    <row r="247" spans="2:31" s="26" customFormat="1" ht="13.5" customHeight="1" thickTop="1">
      <c r="B247" s="21" t="str">
        <f>B73</f>
        <v>Balancing figure</v>
      </c>
      <c r="C247" s="34">
        <f>C73*C$206</f>
        <v>-80.775115291204472</v>
      </c>
      <c r="D247" s="34">
        <f>D73*D$206</f>
        <v>-55.806319244973331</v>
      </c>
      <c r="E247" s="34">
        <f>E73*E$206</f>
        <v>-118.59482303222399</v>
      </c>
      <c r="F247" s="34">
        <f t="shared" ref="F247:G247" si="868">F73*F$206</f>
        <v>-99.52985895768731</v>
      </c>
      <c r="G247" s="34">
        <f t="shared" si="868"/>
        <v>-154.00565209171944</v>
      </c>
      <c r="H247" s="34">
        <f t="shared" ref="H247:J247" si="869">H73*H$206</f>
        <v>-80.843476441019973</v>
      </c>
      <c r="I247" s="34">
        <f t="shared" ref="I247" si="870">I73*I$206</f>
        <v>1.2449674235883355</v>
      </c>
      <c r="J247" s="34">
        <f t="shared" si="869"/>
        <v>1.2449674235883355</v>
      </c>
      <c r="K247" s="127"/>
      <c r="L247" s="283"/>
      <c r="M247" s="34">
        <f>M73*M$206</f>
        <v>-34.180420948049772</v>
      </c>
      <c r="N247" s="283"/>
      <c r="O247" s="34">
        <f>O73*O$206</f>
        <v>-85.050184891706294</v>
      </c>
      <c r="P247" s="283"/>
      <c r="Q247" s="34">
        <f>Q73*Q$206</f>
        <v>-66.713746038382155</v>
      </c>
      <c r="R247" s="283"/>
      <c r="S247" s="34">
        <f>S73*S$206</f>
        <v>-32.634790437131144</v>
      </c>
      <c r="T247" s="283"/>
      <c r="U247" s="34">
        <f>U73*U$206</f>
        <v>-72.14334451487079</v>
      </c>
      <c r="V247" s="283"/>
      <c r="W247" s="34">
        <f>W73*W$206</f>
        <v>-82.240703970793106</v>
      </c>
      <c r="X247" s="283"/>
      <c r="Y247" s="34">
        <f>Y73*Y$206</f>
        <v>54.683320386612067</v>
      </c>
      <c r="Z247" s="283"/>
      <c r="AA247" s="34">
        <f>AA73*AA$206</f>
        <v>-131.62440000000001</v>
      </c>
      <c r="AB247" s="283"/>
      <c r="AC247" s="34">
        <f>AC73*AC$206</f>
        <v>-6.9870796297993216</v>
      </c>
      <c r="AD247" s="283"/>
      <c r="AE247" s="34">
        <f>AE73*AE$206</f>
        <v>7.8566267316504819</v>
      </c>
    </row>
    <row r="248" spans="2:31" ht="13.5" customHeight="1">
      <c r="B248" s="21" t="str">
        <f>B74</f>
        <v xml:space="preserve">FX </v>
      </c>
      <c r="C248" s="34">
        <f>C74*C$206</f>
        <v>-3.1223994146179881</v>
      </c>
      <c r="D248" s="34">
        <f>D74*D$206</f>
        <v>-44.453563124059635</v>
      </c>
      <c r="E248" s="34">
        <f>E74*E$206</f>
        <v>32.223983095615424</v>
      </c>
      <c r="F248" s="34">
        <f t="shared" ref="F248:G248" si="871">F74*F$206</f>
        <v>17.00510153045914</v>
      </c>
      <c r="G248" s="34">
        <f t="shared" si="871"/>
        <v>56.352341813076386</v>
      </c>
      <c r="H248" s="34">
        <f t="shared" ref="H248:J248" si="872">H74*H$206</f>
        <v>11.126334971384885</v>
      </c>
      <c r="I248" s="34">
        <f t="shared" ref="I248" si="873">I74*I$206</f>
        <v>100.38964588389577</v>
      </c>
      <c r="J248" s="34">
        <f t="shared" si="872"/>
        <v>100.38964588389577</v>
      </c>
      <c r="K248" s="127"/>
      <c r="L248" s="283"/>
      <c r="M248" s="34">
        <f>M74*M$206</f>
        <v>23.818639794507124</v>
      </c>
      <c r="N248" s="283"/>
      <c r="O248" s="34">
        <f>O74*O$206</f>
        <v>8.8483888008452194</v>
      </c>
      <c r="P248" s="283"/>
      <c r="Q248" s="34">
        <f>Q74*Q$206</f>
        <v>-31.673442044390782</v>
      </c>
      <c r="R248" s="283"/>
      <c r="S248" s="34">
        <f>S74*S$206</f>
        <v>48.764629388816644</v>
      </c>
      <c r="T248" s="283"/>
      <c r="U248" s="34">
        <f>U74*U$206</f>
        <v>-26.024864212579228</v>
      </c>
      <c r="V248" s="283"/>
      <c r="W248" s="34">
        <f>W74*W$206</f>
        <v>82.240703970793106</v>
      </c>
      <c r="X248" s="283"/>
      <c r="Y248" s="34">
        <f>Y74*Y$206</f>
        <v>-27.042517302788461</v>
      </c>
      <c r="Z248" s="283"/>
      <c r="AA248" s="34">
        <f>AA74*AA$206</f>
        <v>36.947200000000002</v>
      </c>
      <c r="AB248" s="283"/>
      <c r="AC248" s="34">
        <f>AC74*AC$206</f>
        <v>38.82983597544213</v>
      </c>
      <c r="AD248" s="283"/>
      <c r="AE248" s="34">
        <f>AE74*AE$206</f>
        <v>59.79765901311756</v>
      </c>
    </row>
    <row r="249" spans="2:31" s="26" customFormat="1" ht="13.5" customHeight="1" thickBot="1">
      <c r="B249" s="32" t="str">
        <f>B75</f>
        <v xml:space="preserve">Net change in cash </v>
      </c>
      <c r="C249" s="31">
        <f>C75*C$206</f>
        <v>529.1788225296051</v>
      </c>
      <c r="D249" s="31">
        <f>D75*D$206</f>
        <v>-263.5754342771167</v>
      </c>
      <c r="E249" s="31">
        <f>E75*E$206</f>
        <v>132.06550449022717</v>
      </c>
      <c r="F249" s="31">
        <f t="shared" ref="F249:G249" si="874">F75*F$206</f>
        <v>21.256376913073922</v>
      </c>
      <c r="G249" s="31">
        <f t="shared" si="874"/>
        <v>-2.8898636827218658</v>
      </c>
      <c r="H249" s="31">
        <f t="shared" ref="H249:J249" si="875">H75*H$206</f>
        <v>418.4212140834635</v>
      </c>
      <c r="I249" s="31">
        <f t="shared" ref="I249" si="876">I75*I$206</f>
        <v>-396.46553498453989</v>
      </c>
      <c r="J249" s="31">
        <f t="shared" si="875"/>
        <v>-396.46553498453989</v>
      </c>
      <c r="K249" s="33"/>
      <c r="L249" s="284"/>
      <c r="M249" s="31">
        <f>M75*M$206</f>
        <v>-267.25321260955451</v>
      </c>
      <c r="N249" s="284"/>
      <c r="O249" s="31">
        <f>O75*O$206</f>
        <v>394.34759640781829</v>
      </c>
      <c r="P249" s="284"/>
      <c r="Q249" s="31">
        <f>Q75*Q$206</f>
        <v>-275.45918691361908</v>
      </c>
      <c r="R249" s="284"/>
      <c r="S249" s="31">
        <f>S75*S$206</f>
        <v>297.46423927178154</v>
      </c>
      <c r="T249" s="284"/>
      <c r="U249" s="31">
        <f>U75*U$206</f>
        <v>-347.03853812774253</v>
      </c>
      <c r="V249" s="284"/>
      <c r="W249" s="31">
        <f>W75*W$206</f>
        <v>342.32843541576102</v>
      </c>
      <c r="X249" s="284"/>
      <c r="Y249" s="31">
        <f>Y75*Y$206</f>
        <v>-247.57065619234214</v>
      </c>
      <c r="Z249" s="284"/>
      <c r="AA249" s="31">
        <f>AA75*AA$206</f>
        <v>647.03784000000007</v>
      </c>
      <c r="AB249" s="284"/>
      <c r="AC249" s="31">
        <f>AC75*AC$206</f>
        <v>-620.81920645102173</v>
      </c>
      <c r="AD249" s="284"/>
      <c r="AE249" s="31">
        <f>AE75*AE$206</f>
        <v>209.18268673019409</v>
      </c>
    </row>
    <row r="250" spans="2:31" ht="13.5" customHeight="1" thickTop="1">
      <c r="C250" s="30"/>
      <c r="D250" s="30"/>
      <c r="E250" s="30"/>
      <c r="F250" s="30"/>
      <c r="G250" s="30"/>
      <c r="H250" s="30"/>
      <c r="I250" s="30"/>
      <c r="J250" s="30"/>
      <c r="K250" s="30"/>
      <c r="L250" s="285"/>
      <c r="M250" s="30"/>
      <c r="N250" s="285"/>
      <c r="O250" s="30"/>
      <c r="P250" s="285"/>
      <c r="Q250" s="30"/>
      <c r="R250" s="285"/>
      <c r="S250" s="30"/>
      <c r="T250" s="285"/>
      <c r="U250" s="30"/>
      <c r="V250" s="285"/>
      <c r="W250" s="30"/>
      <c r="X250" s="285"/>
      <c r="Y250" s="30"/>
      <c r="Z250" s="285"/>
      <c r="AA250" s="30"/>
      <c r="AB250" s="285"/>
      <c r="AC250" s="30"/>
      <c r="AD250" s="285"/>
      <c r="AE250" s="30"/>
    </row>
    <row r="251" spans="2:31" s="26" customFormat="1" ht="13.5" customHeight="1">
      <c r="B251" s="26" t="str">
        <f>+B120</f>
        <v>Total debt</v>
      </c>
      <c r="C251" s="33">
        <f t="shared" ref="C251:G251" si="877">C120*C$207</f>
        <v>4018.5280466133509</v>
      </c>
      <c r="D251" s="33">
        <f t="shared" si="877"/>
        <v>3390.0971139379017</v>
      </c>
      <c r="E251" s="33">
        <f t="shared" si="877"/>
        <v>5325.3301637612258</v>
      </c>
      <c r="F251" s="33">
        <f t="shared" si="877"/>
        <v>4518.3382066276808</v>
      </c>
      <c r="G251" s="33">
        <f t="shared" si="877"/>
        <v>4754.1006058803496</v>
      </c>
      <c r="H251" s="33">
        <f t="shared" ref="H251:J251" si="878">H120*H$207</f>
        <v>4150.2240000000002</v>
      </c>
      <c r="I251" s="33">
        <f t="shared" ref="I251" si="879">I120*I$207</f>
        <v>3616.3020805476817</v>
      </c>
      <c r="J251" s="33">
        <f t="shared" si="878"/>
        <v>3616.3020805476817</v>
      </c>
      <c r="K251" s="33"/>
      <c r="L251" s="286"/>
      <c r="M251" s="33">
        <f t="shared" ref="M251:O251" si="880">M120*M$207</f>
        <v>4643.8156377858068</v>
      </c>
      <c r="N251" s="286"/>
      <c r="O251" s="33">
        <f t="shared" si="880"/>
        <v>5325.3301637612258</v>
      </c>
      <c r="P251" s="286"/>
      <c r="Q251" s="33">
        <f t="shared" ref="Q251" si="881">Q120*Q$207</f>
        <v>5121.6246827884024</v>
      </c>
      <c r="R251" s="286"/>
      <c r="S251" s="33">
        <f t="shared" ref="S251" si="882">S120*S$207</f>
        <v>4518.3382066276808</v>
      </c>
      <c r="T251" s="286"/>
      <c r="U251" s="33">
        <f t="shared" ref="U251:V251" si="883">U120*U$207</f>
        <v>5130.0477810837692</v>
      </c>
      <c r="V251" s="33">
        <f t="shared" si="883"/>
        <v>4344.3773000000001</v>
      </c>
      <c r="W251" s="33">
        <f t="shared" ref="W251:X251" si="884">W120*W$207</f>
        <v>4754.1006058803496</v>
      </c>
      <c r="X251" s="33">
        <f t="shared" si="884"/>
        <v>3794.8195227245474</v>
      </c>
      <c r="Y251" s="33">
        <f t="shared" ref="Y251:AB251" si="885">Y120*Y$207</f>
        <v>4875.9169039908893</v>
      </c>
      <c r="Z251" s="33">
        <f t="shared" si="885"/>
        <v>4053.5685064403765</v>
      </c>
      <c r="AA251" s="33">
        <f t="shared" si="885"/>
        <v>4150.2240000000002</v>
      </c>
      <c r="AB251" s="33">
        <f t="shared" si="885"/>
        <v>3129.0811567164178</v>
      </c>
      <c r="AC251" s="33">
        <f t="shared" ref="AC251:AE251" si="886">AC120*AC$207</f>
        <v>3379.2955955020766</v>
      </c>
      <c r="AD251" s="33">
        <f t="shared" si="886"/>
        <v>3167.2063290716692</v>
      </c>
      <c r="AE251" s="33">
        <f t="shared" si="886"/>
        <v>3616.3020805476817</v>
      </c>
    </row>
    <row r="252" spans="2:31" ht="13.5" customHeight="1">
      <c r="B252" s="21" t="str">
        <f>+B121</f>
        <v>Cash and cash equivalents</v>
      </c>
      <c r="C252" s="30">
        <f t="shared" ref="C252" si="887">(C121+C122)*C$207</f>
        <v>916.62786293481111</v>
      </c>
      <c r="D252" s="30">
        <f t="shared" ref="D252:J252" si="888">(D121+D122)*D$207</f>
        <v>668.85514977431274</v>
      </c>
      <c r="E252" s="30">
        <f t="shared" si="888"/>
        <v>919.17591125198101</v>
      </c>
      <c r="F252" s="30">
        <f t="shared" si="888"/>
        <v>748.41617933723205</v>
      </c>
      <c r="G252" s="30">
        <f t="shared" si="888"/>
        <v>755.1917181960788</v>
      </c>
      <c r="H252" s="30">
        <f t="shared" si="888"/>
        <v>1153.269</v>
      </c>
      <c r="I252" s="30">
        <f t="shared" ref="I252" si="889">(I121+I122)*I$207</f>
        <v>718.83189816548111</v>
      </c>
      <c r="J252" s="30">
        <f t="shared" si="888"/>
        <v>718.83189816548111</v>
      </c>
      <c r="K252" s="30"/>
      <c r="L252" s="285"/>
      <c r="M252" s="30">
        <f t="shared" ref="M252:O252" si="890">(M121+M122)*M$207</f>
        <v>385.74869152213989</v>
      </c>
      <c r="N252" s="285"/>
      <c r="O252" s="30">
        <f t="shared" si="890"/>
        <v>919.17591125198101</v>
      </c>
      <c r="P252" s="285"/>
      <c r="Q252" s="30">
        <f t="shared" ref="Q252" si="891">(Q121+Q122)*Q$207</f>
        <v>495.18322884512912</v>
      </c>
      <c r="R252" s="285"/>
      <c r="S252" s="30">
        <f t="shared" ref="S252" si="892">(S121+S122)*S$207</f>
        <v>748.41617933723205</v>
      </c>
      <c r="T252" s="285"/>
      <c r="U252" s="30">
        <f t="shared" ref="U252:V252" si="893">(U121+U122)*U$207</f>
        <v>398.70339999999999</v>
      </c>
      <c r="V252" s="30">
        <f t="shared" si="893"/>
        <v>579.72270000000003</v>
      </c>
      <c r="W252" s="30">
        <f t="shared" ref="W252:X252" si="894">(W121+W122)*W$207</f>
        <v>755.1917181960788</v>
      </c>
      <c r="X252" s="30">
        <f t="shared" si="894"/>
        <v>497.06199784146781</v>
      </c>
      <c r="Y252" s="30">
        <f t="shared" ref="Y252:AB252" si="895">(Y121+Y122)*Y$207</f>
        <v>514.95433108471138</v>
      </c>
      <c r="Z252" s="30">
        <f t="shared" si="895"/>
        <v>511.25604881127708</v>
      </c>
      <c r="AA252" s="30">
        <f t="shared" si="895"/>
        <v>1153.269</v>
      </c>
      <c r="AB252" s="30">
        <f t="shared" si="895"/>
        <v>637.12686567164178</v>
      </c>
      <c r="AC252" s="30">
        <f t="shared" ref="AC252:AE252" si="896">(AC121+AC122)*AC$207</f>
        <v>535.78865613849462</v>
      </c>
      <c r="AD252" s="30">
        <f t="shared" si="896"/>
        <v>572.70977289670748</v>
      </c>
      <c r="AE252" s="30">
        <f t="shared" si="896"/>
        <v>718.83189816548111</v>
      </c>
    </row>
    <row r="253" spans="2:31" s="26" customFormat="1" ht="13.5" customHeight="1" thickBot="1">
      <c r="B253" s="32" t="str">
        <f>+B123</f>
        <v xml:space="preserve">Net debt </v>
      </c>
      <c r="C253" s="31">
        <f t="shared" ref="C253:D253" si="897">C251-C252</f>
        <v>3101.9001836785396</v>
      </c>
      <c r="D253" s="31">
        <f t="shared" si="897"/>
        <v>2721.2419641635888</v>
      </c>
      <c r="E253" s="31">
        <f t="shared" ref="E253:F253" si="898">E251-E252</f>
        <v>4406.1542525092445</v>
      </c>
      <c r="F253" s="31">
        <f t="shared" si="898"/>
        <v>3769.9220272904486</v>
      </c>
      <c r="G253" s="31">
        <f t="shared" ref="G253:H253" si="899">G251-G252</f>
        <v>3998.9088876842707</v>
      </c>
      <c r="H253" s="31">
        <f t="shared" si="899"/>
        <v>2996.9549999999999</v>
      </c>
      <c r="I253" s="31">
        <f t="shared" ref="I253" si="900">I251-I252</f>
        <v>2897.4701823822006</v>
      </c>
      <c r="J253" s="31">
        <f t="shared" ref="J253" si="901">J251-J252</f>
        <v>2897.4701823822006</v>
      </c>
      <c r="K253" s="33"/>
      <c r="L253" s="284"/>
      <c r="M253" s="31">
        <f t="shared" ref="M253:O253" si="902">M251-M252</f>
        <v>4258.066946263667</v>
      </c>
      <c r="N253" s="284"/>
      <c r="O253" s="31">
        <f t="shared" si="902"/>
        <v>4406.1542525092445</v>
      </c>
      <c r="P253" s="284"/>
      <c r="Q253" s="31">
        <f t="shared" ref="Q253" si="903">Q251-Q252</f>
        <v>4626.4414539432737</v>
      </c>
      <c r="R253" s="284"/>
      <c r="S253" s="31">
        <f t="shared" ref="S253" si="904">S251-S252</f>
        <v>3769.9220272904486</v>
      </c>
      <c r="T253" s="284"/>
      <c r="U253" s="31">
        <f t="shared" ref="U253:V253" si="905">U251-U252</f>
        <v>4731.3443810837689</v>
      </c>
      <c r="V253" s="31">
        <f t="shared" si="905"/>
        <v>3764.6545999999998</v>
      </c>
      <c r="W253" s="31">
        <f t="shared" ref="W253:X253" si="906">W251-W252</f>
        <v>3998.9088876842707</v>
      </c>
      <c r="X253" s="31">
        <f t="shared" si="906"/>
        <v>3297.7575248830794</v>
      </c>
      <c r="Y253" s="31">
        <f t="shared" ref="Y253:AB253" si="907">Y251-Y252</f>
        <v>4360.9625729061781</v>
      </c>
      <c r="Z253" s="31">
        <f t="shared" si="907"/>
        <v>3542.3124576290993</v>
      </c>
      <c r="AA253" s="31">
        <f t="shared" si="907"/>
        <v>2996.9549999999999</v>
      </c>
      <c r="AB253" s="31">
        <f t="shared" si="907"/>
        <v>2491.9542910447763</v>
      </c>
      <c r="AC253" s="31">
        <f t="shared" ref="AC253:AE253" si="908">AC251-AC252</f>
        <v>2843.5069393635822</v>
      </c>
      <c r="AD253" s="31">
        <f t="shared" si="908"/>
        <v>2594.4965561749618</v>
      </c>
      <c r="AE253" s="31">
        <f t="shared" si="908"/>
        <v>2897.4701823822006</v>
      </c>
    </row>
    <row r="254" spans="2:31" ht="13.5" customHeight="1" thickTop="1">
      <c r="C254" s="25"/>
      <c r="D254" s="25"/>
      <c r="E254" s="25"/>
      <c r="F254" s="25"/>
      <c r="G254" s="25"/>
      <c r="H254" s="25"/>
      <c r="I254" s="25"/>
      <c r="J254" s="25"/>
      <c r="K254" s="25"/>
      <c r="L254" s="287"/>
      <c r="M254" s="25"/>
      <c r="N254" s="287"/>
      <c r="O254" s="25"/>
      <c r="P254" s="287"/>
      <c r="Q254" s="25"/>
      <c r="R254" s="287"/>
      <c r="S254" s="25"/>
      <c r="T254" s="287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 spans="2:31" ht="13.5" customHeight="1">
      <c r="B255" s="26" t="str">
        <f>B125</f>
        <v>Company reported net debt</v>
      </c>
      <c r="C255" s="27">
        <f t="shared" ref="C255:G255" si="909">C125*C207</f>
        <v>3101.9001836785396</v>
      </c>
      <c r="D255" s="27">
        <f t="shared" si="909"/>
        <v>2721.2419641635893</v>
      </c>
      <c r="E255" s="27">
        <f t="shared" si="909"/>
        <v>4406.1542525092445</v>
      </c>
      <c r="F255" s="27">
        <f t="shared" si="909"/>
        <v>2059.2105263157896</v>
      </c>
      <c r="G255" s="27">
        <f t="shared" si="909"/>
        <v>2658.8217234249751</v>
      </c>
      <c r="H255" s="27">
        <f t="shared" ref="H255:J255" si="910">H125*H207</f>
        <v>2020.239</v>
      </c>
      <c r="I255" s="27">
        <f t="shared" ref="I255" si="911">I125*I207</f>
        <v>1639.3004225276784</v>
      </c>
      <c r="J255" s="27">
        <f t="shared" si="910"/>
        <v>1639.3004225276784</v>
      </c>
      <c r="K255" s="25"/>
      <c r="L255" s="291"/>
      <c r="M255" s="27">
        <f t="shared" ref="M255:O255" si="912">M125*M207</f>
        <v>4258.066946263667</v>
      </c>
      <c r="N255" s="291"/>
      <c r="O255" s="27">
        <f t="shared" si="912"/>
        <v>4406.1542525092445</v>
      </c>
      <c r="P255" s="291"/>
      <c r="Q255" s="27">
        <f t="shared" ref="Q255" si="913">Q125*Q207</f>
        <v>4626.4414539432728</v>
      </c>
      <c r="R255" s="291"/>
      <c r="S255" s="27">
        <f t="shared" ref="S255" si="914">S125*S207</f>
        <v>2059.2105263157896</v>
      </c>
      <c r="T255" s="291"/>
      <c r="U255" s="27">
        <f t="shared" ref="U255:V255" si="915">U125*U207</f>
        <v>4731.3443810837689</v>
      </c>
      <c r="V255" s="27">
        <f t="shared" si="915"/>
        <v>3764.6545999999998</v>
      </c>
      <c r="W255" s="27">
        <f t="shared" ref="W255:X255" si="916">W125*W207</f>
        <v>2658.8217234249751</v>
      </c>
      <c r="X255" s="27">
        <f t="shared" si="916"/>
        <v>3297.7575248830794</v>
      </c>
      <c r="Y255" s="27">
        <f t="shared" ref="Y255:AB255" si="917">Y125*Y207</f>
        <v>3287.0873380693693</v>
      </c>
      <c r="Z255" s="27">
        <f t="shared" si="917"/>
        <v>3542.3124576290998</v>
      </c>
      <c r="AA255" s="27">
        <f t="shared" si="917"/>
        <v>2020.239</v>
      </c>
      <c r="AB255" s="27">
        <f t="shared" si="917"/>
        <v>2491.9542910447758</v>
      </c>
      <c r="AC255" s="27">
        <f t="shared" ref="AC255:AE255" si="918">AC125*AC207</f>
        <v>2679.1684019765648</v>
      </c>
      <c r="AD255" s="27">
        <f t="shared" si="918"/>
        <v>2594.4965561749618</v>
      </c>
      <c r="AE255" s="27">
        <f t="shared" si="918"/>
        <v>1639.3004225276784</v>
      </c>
    </row>
    <row r="256" spans="2:31" ht="13.5" customHeight="1">
      <c r="B256" s="26"/>
      <c r="C256" s="27"/>
      <c r="D256" s="27"/>
      <c r="E256" s="27"/>
      <c r="F256" s="27"/>
      <c r="G256" s="27"/>
      <c r="H256" s="27"/>
      <c r="I256" s="27"/>
      <c r="J256" s="27"/>
      <c r="K256" s="25"/>
      <c r="L256" s="291"/>
      <c r="M256" s="27"/>
      <c r="N256" s="291"/>
      <c r="O256" s="27"/>
      <c r="P256" s="291"/>
      <c r="Q256" s="27"/>
      <c r="R256" s="291"/>
      <c r="S256" s="27"/>
      <c r="T256" s="291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 spans="2:31" ht="13.5" customHeight="1">
      <c r="B257" s="6" t="s">
        <v>197</v>
      </c>
      <c r="C257" s="27"/>
      <c r="D257" s="27"/>
      <c r="E257" s="27"/>
      <c r="F257" s="27"/>
      <c r="G257" s="27"/>
      <c r="H257" s="27"/>
      <c r="I257" s="27"/>
      <c r="J257" s="27"/>
      <c r="K257" s="25"/>
      <c r="L257" s="291"/>
      <c r="M257" s="27"/>
      <c r="N257" s="291"/>
      <c r="O257" s="27"/>
      <c r="P257" s="291"/>
      <c r="Q257" s="27"/>
      <c r="R257" s="291"/>
      <c r="S257" s="27"/>
      <c r="T257" s="291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</row>
    <row r="258" spans="2:31" ht="13.5" customHeight="1">
      <c r="B258" s="10" t="s">
        <v>198</v>
      </c>
      <c r="C258" s="209">
        <f>C112*C$207</f>
        <v>13.032623643622907</v>
      </c>
      <c r="D258" s="209">
        <f t="shared" ref="D258:H258" si="919">D112*D$207</f>
        <v>21.337710299548625</v>
      </c>
      <c r="E258" s="209">
        <f t="shared" si="919"/>
        <v>28.658214474379292</v>
      </c>
      <c r="F258" s="209">
        <f t="shared" si="919"/>
        <v>32.285575048732944</v>
      </c>
      <c r="G258" s="209">
        <f t="shared" si="919"/>
        <v>42.934514072446596</v>
      </c>
      <c r="H258" s="209">
        <f t="shared" si="919"/>
        <v>45.864000000000004</v>
      </c>
      <c r="I258" s="209">
        <f t="shared" ref="I258" si="920">I112*I$207</f>
        <v>54.447237524736593</v>
      </c>
      <c r="J258" s="209">
        <f t="shared" ref="J258" si="921">J112*J$207</f>
        <v>54.447237524736593</v>
      </c>
      <c r="K258" s="25"/>
      <c r="L258" s="291"/>
      <c r="M258" s="209">
        <f t="shared" ref="M258" si="922">M112*M$207</f>
        <v>20.854917051249277</v>
      </c>
      <c r="N258" s="291"/>
      <c r="O258" s="209">
        <f t="shared" ref="O258" si="923">O112*O$207</f>
        <v>28.658214474379292</v>
      </c>
      <c r="P258" s="291"/>
      <c r="Q258" s="209">
        <f t="shared" ref="Q258" si="924">Q112*Q$207</f>
        <v>25.661615380270764</v>
      </c>
      <c r="R258" s="291"/>
      <c r="S258" s="209">
        <f t="shared" ref="S258" si="925">S112*S$207</f>
        <v>32.285575048732944</v>
      </c>
      <c r="T258" s="291"/>
      <c r="U258" s="209">
        <f t="shared" ref="U258" si="926">U112*U$207</f>
        <v>32.093399999999995</v>
      </c>
      <c r="V258" s="283"/>
      <c r="W258" s="209">
        <f t="shared" ref="W258" si="927">W112*W$207</f>
        <v>42.934514072446596</v>
      </c>
      <c r="X258" s="283"/>
      <c r="Y258" s="209">
        <f t="shared" ref="Y258:AA258" si="928">Y112*Y$207</f>
        <v>46.803175929795238</v>
      </c>
      <c r="Z258" s="283"/>
      <c r="AA258" s="209">
        <f t="shared" si="928"/>
        <v>45.864000000000004</v>
      </c>
      <c r="AB258" s="283"/>
      <c r="AC258" s="209">
        <f t="shared" ref="AC258" si="929">AC112*AC$207</f>
        <v>48.62619736382976</v>
      </c>
      <c r="AD258" s="283"/>
      <c r="AE258" s="209">
        <f t="shared" ref="AE258" si="930">AE112*AE$207</f>
        <v>54.447237524736593</v>
      </c>
    </row>
    <row r="259" spans="2:31" ht="13.5" customHeight="1">
      <c r="B259" s="10" t="s">
        <v>199</v>
      </c>
      <c r="C259" s="209">
        <f>C113*C$207</f>
        <v>79.553306824614822</v>
      </c>
      <c r="D259" s="209">
        <f t="shared" ref="D259:H259" si="931">D113*D$207</f>
        <v>80.016413623307344</v>
      </c>
      <c r="E259" s="209">
        <f t="shared" si="931"/>
        <v>82.673005810882202</v>
      </c>
      <c r="F259" s="209">
        <f t="shared" si="931"/>
        <v>82.236842105263165</v>
      </c>
      <c r="G259" s="209">
        <f t="shared" si="931"/>
        <v>114.89180022738502</v>
      </c>
      <c r="H259" s="209">
        <f t="shared" si="931"/>
        <v>116.181</v>
      </c>
      <c r="I259" s="209">
        <f t="shared" ref="I259" si="932">I113*I$207</f>
        <v>109.21538214686849</v>
      </c>
      <c r="J259" s="209">
        <f t="shared" ref="J259" si="933">J113*J$207</f>
        <v>109.21538214686849</v>
      </c>
      <c r="K259" s="25"/>
      <c r="L259" s="291"/>
      <c r="M259" s="209">
        <f t="shared" ref="M259" si="934">M113*M$207</f>
        <v>77.768658423368279</v>
      </c>
      <c r="N259" s="291"/>
      <c r="O259" s="209">
        <f t="shared" ref="O259" si="935">O113*O$207</f>
        <v>82.673005810882202</v>
      </c>
      <c r="P259" s="291"/>
      <c r="Q259" s="209">
        <f t="shared" ref="Q259" si="936">Q113*Q$207</f>
        <v>83.492337122412053</v>
      </c>
      <c r="R259" s="291"/>
      <c r="S259" s="209">
        <f t="shared" ref="S259" si="937">S113*S$207</f>
        <v>82.236842105263165</v>
      </c>
      <c r="T259" s="291"/>
      <c r="U259" s="209">
        <f t="shared" ref="U259" si="938">U113*U$207</f>
        <v>88.346999999999994</v>
      </c>
      <c r="V259" s="283"/>
      <c r="W259" s="209">
        <f t="shared" ref="W259" si="939">W113*W$207</f>
        <v>114.89180022738502</v>
      </c>
      <c r="X259" s="283"/>
      <c r="Y259" s="209">
        <f t="shared" ref="Y259:AA259" si="940">Y113*Y$207</f>
        <v>117.24673153841562</v>
      </c>
      <c r="Z259" s="283"/>
      <c r="AA259" s="209">
        <f t="shared" si="940"/>
        <v>116.181</v>
      </c>
      <c r="AB259" s="283"/>
      <c r="AC259" s="209">
        <f t="shared" ref="AC259" si="941">AC113*AC$207</f>
        <v>115.71234002318749</v>
      </c>
      <c r="AD259" s="283"/>
      <c r="AE259" s="209">
        <f t="shared" ref="AE259" si="942">AE113*AE$207</f>
        <v>109.21538214686849</v>
      </c>
    </row>
    <row r="260" spans="2:31" ht="13.5" customHeight="1">
      <c r="B260" s="6" t="s">
        <v>200</v>
      </c>
      <c r="C260" s="27">
        <f>SUM(C258:C259)</f>
        <v>92.585930468237734</v>
      </c>
      <c r="D260" s="27">
        <f t="shared" ref="D260:H260" si="943">SUM(D258:D259)</f>
        <v>101.35412392285596</v>
      </c>
      <c r="E260" s="27">
        <f t="shared" si="943"/>
        <v>111.33122028526149</v>
      </c>
      <c r="F260" s="27">
        <f t="shared" si="943"/>
        <v>114.52241715399612</v>
      </c>
      <c r="G260" s="27">
        <f t="shared" si="943"/>
        <v>157.82631429983161</v>
      </c>
      <c r="H260" s="27">
        <f t="shared" si="943"/>
        <v>162.04500000000002</v>
      </c>
      <c r="I260" s="27">
        <f t="shared" ref="I260" si="944">SUM(I258:I259)</f>
        <v>163.66261967160509</v>
      </c>
      <c r="J260" s="27">
        <f t="shared" ref="J260" si="945">SUM(J258:J259)</f>
        <v>163.66261967160509</v>
      </c>
      <c r="K260" s="25"/>
      <c r="L260" s="291"/>
      <c r="M260" s="27">
        <f t="shared" ref="M260" si="946">SUM(M258:M259)</f>
        <v>98.623575474617553</v>
      </c>
      <c r="N260" s="291"/>
      <c r="O260" s="27">
        <f t="shared" ref="O260" si="947">SUM(O258:O259)</f>
        <v>111.33122028526149</v>
      </c>
      <c r="P260" s="291"/>
      <c r="Q260" s="27">
        <f t="shared" ref="Q260" si="948">SUM(Q258:Q259)</f>
        <v>109.15395250268281</v>
      </c>
      <c r="R260" s="291"/>
      <c r="S260" s="27">
        <f t="shared" ref="S260" si="949">SUM(S258:S259)</f>
        <v>114.52241715399612</v>
      </c>
      <c r="T260" s="291"/>
      <c r="U260" s="27">
        <f t="shared" ref="U260" si="950">SUM(U258:U259)</f>
        <v>120.44039999999998</v>
      </c>
      <c r="V260" s="283"/>
      <c r="W260" s="27">
        <f t="shared" ref="W260" si="951">SUM(W258:W259)</f>
        <v>157.82631429983161</v>
      </c>
      <c r="X260" s="283"/>
      <c r="Y260" s="27">
        <f t="shared" ref="Y260:AA260" si="952">SUM(Y258:Y259)</f>
        <v>164.04990746821085</v>
      </c>
      <c r="Z260" s="283"/>
      <c r="AA260" s="27">
        <f t="shared" si="952"/>
        <v>162.04500000000002</v>
      </c>
      <c r="AB260" s="283"/>
      <c r="AC260" s="27">
        <f t="shared" ref="AC260" si="953">SUM(AC258:AC259)</f>
        <v>164.33853738701725</v>
      </c>
      <c r="AD260" s="283"/>
      <c r="AE260" s="27">
        <f t="shared" ref="AE260" si="954">SUM(AE258:AE259)</f>
        <v>163.66261967160509</v>
      </c>
    </row>
    <row r="261" spans="2:31" ht="13.5" customHeight="1">
      <c r="B261" s="26"/>
      <c r="C261" s="27"/>
      <c r="D261" s="27"/>
      <c r="E261" s="27"/>
      <c r="F261" s="27"/>
      <c r="G261" s="27"/>
      <c r="H261" s="27"/>
      <c r="I261" s="27"/>
      <c r="J261" s="27"/>
      <c r="K261" s="25"/>
      <c r="L261" s="291"/>
      <c r="M261" s="27"/>
      <c r="N261" s="291"/>
      <c r="O261" s="27"/>
      <c r="P261" s="291"/>
      <c r="Q261" s="27"/>
      <c r="R261" s="291"/>
      <c r="S261" s="27"/>
      <c r="T261" s="291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spans="2:31" ht="13.5" customHeight="1">
      <c r="B262" s="21" t="s">
        <v>207</v>
      </c>
      <c r="C262" s="209">
        <f>C127*C$207</f>
        <v>2661.9133792099788</v>
      </c>
      <c r="D262" s="209">
        <f t="shared" ref="D262:H262" si="955">D127*D$207</f>
        <v>2953.6315141567502</v>
      </c>
      <c r="E262" s="209">
        <f t="shared" si="955"/>
        <v>3470.5758055995775</v>
      </c>
      <c r="F262" s="209">
        <f t="shared" si="955"/>
        <v>3180.9161793372323</v>
      </c>
      <c r="G262" s="209">
        <f t="shared" si="955"/>
        <v>2576.6757652657384</v>
      </c>
      <c r="H262" s="209">
        <f t="shared" si="955"/>
        <v>3068.5590000000002</v>
      </c>
      <c r="I262" s="209">
        <f t="shared" ref="I262" si="956">I127*I$207</f>
        <v>3711.3975504091568</v>
      </c>
      <c r="J262" s="209">
        <f t="shared" ref="J262" si="957">J127*J$207</f>
        <v>3711.3975504091568</v>
      </c>
      <c r="K262" s="25"/>
      <c r="L262" s="291"/>
      <c r="M262" s="209">
        <f t="shared" ref="M262" si="958">M127*M$207</f>
        <v>3048.3885298721948</v>
      </c>
      <c r="N262" s="291"/>
      <c r="O262" s="209">
        <f t="shared" ref="O262" si="959">O127*O$207</f>
        <v>3470.5758055995775</v>
      </c>
      <c r="P262" s="291"/>
      <c r="Q262" s="209">
        <f t="shared" ref="Q262" si="960">Q127*Q$207</f>
        <v>3303.996246778097</v>
      </c>
      <c r="R262" s="291"/>
      <c r="S262" s="209">
        <f t="shared" ref="S262" si="961">S127*S$207</f>
        <v>3180.9161793372323</v>
      </c>
      <c r="T262" s="291"/>
      <c r="U262" s="209">
        <f t="shared" ref="U262" si="962">U127*U$207</f>
        <v>3717.7220378324619</v>
      </c>
      <c r="V262" s="283"/>
      <c r="W262" s="209">
        <f t="shared" ref="W262" si="963">W127*W$207</f>
        <v>2576.6757652657384</v>
      </c>
      <c r="X262" s="283"/>
      <c r="Y262" s="209">
        <f t="shared" ref="Y262:AA262" si="964">Y127*Y$207</f>
        <v>3375.6929068412178</v>
      </c>
      <c r="Z262" s="283"/>
      <c r="AA262" s="209">
        <f t="shared" si="964"/>
        <v>3068.5590000000002</v>
      </c>
      <c r="AB262" s="283"/>
      <c r="AC262" s="209">
        <f t="shared" ref="AC262" si="965">AC127*AC$207</f>
        <v>3590.0091174120057</v>
      </c>
      <c r="AD262" s="283"/>
      <c r="AE262" s="209">
        <f t="shared" ref="AE262" si="966">AE127*AE$207</f>
        <v>3711.3975504091568</v>
      </c>
    </row>
    <row r="263" spans="2:31" ht="13.5" customHeight="1">
      <c r="B263" s="26"/>
      <c r="C263" s="27"/>
      <c r="D263" s="27"/>
      <c r="E263" s="27"/>
      <c r="F263" s="27"/>
      <c r="G263" s="27"/>
      <c r="H263" s="27"/>
      <c r="I263" s="27"/>
      <c r="J263" s="27"/>
      <c r="K263" s="25"/>
      <c r="L263" s="291"/>
      <c r="M263" s="27"/>
      <c r="N263" s="291"/>
      <c r="O263" s="27"/>
      <c r="P263" s="291"/>
      <c r="Q263" s="27"/>
      <c r="R263" s="291"/>
      <c r="S263" s="27"/>
      <c r="T263" s="291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</row>
    <row r="264" spans="2:31" ht="13.5" customHeight="1">
      <c r="B264" s="21" t="s">
        <v>235</v>
      </c>
      <c r="C264" s="209">
        <f>C228</f>
        <v>964.27839313180743</v>
      </c>
      <c r="D264" s="209">
        <f t="shared" ref="D264:J264" si="967">D228</f>
        <v>1170.7016823963891</v>
      </c>
      <c r="E264" s="209">
        <f t="shared" si="967"/>
        <v>1342.445853143159</v>
      </c>
      <c r="F264" s="209">
        <f t="shared" si="967"/>
        <v>1397.6693007902372</v>
      </c>
      <c r="G264" s="209">
        <f t="shared" si="967"/>
        <v>664.06659209212876</v>
      </c>
      <c r="H264" s="209">
        <f t="shared" si="967"/>
        <v>961.12595710260928</v>
      </c>
      <c r="I264" s="209">
        <f t="shared" ref="I264" si="968">I228</f>
        <v>1085.1588779422691</v>
      </c>
      <c r="J264" s="209">
        <f t="shared" si="967"/>
        <v>1085.1588779422691</v>
      </c>
      <c r="K264" s="25"/>
      <c r="L264" s="291"/>
      <c r="M264" s="209">
        <f>SUM(J228:M228)</f>
        <v>1611.9627183074037</v>
      </c>
      <c r="N264" s="291"/>
      <c r="O264" s="209">
        <f>SUM(L228:O228)</f>
        <v>1359.6303515408804</v>
      </c>
      <c r="P264" s="291"/>
      <c r="Q264" s="209">
        <f>SUM(N228:Q228)</f>
        <v>1481.4662232371538</v>
      </c>
      <c r="R264" s="291"/>
      <c r="S264" s="209">
        <f>SUM(P228:S228)</f>
        <v>1397.5417168016045</v>
      </c>
      <c r="T264" s="291"/>
      <c r="U264" s="209">
        <f t="shared" ref="U264:AD264" si="969">SUM(R228:U228)</f>
        <v>1133.2443544958967</v>
      </c>
      <c r="V264" s="209">
        <f t="shared" si="969"/>
        <v>813.56352138718955</v>
      </c>
      <c r="W264" s="209">
        <f t="shared" si="969"/>
        <v>667.07918720159034</v>
      </c>
      <c r="X264" s="209">
        <f t="shared" si="969"/>
        <v>610.45456639605368</v>
      </c>
      <c r="Y264" s="209">
        <f t="shared" si="969"/>
        <v>608.62907524629759</v>
      </c>
      <c r="Z264" s="209">
        <f t="shared" si="969"/>
        <v>814.78972693674723</v>
      </c>
      <c r="AA264" s="209">
        <f t="shared" si="969"/>
        <v>955.66384949085682</v>
      </c>
      <c r="AB264" s="209">
        <f t="shared" si="969"/>
        <v>970.54460703690563</v>
      </c>
      <c r="AC264" s="209">
        <f t="shared" si="969"/>
        <v>1034.5306761285221</v>
      </c>
      <c r="AD264" s="209">
        <f t="shared" si="969"/>
        <v>1051.6067610027405</v>
      </c>
      <c r="AE264" s="209">
        <f>SUM(AB228:AE228)</f>
        <v>1075.8290491082635</v>
      </c>
    </row>
    <row r="265" spans="2:31" ht="13.5" customHeight="1">
      <c r="C265" s="25"/>
      <c r="D265" s="25"/>
      <c r="E265" s="25"/>
      <c r="F265" s="25"/>
      <c r="G265" s="25"/>
      <c r="H265" s="25"/>
      <c r="I265" s="25"/>
      <c r="J265" s="25"/>
      <c r="K265" s="25"/>
      <c r="L265" s="287"/>
      <c r="M265" s="25"/>
      <c r="N265" s="287"/>
      <c r="O265" s="25"/>
      <c r="P265" s="287"/>
      <c r="Q265" s="25"/>
      <c r="R265" s="287"/>
      <c r="S265" s="25"/>
      <c r="T265" s="287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 spans="2:31" ht="13.5" customHeight="1">
      <c r="B266" s="26" t="str">
        <f>+B132</f>
        <v>Net Leverage excluding lease obligations</v>
      </c>
      <c r="C266" s="28">
        <f t="shared" ref="C266:H266" si="970">((C253-(C260))/C264)</f>
        <v>3.1207940306912572</v>
      </c>
      <c r="D266" s="28">
        <f t="shared" si="970"/>
        <v>2.237878256805701</v>
      </c>
      <c r="E266" s="28">
        <f t="shared" si="970"/>
        <v>3.1992523364485983</v>
      </c>
      <c r="F266" s="28">
        <f t="shared" si="970"/>
        <v>2.6153537235665851</v>
      </c>
      <c r="G266" s="28">
        <f t="shared" si="970"/>
        <v>5.7841828201042063</v>
      </c>
      <c r="H266" s="28">
        <f t="shared" si="970"/>
        <v>2.9495717799007966</v>
      </c>
      <c r="I266" s="28">
        <f t="shared" ref="I266" si="971">((I253-(I260))/I264)</f>
        <v>2.5192694067937533</v>
      </c>
      <c r="J266" s="28">
        <f>((J253-(J260))/J264)</f>
        <v>2.5192694067937533</v>
      </c>
      <c r="K266" s="28"/>
      <c r="L266" s="289"/>
      <c r="M266" s="289"/>
      <c r="N266" s="289"/>
      <c r="O266" s="28">
        <f>((O253-(O260))/O264)</f>
        <v>3.1588166793692305</v>
      </c>
      <c r="P266" s="289"/>
      <c r="Q266" s="28">
        <f>((Q253-(Q260))/Q264)</f>
        <v>3.0492004681482783</v>
      </c>
      <c r="R266" s="289"/>
      <c r="S266" s="28">
        <f>((S253-(S260))/S264)</f>
        <v>2.615592483709289</v>
      </c>
      <c r="T266" s="289"/>
      <c r="U266" s="28">
        <f t="shared" ref="U266:AB266" si="972">((U253-(U260))/U264)</f>
        <v>4.0687641308699449</v>
      </c>
      <c r="V266" s="28">
        <f t="shared" si="972"/>
        <v>4.6273640607447204</v>
      </c>
      <c r="W266" s="28">
        <f t="shared" si="972"/>
        <v>5.7580608825435737</v>
      </c>
      <c r="X266" s="28">
        <f t="shared" si="972"/>
        <v>5.4021342560382193</v>
      </c>
      <c r="Y266" s="28">
        <f t="shared" si="972"/>
        <v>6.8956821751237847</v>
      </c>
      <c r="Z266" s="28">
        <f t="shared" si="972"/>
        <v>4.3475173293441536</v>
      </c>
      <c r="AA266" s="28">
        <f t="shared" si="972"/>
        <v>2.9664300909889367</v>
      </c>
      <c r="AB266" s="28">
        <f t="shared" si="972"/>
        <v>2.5675834711531378</v>
      </c>
      <c r="AC266" s="28">
        <f t="shared" ref="AC266:AD266" si="973">((AC253-(AC260))/AC264)</f>
        <v>2.5897428310223694</v>
      </c>
      <c r="AD266" s="28">
        <f t="shared" si="973"/>
        <v>2.4671737120642194</v>
      </c>
      <c r="AE266" s="28">
        <f>((AE253-(AE260))/AE264)</f>
        <v>2.5411170715055542</v>
      </c>
    </row>
    <row r="267" spans="2:31" ht="13.5" customHeight="1">
      <c r="B267" s="21" t="str">
        <f>+B133</f>
        <v>Gross Leverage  excluding lease obligations</v>
      </c>
      <c r="C267" s="29">
        <f t="shared" ref="C267:H267" si="974">((C251-(C260))/C264)</f>
        <v>4.0713782908630156</v>
      </c>
      <c r="D267" s="29">
        <f t="shared" si="974"/>
        <v>2.8092066830237172</v>
      </c>
      <c r="E267" s="29">
        <f t="shared" si="974"/>
        <v>3.8839547466797839</v>
      </c>
      <c r="F267" s="29">
        <f t="shared" si="974"/>
        <v>3.1508281586951816</v>
      </c>
      <c r="G267" s="29">
        <f t="shared" si="974"/>
        <v>6.9214056938176132</v>
      </c>
      <c r="H267" s="29">
        <f t="shared" si="974"/>
        <v>4.1494863087692311</v>
      </c>
      <c r="I267" s="29">
        <f t="shared" ref="I267" si="975">((I251-(I260))/I264)</f>
        <v>3.1816902861479042</v>
      </c>
      <c r="J267" s="29">
        <f>((J251-(J260))/J264)</f>
        <v>3.1816902861479042</v>
      </c>
      <c r="K267" s="29"/>
      <c r="L267" s="281"/>
      <c r="M267" s="281"/>
      <c r="N267" s="281"/>
      <c r="O267" s="29">
        <f>((O251-(O260))/O264)</f>
        <v>3.8348650701765346</v>
      </c>
      <c r="P267" s="281"/>
      <c r="Q267" s="29">
        <f>((Q251-(Q260))/Q264)</f>
        <v>3.3834525901866077</v>
      </c>
      <c r="R267" s="281"/>
      <c r="S267" s="29">
        <f>((S251-(S260))/S264)</f>
        <v>3.1511158032206721</v>
      </c>
      <c r="T267" s="281"/>
      <c r="U267" s="29">
        <f t="shared" ref="U267:AB267" si="976">((U251-(U260))/U264)</f>
        <v>4.4205888705372836</v>
      </c>
      <c r="V267" s="29">
        <f t="shared" si="976"/>
        <v>5.3399362014074772</v>
      </c>
      <c r="W267" s="29">
        <f t="shared" si="976"/>
        <v>6.8901479460961372</v>
      </c>
      <c r="X267" s="29">
        <f t="shared" si="976"/>
        <v>6.2163832193574349</v>
      </c>
      <c r="Y267" s="29">
        <f t="shared" si="976"/>
        <v>7.7417711183382076</v>
      </c>
      <c r="Z267" s="29">
        <f t="shared" si="976"/>
        <v>4.9749872542944544</v>
      </c>
      <c r="AA267" s="29">
        <f t="shared" si="976"/>
        <v>4.1732027450078366</v>
      </c>
      <c r="AB267" s="29">
        <f t="shared" si="976"/>
        <v>3.22404671977888</v>
      </c>
      <c r="AC267" s="29">
        <f t="shared" ref="AC267:AE267" si="977">((AC251-(AC260))/AC264)</f>
        <v>3.1076478757945094</v>
      </c>
      <c r="AD267" s="29">
        <f t="shared" si="977"/>
        <v>3.0117782107559266</v>
      </c>
      <c r="AE267" s="29">
        <f t="shared" si="977"/>
        <v>3.2092826120821996</v>
      </c>
    </row>
    <row r="268" spans="2:31" ht="13.5" customHeight="1">
      <c r="C268" s="25"/>
      <c r="D268" s="25"/>
      <c r="E268" s="25"/>
      <c r="F268" s="25"/>
      <c r="G268" s="25"/>
      <c r="H268" s="25"/>
      <c r="I268" s="25"/>
      <c r="J268" s="25"/>
      <c r="K268" s="25"/>
      <c r="L268" s="287"/>
      <c r="M268" s="287"/>
      <c r="N268" s="287"/>
      <c r="O268" s="25"/>
      <c r="P268" s="287"/>
      <c r="Q268" s="25"/>
      <c r="R268" s="287"/>
      <c r="S268" s="25"/>
      <c r="T268" s="287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 spans="2:31" s="26" customFormat="1" ht="13.5" customHeight="1">
      <c r="B269" s="26" t="str">
        <f>+B135</f>
        <v>Net Leverage including lease obligations</v>
      </c>
      <c r="C269" s="28">
        <f t="shared" ref="C269:H269" si="978">C253/C264</f>
        <v>3.2168097986766155</v>
      </c>
      <c r="D269" s="28">
        <f t="shared" si="978"/>
        <v>2.3244537913307624</v>
      </c>
      <c r="E269" s="28">
        <f t="shared" si="978"/>
        <v>3.282183964584358</v>
      </c>
      <c r="F269" s="28">
        <f t="shared" si="978"/>
        <v>2.6972918594970556</v>
      </c>
      <c r="G269" s="28">
        <f t="shared" si="978"/>
        <v>6.0218492170879836</v>
      </c>
      <c r="H269" s="28">
        <f t="shared" si="978"/>
        <v>3.1181709097052788</v>
      </c>
      <c r="I269" s="28">
        <f t="shared" ref="I269" si="979">I253/I264</f>
        <v>2.6700884462895647</v>
      </c>
      <c r="J269" s="28">
        <f>J253/J264</f>
        <v>2.6700884462895647</v>
      </c>
      <c r="K269" s="28"/>
      <c r="L269" s="289"/>
      <c r="M269" s="289"/>
      <c r="N269" s="289"/>
      <c r="O269" s="28">
        <f>O253/O264</f>
        <v>3.2407001267040805</v>
      </c>
      <c r="P269" s="289"/>
      <c r="Q269" s="28">
        <f>Q253/Q264</f>
        <v>3.1228801449377834</v>
      </c>
      <c r="R269" s="289"/>
      <c r="S269" s="28">
        <f>S253/S264</f>
        <v>2.6975380999132121</v>
      </c>
      <c r="T269" s="289"/>
      <c r="U269" s="28">
        <f t="shared" ref="U269:AB269" si="980">U253/U264</f>
        <v>4.175043416111631</v>
      </c>
      <c r="V269" s="28">
        <f t="shared" si="980"/>
        <v>4.6273640607447204</v>
      </c>
      <c r="W269" s="28">
        <f t="shared" si="980"/>
        <v>5.994653954742267</v>
      </c>
      <c r="X269" s="28">
        <f t="shared" si="980"/>
        <v>5.4021342560382193</v>
      </c>
      <c r="Y269" s="28">
        <f t="shared" si="980"/>
        <v>7.1652222187075125</v>
      </c>
      <c r="Z269" s="28">
        <f t="shared" si="980"/>
        <v>4.3475173293441536</v>
      </c>
      <c r="AA269" s="28">
        <f t="shared" si="980"/>
        <v>3.1359928510392741</v>
      </c>
      <c r="AB269" s="28">
        <f t="shared" si="980"/>
        <v>2.5675834711531378</v>
      </c>
      <c r="AC269" s="28">
        <f t="shared" ref="AC269:AE269" si="981">AC253/AC264</f>
        <v>2.748596059040715</v>
      </c>
      <c r="AD269" s="28">
        <f t="shared" si="981"/>
        <v>2.4671737120642194</v>
      </c>
      <c r="AE269" s="28">
        <f t="shared" si="981"/>
        <v>2.6932440472618442</v>
      </c>
    </row>
    <row r="270" spans="2:31" ht="13.5" customHeight="1">
      <c r="B270" s="21" t="str">
        <f>+B136</f>
        <v>Gross Leverage  including lease obligations</v>
      </c>
      <c r="C270" s="29">
        <f t="shared" ref="C270:H270" si="982">C251/C264</f>
        <v>4.167394058848374</v>
      </c>
      <c r="D270" s="29">
        <f t="shared" si="982"/>
        <v>2.8957822175487786</v>
      </c>
      <c r="E270" s="29">
        <f t="shared" si="982"/>
        <v>3.9668863748155436</v>
      </c>
      <c r="F270" s="29">
        <f t="shared" si="982"/>
        <v>3.2327662946256517</v>
      </c>
      <c r="G270" s="29">
        <f t="shared" si="982"/>
        <v>7.1590720908013896</v>
      </c>
      <c r="H270" s="29">
        <f t="shared" si="982"/>
        <v>4.3180854385737133</v>
      </c>
      <c r="I270" s="29">
        <f t="shared" ref="I270" si="983">I251/I264</f>
        <v>3.332509325643715</v>
      </c>
      <c r="J270" s="29">
        <f>J251/J264</f>
        <v>3.332509325643715</v>
      </c>
      <c r="K270" s="29"/>
      <c r="L270" s="281"/>
      <c r="M270" s="281"/>
      <c r="N270" s="281"/>
      <c r="O270" s="29">
        <f>O251/O264</f>
        <v>3.9167485175113845</v>
      </c>
      <c r="P270" s="281"/>
      <c r="Q270" s="29">
        <f>Q251/Q264</f>
        <v>3.4571322669761133</v>
      </c>
      <c r="R270" s="281"/>
      <c r="S270" s="29">
        <f>S251/S264</f>
        <v>3.2330614194245952</v>
      </c>
      <c r="T270" s="281"/>
      <c r="U270" s="29">
        <f t="shared" ref="U270:AB270" si="984">U251/U264</f>
        <v>4.5268681557789705</v>
      </c>
      <c r="V270" s="29">
        <f t="shared" si="984"/>
        <v>5.3399362014074772</v>
      </c>
      <c r="W270" s="29">
        <f t="shared" si="984"/>
        <v>7.1267410182948305</v>
      </c>
      <c r="X270" s="29">
        <f t="shared" si="984"/>
        <v>6.2163832193574349</v>
      </c>
      <c r="Y270" s="29">
        <f t="shared" si="984"/>
        <v>8.0113111619219346</v>
      </c>
      <c r="Z270" s="29">
        <f t="shared" si="984"/>
        <v>4.9749872542944544</v>
      </c>
      <c r="AA270" s="29">
        <f t="shared" si="984"/>
        <v>4.3427655050581748</v>
      </c>
      <c r="AB270" s="29">
        <f t="shared" si="984"/>
        <v>3.22404671977888</v>
      </c>
      <c r="AC270" s="29">
        <f t="shared" ref="AC270:AE270" si="985">AC251/AC264</f>
        <v>3.2665011038128546</v>
      </c>
      <c r="AD270" s="29">
        <f t="shared" si="985"/>
        <v>3.0117782107559266</v>
      </c>
      <c r="AE270" s="29">
        <f t="shared" si="985"/>
        <v>3.3614095878384891</v>
      </c>
    </row>
    <row r="271" spans="2:31" ht="13.5" customHeight="1">
      <c r="C271" s="29"/>
      <c r="D271" s="29"/>
      <c r="E271" s="29"/>
      <c r="F271" s="29"/>
      <c r="G271" s="29"/>
      <c r="H271" s="29"/>
      <c r="I271" s="29"/>
      <c r="J271" s="29"/>
      <c r="K271" s="29"/>
      <c r="L271" s="281"/>
      <c r="M271" s="281"/>
      <c r="N271" s="281"/>
      <c r="O271" s="29"/>
      <c r="P271" s="281"/>
      <c r="Q271" s="29"/>
      <c r="R271" s="281"/>
      <c r="S271" s="29"/>
      <c r="T271" s="281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</row>
    <row r="272" spans="2:31" ht="13.5" customHeight="1">
      <c r="B272" s="26" t="str">
        <f>+B138</f>
        <v>Company reported net leverage</v>
      </c>
      <c r="C272" s="28">
        <f t="shared" ref="C272:H272" si="986">C255/C264</f>
        <v>3.2168097986766155</v>
      </c>
      <c r="D272" s="28">
        <f t="shared" si="986"/>
        <v>2.3244537913307628</v>
      </c>
      <c r="E272" s="28">
        <f t="shared" si="986"/>
        <v>3.282183964584358</v>
      </c>
      <c r="F272" s="28">
        <f t="shared" si="986"/>
        <v>1.47331741861363</v>
      </c>
      <c r="G272" s="28">
        <f t="shared" si="986"/>
        <v>4.003848040372592</v>
      </c>
      <c r="H272" s="28">
        <f t="shared" si="986"/>
        <v>2.1019503063783351</v>
      </c>
      <c r="I272" s="28">
        <f t="shared" ref="I272" si="987">I255/I264</f>
        <v>1.510654758348565</v>
      </c>
      <c r="J272" s="28">
        <f>J255/J264</f>
        <v>1.510654758348565</v>
      </c>
      <c r="K272" s="29"/>
      <c r="L272" s="289"/>
      <c r="M272" s="289"/>
      <c r="N272" s="289"/>
      <c r="O272" s="28">
        <f>O255/O264</f>
        <v>3.2407001267040805</v>
      </c>
      <c r="P272" s="289"/>
      <c r="Q272" s="28">
        <f>Q255/Q264</f>
        <v>3.122880144937783</v>
      </c>
      <c r="R272" s="289"/>
      <c r="S272" s="28">
        <f>S255/S264</f>
        <v>1.4734519202964986</v>
      </c>
      <c r="T272" s="289"/>
      <c r="U272" s="28">
        <f t="shared" ref="U272:AB272" si="988">U255/U264</f>
        <v>4.175043416111631</v>
      </c>
      <c r="V272" s="28">
        <f t="shared" si="988"/>
        <v>4.6273640607447204</v>
      </c>
      <c r="W272" s="28">
        <f t="shared" si="988"/>
        <v>3.9857662694871081</v>
      </c>
      <c r="X272" s="28">
        <f t="shared" si="988"/>
        <v>5.4021342560382193</v>
      </c>
      <c r="Y272" s="28">
        <f t="shared" si="988"/>
        <v>5.4008056331176162</v>
      </c>
      <c r="Z272" s="28">
        <f t="shared" si="988"/>
        <v>4.3475173293441536</v>
      </c>
      <c r="AA272" s="28">
        <f t="shared" si="988"/>
        <v>2.1139640272846045</v>
      </c>
      <c r="AB272" s="28">
        <f t="shared" si="988"/>
        <v>2.5675834711531373</v>
      </c>
      <c r="AC272" s="28">
        <f t="shared" ref="AC272:AE272" si="989">AC255/AC264</f>
        <v>2.5897428310223694</v>
      </c>
      <c r="AD272" s="28">
        <f t="shared" si="989"/>
        <v>2.4671737120642194</v>
      </c>
      <c r="AE272" s="28">
        <f t="shared" si="989"/>
        <v>1.5237554924608765</v>
      </c>
    </row>
    <row r="273" spans="2:34" ht="13.5" customHeight="1"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</row>
    <row r="274" spans="2:34" s="26" customFormat="1" ht="13.5" customHeight="1">
      <c r="B274" s="26" t="str">
        <f>+B140</f>
        <v>EBITDA - Capex / Interest</v>
      </c>
      <c r="C274" s="28">
        <f t="shared" ref="C274:H274" si="990">(C264+C237)/-C235</f>
        <v>3.4465370595382749</v>
      </c>
      <c r="D274" s="28">
        <f t="shared" si="990"/>
        <v>4.2277945619335355</v>
      </c>
      <c r="E274" s="28">
        <f t="shared" si="990"/>
        <v>4.2586295723853675</v>
      </c>
      <c r="F274" s="28">
        <f t="shared" si="990"/>
        <v>4.0840085287846488</v>
      </c>
      <c r="G274" s="28">
        <f t="shared" si="990"/>
        <v>1.2913362701908955</v>
      </c>
      <c r="H274" s="28">
        <f t="shared" si="990"/>
        <v>2.3278245192307692</v>
      </c>
      <c r="I274" s="28">
        <f t="shared" ref="I274" si="991">(I264+I237)/-I235</f>
        <v>2.7700590482806531</v>
      </c>
      <c r="J274" s="28">
        <f t="shared" ref="J274" si="992">(J264+J237)/-J235</f>
        <v>2.7700590482806531</v>
      </c>
      <c r="K274" s="28"/>
      <c r="L274" s="291"/>
      <c r="M274" s="289"/>
      <c r="N274" s="291"/>
      <c r="O274" s="28">
        <f>(O264+SUM(L237:O237))/-SUM(L235:O235)</f>
        <v>4.2786559690437507</v>
      </c>
      <c r="P274" s="291"/>
      <c r="Q274" s="28">
        <f>(Q264+SUM(N237:Q237))/-SUM(N235:Q235)</f>
        <v>5.1376583175645196</v>
      </c>
      <c r="R274" s="291"/>
      <c r="S274" s="28">
        <f>(S264+SUM(P237:S237))/-SUM(P235:S235)</f>
        <v>4.0886513385885577</v>
      </c>
      <c r="T274" s="291"/>
      <c r="U274" s="28">
        <f>(U264+SUM(R237:U237))/-SUM(R235:U235)</f>
        <v>2.7328274852008039</v>
      </c>
      <c r="V274" s="289"/>
      <c r="W274" s="28">
        <f>(W264+SUM(T237:W237))/-SUM(T235:W235)</f>
        <v>1.2948461948169863</v>
      </c>
      <c r="X274" s="291"/>
      <c r="Y274" s="28">
        <f>(Y264+SUM(V237:Y237))/-SUM(V235:Y235)</f>
        <v>1.2123187514099705</v>
      </c>
      <c r="Z274" s="286"/>
      <c r="AA274" s="28">
        <f>(AA264+SUM(X237:AA237))/-SUM(X235:AA235)</f>
        <v>2.3298240381646353</v>
      </c>
      <c r="AB274" s="291"/>
      <c r="AC274" s="28">
        <f>(AC264+SUM(Z237:AC237))/-SUM(Z235:AC235)</f>
        <v>2.5130587708736987</v>
      </c>
      <c r="AD274" s="286"/>
      <c r="AE274" s="28">
        <f>(AE264+SUM(AB237:AE237))/-SUM(AB235:AE235)</f>
        <v>2.7757490182004672</v>
      </c>
    </row>
    <row r="275" spans="2:34" ht="12.75" customHeight="1">
      <c r="B275" s="21" t="str">
        <f>+B141</f>
        <v>EBITDA/Interest</v>
      </c>
      <c r="C275" s="29">
        <f t="shared" ref="C275:H275" si="993">(C264)/-C235</f>
        <v>4.3153098420413123</v>
      </c>
      <c r="D275" s="29">
        <f t="shared" si="993"/>
        <v>5.1716012084592151</v>
      </c>
      <c r="E275" s="29">
        <f t="shared" si="993"/>
        <v>5.2369912416280266</v>
      </c>
      <c r="F275" s="29">
        <f t="shared" si="993"/>
        <v>4.7667377398720685</v>
      </c>
      <c r="G275" s="29">
        <f t="shared" si="993"/>
        <v>1.619676945668135</v>
      </c>
      <c r="H275" s="29">
        <f t="shared" si="993"/>
        <v>2.4399038461538463</v>
      </c>
      <c r="I275" s="29">
        <f t="shared" ref="I275" si="994">(I264)/-I235</f>
        <v>3.3303230288294547</v>
      </c>
      <c r="J275" s="29">
        <f t="shared" ref="J275" si="995">(J264)/-J235</f>
        <v>3.3303230288294547</v>
      </c>
      <c r="K275" s="29"/>
      <c r="L275" s="292"/>
      <c r="M275" s="281"/>
      <c r="N275" s="292"/>
      <c r="O275" s="29">
        <f>(O264)/-SUM(L235:O235)</f>
        <v>5.2553296747913478</v>
      </c>
      <c r="P275" s="292"/>
      <c r="Q275" s="29">
        <f>(Q264)/-SUM(N235:Q235)</f>
        <v>6.2972247743786314</v>
      </c>
      <c r="R275" s="292"/>
      <c r="S275" s="29">
        <f>(S264)/-SUM(P235:S235)</f>
        <v>4.7709128445601978</v>
      </c>
      <c r="T275" s="292"/>
      <c r="U275" s="29">
        <f>(U264)/-SUM(R235:U235)</f>
        <v>3.1911617063370556</v>
      </c>
      <c r="V275" s="281"/>
      <c r="W275" s="29">
        <f>(W264)/-SUM(T235:W235)</f>
        <v>1.6235678188368048</v>
      </c>
      <c r="X275" s="292"/>
      <c r="Y275" s="29">
        <f>(Y264)/-SUM(V235:Y235)</f>
        <v>1.3432069492302265</v>
      </c>
      <c r="Z275" s="285"/>
      <c r="AA275" s="29">
        <f>(AA264)/-SUM(X235:AA235)</f>
        <v>2.4405906765793537</v>
      </c>
      <c r="AB275" s="292"/>
      <c r="AC275" s="29">
        <f>(AC264)/-SUM(Z235:AC235)</f>
        <v>2.8602756458694247</v>
      </c>
      <c r="AD275" s="285"/>
      <c r="AE275" s="29">
        <f>(AE264)/-SUM(AB235:AE235)</f>
        <v>3.3346587760259339</v>
      </c>
    </row>
    <row r="276" spans="2:34" ht="13.5" customHeight="1"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</row>
    <row r="277" spans="2:34" s="26" customFormat="1" ht="13.5" customHeight="1">
      <c r="B277" s="55" t="str">
        <f>+B143</f>
        <v xml:space="preserve">Gearing (Net debt / Equity) </v>
      </c>
      <c r="C277" s="307">
        <f t="shared" ref="C277:H277" si="996">C253/C262</f>
        <v>1.1652896776825785</v>
      </c>
      <c r="D277" s="307">
        <f t="shared" si="996"/>
        <v>0.92132073724182628</v>
      </c>
      <c r="E277" s="307">
        <f t="shared" si="996"/>
        <v>1.2695744162683795</v>
      </c>
      <c r="F277" s="307">
        <f t="shared" si="996"/>
        <v>1.1851686164443165</v>
      </c>
      <c r="G277" s="307">
        <f t="shared" si="996"/>
        <v>1.551964333887331</v>
      </c>
      <c r="H277" s="307">
        <f t="shared" si="996"/>
        <v>0.97666526861631131</v>
      </c>
      <c r="I277" s="307">
        <f t="shared" ref="I277" si="997">I253/I262</f>
        <v>0.7806951810006918</v>
      </c>
      <c r="J277" s="307">
        <f t="shared" ref="J277" si="998">J253/J262</f>
        <v>0.7806951810006918</v>
      </c>
      <c r="K277" s="308"/>
      <c r="L277" s="309"/>
      <c r="M277" s="289"/>
      <c r="N277" s="309"/>
      <c r="O277" s="307">
        <f>O253/O262</f>
        <v>1.2695744162683795</v>
      </c>
      <c r="P277" s="309"/>
      <c r="Q277" s="307">
        <f>Q253/Q262</f>
        <v>1.4002562679829809</v>
      </c>
      <c r="R277" s="309"/>
      <c r="S277" s="307">
        <f>S253/S262</f>
        <v>1.1851686164443165</v>
      </c>
      <c r="T277" s="309"/>
      <c r="U277" s="307">
        <f>U253/U262</f>
        <v>1.2726460808356392</v>
      </c>
      <c r="V277" s="309"/>
      <c r="W277" s="307">
        <f>W253/W262</f>
        <v>1.551964333887331</v>
      </c>
      <c r="X277" s="309"/>
      <c r="Y277" s="307">
        <f>Y253/Y262</f>
        <v>1.291871829948809</v>
      </c>
      <c r="Z277" s="286"/>
      <c r="AA277" s="307">
        <f>AA253/AA262</f>
        <v>0.97666526861631131</v>
      </c>
      <c r="AB277" s="309"/>
      <c r="AC277" s="307">
        <f>AC253/AC262</f>
        <v>0.79206120273405656</v>
      </c>
      <c r="AD277" s="286"/>
      <c r="AE277" s="307">
        <f>AE253/AE262</f>
        <v>0.7806951810006918</v>
      </c>
    </row>
    <row r="278" spans="2:34" ht="13.5" customHeight="1"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</row>
    <row r="279" spans="2:34" ht="13.5" customHeight="1"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</sheetData>
  <pageMargins left="0.7" right="0.7" top="0.75" bottom="0.75" header="0.3" footer="0.3"/>
  <pageSetup orientation="portrait" horizontalDpi="90" verticalDpi="90" r:id="rId1"/>
  <headerFooter>
    <oddFooter>&amp;C_x000D_&amp;1#&amp;"Calibri"&amp;10&amp;K000000 Barings-Corporate</oddFooter>
  </headerFooter>
  <ignoredErrors>
    <ignoredError sqref="K87 O87 K18 L25:O25 K27 M62 M72 M66 C87:D87 O109 O62 O72 O114 K109 K112:K114 O117:O118 K117:K118" formula="1"/>
    <ignoredError sqref="K9 C26:D26 K11 L144:O144 K45:K46 O98 K161:K165 K192:K203 K229:K230 C268:D268 C229:D230 C214:D219 C192:D203 C162:D165 C149:D154 C132:D141 C51:C54 C46:D46 C33:D33 C12:D13 D9 C36:D36 K12:O13 L46:O46 K54:O54 L162:O163 M203 L230:O230 L33:O33 L38:O39 D45 D161 M36:O36 C39:D39 C38 O132:O141 M143 O143 O149:O154 O192:O198 O214:O219 O268 C31:D31 L31:O31 K149:K154 K266:K277 L165:O165 C271:D271 C273:D273 C276:D276 O271 O200:O201 O203" evalError="1"/>
    <ignoredError sqref="K23:K25 K51:K53 D50:D53 K26:O26 L51:O53" evalError="1" formula="1"/>
    <ignoredError sqref="L208:O208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E83"/>
  <sheetViews>
    <sheetView showGridLines="0" zoomScaleNormal="100" workbookViewId="0">
      <pane xSplit="2" ySplit="6" topLeftCell="C7" activePane="bottomRight" state="frozen"/>
      <selection pane="bottomRight" activeCell="AH2" sqref="AH2"/>
      <selection pane="bottomLeft" activeCell="L24" sqref="L24"/>
      <selection pane="topRight" activeCell="L24" sqref="L24"/>
    </sheetView>
  </sheetViews>
  <sheetFormatPr defaultRowHeight="12.75" outlineLevelCol="1"/>
  <cols>
    <col min="1" max="1" width="2.7109375" style="84" customWidth="1"/>
    <col min="2" max="2" width="50.7109375" style="84" customWidth="1"/>
    <col min="3" max="6" width="12.7109375" style="84" hidden="1" customWidth="1" outlineLevel="1"/>
    <col min="7" max="7" width="12.7109375" style="84" customWidth="1" collapsed="1"/>
    <col min="8" max="11" width="12.7109375" style="84" customWidth="1"/>
    <col min="12" max="14" width="12.7109375" style="84" hidden="1" customWidth="1" outlineLevel="1"/>
    <col min="15" max="15" width="12.7109375" style="84" hidden="1" customWidth="1" outlineLevel="1" collapsed="1"/>
    <col min="16" max="25" width="12.7109375" style="84" hidden="1" customWidth="1" outlineLevel="1"/>
    <col min="26" max="26" width="12.7109375" style="84" customWidth="1" collapsed="1"/>
    <col min="27" max="33" width="12.7109375" style="84" customWidth="1"/>
    <col min="34" max="262" width="9.140625" style="84"/>
    <col min="263" max="263" width="2.5703125" style="84" customWidth="1"/>
    <col min="264" max="264" width="29.42578125" style="84" customWidth="1"/>
    <col min="265" max="269" width="11.140625" style="84" customWidth="1"/>
    <col min="270" max="270" width="6.140625" style="84" customWidth="1"/>
    <col min="271" max="274" width="11.140625" style="84" customWidth="1"/>
    <col min="275" max="518" width="9.140625" style="84"/>
    <col min="519" max="519" width="2.5703125" style="84" customWidth="1"/>
    <col min="520" max="520" width="29.42578125" style="84" customWidth="1"/>
    <col min="521" max="525" width="11.140625" style="84" customWidth="1"/>
    <col min="526" max="526" width="6.140625" style="84" customWidth="1"/>
    <col min="527" max="530" width="11.140625" style="84" customWidth="1"/>
    <col min="531" max="774" width="9.140625" style="84"/>
    <col min="775" max="775" width="2.5703125" style="84" customWidth="1"/>
    <col min="776" max="776" width="29.42578125" style="84" customWidth="1"/>
    <col min="777" max="781" width="11.140625" style="84" customWidth="1"/>
    <col min="782" max="782" width="6.140625" style="84" customWidth="1"/>
    <col min="783" max="786" width="11.140625" style="84" customWidth="1"/>
    <col min="787" max="1030" width="9.140625" style="84"/>
    <col min="1031" max="1031" width="2.5703125" style="84" customWidth="1"/>
    <col min="1032" max="1032" width="29.42578125" style="84" customWidth="1"/>
    <col min="1033" max="1037" width="11.140625" style="84" customWidth="1"/>
    <col min="1038" max="1038" width="6.140625" style="84" customWidth="1"/>
    <col min="1039" max="1042" width="11.140625" style="84" customWidth="1"/>
    <col min="1043" max="1286" width="9.140625" style="84"/>
    <col min="1287" max="1287" width="2.5703125" style="84" customWidth="1"/>
    <col min="1288" max="1288" width="29.42578125" style="84" customWidth="1"/>
    <col min="1289" max="1293" width="11.140625" style="84" customWidth="1"/>
    <col min="1294" max="1294" width="6.140625" style="84" customWidth="1"/>
    <col min="1295" max="1298" width="11.140625" style="84" customWidth="1"/>
    <col min="1299" max="1542" width="9.140625" style="84"/>
    <col min="1543" max="1543" width="2.5703125" style="84" customWidth="1"/>
    <col min="1544" max="1544" width="29.42578125" style="84" customWidth="1"/>
    <col min="1545" max="1549" width="11.140625" style="84" customWidth="1"/>
    <col min="1550" max="1550" width="6.140625" style="84" customWidth="1"/>
    <col min="1551" max="1554" width="11.140625" style="84" customWidth="1"/>
    <col min="1555" max="1798" width="9.140625" style="84"/>
    <col min="1799" max="1799" width="2.5703125" style="84" customWidth="1"/>
    <col min="1800" max="1800" width="29.42578125" style="84" customWidth="1"/>
    <col min="1801" max="1805" width="11.140625" style="84" customWidth="1"/>
    <col min="1806" max="1806" width="6.140625" style="84" customWidth="1"/>
    <col min="1807" max="1810" width="11.140625" style="84" customWidth="1"/>
    <col min="1811" max="2054" width="9.140625" style="84"/>
    <col min="2055" max="2055" width="2.5703125" style="84" customWidth="1"/>
    <col min="2056" max="2056" width="29.42578125" style="84" customWidth="1"/>
    <col min="2057" max="2061" width="11.140625" style="84" customWidth="1"/>
    <col min="2062" max="2062" width="6.140625" style="84" customWidth="1"/>
    <col min="2063" max="2066" width="11.140625" style="84" customWidth="1"/>
    <col min="2067" max="2310" width="9.140625" style="84"/>
    <col min="2311" max="2311" width="2.5703125" style="84" customWidth="1"/>
    <col min="2312" max="2312" width="29.42578125" style="84" customWidth="1"/>
    <col min="2313" max="2317" width="11.140625" style="84" customWidth="1"/>
    <col min="2318" max="2318" width="6.140625" style="84" customWidth="1"/>
    <col min="2319" max="2322" width="11.140625" style="84" customWidth="1"/>
    <col min="2323" max="2566" width="9.140625" style="84"/>
    <col min="2567" max="2567" width="2.5703125" style="84" customWidth="1"/>
    <col min="2568" max="2568" width="29.42578125" style="84" customWidth="1"/>
    <col min="2569" max="2573" width="11.140625" style="84" customWidth="1"/>
    <col min="2574" max="2574" width="6.140625" style="84" customWidth="1"/>
    <col min="2575" max="2578" width="11.140625" style="84" customWidth="1"/>
    <col min="2579" max="2822" width="9.140625" style="84"/>
    <col min="2823" max="2823" width="2.5703125" style="84" customWidth="1"/>
    <col min="2824" max="2824" width="29.42578125" style="84" customWidth="1"/>
    <col min="2825" max="2829" width="11.140625" style="84" customWidth="1"/>
    <col min="2830" max="2830" width="6.140625" style="84" customWidth="1"/>
    <col min="2831" max="2834" width="11.140625" style="84" customWidth="1"/>
    <col min="2835" max="3078" width="9.140625" style="84"/>
    <col min="3079" max="3079" width="2.5703125" style="84" customWidth="1"/>
    <col min="3080" max="3080" width="29.42578125" style="84" customWidth="1"/>
    <col min="3081" max="3085" width="11.140625" style="84" customWidth="1"/>
    <col min="3086" max="3086" width="6.140625" style="84" customWidth="1"/>
    <col min="3087" max="3090" width="11.140625" style="84" customWidth="1"/>
    <col min="3091" max="3334" width="9.140625" style="84"/>
    <col min="3335" max="3335" width="2.5703125" style="84" customWidth="1"/>
    <col min="3336" max="3336" width="29.42578125" style="84" customWidth="1"/>
    <col min="3337" max="3341" width="11.140625" style="84" customWidth="1"/>
    <col min="3342" max="3342" width="6.140625" style="84" customWidth="1"/>
    <col min="3343" max="3346" width="11.140625" style="84" customWidth="1"/>
    <col min="3347" max="3590" width="9.140625" style="84"/>
    <col min="3591" max="3591" width="2.5703125" style="84" customWidth="1"/>
    <col min="3592" max="3592" width="29.42578125" style="84" customWidth="1"/>
    <col min="3593" max="3597" width="11.140625" style="84" customWidth="1"/>
    <col min="3598" max="3598" width="6.140625" style="84" customWidth="1"/>
    <col min="3599" max="3602" width="11.140625" style="84" customWidth="1"/>
    <col min="3603" max="3846" width="9.140625" style="84"/>
    <col min="3847" max="3847" width="2.5703125" style="84" customWidth="1"/>
    <col min="3848" max="3848" width="29.42578125" style="84" customWidth="1"/>
    <col min="3849" max="3853" width="11.140625" style="84" customWidth="1"/>
    <col min="3854" max="3854" width="6.140625" style="84" customWidth="1"/>
    <col min="3855" max="3858" width="11.140625" style="84" customWidth="1"/>
    <col min="3859" max="4102" width="9.140625" style="84"/>
    <col min="4103" max="4103" width="2.5703125" style="84" customWidth="1"/>
    <col min="4104" max="4104" width="29.42578125" style="84" customWidth="1"/>
    <col min="4105" max="4109" width="11.140625" style="84" customWidth="1"/>
    <col min="4110" max="4110" width="6.140625" style="84" customWidth="1"/>
    <col min="4111" max="4114" width="11.140625" style="84" customWidth="1"/>
    <col min="4115" max="4358" width="9.140625" style="84"/>
    <col min="4359" max="4359" width="2.5703125" style="84" customWidth="1"/>
    <col min="4360" max="4360" width="29.42578125" style="84" customWidth="1"/>
    <col min="4361" max="4365" width="11.140625" style="84" customWidth="1"/>
    <col min="4366" max="4366" width="6.140625" style="84" customWidth="1"/>
    <col min="4367" max="4370" width="11.140625" style="84" customWidth="1"/>
    <col min="4371" max="4614" width="9.140625" style="84"/>
    <col min="4615" max="4615" width="2.5703125" style="84" customWidth="1"/>
    <col min="4616" max="4616" width="29.42578125" style="84" customWidth="1"/>
    <col min="4617" max="4621" width="11.140625" style="84" customWidth="1"/>
    <col min="4622" max="4622" width="6.140625" style="84" customWidth="1"/>
    <col min="4623" max="4626" width="11.140625" style="84" customWidth="1"/>
    <col min="4627" max="4870" width="9.140625" style="84"/>
    <col min="4871" max="4871" width="2.5703125" style="84" customWidth="1"/>
    <col min="4872" max="4872" width="29.42578125" style="84" customWidth="1"/>
    <col min="4873" max="4877" width="11.140625" style="84" customWidth="1"/>
    <col min="4878" max="4878" width="6.140625" style="84" customWidth="1"/>
    <col min="4879" max="4882" width="11.140625" style="84" customWidth="1"/>
    <col min="4883" max="5126" width="9.140625" style="84"/>
    <col min="5127" max="5127" width="2.5703125" style="84" customWidth="1"/>
    <col min="5128" max="5128" width="29.42578125" style="84" customWidth="1"/>
    <col min="5129" max="5133" width="11.140625" style="84" customWidth="1"/>
    <col min="5134" max="5134" width="6.140625" style="84" customWidth="1"/>
    <col min="5135" max="5138" width="11.140625" style="84" customWidth="1"/>
    <col min="5139" max="5382" width="9.140625" style="84"/>
    <col min="5383" max="5383" width="2.5703125" style="84" customWidth="1"/>
    <col min="5384" max="5384" width="29.42578125" style="84" customWidth="1"/>
    <col min="5385" max="5389" width="11.140625" style="84" customWidth="1"/>
    <col min="5390" max="5390" width="6.140625" style="84" customWidth="1"/>
    <col min="5391" max="5394" width="11.140625" style="84" customWidth="1"/>
    <col min="5395" max="5638" width="9.140625" style="84"/>
    <col min="5639" max="5639" width="2.5703125" style="84" customWidth="1"/>
    <col min="5640" max="5640" width="29.42578125" style="84" customWidth="1"/>
    <col min="5641" max="5645" width="11.140625" style="84" customWidth="1"/>
    <col min="5646" max="5646" width="6.140625" style="84" customWidth="1"/>
    <col min="5647" max="5650" width="11.140625" style="84" customWidth="1"/>
    <col min="5651" max="5894" width="9.140625" style="84"/>
    <col min="5895" max="5895" width="2.5703125" style="84" customWidth="1"/>
    <col min="5896" max="5896" width="29.42578125" style="84" customWidth="1"/>
    <col min="5897" max="5901" width="11.140625" style="84" customWidth="1"/>
    <col min="5902" max="5902" width="6.140625" style="84" customWidth="1"/>
    <col min="5903" max="5906" width="11.140625" style="84" customWidth="1"/>
    <col min="5907" max="6150" width="9.140625" style="84"/>
    <col min="6151" max="6151" width="2.5703125" style="84" customWidth="1"/>
    <col min="6152" max="6152" width="29.42578125" style="84" customWidth="1"/>
    <col min="6153" max="6157" width="11.140625" style="84" customWidth="1"/>
    <col min="6158" max="6158" width="6.140625" style="84" customWidth="1"/>
    <col min="6159" max="6162" width="11.140625" style="84" customWidth="1"/>
    <col min="6163" max="6406" width="9.140625" style="84"/>
    <col min="6407" max="6407" width="2.5703125" style="84" customWidth="1"/>
    <col min="6408" max="6408" width="29.42578125" style="84" customWidth="1"/>
    <col min="6409" max="6413" width="11.140625" style="84" customWidth="1"/>
    <col min="6414" max="6414" width="6.140625" style="84" customWidth="1"/>
    <col min="6415" max="6418" width="11.140625" style="84" customWidth="1"/>
    <col min="6419" max="6662" width="9.140625" style="84"/>
    <col min="6663" max="6663" width="2.5703125" style="84" customWidth="1"/>
    <col min="6664" max="6664" width="29.42578125" style="84" customWidth="1"/>
    <col min="6665" max="6669" width="11.140625" style="84" customWidth="1"/>
    <col min="6670" max="6670" width="6.140625" style="84" customWidth="1"/>
    <col min="6671" max="6674" width="11.140625" style="84" customWidth="1"/>
    <col min="6675" max="6918" width="9.140625" style="84"/>
    <col min="6919" max="6919" width="2.5703125" style="84" customWidth="1"/>
    <col min="6920" max="6920" width="29.42578125" style="84" customWidth="1"/>
    <col min="6921" max="6925" width="11.140625" style="84" customWidth="1"/>
    <col min="6926" max="6926" width="6.140625" style="84" customWidth="1"/>
    <col min="6927" max="6930" width="11.140625" style="84" customWidth="1"/>
    <col min="6931" max="7174" width="9.140625" style="84"/>
    <col min="7175" max="7175" width="2.5703125" style="84" customWidth="1"/>
    <col min="7176" max="7176" width="29.42578125" style="84" customWidth="1"/>
    <col min="7177" max="7181" width="11.140625" style="84" customWidth="1"/>
    <col min="7182" max="7182" width="6.140625" style="84" customWidth="1"/>
    <col min="7183" max="7186" width="11.140625" style="84" customWidth="1"/>
    <col min="7187" max="7430" width="9.140625" style="84"/>
    <col min="7431" max="7431" width="2.5703125" style="84" customWidth="1"/>
    <col min="7432" max="7432" width="29.42578125" style="84" customWidth="1"/>
    <col min="7433" max="7437" width="11.140625" style="84" customWidth="1"/>
    <col min="7438" max="7438" width="6.140625" style="84" customWidth="1"/>
    <col min="7439" max="7442" width="11.140625" style="84" customWidth="1"/>
    <col min="7443" max="7686" width="9.140625" style="84"/>
    <col min="7687" max="7687" width="2.5703125" style="84" customWidth="1"/>
    <col min="7688" max="7688" width="29.42578125" style="84" customWidth="1"/>
    <col min="7689" max="7693" width="11.140625" style="84" customWidth="1"/>
    <col min="7694" max="7694" width="6.140625" style="84" customWidth="1"/>
    <col min="7695" max="7698" width="11.140625" style="84" customWidth="1"/>
    <col min="7699" max="7942" width="9.140625" style="84"/>
    <col min="7943" max="7943" width="2.5703125" style="84" customWidth="1"/>
    <col min="7944" max="7944" width="29.42578125" style="84" customWidth="1"/>
    <col min="7945" max="7949" width="11.140625" style="84" customWidth="1"/>
    <col min="7950" max="7950" width="6.140625" style="84" customWidth="1"/>
    <col min="7951" max="7954" width="11.140625" style="84" customWidth="1"/>
    <col min="7955" max="8198" width="9.140625" style="84"/>
    <col min="8199" max="8199" width="2.5703125" style="84" customWidth="1"/>
    <col min="8200" max="8200" width="29.42578125" style="84" customWidth="1"/>
    <col min="8201" max="8205" width="11.140625" style="84" customWidth="1"/>
    <col min="8206" max="8206" width="6.140625" style="84" customWidth="1"/>
    <col min="8207" max="8210" width="11.140625" style="84" customWidth="1"/>
    <col min="8211" max="8454" width="9.140625" style="84"/>
    <col min="8455" max="8455" width="2.5703125" style="84" customWidth="1"/>
    <col min="8456" max="8456" width="29.42578125" style="84" customWidth="1"/>
    <col min="8457" max="8461" width="11.140625" style="84" customWidth="1"/>
    <col min="8462" max="8462" width="6.140625" style="84" customWidth="1"/>
    <col min="8463" max="8466" width="11.140625" style="84" customWidth="1"/>
    <col min="8467" max="8710" width="9.140625" style="84"/>
    <col min="8711" max="8711" width="2.5703125" style="84" customWidth="1"/>
    <col min="8712" max="8712" width="29.42578125" style="84" customWidth="1"/>
    <col min="8713" max="8717" width="11.140625" style="84" customWidth="1"/>
    <col min="8718" max="8718" width="6.140625" style="84" customWidth="1"/>
    <col min="8719" max="8722" width="11.140625" style="84" customWidth="1"/>
    <col min="8723" max="8966" width="9.140625" style="84"/>
    <col min="8967" max="8967" width="2.5703125" style="84" customWidth="1"/>
    <col min="8968" max="8968" width="29.42578125" style="84" customWidth="1"/>
    <col min="8969" max="8973" width="11.140625" style="84" customWidth="1"/>
    <col min="8974" max="8974" width="6.140625" style="84" customWidth="1"/>
    <col min="8975" max="8978" width="11.140625" style="84" customWidth="1"/>
    <col min="8979" max="9222" width="9.140625" style="84"/>
    <col min="9223" max="9223" width="2.5703125" style="84" customWidth="1"/>
    <col min="9224" max="9224" width="29.42578125" style="84" customWidth="1"/>
    <col min="9225" max="9229" width="11.140625" style="84" customWidth="1"/>
    <col min="9230" max="9230" width="6.140625" style="84" customWidth="1"/>
    <col min="9231" max="9234" width="11.140625" style="84" customWidth="1"/>
    <col min="9235" max="9478" width="9.140625" style="84"/>
    <col min="9479" max="9479" width="2.5703125" style="84" customWidth="1"/>
    <col min="9480" max="9480" width="29.42578125" style="84" customWidth="1"/>
    <col min="9481" max="9485" width="11.140625" style="84" customWidth="1"/>
    <col min="9486" max="9486" width="6.140625" style="84" customWidth="1"/>
    <col min="9487" max="9490" width="11.140625" style="84" customWidth="1"/>
    <col min="9491" max="9734" width="9.140625" style="84"/>
    <col min="9735" max="9735" width="2.5703125" style="84" customWidth="1"/>
    <col min="9736" max="9736" width="29.42578125" style="84" customWidth="1"/>
    <col min="9737" max="9741" width="11.140625" style="84" customWidth="1"/>
    <col min="9742" max="9742" width="6.140625" style="84" customWidth="1"/>
    <col min="9743" max="9746" width="11.140625" style="84" customWidth="1"/>
    <col min="9747" max="9990" width="9.140625" style="84"/>
    <col min="9991" max="9991" width="2.5703125" style="84" customWidth="1"/>
    <col min="9992" max="9992" width="29.42578125" style="84" customWidth="1"/>
    <col min="9993" max="9997" width="11.140625" style="84" customWidth="1"/>
    <col min="9998" max="9998" width="6.140625" style="84" customWidth="1"/>
    <col min="9999" max="10002" width="11.140625" style="84" customWidth="1"/>
    <col min="10003" max="10246" width="9.140625" style="84"/>
    <col min="10247" max="10247" width="2.5703125" style="84" customWidth="1"/>
    <col min="10248" max="10248" width="29.42578125" style="84" customWidth="1"/>
    <col min="10249" max="10253" width="11.140625" style="84" customWidth="1"/>
    <col min="10254" max="10254" width="6.140625" style="84" customWidth="1"/>
    <col min="10255" max="10258" width="11.140625" style="84" customWidth="1"/>
    <col min="10259" max="10502" width="9.140625" style="84"/>
    <col min="10503" max="10503" width="2.5703125" style="84" customWidth="1"/>
    <col min="10504" max="10504" width="29.42578125" style="84" customWidth="1"/>
    <col min="10505" max="10509" width="11.140625" style="84" customWidth="1"/>
    <col min="10510" max="10510" width="6.140625" style="84" customWidth="1"/>
    <col min="10511" max="10514" width="11.140625" style="84" customWidth="1"/>
    <col min="10515" max="10758" width="9.140625" style="84"/>
    <col min="10759" max="10759" width="2.5703125" style="84" customWidth="1"/>
    <col min="10760" max="10760" width="29.42578125" style="84" customWidth="1"/>
    <col min="10761" max="10765" width="11.140625" style="84" customWidth="1"/>
    <col min="10766" max="10766" width="6.140625" style="84" customWidth="1"/>
    <col min="10767" max="10770" width="11.140625" style="84" customWidth="1"/>
    <col min="10771" max="11014" width="9.140625" style="84"/>
    <col min="11015" max="11015" width="2.5703125" style="84" customWidth="1"/>
    <col min="11016" max="11016" width="29.42578125" style="84" customWidth="1"/>
    <col min="11017" max="11021" width="11.140625" style="84" customWidth="1"/>
    <col min="11022" max="11022" width="6.140625" style="84" customWidth="1"/>
    <col min="11023" max="11026" width="11.140625" style="84" customWidth="1"/>
    <col min="11027" max="11270" width="9.140625" style="84"/>
    <col min="11271" max="11271" width="2.5703125" style="84" customWidth="1"/>
    <col min="11272" max="11272" width="29.42578125" style="84" customWidth="1"/>
    <col min="11273" max="11277" width="11.140625" style="84" customWidth="1"/>
    <col min="11278" max="11278" width="6.140625" style="84" customWidth="1"/>
    <col min="11279" max="11282" width="11.140625" style="84" customWidth="1"/>
    <col min="11283" max="11526" width="9.140625" style="84"/>
    <col min="11527" max="11527" width="2.5703125" style="84" customWidth="1"/>
    <col min="11528" max="11528" width="29.42578125" style="84" customWidth="1"/>
    <col min="11529" max="11533" width="11.140625" style="84" customWidth="1"/>
    <col min="11534" max="11534" width="6.140625" style="84" customWidth="1"/>
    <col min="11535" max="11538" width="11.140625" style="84" customWidth="1"/>
    <col min="11539" max="11782" width="9.140625" style="84"/>
    <col min="11783" max="11783" width="2.5703125" style="84" customWidth="1"/>
    <col min="11784" max="11784" width="29.42578125" style="84" customWidth="1"/>
    <col min="11785" max="11789" width="11.140625" style="84" customWidth="1"/>
    <col min="11790" max="11790" width="6.140625" style="84" customWidth="1"/>
    <col min="11791" max="11794" width="11.140625" style="84" customWidth="1"/>
    <col min="11795" max="12038" width="9.140625" style="84"/>
    <col min="12039" max="12039" width="2.5703125" style="84" customWidth="1"/>
    <col min="12040" max="12040" width="29.42578125" style="84" customWidth="1"/>
    <col min="12041" max="12045" width="11.140625" style="84" customWidth="1"/>
    <col min="12046" max="12046" width="6.140625" style="84" customWidth="1"/>
    <col min="12047" max="12050" width="11.140625" style="84" customWidth="1"/>
    <col min="12051" max="12294" width="9.140625" style="84"/>
    <col min="12295" max="12295" width="2.5703125" style="84" customWidth="1"/>
    <col min="12296" max="12296" width="29.42578125" style="84" customWidth="1"/>
    <col min="12297" max="12301" width="11.140625" style="84" customWidth="1"/>
    <col min="12302" max="12302" width="6.140625" style="84" customWidth="1"/>
    <col min="12303" max="12306" width="11.140625" style="84" customWidth="1"/>
    <col min="12307" max="12550" width="9.140625" style="84"/>
    <col min="12551" max="12551" width="2.5703125" style="84" customWidth="1"/>
    <col min="12552" max="12552" width="29.42578125" style="84" customWidth="1"/>
    <col min="12553" max="12557" width="11.140625" style="84" customWidth="1"/>
    <col min="12558" max="12558" width="6.140625" style="84" customWidth="1"/>
    <col min="12559" max="12562" width="11.140625" style="84" customWidth="1"/>
    <col min="12563" max="12806" width="9.140625" style="84"/>
    <col min="12807" max="12807" width="2.5703125" style="84" customWidth="1"/>
    <col min="12808" max="12808" width="29.42578125" style="84" customWidth="1"/>
    <col min="12809" max="12813" width="11.140625" style="84" customWidth="1"/>
    <col min="12814" max="12814" width="6.140625" style="84" customWidth="1"/>
    <col min="12815" max="12818" width="11.140625" style="84" customWidth="1"/>
    <col min="12819" max="13062" width="9.140625" style="84"/>
    <col min="13063" max="13063" width="2.5703125" style="84" customWidth="1"/>
    <col min="13064" max="13064" width="29.42578125" style="84" customWidth="1"/>
    <col min="13065" max="13069" width="11.140625" style="84" customWidth="1"/>
    <col min="13070" max="13070" width="6.140625" style="84" customWidth="1"/>
    <col min="13071" max="13074" width="11.140625" style="84" customWidth="1"/>
    <col min="13075" max="13318" width="9.140625" style="84"/>
    <col min="13319" max="13319" width="2.5703125" style="84" customWidth="1"/>
    <col min="13320" max="13320" width="29.42578125" style="84" customWidth="1"/>
    <col min="13321" max="13325" width="11.140625" style="84" customWidth="1"/>
    <col min="13326" max="13326" width="6.140625" style="84" customWidth="1"/>
    <col min="13327" max="13330" width="11.140625" style="84" customWidth="1"/>
    <col min="13331" max="13574" width="9.140625" style="84"/>
    <col min="13575" max="13575" width="2.5703125" style="84" customWidth="1"/>
    <col min="13576" max="13576" width="29.42578125" style="84" customWidth="1"/>
    <col min="13577" max="13581" width="11.140625" style="84" customWidth="1"/>
    <col min="13582" max="13582" width="6.140625" style="84" customWidth="1"/>
    <col min="13583" max="13586" width="11.140625" style="84" customWidth="1"/>
    <col min="13587" max="13830" width="9.140625" style="84"/>
    <col min="13831" max="13831" width="2.5703125" style="84" customWidth="1"/>
    <col min="13832" max="13832" width="29.42578125" style="84" customWidth="1"/>
    <col min="13833" max="13837" width="11.140625" style="84" customWidth="1"/>
    <col min="13838" max="13838" width="6.140625" style="84" customWidth="1"/>
    <col min="13839" max="13842" width="11.140625" style="84" customWidth="1"/>
    <col min="13843" max="14086" width="9.140625" style="84"/>
    <col min="14087" max="14087" width="2.5703125" style="84" customWidth="1"/>
    <col min="14088" max="14088" width="29.42578125" style="84" customWidth="1"/>
    <col min="14089" max="14093" width="11.140625" style="84" customWidth="1"/>
    <col min="14094" max="14094" width="6.140625" style="84" customWidth="1"/>
    <col min="14095" max="14098" width="11.140625" style="84" customWidth="1"/>
    <col min="14099" max="14342" width="9.140625" style="84"/>
    <col min="14343" max="14343" width="2.5703125" style="84" customWidth="1"/>
    <col min="14344" max="14344" width="29.42578125" style="84" customWidth="1"/>
    <col min="14345" max="14349" width="11.140625" style="84" customWidth="1"/>
    <col min="14350" max="14350" width="6.140625" style="84" customWidth="1"/>
    <col min="14351" max="14354" width="11.140625" style="84" customWidth="1"/>
    <col min="14355" max="14598" width="9.140625" style="84"/>
    <col min="14599" max="14599" width="2.5703125" style="84" customWidth="1"/>
    <col min="14600" max="14600" width="29.42578125" style="84" customWidth="1"/>
    <col min="14601" max="14605" width="11.140625" style="84" customWidth="1"/>
    <col min="14606" max="14606" width="6.140625" style="84" customWidth="1"/>
    <col min="14607" max="14610" width="11.140625" style="84" customWidth="1"/>
    <col min="14611" max="14854" width="9.140625" style="84"/>
    <col min="14855" max="14855" width="2.5703125" style="84" customWidth="1"/>
    <col min="14856" max="14856" width="29.42578125" style="84" customWidth="1"/>
    <col min="14857" max="14861" width="11.140625" style="84" customWidth="1"/>
    <col min="14862" max="14862" width="6.140625" style="84" customWidth="1"/>
    <col min="14863" max="14866" width="11.140625" style="84" customWidth="1"/>
    <col min="14867" max="15110" width="9.140625" style="84"/>
    <col min="15111" max="15111" width="2.5703125" style="84" customWidth="1"/>
    <col min="15112" max="15112" width="29.42578125" style="84" customWidth="1"/>
    <col min="15113" max="15117" width="11.140625" style="84" customWidth="1"/>
    <col min="15118" max="15118" width="6.140625" style="84" customWidth="1"/>
    <col min="15119" max="15122" width="11.140625" style="84" customWidth="1"/>
    <col min="15123" max="15366" width="9.140625" style="84"/>
    <col min="15367" max="15367" width="2.5703125" style="84" customWidth="1"/>
    <col min="15368" max="15368" width="29.42578125" style="84" customWidth="1"/>
    <col min="15369" max="15373" width="11.140625" style="84" customWidth="1"/>
    <col min="15374" max="15374" width="6.140625" style="84" customWidth="1"/>
    <col min="15375" max="15378" width="11.140625" style="84" customWidth="1"/>
    <col min="15379" max="15622" width="9.140625" style="84"/>
    <col min="15623" max="15623" width="2.5703125" style="84" customWidth="1"/>
    <col min="15624" max="15624" width="29.42578125" style="84" customWidth="1"/>
    <col min="15625" max="15629" width="11.140625" style="84" customWidth="1"/>
    <col min="15630" max="15630" width="6.140625" style="84" customWidth="1"/>
    <col min="15631" max="15634" width="11.140625" style="84" customWidth="1"/>
    <col min="15635" max="15878" width="9.140625" style="84"/>
    <col min="15879" max="15879" width="2.5703125" style="84" customWidth="1"/>
    <col min="15880" max="15880" width="29.42578125" style="84" customWidth="1"/>
    <col min="15881" max="15885" width="11.140625" style="84" customWidth="1"/>
    <col min="15886" max="15886" width="6.140625" style="84" customWidth="1"/>
    <col min="15887" max="15890" width="11.140625" style="84" customWidth="1"/>
    <col min="15891" max="16134" width="9.140625" style="84"/>
    <col min="16135" max="16135" width="2.5703125" style="84" customWidth="1"/>
    <col min="16136" max="16136" width="29.42578125" style="84" customWidth="1"/>
    <col min="16137" max="16141" width="11.140625" style="84" customWidth="1"/>
    <col min="16142" max="16142" width="6.140625" style="84" customWidth="1"/>
    <col min="16143" max="16146" width="11.140625" style="84" customWidth="1"/>
    <col min="16147" max="16384" width="9.140625" style="84"/>
  </cols>
  <sheetData>
    <row r="2" spans="2:31" s="103" customFormat="1" ht="24.75" customHeight="1">
      <c r="B2" s="109" t="s">
        <v>108</v>
      </c>
      <c r="C2" s="105" t="s">
        <v>109</v>
      </c>
      <c r="D2" s="105" t="s">
        <v>109</v>
      </c>
      <c r="E2" s="105" t="s">
        <v>109</v>
      </c>
      <c r="F2" s="105" t="s">
        <v>109</v>
      </c>
      <c r="G2" s="105" t="s">
        <v>109</v>
      </c>
      <c r="H2" s="105" t="s">
        <v>109</v>
      </c>
      <c r="I2" s="105" t="s">
        <v>109</v>
      </c>
      <c r="J2" s="105" t="s">
        <v>110</v>
      </c>
      <c r="K2" s="244"/>
      <c r="L2" s="104" t="s">
        <v>111</v>
      </c>
      <c r="M2" s="105" t="s">
        <v>111</v>
      </c>
      <c r="N2" s="105" t="s">
        <v>111</v>
      </c>
      <c r="O2" s="105" t="s">
        <v>111</v>
      </c>
      <c r="P2" s="105" t="s">
        <v>111</v>
      </c>
      <c r="Q2" s="105" t="s">
        <v>111</v>
      </c>
      <c r="R2" s="105" t="s">
        <v>111</v>
      </c>
      <c r="S2" s="105" t="s">
        <v>111</v>
      </c>
      <c r="T2" s="105" t="s">
        <v>111</v>
      </c>
      <c r="U2" s="105" t="s">
        <v>111</v>
      </c>
      <c r="V2" s="105" t="s">
        <v>111</v>
      </c>
      <c r="W2" s="105" t="s">
        <v>111</v>
      </c>
      <c r="X2" s="105" t="s">
        <v>111</v>
      </c>
      <c r="Y2" s="105" t="s">
        <v>111</v>
      </c>
      <c r="Z2" s="105" t="s">
        <v>111</v>
      </c>
      <c r="AA2" s="105" t="s">
        <v>111</v>
      </c>
      <c r="AB2" s="105" t="s">
        <v>111</v>
      </c>
      <c r="AC2" s="105" t="s">
        <v>111</v>
      </c>
      <c r="AD2" s="105" t="s">
        <v>111</v>
      </c>
      <c r="AE2" s="105" t="s">
        <v>111</v>
      </c>
    </row>
    <row r="3" spans="2:31" s="103" customFormat="1" ht="13.5" customHeight="1">
      <c r="B3" s="44" t="s">
        <v>112</v>
      </c>
      <c r="C3" s="43">
        <v>43921</v>
      </c>
      <c r="D3" s="43">
        <v>44286</v>
      </c>
      <c r="E3" s="43">
        <v>44651</v>
      </c>
      <c r="F3" s="43">
        <v>45016</v>
      </c>
      <c r="G3" s="43">
        <v>45382</v>
      </c>
      <c r="H3" s="43">
        <v>45747</v>
      </c>
      <c r="I3" s="43">
        <v>46112</v>
      </c>
      <c r="J3" s="43">
        <f>AE3</f>
        <v>46112</v>
      </c>
      <c r="K3" s="245"/>
      <c r="L3" s="43">
        <v>44377</v>
      </c>
      <c r="M3" s="43">
        <v>44469</v>
      </c>
      <c r="N3" s="43">
        <v>44561</v>
      </c>
      <c r="O3" s="43">
        <v>44651</v>
      </c>
      <c r="P3" s="43">
        <v>44742</v>
      </c>
      <c r="Q3" s="43">
        <v>44834</v>
      </c>
      <c r="R3" s="43">
        <v>44926</v>
      </c>
      <c r="S3" s="43">
        <v>45016</v>
      </c>
      <c r="T3" s="43">
        <v>45107</v>
      </c>
      <c r="U3" s="43">
        <v>45199</v>
      </c>
      <c r="V3" s="43">
        <v>45291</v>
      </c>
      <c r="W3" s="43">
        <v>45382</v>
      </c>
      <c r="X3" s="43">
        <v>45473</v>
      </c>
      <c r="Y3" s="43">
        <v>45565</v>
      </c>
      <c r="Z3" s="43">
        <v>45657</v>
      </c>
      <c r="AA3" s="43">
        <v>45747</v>
      </c>
      <c r="AB3" s="43">
        <v>45838</v>
      </c>
      <c r="AC3" s="43">
        <v>45930</v>
      </c>
      <c r="AD3" s="43">
        <v>46022</v>
      </c>
      <c r="AE3" s="43">
        <v>46112</v>
      </c>
    </row>
    <row r="4" spans="2:31" s="100" customFormat="1" ht="13.5" customHeight="1">
      <c r="B4" s="48"/>
      <c r="C4" s="101" t="s">
        <v>113</v>
      </c>
      <c r="D4" s="101" t="s">
        <v>113</v>
      </c>
      <c r="E4" s="101" t="s">
        <v>113</v>
      </c>
      <c r="F4" s="101" t="s">
        <v>113</v>
      </c>
      <c r="G4" s="101" t="s">
        <v>113</v>
      </c>
      <c r="H4" s="101" t="s">
        <v>113</v>
      </c>
      <c r="I4" s="101" t="s">
        <v>113</v>
      </c>
      <c r="J4" s="101" t="s">
        <v>113</v>
      </c>
      <c r="K4" s="245"/>
      <c r="L4" s="101" t="s">
        <v>113</v>
      </c>
      <c r="M4" s="101" t="s">
        <v>113</v>
      </c>
      <c r="N4" s="101" t="s">
        <v>113</v>
      </c>
      <c r="O4" s="101" t="s">
        <v>113</v>
      </c>
      <c r="P4" s="101" t="s">
        <v>113</v>
      </c>
      <c r="Q4" s="101" t="s">
        <v>113</v>
      </c>
      <c r="R4" s="101" t="s">
        <v>113</v>
      </c>
      <c r="S4" s="101" t="s">
        <v>113</v>
      </c>
      <c r="T4" s="101" t="s">
        <v>113</v>
      </c>
      <c r="U4" s="101" t="s">
        <v>113</v>
      </c>
      <c r="V4" s="101" t="s">
        <v>113</v>
      </c>
      <c r="W4" s="101" t="s">
        <v>113</v>
      </c>
      <c r="X4" s="101" t="s">
        <v>113</v>
      </c>
      <c r="Y4" s="101" t="s">
        <v>113</v>
      </c>
      <c r="Z4" s="101" t="s">
        <v>113</v>
      </c>
      <c r="AA4" s="101" t="s">
        <v>113</v>
      </c>
      <c r="AB4" s="101" t="s">
        <v>113</v>
      </c>
      <c r="AC4" s="101" t="s">
        <v>113</v>
      </c>
      <c r="AD4" s="101" t="s">
        <v>113</v>
      </c>
      <c r="AE4" s="101" t="s">
        <v>113</v>
      </c>
    </row>
    <row r="5" spans="2:31" s="88" customFormat="1" ht="13.5" customHeight="1">
      <c r="C5" s="89" t="s">
        <v>114</v>
      </c>
      <c r="D5" s="89" t="s">
        <v>114</v>
      </c>
      <c r="E5" s="89" t="s">
        <v>114</v>
      </c>
      <c r="F5" s="89" t="s">
        <v>114</v>
      </c>
      <c r="G5" s="89" t="s">
        <v>114</v>
      </c>
      <c r="H5" s="89" t="s">
        <v>114</v>
      </c>
      <c r="I5" s="89" t="s">
        <v>114</v>
      </c>
      <c r="J5" s="90" t="s">
        <v>110</v>
      </c>
      <c r="K5" s="245"/>
      <c r="L5" s="89" t="s">
        <v>115</v>
      </c>
      <c r="M5" s="89" t="s">
        <v>116</v>
      </c>
      <c r="N5" s="89" t="s">
        <v>117</v>
      </c>
      <c r="O5" s="90" t="s">
        <v>118</v>
      </c>
      <c r="P5" s="89" t="s">
        <v>115</v>
      </c>
      <c r="Q5" s="89" t="s">
        <v>116</v>
      </c>
      <c r="R5" s="89" t="s">
        <v>117</v>
      </c>
      <c r="S5" s="90" t="s">
        <v>118</v>
      </c>
      <c r="T5" s="89" t="s">
        <v>115</v>
      </c>
      <c r="U5" s="89" t="s">
        <v>116</v>
      </c>
      <c r="V5" s="89" t="s">
        <v>117</v>
      </c>
      <c r="W5" s="90" t="s">
        <v>118</v>
      </c>
      <c r="X5" s="89" t="s">
        <v>115</v>
      </c>
      <c r="Y5" s="89" t="s">
        <v>116</v>
      </c>
      <c r="Z5" s="89" t="s">
        <v>117</v>
      </c>
      <c r="AA5" s="90" t="s">
        <v>118</v>
      </c>
      <c r="AB5" s="89" t="s">
        <v>115</v>
      </c>
      <c r="AC5" s="89" t="s">
        <v>116</v>
      </c>
      <c r="AD5" s="89" t="s">
        <v>117</v>
      </c>
      <c r="AE5" s="90" t="s">
        <v>118</v>
      </c>
    </row>
    <row r="6" spans="2:31" s="88" customFormat="1" ht="13.5" customHeight="1">
      <c r="B6" s="250"/>
      <c r="C6" s="251"/>
      <c r="D6" s="251"/>
      <c r="E6" s="251"/>
      <c r="F6" s="251"/>
      <c r="G6" s="251"/>
      <c r="H6" s="251"/>
      <c r="I6" s="251"/>
      <c r="J6" s="252"/>
      <c r="K6" s="245"/>
      <c r="L6" s="251"/>
      <c r="M6" s="251"/>
      <c r="N6" s="251"/>
      <c r="O6" s="252"/>
      <c r="P6" s="251"/>
      <c r="Q6" s="251"/>
      <c r="R6" s="251"/>
      <c r="S6" s="252"/>
      <c r="T6" s="251"/>
      <c r="U6" s="251"/>
      <c r="V6" s="251"/>
      <c r="W6" s="252"/>
      <c r="X6" s="251"/>
      <c r="Y6" s="251"/>
      <c r="Z6" s="251"/>
      <c r="AA6" s="252"/>
      <c r="AB6" s="251"/>
      <c r="AC6" s="251"/>
      <c r="AD6" s="251"/>
      <c r="AE6" s="252"/>
    </row>
    <row r="7" spans="2:31" ht="12" customHeight="1">
      <c r="B7" s="99" t="s">
        <v>236</v>
      </c>
      <c r="C7" s="89"/>
      <c r="D7" s="85"/>
      <c r="E7" s="85"/>
      <c r="F7" s="85"/>
      <c r="G7" s="85"/>
      <c r="H7" s="85"/>
      <c r="I7" s="85"/>
      <c r="J7" s="89"/>
      <c r="K7" s="245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</row>
    <row r="8" spans="2:31">
      <c r="B8" s="94" t="s">
        <v>237</v>
      </c>
      <c r="C8" s="85">
        <v>137640</v>
      </c>
      <c r="D8" s="85">
        <v>148630</v>
      </c>
      <c r="E8" s="85">
        <v>180400</v>
      </c>
      <c r="F8" s="85">
        <v>219750</v>
      </c>
      <c r="G8" s="85">
        <v>172540</v>
      </c>
      <c r="H8" s="85">
        <v>176000</v>
      </c>
      <c r="I8" s="85">
        <v>193580</v>
      </c>
      <c r="J8" s="87">
        <f>SUM(AB8:AE8)</f>
        <v>193580</v>
      </c>
      <c r="K8" s="85"/>
      <c r="L8" s="85">
        <v>25070</v>
      </c>
      <c r="M8" s="85">
        <v>50880</v>
      </c>
      <c r="N8" s="85">
        <v>46830</v>
      </c>
      <c r="O8" s="93">
        <f>E8-SUM(L8:N8)</f>
        <v>57620</v>
      </c>
      <c r="P8" s="85">
        <v>34640</v>
      </c>
      <c r="Q8" s="85">
        <v>60920</v>
      </c>
      <c r="R8" s="85">
        <v>59740</v>
      </c>
      <c r="S8" s="93">
        <f>F8-SUM(P8:R8)</f>
        <v>64450</v>
      </c>
      <c r="T8" s="85">
        <v>29650</v>
      </c>
      <c r="U8" s="85">
        <v>50330</v>
      </c>
      <c r="V8" s="85">
        <v>42870</v>
      </c>
      <c r="W8" s="93">
        <f>G8-SUM(T8:V8)</f>
        <v>49690</v>
      </c>
      <c r="X8" s="85">
        <v>26590</v>
      </c>
      <c r="Y8" s="85">
        <v>50430</v>
      </c>
      <c r="Z8" s="85">
        <v>48150</v>
      </c>
      <c r="AA8" s="93">
        <f>H8-SUM(X8:Z8)</f>
        <v>50830</v>
      </c>
      <c r="AB8" s="85">
        <v>24010</v>
      </c>
      <c r="AC8" s="85">
        <v>56930</v>
      </c>
      <c r="AD8" s="85">
        <v>51370</v>
      </c>
      <c r="AE8" s="93">
        <f>I8-SUM(AB8:AD8)</f>
        <v>61270</v>
      </c>
    </row>
    <row r="9" spans="2:31">
      <c r="B9" s="94" t="s">
        <v>238</v>
      </c>
      <c r="C9" s="85">
        <v>56350</v>
      </c>
      <c r="D9" s="85">
        <v>56910</v>
      </c>
      <c r="E9" s="85">
        <v>78100</v>
      </c>
      <c r="F9" s="85">
        <v>87350</v>
      </c>
      <c r="G9" s="85">
        <v>38930</v>
      </c>
      <c r="H9" s="85">
        <v>60700</v>
      </c>
      <c r="I9" s="85">
        <v>71820</v>
      </c>
      <c r="J9" s="87">
        <f>SUM(AB9:AE9)</f>
        <v>71820</v>
      </c>
      <c r="K9" s="85"/>
      <c r="L9" s="85">
        <v>12210</v>
      </c>
      <c r="M9" s="85">
        <v>9580</v>
      </c>
      <c r="N9" s="85">
        <v>21170</v>
      </c>
      <c r="O9" s="93">
        <f>E9-SUM(L9:N9)</f>
        <v>35140</v>
      </c>
      <c r="P9" s="85">
        <v>17960</v>
      </c>
      <c r="Q9" s="85">
        <v>11850</v>
      </c>
      <c r="R9" s="85">
        <v>27450</v>
      </c>
      <c r="S9" s="93">
        <f>F9-SUM(P9:R9)</f>
        <v>30090</v>
      </c>
      <c r="T9" s="85">
        <v>8700</v>
      </c>
      <c r="U9" s="85">
        <v>12630</v>
      </c>
      <c r="V9" s="85">
        <v>9900</v>
      </c>
      <c r="W9" s="93">
        <f>G9-SUM(T9:V9)</f>
        <v>7700</v>
      </c>
      <c r="X9" s="85">
        <v>12350</v>
      </c>
      <c r="Y9" s="85">
        <v>5580</v>
      </c>
      <c r="Z9" s="85">
        <v>15710</v>
      </c>
      <c r="AA9" s="93">
        <f t="shared" ref="AA9:AA12" si="0">H9-SUM(X9:Z9)</f>
        <v>27060</v>
      </c>
      <c r="AB9" s="85">
        <v>13370</v>
      </c>
      <c r="AC9" s="85">
        <v>9070</v>
      </c>
      <c r="AD9" s="85">
        <v>16170</v>
      </c>
      <c r="AE9" s="93">
        <f>I9-SUM(AB9:AD9)</f>
        <v>33210</v>
      </c>
    </row>
    <row r="10" spans="2:31">
      <c r="B10" s="94" t="s">
        <v>239</v>
      </c>
      <c r="C10" s="85">
        <v>57140</v>
      </c>
      <c r="D10" s="85">
        <v>64220</v>
      </c>
      <c r="E10" s="85">
        <v>68900</v>
      </c>
      <c r="F10" s="85">
        <v>73240</v>
      </c>
      <c r="G10" s="85">
        <v>66090</v>
      </c>
      <c r="H10" s="85">
        <v>71900</v>
      </c>
      <c r="I10" s="85">
        <v>81670</v>
      </c>
      <c r="J10" s="87">
        <f>SUM(AB10:AE10)</f>
        <v>81670</v>
      </c>
      <c r="K10" s="85"/>
      <c r="L10" s="85">
        <v>15220</v>
      </c>
      <c r="M10" s="85">
        <v>13360</v>
      </c>
      <c r="N10" s="85">
        <v>14060</v>
      </c>
      <c r="O10" s="93">
        <f>E10-SUM(L10:N10)</f>
        <v>26260</v>
      </c>
      <c r="P10" s="85">
        <v>17280</v>
      </c>
      <c r="Q10" s="85">
        <v>13540</v>
      </c>
      <c r="R10" s="85">
        <v>14440</v>
      </c>
      <c r="S10" s="93">
        <f>F10-SUM(P10:R10)</f>
        <v>27980</v>
      </c>
      <c r="T10" s="85">
        <v>12590</v>
      </c>
      <c r="U10" s="85">
        <v>5070</v>
      </c>
      <c r="V10" s="85">
        <v>10060</v>
      </c>
      <c r="W10" s="93">
        <f>G10-SUM(T10:V10)</f>
        <v>38370</v>
      </c>
      <c r="X10" s="85">
        <v>14250</v>
      </c>
      <c r="Y10" s="85">
        <v>13680</v>
      </c>
      <c r="Z10" s="85">
        <v>12850</v>
      </c>
      <c r="AA10" s="93">
        <f t="shared" si="0"/>
        <v>31120</v>
      </c>
      <c r="AB10" s="85">
        <v>15350</v>
      </c>
      <c r="AC10" s="85">
        <v>13710</v>
      </c>
      <c r="AD10" s="85">
        <v>15540</v>
      </c>
      <c r="AE10" s="93">
        <f>I10-SUM(AB10:AD10)</f>
        <v>37070</v>
      </c>
    </row>
    <row r="11" spans="2:31">
      <c r="B11" s="94" t="s">
        <v>240</v>
      </c>
      <c r="C11" s="85">
        <v>38280</v>
      </c>
      <c r="D11" s="85">
        <v>46770</v>
      </c>
      <c r="E11" s="85">
        <v>56900</v>
      </c>
      <c r="F11" s="85">
        <v>65390</v>
      </c>
      <c r="G11" s="85">
        <v>55030</v>
      </c>
      <c r="H11" s="85">
        <v>59500</v>
      </c>
      <c r="I11" s="85">
        <v>63430</v>
      </c>
      <c r="J11" s="87">
        <f>SUM(AB11:AE11)</f>
        <v>63430</v>
      </c>
      <c r="K11" s="85"/>
      <c r="L11" s="85">
        <v>19140</v>
      </c>
      <c r="M11" s="85">
        <v>14830</v>
      </c>
      <c r="N11" s="85">
        <v>9070</v>
      </c>
      <c r="O11" s="93">
        <f>E11-SUM(L11:N11)</f>
        <v>13860</v>
      </c>
      <c r="P11" s="85">
        <v>20670</v>
      </c>
      <c r="Q11" s="85">
        <v>18080</v>
      </c>
      <c r="R11" s="85">
        <v>10750</v>
      </c>
      <c r="S11" s="93">
        <f>F11-SUM(P11:R11)</f>
        <v>15890</v>
      </c>
      <c r="T11" s="85">
        <v>20540</v>
      </c>
      <c r="U11" s="85">
        <v>13870</v>
      </c>
      <c r="V11" s="85">
        <v>8600</v>
      </c>
      <c r="W11" s="93">
        <f>G11-SUM(T11:V11)</f>
        <v>12020</v>
      </c>
      <c r="X11" s="85">
        <v>18720</v>
      </c>
      <c r="Y11" s="85">
        <v>15710</v>
      </c>
      <c r="Z11" s="85">
        <v>11050</v>
      </c>
      <c r="AA11" s="93">
        <f t="shared" si="0"/>
        <v>14020</v>
      </c>
      <c r="AB11" s="85">
        <v>22620</v>
      </c>
      <c r="AC11" s="85">
        <v>16600</v>
      </c>
      <c r="AD11" s="85">
        <v>11480</v>
      </c>
      <c r="AE11" s="93">
        <f>I11-SUM(AB11:AD11)</f>
        <v>12730</v>
      </c>
    </row>
    <row r="12" spans="2:31">
      <c r="B12" s="94" t="s">
        <v>241</v>
      </c>
      <c r="C12" s="85">
        <v>68150</v>
      </c>
      <c r="D12" s="85">
        <v>70440</v>
      </c>
      <c r="E12" s="85">
        <v>78100</v>
      </c>
      <c r="F12" s="85">
        <v>90020</v>
      </c>
      <c r="G12" s="85">
        <v>98400</v>
      </c>
      <c r="H12" s="85">
        <v>98300</v>
      </c>
      <c r="I12" s="85">
        <v>107890</v>
      </c>
      <c r="J12" s="87">
        <f>SUM(AB12:AE12)</f>
        <v>107890</v>
      </c>
      <c r="K12" s="85"/>
      <c r="L12" s="85">
        <v>13500</v>
      </c>
      <c r="M12" s="85">
        <v>17020</v>
      </c>
      <c r="N12" s="85">
        <v>21850</v>
      </c>
      <c r="O12" s="93">
        <f>E12-SUM(L12:N12)</f>
        <v>25730</v>
      </c>
      <c r="P12" s="85">
        <v>17650</v>
      </c>
      <c r="Q12" s="85">
        <v>20670</v>
      </c>
      <c r="R12" s="85">
        <v>24410</v>
      </c>
      <c r="S12" s="93">
        <f>F12-SUM(P12:R12)</f>
        <v>27290</v>
      </c>
      <c r="T12" s="85">
        <v>18140</v>
      </c>
      <c r="U12" s="85">
        <v>19800</v>
      </c>
      <c r="V12" s="85">
        <v>27440</v>
      </c>
      <c r="W12" s="93">
        <f>G12-SUM(T12:V12)</f>
        <v>33020</v>
      </c>
      <c r="X12" s="85">
        <v>18760</v>
      </c>
      <c r="Y12" s="85">
        <v>25500</v>
      </c>
      <c r="Z12" s="85">
        <v>21310</v>
      </c>
      <c r="AA12" s="93">
        <f t="shared" si="0"/>
        <v>32730</v>
      </c>
      <c r="AB12" s="85">
        <v>16810</v>
      </c>
      <c r="AC12" s="85">
        <v>23880</v>
      </c>
      <c r="AD12" s="85">
        <v>28140</v>
      </c>
      <c r="AE12" s="93">
        <f>I12-SUM(AB12:AD12)</f>
        <v>39060</v>
      </c>
    </row>
    <row r="13" spans="2:31" s="86" customFormat="1">
      <c r="B13" s="98" t="s">
        <v>48</v>
      </c>
      <c r="C13" s="91">
        <f t="shared" ref="C13:H13" si="1">SUM(C7:C12)</f>
        <v>357560</v>
      </c>
      <c r="D13" s="91">
        <f t="shared" si="1"/>
        <v>386970</v>
      </c>
      <c r="E13" s="91">
        <f t="shared" si="1"/>
        <v>462400</v>
      </c>
      <c r="F13" s="91">
        <f t="shared" si="1"/>
        <v>535750</v>
      </c>
      <c r="G13" s="91">
        <f t="shared" si="1"/>
        <v>430990</v>
      </c>
      <c r="H13" s="91">
        <f t="shared" si="1"/>
        <v>466400</v>
      </c>
      <c r="I13" s="91">
        <f t="shared" ref="I13" si="2">SUM(I7:I12)</f>
        <v>518390</v>
      </c>
      <c r="J13" s="91">
        <f>SUM(J8:J12)</f>
        <v>518390</v>
      </c>
      <c r="K13" s="91"/>
      <c r="L13" s="91">
        <f t="shared" ref="L13:Q13" si="3">SUM(L7:L12)</f>
        <v>85140</v>
      </c>
      <c r="M13" s="91">
        <f t="shared" si="3"/>
        <v>105670</v>
      </c>
      <c r="N13" s="91">
        <f t="shared" si="3"/>
        <v>112980</v>
      </c>
      <c r="O13" s="91">
        <f t="shared" si="3"/>
        <v>158610</v>
      </c>
      <c r="P13" s="91">
        <f t="shared" si="3"/>
        <v>108200</v>
      </c>
      <c r="Q13" s="91">
        <f t="shared" si="3"/>
        <v>125060</v>
      </c>
      <c r="R13" s="91">
        <f t="shared" ref="R13:U13" si="4">SUM(R7:R12)</f>
        <v>136790</v>
      </c>
      <c r="S13" s="91">
        <f t="shared" si="4"/>
        <v>165700</v>
      </c>
      <c r="T13" s="91">
        <f t="shared" si="4"/>
        <v>89620</v>
      </c>
      <c r="U13" s="91">
        <f t="shared" si="4"/>
        <v>101700</v>
      </c>
      <c r="V13" s="91">
        <f t="shared" ref="V13:Y13" si="5">SUM(V7:V12)</f>
        <v>98870</v>
      </c>
      <c r="W13" s="91">
        <f t="shared" si="5"/>
        <v>140800</v>
      </c>
      <c r="X13" s="91">
        <f t="shared" si="5"/>
        <v>90670</v>
      </c>
      <c r="Y13" s="91">
        <f t="shared" si="5"/>
        <v>110900</v>
      </c>
      <c r="Z13" s="91">
        <f t="shared" ref="Z13:AC13" si="6">SUM(Z7:Z12)</f>
        <v>109070</v>
      </c>
      <c r="AA13" s="91">
        <f t="shared" si="6"/>
        <v>155760</v>
      </c>
      <c r="AB13" s="91">
        <f t="shared" si="6"/>
        <v>92160</v>
      </c>
      <c r="AC13" s="91">
        <f t="shared" si="6"/>
        <v>120190</v>
      </c>
      <c r="AD13" s="91">
        <f t="shared" ref="AD13:AE13" si="7">SUM(AD7:AD12)</f>
        <v>122700</v>
      </c>
      <c r="AE13" s="91">
        <f t="shared" si="7"/>
        <v>183340</v>
      </c>
    </row>
    <row r="14" spans="2:31" s="95" customFormat="1">
      <c r="B14" s="97" t="s">
        <v>242</v>
      </c>
      <c r="C14" s="96">
        <f>C13-Model!C7</f>
        <v>0</v>
      </c>
      <c r="D14" s="96">
        <f>D13-Model!D7</f>
        <v>30</v>
      </c>
      <c r="E14" s="96">
        <f>E13-Model!E7</f>
        <v>0</v>
      </c>
      <c r="F14" s="96">
        <f>F13-Model!F7</f>
        <v>-10</v>
      </c>
      <c r="G14" s="96">
        <f>G13-Model!G7</f>
        <v>10</v>
      </c>
      <c r="H14" s="96">
        <f>H13-Model!H7</f>
        <v>30</v>
      </c>
      <c r="I14" s="96">
        <f>I13-Model!I7</f>
        <v>0</v>
      </c>
      <c r="J14" s="96"/>
      <c r="K14" s="96"/>
      <c r="L14" s="96">
        <f>L13-Model!L7</f>
        <v>-10</v>
      </c>
      <c r="M14" s="96">
        <f>M13-Model!M7</f>
        <v>0</v>
      </c>
      <c r="N14" s="96">
        <f>N13-Model!N7</f>
        <v>10</v>
      </c>
      <c r="O14" s="96">
        <f>O13-Model!O7</f>
        <v>0</v>
      </c>
      <c r="P14" s="96">
        <f>P13-Model!P7</f>
        <v>-10</v>
      </c>
      <c r="Q14" s="96">
        <f>Q13-Model!Q7</f>
        <v>-10</v>
      </c>
      <c r="R14" s="96">
        <f>R13-Model!R7</f>
        <v>0</v>
      </c>
      <c r="S14" s="96">
        <f>S13-Model!S7</f>
        <v>10</v>
      </c>
      <c r="T14" s="96">
        <f>T13-Model!T7</f>
        <v>-10</v>
      </c>
      <c r="U14" s="96">
        <f>U13-Model!U7</f>
        <v>0</v>
      </c>
      <c r="V14" s="96">
        <f>V13-Model!V7</f>
        <v>0</v>
      </c>
      <c r="W14" s="96">
        <f>W13-Model!W7</f>
        <v>20</v>
      </c>
      <c r="X14" s="96">
        <f>X13-Model!X7</f>
        <v>0</v>
      </c>
      <c r="Y14" s="96">
        <f>Y13-Model!Y7</f>
        <v>0</v>
      </c>
      <c r="Z14" s="96">
        <f>Z13-Model!Z7</f>
        <v>0</v>
      </c>
      <c r="AA14" s="96">
        <f>AA13-Model!AA7</f>
        <v>30</v>
      </c>
      <c r="AB14" s="96">
        <f>AB13-Model!AB7</f>
        <v>0</v>
      </c>
      <c r="AC14" s="96">
        <f>AC13-Model!AC7</f>
        <v>0</v>
      </c>
      <c r="AD14" s="96">
        <f>AD13-Model!AD7</f>
        <v>10</v>
      </c>
      <c r="AE14" s="96">
        <f>AE13-Model!AE7</f>
        <v>-10</v>
      </c>
    </row>
    <row r="15" spans="2:31" s="88" customFormat="1" ht="13.5" customHeight="1">
      <c r="C15" s="89"/>
      <c r="D15" s="89"/>
      <c r="E15" s="89"/>
      <c r="F15" s="89"/>
      <c r="G15" s="89"/>
      <c r="H15" s="89"/>
      <c r="I15" s="89"/>
      <c r="J15" s="90"/>
      <c r="K15" s="96"/>
      <c r="L15" s="89"/>
      <c r="M15" s="89"/>
      <c r="N15" s="89"/>
      <c r="O15" s="90"/>
      <c r="P15" s="89"/>
      <c r="Q15" s="89"/>
      <c r="R15" s="89"/>
      <c r="S15" s="90"/>
      <c r="T15" s="89"/>
      <c r="U15" s="89"/>
      <c r="V15" s="89"/>
      <c r="W15" s="90"/>
      <c r="X15" s="89"/>
      <c r="Y15" s="89"/>
      <c r="Z15" s="89"/>
      <c r="AA15" s="90"/>
      <c r="AB15" s="89"/>
      <c r="AC15" s="89"/>
      <c r="AD15" s="89"/>
      <c r="AE15" s="90"/>
    </row>
    <row r="16" spans="2:31">
      <c r="B16" s="99" t="s">
        <v>243</v>
      </c>
      <c r="C16" s="89"/>
      <c r="D16" s="85"/>
      <c r="E16" s="85"/>
      <c r="F16" s="85"/>
      <c r="G16" s="85"/>
      <c r="H16" s="85"/>
      <c r="I16" s="85"/>
      <c r="J16" s="89"/>
      <c r="K16" s="89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</row>
    <row r="17" spans="2:31">
      <c r="B17" s="94" t="s">
        <v>237</v>
      </c>
      <c r="C17" s="112">
        <f t="shared" ref="C17:J17" si="8">C8/C$13</f>
        <v>0.38494238729164337</v>
      </c>
      <c r="D17" s="112">
        <f t="shared" si="8"/>
        <v>0.38408662170194074</v>
      </c>
      <c r="E17" s="112">
        <f t="shared" si="8"/>
        <v>0.39013840830449825</v>
      </c>
      <c r="F17" s="112">
        <f t="shared" si="8"/>
        <v>0.4101726551563229</v>
      </c>
      <c r="G17" s="112">
        <f t="shared" si="8"/>
        <v>0.4003341144806144</v>
      </c>
      <c r="H17" s="112">
        <f t="shared" ref="H17:I17" si="9">H8/H$13</f>
        <v>0.37735849056603776</v>
      </c>
      <c r="I17" s="112">
        <f t="shared" si="9"/>
        <v>0.37342541329886764</v>
      </c>
      <c r="J17" s="112">
        <f t="shared" si="8"/>
        <v>0.37342541329886764</v>
      </c>
      <c r="K17" s="89"/>
      <c r="L17" s="112">
        <f t="shared" ref="L17:Q17" si="10">L8/L$13</f>
        <v>0.29445618980502702</v>
      </c>
      <c r="M17" s="112">
        <f t="shared" si="10"/>
        <v>0.48149900634049397</v>
      </c>
      <c r="N17" s="112">
        <f t="shared" si="10"/>
        <v>0.41449814126394052</v>
      </c>
      <c r="O17" s="112">
        <f t="shared" si="10"/>
        <v>0.36328100371981592</v>
      </c>
      <c r="P17" s="112">
        <f t="shared" si="10"/>
        <v>0.32014787430683916</v>
      </c>
      <c r="Q17" s="112">
        <f t="shared" si="10"/>
        <v>0.48712617943387176</v>
      </c>
      <c r="R17" s="112">
        <f t="shared" ref="R17:U20" si="11">R8/R$13</f>
        <v>0.43672783098179691</v>
      </c>
      <c r="S17" s="112">
        <f t="shared" si="11"/>
        <v>0.38895594447797222</v>
      </c>
      <c r="T17" s="112">
        <f t="shared" si="11"/>
        <v>0.3308413300602544</v>
      </c>
      <c r="U17" s="112">
        <f t="shared" si="11"/>
        <v>0.49488692232055065</v>
      </c>
      <c r="V17" s="112">
        <f t="shared" ref="V17:Y17" si="12">V8/V$13</f>
        <v>0.43359967634267221</v>
      </c>
      <c r="W17" s="112">
        <f t="shared" si="12"/>
        <v>0.35291193181818181</v>
      </c>
      <c r="X17" s="112">
        <f t="shared" si="12"/>
        <v>0.29326127715892797</v>
      </c>
      <c r="Y17" s="112">
        <f t="shared" si="12"/>
        <v>0.45473399458972047</v>
      </c>
      <c r="Z17" s="112">
        <f t="shared" ref="Z17:AB17" si="13">Z8/Z$13</f>
        <v>0.44145961309250942</v>
      </c>
      <c r="AA17" s="112">
        <f t="shared" si="13"/>
        <v>0.32633538777606574</v>
      </c>
      <c r="AB17" s="112">
        <f t="shared" si="13"/>
        <v>0.2605251736111111</v>
      </c>
      <c r="AC17" s="112">
        <f>AC8/AC$13</f>
        <v>0.4736666944005325</v>
      </c>
      <c r="AD17" s="112">
        <f t="shared" ref="AD17:AE17" si="14">AD8/AD$13</f>
        <v>0.41866340668296659</v>
      </c>
      <c r="AE17" s="112">
        <f t="shared" si="14"/>
        <v>0.33418784771462856</v>
      </c>
    </row>
    <row r="18" spans="2:31">
      <c r="B18" s="94" t="s">
        <v>238</v>
      </c>
      <c r="C18" s="112">
        <f t="shared" ref="C18" si="15">C9/C$13</f>
        <v>0.15759592795614721</v>
      </c>
      <c r="D18" s="112">
        <f t="shared" ref="D18:E21" si="16">D9/D$13</f>
        <v>0.14706566400496163</v>
      </c>
      <c r="E18" s="112">
        <f t="shared" si="16"/>
        <v>0.16890138408304498</v>
      </c>
      <c r="F18" s="112">
        <f t="shared" ref="F18:G18" si="17">F9/F$13</f>
        <v>0.16304246383574428</v>
      </c>
      <c r="G18" s="112">
        <f t="shared" si="17"/>
        <v>9.0326921738323393E-2</v>
      </c>
      <c r="H18" s="112">
        <f t="shared" ref="H18:I18" si="18">H9/H$13</f>
        <v>0.13014579759862779</v>
      </c>
      <c r="I18" s="112">
        <f t="shared" si="18"/>
        <v>0.13854433920407416</v>
      </c>
      <c r="J18" s="112">
        <f t="shared" ref="J18" si="19">J9/J$13</f>
        <v>0.13854433920407416</v>
      </c>
      <c r="K18" s="85"/>
      <c r="L18" s="112">
        <f t="shared" ref="L18:M18" si="20">L9/L$13</f>
        <v>0.1434108527131783</v>
      </c>
      <c r="M18" s="112">
        <f t="shared" si="20"/>
        <v>9.0659600643512819E-2</v>
      </c>
      <c r="N18" s="112">
        <f t="shared" ref="N18" si="21">N9/N$13</f>
        <v>0.18737829704372455</v>
      </c>
      <c r="O18" s="112">
        <f t="shared" ref="O18:Q18" si="22">O9/O$13</f>
        <v>0.22154971313284155</v>
      </c>
      <c r="P18" s="112">
        <f t="shared" si="22"/>
        <v>0.16598890942698707</v>
      </c>
      <c r="Q18" s="112">
        <f t="shared" si="22"/>
        <v>9.4754517831440913E-2</v>
      </c>
      <c r="R18" s="112">
        <f t="shared" si="11"/>
        <v>0.20067256378390233</v>
      </c>
      <c r="S18" s="112">
        <f t="shared" si="11"/>
        <v>0.1815932407966204</v>
      </c>
      <c r="T18" s="112">
        <f t="shared" si="11"/>
        <v>9.7076545413970095E-2</v>
      </c>
      <c r="U18" s="112">
        <f t="shared" si="11"/>
        <v>0.12418879056047198</v>
      </c>
      <c r="V18" s="112">
        <f t="shared" ref="V18:Y18" si="23">V9/V$13</f>
        <v>0.10013148578942045</v>
      </c>
      <c r="W18" s="112">
        <f t="shared" si="23"/>
        <v>5.46875E-2</v>
      </c>
      <c r="X18" s="112">
        <f t="shared" si="23"/>
        <v>0.13620822763868976</v>
      </c>
      <c r="Y18" s="112">
        <f t="shared" si="23"/>
        <v>5.0315599639314701E-2</v>
      </c>
      <c r="Z18" s="112">
        <f t="shared" ref="Z18:AC18" si="24">Z9/Z$13</f>
        <v>0.14403594022187585</v>
      </c>
      <c r="AA18" s="112">
        <f t="shared" si="24"/>
        <v>0.17372881355932204</v>
      </c>
      <c r="AB18" s="112">
        <f t="shared" si="24"/>
        <v>0.14507378472222221</v>
      </c>
      <c r="AC18" s="112">
        <f t="shared" si="24"/>
        <v>7.5463848905898995E-2</v>
      </c>
      <c r="AD18" s="112">
        <f t="shared" ref="AD18:AE18" si="25">AD9/AD$13</f>
        <v>0.13178484107579463</v>
      </c>
      <c r="AE18" s="112">
        <f t="shared" si="25"/>
        <v>0.18113886767753901</v>
      </c>
    </row>
    <row r="19" spans="2:31">
      <c r="B19" s="94" t="s">
        <v>239</v>
      </c>
      <c r="C19" s="112">
        <f t="shared" ref="C19" si="26">C10/C$13</f>
        <v>0.15980534735429019</v>
      </c>
      <c r="D19" s="112">
        <f t="shared" si="16"/>
        <v>0.16595601726232007</v>
      </c>
      <c r="E19" s="112">
        <f t="shared" si="16"/>
        <v>0.14900519031141868</v>
      </c>
      <c r="F19" s="112">
        <f t="shared" ref="F19:G19" si="27">F10/F$13</f>
        <v>0.1367055529631358</v>
      </c>
      <c r="G19" s="112">
        <f t="shared" si="27"/>
        <v>0.15334462516531705</v>
      </c>
      <c r="H19" s="112">
        <f t="shared" ref="H19:I19" si="28">H10/H$13</f>
        <v>0.15415951972555747</v>
      </c>
      <c r="I19" s="112">
        <f t="shared" si="28"/>
        <v>0.15754547734331295</v>
      </c>
      <c r="J19" s="112">
        <f t="shared" ref="J19" si="29">J10/J$13</f>
        <v>0.15754547734331295</v>
      </c>
      <c r="K19" s="85"/>
      <c r="L19" s="112">
        <f t="shared" ref="L19:M19" si="30">L10/L$13</f>
        <v>0.17876438806671366</v>
      </c>
      <c r="M19" s="112">
        <f t="shared" si="30"/>
        <v>0.1264313428598467</v>
      </c>
      <c r="N19" s="112">
        <f t="shared" ref="N19" si="31">N10/N$13</f>
        <v>0.12444680474420251</v>
      </c>
      <c r="O19" s="112">
        <f t="shared" ref="O19:Q19" si="32">O10/O$13</f>
        <v>0.16556333144190152</v>
      </c>
      <c r="P19" s="112">
        <f t="shared" si="32"/>
        <v>0.15970425138632163</v>
      </c>
      <c r="Q19" s="112">
        <f t="shared" si="32"/>
        <v>0.10826803134495443</v>
      </c>
      <c r="R19" s="112">
        <f t="shared" si="11"/>
        <v>0.1055632721690182</v>
      </c>
      <c r="S19" s="112">
        <f t="shared" si="11"/>
        <v>0.16885938442969223</v>
      </c>
      <c r="T19" s="112">
        <f t="shared" si="11"/>
        <v>0.14048203525998662</v>
      </c>
      <c r="U19" s="112">
        <f t="shared" si="11"/>
        <v>4.9852507374631268E-2</v>
      </c>
      <c r="V19" s="112">
        <f t="shared" ref="V19:Y19" si="33">V10/V$13</f>
        <v>0.10174977242844138</v>
      </c>
      <c r="W19" s="112">
        <f t="shared" si="33"/>
        <v>0.27251420454545455</v>
      </c>
      <c r="X19" s="112">
        <f t="shared" si="33"/>
        <v>0.15716333958310355</v>
      </c>
      <c r="Y19" s="112">
        <f t="shared" si="33"/>
        <v>0.12335437330928764</v>
      </c>
      <c r="Z19" s="112">
        <f t="shared" ref="Z19:AC19" si="34">Z10/Z$13</f>
        <v>0.11781424773081507</v>
      </c>
      <c r="AA19" s="112">
        <f t="shared" si="34"/>
        <v>0.19979455572675911</v>
      </c>
      <c r="AB19" s="112">
        <f t="shared" si="34"/>
        <v>0.16655815972222221</v>
      </c>
      <c r="AC19" s="112">
        <f t="shared" si="34"/>
        <v>0.11406939013229055</v>
      </c>
      <c r="AD19" s="112">
        <f t="shared" ref="AD19:AE19" si="35">AD10/AD$13</f>
        <v>0.12665036674816627</v>
      </c>
      <c r="AE19" s="112">
        <f t="shared" si="35"/>
        <v>0.20219264754008945</v>
      </c>
    </row>
    <row r="20" spans="2:31">
      <c r="B20" s="94" t="s">
        <v>240</v>
      </c>
      <c r="C20" s="112">
        <f t="shared" ref="C20" si="36">C11/C$13</f>
        <v>0.10705895514039601</v>
      </c>
      <c r="D20" s="112">
        <f t="shared" si="16"/>
        <v>0.12086208233196372</v>
      </c>
      <c r="E20" s="112">
        <f t="shared" si="16"/>
        <v>0.12305363321799308</v>
      </c>
      <c r="F20" s="112">
        <f t="shared" ref="F20:G20" si="37">F11/F$13</f>
        <v>0.12205319645356977</v>
      </c>
      <c r="G20" s="112">
        <f t="shared" si="37"/>
        <v>0.12768277686257221</v>
      </c>
      <c r="H20" s="112">
        <f t="shared" ref="H20:I20" si="38">H11/H$13</f>
        <v>0.12757289879931388</v>
      </c>
      <c r="I20" s="112">
        <f t="shared" si="38"/>
        <v>0.12235961341846872</v>
      </c>
      <c r="J20" s="112">
        <f t="shared" ref="J20" si="39">J11/J$13</f>
        <v>0.12235961341846872</v>
      </c>
      <c r="K20" s="85"/>
      <c r="L20" s="112">
        <f t="shared" ref="L20:M20" si="40">L11/L$13</f>
        <v>0.22480620155038761</v>
      </c>
      <c r="M20" s="112">
        <f t="shared" si="40"/>
        <v>0.14034257594397653</v>
      </c>
      <c r="N20" s="112">
        <f t="shared" ref="N20" si="41">N11/N$13</f>
        <v>8.0279695521331212E-2</v>
      </c>
      <c r="O20" s="112">
        <f t="shared" ref="O20:Q21" si="42">O11/O$13</f>
        <v>8.7384149801399663E-2</v>
      </c>
      <c r="P20" s="112">
        <f t="shared" si="42"/>
        <v>0.1910351201478743</v>
      </c>
      <c r="Q20" s="112">
        <f t="shared" si="42"/>
        <v>0.14457060610906763</v>
      </c>
      <c r="R20" s="112">
        <f t="shared" si="11"/>
        <v>7.8587616053805098E-2</v>
      </c>
      <c r="S20" s="112">
        <f t="shared" si="11"/>
        <v>9.5896197948098977E-2</v>
      </c>
      <c r="T20" s="112">
        <f t="shared" si="11"/>
        <v>0.22918991296585584</v>
      </c>
      <c r="U20" s="112">
        <f t="shared" si="11"/>
        <v>0.13638151425762046</v>
      </c>
      <c r="V20" s="112">
        <f t="shared" ref="V20:Y21" si="43">V11/V$13</f>
        <v>8.6982906847375335E-2</v>
      </c>
      <c r="W20" s="112">
        <f t="shared" si="43"/>
        <v>8.5369318181818185E-2</v>
      </c>
      <c r="X20" s="112">
        <f t="shared" si="43"/>
        <v>0.20646299768390869</v>
      </c>
      <c r="Y20" s="112">
        <f t="shared" si="43"/>
        <v>0.14165915238954013</v>
      </c>
      <c r="Z20" s="112">
        <f t="shared" ref="Z20:AC20" si="44">Z11/Z$13</f>
        <v>0.10131108462455304</v>
      </c>
      <c r="AA20" s="112">
        <f t="shared" si="44"/>
        <v>9.0010272213662049E-2</v>
      </c>
      <c r="AB20" s="112">
        <f t="shared" si="44"/>
        <v>0.24544270833333334</v>
      </c>
      <c r="AC20" s="112">
        <f t="shared" si="44"/>
        <v>0.13811465180131458</v>
      </c>
      <c r="AD20" s="112">
        <f t="shared" ref="AD20:AE20" si="45">AD11/AD$13</f>
        <v>9.3561532192339036E-2</v>
      </c>
      <c r="AE20" s="112">
        <f t="shared" si="45"/>
        <v>6.9433838769499295E-2</v>
      </c>
    </row>
    <row r="21" spans="2:31">
      <c r="B21" s="94" t="s">
        <v>241</v>
      </c>
      <c r="C21" s="112">
        <f t="shared" ref="C21" si="46">C12/C$13</f>
        <v>0.19059738225752321</v>
      </c>
      <c r="D21" s="112">
        <f t="shared" si="16"/>
        <v>0.18202961469881387</v>
      </c>
      <c r="E21" s="112">
        <f t="shared" si="16"/>
        <v>0.16890138408304498</v>
      </c>
      <c r="F21" s="112">
        <f t="shared" ref="F21:G21" si="47">F12/F$13</f>
        <v>0.16802613159122726</v>
      </c>
      <c r="G21" s="112">
        <f t="shared" si="47"/>
        <v>0.22831156175317294</v>
      </c>
      <c r="H21" s="112">
        <f t="shared" ref="H21:I21" si="48">H12/H$13</f>
        <v>0.21076329331046312</v>
      </c>
      <c r="I21" s="112">
        <f t="shared" si="48"/>
        <v>0.20812515673527654</v>
      </c>
      <c r="J21" s="112">
        <f t="shared" ref="J21" si="49">J12/J$13</f>
        <v>0.20812515673527654</v>
      </c>
      <c r="K21" s="85"/>
      <c r="L21" s="112">
        <f t="shared" ref="L21" si="50">L12/L$13</f>
        <v>0.15856236786469344</v>
      </c>
      <c r="M21" s="112">
        <f>M12/M$13</f>
        <v>0.16106747421216996</v>
      </c>
      <c r="N21" s="112">
        <f>N12/N$13</f>
        <v>0.19339706142680121</v>
      </c>
      <c r="O21" s="112">
        <f>O12/O$13</f>
        <v>0.16222180190404137</v>
      </c>
      <c r="P21" s="112">
        <f t="shared" si="42"/>
        <v>0.16312384473197783</v>
      </c>
      <c r="Q21" s="112">
        <f>Q12/Q$13</f>
        <v>0.16528066528066529</v>
      </c>
      <c r="R21" s="112">
        <f>R12/R$13</f>
        <v>0.17844871701147744</v>
      </c>
      <c r="S21" s="112">
        <f>S12/S$13</f>
        <v>0.16469523234761618</v>
      </c>
      <c r="T21" s="112">
        <f t="shared" ref="T21" si="51">T12/T$13</f>
        <v>0.20241017629993305</v>
      </c>
      <c r="U21" s="112">
        <f>U12/U$13</f>
        <v>0.19469026548672566</v>
      </c>
      <c r="V21" s="112">
        <f>V12/V$13</f>
        <v>0.27753615859209063</v>
      </c>
      <c r="W21" s="112">
        <f>W12/W$13</f>
        <v>0.23451704545454546</v>
      </c>
      <c r="X21" s="112">
        <f t="shared" si="43"/>
        <v>0.20690415793537004</v>
      </c>
      <c r="Y21" s="112">
        <f>Y12/Y$13</f>
        <v>0.22993688007213706</v>
      </c>
      <c r="Z21" s="112">
        <f>Z12/Z$13</f>
        <v>0.19537911433024663</v>
      </c>
      <c r="AA21" s="112">
        <f>AA12/AA$13</f>
        <v>0.21013097072419107</v>
      </c>
      <c r="AB21" s="112">
        <f t="shared" ref="AB21" si="52">AB12/AB$13</f>
        <v>0.1824001736111111</v>
      </c>
      <c r="AC21" s="112">
        <f>AC12/AC$13</f>
        <v>0.1986854147599634</v>
      </c>
      <c r="AD21" s="112">
        <f>AD12/AD$13</f>
        <v>0.2293398533007335</v>
      </c>
      <c r="AE21" s="112">
        <f>AE12/AE$13</f>
        <v>0.21304679829824369</v>
      </c>
    </row>
    <row r="22" spans="2:31" s="88" customFormat="1" ht="13.5" customHeight="1">
      <c r="C22" s="89"/>
      <c r="D22" s="89"/>
      <c r="E22" s="89"/>
      <c r="F22" s="89"/>
      <c r="G22" s="89"/>
      <c r="H22" s="89"/>
      <c r="I22" s="89"/>
      <c r="J22" s="90"/>
      <c r="K22" s="89"/>
      <c r="L22" s="89"/>
      <c r="M22" s="89"/>
      <c r="N22" s="89"/>
      <c r="O22" s="90"/>
      <c r="P22" s="89"/>
      <c r="Q22" s="89"/>
      <c r="R22" s="89"/>
      <c r="S22" s="90"/>
      <c r="T22" s="89"/>
      <c r="U22" s="89"/>
      <c r="V22" s="89"/>
      <c r="W22" s="90"/>
      <c r="X22" s="89"/>
      <c r="Y22" s="89"/>
      <c r="Z22" s="89"/>
      <c r="AA22" s="90"/>
      <c r="AB22" s="89"/>
      <c r="AC22" s="89"/>
      <c r="AD22" s="89"/>
      <c r="AE22" s="90"/>
    </row>
    <row r="23" spans="2:31">
      <c r="B23" s="99" t="s">
        <v>244</v>
      </c>
    </row>
    <row r="24" spans="2:31">
      <c r="B24" s="94" t="s">
        <v>237</v>
      </c>
      <c r="C24" s="111">
        <v>0.24</v>
      </c>
      <c r="D24" s="111">
        <v>0.08</v>
      </c>
      <c r="E24" s="111">
        <v>0.21</v>
      </c>
      <c r="F24" s="111">
        <v>0.22</v>
      </c>
      <c r="G24" s="111">
        <v>-0.21</v>
      </c>
      <c r="H24" s="111">
        <v>0.02</v>
      </c>
      <c r="I24" s="111">
        <v>0.1</v>
      </c>
      <c r="J24" s="149"/>
      <c r="L24" s="111">
        <v>0.24</v>
      </c>
      <c r="M24" s="111">
        <v>0.2</v>
      </c>
      <c r="N24" s="111">
        <v>0.22</v>
      </c>
      <c r="O24" s="111">
        <v>0.21</v>
      </c>
      <c r="P24" s="111">
        <v>0.38</v>
      </c>
      <c r="Q24" s="111">
        <v>0.2</v>
      </c>
      <c r="R24" s="111">
        <v>0.28000000000000003</v>
      </c>
      <c r="S24" s="111">
        <v>0.12</v>
      </c>
      <c r="T24" s="111">
        <v>-0.14000000000000001</v>
      </c>
      <c r="U24" s="111">
        <v>-0.17</v>
      </c>
      <c r="V24" s="111">
        <v>-0.28000000000000003</v>
      </c>
      <c r="W24" s="111">
        <v>-0.23</v>
      </c>
      <c r="X24" s="111">
        <v>-0.1</v>
      </c>
      <c r="Y24" s="111">
        <v>0</v>
      </c>
      <c r="Z24" s="111">
        <v>0.12</v>
      </c>
      <c r="AA24" s="111">
        <v>0.02</v>
      </c>
      <c r="AB24" s="111">
        <v>-0.1</v>
      </c>
      <c r="AC24" s="111">
        <v>0.13</v>
      </c>
      <c r="AD24" s="111">
        <v>7.0000000000000007E-2</v>
      </c>
      <c r="AE24" s="111">
        <v>0.21</v>
      </c>
    </row>
    <row r="25" spans="2:31">
      <c r="B25" s="94" t="s">
        <v>238</v>
      </c>
      <c r="C25" s="111">
        <v>0.13</v>
      </c>
      <c r="D25" s="111">
        <v>0.01</v>
      </c>
      <c r="E25" s="111">
        <v>0.37</v>
      </c>
      <c r="F25" s="111">
        <v>0.12</v>
      </c>
      <c r="G25" s="111">
        <v>-0.55000000000000004</v>
      </c>
      <c r="H25" s="111">
        <v>0.56000000000000005</v>
      </c>
      <c r="I25" s="111">
        <v>0.18</v>
      </c>
      <c r="J25" s="149"/>
      <c r="L25" s="111">
        <v>0.19</v>
      </c>
      <c r="M25" s="111">
        <v>0.24</v>
      </c>
      <c r="N25" s="111">
        <v>0.56999999999999995</v>
      </c>
      <c r="O25" s="111">
        <v>0.38</v>
      </c>
      <c r="P25" s="111">
        <v>0.47</v>
      </c>
      <c r="Q25" s="111">
        <v>0.24</v>
      </c>
      <c r="R25" s="111">
        <v>0.3</v>
      </c>
      <c r="S25" s="111">
        <v>-0.14000000000000001</v>
      </c>
      <c r="T25" s="111">
        <v>-0.52</v>
      </c>
      <c r="U25" s="111">
        <v>-7.0000000000000007E-2</v>
      </c>
      <c r="V25" s="111">
        <v>-0.64</v>
      </c>
      <c r="W25" s="111">
        <v>-0.49</v>
      </c>
      <c r="X25" s="111">
        <v>0.42</v>
      </c>
      <c r="Y25" s="111">
        <v>0.1</v>
      </c>
      <c r="Z25" s="111">
        <v>0.59</v>
      </c>
      <c r="AA25" s="111">
        <v>0.77</v>
      </c>
      <c r="AB25" s="111">
        <v>0.08</v>
      </c>
      <c r="AC25" s="111">
        <v>0.63</v>
      </c>
      <c r="AD25" s="111">
        <v>0.03</v>
      </c>
      <c r="AE25" s="111">
        <v>0.23</v>
      </c>
    </row>
    <row r="26" spans="2:31">
      <c r="B26" s="94" t="s">
        <v>239</v>
      </c>
      <c r="C26" s="111">
        <v>-7.0000000000000007E-2</v>
      </c>
      <c r="D26" s="111">
        <v>0.12</v>
      </c>
      <c r="E26" s="111">
        <v>7.0000000000000007E-2</v>
      </c>
      <c r="F26" s="111">
        <v>7.0000000000000007E-2</v>
      </c>
      <c r="G26" s="111">
        <v>-0.1</v>
      </c>
      <c r="H26" s="111">
        <v>0.09</v>
      </c>
      <c r="I26" s="111">
        <v>0.14000000000000001</v>
      </c>
      <c r="J26" s="149"/>
      <c r="L26" s="111">
        <v>-0.11</v>
      </c>
      <c r="M26" s="111">
        <v>0.31</v>
      </c>
      <c r="N26" s="111">
        <v>0.26</v>
      </c>
      <c r="O26" s="111">
        <v>0.02</v>
      </c>
      <c r="P26" s="111">
        <v>0.13</v>
      </c>
      <c r="Q26" s="111">
        <v>0.01</v>
      </c>
      <c r="R26" s="111">
        <v>0.03</v>
      </c>
      <c r="S26" s="111">
        <v>7.0000000000000007E-2</v>
      </c>
      <c r="T26" s="111">
        <v>-0.27</v>
      </c>
      <c r="U26" s="111">
        <v>-0.56999999999999995</v>
      </c>
      <c r="V26" s="111">
        <v>-0.3</v>
      </c>
      <c r="W26" s="111">
        <v>0.1</v>
      </c>
      <c r="X26" s="111">
        <v>0.13</v>
      </c>
      <c r="Y26" s="111">
        <v>0.08</v>
      </c>
      <c r="Z26" s="111">
        <v>0.28000000000000003</v>
      </c>
      <c r="AA26" s="111">
        <v>0.09</v>
      </c>
      <c r="AB26" s="111">
        <v>0.08</v>
      </c>
      <c r="AC26" s="111">
        <v>0</v>
      </c>
      <c r="AD26" s="111">
        <v>0.21</v>
      </c>
      <c r="AE26" s="111">
        <v>0.19</v>
      </c>
    </row>
    <row r="27" spans="2:31">
      <c r="B27" s="94" t="s">
        <v>240</v>
      </c>
      <c r="C27" s="111">
        <v>0.11</v>
      </c>
      <c r="D27" s="111">
        <v>0.22</v>
      </c>
      <c r="E27" s="111">
        <v>0.11</v>
      </c>
      <c r="F27" s="111">
        <v>0.13</v>
      </c>
      <c r="G27" s="111">
        <v>-0.16</v>
      </c>
      <c r="H27" s="111">
        <v>0.08</v>
      </c>
      <c r="I27" s="111">
        <v>7.0000000000000007E-2</v>
      </c>
      <c r="J27" s="149"/>
      <c r="L27" s="111">
        <v>0.27</v>
      </c>
      <c r="M27" s="111">
        <v>0.05</v>
      </c>
      <c r="N27" s="111">
        <v>0</v>
      </c>
      <c r="O27" s="111">
        <v>0.63</v>
      </c>
      <c r="P27" s="111">
        <v>0.08</v>
      </c>
      <c r="Q27" s="111">
        <v>0.22</v>
      </c>
      <c r="R27" s="111">
        <v>0.19</v>
      </c>
      <c r="S27" s="111">
        <v>0.15</v>
      </c>
      <c r="T27" s="111">
        <v>-0.01</v>
      </c>
      <c r="U27" s="111">
        <v>-0.23</v>
      </c>
      <c r="V27" s="111">
        <v>-0.2</v>
      </c>
      <c r="W27" s="111">
        <v>-0.24</v>
      </c>
      <c r="X27" s="111">
        <v>-0.09</v>
      </c>
      <c r="Y27" s="111">
        <v>0.13</v>
      </c>
      <c r="Z27" s="111">
        <v>0.28000000000000003</v>
      </c>
      <c r="AA27" s="111">
        <v>0.17</v>
      </c>
      <c r="AB27" s="111">
        <v>0.21</v>
      </c>
      <c r="AC27" s="111">
        <v>0.06</v>
      </c>
      <c r="AD27" s="111">
        <v>0.04</v>
      </c>
      <c r="AE27" s="111">
        <v>-0.09</v>
      </c>
    </row>
    <row r="28" spans="2:31">
      <c r="B28" s="94" t="s">
        <v>241</v>
      </c>
      <c r="C28" s="111">
        <v>0.12</v>
      </c>
      <c r="D28" s="111">
        <v>0.03</v>
      </c>
      <c r="E28" s="111">
        <v>0.22</v>
      </c>
      <c r="F28" s="111">
        <v>0.1</v>
      </c>
      <c r="G28" s="111">
        <v>0.09</v>
      </c>
      <c r="H28" s="111">
        <v>0</v>
      </c>
      <c r="I28" s="111">
        <v>0.1</v>
      </c>
      <c r="J28" s="149"/>
      <c r="L28" s="111">
        <v>-0.14000000000000001</v>
      </c>
      <c r="M28" s="111">
        <v>0.13</v>
      </c>
      <c r="N28" s="111">
        <v>0.15</v>
      </c>
      <c r="O28" s="111">
        <v>0.25</v>
      </c>
      <c r="P28" s="111">
        <v>0.31</v>
      </c>
      <c r="Q28" s="111">
        <v>0.21</v>
      </c>
      <c r="R28" s="111">
        <v>0.12</v>
      </c>
      <c r="S28" s="111">
        <v>0.06</v>
      </c>
      <c r="T28" s="111">
        <v>0.03</v>
      </c>
      <c r="U28" s="111">
        <v>-0.04</v>
      </c>
      <c r="V28" s="111">
        <v>0.12</v>
      </c>
      <c r="W28" s="111">
        <v>0.21</v>
      </c>
      <c r="X28" s="111">
        <v>0.03</v>
      </c>
      <c r="Y28" s="111">
        <v>0.28999999999999998</v>
      </c>
      <c r="Z28" s="111">
        <v>-0.22</v>
      </c>
      <c r="AA28" s="111">
        <v>-0.01</v>
      </c>
      <c r="AB28" s="111">
        <v>-0.1</v>
      </c>
      <c r="AC28" s="111">
        <v>-0.06</v>
      </c>
      <c r="AD28" s="111">
        <v>0.32</v>
      </c>
      <c r="AE28" s="111">
        <v>0.19</v>
      </c>
    </row>
    <row r="30" spans="2:31" s="103" customFormat="1" ht="24.75" customHeight="1">
      <c r="B30" s="102"/>
      <c r="C30" s="105" t="s">
        <v>109</v>
      </c>
      <c r="D30" s="105" t="s">
        <v>109</v>
      </c>
      <c r="E30" s="105" t="s">
        <v>109</v>
      </c>
      <c r="F30" s="105" t="s">
        <v>109</v>
      </c>
      <c r="G30" s="105" t="s">
        <v>109</v>
      </c>
      <c r="H30" s="105" t="s">
        <v>109</v>
      </c>
      <c r="I30" s="105" t="s">
        <v>109</v>
      </c>
      <c r="J30" s="105" t="s">
        <v>110</v>
      </c>
      <c r="K30" s="244"/>
      <c r="L30" s="269" t="s">
        <v>111</v>
      </c>
      <c r="M30" s="270" t="s">
        <v>111</v>
      </c>
      <c r="N30" s="270" t="s">
        <v>111</v>
      </c>
      <c r="O30" s="270" t="s">
        <v>111</v>
      </c>
      <c r="P30" s="270" t="s">
        <v>111</v>
      </c>
      <c r="Q30" s="270" t="s">
        <v>111</v>
      </c>
      <c r="R30" s="270" t="s">
        <v>111</v>
      </c>
      <c r="S30" s="270" t="s">
        <v>111</v>
      </c>
      <c r="T30" s="270" t="s">
        <v>111</v>
      </c>
      <c r="U30" s="270" t="s">
        <v>111</v>
      </c>
      <c r="V30" s="270" t="s">
        <v>111</v>
      </c>
      <c r="W30" s="270" t="s">
        <v>111</v>
      </c>
      <c r="X30" s="270" t="s">
        <v>111</v>
      </c>
      <c r="Y30" s="270" t="s">
        <v>111</v>
      </c>
      <c r="Z30" s="270" t="s">
        <v>111</v>
      </c>
      <c r="AA30" s="270" t="s">
        <v>111</v>
      </c>
      <c r="AB30" s="270" t="s">
        <v>111</v>
      </c>
      <c r="AC30" s="270" t="s">
        <v>111</v>
      </c>
      <c r="AD30" s="270" t="s">
        <v>111</v>
      </c>
      <c r="AE30" s="270" t="s">
        <v>111</v>
      </c>
    </row>
    <row r="31" spans="2:31" s="103" customFormat="1" ht="13.5" customHeight="1">
      <c r="B31" s="102" t="str">
        <f>Model!B30</f>
        <v>As % of Revenues unless stated otherwise</v>
      </c>
      <c r="C31" s="43">
        <v>43921</v>
      </c>
      <c r="D31" s="43">
        <v>44286</v>
      </c>
      <c r="E31" s="43">
        <v>44651</v>
      </c>
      <c r="F31" s="43">
        <v>45016</v>
      </c>
      <c r="G31" s="43">
        <v>45382</v>
      </c>
      <c r="H31" s="43">
        <f>H3</f>
        <v>45747</v>
      </c>
      <c r="I31" s="43">
        <f>I3</f>
        <v>46112</v>
      </c>
      <c r="J31" s="101">
        <f>AE31</f>
        <v>46112</v>
      </c>
      <c r="K31" s="245"/>
      <c r="L31" s="271">
        <v>44377</v>
      </c>
      <c r="M31" s="271">
        <v>44469</v>
      </c>
      <c r="N31" s="271">
        <v>44561</v>
      </c>
      <c r="O31" s="271">
        <v>44651</v>
      </c>
      <c r="P31" s="271">
        <v>44742</v>
      </c>
      <c r="Q31" s="271">
        <v>44834</v>
      </c>
      <c r="R31" s="271">
        <v>44926</v>
      </c>
      <c r="S31" s="271">
        <v>45016</v>
      </c>
      <c r="T31" s="271">
        <v>45107</v>
      </c>
      <c r="U31" s="271">
        <v>45199</v>
      </c>
      <c r="V31" s="271">
        <v>45291</v>
      </c>
      <c r="W31" s="271">
        <v>45382</v>
      </c>
      <c r="X31" s="271">
        <v>45473</v>
      </c>
      <c r="Y31" s="271">
        <f>Y3</f>
        <v>45565</v>
      </c>
      <c r="Z31" s="271">
        <f>Z3</f>
        <v>45657</v>
      </c>
      <c r="AA31" s="271">
        <f>AA3</f>
        <v>45747</v>
      </c>
      <c r="AB31" s="271">
        <v>45838</v>
      </c>
      <c r="AC31" s="271">
        <f>AC3</f>
        <v>45930</v>
      </c>
      <c r="AD31" s="271">
        <f>AD3</f>
        <v>46022</v>
      </c>
      <c r="AE31" s="271">
        <f>AE3</f>
        <v>46112</v>
      </c>
    </row>
    <row r="32" spans="2:31">
      <c r="B32" s="84" t="s">
        <v>245</v>
      </c>
      <c r="E32" s="206">
        <v>0.08</v>
      </c>
      <c r="F32" s="206">
        <v>2E-3</v>
      </c>
      <c r="G32" s="206">
        <v>-0.06</v>
      </c>
      <c r="H32" s="206">
        <v>0.13</v>
      </c>
      <c r="I32" s="206">
        <v>0.08</v>
      </c>
      <c r="J32" s="210"/>
      <c r="K32" s="246"/>
      <c r="L32" s="206">
        <v>0.06</v>
      </c>
      <c r="M32" s="206">
        <v>0.15</v>
      </c>
      <c r="N32" s="206">
        <v>0.11</v>
      </c>
      <c r="O32" s="206">
        <v>0.03</v>
      </c>
      <c r="P32" s="206">
        <v>0.06</v>
      </c>
      <c r="Q32" s="206">
        <v>-7.0000000000000007E-2</v>
      </c>
      <c r="R32" s="206">
        <v>0.01</v>
      </c>
      <c r="S32" s="206">
        <v>0.01</v>
      </c>
      <c r="T32" s="206">
        <v>-0.09</v>
      </c>
      <c r="U32" s="206">
        <v>-7.0000000000000007E-2</v>
      </c>
      <c r="V32" s="206">
        <v>-0.05</v>
      </c>
      <c r="W32" s="206">
        <v>-0.02</v>
      </c>
      <c r="X32" s="206">
        <v>-0.09</v>
      </c>
      <c r="Y32" s="206">
        <v>0.16</v>
      </c>
      <c r="Z32" s="206">
        <v>0.09</v>
      </c>
      <c r="AA32" s="206">
        <v>0.11</v>
      </c>
      <c r="AB32" s="206">
        <v>-0.01</v>
      </c>
      <c r="AC32" s="206">
        <v>7.0000000000000007E-2</v>
      </c>
      <c r="AD32" s="206">
        <v>0.08</v>
      </c>
      <c r="AE32" s="294"/>
    </row>
    <row r="33" spans="2:31">
      <c r="B33" s="84" t="s">
        <v>246</v>
      </c>
      <c r="E33" s="206">
        <v>0.1</v>
      </c>
      <c r="F33" s="206">
        <v>0.1</v>
      </c>
      <c r="G33" s="206">
        <v>-0.17</v>
      </c>
      <c r="H33" s="206">
        <v>-0.03</v>
      </c>
      <c r="I33" s="206">
        <v>-0.03</v>
      </c>
      <c r="J33" s="210"/>
      <c r="K33" s="246"/>
      <c r="L33" s="206">
        <v>0.02</v>
      </c>
      <c r="M33" s="206">
        <v>0.03</v>
      </c>
      <c r="N33" s="206">
        <v>0.13</v>
      </c>
      <c r="O33" s="206">
        <v>0.19</v>
      </c>
      <c r="P33" s="206">
        <v>0.18</v>
      </c>
      <c r="Q33" s="206">
        <v>0.21</v>
      </c>
      <c r="R33" s="206">
        <v>0.13</v>
      </c>
      <c r="S33" s="206">
        <v>-0.03</v>
      </c>
      <c r="T33" s="206">
        <v>-0.1</v>
      </c>
      <c r="U33" s="206">
        <v>-0.15</v>
      </c>
      <c r="V33" s="206">
        <v>-0.24</v>
      </c>
      <c r="W33" s="206">
        <v>-0.15</v>
      </c>
      <c r="X33" s="206">
        <v>-0.1</v>
      </c>
      <c r="Y33" s="206">
        <v>-7.0000000000000007E-2</v>
      </c>
      <c r="Z33" s="206">
        <v>0.05</v>
      </c>
      <c r="AA33" s="206">
        <v>0.01</v>
      </c>
      <c r="AB33" s="206">
        <v>0.01</v>
      </c>
      <c r="AC33" s="206">
        <v>-0.02</v>
      </c>
      <c r="AD33" s="206">
        <v>0.03</v>
      </c>
      <c r="AE33" s="294"/>
    </row>
    <row r="34" spans="2:31">
      <c r="B34" s="84" t="s">
        <v>247</v>
      </c>
      <c r="E34" s="195">
        <f>E13</f>
        <v>462400</v>
      </c>
      <c r="F34" s="195">
        <f t="shared" ref="F34:W34" si="53">F13</f>
        <v>535750</v>
      </c>
      <c r="G34" s="195">
        <f t="shared" si="53"/>
        <v>430990</v>
      </c>
      <c r="H34" s="195">
        <f t="shared" ref="H34:I34" si="54">H13</f>
        <v>466400</v>
      </c>
      <c r="I34" s="195">
        <f t="shared" si="54"/>
        <v>518390</v>
      </c>
      <c r="J34" s="87">
        <f>SUM(AB34:AE34)</f>
        <v>518390</v>
      </c>
      <c r="K34" s="247"/>
      <c r="L34" s="195">
        <f t="shared" si="53"/>
        <v>85140</v>
      </c>
      <c r="M34" s="195">
        <f t="shared" si="53"/>
        <v>105670</v>
      </c>
      <c r="N34" s="195">
        <f t="shared" si="53"/>
        <v>112980</v>
      </c>
      <c r="O34" s="195">
        <f t="shared" si="53"/>
        <v>158610</v>
      </c>
      <c r="P34" s="195">
        <f t="shared" si="53"/>
        <v>108200</v>
      </c>
      <c r="Q34" s="195">
        <f t="shared" si="53"/>
        <v>125060</v>
      </c>
      <c r="R34" s="195">
        <f t="shared" si="53"/>
        <v>136790</v>
      </c>
      <c r="S34" s="195">
        <f t="shared" si="53"/>
        <v>165700</v>
      </c>
      <c r="T34" s="195">
        <f t="shared" si="53"/>
        <v>89620</v>
      </c>
      <c r="U34" s="195">
        <f t="shared" si="53"/>
        <v>101700</v>
      </c>
      <c r="V34" s="195">
        <f t="shared" si="53"/>
        <v>98870</v>
      </c>
      <c r="W34" s="195">
        <f t="shared" si="53"/>
        <v>140800</v>
      </c>
      <c r="X34" s="195">
        <f t="shared" ref="X34:AA34" si="55">X13</f>
        <v>90670</v>
      </c>
      <c r="Y34" s="195">
        <f t="shared" si="55"/>
        <v>110900</v>
      </c>
      <c r="Z34" s="195">
        <f t="shared" si="55"/>
        <v>109070</v>
      </c>
      <c r="AA34" s="195">
        <f t="shared" si="55"/>
        <v>155760</v>
      </c>
      <c r="AB34" s="195">
        <f t="shared" ref="AB34:AE34" si="56">AB13</f>
        <v>92160</v>
      </c>
      <c r="AC34" s="195">
        <f t="shared" si="56"/>
        <v>120190</v>
      </c>
      <c r="AD34" s="195">
        <f t="shared" si="56"/>
        <v>122700</v>
      </c>
      <c r="AE34" s="195">
        <f t="shared" si="56"/>
        <v>183340</v>
      </c>
    </row>
    <row r="35" spans="2:31">
      <c r="B35" s="84" t="s">
        <v>248</v>
      </c>
      <c r="E35" s="194">
        <f>Model!E9</f>
        <v>0.19501731534604838</v>
      </c>
      <c r="F35" s="194">
        <f>Model!F9</f>
        <v>0.1586505190311418</v>
      </c>
      <c r="G35" s="194">
        <f>Model!G9</f>
        <v>-0.19557264446767209</v>
      </c>
      <c r="H35" s="194">
        <f>Model!H9</f>
        <v>8.2115179358670964E-2</v>
      </c>
      <c r="I35" s="194">
        <f>Model!I9</f>
        <v>0.1115423376289213</v>
      </c>
      <c r="J35" s="194">
        <f>I35</f>
        <v>0.1115423376289213</v>
      </c>
      <c r="K35" s="246"/>
      <c r="L35" s="194">
        <v>0.09</v>
      </c>
      <c r="M35" s="194">
        <v>0.18</v>
      </c>
      <c r="N35" s="194">
        <v>0.24</v>
      </c>
      <c r="O35" s="194">
        <v>0.24</v>
      </c>
      <c r="P35" s="194">
        <f t="shared" ref="P35:AE35" si="57">P13/L13-1</f>
        <v>0.27084801503406153</v>
      </c>
      <c r="Q35" s="194">
        <f t="shared" si="57"/>
        <v>0.18349578877637929</v>
      </c>
      <c r="R35" s="194">
        <f t="shared" si="57"/>
        <v>0.21074526464861032</v>
      </c>
      <c r="S35" s="194">
        <f t="shared" si="57"/>
        <v>4.4700838534770915E-2</v>
      </c>
      <c r="T35" s="194">
        <f t="shared" si="57"/>
        <v>-0.17171903881700556</v>
      </c>
      <c r="U35" s="194">
        <f t="shared" si="57"/>
        <v>-0.18679034063649447</v>
      </c>
      <c r="V35" s="194">
        <f t="shared" si="57"/>
        <v>-0.27721324658235247</v>
      </c>
      <c r="W35" s="194">
        <f t="shared" si="57"/>
        <v>-0.15027157513578759</v>
      </c>
      <c r="X35" s="194">
        <f t="shared" si="57"/>
        <v>1.1716134791341259E-2</v>
      </c>
      <c r="Y35" s="194">
        <f t="shared" si="57"/>
        <v>9.0462143559488783E-2</v>
      </c>
      <c r="Z35" s="194">
        <f t="shared" si="57"/>
        <v>0.1031657732375848</v>
      </c>
      <c r="AA35" s="194">
        <f t="shared" si="57"/>
        <v>0.10624999999999996</v>
      </c>
      <c r="AB35" s="194">
        <f t="shared" si="57"/>
        <v>1.6433219366934981E-2</v>
      </c>
      <c r="AC35" s="194">
        <f t="shared" si="57"/>
        <v>8.3769161406672676E-2</v>
      </c>
      <c r="AD35" s="194">
        <f t="shared" si="57"/>
        <v>0.12496561841019527</v>
      </c>
      <c r="AE35" s="194">
        <f t="shared" si="57"/>
        <v>0.17706728299948638</v>
      </c>
    </row>
    <row r="36" spans="2:31">
      <c r="E36" s="194"/>
      <c r="F36" s="194"/>
      <c r="G36" s="194"/>
      <c r="H36" s="194"/>
      <c r="I36" s="194"/>
      <c r="J36" s="194"/>
      <c r="K36" s="246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</row>
    <row r="37" spans="2:31">
      <c r="B37" s="84" t="s">
        <v>178</v>
      </c>
      <c r="E37" s="195">
        <f>Model!E49</f>
        <v>101650</v>
      </c>
      <c r="F37" s="195">
        <f>Model!F49</f>
        <v>111780</v>
      </c>
      <c r="G37" s="195">
        <f>Model!G49</f>
        <v>55150</v>
      </c>
      <c r="H37" s="195">
        <f>Model!H49</f>
        <v>81200</v>
      </c>
      <c r="I37" s="195">
        <f>Model!I49</f>
        <v>95880</v>
      </c>
      <c r="J37" s="87">
        <f>SUM(AB37:AE37)</f>
        <v>95880</v>
      </c>
      <c r="K37" s="247"/>
      <c r="L37" s="195">
        <f>Model!L49</f>
        <v>18620</v>
      </c>
      <c r="M37" s="195">
        <f>Model!M49</f>
        <v>20450</v>
      </c>
      <c r="N37" s="195">
        <f>Model!N49</f>
        <v>26660</v>
      </c>
      <c r="O37" s="195">
        <f>Model!O49</f>
        <v>35920</v>
      </c>
      <c r="P37" s="195">
        <f>Model!P49</f>
        <v>23420</v>
      </c>
      <c r="Q37" s="195">
        <f>Model!Q49</f>
        <v>27680</v>
      </c>
      <c r="R37" s="195">
        <f>Model!R49</f>
        <v>30350</v>
      </c>
      <c r="S37" s="195">
        <f>Model!S49</f>
        <v>30330</v>
      </c>
      <c r="T37" s="195">
        <f>Model!T49</f>
        <v>15930</v>
      </c>
      <c r="U37" s="195">
        <f>Model!U49</f>
        <v>15730</v>
      </c>
      <c r="V37" s="195">
        <f>Model!V49</f>
        <v>4160</v>
      </c>
      <c r="W37" s="195">
        <f>Model!W49</f>
        <v>19330</v>
      </c>
      <c r="X37" s="195">
        <f>Model!X49</f>
        <v>11450</v>
      </c>
      <c r="Y37" s="195">
        <f>Model!Y49</f>
        <v>15760</v>
      </c>
      <c r="Z37" s="195">
        <f>Model!Z49</f>
        <v>21630</v>
      </c>
      <c r="AA37" s="195">
        <f>Model!AA49</f>
        <v>32360</v>
      </c>
      <c r="AB37" s="195">
        <f>Model!AB49</f>
        <v>13030</v>
      </c>
      <c r="AC37" s="195">
        <f>Model!AC49</f>
        <v>22050</v>
      </c>
      <c r="AD37" s="195">
        <f>Model!AD49</f>
        <v>24340</v>
      </c>
      <c r="AE37" s="195">
        <f>Model!AE49</f>
        <v>36460</v>
      </c>
    </row>
    <row r="38" spans="2:31" ht="15.6" customHeight="1">
      <c r="B38" s="84" t="s">
        <v>249</v>
      </c>
      <c r="E38" s="194">
        <f>Model!E50</f>
        <v>0.18763874284379023</v>
      </c>
      <c r="F38" s="194">
        <f>Model!F50</f>
        <v>9.9655681259222861E-2</v>
      </c>
      <c r="G38" s="194">
        <f>Model!G50</f>
        <v>-0.50662014671676503</v>
      </c>
      <c r="H38" s="194">
        <f>Model!H50</f>
        <v>0.47234814143245685</v>
      </c>
      <c r="I38" s="194">
        <f>Model!I50</f>
        <v>0.18078817733990138</v>
      </c>
      <c r="J38" s="194">
        <f>I38</f>
        <v>0.18078817733990138</v>
      </c>
      <c r="K38" s="246"/>
      <c r="L38" s="194">
        <v>0.09</v>
      </c>
      <c r="M38" s="194">
        <v>0.13</v>
      </c>
      <c r="N38" s="194">
        <v>0.21</v>
      </c>
      <c r="O38" s="194">
        <v>0.26</v>
      </c>
      <c r="P38" s="194">
        <f>P37/L37-1</f>
        <v>0.25778732545649841</v>
      </c>
      <c r="Q38" s="194">
        <f t="shared" ref="Q38:AE38" si="58">Q37/M37-1</f>
        <v>0.35354523227383861</v>
      </c>
      <c r="R38" s="194">
        <f t="shared" si="58"/>
        <v>0.13840960240060007</v>
      </c>
      <c r="S38" s="194">
        <f t="shared" si="58"/>
        <v>-0.15562360801781738</v>
      </c>
      <c r="T38" s="194">
        <f t="shared" si="58"/>
        <v>-0.31981212638770284</v>
      </c>
      <c r="U38" s="194">
        <f t="shared" si="58"/>
        <v>-0.4317196531791907</v>
      </c>
      <c r="V38" s="194">
        <f t="shared" si="58"/>
        <v>-0.8629324546952224</v>
      </c>
      <c r="W38" s="194">
        <f t="shared" si="58"/>
        <v>-0.36267721727662383</v>
      </c>
      <c r="X38" s="194">
        <f t="shared" si="58"/>
        <v>-0.28123038292529823</v>
      </c>
      <c r="Y38" s="194">
        <f t="shared" si="58"/>
        <v>1.9071837253654689E-3</v>
      </c>
      <c r="Z38" s="194">
        <f t="shared" si="58"/>
        <v>4.1995192307692308</v>
      </c>
      <c r="AA38" s="194">
        <f t="shared" si="58"/>
        <v>0.67408173823072937</v>
      </c>
      <c r="AB38" s="194">
        <f t="shared" si="58"/>
        <v>0.13799126637554582</v>
      </c>
      <c r="AC38" s="194">
        <f t="shared" si="58"/>
        <v>0.39911167512690349</v>
      </c>
      <c r="AD38" s="194">
        <f t="shared" si="58"/>
        <v>0.125288950531669</v>
      </c>
      <c r="AE38" s="194">
        <f t="shared" si="58"/>
        <v>0.12669962917181699</v>
      </c>
    </row>
    <row r="39" spans="2:31">
      <c r="B39" s="84" t="s">
        <v>250</v>
      </c>
      <c r="E39" s="194">
        <f>Model!E51</f>
        <v>0.21983131487889274</v>
      </c>
      <c r="F39" s="194">
        <f>Model!F51</f>
        <v>0.20863819620725699</v>
      </c>
      <c r="G39" s="194">
        <f>Model!G51</f>
        <v>0.1279641746716785</v>
      </c>
      <c r="H39" s="194">
        <f>Model!H51</f>
        <v>0.1741106846495272</v>
      </c>
      <c r="I39" s="194">
        <f>Model!I51</f>
        <v>0.18495727155230618</v>
      </c>
      <c r="J39" s="194">
        <f>I39</f>
        <v>0.18495727155230618</v>
      </c>
      <c r="K39" s="246"/>
      <c r="L39" s="194">
        <f>Model!L51</f>
        <v>0.21867293012331179</v>
      </c>
      <c r="M39" s="194">
        <f>Model!M51</f>
        <v>0.19352701807513958</v>
      </c>
      <c r="N39" s="194">
        <f>Model!N51</f>
        <v>0.23599185624502081</v>
      </c>
      <c r="O39" s="194">
        <f>Model!O51</f>
        <v>0.22646743584893764</v>
      </c>
      <c r="P39" s="194">
        <f>Model!P51</f>
        <v>0.21643101376952223</v>
      </c>
      <c r="Q39" s="194">
        <f>Model!Q51</f>
        <v>0.22131606300471734</v>
      </c>
      <c r="R39" s="194">
        <f>Model!R51</f>
        <v>0.22187294392864976</v>
      </c>
      <c r="S39" s="194">
        <f>Model!S51</f>
        <v>0.1830526887561108</v>
      </c>
      <c r="T39" s="194">
        <f>Model!T51</f>
        <v>0.17773067053441927</v>
      </c>
      <c r="U39" s="194">
        <f>Model!U51</f>
        <v>0.15467059980334316</v>
      </c>
      <c r="V39" s="194">
        <f>Model!V51</f>
        <v>4.2075452614544352E-2</v>
      </c>
      <c r="W39" s="194">
        <f>Model!W51</f>
        <v>0.13730643557323483</v>
      </c>
      <c r="X39" s="194">
        <f>Model!X51</f>
        <v>0.12628212198080954</v>
      </c>
      <c r="Y39" s="194">
        <f>Model!Y51</f>
        <v>0.14211000901713255</v>
      </c>
      <c r="Z39" s="194">
        <f>Model!Z51</f>
        <v>0.19831300999358209</v>
      </c>
      <c r="AA39" s="194">
        <f>Model!AA51</f>
        <v>0.20779554356899763</v>
      </c>
      <c r="AB39" s="194">
        <f>Model!AB51</f>
        <v>0.1413845486111111</v>
      </c>
      <c r="AC39" s="194">
        <f>Model!AC51</f>
        <v>0.18345952242283051</v>
      </c>
      <c r="AD39" s="194">
        <f>Model!AD51</f>
        <v>0.19838617654250551</v>
      </c>
      <c r="AE39" s="194">
        <f>Model!AE51</f>
        <v>0.19885464957731117</v>
      </c>
    </row>
    <row r="81" spans="2:31" s="103" customFormat="1" ht="13.5" customHeight="1">
      <c r="B81" s="102"/>
      <c r="C81" s="43">
        <v>43921</v>
      </c>
      <c r="D81" s="43">
        <v>44286</v>
      </c>
      <c r="E81" s="43">
        <v>44651</v>
      </c>
      <c r="F81" s="43">
        <v>45016</v>
      </c>
      <c r="G81" s="43">
        <v>45382</v>
      </c>
      <c r="H81" s="43">
        <v>45747</v>
      </c>
      <c r="I81" s="43">
        <v>46112</v>
      </c>
      <c r="J81" s="101">
        <f>J3</f>
        <v>46112</v>
      </c>
      <c r="K81" s="245"/>
      <c r="L81" s="43">
        <v>44377</v>
      </c>
      <c r="M81" s="43">
        <v>44469</v>
      </c>
      <c r="N81" s="43">
        <v>44561</v>
      </c>
      <c r="O81" s="43">
        <v>44651</v>
      </c>
      <c r="P81" s="43">
        <v>44742</v>
      </c>
      <c r="Q81" s="43">
        <v>44834</v>
      </c>
      <c r="R81" s="43">
        <v>44926</v>
      </c>
      <c r="S81" s="43">
        <v>45016</v>
      </c>
      <c r="T81" s="43">
        <v>45107</v>
      </c>
      <c r="U81" s="43">
        <v>45199</v>
      </c>
      <c r="V81" s="43">
        <v>45291</v>
      </c>
      <c r="W81" s="43">
        <v>45382</v>
      </c>
      <c r="X81" s="43">
        <v>45473</v>
      </c>
      <c r="Y81" s="43">
        <f>Y3</f>
        <v>45565</v>
      </c>
      <c r="Z81" s="43">
        <f>Z3</f>
        <v>45657</v>
      </c>
      <c r="AA81" s="43">
        <f>AA3</f>
        <v>45747</v>
      </c>
      <c r="AB81" s="43">
        <v>45838</v>
      </c>
      <c r="AC81" s="43">
        <f>AC3</f>
        <v>45930</v>
      </c>
      <c r="AD81" s="43">
        <f>AD3</f>
        <v>46022</v>
      </c>
      <c r="AE81" s="43">
        <f>AE3</f>
        <v>46112</v>
      </c>
    </row>
    <row r="82" spans="2:31">
      <c r="B82" s="84" t="s">
        <v>178</v>
      </c>
      <c r="E82" s="195">
        <f t="shared" ref="E82:J82" si="59">E37</f>
        <v>101650</v>
      </c>
      <c r="F82" s="195">
        <f t="shared" si="59"/>
        <v>111780</v>
      </c>
      <c r="G82" s="195">
        <f t="shared" si="59"/>
        <v>55150</v>
      </c>
      <c r="H82" s="195">
        <f t="shared" si="59"/>
        <v>81200</v>
      </c>
      <c r="I82" s="195">
        <f t="shared" si="59"/>
        <v>95880</v>
      </c>
      <c r="J82" s="195">
        <f t="shared" si="59"/>
        <v>95880</v>
      </c>
      <c r="K82" s="247"/>
      <c r="L82" s="195">
        <f t="shared" ref="L82:AE82" si="60">L37</f>
        <v>18620</v>
      </c>
      <c r="M82" s="195">
        <f t="shared" si="60"/>
        <v>20450</v>
      </c>
      <c r="N82" s="195">
        <f t="shared" si="60"/>
        <v>26660</v>
      </c>
      <c r="O82" s="195">
        <f t="shared" si="60"/>
        <v>35920</v>
      </c>
      <c r="P82" s="195">
        <f t="shared" si="60"/>
        <v>23420</v>
      </c>
      <c r="Q82" s="195">
        <f t="shared" si="60"/>
        <v>27680</v>
      </c>
      <c r="R82" s="195">
        <f t="shared" si="60"/>
        <v>30350</v>
      </c>
      <c r="S82" s="195">
        <f t="shared" si="60"/>
        <v>30330</v>
      </c>
      <c r="T82" s="195">
        <f t="shared" si="60"/>
        <v>15930</v>
      </c>
      <c r="U82" s="195">
        <f t="shared" si="60"/>
        <v>15730</v>
      </c>
      <c r="V82" s="195">
        <f t="shared" si="60"/>
        <v>4160</v>
      </c>
      <c r="W82" s="195">
        <f t="shared" si="60"/>
        <v>19330</v>
      </c>
      <c r="X82" s="195">
        <f t="shared" si="60"/>
        <v>11450</v>
      </c>
      <c r="Y82" s="195">
        <f t="shared" si="60"/>
        <v>15760</v>
      </c>
      <c r="Z82" s="195">
        <f t="shared" si="60"/>
        <v>21630</v>
      </c>
      <c r="AA82" s="195">
        <f t="shared" si="60"/>
        <v>32360</v>
      </c>
      <c r="AB82" s="195">
        <f t="shared" si="60"/>
        <v>13030</v>
      </c>
      <c r="AC82" s="195">
        <f t="shared" si="60"/>
        <v>22050</v>
      </c>
      <c r="AD82" s="195">
        <f t="shared" si="60"/>
        <v>24340</v>
      </c>
      <c r="AE82" s="195">
        <f t="shared" si="60"/>
        <v>36460</v>
      </c>
    </row>
    <row r="83" spans="2:31">
      <c r="B83" s="84" t="s">
        <v>250</v>
      </c>
      <c r="E83" s="194">
        <f t="shared" ref="E83:J83" si="61">E39</f>
        <v>0.21983131487889274</v>
      </c>
      <c r="F83" s="194">
        <f t="shared" si="61"/>
        <v>0.20863819620725699</v>
      </c>
      <c r="G83" s="194">
        <f t="shared" si="61"/>
        <v>0.1279641746716785</v>
      </c>
      <c r="H83" s="194">
        <f t="shared" si="61"/>
        <v>0.1741106846495272</v>
      </c>
      <c r="I83" s="194">
        <f t="shared" si="61"/>
        <v>0.18495727155230618</v>
      </c>
      <c r="J83" s="194">
        <f t="shared" si="61"/>
        <v>0.18495727155230618</v>
      </c>
      <c r="K83" s="246"/>
      <c r="L83" s="194">
        <f t="shared" ref="L83:AE83" si="62">L39</f>
        <v>0.21867293012331179</v>
      </c>
      <c r="M83" s="194">
        <f t="shared" si="62"/>
        <v>0.19352701807513958</v>
      </c>
      <c r="N83" s="194">
        <f t="shared" si="62"/>
        <v>0.23599185624502081</v>
      </c>
      <c r="O83" s="194">
        <f t="shared" si="62"/>
        <v>0.22646743584893764</v>
      </c>
      <c r="P83" s="194">
        <f t="shared" si="62"/>
        <v>0.21643101376952223</v>
      </c>
      <c r="Q83" s="194">
        <f t="shared" si="62"/>
        <v>0.22131606300471734</v>
      </c>
      <c r="R83" s="194">
        <f t="shared" si="62"/>
        <v>0.22187294392864976</v>
      </c>
      <c r="S83" s="194">
        <f t="shared" si="62"/>
        <v>0.1830526887561108</v>
      </c>
      <c r="T83" s="194">
        <f t="shared" si="62"/>
        <v>0.17773067053441927</v>
      </c>
      <c r="U83" s="194">
        <f t="shared" si="62"/>
        <v>0.15467059980334316</v>
      </c>
      <c r="V83" s="194">
        <f t="shared" si="62"/>
        <v>4.2075452614544352E-2</v>
      </c>
      <c r="W83" s="194">
        <f t="shared" si="62"/>
        <v>0.13730643557323483</v>
      </c>
      <c r="X83" s="194">
        <f t="shared" si="62"/>
        <v>0.12628212198080954</v>
      </c>
      <c r="Y83" s="194">
        <f t="shared" si="62"/>
        <v>0.14211000901713255</v>
      </c>
      <c r="Z83" s="194">
        <f t="shared" si="62"/>
        <v>0.19831300999358209</v>
      </c>
      <c r="AA83" s="194">
        <f t="shared" si="62"/>
        <v>0.20779554356899763</v>
      </c>
      <c r="AB83" s="194">
        <f t="shared" si="62"/>
        <v>0.1413845486111111</v>
      </c>
      <c r="AC83" s="194">
        <f t="shared" si="62"/>
        <v>0.18345952242283051</v>
      </c>
      <c r="AD83" s="194">
        <f t="shared" si="62"/>
        <v>0.19838617654250551</v>
      </c>
      <c r="AE83" s="194">
        <f t="shared" si="62"/>
        <v>0.19885464957731117</v>
      </c>
    </row>
  </sheetData>
  <pageMargins left="0.7" right="0.7" top="0.75" bottom="0.75" header="0.3" footer="0.3"/>
  <pageSetup orientation="portrait" horizontalDpi="90" verticalDpi="90" r:id="rId1"/>
  <headerFooter>
    <oddFooter>&amp;C_x000D_&amp;1#&amp;"Calibri"&amp;10&amp;K000000 Barings-Corporate</oddFooter>
  </headerFooter>
  <ignoredErrors>
    <ignoredError sqref="K12:K14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64C1-A14F-4548-BA7F-68F9D3E78EE0}">
  <dimension ref="A3:I62"/>
  <sheetViews>
    <sheetView zoomScale="85" zoomScaleNormal="85" workbookViewId="0">
      <selection activeCell="B4" sqref="B4"/>
    </sheetView>
  </sheetViews>
  <sheetFormatPr defaultRowHeight="12.75"/>
  <cols>
    <col min="2" max="2" width="57.5703125" customWidth="1"/>
    <col min="3" max="3" width="28.85546875" customWidth="1"/>
    <col min="4" max="4" width="37.42578125" customWidth="1"/>
    <col min="5" max="7" width="18" customWidth="1"/>
    <col min="9" max="9" width="10.85546875" bestFit="1" customWidth="1"/>
  </cols>
  <sheetData>
    <row r="3" spans="1:7">
      <c r="A3" s="157" t="s">
        <v>49</v>
      </c>
      <c r="B3" s="157" t="s">
        <v>251</v>
      </c>
    </row>
    <row r="6" spans="1:7" ht="13.5" thickBot="1">
      <c r="B6" t="s">
        <v>252</v>
      </c>
    </row>
    <row r="7" spans="1:7" ht="13.5" thickTop="1">
      <c r="B7" s="167" t="s">
        <v>253</v>
      </c>
      <c r="C7" s="181" t="s">
        <v>254</v>
      </c>
      <c r="D7" s="168" t="s">
        <v>255</v>
      </c>
      <c r="E7" s="182" t="s">
        <v>90</v>
      </c>
      <c r="F7" s="182" t="s">
        <v>72</v>
      </c>
      <c r="G7" s="182" t="s">
        <v>49</v>
      </c>
    </row>
    <row r="8" spans="1:7" ht="13.5" thickBot="1">
      <c r="B8" s="160"/>
      <c r="C8" s="174"/>
      <c r="D8" s="169"/>
      <c r="E8" s="183">
        <v>45016</v>
      </c>
      <c r="F8" s="183">
        <v>45382</v>
      </c>
      <c r="G8" s="183">
        <v>45747</v>
      </c>
    </row>
    <row r="9" spans="1:7" ht="13.5" thickTop="1">
      <c r="B9" s="161" t="s">
        <v>256</v>
      </c>
      <c r="C9" s="175"/>
      <c r="D9" s="170"/>
      <c r="E9" s="184"/>
      <c r="F9" s="184"/>
      <c r="G9" s="184"/>
    </row>
    <row r="10" spans="1:7">
      <c r="B10" s="162" t="s">
        <v>257</v>
      </c>
      <c r="C10" s="175"/>
      <c r="D10" s="170"/>
      <c r="E10" s="184"/>
      <c r="F10" s="184"/>
      <c r="G10" s="184"/>
    </row>
    <row r="11" spans="1:7">
      <c r="B11" s="163" t="s">
        <v>258</v>
      </c>
      <c r="C11" s="176" t="s">
        <v>259</v>
      </c>
      <c r="D11" s="171" t="s">
        <v>260</v>
      </c>
      <c r="E11" s="185">
        <v>0</v>
      </c>
      <c r="F11" s="185">
        <v>0</v>
      </c>
      <c r="G11" s="185">
        <v>0</v>
      </c>
    </row>
    <row r="12" spans="1:7">
      <c r="B12" s="163"/>
      <c r="C12" s="177"/>
      <c r="D12" s="170"/>
      <c r="E12" s="184"/>
      <c r="F12" s="184"/>
      <c r="G12" s="184"/>
    </row>
    <row r="13" spans="1:7">
      <c r="B13" s="162" t="s">
        <v>261</v>
      </c>
      <c r="C13" s="177"/>
      <c r="D13" s="170"/>
      <c r="E13" s="184"/>
      <c r="F13" s="184"/>
      <c r="G13" s="184"/>
    </row>
    <row r="14" spans="1:7">
      <c r="B14" s="163" t="s">
        <v>262</v>
      </c>
      <c r="C14" s="178">
        <v>4.4999999999999998E-2</v>
      </c>
      <c r="D14" s="172" t="s">
        <v>263</v>
      </c>
      <c r="E14" s="185">
        <v>22540</v>
      </c>
      <c r="F14" s="185">
        <v>22910</v>
      </c>
      <c r="G14" s="185">
        <v>23510</v>
      </c>
    </row>
    <row r="15" spans="1:7" ht="13.5" thickBot="1">
      <c r="B15" s="163" t="s">
        <v>264</v>
      </c>
      <c r="C15" s="178">
        <v>4.6249999999999999E-2</v>
      </c>
      <c r="D15" s="172" t="s">
        <v>265</v>
      </c>
      <c r="E15" s="185">
        <v>36370</v>
      </c>
      <c r="F15" s="185">
        <v>36980</v>
      </c>
      <c r="G15" s="185">
        <v>37970</v>
      </c>
    </row>
    <row r="16" spans="1:7" ht="14.25" thickTop="1" thickBot="1">
      <c r="B16" s="162" t="s">
        <v>266</v>
      </c>
      <c r="C16" s="179"/>
      <c r="D16" s="172"/>
      <c r="E16" s="186">
        <f>SUM(E14:E15)</f>
        <v>58910</v>
      </c>
      <c r="F16" s="186">
        <f>SUM(F14:F15)</f>
        <v>59890</v>
      </c>
      <c r="G16" s="186">
        <f>SUM(G14:G15)</f>
        <v>61480</v>
      </c>
    </row>
    <row r="17" spans="2:7" ht="13.5" thickTop="1">
      <c r="B17" s="163"/>
      <c r="C17" s="177"/>
      <c r="D17" s="172"/>
      <c r="E17" s="184"/>
      <c r="F17" s="184"/>
      <c r="G17" s="184"/>
    </row>
    <row r="18" spans="2:7">
      <c r="B18" s="162" t="s">
        <v>267</v>
      </c>
      <c r="C18" s="177"/>
      <c r="D18" s="172"/>
      <c r="E18" s="184"/>
      <c r="F18" s="184"/>
      <c r="G18" s="184"/>
    </row>
    <row r="19" spans="2:7">
      <c r="B19" s="164" t="s">
        <v>268</v>
      </c>
      <c r="C19" s="177"/>
      <c r="D19" s="172"/>
      <c r="E19" s="184"/>
      <c r="F19" s="184"/>
      <c r="G19" s="184"/>
    </row>
    <row r="20" spans="2:7">
      <c r="B20" s="163" t="s">
        <v>269</v>
      </c>
      <c r="C20" s="178" t="s">
        <v>270</v>
      </c>
      <c r="D20" s="172" t="s">
        <v>271</v>
      </c>
      <c r="E20" s="185">
        <v>61170</v>
      </c>
      <c r="F20" s="185">
        <v>95200</v>
      </c>
      <c r="G20" s="185">
        <v>76620</v>
      </c>
    </row>
    <row r="21" spans="2:7">
      <c r="B21" s="163" t="s">
        <v>272</v>
      </c>
      <c r="C21" s="178" t="s">
        <v>273</v>
      </c>
      <c r="D21" s="172" t="s">
        <v>274</v>
      </c>
      <c r="E21" s="185">
        <v>97720</v>
      </c>
      <c r="F21" s="185">
        <v>82780</v>
      </c>
      <c r="G21" s="185">
        <v>85120</v>
      </c>
    </row>
    <row r="22" spans="2:7" ht="13.5" thickBot="1">
      <c r="B22" s="164" t="s">
        <v>275</v>
      </c>
      <c r="C22" s="178">
        <v>0.02</v>
      </c>
      <c r="D22" s="172" t="s">
        <v>276</v>
      </c>
      <c r="E22" s="185">
        <v>0</v>
      </c>
      <c r="F22" s="185">
        <v>2230</v>
      </c>
      <c r="G22" s="185">
        <v>1980</v>
      </c>
    </row>
    <row r="23" spans="2:7" ht="14.25" thickTop="1" thickBot="1">
      <c r="B23" s="162" t="s">
        <v>277</v>
      </c>
      <c r="C23" s="175"/>
      <c r="D23" s="170"/>
      <c r="E23" s="186">
        <f>SUM(E20:E22)</f>
        <v>158890</v>
      </c>
      <c r="F23" s="186">
        <f>SUM(F20:F22)</f>
        <v>180210</v>
      </c>
      <c r="G23" s="186">
        <f>SUM(G20:G22)</f>
        <v>163720</v>
      </c>
    </row>
    <row r="24" spans="2:7" ht="14.25" thickTop="1" thickBot="1">
      <c r="B24" s="163"/>
      <c r="C24" s="175"/>
      <c r="D24" s="170"/>
      <c r="E24" s="184"/>
      <c r="F24" s="184"/>
      <c r="G24" s="184"/>
    </row>
    <row r="25" spans="2:7" ht="14.25" thickTop="1" thickBot="1">
      <c r="B25" s="165" t="s">
        <v>278</v>
      </c>
      <c r="C25" s="180"/>
      <c r="D25" s="173"/>
      <c r="E25" s="187">
        <f>E23+E16+E11</f>
        <v>217800</v>
      </c>
      <c r="F25" s="187">
        <f>F23+F16+F11</f>
        <v>240100</v>
      </c>
      <c r="G25" s="187">
        <f>G23+G16+G11</f>
        <v>225200</v>
      </c>
    </row>
    <row r="26" spans="2:7" ht="13.5" thickTop="1">
      <c r="B26" s="163"/>
      <c r="C26" s="175"/>
      <c r="D26" s="170"/>
      <c r="E26" s="184"/>
      <c r="F26" s="184"/>
      <c r="G26" s="184"/>
    </row>
    <row r="27" spans="2:7">
      <c r="B27" s="163"/>
      <c r="C27" s="175"/>
      <c r="D27" s="170"/>
      <c r="E27" s="184"/>
      <c r="F27" s="184"/>
      <c r="G27" s="184"/>
    </row>
    <row r="28" spans="2:7">
      <c r="B28" s="161" t="s">
        <v>279</v>
      </c>
      <c r="C28" s="175"/>
      <c r="D28" s="170"/>
      <c r="E28" s="184"/>
      <c r="F28" s="184"/>
      <c r="G28" s="184"/>
    </row>
    <row r="29" spans="2:7">
      <c r="B29" s="163" t="s">
        <v>280</v>
      </c>
      <c r="C29" s="175"/>
      <c r="D29" s="170"/>
      <c r="E29" s="184"/>
      <c r="F29" s="184"/>
      <c r="G29" s="184"/>
    </row>
    <row r="30" spans="2:7">
      <c r="B30" s="163" t="s">
        <v>281</v>
      </c>
      <c r="C30" s="178" t="s">
        <v>282</v>
      </c>
      <c r="D30" s="172" t="s">
        <v>283</v>
      </c>
      <c r="E30" s="185">
        <v>830</v>
      </c>
      <c r="F30" s="185">
        <v>1950</v>
      </c>
      <c r="G30" s="185">
        <v>0</v>
      </c>
    </row>
    <row r="31" spans="2:7">
      <c r="B31" s="163" t="s">
        <v>284</v>
      </c>
      <c r="C31" s="178"/>
      <c r="D31" s="172"/>
      <c r="E31" s="184"/>
      <c r="F31" s="184"/>
      <c r="G31" s="185">
        <v>530</v>
      </c>
    </row>
    <row r="32" spans="2:7">
      <c r="B32" s="163" t="s">
        <v>285</v>
      </c>
      <c r="C32" s="178" t="s">
        <v>286</v>
      </c>
      <c r="D32" s="172" t="s">
        <v>283</v>
      </c>
      <c r="E32" s="185">
        <v>6730</v>
      </c>
      <c r="F32" s="185">
        <v>37380</v>
      </c>
      <c r="G32" s="185">
        <v>9130</v>
      </c>
    </row>
    <row r="33" spans="2:9">
      <c r="B33" s="163" t="s">
        <v>287</v>
      </c>
      <c r="C33" s="178" t="s">
        <v>288</v>
      </c>
      <c r="D33" s="172" t="s">
        <v>288</v>
      </c>
      <c r="E33" s="185">
        <v>1130</v>
      </c>
      <c r="F33" s="185">
        <v>1950</v>
      </c>
      <c r="G33" s="185">
        <v>1780</v>
      </c>
    </row>
    <row r="34" spans="2:9" ht="13.5" thickBot="1">
      <c r="B34" s="163" t="s">
        <v>289</v>
      </c>
      <c r="C34" s="178">
        <v>8.4000000000000005E-2</v>
      </c>
      <c r="D34" s="172" t="s">
        <v>290</v>
      </c>
      <c r="E34" s="185">
        <v>3500</v>
      </c>
      <c r="F34" s="185">
        <v>3000</v>
      </c>
      <c r="G34" s="185">
        <v>500</v>
      </c>
    </row>
    <row r="35" spans="2:9" ht="14.25" thickTop="1" thickBot="1">
      <c r="B35" s="163" t="s">
        <v>291</v>
      </c>
      <c r="C35" s="178"/>
      <c r="D35" s="172"/>
      <c r="E35" s="186">
        <f>SUM(E30:E34)</f>
        <v>12190</v>
      </c>
      <c r="F35" s="186">
        <f>SUM(F30:F34)</f>
        <v>44280</v>
      </c>
      <c r="G35" s="186">
        <f>SUM(G30:G34)</f>
        <v>11940</v>
      </c>
    </row>
    <row r="36" spans="2:9" ht="13.5" thickTop="1">
      <c r="B36" s="163"/>
      <c r="C36" s="178"/>
      <c r="D36" s="172"/>
      <c r="E36" s="184"/>
      <c r="F36" s="184"/>
      <c r="G36" s="184"/>
    </row>
    <row r="37" spans="2:9">
      <c r="B37" s="163" t="s">
        <v>292</v>
      </c>
      <c r="C37" s="178" t="s">
        <v>293</v>
      </c>
      <c r="D37" s="172" t="s">
        <v>294</v>
      </c>
      <c r="E37" s="185">
        <v>0</v>
      </c>
      <c r="F37" s="185">
        <v>0</v>
      </c>
      <c r="G37" s="185">
        <v>0</v>
      </c>
    </row>
    <row r="38" spans="2:9">
      <c r="B38" s="163"/>
      <c r="C38" s="178"/>
      <c r="D38" s="172"/>
      <c r="E38" s="184"/>
      <c r="F38" s="184"/>
      <c r="G38" s="184"/>
    </row>
    <row r="39" spans="2:9">
      <c r="B39" s="163" t="s">
        <v>295</v>
      </c>
      <c r="C39" s="178" t="s">
        <v>288</v>
      </c>
      <c r="D39" s="172" t="s">
        <v>288</v>
      </c>
      <c r="E39" s="185">
        <v>16360</v>
      </c>
      <c r="F39" s="185">
        <v>0</v>
      </c>
      <c r="G39" s="185">
        <v>42570</v>
      </c>
    </row>
    <row r="40" spans="2:9" ht="13.5" thickBot="1">
      <c r="B40" s="163"/>
      <c r="C40" s="175"/>
      <c r="D40" s="170"/>
      <c r="E40" s="184"/>
      <c r="F40" s="184"/>
      <c r="G40" s="184"/>
    </row>
    <row r="41" spans="2:9" ht="14.25" thickTop="1" thickBot="1">
      <c r="B41" s="165" t="s">
        <v>296</v>
      </c>
      <c r="C41" s="180"/>
      <c r="D41" s="173"/>
      <c r="E41" s="188">
        <f>E35+E37+E39</f>
        <v>28550</v>
      </c>
      <c r="F41" s="188">
        <f>F35+F37+F39</f>
        <v>44280</v>
      </c>
      <c r="G41" s="188">
        <f>G35+G37+G39</f>
        <v>54510</v>
      </c>
    </row>
    <row r="42" spans="2:9" ht="13.5" thickTop="1">
      <c r="B42" s="163"/>
      <c r="C42" s="175"/>
      <c r="D42" s="170"/>
      <c r="E42" s="184"/>
      <c r="F42" s="184"/>
      <c r="G42" s="184"/>
    </row>
    <row r="43" spans="2:9">
      <c r="B43" s="163"/>
      <c r="C43" s="175"/>
      <c r="D43" s="170"/>
      <c r="E43" s="184"/>
      <c r="F43" s="184"/>
      <c r="G43" s="184"/>
    </row>
    <row r="44" spans="2:9">
      <c r="B44" s="162" t="s">
        <v>297</v>
      </c>
      <c r="C44" s="175"/>
      <c r="D44" s="170"/>
      <c r="E44" s="189">
        <f>E25</f>
        <v>217800</v>
      </c>
      <c r="F44" s="189">
        <f>F25</f>
        <v>240100</v>
      </c>
      <c r="G44" s="189">
        <f>G25</f>
        <v>225200</v>
      </c>
    </row>
    <row r="45" spans="2:9">
      <c r="B45" s="164" t="s">
        <v>298</v>
      </c>
      <c r="C45" s="175"/>
      <c r="D45" s="170"/>
      <c r="E45" s="190">
        <f>E39</f>
        <v>16360</v>
      </c>
      <c r="F45" s="190">
        <f>F39</f>
        <v>0</v>
      </c>
      <c r="G45" s="190">
        <f>G39</f>
        <v>42570</v>
      </c>
    </row>
    <row r="46" spans="2:9">
      <c r="B46" s="161" t="s">
        <v>299</v>
      </c>
      <c r="C46" s="175"/>
      <c r="D46" s="170"/>
      <c r="E46" s="191">
        <f>E44-E45</f>
        <v>201440</v>
      </c>
      <c r="F46" s="191">
        <f>F44-F45</f>
        <v>240100</v>
      </c>
      <c r="G46" s="191">
        <f>G44-G45</f>
        <v>182630</v>
      </c>
    </row>
    <row r="47" spans="2:9">
      <c r="B47" s="164" t="s">
        <v>300</v>
      </c>
      <c r="C47" s="175"/>
      <c r="D47" s="170"/>
      <c r="E47" s="192">
        <v>0</v>
      </c>
      <c r="F47" s="192">
        <v>2230</v>
      </c>
      <c r="G47" s="192">
        <v>1980</v>
      </c>
    </row>
    <row r="48" spans="2:9">
      <c r="B48" s="164" t="s">
        <v>301</v>
      </c>
      <c r="C48" s="175"/>
      <c r="D48" s="170"/>
      <c r="E48" s="192">
        <v>201440</v>
      </c>
      <c r="F48" s="192">
        <v>237870</v>
      </c>
      <c r="G48" s="192">
        <v>223220</v>
      </c>
      <c r="I48" s="233"/>
    </row>
    <row r="49" spans="2:7">
      <c r="B49" s="161" t="s">
        <v>302</v>
      </c>
      <c r="C49" s="175"/>
      <c r="D49" s="170"/>
      <c r="E49" s="191">
        <f>E41</f>
        <v>28550</v>
      </c>
      <c r="F49" s="191">
        <f>F41</f>
        <v>44280</v>
      </c>
      <c r="G49" s="191">
        <f>G41</f>
        <v>54510</v>
      </c>
    </row>
    <row r="50" spans="2:7">
      <c r="B50" s="164" t="s">
        <v>300</v>
      </c>
      <c r="C50" s="175"/>
      <c r="D50" s="170"/>
      <c r="E50" s="192">
        <v>830</v>
      </c>
      <c r="F50" s="192">
        <v>1950</v>
      </c>
      <c r="G50" s="192">
        <f>G35</f>
        <v>11940</v>
      </c>
    </row>
    <row r="51" spans="2:7" ht="13.5" thickBot="1">
      <c r="B51" s="164" t="s">
        <v>301</v>
      </c>
      <c r="C51" s="175"/>
      <c r="D51" s="170"/>
      <c r="E51" s="192">
        <v>27720</v>
      </c>
      <c r="F51" s="192">
        <v>42330</v>
      </c>
      <c r="G51" s="192">
        <f>G39</f>
        <v>42570</v>
      </c>
    </row>
    <row r="52" spans="2:7" ht="14.25" thickTop="1" thickBot="1">
      <c r="B52" s="166" t="s">
        <v>303</v>
      </c>
      <c r="C52" s="180"/>
      <c r="D52" s="173"/>
      <c r="E52" s="193">
        <f>E46+E49</f>
        <v>229990</v>
      </c>
      <c r="F52" s="193">
        <f>F46+F49</f>
        <v>284380</v>
      </c>
      <c r="G52" s="193">
        <f>G46+G49</f>
        <v>237140</v>
      </c>
    </row>
    <row r="53" spans="2:7" ht="13.5" thickTop="1">
      <c r="B53" t="s">
        <v>242</v>
      </c>
      <c r="E53" s="159">
        <f>E52-Model!F109</f>
        <v>0</v>
      </c>
      <c r="F53" s="159">
        <f>F52-Model!G109</f>
        <v>0</v>
      </c>
      <c r="G53" s="159">
        <f>G52-Model!H109</f>
        <v>0</v>
      </c>
    </row>
    <row r="56" spans="2:7">
      <c r="F56" s="159"/>
      <c r="G56" s="159"/>
    </row>
    <row r="57" spans="2:7">
      <c r="B57" s="157" t="s">
        <v>304</v>
      </c>
      <c r="F57" s="159"/>
      <c r="G57" s="159"/>
    </row>
    <row r="58" spans="2:7" ht="51">
      <c r="B58" s="158" t="s">
        <v>305</v>
      </c>
    </row>
    <row r="61" spans="2:7">
      <c r="B61" s="157" t="s">
        <v>306</v>
      </c>
    </row>
    <row r="62" spans="2:7" ht="51">
      <c r="B62" s="158" t="s">
        <v>307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EECCAA3DB94895FACE15614ECBE0" ma:contentTypeVersion="3" ma:contentTypeDescription="Create a new document." ma:contentTypeScope="" ma:versionID="df48d4251bee182ecc7fb5dcb95088a2">
  <xsd:schema xmlns:xsd="http://www.w3.org/2001/XMLSchema" xmlns:xs="http://www.w3.org/2001/XMLSchema" xmlns:p="http://schemas.microsoft.com/office/2006/metadata/properties" xmlns:ns2="aa33d72f-12a9-4590-815a-2b1f92f4a722" targetNamespace="http://schemas.microsoft.com/office/2006/metadata/properties" ma:root="true" ma:fieldsID="e53bcbeb5cc26077ba81130311515115" ns2:_="">
    <xsd:import namespace="aa33d72f-12a9-4590-815a-2b1f92f4a7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3d72f-12a9-4590-815a-2b1f92f4a7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32EE65-FF9D-486F-B8CC-D4698F2DFDE8}"/>
</file>

<file path=customXml/itemProps2.xml><?xml version="1.0" encoding="utf-8"?>
<ds:datastoreItem xmlns:ds="http://schemas.openxmlformats.org/officeDocument/2006/customXml" ds:itemID="{EE7A509F-0A22-47D0-8C7C-C3F28C566EA1}"/>
</file>

<file path=customXml/itemProps3.xml><?xml version="1.0" encoding="utf-8"?>
<ds:datastoreItem xmlns:ds="http://schemas.openxmlformats.org/officeDocument/2006/customXml" ds:itemID="{1765D82E-B1EA-4530-A872-AEF4529FE1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MassMutual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</dc:creator>
  <cp:keywords/>
  <dc:description/>
  <cp:lastModifiedBy/>
  <cp:revision/>
  <dcterms:created xsi:type="dcterms:W3CDTF">2008-03-12T15:44:19Z</dcterms:created>
  <dcterms:modified xsi:type="dcterms:W3CDTF">2026-10-28T11:48:18Z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{7259EA4D-B0FF-4B67-B3B9-C4BFD77D0FED}</vt:lpwstr>
  </property>
  <property fmtid="{D5CDD505-2E9C-101B-9397-08002B2CF9AE}" pid="3" name="MSIP_Label_8c63c790-1b4f-473b-b88f-a693ca173b52_Enabled">
    <vt:lpwstr>true</vt:lpwstr>
  </property>
  <property fmtid="{D5CDD505-2E9C-101B-9397-08002B2CF9AE}" pid="4" name="MSIP_Label_8c63c790-1b4f-473b-b88f-a693ca173b52_SetDate">
    <vt:lpwstr>2022-06-03T10:54:26Z</vt:lpwstr>
  </property>
  <property fmtid="{D5CDD505-2E9C-101B-9397-08002B2CF9AE}" pid="5" name="MSIP_Label_8c63c790-1b4f-473b-b88f-a693ca173b52_Method">
    <vt:lpwstr>Privileged</vt:lpwstr>
  </property>
  <property fmtid="{D5CDD505-2E9C-101B-9397-08002B2CF9AE}" pid="6" name="MSIP_Label_8c63c790-1b4f-473b-b88f-a693ca173b52_Name">
    <vt:lpwstr>Internal</vt:lpwstr>
  </property>
  <property fmtid="{D5CDD505-2E9C-101B-9397-08002B2CF9AE}" pid="7" name="MSIP_Label_8c63c790-1b4f-473b-b88f-a693ca173b52_SiteId">
    <vt:lpwstr>4d8b04bf-7a7c-48a0-b6e3-38da5008297e</vt:lpwstr>
  </property>
  <property fmtid="{D5CDD505-2E9C-101B-9397-08002B2CF9AE}" pid="8" name="MSIP_Label_8c63c790-1b4f-473b-b88f-a693ca173b52_ActionId">
    <vt:lpwstr>9cf49318-3405-4959-ab1e-f2420950e604</vt:lpwstr>
  </property>
  <property fmtid="{D5CDD505-2E9C-101B-9397-08002B2CF9AE}" pid="9" name="MSIP_Label_8c63c790-1b4f-473b-b88f-a693ca173b52_ContentBits">
    <vt:lpwstr>0</vt:lpwstr>
  </property>
  <property fmtid="{D5CDD505-2E9C-101B-9397-08002B2CF9AE}" pid="10" name="MSIP_Label_e23aaa83-1940-48a9-a4d6-4a193a1929ec_Enabled">
    <vt:lpwstr>true</vt:lpwstr>
  </property>
  <property fmtid="{D5CDD505-2E9C-101B-9397-08002B2CF9AE}" pid="11" name="MSIP_Label_e23aaa83-1940-48a9-a4d6-4a193a1929ec_SetDate">
    <vt:lpwstr>2024-05-14T16:06:47Z</vt:lpwstr>
  </property>
  <property fmtid="{D5CDD505-2E9C-101B-9397-08002B2CF9AE}" pid="12" name="MSIP_Label_e23aaa83-1940-48a9-a4d6-4a193a1929ec_Method">
    <vt:lpwstr>Standard</vt:lpwstr>
  </property>
  <property fmtid="{D5CDD505-2E9C-101B-9397-08002B2CF9AE}" pid="13" name="MSIP_Label_e23aaa83-1940-48a9-a4d6-4a193a1929ec_Name">
    <vt:lpwstr>Corporate</vt:lpwstr>
  </property>
  <property fmtid="{D5CDD505-2E9C-101B-9397-08002B2CF9AE}" pid="14" name="MSIP_Label_e23aaa83-1940-48a9-a4d6-4a193a1929ec_SiteId">
    <vt:lpwstr>ce78e7b0-e32a-4428-9390-1c2ec8a59c47</vt:lpwstr>
  </property>
  <property fmtid="{D5CDD505-2E9C-101B-9397-08002B2CF9AE}" pid="15" name="MSIP_Label_e23aaa83-1940-48a9-a4d6-4a193a1929ec_ActionId">
    <vt:lpwstr>515a60ca-c12c-4407-809f-e5ab21b978e6</vt:lpwstr>
  </property>
  <property fmtid="{D5CDD505-2E9C-101B-9397-08002B2CF9AE}" pid="16" name="MSIP_Label_e23aaa83-1940-48a9-a4d6-4a193a1929ec_ContentBits">
    <vt:lpwstr>2</vt:lpwstr>
  </property>
  <property fmtid="{D5CDD505-2E9C-101B-9397-08002B2CF9AE}" pid="17" name="ContentTypeId">
    <vt:lpwstr>0x0101003A00EECCAA3DB94895FACE15614ECBE0</vt:lpwstr>
  </property>
</Properties>
</file>