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6"/>
  <workbookPr codeName="ThisWorkbook"/>
  <mc:AlternateContent xmlns:mc="http://schemas.openxmlformats.org/markup-compatibility/2006">
    <mc:Choice Requires="x15">
      <x15ac:absPath xmlns:x15ac="http://schemas.microsoft.com/office/spreadsheetml/2010/11/ac" url="D:\working\waccache\MI1PEPF0000028A\EXCELCNV\173b6a2e-7bab-4912-83ce-e3435293f547\"/>
    </mc:Choice>
  </mc:AlternateContent>
  <xr:revisionPtr revIDLastSave="0" documentId="8_{A39BA874-1132-48B1-980A-E1D7F3E0AAFC}" xr6:coauthVersionLast="47" xr6:coauthVersionMax="47" xr10:uidLastSave="{00000000-0000-0000-0000-000000000000}"/>
  <bookViews>
    <workbookView xWindow="-60" yWindow="-60" windowWidth="15480" windowHeight="11640" xr2:uid="{57B904E9-ED45-4754-89FC-FBAAD00BA412}"/>
  </bookViews>
  <sheets>
    <sheet name="Capitalisation" sheetId="17" r:id="rId1"/>
    <sheet name="Model" sheetId="15" r:id="rId2"/>
    <sheet name="KPIS" sheetId="20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\A">#REF!</definedName>
    <definedName name="\B">#REF!</definedName>
    <definedName name="\C">#REF!</definedName>
    <definedName name="\L">#REF!</definedName>
    <definedName name="\M">#REF!</definedName>
    <definedName name="\P">#REF!</definedName>
    <definedName name="\Y">#REF!</definedName>
    <definedName name="__FDS_HYPERLINK_TOGGLE_STATE__" hidden="1">"ON"</definedName>
    <definedName name="_01_30_04" localSheetId="0">MonthlyOpStats</definedName>
    <definedName name="_01_30_04" localSheetId="2">MonthlyOpStats</definedName>
    <definedName name="_01_30_04" localSheetId="1">MonthlyOpStats</definedName>
    <definedName name="_01_30_04">MonthlyOpStats</definedName>
    <definedName name="_1_30_01" localSheetId="0">MonthlyOpStats</definedName>
    <definedName name="_1_30_01" localSheetId="2">MonthlyOpStats</definedName>
    <definedName name="_1_30_01" localSheetId="1">MonthlyOpStats</definedName>
    <definedName name="_1_30_01">MonthlyOpStats</definedName>
    <definedName name="_1_30_02" localSheetId="0">MonthlyOpStats</definedName>
    <definedName name="_1_30_02" localSheetId="2">MonthlyOpStats</definedName>
    <definedName name="_1_30_02" localSheetId="1">MonthlyOpStats</definedName>
    <definedName name="_1_30_02">MonthlyOpStats</definedName>
    <definedName name="_1_31_01" localSheetId="0">MonthlyOpStats</definedName>
    <definedName name="_1_31_01" localSheetId="2">MonthlyOpStats</definedName>
    <definedName name="_1_31_01" localSheetId="1">MonthlyOpStats</definedName>
    <definedName name="_1_31_01">MonthlyOpStats</definedName>
    <definedName name="_1_31_02" localSheetId="0">MonthlyOpStats</definedName>
    <definedName name="_1_31_02" localSheetId="2">MonthlyOpStats</definedName>
    <definedName name="_1_31_02" localSheetId="1">MonthlyOpStats</definedName>
    <definedName name="_1_31_02">MonthlyOpStats</definedName>
    <definedName name="_12_31_05" localSheetId="0">MonthlyOpStats</definedName>
    <definedName name="_12_31_05" localSheetId="2">MonthlyOpStats</definedName>
    <definedName name="_12_31_05" localSheetId="1">MonthlyOpStats</definedName>
    <definedName name="_12_31_05">MonthlyOpStats</definedName>
    <definedName name="_A">#REF!</definedName>
    <definedName name="_A___0">#REF!</definedName>
    <definedName name="_B">#REF!</definedName>
    <definedName name="_B___0">#REF!</definedName>
    <definedName name="_C">#REF!</definedName>
    <definedName name="_C___0">#REF!</definedName>
    <definedName name="_ent1">[1]Inputs!$J$17</definedName>
    <definedName name="_ent10">[1]Inputs!$J$476</definedName>
    <definedName name="_ent11">[1]Inputs!$J$527</definedName>
    <definedName name="_ent12">[1]Inputs!$J$578</definedName>
    <definedName name="_ent13">[1]Inputs!$J$629</definedName>
    <definedName name="_ent14">[1]Inputs!$J$680</definedName>
    <definedName name="_ent15">[1]Inputs!$J$731</definedName>
    <definedName name="_ent2">[1]Inputs!$J$68</definedName>
    <definedName name="_ent3">[1]Inputs!$J$119</definedName>
    <definedName name="_ent4">[1]Inputs!$J$170</definedName>
    <definedName name="_ent5">[1]Inputs!$J$221</definedName>
    <definedName name="_ent6">[1]Inputs!$J$272</definedName>
    <definedName name="_ent7">[1]Inputs!$J$323</definedName>
    <definedName name="_ent8">[1]Inputs!$J$374</definedName>
    <definedName name="_ent9">[1]Inputs!$J$425</definedName>
    <definedName name="_eps1">[1]Inputs!$P$42</definedName>
    <definedName name="_eps10">[1]Inputs!$P$501</definedName>
    <definedName name="_eps11">[1]Inputs!$P$552</definedName>
    <definedName name="_eps12">[1]Inputs!$P$603</definedName>
    <definedName name="_eps13">[1]Inputs!$P$654</definedName>
    <definedName name="_eps14">[1]Inputs!$P$705</definedName>
    <definedName name="_eps15">[1]Inputs!$P$756</definedName>
    <definedName name="_eps2">[1]Inputs!$P$93</definedName>
    <definedName name="_eps3">[1]Inputs!$P$144</definedName>
    <definedName name="_eps4">[1]Inputs!$P$195</definedName>
    <definedName name="_eps5">[1]Inputs!$P$246</definedName>
    <definedName name="_eps6">[1]Inputs!$P$297</definedName>
    <definedName name="_eps7">[1]Inputs!$P$348</definedName>
    <definedName name="_eps8">[1]Inputs!$P$399</definedName>
    <definedName name="_eps9">[1]Inputs!$P$450</definedName>
    <definedName name="_Fill" localSheetId="1" hidden="1">[2]FxdChg!#REF!</definedName>
    <definedName name="_Fill" hidden="1">[2]FxdChg!#REF!</definedName>
    <definedName name="_xlnm._FilterDatabase" localSheetId="1" hidden="1">Model!#REF!</definedName>
    <definedName name="_fye1">[1]Inputs!$E$12</definedName>
    <definedName name="_fye10">[1]Inputs!$E$471</definedName>
    <definedName name="_fye11">[1]Inputs!$E$522</definedName>
    <definedName name="_fye12">[1]Inputs!$E$573</definedName>
    <definedName name="_fye13">[1]Inputs!$E$624</definedName>
    <definedName name="_fye14">[1]Inputs!$E$675</definedName>
    <definedName name="_fye15">[1]Inputs!$E$726</definedName>
    <definedName name="_fye2">[1]Inputs!$E$63</definedName>
    <definedName name="_fye3">[1]Inputs!$E$114</definedName>
    <definedName name="_fye4">[1]Inputs!$E$165</definedName>
    <definedName name="_fye5">[1]Inputs!$E$216</definedName>
    <definedName name="_fye6">[1]Inputs!$E$267</definedName>
    <definedName name="_fye7">[1]Inputs!$E$318</definedName>
    <definedName name="_fye8">[1]Inputs!$E$369</definedName>
    <definedName name="_fye9">[1]Inputs!$E$420</definedName>
    <definedName name="_GEI_Returns" localSheetId="1">[3]Model!#REF!</definedName>
    <definedName name="_GEI_Returns">[3]Model!#REF!</definedName>
    <definedName name="_L">#REF!</definedName>
    <definedName name="_L___0">#REF!</definedName>
    <definedName name="_mv1">[1]Inputs!$J$16</definedName>
    <definedName name="_mv10">[1]Inputs!$J$475</definedName>
    <definedName name="_mv11">[1]Inputs!$J$526</definedName>
    <definedName name="_mv12">[1]Inputs!$J$577</definedName>
    <definedName name="_mv13">[1]Inputs!$J$628</definedName>
    <definedName name="_mv14">[1]Inputs!$J$679</definedName>
    <definedName name="_mv15">[1]Inputs!$J$730</definedName>
    <definedName name="_mv2">[1]Inputs!$J$67</definedName>
    <definedName name="_mv3">[1]Inputs!$J$118</definedName>
    <definedName name="_mv4">[1]Inputs!$J$169</definedName>
    <definedName name="_mv5">[1]Inputs!$J$220</definedName>
    <definedName name="_mv6">[1]Inputs!$J$271</definedName>
    <definedName name="_mv7">[1]Inputs!$J$322</definedName>
    <definedName name="_mv8">[1]Inputs!$J$373</definedName>
    <definedName name="_mv9">[1]Inputs!$J$424</definedName>
    <definedName name="_Order1" hidden="1">0</definedName>
    <definedName name="_Order2" hidden="1">0</definedName>
    <definedName name="_P">#REF!</definedName>
    <definedName name="_P___0">#REF!</definedName>
    <definedName name="_Table2_Out" hidden="1">#REF!</definedName>
    <definedName name="_Y">#REF!</definedName>
    <definedName name="_Y___0">#REF!</definedName>
    <definedName name="Aa_Recovery">#REF!</definedName>
    <definedName name="AAA_DOCTOPS" hidden="1">"AAA_SET"</definedName>
    <definedName name="AAA_duser" hidden="1">"OFF"</definedName>
    <definedName name="AAB_Addin5" hidden="1">"AAB_Description for addin 5,Description for addin 5,Description for addin 5,Description for addin 5,Description for addin 5,Description for addin 5"</definedName>
    <definedName name="AAB_GSPPG" hidden="1">"AAB_Goldman Sachs PPG Chart Utilities 1.0g"</definedName>
    <definedName name="Accrued_Comp_Sales" localSheetId="1">'[4]Tanning Assumptions'!#REF!</definedName>
    <definedName name="Accrued_Comp_Sales">'[4]Tanning Assumptions'!#REF!</definedName>
    <definedName name="acq">#REF!</definedName>
    <definedName name="acquiror">#REF!</definedName>
    <definedName name="AdSalesCash">#REF!</definedName>
    <definedName name="AdSalesTrade">#REF!</definedName>
    <definedName name="AdSalesWebsite">#REF!</definedName>
    <definedName name="AICORR" localSheetId="1">#REF!</definedName>
    <definedName name="AICORR">#REF!</definedName>
    <definedName name="AllBH">#REF!</definedName>
    <definedName name="allProjects">#REF!</definedName>
    <definedName name="amort" localSheetId="1">[5]Inputs!#REF!</definedName>
    <definedName name="amort">[5]Inputs!#REF!</definedName>
    <definedName name="AP_Sales" localSheetId="1">'[4]Tanning Assumptions'!#REF!</definedName>
    <definedName name="AP_Sales">'[4]Tanning Assumptions'!#REF!</definedName>
    <definedName name="AR_Other_Sales" localSheetId="1">'[4]Tanning Assumptions'!#REF!</definedName>
    <definedName name="AR_Other_Sales">'[4]Tanning Assumptions'!#REF!</definedName>
    <definedName name="AR_Trade_Sales" localSheetId="1">'[4]Tanning Assumptions'!#REF!</definedName>
    <definedName name="AR_Trade_Sales">'[4]Tanning Assumptions'!#REF!</definedName>
    <definedName name="As_Of_Date">[6]Selections!$C$2</definedName>
    <definedName name="asdfa">#REF!</definedName>
    <definedName name="AsOfDate">'[7]AUM YTD 2000'!$W$1</definedName>
    <definedName name="ASSUMPTIONS">#REF!</definedName>
    <definedName name="B_S" localSheetId="1">#REF!</definedName>
    <definedName name="B_S">#REF!</definedName>
    <definedName name="Baa_Recovery">#REF!</definedName>
    <definedName name="bal">#REF!</definedName>
    <definedName name="banner2">[8]CONTROL!$D$10</definedName>
    <definedName name="banner2___0">[8]CONTROL!$D$10</definedName>
    <definedName name="Base_Case">#REF!</definedName>
    <definedName name="Billable">#REF!</definedName>
    <definedName name="BillableHeadcount">#REF!</definedName>
    <definedName name="body">#REF!</definedName>
    <definedName name="BREAK_EVEN">#REF!</definedName>
    <definedName name="BREAK_EVEN___0">#REF!</definedName>
    <definedName name="Broadwing__Inc__Cincinnati_Bell">#REF!</definedName>
    <definedName name="brob">#REF!</definedName>
    <definedName name="bs" localSheetId="1">[5]Inputs!#REF!</definedName>
    <definedName name="bs">[5]Inputs!#REF!</definedName>
    <definedName name="case">#REF!</definedName>
    <definedName name="case1">[9]CONTROL!$A$12</definedName>
    <definedName name="case2">[9]CONTROL!$A$13</definedName>
    <definedName name="case3">[9]CONTROL!$A$14</definedName>
    <definedName name="CASH_FLOW" localSheetId="1">#REF!</definedName>
    <definedName name="CASH_FLOW">#REF!</definedName>
    <definedName name="Cash_Sales" localSheetId="1">'[4]Tanning Assumptions'!#REF!</definedName>
    <definedName name="Cash_Sales">'[4]Tanning Assumptions'!#REF!</definedName>
    <definedName name="CASHBUDGET" localSheetId="1">#REF!</definedName>
    <definedName name="CASHBUDGET">#REF!</definedName>
    <definedName name="CASHBUDGET___0" localSheetId="1">#REF!</definedName>
    <definedName name="CASHBUDGET___0">#REF!</definedName>
    <definedName name="CASHFLOWS_MONTH">#REF!</definedName>
    <definedName name="CASHFLOWS_MONTH___0">#REF!</definedName>
    <definedName name="CASHFLOWS_YEARS">#REF!</definedName>
    <definedName name="CASHFLOWS_YEARS___0">#REF!</definedName>
    <definedName name="cashint" localSheetId="1">#REF!</definedName>
    <definedName name="cashint">#REF!</definedName>
    <definedName name="cashint___0" localSheetId="1">#REF!</definedName>
    <definedName name="cashint___0">#REF!</definedName>
    <definedName name="CBHC">#REF!</definedName>
    <definedName name="cfl">#REF!</definedName>
    <definedName name="ChartDataRange">#REF!</definedName>
    <definedName name="CINC" localSheetId="1">#REF!</definedName>
    <definedName name="CINC">#REF!</definedName>
    <definedName name="CIQWBGuid" hidden="1">"f813fbd2-9a06-4412-b2a8-31a2d4746754"</definedName>
    <definedName name="CIQWBInfo" hidden="1">"{ ""CIQVersion"":""9.47.1108.4092"" }"</definedName>
    <definedName name="circ" localSheetId="1">[5]Inputs!#REF!</definedName>
    <definedName name="circ">[5]Inputs!#REF!</definedName>
    <definedName name="CircRev">#REF!</definedName>
    <definedName name="Class_3_Agg_Cash" localSheetId="1">[10]Revolver!#REF!</definedName>
    <definedName name="Class_3_Agg_Cash">[10]Revolver!#REF!</definedName>
    <definedName name="Class_3_Amt_BET" localSheetId="1">[10]Revolver!#REF!</definedName>
    <definedName name="Class_3_Amt_BET">[10]Revolver!#REF!</definedName>
    <definedName name="Class_A_Interest">#REF!</definedName>
    <definedName name="Class_A_Principal">#REF!</definedName>
    <definedName name="Class_B_Interest">#REF!</definedName>
    <definedName name="Class_B_Principal">#REF!</definedName>
    <definedName name="Class_C_Payment">#REF!</definedName>
    <definedName name="ClassABC">'[6]Debt Structure'!$AN$7</definedName>
    <definedName name="ClassABCD">'[6]Debt Structure'!$AN$8</definedName>
    <definedName name="ClassABCDE">'[6]Debt Structure'!$AN$9</definedName>
    <definedName name="Clients" localSheetId="1">#REF!</definedName>
    <definedName name="Clients">#REF!</definedName>
    <definedName name="closing_date">#REF!</definedName>
    <definedName name="closingttmrevenue">#REF!</definedName>
    <definedName name="CMBSIG" localSheetId="1">#REF!</definedName>
    <definedName name="CMBSIG">#REF!</definedName>
    <definedName name="Column_Lookup">'[11]MASTER DRIVER'!$C$5:$D$29</definedName>
    <definedName name="COMBINED_J_W__3_111403_JUP_IND_PROFORMA_List">#REF!</definedName>
    <definedName name="company">[12]CONTROL!$D$7</definedName>
    <definedName name="company___0">[8]CONTROL!$D$7</definedName>
    <definedName name="cons">#REF!</definedName>
    <definedName name="consultants">#REF!</definedName>
    <definedName name="contrib2" localSheetId="0" hidden="1">{"page1",#N/A,FALSE,"Temp";"page2",#N/A,FALSE,"Temp";"page3",#N/A,FALSE,"Temp";"page4",#N/A,FALSE,"Temp";"page5",#N/A,FALSE,"Temp";"page6",#N/A,FALSE,"Temp"}</definedName>
    <definedName name="contrib2" localSheetId="2" hidden="1">{"page1",#N/A,FALSE,"Temp";"page2",#N/A,FALSE,"Temp";"page3",#N/A,FALSE,"Temp";"page4",#N/A,FALSE,"Temp";"page5",#N/A,FALSE,"Temp";"page6",#N/A,FALSE,"Temp"}</definedName>
    <definedName name="contrib2" hidden="1">{"page1",#N/A,FALSE,"Temp";"page2",#N/A,FALSE,"Temp";"page3",#N/A,FALSE,"Temp";"page4",#N/A,FALSE,"Temp";"page5",#N/A,FALSE,"Temp";"page6",#N/A,FALSE,"Temp"}</definedName>
    <definedName name="contrib3" localSheetId="0" hidden="1">{"page1",#N/A,FALSE,"Temp";"page2",#N/A,FALSE,"Temp";"page3",#N/A,FALSE,"Temp";"page4",#N/A,FALSE,"Temp";"page5",#N/A,FALSE,"Temp";"page6",#N/A,FALSE,"Temp"}</definedName>
    <definedName name="contrib3" localSheetId="2" hidden="1">{"page1",#N/A,FALSE,"Temp";"page2",#N/A,FALSE,"Temp";"page3",#N/A,FALSE,"Temp";"page4",#N/A,FALSE,"Temp";"page5",#N/A,FALSE,"Temp";"page6",#N/A,FALSE,"Temp"}</definedName>
    <definedName name="contrib3" hidden="1">{"page1",#N/A,FALSE,"Temp";"page2",#N/A,FALSE,"Temp";"page3",#N/A,FALSE,"Temp";"page4",#N/A,FALSE,"Temp";"page5",#N/A,FALSE,"Temp";"page6",#N/A,FALSE,"Temp"}</definedName>
    <definedName name="convertamt">#REF!</definedName>
    <definedName name="convertamt___0">#REF!</definedName>
    <definedName name="convertper">#REF!</definedName>
    <definedName name="convertper___0">#REF!</definedName>
    <definedName name="CorpName">'[13]MASTER DRIVERS'!$A$1</definedName>
    <definedName name="COSTREPORT">#REF!</definedName>
    <definedName name="COSTREPORT___0">#REF!</definedName>
    <definedName name="counter" localSheetId="1">'[14]Portfolio Input'!#REF!</definedName>
    <definedName name="counter">'[14]Portfolio Input'!#REF!</definedName>
    <definedName name="counter2" localSheetId="1">'[14]Portfolio Input'!#REF!</definedName>
    <definedName name="counter2">'[14]Portfolio Input'!#REF!</definedName>
    <definedName name="Coupon">[15]Inputs!$J$30</definedName>
    <definedName name="CSEnd">#REF!</definedName>
    <definedName name="CSHO" localSheetId="1">#REF!</definedName>
    <definedName name="CSHO">#REF!</definedName>
    <definedName name="CSHPRI" localSheetId="1">#REF!</definedName>
    <definedName name="CSHPRI">#REF!</definedName>
    <definedName name="current1">[1]Inputs!$E$21</definedName>
    <definedName name="current10">[1]Inputs!$E$480</definedName>
    <definedName name="current11">[1]Inputs!$E$531</definedName>
    <definedName name="current12">[1]Inputs!$E$582</definedName>
    <definedName name="current13">[1]Inputs!$E$633</definedName>
    <definedName name="current14">[1]Inputs!$E$684</definedName>
    <definedName name="current15">[1]Inputs!$E$735</definedName>
    <definedName name="current2">[1]Inputs!$E$72</definedName>
    <definedName name="current3">[1]Inputs!$E$123</definedName>
    <definedName name="current4">[1]Inputs!$E$174</definedName>
    <definedName name="current5">[1]Inputs!$E$225</definedName>
    <definedName name="current6">[1]Inputs!$E$276</definedName>
    <definedName name="current7">[1]Inputs!$E$327</definedName>
    <definedName name="current8">[1]Inputs!$E$378</definedName>
    <definedName name="current9">[1]Inputs!$E$429</definedName>
    <definedName name="CustomPubSales">#REF!</definedName>
    <definedName name="Date" localSheetId="1">[16]Comps!#REF!</definedName>
    <definedName name="Date">[16]Comps!#REF!</definedName>
    <definedName name="Date_OC1">OFFSET([6]OCTrends!$B$2,0,0,COUNTA([6]OCTrends!$B$1:$B$65536)-1)</definedName>
    <definedName name="Date_OC2">OFFSET([6]OCTrends!$G$2,0,0,COUNTA([6]OCTrends!$G$1:$G$65536)-1)</definedName>
    <definedName name="Date_OC3">OFFSET([6]OCTrends!$L$2,0,0,COUNTA([6]OCTrends!$L$1:$L$65536)-1)</definedName>
    <definedName name="debtsched" localSheetId="1">[5]Inputs!#REF!</definedName>
    <definedName name="debtsched">[5]Inputs!#REF!</definedName>
    <definedName name="decconsultants">#REF!</definedName>
    <definedName name="decemberemployees">#REF!</definedName>
    <definedName name="decemployees">#REF!</definedName>
    <definedName name="default">#REF!</definedName>
    <definedName name="Default_Scenario">#REF!</definedName>
    <definedName name="Default_Table" localSheetId="1">#REF!</definedName>
    <definedName name="Default_Table">#REF!</definedName>
    <definedName name="Default_Timing">#REF!</definedName>
    <definedName name="depsched" localSheetId="1">[5]Inputs!#REF!</definedName>
    <definedName name="depsched">[5]Inputs!#REF!</definedName>
    <definedName name="DivActual">OFFSET([6]DivTrends!$C$2,0,0,COUNTA([6]DivTrends!$C$1:$C$65536)-1)</definedName>
    <definedName name="DivCovenant">OFFSET([6]DivTrends!$D$2,0,0,COUNTA([6]DivTrends!$D$1:$D$65536)-1)</definedName>
    <definedName name="DivDate">OFFSET([6]DivTrends!$B$2,0,0,COUNTA([6]DivTrends!$B$1:$B$65536)-1)</definedName>
    <definedName name="Diversity">'[7]Actual vs Covenant'!$P$41:$Q$48</definedName>
    <definedName name="DiversityScore">#REF!</definedName>
    <definedName name="earnout">#REF!</definedName>
    <definedName name="earnout___0">#REF!</definedName>
    <definedName name="EBIT" localSheetId="2">[17]Model!#REF!</definedName>
    <definedName name="EBIT">Model!#REF!</definedName>
    <definedName name="EBITDA">#REF!</definedName>
    <definedName name="ebitda1">[1]Inputs!$P$46</definedName>
    <definedName name="ebitda10">[1]Inputs!$P$505</definedName>
    <definedName name="ebitda11">[1]Inputs!$P$556</definedName>
    <definedName name="ebitda12">[1]Inputs!$P$607</definedName>
    <definedName name="ebitda13">[1]Inputs!$P$658</definedName>
    <definedName name="ebitda14">[1]Inputs!$P$709</definedName>
    <definedName name="ebitda15">[1]Inputs!$P$760</definedName>
    <definedName name="ebitda2">[1]Inputs!$P$97</definedName>
    <definedName name="ebitda3">[1]Inputs!$P$148</definedName>
    <definedName name="ebitda4">[1]Inputs!$P$199</definedName>
    <definedName name="ebitda5">[1]Inputs!$P$250</definedName>
    <definedName name="ebitda6">[1]Inputs!$P$301</definedName>
    <definedName name="ebitda7">[1]Inputs!$P$352</definedName>
    <definedName name="ebitda8">[1]Inputs!$P$403</definedName>
    <definedName name="ebitda9">[1]Inputs!$P$454</definedName>
    <definedName name="effective_date">#REF!</definedName>
    <definedName name="ELC1_Top3">[7]TOP10!$D$3</definedName>
    <definedName name="ELC1_Top4">[7]TOP10!$D$8</definedName>
    <definedName name="ELC1FitchRatingChartData">[7]ELC1!$G$2:$H$11</definedName>
    <definedName name="ELC1FitchRatingChartSerial1">[7]ELC1!$H$2:$H$11</definedName>
    <definedName name="ELC1FitchRatingChartXScale">[7]ELC1!$G$2:$G$11</definedName>
    <definedName name="ELC1MoodyRatingChartData">[7]ELC1!$A$2:$B$14</definedName>
    <definedName name="ELC1MoodyRatingChartSerial1">[7]ELC1!$B$2:$B$14</definedName>
    <definedName name="ELC1MoodyRatingChartXScale">[7]ELC1!$A$2:$A$14</definedName>
    <definedName name="ELC1SPRatingChartData">[7]ELC1!$D$2:$E$14</definedName>
    <definedName name="ELC1SPRatingChartSerial1">[7]ELC1!$E$2:$E$14</definedName>
    <definedName name="ELC1SPRatingChartXScale">[7]ELC1!$D$2:$D$14</definedName>
    <definedName name="ELC2_Top3">[7]TOP10!$G$3</definedName>
    <definedName name="ELC2_Top4">[7]TOP10!$G$8</definedName>
    <definedName name="ELC2FitchRatingChartData">[7]ELC2!$G$2:$H$12</definedName>
    <definedName name="ELC2FitchRatingChartSerial1">[7]ELC2!$H$2:$H$12</definedName>
    <definedName name="ELC2FitchRatingChartXScale">[7]ELC2!$G$2:$G$12</definedName>
    <definedName name="ELC2MoodyRatingChartData">[7]ELC2!$A$2:$B$15</definedName>
    <definedName name="ELC2MoodyRatingChartSerial1">[7]ELC2!$B$2:$B$15</definedName>
    <definedName name="ELC2MoodyRatingChartXScale">[7]ELC2!$A$2:$A$15</definedName>
    <definedName name="ELC2SPRatingChartData">[7]ELC2!$D$2:$E$15</definedName>
    <definedName name="ELC2SPRatingChartSerial1">[7]ELC2!$E$2:$E$15</definedName>
    <definedName name="ELC2SPRatingChartXScale">[7]ELC2!$D$2:$D$15</definedName>
    <definedName name="ELC3_Top3">[7]TOP10!$J$3</definedName>
    <definedName name="ELC3_Top4">[7]TOP10!$J$8</definedName>
    <definedName name="ELC3FitchRatingChartData">[7]ELC3!$G$2:$H$14</definedName>
    <definedName name="ELC3FitchRatingChartSerial1">[7]ELC3!$H$2:$H$14</definedName>
    <definedName name="ELC3FitchRatingChartXScale">[7]ELC3!$G$2:$G$14</definedName>
    <definedName name="ELC3MoodyRatingChartData">[7]ELC3!$A$2:$B$15</definedName>
    <definedName name="ELC3MoodyRatingChartSerial1">[7]ELC3!$B$2:$B$15</definedName>
    <definedName name="ELC3MoodyRatingChartXScale">[7]ELC3!$A$2:$A$15</definedName>
    <definedName name="ELC3SPRatingChartData">[7]ELC3!$D$2:$E$16</definedName>
    <definedName name="ELC3SPRatingChartSerial1">[7]ELC3!$E$2:$E$16</definedName>
    <definedName name="ELC3SPRatingChartXScale">[7]ELC3!$D$2:$D$16</definedName>
    <definedName name="ELC4_Top3">[7]TOP10!$M$3</definedName>
    <definedName name="ELC4_Top4">[7]TOP10!$M$8</definedName>
    <definedName name="ELC4FitchRatingChartData">[7]ELC4!$G$2:$H$8</definedName>
    <definedName name="ELC4FitchRatingChartSerial1">[7]ELC4!$H$2:$H$8</definedName>
    <definedName name="ELC4FitchRatingChartXScale">[7]ELC4!$G$2:$G$8</definedName>
    <definedName name="ELC4MoodyRatingChartData">[7]ELC4!$A$2:$B$13</definedName>
    <definedName name="ELC4MoodyRatingChartSerial1">[7]ELC4!$B$2:$B$13</definedName>
    <definedName name="ELC4MoodyRatingChartXScale">[7]ELC4!$A$2:$A$13</definedName>
    <definedName name="ELC4SPRatingChartData">[7]ELC4!$D$2:$E$14</definedName>
    <definedName name="ELC4SPRatingChartSerial1">[7]ELC4!$E$2:$E$14</definedName>
    <definedName name="ELC4SPRatingChartXScale">[7]ELC4!$D$2:$D$14</definedName>
    <definedName name="ELC5_Top3">[7]TOP10!$P$3</definedName>
    <definedName name="ELC5_Top4">[7]TOP10!$P$8</definedName>
    <definedName name="ELC5FitchRatingChartData">[7]ELC5!$G$2:$H$9</definedName>
    <definedName name="ELC5FitchRatingChartSerial1">[7]ELC5!$H$2:$H$9</definedName>
    <definedName name="ELC5FitchRatingChartXScale">[7]ELC5!$G$2:$G$9</definedName>
    <definedName name="ELC5MoodyRatingChartData">[7]ELC5!$A$2:$B$14</definedName>
    <definedName name="ELC5MoodyRatingChartSerial1">[7]ELC5!$B$2:$B$14</definedName>
    <definedName name="ELC5MoodyRatingChartXScale">[7]ELC5!$A$2:$A$14</definedName>
    <definedName name="ELC5SPRatingChartData">[7]ELC5!$D$2:$E$14</definedName>
    <definedName name="ELC5SPRatingChartSerial1">[7]ELC5!$E$2:$E$14</definedName>
    <definedName name="ELC5SPRatingChartXScale">[7]ELC5!$D$2:$D$14</definedName>
    <definedName name="employees">#REF!</definedName>
    <definedName name="EndDay">[6]Selections!$R$3</definedName>
    <definedName name="EndMonth">[6]Selections!$R$2</definedName>
    <definedName name="EndYear">[6]Selections!$R$1</definedName>
    <definedName name="ePrint" localSheetId="1">[18]Consolidated!#REF!</definedName>
    <definedName name="ePrint">[18]Consolidated!#REF!</definedName>
    <definedName name="EQUITY">'[9]S&amp;U'!$E$12</definedName>
    <definedName name="equityamt">#REF!</definedName>
    <definedName name="equityamt___0">#REF!</definedName>
    <definedName name="equityper">#REF!</definedName>
    <definedName name="equityper___0">#REF!</definedName>
    <definedName name="ev.Calculation" hidden="1">-4105</definedName>
    <definedName name="ev.Initialized" hidden="1">FALSE</definedName>
    <definedName name="exe">#REF!</definedName>
    <definedName name="fianal">[19]Preliminary!$A$1:$D$65</definedName>
    <definedName name="filename">[6]Selections!$U$2</definedName>
    <definedName name="Final_Number">#REF!</definedName>
    <definedName name="FinanceRev">#REF!</definedName>
    <definedName name="FinanceRev2">#REF!</definedName>
    <definedName name="firstHourDate">#REF!</definedName>
    <definedName name="firstProject">#REF!</definedName>
    <definedName name="Flat_Swap">#REF!</definedName>
    <definedName name="FSoPacific" localSheetId="0" hidden="1">{"BS",#N/A,FALSE,"USA"}</definedName>
    <definedName name="FSoPacific" localSheetId="2" hidden="1">{"BS",#N/A,FALSE,"USA"}</definedName>
    <definedName name="FSoPacific" hidden="1">{"BS",#N/A,FALSE,"USA"}</definedName>
    <definedName name="Fund">[6]Selections!$A$1</definedName>
    <definedName name="Fwd_Curve">#REF!</definedName>
    <definedName name="FYEMarker">#REF!</definedName>
    <definedName name="FYEMonth">#REF!</definedName>
    <definedName name="G_A_SUMMARY">#REF!</definedName>
    <definedName name="group_quarterly">#REF!</definedName>
    <definedName name="Header1">[20]_01_05_v_Wicks_xls__01_05_v_Wic!$N$1</definedName>
    <definedName name="high1">[1]Inputs!$E$23</definedName>
    <definedName name="high10">[1]Inputs!$E$482</definedName>
    <definedName name="high11">[1]Inputs!$E$533</definedName>
    <definedName name="high12">[1]Inputs!$E$584</definedName>
    <definedName name="high13">[1]Inputs!$E$635</definedName>
    <definedName name="high14">[1]Inputs!$E$686</definedName>
    <definedName name="high15">[1]Inputs!$E$737</definedName>
    <definedName name="high2">[1]Inputs!$E$74</definedName>
    <definedName name="high3">[1]Inputs!$E$125</definedName>
    <definedName name="high4">[1]Inputs!$E$176</definedName>
    <definedName name="high5">[1]Inputs!$E$227</definedName>
    <definedName name="high6">[1]Inputs!$E$278</definedName>
    <definedName name="high7">[1]Inputs!$E$329</definedName>
    <definedName name="high8">[1]Inputs!$E$380</definedName>
    <definedName name="high9">[1]Inputs!$E$431</definedName>
    <definedName name="hl" localSheetId="1">'[21]LBO Summary'!#REF!</definedName>
    <definedName name="hl">'[21]LBO Summary'!#REF!</definedName>
    <definedName name="hn.ExtDb" hidden="1">FALSE</definedName>
    <definedName name="hn.ModelType" hidden="1">"DEAL"</definedName>
    <definedName name="hn.ModelVersion" hidden="1">1</definedName>
    <definedName name="hn.NoUpload" hidden="1">0</definedName>
    <definedName name="IC1Actual">OFFSET([6]ICTrends!$C$2,0,0,COUNTA([6]ICTrends!$C$1:$C$65536)-1)</definedName>
    <definedName name="IC1ChartTitle">[6]ICTrends!$W$1</definedName>
    <definedName name="IC1Covenant">OFFSET([6]ICTrends!$D$2,0,0,COUNTA([6]ICTrends!$D$1:$D$65536)-1)</definedName>
    <definedName name="IC1Date">OFFSET([6]ICTrends!$B$2,0,0,COUNTA([6]ICTrends!$B$1:$B$65536)-1)</definedName>
    <definedName name="IC2Actual">OFFSET([6]ICTrends!$H$2,0,0,COUNTA([6]ICTrends!$H$1:$H$65536)-1)</definedName>
    <definedName name="IC2Covenant">OFFSET([6]ICTrends!$I$2,0,0,COUNTA([6]ICTrends!$I$1:$I$65536)-1)</definedName>
    <definedName name="IC2Date">OFFSET([6]ICTrends!$G$2,0,0,COUNTA([6]ICTrends!$G$1:$G$65536)-1)</definedName>
    <definedName name="IC3Actual">OFFSET([6]ICTrends!$M$2,0,0,COUNTA([6]ICTrends!$M$1:$M$65536)-1)</definedName>
    <definedName name="IC3Covenant">OFFSET([6]ICTrends!$N$2,0,0,COUNTA([6]ICTrends!$N$1:$N$65536)-1)</definedName>
    <definedName name="IC3Date">OFFSET([6]ICTrends!$L$2,0,0,COUNTA([6]ICTrends!$L$1:$L$65536)-1)</definedName>
    <definedName name="IC4Actual">OFFSET([6]ICTrends!$R$2,0,0,COUNTA([6]ICTrends!$R$1:$R$65536)-1)</definedName>
    <definedName name="IC4Covenant">OFFSET([6]ICTrends!$S$2,0,0,COUNTA([6]ICTrends!$S$1:$S$65536)-1)</definedName>
    <definedName name="IC4Date">OFFSET([6]ICTrends!$Q$2,0,0,COUNTA([6]ICTrends!$Q$1:$Q$65536)-1)</definedName>
    <definedName name="inc">#REF!</definedName>
    <definedName name="incsyntog">#REF!</definedName>
    <definedName name="incsyntog___0">#REF!</definedName>
    <definedName name="inputs">#REF!</definedName>
    <definedName name="IQ_AE_BR" hidden="1">"c10"</definedName>
    <definedName name="IQ_AP_BR" hidden="1">"c34"</definedName>
    <definedName name="IQ_AR_BR" hidden="1">"c41"</definedName>
    <definedName name="IQ_ASSET_WRITEDOWN_BR" hidden="1">"c50"</definedName>
    <definedName name="IQ_ASSET_WRITEDOWN_CF_BR" hidden="1">"c53"</definedName>
    <definedName name="IQ_AVG_PRICE_TARGET" hidden="1">"c82"</definedName>
    <definedName name="IQ_BONDRATING_FITCH" hidden="1">"IQ_BONDRATING_FITCH"</definedName>
    <definedName name="IQ_BONDRATING_SP" hidden="1">"IQ_BONDRATING_SP"</definedName>
    <definedName name="IQ_BOOK_VALUE" hidden="1">"IQ_BOOK_VALUE"</definedName>
    <definedName name="IQ_CAPEX_BR" hidden="1">"c111"</definedName>
    <definedName name="IQ_CH">110000</definedName>
    <definedName name="IQ_CHANGE_AP_BR" hidden="1">"c135"</definedName>
    <definedName name="IQ_CHANGE_AR_BR" hidden="1">"c142"</definedName>
    <definedName name="IQ_CHANGE_OTHER_NET_OPER_ASSETS_BR" hidden="1">"c3595"</definedName>
    <definedName name="IQ_CHANGE_OTHER_WORK_CAP_BR" hidden="1">"c154"</definedName>
    <definedName name="IQ_COMMERCIAL_DOM" hidden="1">"c177"</definedName>
    <definedName name="IQ_COMMERCIAL_MORT" hidden="1">"c179"</definedName>
    <definedName name="IQ_COMMON_APIC_BR" hidden="1">"c185"</definedName>
    <definedName name="IQ_COMMON_ISSUED_BR" hidden="1">"c199"</definedName>
    <definedName name="IQ_COMMON_REP_BR" hidden="1">"c208"</definedName>
    <definedName name="IQ_CONV_RATE" hidden="1">"c2192"</definedName>
    <definedName name="IQ_CQ">5000</definedName>
    <definedName name="IQ_CURRENCY_GAIN_BR" hidden="1">"c236"</definedName>
    <definedName name="IQ_CURRENT_PORT_DEBT_BR" hidden="1">"c1567"</definedName>
    <definedName name="IQ_CY">10000</definedName>
    <definedName name="IQ_DA_BR" hidden="1">"c248"</definedName>
    <definedName name="IQ_DA_CF_BR" hidden="1">"c251"</definedName>
    <definedName name="IQ_DA_SUPPL_BR" hidden="1">"c260"</definedName>
    <definedName name="IQ_DA_SUPPL_CF_BR" hidden="1">"c263"</definedName>
    <definedName name="IQ_DAILY">500000</definedName>
    <definedName name="IQ_DEF_AMORT_BR" hidden="1">"c278"</definedName>
    <definedName name="IQ_DEF_CHARGES_BR" hidden="1">"c288"</definedName>
    <definedName name="IQ_DEF_CHARGES_LT_BR" hidden="1">"c294"</definedName>
    <definedName name="IQ_DEF_TAX_ASSET_LT_BR" hidden="1">"c304"</definedName>
    <definedName name="IQ_DEF_TAX_LIAB_LT_BR" hidden="1">"c315"</definedName>
    <definedName name="IQ_DNTM" hidden="1">700000</definedName>
    <definedName name="IQ_EBIT_10K" hidden="1">"IQ_EBIT_10K"</definedName>
    <definedName name="IQ_EBIT_10Q" hidden="1">"IQ_EBIT_10Q"</definedName>
    <definedName name="IQ_EBIT_10Q1" hidden="1">"IQ_EBIT_10Q1"</definedName>
    <definedName name="IQ_EBIT_GROWTH_1" hidden="1">"IQ_EBIT_GROWTH_1"</definedName>
    <definedName name="IQ_EBIT_GROWTH_2" hidden="1">"IQ_EBIT_GROWTH_2"</definedName>
    <definedName name="IQ_EBITDA_10K" hidden="1">"IQ_EBITDA_10K"</definedName>
    <definedName name="IQ_EBITDA_10Q" hidden="1">"IQ_EBITDA_10Q"</definedName>
    <definedName name="IQ_EBITDA_10Q1" hidden="1">"IQ_EBITDA_10Q1"</definedName>
    <definedName name="IQ_EBITDA_GROWTH_1" hidden="1">"IQ_EBITDA_GROWTH_1"</definedName>
    <definedName name="IQ_EBITDA_GROWTH_2" hidden="1">"IQ_EBITDA_GROWTH_2"</definedName>
    <definedName name="IQ_EBT_BR" hidden="1">"c378"</definedName>
    <definedName name="IQ_EBT_EXCL_BR" hidden="1">"c381"</definedName>
    <definedName name="IQ_EPS" hidden="1">"IQ_EPS"</definedName>
    <definedName name="IQ_EPS_10K" hidden="1">"IQ_EPS_10K"</definedName>
    <definedName name="IQ_EPS_10Q" hidden="1">"IQ_EPS_10Q"</definedName>
    <definedName name="IQ_EPS_10Q1" hidden="1">"IQ_EPS_10Q1"</definedName>
    <definedName name="IQ_EPS_EST_1" hidden="1">"IQ_EPS_EST_1"</definedName>
    <definedName name="IQ_EST_EPS_SURPRISE" hidden="1">"c1635"</definedName>
    <definedName name="IQ_EV_OVER_REVENUE_EST" hidden="1">"IQ_EV_OVER_REVENUE_EST"</definedName>
    <definedName name="IQ_EV_OVER_REVENUE_EST_1" hidden="1">"IQ_EV_OVER_REVENUE_EST_1"</definedName>
    <definedName name="IQ_EXTRA_ACC_ITEMS_BR" hidden="1">"c412"</definedName>
    <definedName name="IQ_FH">100000</definedName>
    <definedName name="IQ_FQ">500</definedName>
    <definedName name="IQ_FWD" hidden="1">"LTM"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WD1" hidden="1">"LTM"</definedName>
    <definedName name="IQ_FY">1000</definedName>
    <definedName name="IQ_FY_DATE" hidden="1">"IQ_FY_DATE"</definedName>
    <definedName name="IQ_GAIN_ASSETS_BR" hidden="1">"c454"</definedName>
    <definedName name="IQ_GAIN_ASSETS_CF_BR" hidden="1">"c457"</definedName>
    <definedName name="IQ_GAIN_ASSETS_REV_BR" hidden="1">"c474"</definedName>
    <definedName name="IQ_GAIN_INVEST_BR" hidden="1">"c1464"</definedName>
    <definedName name="IQ_GAIN_INVEST_CF_BR" hidden="1">"c482"</definedName>
    <definedName name="IQ_GAIN_INVEST_REV_BR" hidden="1">"c496"</definedName>
    <definedName name="IQ_GW_AMORT_BR" hidden="1">"c532"</definedName>
    <definedName name="IQ_GW_INTAN_AMORT_BR" hidden="1">"c1470"</definedName>
    <definedName name="IQ_GW_INTAN_AMORT_CF_BR" hidden="1">"c1473"</definedName>
    <definedName name="IQ_INC_EQUITY_BR" hidden="1">"c550"</definedName>
    <definedName name="IQ_INS_SETTLE_BR" hidden="1">"c572"</definedName>
    <definedName name="IQ_INT_EXP_BR" hidden="1">"c586"</definedName>
    <definedName name="IQ_INT_INC_BR" hidden="1">"c593"</definedName>
    <definedName name="IQ_INTEREST_INC_10K" hidden="1">"IQ_INTEREST_INC_10K"</definedName>
    <definedName name="IQ_INTEREST_INC_10Q" hidden="1">"IQ_INTEREST_INC_10Q"</definedName>
    <definedName name="IQ_INTEREST_INC_10Q1" hidden="1">"IQ_INTEREST_INC_10Q1"</definedName>
    <definedName name="IQ_INVEST_LOANS_CF_BR" hidden="1">"c630"</definedName>
    <definedName name="IQ_INVEST_SECURITY_CF_BR" hidden="1">"c639"</definedName>
    <definedName name="IQ_LAST_EBIT_MARGIN" hidden="1">"IQ_LAST_EBIT_MARGIN"</definedName>
    <definedName name="IQ_LAST_EBITDA_MARGIN" hidden="1">"IQ_LAST_EBITDA_MARGIN"</definedName>
    <definedName name="IQ_LAST_GROSS_MARGIN" hidden="1">"IQ_LAST_GROSS_MARGIN"</definedName>
    <definedName name="IQ_LAST_NET_INC_MARGIN" hidden="1">"IQ_LAST_NET_INC_MARGIN"</definedName>
    <definedName name="IQ_LATEST" hidden="1">"1"</definedName>
    <definedName name="IQ_LATESTK" hidden="1">1000</definedName>
    <definedName name="IQ_LATESTKFR" hidden="1">"50"</definedName>
    <definedName name="IQ_LATESTQ" hidden="1">500</definedName>
    <definedName name="IQ_LATESTQFR" hidden="1">"100"</definedName>
    <definedName name="IQ_LEGAL_SETTLE_BR" hidden="1">"c649"</definedName>
    <definedName name="IQ_LOANS_CF_BR" hidden="1">"c661"</definedName>
    <definedName name="IQ_LT_DEBT_BR" hidden="1">"c676"</definedName>
    <definedName name="IQ_LT_DEBT_ISSUED_BR" hidden="1">"c683"</definedName>
    <definedName name="IQ_LT_DEBT_REPAID_BR" hidden="1">"c691"</definedName>
    <definedName name="IQ_LT_INVEST_BR" hidden="1">"c698"</definedName>
    <definedName name="IQ_LTM">2000</definedName>
    <definedName name="IQ_LTM_DATE" hidden="1">"IQ_LTM_DATE"</definedName>
    <definedName name="IQ_LTMMONTH" hidden="1">120000</definedName>
    <definedName name="IQ_MERGER_BR" hidden="1">"c715"</definedName>
    <definedName name="IQ_MERGER_RESTRUCTURE_BR" hidden="1">"c721"</definedName>
    <definedName name="IQ_MINORITY_INTEREST_BR" hidden="1">"c729"</definedName>
    <definedName name="IQ_MONTH">15000</definedName>
    <definedName name="IQ_MTD" hidden="1">800000</definedName>
    <definedName name="IQ_NAMES_REVISION_DATE_" hidden="1">43480.4994560185</definedName>
    <definedName name="IQ_NET_DEBT_ISSUED_BR" hidden="1">"c753"</definedName>
    <definedName name="IQ_NET_INC_10K" hidden="1">"IQ_NET_INC_10K"</definedName>
    <definedName name="IQ_NET_INC_10Q" hidden="1">"IQ_NET_INC_10Q"</definedName>
    <definedName name="IQ_NET_INC_10Q1" hidden="1">"IQ_NET_INC_10Q1"</definedName>
    <definedName name="IQ_NET_INC_GROWTH_1" hidden="1">"IQ_NET_INC_GROWTH_1"</definedName>
    <definedName name="IQ_NET_INC_GROWTH_2" hidden="1">"IQ_NET_INC_GROWTH_2"</definedName>
    <definedName name="IQ_NET_INT_INC_BR" hidden="1">"c765"</definedName>
    <definedName name="IQ_NTM">6000</definedName>
    <definedName name="IQ_OG_TOTAL_OIL_PRODUCTON" hidden="1">"c2059"</definedName>
    <definedName name="IQ_OPER_INC_BR" hidden="1">"c850"</definedName>
    <definedName name="IQ_OTHER_ASSETS_BR" hidden="1">"c862"</definedName>
    <definedName name="IQ_OTHER_CA_SUPPL_BR" hidden="1">"c871"</definedName>
    <definedName name="IQ_OTHER_CL_SUPPL_BR" hidden="1">"c880"</definedName>
    <definedName name="IQ_OTHER_EQUITY_BR" hidden="1">"c888"</definedName>
    <definedName name="IQ_OTHER_FINANCE_ACT_BR" hidden="1">"c895"</definedName>
    <definedName name="IQ_OTHER_FINANCE_ACT_SUPPL_BR" hidden="1">"c901"</definedName>
    <definedName name="IQ_OTHER_INTAN_BR" hidden="1">"c909"</definedName>
    <definedName name="IQ_OTHER_INVEST_ACT_BR" hidden="1">"c918"</definedName>
    <definedName name="IQ_OTHER_INVEST_ACT_SUPPL_BR" hidden="1">"c924"</definedName>
    <definedName name="IQ_OTHER_LIAB_BR" hidden="1">"c932"</definedName>
    <definedName name="IQ_OTHER_LIAB_LT_BR" hidden="1">"c937"</definedName>
    <definedName name="IQ_OTHER_LT_ASSETS_BR" hidden="1">"c948"</definedName>
    <definedName name="IQ_OTHER_NON_OPER_EXP_BR" hidden="1">"c957"</definedName>
    <definedName name="IQ_OTHER_NON_OPER_EXP_SUPPL_BR" hidden="1">"c962"</definedName>
    <definedName name="IQ_OTHER_OPER_ACT_BR" hidden="1">"c985"</definedName>
    <definedName name="IQ_OTHER_OPER_BR" hidden="1">"c990"</definedName>
    <definedName name="IQ_OTHER_OPER_SUPPL_BR" hidden="1">"c994"</definedName>
    <definedName name="IQ_OTHER_OPER_TOT_BR" hidden="1">"c1000"</definedName>
    <definedName name="IQ_OTHER_REV_BR" hidden="1">"c1011"</definedName>
    <definedName name="IQ_OTHER_REV_SUPPL_BR" hidden="1">"c1016"</definedName>
    <definedName name="IQ_OTHER_UNUSUAL_BR" hidden="1">"c1561"</definedName>
    <definedName name="IQ_OTHER_UNUSUAL_SUPPL_BR" hidden="1">"c1496"</definedName>
    <definedName name="IQ_PC_WRITTEN" hidden="1">"c1027"</definedName>
    <definedName name="IQ_PERCENT_CHANGE_EST_FFO_12MONTHS" hidden="1">"c1828"</definedName>
    <definedName name="IQ_PERCENT_CHANGE_EST_FFO_18MONTHS" hidden="1">"c1829"</definedName>
    <definedName name="IQ_PERCENT_CHANGE_EST_FFO_3MONTHS" hidden="1">"c1825"</definedName>
    <definedName name="IQ_PERCENT_CHANGE_EST_FFO_6MONTHS" hidden="1">"c1826"</definedName>
    <definedName name="IQ_PERCENT_CHANGE_EST_FFO_9MONTHS" hidden="1">"c1827"</definedName>
    <definedName name="IQ_PERCENT_CHANGE_EST_FFO_DAY" hidden="1">"c1822"</definedName>
    <definedName name="IQ_PERCENT_CHANGE_EST_FFO_MONTH" hidden="1">"c1824"</definedName>
    <definedName name="IQ_PERCENT_CHANGE_EST_FFO_WEEK" hidden="1">"c1823"</definedName>
    <definedName name="IQ_PREF_ISSUED_BR" hidden="1">"c1047"</definedName>
    <definedName name="IQ_PREF_OTHER_BR" hidden="1">"c1055"</definedName>
    <definedName name="IQ_PREF_REP_BR" hidden="1">"c1062"</definedName>
    <definedName name="IQ_PRETAX_INC" hidden="1">"IQ_PRETAX_INC"</definedName>
    <definedName name="IQ_PRETAX_INC_10K" hidden="1">"IQ_PRETAX_INC_10K"</definedName>
    <definedName name="IQ_PRETAX_INC_10Q" hidden="1">"IQ_PRETAX_INC_10Q"</definedName>
    <definedName name="IQ_PRETAX_INC_10Q1" hidden="1">"IQ_PRETAX_INC_10Q1"</definedName>
    <definedName name="IQ_PRICE_OVER_EPS_EST" hidden="1">"IQ_PRICE_OVER_EPS_EST"</definedName>
    <definedName name="IQ_PRICE_OVER_EPS_EST_1" hidden="1">"IQ_PRICE_OVER_EPS_EST_1"</definedName>
    <definedName name="IQ_PRICEDATETIME" hidden="1">"IQ_PRICEDATETIME"</definedName>
    <definedName name="IQ_QTD" hidden="1">750000</definedName>
    <definedName name="IQ_RESIDENTIAL_LOANS" hidden="1">"c1102"</definedName>
    <definedName name="IQ_RESTRUCTURE_BR" hidden="1">"c1106"</definedName>
    <definedName name="IQ_RETURN_ASSETS_BROK" hidden="1">"c1115"</definedName>
    <definedName name="IQ_RETURN_EQUITY_BROK" hidden="1">"c1120"</definedName>
    <definedName name="IQ_REVENUE_10K" hidden="1">"IQ_REVENUE_10K"</definedName>
    <definedName name="IQ_REVENUE_10Q" hidden="1">"IQ_REVENUE_10Q"</definedName>
    <definedName name="IQ_REVENUE_10Q1" hidden="1">"IQ_REVENUE_10Q1"</definedName>
    <definedName name="IQ_REVENUE_EST_1" hidden="1">"IQ_REVENUE_EST_1"</definedName>
    <definedName name="IQ_REVENUE_GROWTH_1" hidden="1">"IQ_REVENUE_GROWTH_1"</definedName>
    <definedName name="IQ_REVENUE_GROWTH_2" hidden="1">"IQ_REVENUE_GROWTH_2"</definedName>
    <definedName name="IQ_SALE_INTAN_CF_BR" hidden="1">"c1133"</definedName>
    <definedName name="IQ_SALE_PPE_CF_BR" hidden="1">"c1139"</definedName>
    <definedName name="IQ_SALE_REAL_ESTATE_CF_BR" hidden="1">"c1145"</definedName>
    <definedName name="IQ_SHAREOUTSTANDING" hidden="1">"c1347"</definedName>
    <definedName name="IQ_SPECIAL_DIV_CF_BR" hidden="1">"c1171"</definedName>
    <definedName name="IQ_ST_DEBT_BR" hidden="1">"c1178"</definedName>
    <definedName name="IQ_ST_DEBT_ISSUED_BR" hidden="1">"c1183"</definedName>
    <definedName name="IQ_ST_DEBT_REPAID_BR" hidden="1">"c1191"</definedName>
    <definedName name="IQ_TODAY" hidden="1">0</definedName>
    <definedName name="IQ_TOTAL_AR_BR" hidden="1">"c1231"</definedName>
    <definedName name="IQ_TOTAL_DEBT_ISSUED_BR" hidden="1">"c1253"</definedName>
    <definedName name="IQ_TOTAL_DEBT_REPAID_BR" hidden="1">"c1260"</definedName>
    <definedName name="IQ_TOTAL_LIAB_BR" hidden="1">"c1278"</definedName>
    <definedName name="IQ_TOTAL_OPER_EXP_BR" hidden="1">"c1284"</definedName>
    <definedName name="IQ_TOTAL_PENSION_OBLIGATION" hidden="1">"c1292"</definedName>
    <definedName name="IQ_TOTAL_REV_BR" hidden="1">"c1303"</definedName>
    <definedName name="IQ_TREASURY_OTHER_EQUITY_BR" hidden="1">"c1314"</definedName>
    <definedName name="IQ_UNEARN_REV_CURRENT_BR" hidden="1">"c1324"</definedName>
    <definedName name="IQ_WEEK">50000</definedName>
    <definedName name="IQ_YTD">3000</definedName>
    <definedName name="IQ_YTDMONTH" hidden="1">130000</definedName>
    <definedName name="IsColHidden" hidden="1">FALSE</definedName>
    <definedName name="IsLTMColHidden" hidden="1">FALSE</definedName>
    <definedName name="Item">#REF!</definedName>
    <definedName name="K2_WBEVMODE" hidden="1">-1</definedName>
    <definedName name="lastCol">#REF!</definedName>
    <definedName name="latest1">[1]Inputs!$E$13</definedName>
    <definedName name="latest10">[1]Inputs!$E$472</definedName>
    <definedName name="latest11">[1]Inputs!$E$523</definedName>
    <definedName name="latest12">[1]Inputs!$E$574</definedName>
    <definedName name="latest13">[1]Inputs!$E$625</definedName>
    <definedName name="latest14">[1]Inputs!$E$676</definedName>
    <definedName name="latest15">[1]Inputs!$E$727</definedName>
    <definedName name="latest2">[1]Inputs!$E$64</definedName>
    <definedName name="latest3">[1]Inputs!$E$115</definedName>
    <definedName name="latest4">[1]Inputs!$E$166</definedName>
    <definedName name="latest5">[1]Inputs!$E$217</definedName>
    <definedName name="latest6">[1]Inputs!$E$268</definedName>
    <definedName name="latest7">[1]Inputs!$E$319</definedName>
    <definedName name="latest8">[1]Inputs!$E$370</definedName>
    <definedName name="latest9">[1]Inputs!$E$421</definedName>
    <definedName name="LBO" localSheetId="1">'[9]S&amp;U'!#REF!</definedName>
    <definedName name="LBO">'[9]S&amp;U'!#REF!</definedName>
    <definedName name="left">#REF!</definedName>
    <definedName name="lett" localSheetId="1">#REF!</definedName>
    <definedName name="lett">#REF!</definedName>
    <definedName name="LIBOR">[22]Portfolio!$E$2</definedName>
    <definedName name="Libor_Assumptions">#REF!</definedName>
    <definedName name="Libor_Curve">#REF!</definedName>
    <definedName name="Libor_Down">#REF!</definedName>
    <definedName name="Libor_Down_Up">#REF!</definedName>
    <definedName name="LIBOR_Minus_1SD" localSheetId="1">[10]Revolver!#REF!</definedName>
    <definedName name="LIBOR_Minus_1SD">[10]Revolver!#REF!</definedName>
    <definedName name="Libor_Minus_2SD" localSheetId="1">[10]Revolver!#REF!</definedName>
    <definedName name="Libor_Minus_2SD">[10]Revolver!#REF!</definedName>
    <definedName name="Libor_Plus_0SD" localSheetId="1">[10]Revolver!#REF!</definedName>
    <definedName name="Libor_Plus_0SD">[10]Revolver!#REF!</definedName>
    <definedName name="Libor_Plus_1SD" localSheetId="1">[10]Revolver!#REF!</definedName>
    <definedName name="Libor_Plus_1SD">[10]Revolver!#REF!</definedName>
    <definedName name="Libor_Plus_2SD" localSheetId="1">[10]Revolver!#REF!</definedName>
    <definedName name="Libor_Plus_2SD">[10]Revolver!#REF!</definedName>
    <definedName name="Libor_Scenario">#REF!</definedName>
    <definedName name="Libor_Up">#REF!</definedName>
    <definedName name="longterm" localSheetId="1">[5]Inputs!#REF!</definedName>
    <definedName name="longterm">[5]Inputs!#REF!</definedName>
    <definedName name="LTM_DATE">#REF!</definedName>
    <definedName name="Marketable_securities" localSheetId="1">'[23]Fly-by-night - problem 5'!#REF!</definedName>
    <definedName name="Marketable_securities">'[23]Fly-by-night - problem 5'!#REF!</definedName>
    <definedName name="MaxMarkDate">[7]SaleData!$M$3</definedName>
    <definedName name="mcs03g.ReqArray" localSheetId="0">{"Price","ICTG","TS131","D","0","0","H"}</definedName>
    <definedName name="mcs03g.ReqArray" localSheetId="2">{"Price","ICTG","TS131","D","0","0","H"}</definedName>
    <definedName name="mcs03g.ReqArray">{"Price","ICTG","TS131","D","0","0","H"}</definedName>
    <definedName name="mcs03g.ReqArray___0">#N/A</definedName>
    <definedName name="mcs03g.ReqArray___12">#N/A</definedName>
    <definedName name="mcs03g.ReqArray___2">#N/A</definedName>
    <definedName name="MKVALM" localSheetId="1">#REF!</definedName>
    <definedName name="MKVALM">#REF!</definedName>
    <definedName name="MONTHLYSALES" localSheetId="1">#REF!</definedName>
    <definedName name="MONTHLYSALES">#REF!</definedName>
    <definedName name="MONTHLYSALES___0" localSheetId="1">#REF!</definedName>
    <definedName name="MONTHLYSALES___0">#REF!</definedName>
    <definedName name="moodys">#REF!</definedName>
    <definedName name="mu">'[24]LBO Summary'!$G$130</definedName>
    <definedName name="Name">[5]Info!$C$8</definedName>
    <definedName name="name1">[1]Inputs!$E$10</definedName>
    <definedName name="name10">[1]Inputs!$E$469</definedName>
    <definedName name="name11">[1]Inputs!$E$520</definedName>
    <definedName name="name12">[1]Inputs!$E$571</definedName>
    <definedName name="name13">[1]Inputs!$E$622</definedName>
    <definedName name="name14">[1]Inputs!$E$673</definedName>
    <definedName name="name15">[1]Inputs!$E$724</definedName>
    <definedName name="name2">[1]Inputs!$E$61</definedName>
    <definedName name="name3">[1]Inputs!$E$112</definedName>
    <definedName name="name4">[1]Inputs!$E$163</definedName>
    <definedName name="name5">[1]Inputs!$E$214</definedName>
    <definedName name="name6">[1]Inputs!$E$265</definedName>
    <definedName name="name7">[1]Inputs!$E$316</definedName>
    <definedName name="name8">[1]Inputs!$E$367</definedName>
    <definedName name="name9">[1]Inputs!$E$418</definedName>
    <definedName name="NDY" localSheetId="1">#REF!</definedName>
    <definedName name="NDY">#REF!</definedName>
    <definedName name="NDYWGT" localSheetId="1">#REF!</definedName>
    <definedName name="NDYWGT">#REF!</definedName>
    <definedName name="OC1Actual">OFFSET([6]OCTrends!$C$2,0,0,COUNTA([6]OCTrends!$C$1:$C$65536)-1)</definedName>
    <definedName name="OC1ChartTitle">[6]OCTrends!$W$1</definedName>
    <definedName name="OC1Covenant">OFFSET([6]OCTrends!$D$2,0,0,COUNTA([6]OCTrends!$D$1:$D$65536)-1)</definedName>
    <definedName name="OC1Date">OFFSET([6]OCTrends!$B$2,0,0,COUNTA([6]OCTrends!$B$1:$B$65536)-1)</definedName>
    <definedName name="OC2Actual">OFFSET([6]OCTrends!$H$2,0,0,COUNTA([6]OCTrends!$H$1:$H$65536)-1)</definedName>
    <definedName name="OC2Covenant">OFFSET([6]OCTrends!$I$2,0,0,COUNTA([6]OCTrends!$I$1:$I$65536)-1)</definedName>
    <definedName name="OC2Date">OFFSET([6]OCTrends!$G$2,0,0,COUNTA([6]OCTrends!$G$1:$G$65536)-1)</definedName>
    <definedName name="OC3Actual">OFFSET([6]OCTrends!$M$2,0,0,COUNTA([6]OCTrends!$M$1:$M$65536)-1)</definedName>
    <definedName name="OC3Covenant">OFFSET([6]OCTrends!$N$2,0,0,COUNTA([6]OCTrends!$N$1:$N$65536)-1)</definedName>
    <definedName name="OC3Date">OFFSET([6]OCTrends!$L$2,0,0,COUNTA([6]OCTrends!$L$1:$L$65536)-1)</definedName>
    <definedName name="OC4Actual">OFFSET([6]OCTrends!$R$2,0,0,COUNTA([6]OCTrends!$R$1:$R$65536)-1)</definedName>
    <definedName name="OC4Covenant">OFFSET([6]OCTrends!$S$2,0,0,COUNTA([6]OCTrends!$S$1:$S$65536)-1)</definedName>
    <definedName name="OC4Date">OFFSET([6]OCTrends!$Q$2,0,0,COUNTA([6]OCTrends!$Q$1:$Q$65536)-1)</definedName>
    <definedName name="Order">#REF!</definedName>
    <definedName name="Other_assets" localSheetId="1">'[23]Fly-by-night - problem 5'!#REF!</definedName>
    <definedName name="Other_assets">'[23]Fly-by-night - problem 5'!#REF!</definedName>
    <definedName name="Other_current_liabilities_Sales" localSheetId="1">'[4]Tanning Assumptions'!#REF!</definedName>
    <definedName name="Other_current_liabilities_Sales">'[4]Tanning Assumptions'!#REF!</definedName>
    <definedName name="Other_long_term_liabilities" localSheetId="1">'[4]Tanning Assumptions'!#REF!</definedName>
    <definedName name="Other_long_term_liabilities">'[4]Tanning Assumptions'!#REF!</definedName>
    <definedName name="OtherRev">#REF!</definedName>
    <definedName name="P_L" localSheetId="1">#REF!</definedName>
    <definedName name="P_L">#REF!</definedName>
    <definedName name="PCV">[6]Calcs!$B$1</definedName>
    <definedName name="Percentage">#REF!</definedName>
    <definedName name="Period">#REF!</definedName>
    <definedName name="Period1">#REF!</definedName>
    <definedName name="Period2">#REF!</definedName>
    <definedName name="Period3">#REF!</definedName>
    <definedName name="Period4">#REF!</definedName>
    <definedName name="Period5">#REF!</definedName>
    <definedName name="Period6">#REF!</definedName>
    <definedName name="Period7">#REF!</definedName>
    <definedName name="Period8">#REF!</definedName>
    <definedName name="PERSONAL_FINANCIAL" localSheetId="1">#REF!</definedName>
    <definedName name="PERSONAL_FINANCIAL">#REF!</definedName>
    <definedName name="PERSONAL_FINANCIAL___0" localSheetId="1">#REF!</definedName>
    <definedName name="PERSONAL_FINANCIAL___0">#REF!</definedName>
    <definedName name="PFLTM" localSheetId="1">'[25]VeCTOR Import'!#REF!</definedName>
    <definedName name="PFLTM">'[25]VeCTOR Import'!#REF!</definedName>
    <definedName name="pik" localSheetId="1">'[9]S&amp;U'!#REF!</definedName>
    <definedName name="pik">'[9]S&amp;U'!#REF!</definedName>
    <definedName name="portion1">[1]Inputs!$E$14</definedName>
    <definedName name="portion10">[1]Inputs!$E$473</definedName>
    <definedName name="portion11">[1]Inputs!$E$524</definedName>
    <definedName name="portion12">[1]Inputs!$E$575</definedName>
    <definedName name="portion13">[1]Inputs!$E$626</definedName>
    <definedName name="portion14">[1]Inputs!$E$677</definedName>
    <definedName name="portion15">[1]Inputs!$E$728</definedName>
    <definedName name="portion2">[1]Inputs!$E$65</definedName>
    <definedName name="portion3">[1]Inputs!$E$116</definedName>
    <definedName name="portion4">[1]Inputs!$E$167</definedName>
    <definedName name="portion5">[1]Inputs!$E$218</definedName>
    <definedName name="portion6">[1]Inputs!$E$269</definedName>
    <definedName name="portion7">[1]Inputs!$E$320</definedName>
    <definedName name="portion8">[1]Inputs!$E$371</definedName>
    <definedName name="portion9">[1]Inputs!$E$422</definedName>
    <definedName name="PP_E_Sales" localSheetId="1">'[4]Tanning Assumptions'!#REF!</definedName>
    <definedName name="PP_E_Sales">'[4]Tanning Assumptions'!#REF!</definedName>
    <definedName name="prefbamt">#REF!</definedName>
    <definedName name="prefbamt___0">#REF!</definedName>
    <definedName name="prefbper">#REF!</definedName>
    <definedName name="prefbper___0">#REF!</definedName>
    <definedName name="Preliminary">#REF!</definedName>
    <definedName name="Prepaids_Sales" localSheetId="1">'[4]Tanning Assumptions'!#REF!</definedName>
    <definedName name="Prepaids_Sales">'[4]Tanning Assumptions'!#REF!</definedName>
    <definedName name="PRICES">#REF!</definedName>
    <definedName name="PRICES___0">#REF!</definedName>
    <definedName name="_xlnm.Print_Area" localSheetId="1">Model!$B$230:$E$276</definedName>
    <definedName name="_xlnm.Print_Area">#REF!</definedName>
    <definedName name="_xlnm.Print_Titles" localSheetId="1">Model!$2:$5</definedName>
    <definedName name="_xlnm.Print_Titles">#REF!</definedName>
    <definedName name="project">[12]CONTROL!$D$8</definedName>
    <definedName name="project___0">[8]CONTROL!$D$8</definedName>
    <definedName name="ProjList">#REF!</definedName>
    <definedName name="PublicCompany" localSheetId="1">#REF!</definedName>
    <definedName name="PublicCompany">#REF!</definedName>
    <definedName name="purchase">[26]TRANSACTION!$Q$2</definedName>
    <definedName name="PURCHASE_PRICE">[27]Sheet5:D!$A$1:$H$23</definedName>
    <definedName name="qryWSO_Positions_ByFunds_CrossTab">#REF!</definedName>
    <definedName name="quarterly">#REF!</definedName>
    <definedName name="rate">#REF!</definedName>
    <definedName name="RateTable" localSheetId="1">[28]MASTER!#REF!</definedName>
    <definedName name="RateTable">[28]MASTER!#REF!</definedName>
    <definedName name="Rating">'[7]Actual vs Covenant'!$P$11:$Q$18</definedName>
    <definedName name="RatingFactors">#REF!</definedName>
    <definedName name="RATIOS">#REF!</definedName>
    <definedName name="RATIOS___0">#REF!</definedName>
    <definedName name="recovery">#REF!</definedName>
    <definedName name="refi">'[29]OBS - REFI'!$AP$5</definedName>
    <definedName name="REPORT">#REF!</definedName>
    <definedName name="REPORT___0">#REF!</definedName>
    <definedName name="ReprintRev">#REF!</definedName>
    <definedName name="ret">#REF!</definedName>
    <definedName name="rhl" localSheetId="1">'[21]LBO Summary'!#REF!</definedName>
    <definedName name="rhl">'[21]LBO Summary'!#REF!</definedName>
    <definedName name="RoyaltyRev">#REF!</definedName>
    <definedName name="rptData">#REF!</definedName>
    <definedName name="rr" localSheetId="1">'[21]LBO Summary'!#REF!</definedName>
    <definedName name="rr">'[21]LBO Summary'!#REF!</definedName>
    <definedName name="s" localSheetId="1">#REF!</definedName>
    <definedName name="s">#REF!</definedName>
    <definedName name="s.outstand" localSheetId="1">[5]Inputs!#REF!</definedName>
    <definedName name="s.outstand">[5]Inputs!#REF!</definedName>
    <definedName name="SALES" localSheetId="1">#REF!</definedName>
    <definedName name="SALES">#REF!</definedName>
    <definedName name="SALES___0" localSheetId="1">#REF!</definedName>
    <definedName name="SALES___0">#REF!</definedName>
    <definedName name="sales1">[1]Inputs!$P$29</definedName>
    <definedName name="sales10">[1]Inputs!$P$488</definedName>
    <definedName name="sales11">[1]Inputs!$P$539</definedName>
    <definedName name="sales12">[1]Inputs!$P$590</definedName>
    <definedName name="sales13">[1]Inputs!$P$641</definedName>
    <definedName name="sales14">[1]Inputs!$P$692</definedName>
    <definedName name="sales15">[1]Inputs!$P$743</definedName>
    <definedName name="sales2">[1]Inputs!$P$80</definedName>
    <definedName name="sales3">[1]Inputs!$P$131</definedName>
    <definedName name="sales4">[1]Inputs!$P$182</definedName>
    <definedName name="sales5">[1]Inputs!$P$233</definedName>
    <definedName name="sales6">[1]Inputs!$P$284</definedName>
    <definedName name="sales7">[1]Inputs!$P$335</definedName>
    <definedName name="sales8">[1]Inputs!$P$386</definedName>
    <definedName name="sales9">[1]Inputs!$P$437</definedName>
    <definedName name="scen">#REF!</definedName>
    <definedName name="Scenario_11">#REF!</definedName>
    <definedName name="Scenario_12">#REF!</definedName>
    <definedName name="Scenario_13">#REF!</definedName>
    <definedName name="Scenario_14">#REF!</definedName>
    <definedName name="Scenario_15">#REF!</definedName>
    <definedName name="Scenario_16">#REF!</definedName>
    <definedName name="Scenario_17">#REF!</definedName>
    <definedName name="Scenario_18">#REF!</definedName>
    <definedName name="Scenario_19">#REF!</definedName>
    <definedName name="Scenario_20">#REF!</definedName>
    <definedName name="Scenario_21">#REF!</definedName>
    <definedName name="Scenario_22">#REF!</definedName>
    <definedName name="Scenario_23">#REF!</definedName>
    <definedName name="Scenario_24">#REF!</definedName>
    <definedName name="Scenario_25">#REF!</definedName>
    <definedName name="Scenario_26">#REF!</definedName>
    <definedName name="Scenario_27">#REF!</definedName>
    <definedName name="Scenario_28">#REF!</definedName>
    <definedName name="Scenario_31">#REF!</definedName>
    <definedName name="Scenario_32">#REF!</definedName>
    <definedName name="Scenario_33">#REF!</definedName>
    <definedName name="Scenario_34">#REF!</definedName>
    <definedName name="Scenario_35">#REF!</definedName>
    <definedName name="Scenario_36">#REF!</definedName>
    <definedName name="Scenario_37">#REF!</definedName>
    <definedName name="Scenario_38">#REF!</definedName>
    <definedName name="Scenario_39" localSheetId="1">#REF!</definedName>
    <definedName name="Scenario_39">#REF!</definedName>
    <definedName name="Scenario_41" localSheetId="1">#REF!</definedName>
    <definedName name="Scenario_41">#REF!</definedName>
    <definedName name="Scenario_42" localSheetId="1">#REF!</definedName>
    <definedName name="Scenario_42">#REF!</definedName>
    <definedName name="Scenario_43" localSheetId="1">#REF!</definedName>
    <definedName name="Scenario_43">#REF!</definedName>
    <definedName name="Scenario_44" localSheetId="1">#REF!</definedName>
    <definedName name="Scenario_44">#REF!</definedName>
    <definedName name="Scenario_51">#REF!</definedName>
    <definedName name="Scenario_52">#REF!</definedName>
    <definedName name="Scenario_53">#REF!</definedName>
    <definedName name="Section">#REF!</definedName>
    <definedName name="SENSITIVITY">#REF!</definedName>
    <definedName name="SENSITIVITY___0">#REF!</definedName>
    <definedName name="sh.equity" localSheetId="1">[5]Inputs!#REF!</definedName>
    <definedName name="sh.equity">[5]Inputs!#REF!</definedName>
    <definedName name="sl" localSheetId="1">'[21]LBO Summary'!#REF!</definedName>
    <definedName name="sl">'[21]LBO Summary'!#REF!</definedName>
    <definedName name="snapshotdate">#REF!</definedName>
    <definedName name="sort_range">#REF!</definedName>
    <definedName name="sponsor">'[9]S&amp;U'!$J$21</definedName>
    <definedName name="Start">#REF!</definedName>
    <definedName name="Start_Date">[6]Selections!$C$1</definedName>
    <definedName name="StartDay">[6]Selections!$P$3</definedName>
    <definedName name="StartMonth">[6]Selections!$P$2</definedName>
    <definedName name="StartRefresh" localSheetId="1">'[14]Portfolio Input'!#REF!</definedName>
    <definedName name="StartRefresh">'[14]Portfolio Input'!#REF!</definedName>
    <definedName name="StartYear">[6]Selections!$P$1</definedName>
    <definedName name="Strip_Amount">#REF!</definedName>
    <definedName name="Strip_PV" localSheetId="1">#REF!</definedName>
    <definedName name="Strip_PV">#REF!</definedName>
    <definedName name="stub">#REF!</definedName>
    <definedName name="stubmonths">'[30]D&amp;A'!$C$5</definedName>
    <definedName name="sub" localSheetId="1">'[21]LBO Summary'!#REF!</definedName>
    <definedName name="sub">'[21]LBO Summary'!#REF!</definedName>
    <definedName name="subdebtamount">[15]Inputs!$J$26</definedName>
    <definedName name="subdebtdate">[15]Inputs!$J$28</definedName>
    <definedName name="Subhead1">[20]_01_05_v_Wicks_xls__01_05_v_Wic!$N$2</definedName>
    <definedName name="subHeading" localSheetId="1">#REF!</definedName>
    <definedName name="subHeading">#REF!</definedName>
    <definedName name="summary">#REF!</definedName>
    <definedName name="support">#REF!</definedName>
    <definedName name="sweep___9" localSheetId="1">[31]COVS_ACTUAL!#REF!</definedName>
    <definedName name="sweep___9">[31]COVS_ACTUAL!#REF!</definedName>
    <definedName name="target">#REF!</definedName>
    <definedName name="tax" localSheetId="1">[32]ISCF!#REF!</definedName>
    <definedName name="tax">[32]ISCF!#REF!</definedName>
    <definedName name="Taxes_Receivable_Sales" localSheetId="1">'[4]Tanning Assumptions'!#REF!</definedName>
    <definedName name="Taxes_Receivable_Sales">'[4]Tanning Assumptions'!#REF!</definedName>
    <definedName name="Test">#REF!</definedName>
    <definedName name="tgt">#REF!</definedName>
    <definedName name="ticker1">[1]Inputs!$E$11</definedName>
    <definedName name="ticker10">[1]Inputs!$E$470</definedName>
    <definedName name="ticker11">[1]Inputs!$E$521</definedName>
    <definedName name="ticker12">[1]Inputs!$E$572</definedName>
    <definedName name="ticker13">[1]Inputs!$E$623</definedName>
    <definedName name="ticker14">[1]Inputs!$E$674</definedName>
    <definedName name="ticker15">[1]Inputs!$E$725</definedName>
    <definedName name="ticker2">[1]Inputs!$E$62</definedName>
    <definedName name="ticker3">[1]Inputs!$E$113</definedName>
    <definedName name="ticker4">[1]Inputs!$E$164</definedName>
    <definedName name="ticker5">[1]Inputs!$E$215</definedName>
    <definedName name="ticker6">[1]Inputs!$E$266</definedName>
    <definedName name="ticker7">[1]Inputs!$E$317</definedName>
    <definedName name="ticker8">[1]Inputs!$E$368</definedName>
    <definedName name="ticker9">[1]Inputs!$E$419</definedName>
    <definedName name="TimeEnd">[6]Selections!$L$3</definedName>
    <definedName name="TimeStart">[6]Selections!$L$2</definedName>
    <definedName name="title">[29]SUM!$A$2</definedName>
    <definedName name="today">#REF!</definedName>
    <definedName name="top">#REF!</definedName>
    <definedName name="TopIC">'[7]Actual vs Covenant'!$P$31:$Q$38</definedName>
    <definedName name="TopOC">'[7]Actual vs Covenant'!$P$21:$Q$28</definedName>
    <definedName name="TOTAL">#REF!</definedName>
    <definedName name="TOTAL___0">#REF!</definedName>
    <definedName name="Total_Europe" localSheetId="1">#REF!</definedName>
    <definedName name="Total_Europe">#REF!</definedName>
    <definedName name="TotalRev">#REF!</definedName>
    <definedName name="TradedCash">[6]Principal!$G$5</definedName>
    <definedName name="trigger">[8]OBS!$U$5</definedName>
    <definedName name="TRYN_Top3">[7]TOP10!$S$3</definedName>
    <definedName name="TRYN_Top4">[7]TOP10!$S$8</definedName>
    <definedName name="TryonFitchRatingChartData">[7]TRYN!$G$2:$H$9</definedName>
    <definedName name="TryonFitchRatingChartSerial1">[7]TRYN!$H$2:$H$9</definedName>
    <definedName name="TryonFitchRatingChartXScale">[7]TRYN!$G$2:$G$9</definedName>
    <definedName name="TryonMoodyRatingChartData">[7]TRYN!$A$2:$B$15</definedName>
    <definedName name="TryonMoodyRatingChartSerial1">[7]TRYN!$B$2:$B$15</definedName>
    <definedName name="TryonMoodyRatingChartXScale">[7]TRYN!$A$2:$A$15</definedName>
    <definedName name="TryonSPRatingChartData">[7]TRYN!$D$2:$E$15</definedName>
    <definedName name="TryonSPRatingChartSerial1">[7]TRYN!$E$2:$E$15</definedName>
    <definedName name="TryonSPRatingChartXScale">[7]TRYN!$D$2:$D$15</definedName>
    <definedName name="units">'[9]S&amp;U'!$K$2</definedName>
    <definedName name="version">[29]SUM!$AE$2</definedName>
    <definedName name="version___0">[8]CONTROL!$D$9</definedName>
    <definedName name="WACActual">OFFSET([6]WACTrends!$C$2,0,0,COUNTA([6]WACTrends!$C$1:$C$65536)-1)</definedName>
    <definedName name="WACCovenant">OFFSET([6]WACTrends!$D$2,0,0,COUNTA([6]WACTrends!$D$1:$D$65536)-1)</definedName>
    <definedName name="WACDate">OFFSET([6]WACTrends!$B$2,0,0,COUNTA([6]WACTrends!$B$1:$B$65536)-1)</definedName>
    <definedName name="WALActual">OFFSET([6]WALTrends!$C$2,0,0,COUNTA([6]WALTrends!$C$1:$C$65536)-1)</definedName>
    <definedName name="WALCovenant">OFFSET([6]WALTrends!$D$2,0,0,COUNTA([6]WALTrends!$D$1:$D$65536)-1)</definedName>
    <definedName name="WALDate">OFFSET([6]WALTrends!$B$2,0,0,COUNTA([6]WALTrends!$B$1:$B$65536)-1)</definedName>
    <definedName name="WARFActual">OFFSET([6]WARFTrends!$C$2,0,0,COUNTA([6]WARFTrends!$C$1:$C$65536)-1)</definedName>
    <definedName name="WARFCovenant">OFFSET([6]WARFTrends!$D$2,0,0,COUNTA([6]WARFTrends!$D$1:$D$65536)-1)</definedName>
    <definedName name="WARFDate">OFFSET([6]WARFTrends!$B$2,0,0,COUNTA([6]WARFTrends!$B$1:$B$65536)-1)</definedName>
    <definedName name="WARFFitchActual">OFFSET([6]WARFFitchTrends!$C$2,0,0,COUNTA([6]WARFFitchTrends!$C$1:$C$65536)-1)</definedName>
    <definedName name="WARFFitchCovenant">OFFSET([6]WARFFitchTrends!$D$2,0,0,COUNTA([6]WARFFitchTrends!$D$1:$D$65536)-1)</definedName>
    <definedName name="WARFFitchDate">OFFSET([6]WARFFitchTrends!$B$2,0,0,COUNTA([6]WARFFitchTrends!$B$1:$B$65536)-1)</definedName>
    <definedName name="warrants">[15]Inputs!$O$13</definedName>
    <definedName name="WASActual">OFFSET([6]WASTrends!$C$2,0,0,COUNTA([6]WASTrends!$C$1:$C$65536)-1)</definedName>
    <definedName name="WASCovenant">OFFSET([6]WASTrends!$D$2,0,0,COUNTA([6]WASTrends!$D$1:$D$65536)-1)</definedName>
    <definedName name="WASDate">OFFSET([6]WASTrends!$B$2,0,0,COUNTA([6]WASTrends!$B$1:$B$65536)-1)</definedName>
    <definedName name="WBMIN" localSheetId="1">'[14]Portfolio Input'!#REF!</definedName>
    <definedName name="WBMIN">'[14]Portfolio Input'!#REF!</definedName>
    <definedName name="WHAT_IF">#REF!</definedName>
    <definedName name="WHAT_IF___0">#REF!</definedName>
    <definedName name="whec">[29]WHEC!$AX$2</definedName>
    <definedName name="wicksequity">[15]Inputs!$E$35</definedName>
    <definedName name="WORKING_CAPITAL" localSheetId="1">#REF!</definedName>
    <definedName name="WORKING_CAPITAL">#REF!</definedName>
    <definedName name="WORKING_CAPITAL___0" localSheetId="1">#REF!</definedName>
    <definedName name="WORKING_CAPITAL___0">#REF!</definedName>
    <definedName name="wrn.Alloutput." localSheetId="0" hidden="1">{#N/A,#N/A,TRUE,"Deal Summary";#N/A,#N/A,TRUE,"CGIC &amp;PLICO Results";#N/A,#N/A,TRUE,"Consolidated Results";#N/A,#N/A,TRUE,"Consolidated Sources_Uses";#N/A,#N/A,TRUE,"BS";#N/A,#N/A,TRUE,"Income Statement";#N/A,#N/A,TRUE,"Accretion_Dilution";#N/A,#N/A,TRUE,"Matrix";#N/A,#N/A,TRUE,"Purchase_sensitivity";#N/A,#N/A,TRUE,"TEMPLATE";#N/A,#N/A,TRUE,"NII Reconc";#N/A,#N/A,TRUE,"CG Rollup";#N/A,#N/A,TRUE,"PYR Rollup";#N/A,#N/A,TRUE,"CG New MS";#N/A,#N/A,TRUE,"CG &amp; PYR Stat Info ----&gt;";#N/A,#N/A,TRUE,"CG Med Sup";#N/A,#N/A,TRUE,"CG DI";#N/A,#N/A,TRUE,"CG A&amp;H";#N/A,#N/A,TRUE,"CG LT Care";#N/A,#N/A,TRUE,"CG Universal";#N/A,#N/A,TRUE,"CG Annuities";#N/A,#N/A,TRUE,"PYR MED SUP";#N/A,#N/A,TRUE,"PYR MED SEL";#N/A,#N/A,TRUE,"PYR LT Care";#N/A,#N/A,TRUE,"PYR Universal";#N/A,#N/A,TRUE,"PYR Universal";#N/A,#N/A,TRUE,"PYR Other A&amp;H";#N/A,#N/A,TRUE,"PYR Annuities";#N/A,#N/A,TRUE,"PYR Other Life";#N/A,#N/A,TRUE,"UHCO Statutory Info ----&gt;";#N/A,#N/A,TRUE,"UHCO Source_Use";#N/A,#N/A,TRUE,"UHCO_Debt Paydown";#N/A,#N/A,TRUE,"Union Bankers";#N/A,#N/A,TRUE,"Penn Life";#N/A,#N/A,TRUE,"Constitution"}</definedName>
    <definedName name="wrn.Alloutput." localSheetId="2" hidden="1">{#N/A,#N/A,TRUE,"Deal Summary";#N/A,#N/A,TRUE,"CGIC &amp;PLICO Results";#N/A,#N/A,TRUE,"Consolidated Results";#N/A,#N/A,TRUE,"Consolidated Sources_Uses";#N/A,#N/A,TRUE,"BS";#N/A,#N/A,TRUE,"Income Statement";#N/A,#N/A,TRUE,"Accretion_Dilution";#N/A,#N/A,TRUE,"Matrix";#N/A,#N/A,TRUE,"Purchase_sensitivity";#N/A,#N/A,TRUE,"TEMPLATE";#N/A,#N/A,TRUE,"NII Reconc";#N/A,#N/A,TRUE,"CG Rollup";#N/A,#N/A,TRUE,"PYR Rollup";#N/A,#N/A,TRUE,"CG New MS";#N/A,#N/A,TRUE,"CG &amp; PYR Stat Info ----&gt;";#N/A,#N/A,TRUE,"CG Med Sup";#N/A,#N/A,TRUE,"CG DI";#N/A,#N/A,TRUE,"CG A&amp;H";#N/A,#N/A,TRUE,"CG LT Care";#N/A,#N/A,TRUE,"CG Universal";#N/A,#N/A,TRUE,"CG Annuities";#N/A,#N/A,TRUE,"PYR MED SUP";#N/A,#N/A,TRUE,"PYR MED SEL";#N/A,#N/A,TRUE,"PYR LT Care";#N/A,#N/A,TRUE,"PYR Universal";#N/A,#N/A,TRUE,"PYR Universal";#N/A,#N/A,TRUE,"PYR Other A&amp;H";#N/A,#N/A,TRUE,"PYR Annuities";#N/A,#N/A,TRUE,"PYR Other Life";#N/A,#N/A,TRUE,"UHCO Statutory Info ----&gt;";#N/A,#N/A,TRUE,"UHCO Source_Use";#N/A,#N/A,TRUE,"UHCO_Debt Paydown";#N/A,#N/A,TRUE,"Union Bankers";#N/A,#N/A,TRUE,"Penn Life";#N/A,#N/A,TRUE,"Constitution"}</definedName>
    <definedName name="wrn.Alloutput." hidden="1">{#N/A,#N/A,TRUE,"Deal Summary";#N/A,#N/A,TRUE,"CGIC &amp;PLICO Results";#N/A,#N/A,TRUE,"Consolidated Results";#N/A,#N/A,TRUE,"Consolidated Sources_Uses";#N/A,#N/A,TRUE,"BS";#N/A,#N/A,TRUE,"Income Statement";#N/A,#N/A,TRUE,"Accretion_Dilution";#N/A,#N/A,TRUE,"Matrix";#N/A,#N/A,TRUE,"Purchase_sensitivity";#N/A,#N/A,TRUE,"TEMPLATE";#N/A,#N/A,TRUE,"NII Reconc";#N/A,#N/A,TRUE,"CG Rollup";#N/A,#N/A,TRUE,"PYR Rollup";#N/A,#N/A,TRUE,"CG New MS";#N/A,#N/A,TRUE,"CG &amp; PYR Stat Info ----&gt;";#N/A,#N/A,TRUE,"CG Med Sup";#N/A,#N/A,TRUE,"CG DI";#N/A,#N/A,TRUE,"CG A&amp;H";#N/A,#N/A,TRUE,"CG LT Care";#N/A,#N/A,TRUE,"CG Universal";#N/A,#N/A,TRUE,"CG Annuities";#N/A,#N/A,TRUE,"PYR MED SUP";#N/A,#N/A,TRUE,"PYR MED SEL";#N/A,#N/A,TRUE,"PYR LT Care";#N/A,#N/A,TRUE,"PYR Universal";#N/A,#N/A,TRUE,"PYR Universal";#N/A,#N/A,TRUE,"PYR Other A&amp;H";#N/A,#N/A,TRUE,"PYR Annuities";#N/A,#N/A,TRUE,"PYR Other Life";#N/A,#N/A,TRUE,"UHCO Statutory Info ----&gt;";#N/A,#N/A,TRUE,"UHCO Source_Use";#N/A,#N/A,TRUE,"UHCO_Debt Paydown";#N/A,#N/A,TRUE,"Union Bankers";#N/A,#N/A,TRUE,"Penn Life";#N/A,#N/A,TRUE,"Constitution"}</definedName>
    <definedName name="wrn.CGIC._.PLICO._.Statutory._.Results." localSheetId="0" hidden="1">{#N/A,#N/A,FALSE,"TEMPLATE";#N/A,#N/A,FALSE,"CG Rollup";#N/A,#N/A,FALSE,"PYR Rollup";#N/A,#N/A,FALSE,"CG New MS";#N/A,#N/A,FALSE,"CG &amp; PYR Stat Info ----&gt;";#N/A,#N/A,FALSE,"CG Med Sup";#N/A,#N/A,FALSE,"CG DI";#N/A,#N/A,FALSE,"CG A&amp;H";#N/A,#N/A,FALSE,"CG LT Care";#N/A,#N/A,FALSE,"CG Universal";#N/A,#N/A,FALSE,"CG Universal";#N/A,#N/A,FALSE,"CG Annuities";#N/A,#N/A,FALSE,"PYR MED SUP";#N/A,#N/A,FALSE,"PYR MED SEL";#N/A,#N/A,FALSE,"PYR LT Care";#N/A,#N/A,FALSE,"PYR Universal";#N/A,#N/A,FALSE,"PYR Other A&amp;H";#N/A,#N/A,FALSE,"PYR Annuities";#N/A,#N/A,FALSE,"PYR Other Life"}</definedName>
    <definedName name="wrn.CGIC._.PLICO._.Statutory._.Results." localSheetId="2" hidden="1">{#N/A,#N/A,FALSE,"TEMPLATE";#N/A,#N/A,FALSE,"CG Rollup";#N/A,#N/A,FALSE,"PYR Rollup";#N/A,#N/A,FALSE,"CG New MS";#N/A,#N/A,FALSE,"CG &amp; PYR Stat Info ----&gt;";#N/A,#N/A,FALSE,"CG Med Sup";#N/A,#N/A,FALSE,"CG DI";#N/A,#N/A,FALSE,"CG A&amp;H";#N/A,#N/A,FALSE,"CG LT Care";#N/A,#N/A,FALSE,"CG Universal";#N/A,#N/A,FALSE,"CG Universal";#N/A,#N/A,FALSE,"CG Annuities";#N/A,#N/A,FALSE,"PYR MED SUP";#N/A,#N/A,FALSE,"PYR MED SEL";#N/A,#N/A,FALSE,"PYR LT Care";#N/A,#N/A,FALSE,"PYR Universal";#N/A,#N/A,FALSE,"PYR Other A&amp;H";#N/A,#N/A,FALSE,"PYR Annuities";#N/A,#N/A,FALSE,"PYR Other Life"}</definedName>
    <definedName name="wrn.CGIC._.PLICO._.Statutory._.Results." hidden="1">{#N/A,#N/A,FALSE,"TEMPLATE";#N/A,#N/A,FALSE,"CG Rollup";#N/A,#N/A,FALSE,"PYR Rollup";#N/A,#N/A,FALSE,"CG New MS";#N/A,#N/A,FALSE,"CG &amp; PYR Stat Info ----&gt;";#N/A,#N/A,FALSE,"CG Med Sup";#N/A,#N/A,FALSE,"CG DI";#N/A,#N/A,FALSE,"CG A&amp;H";#N/A,#N/A,FALSE,"CG LT Care";#N/A,#N/A,FALSE,"CG Universal";#N/A,#N/A,FALSE,"CG Universal";#N/A,#N/A,FALSE,"CG Annuities";#N/A,#N/A,FALSE,"PYR MED SUP";#N/A,#N/A,FALSE,"PYR MED SEL";#N/A,#N/A,FALSE,"PYR LT Care";#N/A,#N/A,FALSE,"PYR Universal";#N/A,#N/A,FALSE,"PYR Other A&amp;H";#N/A,#N/A,FALSE,"PYR Annuities";#N/A,#N/A,FALSE,"PYR Other Life"}</definedName>
    <definedName name="wrn.CIS." localSheetId="0" hidden="1">{"bsheet",#N/A,FALSE,"Present";"income",#N/A,FALSE,"Present";"ratios1",#N/A,FALSE,"Present";"expenses",#N/A,FALSE,"Present";"ratios2",#N/A,FALSE,"Present";"cashflow",#N/A,FALSE,"Present";"GAAP",#N/A,FALSE,"Present";"dividends",#N/A,FALSE,"Present";"invest1",#N/A,FALSE,"Present";"earned",#N/A,FALSE,"Present";"reserves1",#N/A,FALSE,"Present";"reserves2",#N/A,FALSE,"Present"}</definedName>
    <definedName name="wrn.CIS." localSheetId="2" hidden="1">{"bsheet",#N/A,FALSE,"Present";"income",#N/A,FALSE,"Present";"ratios1",#N/A,FALSE,"Present";"expenses",#N/A,FALSE,"Present";"ratios2",#N/A,FALSE,"Present";"cashflow",#N/A,FALSE,"Present";"GAAP",#N/A,FALSE,"Present";"dividends",#N/A,FALSE,"Present";"invest1",#N/A,FALSE,"Present";"earned",#N/A,FALSE,"Present";"reserves1",#N/A,FALSE,"Present";"reserves2",#N/A,FALSE,"Present"}</definedName>
    <definedName name="wrn.CIS." hidden="1">{"bsheet",#N/A,FALSE,"Present";"income",#N/A,FALSE,"Present";"ratios1",#N/A,FALSE,"Present";"expenses",#N/A,FALSE,"Present";"ratios2",#N/A,FALSE,"Present";"cashflow",#N/A,FALSE,"Present";"GAAP",#N/A,FALSE,"Present";"dividends",#N/A,FALSE,"Present";"invest1",#N/A,FALSE,"Present";"earned",#N/A,FALSE,"Present";"reserves1",#N/A,FALSE,"Present";"reserves2",#N/A,FALSE,"Present"}</definedName>
    <definedName name="wrn.crossroads." localSheetId="0" hidden="1">{#N/A,#N/A,FALSE,"RENT ROLL";#N/A,#N/A,FALSE,"CAM";#N/A,#N/A,FALSE,"TAXES";#N/A,#N/A,FALSE,"INSURANCE";#N/A,#N/A,FALSE,"HVAC";#N/A,#N/A,FALSE,"MARKETING"}</definedName>
    <definedName name="wrn.crossroads." localSheetId="2" hidden="1">{#N/A,#N/A,FALSE,"RENT ROLL";#N/A,#N/A,FALSE,"CAM";#N/A,#N/A,FALSE,"TAXES";#N/A,#N/A,FALSE,"INSURANCE";#N/A,#N/A,FALSE,"HVAC";#N/A,#N/A,FALSE,"MARKETING"}</definedName>
    <definedName name="wrn.crossroads." hidden="1">{#N/A,#N/A,FALSE,"RENT ROLL";#N/A,#N/A,FALSE,"CAM";#N/A,#N/A,FALSE,"TAXES";#N/A,#N/A,FALSE,"INSURANCE";#N/A,#N/A,FALSE,"HVAC";#N/A,#N/A,FALSE,"MARKETING"}</definedName>
    <definedName name="wrn.crossroads2" localSheetId="0" hidden="1">{#N/A,#N/A,FALSE,"RENT ROLL";#N/A,#N/A,FALSE,"CAM";#N/A,#N/A,FALSE,"TAXES";#N/A,#N/A,FALSE,"INSURANCE";#N/A,#N/A,FALSE,"HVAC";#N/A,#N/A,FALSE,"MARKETING"}</definedName>
    <definedName name="wrn.crossroads2" localSheetId="2" hidden="1">{#N/A,#N/A,FALSE,"RENT ROLL";#N/A,#N/A,FALSE,"CAM";#N/A,#N/A,FALSE,"TAXES";#N/A,#N/A,FALSE,"INSURANCE";#N/A,#N/A,FALSE,"HVAC";#N/A,#N/A,FALSE,"MARKETING"}</definedName>
    <definedName name="wrn.crossroads2" hidden="1">{#N/A,#N/A,FALSE,"RENT ROLL";#N/A,#N/A,FALSE,"CAM";#N/A,#N/A,FALSE,"TAXES";#N/A,#N/A,FALSE,"INSURANCE";#N/A,#N/A,FALSE,"HVAC";#N/A,#N/A,FALSE,"MARKETING"}</definedName>
    <definedName name="wrn.dcf." localSheetId="0" hidden="1">{"mgmt forecast",#N/A,FALSE,"Mgmt Forecast";"dcf table",#N/A,FALSE,"Mgmt Forecast";"sensitivity",#N/A,FALSE,"Mgmt Forecast";"table inputs",#N/A,FALSE,"Mgmt Forecast";"calculations",#N/A,FALSE,"Mgmt Forecast"}</definedName>
    <definedName name="wrn.dcf." localSheetId="2" hidden="1">{"mgmt forecast",#N/A,FALSE,"Mgmt Forecast";"dcf table",#N/A,FALSE,"Mgmt Forecast";"sensitivity",#N/A,FALSE,"Mgmt Forecast";"table inputs",#N/A,FALSE,"Mgmt Forecast";"calculations",#N/A,FALSE,"Mgmt Forecast"}</definedName>
    <definedName name="wrn.dcf." hidden="1">{"mgmt forecast",#N/A,FALSE,"Mgmt Forecast";"dcf table",#N/A,FALSE,"Mgmt Forecast";"sensitivity",#N/A,FALSE,"Mgmt Forecast";"table inputs",#N/A,FALSE,"Mgmt Forecast";"calculations",#N/A,FALSE,"Mgmt Forecast"}</definedName>
    <definedName name="wrn.print._.graphs." localSheetId="0" hidden="1">{"cap_structure",#N/A,FALSE,"Graph-Mkt Cap";"price",#N/A,FALSE,"Graph-Price";"ebit",#N/A,FALSE,"Graph-EBITDA";"ebitda",#N/A,FALSE,"Graph-EBITDA"}</definedName>
    <definedName name="wrn.print._.graphs." localSheetId="2" hidden="1">{"cap_structure",#N/A,FALSE,"Graph-Mkt Cap";"price",#N/A,FALSE,"Graph-Price";"ebit",#N/A,FALSE,"Graph-EBITDA";"ebitda",#N/A,FALSE,"Graph-EBITDA"}</definedName>
    <definedName name="wrn.print._.graphs." hidden="1">{"cap_structure",#N/A,FALSE,"Graph-Mkt Cap";"price",#N/A,FALSE,"Graph-Price";"ebit",#N/A,FALSE,"Graph-EBITDA";"ebitda",#N/A,FALSE,"Graph-EBITDA"}</definedName>
    <definedName name="wrn.print._.raw._.data._.entry." localSheetId="0" hidden="1">{"inputs raw data",#N/A,TRUE,"INPUT"}</definedName>
    <definedName name="wrn.print._.raw._.data._.entry." localSheetId="2" hidden="1">{"inputs raw data",#N/A,TRUE,"INPUT"}</definedName>
    <definedName name="wrn.print._.raw._.data._.entry." hidden="1">{"inputs raw data",#N/A,TRUE,"INPUT"}</definedName>
    <definedName name="wrn.print._.summary._.sheets." localSheetId="0" hidden="1">{"summary1",#N/A,TRUE,"Comps";"summary2",#N/A,TRUE,"Comps";"summary3",#N/A,TRUE,"Comps"}</definedName>
    <definedName name="wrn.print._.summary._.sheets." localSheetId="2" hidden="1">{"summary1",#N/A,TRUE,"Comps";"summary2",#N/A,TRUE,"Comps";"summary3",#N/A,TRUE,"Comps"}</definedName>
    <definedName name="wrn.print._.summary._.sheets." hidden="1">{"summary1",#N/A,TRUE,"Comps";"summary2",#N/A,TRUE,"Comps";"summary3",#N/A,TRUE,"Comps"}</definedName>
    <definedName name="wrn.quick." localSheetId="0" hidden="1">{"bsheet",#N/A,FALSE,"TEMPLATE";"income",#N/A,FALSE,"TEMPLATE";"ratios1",#N/A,FALSE,"TEMPLATE";"ratios2",#N/A,FALSE,"TEMPLATE";"cashflow",#N/A,FALSE,"TEMPLATE";"taxes",#N/A,FALSE,"TEMPLATE";"earned",#N/A,FALSE,"TEMPLATE";"GAAP",#N/A,FALSE,"TEMPLATE";"dividends",#N/A,FALSE,"TEMPLATE";"invest1",#N/A,FALSE,"TEMPLATE";"bonds1",#N/A,FALSE,"TEMPLATE";"bonds2",#N/A,FALSE,"TEMPLATE";"reserves1",#N/A,FALSE,"TEMPLATE";"reserves2",#N/A,FALSE,"TEMPLATE";"reserves3",#N/A,FALSE,"TEMPLATE"}</definedName>
    <definedName name="wrn.quick." localSheetId="2" hidden="1">{"bsheet",#N/A,FALSE,"TEMPLATE";"income",#N/A,FALSE,"TEMPLATE";"ratios1",#N/A,FALSE,"TEMPLATE";"ratios2",#N/A,FALSE,"TEMPLATE";"cashflow",#N/A,FALSE,"TEMPLATE";"taxes",#N/A,FALSE,"TEMPLATE";"earned",#N/A,FALSE,"TEMPLATE";"GAAP",#N/A,FALSE,"TEMPLATE";"dividends",#N/A,FALSE,"TEMPLATE";"invest1",#N/A,FALSE,"TEMPLATE";"bonds1",#N/A,FALSE,"TEMPLATE";"bonds2",#N/A,FALSE,"TEMPLATE";"reserves1",#N/A,FALSE,"TEMPLATE";"reserves2",#N/A,FALSE,"TEMPLATE";"reserves3",#N/A,FALSE,"TEMPLATE"}</definedName>
    <definedName name="wrn.quick." hidden="1">{"bsheet",#N/A,FALSE,"TEMPLATE";"income",#N/A,FALSE,"TEMPLATE";"ratios1",#N/A,FALSE,"TEMPLATE";"ratios2",#N/A,FALSE,"TEMPLATE";"cashflow",#N/A,FALSE,"TEMPLATE";"taxes",#N/A,FALSE,"TEMPLATE";"earned",#N/A,FALSE,"TEMPLATE";"GAAP",#N/A,FALSE,"TEMPLATE";"dividends",#N/A,FALSE,"TEMPLATE";"invest1",#N/A,FALSE,"TEMPLATE";"bonds1",#N/A,FALSE,"TEMPLATE";"bonds2",#N/A,FALSE,"TEMPLATE";"reserves1",#N/A,FALSE,"TEMPLATE";"reserves2",#N/A,FALSE,"TEMPLATE";"reserves3",#N/A,FALSE,"TEMPLATE"}</definedName>
    <definedName name="wrn.Sales._.Activity." localSheetId="0" hidden="1">{#N/A,#N/A,FALSE,"Integration Systems"}</definedName>
    <definedName name="wrn.Sales._.Activity." localSheetId="2" hidden="1">{#N/A,#N/A,FALSE,"Integration Systems"}</definedName>
    <definedName name="wrn.Sales._.Activity." hidden="1">{#N/A,#N/A,FALSE,"Integration Systems"}</definedName>
    <definedName name="wrn.Summary." localSheetId="0" hidden="1">{#N/A,#N/A,FALSE,"Deal Summary";#N/A,#N/A,FALSE,"CGIC &amp;PLICO Results";#N/A,#N/A,FALSE,"Consolidated Results";#N/A,#N/A,FALSE,"Consolidated Source_Uses&amp;Debt ";#N/A,#N/A,FALSE,"Bal_Sht";#N/A,#N/A,FALSE,"Income Statement";#N/A,#N/A,FALSE,"Accretion_Dilution";#N/A,#N/A,FALSE,"Matrix";#N/A,#N/A,FALSE,"Purchase_sensitivity"}</definedName>
    <definedName name="wrn.Summary." localSheetId="2" hidden="1">{#N/A,#N/A,FALSE,"Deal Summary";#N/A,#N/A,FALSE,"CGIC &amp;PLICO Results";#N/A,#N/A,FALSE,"Consolidated Results";#N/A,#N/A,FALSE,"Consolidated Source_Uses&amp;Debt ";#N/A,#N/A,FALSE,"Bal_Sht";#N/A,#N/A,FALSE,"Income Statement";#N/A,#N/A,FALSE,"Accretion_Dilution";#N/A,#N/A,FALSE,"Matrix";#N/A,#N/A,FALSE,"Purchase_sensitivity"}</definedName>
    <definedName name="wrn.Summary." hidden="1">{#N/A,#N/A,FALSE,"Deal Summary";#N/A,#N/A,FALSE,"CGIC &amp;PLICO Results";#N/A,#N/A,FALSE,"Consolidated Results";#N/A,#N/A,FALSE,"Consolidated Source_Uses&amp;Debt ";#N/A,#N/A,FALSE,"Bal_Sht";#N/A,#N/A,FALSE,"Income Statement";#N/A,#N/A,FALSE,"Accretion_Dilution";#N/A,#N/A,FALSE,"Matrix";#N/A,#N/A,FALSE,"Purchase_sensitivity"}</definedName>
    <definedName name="wrn.UHCO._.Statutory._.Results." localSheetId="0" hidden="1">{#N/A,#N/A,FALSE,"UHCO Statutory Info ----&gt;";#N/A,#N/A,FALSE,"UHCO Source_Use";#N/A,#N/A,FALSE,"UHCO_Debt Paydown";#N/A,#N/A,FALSE,"Union Bankers";#N/A,#N/A,FALSE,"Penn Life";#N/A,#N/A,FALSE,"Constitution"}</definedName>
    <definedName name="wrn.UHCO._.Statutory._.Results." localSheetId="2" hidden="1">{#N/A,#N/A,FALSE,"UHCO Statutory Info ----&gt;";#N/A,#N/A,FALSE,"UHCO Source_Use";#N/A,#N/A,FALSE,"UHCO_Debt Paydown";#N/A,#N/A,FALSE,"Union Bankers";#N/A,#N/A,FALSE,"Penn Life";#N/A,#N/A,FALSE,"Constitution"}</definedName>
    <definedName name="wrn.UHCO._.Statutory._.Results." hidden="1">{#N/A,#N/A,FALSE,"UHCO Statutory Info ----&gt;";#N/A,#N/A,FALSE,"UHCO Source_Use";#N/A,#N/A,FALSE,"UHCO_Debt Paydown";#N/A,#N/A,FALSE,"Union Bankers";#N/A,#N/A,FALSE,"Penn Life";#N/A,#N/A,FALSE,"Constitution"}</definedName>
    <definedName name="wrn.Weekly._.Inventory._.Report." localSheetId="0" hidden="1">{#N/A,#N/A,FALSE,"Combo"}</definedName>
    <definedName name="wrn.Weekly._.Inventory._.Report." localSheetId="2" hidden="1">{#N/A,#N/A,FALSE,"Combo"}</definedName>
    <definedName name="wrn.Weekly._.Inventory._.Report." hidden="1">{#N/A,#N/A,FALSE,"Combo"}</definedName>
    <definedName name="wvu.inputs._.raw._.data." localSheetId="0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" localSheetId="2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summary1." localSheetId="0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" localSheetId="2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localSheetId="0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" localSheetId="2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localSheetId="0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" localSheetId="2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zip" localSheetId="1">#REF!</definedName>
    <definedName name="zip">#REF!</definedName>
  </definedNames>
  <calcPr calcId="191028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" i="20" l="1"/>
  <c r="S8" i="20"/>
  <c r="T8" i="20"/>
  <c r="U8" i="20"/>
  <c r="W8" i="20"/>
  <c r="X8" i="20"/>
  <c r="Y8" i="20"/>
  <c r="AA8" i="20"/>
  <c r="AB8" i="20"/>
  <c r="AC8" i="20"/>
  <c r="AE8" i="20"/>
  <c r="AF8" i="20"/>
  <c r="AG8" i="20"/>
  <c r="AI8" i="20"/>
  <c r="AJ8" i="20"/>
  <c r="AK8" i="20"/>
  <c r="AM8" i="20"/>
  <c r="AN8" i="20"/>
  <c r="AO8" i="20"/>
  <c r="AQ8" i="20"/>
  <c r="AR8" i="20"/>
  <c r="AS8" i="20"/>
  <c r="S9" i="20"/>
  <c r="T9" i="20"/>
  <c r="U9" i="20"/>
  <c r="W9" i="20"/>
  <c r="X9" i="20"/>
  <c r="Y9" i="20"/>
  <c r="AA9" i="20"/>
  <c r="AB9" i="20"/>
  <c r="AC9" i="20"/>
  <c r="AE9" i="20"/>
  <c r="AF9" i="20"/>
  <c r="AG9" i="20"/>
  <c r="AI9" i="20"/>
  <c r="AJ9" i="20"/>
  <c r="AK9" i="20"/>
  <c r="AM9" i="20"/>
  <c r="AN9" i="20"/>
  <c r="AO9" i="20"/>
  <c r="AQ9" i="20"/>
  <c r="AR9" i="20"/>
  <c r="AS9" i="20"/>
  <c r="S10" i="20"/>
  <c r="T10" i="20"/>
  <c r="U10" i="20"/>
  <c r="W10" i="20"/>
  <c r="X10" i="20"/>
  <c r="Y10" i="20"/>
  <c r="AA10" i="20"/>
  <c r="AB10" i="20"/>
  <c r="AC10" i="20"/>
  <c r="AE10" i="20"/>
  <c r="AF10" i="20"/>
  <c r="AG10" i="20"/>
  <c r="AI10" i="20"/>
  <c r="AJ10" i="20"/>
  <c r="AK10" i="20"/>
  <c r="AM10" i="20"/>
  <c r="AN10" i="20"/>
  <c r="AO10" i="20"/>
  <c r="AQ10" i="20"/>
  <c r="AR10" i="20"/>
  <c r="AS10" i="20"/>
  <c r="S11" i="20"/>
  <c r="T11" i="20"/>
  <c r="U11" i="20"/>
  <c r="W11" i="20"/>
  <c r="X11" i="20"/>
  <c r="Y11" i="20"/>
  <c r="AA11" i="20"/>
  <c r="AB11" i="20"/>
  <c r="AC11" i="20"/>
  <c r="AE11" i="20"/>
  <c r="AF11" i="20"/>
  <c r="AG11" i="20"/>
  <c r="AI11" i="20"/>
  <c r="AJ11" i="20"/>
  <c r="AK11" i="20"/>
  <c r="AM11" i="20"/>
  <c r="AN11" i="20"/>
  <c r="AO11" i="20"/>
  <c r="AQ11" i="20"/>
  <c r="AR11" i="20"/>
  <c r="AS11" i="20"/>
  <c r="S12" i="20"/>
  <c r="T12" i="20"/>
  <c r="U12" i="20"/>
  <c r="W12" i="20"/>
  <c r="X12" i="20"/>
  <c r="Y12" i="20"/>
  <c r="AA12" i="20"/>
  <c r="AB12" i="20"/>
  <c r="AC12" i="20"/>
  <c r="AE12" i="20"/>
  <c r="AF12" i="20"/>
  <c r="AG12" i="20"/>
  <c r="AI12" i="20"/>
  <c r="AJ12" i="20"/>
  <c r="AK12" i="20"/>
  <c r="AM12" i="20"/>
  <c r="AN12" i="20"/>
  <c r="AO12" i="20"/>
  <c r="AQ12" i="20"/>
  <c r="AR12" i="20"/>
  <c r="AS12" i="20"/>
  <c r="S13" i="20"/>
  <c r="T13" i="20"/>
  <c r="U13" i="20"/>
  <c r="W13" i="20"/>
  <c r="X13" i="20"/>
  <c r="Y13" i="20"/>
  <c r="AA13" i="20"/>
  <c r="AB13" i="20"/>
  <c r="AC13" i="20"/>
  <c r="AE13" i="20"/>
  <c r="AF13" i="20"/>
  <c r="AG13" i="20"/>
  <c r="AI13" i="20"/>
  <c r="AJ13" i="20"/>
  <c r="AK13" i="20"/>
  <c r="AM13" i="20"/>
  <c r="AN13" i="20"/>
  <c r="AO13" i="20"/>
  <c r="AQ13" i="20"/>
  <c r="AR13" i="20"/>
  <c r="AS13" i="20"/>
  <c r="AQ14" i="20"/>
  <c r="AR14" i="20"/>
  <c r="AS14" i="20"/>
  <c r="C15" i="20"/>
  <c r="D15" i="20"/>
  <c r="E15" i="20"/>
  <c r="F15" i="20"/>
  <c r="G15" i="20"/>
  <c r="H15" i="20"/>
  <c r="I15" i="20"/>
  <c r="J15" i="20"/>
  <c r="K15" i="20"/>
  <c r="L15" i="20"/>
  <c r="R15" i="20"/>
  <c r="S15" i="20"/>
  <c r="T15" i="20"/>
  <c r="U15" i="20"/>
  <c r="V15" i="20"/>
  <c r="W15" i="20"/>
  <c r="X15" i="20"/>
  <c r="Y15" i="20"/>
  <c r="Z15" i="20"/>
  <c r="AA15" i="20"/>
  <c r="AB15" i="20"/>
  <c r="AC15" i="20"/>
  <c r="AD15" i="20"/>
  <c r="AE15" i="20"/>
  <c r="AF15" i="20"/>
  <c r="AG15" i="20"/>
  <c r="AH15" i="20"/>
  <c r="AI15" i="20"/>
  <c r="AJ15" i="20"/>
  <c r="AK15" i="20"/>
  <c r="AL15" i="20"/>
  <c r="AM15" i="20"/>
  <c r="AN15" i="20"/>
  <c r="AO15" i="20"/>
  <c r="AP15" i="20"/>
  <c r="AQ15" i="20"/>
  <c r="AR15" i="20"/>
  <c r="AS15" i="20"/>
  <c r="AT15" i="20"/>
  <c r="C17" i="20"/>
  <c r="D17" i="20"/>
  <c r="E17" i="20"/>
  <c r="F17" i="20"/>
  <c r="G17" i="20"/>
  <c r="H17" i="20"/>
  <c r="I17" i="20"/>
  <c r="J17" i="20"/>
  <c r="K17" i="20"/>
  <c r="L17" i="20"/>
  <c r="R17" i="20"/>
  <c r="V17" i="20"/>
  <c r="Z17" i="20"/>
  <c r="AD17" i="20"/>
  <c r="AE17" i="20"/>
  <c r="AF17" i="20"/>
  <c r="AH17" i="20"/>
  <c r="AI17" i="20"/>
  <c r="AJ17" i="20"/>
  <c r="AL17" i="20"/>
  <c r="AM17" i="20"/>
  <c r="AN17" i="20"/>
  <c r="AP17" i="20"/>
  <c r="AQ17" i="20"/>
  <c r="AR17" i="20"/>
  <c r="AT17" i="20"/>
  <c r="AR20" i="20"/>
  <c r="AS20" i="20"/>
  <c r="AV20" i="20"/>
  <c r="AW20" i="20"/>
  <c r="AY20" i="20"/>
  <c r="AZ20" i="20"/>
  <c r="BA20" i="20"/>
  <c r="BC20" i="20"/>
  <c r="BD20" i="20"/>
  <c r="BE20" i="20"/>
  <c r="AR21" i="20"/>
  <c r="AS21" i="20"/>
  <c r="AV21" i="20"/>
  <c r="AW21" i="20"/>
  <c r="AY21" i="20"/>
  <c r="AZ21" i="20"/>
  <c r="BA21" i="20"/>
  <c r="BC21" i="20"/>
  <c r="BD21" i="20"/>
  <c r="BE21" i="20"/>
  <c r="AR22" i="20"/>
  <c r="AS22" i="20"/>
  <c r="AV22" i="20"/>
  <c r="AW22" i="20"/>
  <c r="AY22" i="20"/>
  <c r="AZ22" i="20"/>
  <c r="BA22" i="20"/>
  <c r="BC22" i="20"/>
  <c r="BD22" i="20"/>
  <c r="BE22" i="20"/>
  <c r="AR23" i="20"/>
  <c r="AS23" i="20"/>
  <c r="AV23" i="20"/>
  <c r="AW23" i="20"/>
  <c r="AY23" i="20"/>
  <c r="AZ23" i="20"/>
  <c r="BA23" i="20"/>
  <c r="BC23" i="20"/>
  <c r="BD23" i="20"/>
  <c r="BE23" i="20"/>
  <c r="AR24" i="20"/>
  <c r="AS24" i="20"/>
  <c r="AV24" i="20"/>
  <c r="AW24" i="20"/>
  <c r="AY24" i="20"/>
  <c r="AZ24" i="20"/>
  <c r="BA24" i="20"/>
  <c r="BC24" i="20"/>
  <c r="BD24" i="20"/>
  <c r="BE24" i="20"/>
  <c r="AR25" i="20"/>
  <c r="AS25" i="20"/>
  <c r="AV25" i="20"/>
  <c r="AW25" i="20"/>
  <c r="AY25" i="20"/>
  <c r="AZ25" i="20"/>
  <c r="BA25" i="20"/>
  <c r="BC25" i="20"/>
  <c r="BD25" i="20"/>
  <c r="BE25" i="20"/>
  <c r="AR26" i="20"/>
  <c r="AS26" i="20"/>
  <c r="AV26" i="20"/>
  <c r="AW26" i="20"/>
  <c r="AY26" i="20"/>
  <c r="AZ26" i="20"/>
  <c r="BA26" i="20"/>
  <c r="BC26" i="20"/>
  <c r="BD26" i="20"/>
  <c r="BE26" i="20"/>
  <c r="C27" i="20"/>
  <c r="D27" i="20"/>
  <c r="E27" i="20"/>
  <c r="F27" i="20"/>
  <c r="G27" i="20"/>
  <c r="H27" i="20"/>
  <c r="I27" i="20"/>
  <c r="J27" i="20"/>
  <c r="K27" i="20"/>
  <c r="L27" i="20"/>
  <c r="M27" i="20"/>
  <c r="N27" i="20"/>
  <c r="O27" i="20"/>
  <c r="R27" i="20"/>
  <c r="S27" i="20"/>
  <c r="T27" i="20"/>
  <c r="U27" i="20"/>
  <c r="V27" i="20"/>
  <c r="W27" i="20"/>
  <c r="X27" i="20"/>
  <c r="Y27" i="20"/>
  <c r="Z27" i="20"/>
  <c r="AA27" i="20"/>
  <c r="AB27" i="20"/>
  <c r="AC27" i="20"/>
  <c r="AD27" i="20"/>
  <c r="AE27" i="20"/>
  <c r="AF27" i="20"/>
  <c r="AG27" i="20"/>
  <c r="AH27" i="20"/>
  <c r="AI27" i="20"/>
  <c r="AJ27" i="20"/>
  <c r="AK27" i="20"/>
  <c r="AL27" i="20"/>
  <c r="AM27" i="20"/>
  <c r="AN27" i="20"/>
  <c r="AO27" i="20"/>
  <c r="AP27" i="20"/>
  <c r="AQ27" i="20"/>
  <c r="AR27" i="20"/>
  <c r="AS27" i="20"/>
  <c r="AT27" i="20"/>
  <c r="AU27" i="20"/>
  <c r="AV27" i="20"/>
  <c r="AW27" i="20"/>
  <c r="AX27" i="20"/>
  <c r="AY27" i="20"/>
  <c r="AZ27" i="20"/>
  <c r="BA27" i="20"/>
  <c r="BB27" i="20"/>
  <c r="BC27" i="20"/>
  <c r="BD27" i="20"/>
  <c r="BE27" i="20"/>
  <c r="BF27" i="20"/>
  <c r="M28" i="20"/>
  <c r="N28" i="20"/>
  <c r="O28" i="20"/>
  <c r="AY28" i="20"/>
  <c r="AZ28" i="20"/>
  <c r="BB28" i="20"/>
  <c r="BD28" i="20"/>
  <c r="BF28" i="20"/>
  <c r="M31" i="20"/>
  <c r="N31" i="20"/>
  <c r="O31" i="20"/>
  <c r="AQ31" i="20"/>
  <c r="AR31" i="20"/>
  <c r="AS31" i="20"/>
  <c r="AT31" i="20"/>
  <c r="AU31" i="20"/>
  <c r="AV31" i="20"/>
  <c r="AW31" i="20"/>
  <c r="AX31" i="20"/>
  <c r="AY31" i="20"/>
  <c r="AZ31" i="20"/>
  <c r="BA31" i="20"/>
  <c r="BB31" i="20"/>
  <c r="BC31" i="20"/>
  <c r="BD31" i="20"/>
  <c r="BE31" i="20"/>
  <c r="BF31" i="20"/>
  <c r="M32" i="20"/>
  <c r="N32" i="20"/>
  <c r="O32" i="20"/>
  <c r="AQ32" i="20"/>
  <c r="AR32" i="20"/>
  <c r="AS32" i="20"/>
  <c r="AT32" i="20"/>
  <c r="AU32" i="20"/>
  <c r="AV32" i="20"/>
  <c r="AW32" i="20"/>
  <c r="AX32" i="20"/>
  <c r="AY32" i="20"/>
  <c r="AZ32" i="20"/>
  <c r="BA32" i="20"/>
  <c r="BB32" i="20"/>
  <c r="BC32" i="20"/>
  <c r="BD32" i="20"/>
  <c r="BE32" i="20"/>
  <c r="BF32" i="20"/>
  <c r="M33" i="20"/>
  <c r="N33" i="20"/>
  <c r="O33" i="20"/>
  <c r="AQ33" i="20"/>
  <c r="AR33" i="20"/>
  <c r="AS33" i="20"/>
  <c r="AT33" i="20"/>
  <c r="AU33" i="20"/>
  <c r="AV33" i="20"/>
  <c r="AW33" i="20"/>
  <c r="AX33" i="20"/>
  <c r="AY33" i="20"/>
  <c r="AZ33" i="20"/>
  <c r="BA33" i="20"/>
  <c r="BB33" i="20"/>
  <c r="BC33" i="20"/>
  <c r="BD33" i="20"/>
  <c r="BE33" i="20"/>
  <c r="BF33" i="20"/>
  <c r="M34" i="20"/>
  <c r="N34" i="20"/>
  <c r="O34" i="20"/>
  <c r="AQ34" i="20"/>
  <c r="AR34" i="20"/>
  <c r="AS34" i="20"/>
  <c r="AT34" i="20"/>
  <c r="AU34" i="20"/>
  <c r="AV34" i="20"/>
  <c r="AW34" i="20"/>
  <c r="AX34" i="20"/>
  <c r="AY34" i="20"/>
  <c r="AZ34" i="20"/>
  <c r="BA34" i="20"/>
  <c r="BB34" i="20"/>
  <c r="BC34" i="20"/>
  <c r="BD34" i="20"/>
  <c r="BE34" i="20"/>
  <c r="BF34" i="20"/>
  <c r="M35" i="20"/>
  <c r="N35" i="20"/>
  <c r="O35" i="20"/>
  <c r="AQ35" i="20"/>
  <c r="AR35" i="20"/>
  <c r="AS35" i="20"/>
  <c r="AT35" i="20"/>
  <c r="AU35" i="20"/>
  <c r="AV35" i="20"/>
  <c r="AW35" i="20"/>
  <c r="AX35" i="20"/>
  <c r="AY35" i="20"/>
  <c r="AZ35" i="20"/>
  <c r="BA35" i="20"/>
  <c r="BB35" i="20"/>
  <c r="BC35" i="20"/>
  <c r="BD35" i="20"/>
  <c r="BE35" i="20"/>
  <c r="BF35" i="20"/>
  <c r="M36" i="20"/>
  <c r="N36" i="20"/>
  <c r="O36" i="20"/>
  <c r="AQ36" i="20"/>
  <c r="AR36" i="20"/>
  <c r="AS36" i="20"/>
  <c r="AT36" i="20"/>
  <c r="AU36" i="20"/>
  <c r="AV36" i="20"/>
  <c r="AW36" i="20"/>
  <c r="AX36" i="20"/>
  <c r="AY36" i="20"/>
  <c r="AZ36" i="20"/>
  <c r="BA36" i="20"/>
  <c r="BB36" i="20"/>
  <c r="BC36" i="20"/>
  <c r="BD36" i="20"/>
  <c r="BE36" i="20"/>
  <c r="BF36" i="20"/>
  <c r="M37" i="20"/>
  <c r="N37" i="20"/>
  <c r="O37" i="20"/>
  <c r="AQ37" i="20"/>
  <c r="AR37" i="20"/>
  <c r="AS37" i="20"/>
  <c r="AT37" i="20"/>
  <c r="AU37" i="20"/>
  <c r="AV37" i="20"/>
  <c r="AW37" i="20"/>
  <c r="AX37" i="20"/>
  <c r="AY37" i="20"/>
  <c r="AZ37" i="20"/>
  <c r="BA37" i="20"/>
  <c r="BB37" i="20"/>
  <c r="BC37" i="20"/>
  <c r="BD37" i="20"/>
  <c r="BE37" i="20"/>
  <c r="BF37" i="20"/>
  <c r="M38" i="20"/>
  <c r="N38" i="20"/>
  <c r="O38" i="20"/>
  <c r="AQ38" i="20"/>
  <c r="AR38" i="20"/>
  <c r="AS38" i="20"/>
  <c r="AT38" i="20"/>
  <c r="AU38" i="20"/>
  <c r="AV38" i="20"/>
  <c r="AW38" i="20"/>
  <c r="AX38" i="20"/>
  <c r="AY38" i="20"/>
  <c r="AZ38" i="20"/>
  <c r="BA38" i="20"/>
  <c r="BB38" i="20"/>
  <c r="BC38" i="20"/>
  <c r="BD38" i="20"/>
  <c r="BE38" i="20"/>
  <c r="BF38" i="20"/>
  <c r="N41" i="20"/>
  <c r="O41" i="20"/>
  <c r="AU41" i="20"/>
  <c r="AV41" i="20"/>
  <c r="AW41" i="20"/>
  <c r="AX41" i="20"/>
  <c r="AY41" i="20"/>
  <c r="AZ41" i="20"/>
  <c r="BA41" i="20"/>
  <c r="BB41" i="20"/>
  <c r="BC41" i="20"/>
  <c r="BD41" i="20"/>
  <c r="BE41" i="20"/>
  <c r="BF41" i="20"/>
  <c r="N42" i="20"/>
  <c r="O42" i="20"/>
  <c r="AU42" i="20"/>
  <c r="AV42" i="20"/>
  <c r="AW42" i="20"/>
  <c r="AX42" i="20"/>
  <c r="AY42" i="20"/>
  <c r="AZ42" i="20"/>
  <c r="BA42" i="20"/>
  <c r="BB42" i="20"/>
  <c r="BC42" i="20"/>
  <c r="BD42" i="20"/>
  <c r="BE42" i="20"/>
  <c r="BF42" i="20"/>
  <c r="N43" i="20"/>
  <c r="O43" i="20"/>
  <c r="AU43" i="20"/>
  <c r="AV43" i="20"/>
  <c r="AW43" i="20"/>
  <c r="AX43" i="20"/>
  <c r="AY43" i="20"/>
  <c r="AZ43" i="20"/>
  <c r="BA43" i="20"/>
  <c r="BB43" i="20"/>
  <c r="BC43" i="20"/>
  <c r="BD43" i="20"/>
  <c r="BE43" i="20"/>
  <c r="BF43" i="20"/>
  <c r="N44" i="20"/>
  <c r="O44" i="20"/>
  <c r="AU44" i="20"/>
  <c r="AV44" i="20"/>
  <c r="AW44" i="20"/>
  <c r="AX44" i="20"/>
  <c r="AY44" i="20"/>
  <c r="AZ44" i="20"/>
  <c r="BA44" i="20"/>
  <c r="BB44" i="20"/>
  <c r="BC44" i="20"/>
  <c r="BD44" i="20"/>
  <c r="BE44" i="20"/>
  <c r="BF44" i="20"/>
  <c r="N45" i="20"/>
  <c r="O45" i="20"/>
  <c r="AU45" i="20"/>
  <c r="AV45" i="20"/>
  <c r="AW45" i="20"/>
  <c r="AX45" i="20"/>
  <c r="AY45" i="20"/>
  <c r="AZ45" i="20"/>
  <c r="BA45" i="20"/>
  <c r="BB45" i="20"/>
  <c r="BC45" i="20"/>
  <c r="BD45" i="20"/>
  <c r="BE45" i="20"/>
  <c r="BF45" i="20"/>
  <c r="N46" i="20"/>
  <c r="O46" i="20"/>
  <c r="AU46" i="20"/>
  <c r="AV46" i="20"/>
  <c r="AW46" i="20"/>
  <c r="AX46" i="20"/>
  <c r="AY46" i="20"/>
  <c r="AZ46" i="20"/>
  <c r="BA46" i="20"/>
  <c r="BB46" i="20"/>
  <c r="BC46" i="20"/>
  <c r="BD46" i="20"/>
  <c r="BE46" i="20"/>
  <c r="BF46" i="20"/>
  <c r="N47" i="20"/>
  <c r="O47" i="20"/>
  <c r="AU47" i="20"/>
  <c r="AV47" i="20"/>
  <c r="AW47" i="20"/>
  <c r="AX47" i="20"/>
  <c r="AY47" i="20"/>
  <c r="AZ47" i="20"/>
  <c r="BA47" i="20"/>
  <c r="BB47" i="20"/>
  <c r="BC47" i="20"/>
  <c r="BD47" i="20"/>
  <c r="BE47" i="20"/>
  <c r="BF47" i="20"/>
  <c r="N48" i="20"/>
  <c r="O48" i="20"/>
  <c r="AU48" i="20"/>
  <c r="AV48" i="20"/>
  <c r="AW48" i="20"/>
  <c r="AX48" i="20"/>
  <c r="AY48" i="20"/>
  <c r="AZ48" i="20"/>
  <c r="BA48" i="20"/>
  <c r="BB48" i="20"/>
  <c r="BC48" i="20"/>
  <c r="BD48" i="20"/>
  <c r="BE48" i="20"/>
  <c r="BF48" i="20"/>
  <c r="AR52" i="20"/>
  <c r="AS52" i="20"/>
  <c r="AV52" i="20"/>
  <c r="AW52" i="20"/>
  <c r="AY52" i="20"/>
  <c r="AZ52" i="20"/>
  <c r="BA52" i="20"/>
  <c r="BC52" i="20"/>
  <c r="BD52" i="20"/>
  <c r="BE52" i="20"/>
  <c r="AR53" i="20"/>
  <c r="AS53" i="20"/>
  <c r="AV53" i="20"/>
  <c r="AW53" i="20"/>
  <c r="AY53" i="20"/>
  <c r="AZ53" i="20"/>
  <c r="BA53" i="20"/>
  <c r="BC53" i="20"/>
  <c r="BD53" i="20"/>
  <c r="BE53" i="20"/>
  <c r="AR54" i="20"/>
  <c r="AS54" i="20"/>
  <c r="AV54" i="20"/>
  <c r="AW54" i="20"/>
  <c r="AY54" i="20"/>
  <c r="AZ54" i="20"/>
  <c r="BA54" i="20"/>
  <c r="BC54" i="20"/>
  <c r="BD54" i="20"/>
  <c r="BE54" i="20"/>
  <c r="AR55" i="20"/>
  <c r="AS55" i="20"/>
  <c r="AV55" i="20"/>
  <c r="AW55" i="20"/>
  <c r="AY55" i="20"/>
  <c r="AZ55" i="20"/>
  <c r="BA55" i="20"/>
  <c r="BC55" i="20"/>
  <c r="BD55" i="20"/>
  <c r="BE55" i="20"/>
  <c r="AR56" i="20"/>
  <c r="AS56" i="20"/>
  <c r="AV56" i="20"/>
  <c r="AW56" i="20"/>
  <c r="AY56" i="20"/>
  <c r="AZ56" i="20"/>
  <c r="BA56" i="20"/>
  <c r="BC56" i="20"/>
  <c r="BD56" i="20"/>
  <c r="BE56" i="20"/>
  <c r="AR57" i="20"/>
  <c r="AS57" i="20"/>
  <c r="AV57" i="20"/>
  <c r="AW57" i="20"/>
  <c r="AY57" i="20"/>
  <c r="AZ57" i="20"/>
  <c r="BA57" i="20"/>
  <c r="BC57" i="20"/>
  <c r="BD57" i="20"/>
  <c r="BE57" i="20"/>
  <c r="AR58" i="20"/>
  <c r="AS58" i="20"/>
  <c r="AV58" i="20"/>
  <c r="AW58" i="20"/>
  <c r="AY58" i="20"/>
  <c r="AZ58" i="20"/>
  <c r="BA58" i="20"/>
  <c r="BC58" i="20"/>
  <c r="BD58" i="20"/>
  <c r="BE58" i="20"/>
  <c r="C59" i="20"/>
  <c r="D59" i="20"/>
  <c r="E59" i="20"/>
  <c r="F59" i="20"/>
  <c r="G59" i="20"/>
  <c r="H59" i="20"/>
  <c r="I59" i="20"/>
  <c r="J59" i="20"/>
  <c r="K59" i="20"/>
  <c r="L59" i="20"/>
  <c r="M59" i="20"/>
  <c r="N59" i="20"/>
  <c r="O59" i="20"/>
  <c r="R59" i="20"/>
  <c r="S59" i="20"/>
  <c r="T59" i="20"/>
  <c r="U59" i="20"/>
  <c r="V59" i="20"/>
  <c r="W59" i="20"/>
  <c r="X59" i="20"/>
  <c r="Y59" i="20"/>
  <c r="Z59" i="20"/>
  <c r="AA59" i="20"/>
  <c r="AB59" i="20"/>
  <c r="AC59" i="20"/>
  <c r="AD59" i="20"/>
  <c r="AE59" i="20"/>
  <c r="AF59" i="20"/>
  <c r="AG59" i="20"/>
  <c r="AH59" i="20"/>
  <c r="AI59" i="20"/>
  <c r="AJ59" i="20"/>
  <c r="AK59" i="20"/>
  <c r="AL59" i="20"/>
  <c r="AM59" i="20"/>
  <c r="AN59" i="20"/>
  <c r="AO59" i="20"/>
  <c r="AP59" i="20"/>
  <c r="AQ59" i="20"/>
  <c r="AR59" i="20"/>
  <c r="AS59" i="20"/>
  <c r="AT59" i="20"/>
  <c r="AU59" i="20"/>
  <c r="AV59" i="20"/>
  <c r="AW59" i="20"/>
  <c r="AX59" i="20"/>
  <c r="AY59" i="20"/>
  <c r="AZ59" i="20"/>
  <c r="BA59" i="20"/>
  <c r="BB59" i="20"/>
  <c r="BC59" i="20"/>
  <c r="BD59" i="20"/>
  <c r="BE59" i="20"/>
  <c r="BF59" i="20"/>
  <c r="M60" i="20"/>
  <c r="N60" i="20"/>
  <c r="O60" i="20"/>
  <c r="AX60" i="20"/>
  <c r="AY60" i="20"/>
  <c r="AZ60" i="20"/>
  <c r="BB60" i="20"/>
  <c r="BD60" i="20"/>
  <c r="BF60" i="20"/>
  <c r="M63" i="20"/>
  <c r="N63" i="20"/>
  <c r="O63" i="20"/>
  <c r="AQ63" i="20"/>
  <c r="AR63" i="20"/>
  <c r="AU63" i="20"/>
  <c r="AV63" i="20"/>
  <c r="AW63" i="20"/>
  <c r="AX63" i="20"/>
  <c r="AY63" i="20"/>
  <c r="AZ63" i="20"/>
  <c r="BA63" i="20"/>
  <c r="BB63" i="20"/>
  <c r="BC63" i="20"/>
  <c r="BD63" i="20"/>
  <c r="BE63" i="20"/>
  <c r="BF63" i="20"/>
  <c r="M64" i="20"/>
  <c r="N64" i="20"/>
  <c r="O64" i="20"/>
  <c r="AQ64" i="20"/>
  <c r="AR64" i="20"/>
  <c r="AU64" i="20"/>
  <c r="AV64" i="20"/>
  <c r="AW64" i="20"/>
  <c r="AX64" i="20"/>
  <c r="AY64" i="20"/>
  <c r="AZ64" i="20"/>
  <c r="BA64" i="20"/>
  <c r="BB64" i="20"/>
  <c r="BC64" i="20"/>
  <c r="BD64" i="20"/>
  <c r="BE64" i="20"/>
  <c r="BF64" i="20"/>
  <c r="M65" i="20"/>
  <c r="N65" i="20"/>
  <c r="O65" i="20"/>
  <c r="AQ65" i="20"/>
  <c r="AR65" i="20"/>
  <c r="AU65" i="20"/>
  <c r="AV65" i="20"/>
  <c r="AW65" i="20"/>
  <c r="AX65" i="20"/>
  <c r="AY65" i="20"/>
  <c r="AZ65" i="20"/>
  <c r="BA65" i="20"/>
  <c r="BB65" i="20"/>
  <c r="BC65" i="20"/>
  <c r="BD65" i="20"/>
  <c r="BE65" i="20"/>
  <c r="BF65" i="20"/>
  <c r="M66" i="20"/>
  <c r="N66" i="20"/>
  <c r="O66" i="20"/>
  <c r="AQ66" i="20"/>
  <c r="AR66" i="20"/>
  <c r="AU66" i="20"/>
  <c r="AV66" i="20"/>
  <c r="AW66" i="20"/>
  <c r="AX66" i="20"/>
  <c r="AY66" i="20"/>
  <c r="AZ66" i="20"/>
  <c r="BA66" i="20"/>
  <c r="BB66" i="20"/>
  <c r="BC66" i="20"/>
  <c r="BD66" i="20"/>
  <c r="BE66" i="20"/>
  <c r="BF66" i="20"/>
  <c r="M67" i="20"/>
  <c r="N67" i="20"/>
  <c r="O67" i="20"/>
  <c r="AQ67" i="20"/>
  <c r="AR67" i="20"/>
  <c r="AU67" i="20"/>
  <c r="AV67" i="20"/>
  <c r="AW67" i="20"/>
  <c r="AX67" i="20"/>
  <c r="AY67" i="20"/>
  <c r="AZ67" i="20"/>
  <c r="BA67" i="20"/>
  <c r="BB67" i="20"/>
  <c r="BC67" i="20"/>
  <c r="BD67" i="20"/>
  <c r="BE67" i="20"/>
  <c r="BF67" i="20"/>
  <c r="M69" i="20"/>
  <c r="N69" i="20"/>
  <c r="O69" i="20"/>
  <c r="AQ69" i="20"/>
  <c r="AR69" i="20"/>
  <c r="AU69" i="20"/>
  <c r="AV69" i="20"/>
  <c r="AW69" i="20"/>
  <c r="AX69" i="20"/>
  <c r="AY69" i="20"/>
  <c r="AZ69" i="20"/>
  <c r="BA69" i="20"/>
  <c r="BB69" i="20"/>
  <c r="BC69" i="20"/>
  <c r="BD69" i="20"/>
  <c r="BE69" i="20"/>
  <c r="BF69" i="20"/>
  <c r="M70" i="20"/>
  <c r="N70" i="20"/>
  <c r="O70" i="20"/>
  <c r="AQ70" i="20"/>
  <c r="AR70" i="20"/>
  <c r="AU70" i="20"/>
  <c r="AV70" i="20"/>
  <c r="AW70" i="20"/>
  <c r="AX70" i="20"/>
  <c r="AY70" i="20"/>
  <c r="AZ70" i="20"/>
  <c r="BA70" i="20"/>
  <c r="BB70" i="20"/>
  <c r="BC70" i="20"/>
  <c r="BD70" i="20"/>
  <c r="BE70" i="20"/>
  <c r="BF70" i="20"/>
  <c r="S73" i="20"/>
  <c r="T73" i="20"/>
  <c r="U73" i="20"/>
  <c r="W73" i="20"/>
  <c r="X73" i="20"/>
  <c r="Y73" i="20"/>
  <c r="AA73" i="20"/>
  <c r="AB73" i="20"/>
  <c r="AC73" i="20"/>
  <c r="AE73" i="20"/>
  <c r="AF73" i="20"/>
  <c r="AG73" i="20"/>
  <c r="AI73" i="20"/>
  <c r="AJ73" i="20"/>
  <c r="AK73" i="20"/>
  <c r="AM73" i="20"/>
  <c r="AN73" i="20"/>
  <c r="AO73" i="20"/>
  <c r="AQ73" i="20"/>
  <c r="AR73" i="20"/>
  <c r="AS73" i="20"/>
  <c r="S74" i="20"/>
  <c r="T74" i="20"/>
  <c r="U74" i="20"/>
  <c r="W74" i="20"/>
  <c r="X74" i="20"/>
  <c r="Y74" i="20"/>
  <c r="AA74" i="20"/>
  <c r="AB74" i="20"/>
  <c r="AC74" i="20"/>
  <c r="AE74" i="20"/>
  <c r="AF74" i="20"/>
  <c r="AG74" i="20"/>
  <c r="AI74" i="20"/>
  <c r="AJ74" i="20"/>
  <c r="AK74" i="20"/>
  <c r="AM74" i="20"/>
  <c r="AN74" i="20"/>
  <c r="AO74" i="20"/>
  <c r="AQ74" i="20"/>
  <c r="AR74" i="20"/>
  <c r="AS74" i="20"/>
  <c r="S75" i="20"/>
  <c r="T75" i="20"/>
  <c r="U75" i="20"/>
  <c r="W75" i="20"/>
  <c r="X75" i="20"/>
  <c r="Y75" i="20"/>
  <c r="AA75" i="20"/>
  <c r="AB75" i="20"/>
  <c r="AC75" i="20"/>
  <c r="AE75" i="20"/>
  <c r="AF75" i="20"/>
  <c r="AG75" i="20"/>
  <c r="AI75" i="20"/>
  <c r="AJ75" i="20"/>
  <c r="AK75" i="20"/>
  <c r="AM75" i="20"/>
  <c r="AN75" i="20"/>
  <c r="AO75" i="20"/>
  <c r="AQ75" i="20"/>
  <c r="AR75" i="20"/>
  <c r="AS75" i="20"/>
  <c r="S76" i="20"/>
  <c r="T76" i="20"/>
  <c r="U76" i="20"/>
  <c r="W76" i="20"/>
  <c r="X76" i="20"/>
  <c r="Y76" i="20"/>
  <c r="AA76" i="20"/>
  <c r="AB76" i="20"/>
  <c r="AC76" i="20"/>
  <c r="AE76" i="20"/>
  <c r="AF76" i="20"/>
  <c r="AG76" i="20"/>
  <c r="AI76" i="20"/>
  <c r="AJ76" i="20"/>
  <c r="AK76" i="20"/>
  <c r="AM76" i="20"/>
  <c r="AN76" i="20"/>
  <c r="AO76" i="20"/>
  <c r="AQ76" i="20"/>
  <c r="AR76" i="20"/>
  <c r="AS76" i="20"/>
  <c r="S77" i="20"/>
  <c r="T77" i="20"/>
  <c r="U77" i="20"/>
  <c r="W77" i="20"/>
  <c r="X77" i="20"/>
  <c r="Y77" i="20"/>
  <c r="AA77" i="20"/>
  <c r="AB77" i="20"/>
  <c r="AC77" i="20"/>
  <c r="AE77" i="20"/>
  <c r="AF77" i="20"/>
  <c r="AG77" i="20"/>
  <c r="AI77" i="20"/>
  <c r="AJ77" i="20"/>
  <c r="AK77" i="20"/>
  <c r="AM77" i="20"/>
  <c r="AN77" i="20"/>
  <c r="AO77" i="20"/>
  <c r="AQ77" i="20"/>
  <c r="AR77" i="20"/>
  <c r="AS77" i="20"/>
  <c r="S78" i="20"/>
  <c r="T78" i="20"/>
  <c r="U78" i="20"/>
  <c r="W78" i="20"/>
  <c r="X78" i="20"/>
  <c r="Y78" i="20"/>
  <c r="AA78" i="20"/>
  <c r="AB78" i="20"/>
  <c r="AC78" i="20"/>
  <c r="AE78" i="20"/>
  <c r="AF78" i="20"/>
  <c r="AG78" i="20"/>
  <c r="AI78" i="20"/>
  <c r="AJ78" i="20"/>
  <c r="AK78" i="20"/>
  <c r="AM78" i="20"/>
  <c r="AN78" i="20"/>
  <c r="AO78" i="20"/>
  <c r="AQ78" i="20"/>
  <c r="AR78" i="20"/>
  <c r="AS78" i="20"/>
  <c r="AQ79" i="20"/>
  <c r="AR79" i="20"/>
  <c r="AS79" i="20"/>
  <c r="C80" i="20"/>
  <c r="D80" i="20"/>
  <c r="E80" i="20"/>
  <c r="F80" i="20"/>
  <c r="G80" i="20"/>
  <c r="H80" i="20"/>
  <c r="I80" i="20"/>
  <c r="J80" i="20"/>
  <c r="K80" i="20"/>
  <c r="L80" i="20"/>
  <c r="R80" i="20"/>
  <c r="S80" i="20"/>
  <c r="T80" i="20"/>
  <c r="U80" i="20"/>
  <c r="V80" i="20"/>
  <c r="W80" i="20"/>
  <c r="X80" i="20"/>
  <c r="Y80" i="20"/>
  <c r="Z80" i="20"/>
  <c r="AA80" i="20"/>
  <c r="AB80" i="20"/>
  <c r="AC80" i="20"/>
  <c r="AD80" i="20"/>
  <c r="AE80" i="20"/>
  <c r="AF80" i="20"/>
  <c r="AG80" i="20"/>
  <c r="AH80" i="20"/>
  <c r="AI80" i="20"/>
  <c r="AJ80" i="20"/>
  <c r="AK80" i="20"/>
  <c r="AL80" i="20"/>
  <c r="AM80" i="20"/>
  <c r="AN80" i="20"/>
  <c r="AO80" i="20"/>
  <c r="AP80" i="20"/>
  <c r="AQ80" i="20"/>
  <c r="AR80" i="20"/>
  <c r="AS80" i="20"/>
  <c r="AT80" i="20"/>
  <c r="D82" i="20"/>
  <c r="E82" i="20"/>
  <c r="F82" i="20"/>
  <c r="G82" i="20"/>
  <c r="H82" i="20"/>
  <c r="I82" i="20"/>
  <c r="J82" i="20"/>
  <c r="K82" i="20"/>
  <c r="L82" i="20"/>
  <c r="R82" i="20"/>
  <c r="S82" i="20"/>
  <c r="T82" i="20"/>
  <c r="V82" i="20"/>
  <c r="W82" i="20"/>
  <c r="X82" i="20"/>
  <c r="Z82" i="20"/>
  <c r="AA82" i="20"/>
  <c r="AB82" i="20"/>
  <c r="AD82" i="20"/>
  <c r="AE82" i="20"/>
  <c r="AF82" i="20"/>
  <c r="AH82" i="20"/>
  <c r="AI82" i="20"/>
  <c r="AJ82" i="20"/>
  <c r="AL82" i="20"/>
  <c r="AM82" i="20"/>
  <c r="AN82" i="20"/>
  <c r="AP82" i="20"/>
  <c r="AQ82" i="20"/>
  <c r="AR82" i="20"/>
  <c r="AT82" i="20"/>
  <c r="C85" i="20"/>
  <c r="D85" i="20"/>
  <c r="E85" i="20"/>
  <c r="F85" i="20"/>
  <c r="G85" i="20"/>
  <c r="H85" i="20"/>
  <c r="I85" i="20"/>
  <c r="J85" i="20"/>
  <c r="K85" i="20"/>
  <c r="L85" i="20"/>
  <c r="R85" i="20"/>
  <c r="S85" i="20"/>
  <c r="T85" i="20"/>
  <c r="U85" i="20"/>
  <c r="V85" i="20"/>
  <c r="W85" i="20"/>
  <c r="X85" i="20"/>
  <c r="Y85" i="20"/>
  <c r="Z85" i="20"/>
  <c r="AA85" i="20"/>
  <c r="AB85" i="20"/>
  <c r="AC85" i="20"/>
  <c r="AD85" i="20"/>
  <c r="AE85" i="20"/>
  <c r="AF85" i="20"/>
  <c r="AG85" i="20"/>
  <c r="AH85" i="20"/>
  <c r="AI85" i="20"/>
  <c r="AJ85" i="20"/>
  <c r="AK85" i="20"/>
  <c r="AL85" i="20"/>
  <c r="AM85" i="20"/>
  <c r="AN85" i="20"/>
  <c r="AO85" i="20"/>
  <c r="AP85" i="20"/>
  <c r="AQ85" i="20"/>
  <c r="AR85" i="20"/>
  <c r="AS85" i="20"/>
  <c r="AT85" i="20"/>
  <c r="C86" i="20"/>
  <c r="D86" i="20"/>
  <c r="E86" i="20"/>
  <c r="F86" i="20"/>
  <c r="G86" i="20"/>
  <c r="H86" i="20"/>
  <c r="I86" i="20"/>
  <c r="J86" i="20"/>
  <c r="K86" i="20"/>
  <c r="L86" i="20"/>
  <c r="R86" i="20"/>
  <c r="S86" i="20"/>
  <c r="T86" i="20"/>
  <c r="U86" i="20"/>
  <c r="V86" i="20"/>
  <c r="W86" i="20"/>
  <c r="X86" i="20"/>
  <c r="Y86" i="20"/>
  <c r="Z86" i="20"/>
  <c r="AA86" i="20"/>
  <c r="AB86" i="20"/>
  <c r="AC86" i="20"/>
  <c r="AD86" i="20"/>
  <c r="AE86" i="20"/>
  <c r="AF86" i="20"/>
  <c r="AG86" i="20"/>
  <c r="AH86" i="20"/>
  <c r="AI86" i="20"/>
  <c r="AJ86" i="20"/>
  <c r="AK86" i="20"/>
  <c r="AL86" i="20"/>
  <c r="AM86" i="20"/>
  <c r="AN86" i="20"/>
  <c r="AO86" i="20"/>
  <c r="AP86" i="20"/>
  <c r="AQ86" i="20"/>
  <c r="AR86" i="20"/>
  <c r="AS86" i="20"/>
  <c r="AT86" i="20"/>
  <c r="C87" i="20"/>
  <c r="D87" i="20"/>
  <c r="E87" i="20"/>
  <c r="F87" i="20"/>
  <c r="G87" i="20"/>
  <c r="H87" i="20"/>
  <c r="I87" i="20"/>
  <c r="J87" i="20"/>
  <c r="K87" i="20"/>
  <c r="L87" i="20"/>
  <c r="R87" i="20"/>
  <c r="S87" i="20"/>
  <c r="T87" i="20"/>
  <c r="U87" i="20"/>
  <c r="V87" i="20"/>
  <c r="W87" i="20"/>
  <c r="X87" i="20"/>
  <c r="Y87" i="20"/>
  <c r="Z87" i="20"/>
  <c r="AA87" i="20"/>
  <c r="AB87" i="20"/>
  <c r="AC87" i="20"/>
  <c r="AD87" i="20"/>
  <c r="AE87" i="20"/>
  <c r="AF87" i="20"/>
  <c r="AG87" i="20"/>
  <c r="AH87" i="20"/>
  <c r="AI87" i="20"/>
  <c r="AJ87" i="20"/>
  <c r="AK87" i="20"/>
  <c r="AL87" i="20"/>
  <c r="AM87" i="20"/>
  <c r="AN87" i="20"/>
  <c r="AO87" i="20"/>
  <c r="AP87" i="20"/>
  <c r="AQ87" i="20"/>
  <c r="AR87" i="20"/>
  <c r="AS87" i="20"/>
  <c r="AT87" i="20"/>
  <c r="C88" i="20"/>
  <c r="D88" i="20"/>
  <c r="E88" i="20"/>
  <c r="F88" i="20"/>
  <c r="G88" i="20"/>
  <c r="H88" i="20"/>
  <c r="I88" i="20"/>
  <c r="J88" i="20"/>
  <c r="K88" i="20"/>
  <c r="L88" i="20"/>
  <c r="R88" i="20"/>
  <c r="S88" i="20"/>
  <c r="T88" i="20"/>
  <c r="U88" i="20"/>
  <c r="V88" i="20"/>
  <c r="W88" i="20"/>
  <c r="X88" i="20"/>
  <c r="Y88" i="20"/>
  <c r="Z88" i="20"/>
  <c r="AA88" i="20"/>
  <c r="AB88" i="20"/>
  <c r="AC88" i="20"/>
  <c r="AD88" i="20"/>
  <c r="AE88" i="20"/>
  <c r="AF88" i="20"/>
  <c r="AG88" i="20"/>
  <c r="AH88" i="20"/>
  <c r="AI88" i="20"/>
  <c r="AJ88" i="20"/>
  <c r="AK88" i="20"/>
  <c r="AL88" i="20"/>
  <c r="AM88" i="20"/>
  <c r="AN88" i="20"/>
  <c r="AO88" i="20"/>
  <c r="AP88" i="20"/>
  <c r="AQ88" i="20"/>
  <c r="AR88" i="20"/>
  <c r="AS88" i="20"/>
  <c r="AT88" i="20"/>
  <c r="C89" i="20"/>
  <c r="D89" i="20"/>
  <c r="E89" i="20"/>
  <c r="F89" i="20"/>
  <c r="G89" i="20"/>
  <c r="H89" i="20"/>
  <c r="I89" i="20"/>
  <c r="J89" i="20"/>
  <c r="K89" i="20"/>
  <c r="L89" i="20"/>
  <c r="R89" i="20"/>
  <c r="S89" i="20"/>
  <c r="T89" i="20"/>
  <c r="U89" i="20"/>
  <c r="V89" i="20"/>
  <c r="W89" i="20"/>
  <c r="X89" i="20"/>
  <c r="Y89" i="20"/>
  <c r="Z89" i="20"/>
  <c r="AA89" i="20"/>
  <c r="AB89" i="20"/>
  <c r="AC89" i="20"/>
  <c r="AD89" i="20"/>
  <c r="AE89" i="20"/>
  <c r="AF89" i="20"/>
  <c r="AG89" i="20"/>
  <c r="AH89" i="20"/>
  <c r="AI89" i="20"/>
  <c r="AJ89" i="20"/>
  <c r="AK89" i="20"/>
  <c r="AL89" i="20"/>
  <c r="AM89" i="20"/>
  <c r="AN89" i="20"/>
  <c r="AO89" i="20"/>
  <c r="AP89" i="20"/>
  <c r="AQ89" i="20"/>
  <c r="AR89" i="20"/>
  <c r="AS89" i="20"/>
  <c r="AT89" i="20"/>
  <c r="C90" i="20"/>
  <c r="D90" i="20"/>
  <c r="E90" i="20"/>
  <c r="F90" i="20"/>
  <c r="G90" i="20"/>
  <c r="H90" i="20"/>
  <c r="I90" i="20"/>
  <c r="J90" i="20"/>
  <c r="K90" i="20"/>
  <c r="L90" i="20"/>
  <c r="R90" i="20"/>
  <c r="S90" i="20"/>
  <c r="T90" i="20"/>
  <c r="U90" i="20"/>
  <c r="V90" i="20"/>
  <c r="W90" i="20"/>
  <c r="X90" i="20"/>
  <c r="Y90" i="20"/>
  <c r="Z90" i="20"/>
  <c r="AA90" i="20"/>
  <c r="AB90" i="20"/>
  <c r="AC90" i="20"/>
  <c r="AD90" i="20"/>
  <c r="AE90" i="20"/>
  <c r="AF90" i="20"/>
  <c r="AG90" i="20"/>
  <c r="AH90" i="20"/>
  <c r="AI90" i="20"/>
  <c r="AJ90" i="20"/>
  <c r="AK90" i="20"/>
  <c r="AL90" i="20"/>
  <c r="AM90" i="20"/>
  <c r="AN90" i="20"/>
  <c r="AO90" i="20"/>
  <c r="AP90" i="20"/>
  <c r="AQ90" i="20"/>
  <c r="AR90" i="20"/>
  <c r="AS90" i="20"/>
  <c r="AT90" i="20"/>
  <c r="C92" i="20"/>
  <c r="D92" i="20"/>
  <c r="E92" i="20"/>
  <c r="F92" i="20"/>
  <c r="G92" i="20"/>
  <c r="H92" i="20"/>
  <c r="I92" i="20"/>
  <c r="J92" i="20"/>
  <c r="K92" i="20"/>
  <c r="L92" i="20"/>
  <c r="R92" i="20"/>
  <c r="S92" i="20"/>
  <c r="T92" i="20"/>
  <c r="U92" i="20"/>
  <c r="V92" i="20"/>
  <c r="W92" i="20"/>
  <c r="X92" i="20"/>
  <c r="Y92" i="20"/>
  <c r="Z92" i="20"/>
  <c r="AA92" i="20"/>
  <c r="AB92" i="20"/>
  <c r="AC92" i="20"/>
  <c r="AD92" i="20"/>
  <c r="AE92" i="20"/>
  <c r="AF92" i="20"/>
  <c r="AG92" i="20"/>
  <c r="AH92" i="20"/>
  <c r="AI92" i="20"/>
  <c r="AJ92" i="20"/>
  <c r="AK92" i="20"/>
  <c r="AL92" i="20"/>
  <c r="AM92" i="20"/>
  <c r="AN92" i="20"/>
  <c r="AO92" i="20"/>
  <c r="AP92" i="20"/>
  <c r="AQ92" i="20"/>
  <c r="AR92" i="20"/>
  <c r="AS92" i="20"/>
  <c r="AT92" i="20"/>
  <c r="M96" i="20"/>
  <c r="U96" i="20"/>
  <c r="Y96" i="20"/>
  <c r="AC96" i="20"/>
  <c r="AG96" i="20"/>
  <c r="AK96" i="20"/>
  <c r="AO96" i="20"/>
  <c r="AS96" i="20"/>
  <c r="BA96" i="20"/>
  <c r="BE96" i="20"/>
  <c r="P96" i="20" s="1"/>
  <c r="M97" i="20"/>
  <c r="U97" i="20"/>
  <c r="Y97" i="20"/>
  <c r="AC97" i="20"/>
  <c r="AG97" i="20"/>
  <c r="AK97" i="20"/>
  <c r="AO97" i="20"/>
  <c r="AS97" i="20"/>
  <c r="BA97" i="20"/>
  <c r="BE97" i="20"/>
  <c r="P97" i="20" s="1"/>
  <c r="M98" i="20"/>
  <c r="U98" i="20"/>
  <c r="Y98" i="20"/>
  <c r="AC98" i="20"/>
  <c r="AG98" i="20"/>
  <c r="AK98" i="20"/>
  <c r="AO98" i="20"/>
  <c r="AS98" i="20"/>
  <c r="BA98" i="20"/>
  <c r="BE98" i="20"/>
  <c r="P98" i="20" s="1"/>
  <c r="M99" i="20"/>
  <c r="U99" i="20"/>
  <c r="Y99" i="20"/>
  <c r="AC99" i="20"/>
  <c r="AG99" i="20"/>
  <c r="AK99" i="20"/>
  <c r="AO99" i="20"/>
  <c r="AS99" i="20"/>
  <c r="BA99" i="20"/>
  <c r="BE99" i="20"/>
  <c r="P99" i="20" s="1"/>
  <c r="C100" i="20"/>
  <c r="D100" i="20"/>
  <c r="E100" i="20"/>
  <c r="F100" i="20"/>
  <c r="G100" i="20"/>
  <c r="H100" i="20"/>
  <c r="I100" i="20"/>
  <c r="J100" i="20"/>
  <c r="K100" i="20"/>
  <c r="L100" i="20"/>
  <c r="M100" i="20"/>
  <c r="N100" i="20"/>
  <c r="O100" i="20"/>
  <c r="P100" i="20"/>
  <c r="R100" i="20"/>
  <c r="S100" i="20"/>
  <c r="T100" i="20"/>
  <c r="U100" i="20"/>
  <c r="V100" i="20"/>
  <c r="W100" i="20"/>
  <c r="X100" i="20"/>
  <c r="Y100" i="20"/>
  <c r="Z100" i="20"/>
  <c r="AA100" i="20"/>
  <c r="AB100" i="20"/>
  <c r="AC100" i="20"/>
  <c r="AD100" i="20"/>
  <c r="AE100" i="20"/>
  <c r="AF100" i="20"/>
  <c r="AG100" i="20"/>
  <c r="AH100" i="20"/>
  <c r="AI100" i="20"/>
  <c r="AJ100" i="20"/>
  <c r="AK100" i="20"/>
  <c r="AL100" i="20"/>
  <c r="AM100" i="20"/>
  <c r="AN100" i="20"/>
  <c r="AO100" i="20"/>
  <c r="AP100" i="20"/>
  <c r="AQ100" i="20"/>
  <c r="AR100" i="20"/>
  <c r="AS100" i="20"/>
  <c r="AT100" i="20"/>
  <c r="AU100" i="20"/>
  <c r="AV100" i="20"/>
  <c r="AW100" i="20"/>
  <c r="AX100" i="20"/>
  <c r="AY100" i="20"/>
  <c r="AZ100" i="20"/>
  <c r="BA100" i="20"/>
  <c r="BB100" i="20"/>
  <c r="BC100" i="20"/>
  <c r="BD100" i="20"/>
  <c r="BE100" i="20"/>
  <c r="BF100" i="20"/>
  <c r="D101" i="20"/>
  <c r="E101" i="20"/>
  <c r="F101" i="20"/>
  <c r="G101" i="20"/>
  <c r="H101" i="20"/>
  <c r="I101" i="20"/>
  <c r="J101" i="20"/>
  <c r="K101" i="20"/>
  <c r="L101" i="20"/>
  <c r="M101" i="20"/>
  <c r="N101" i="20"/>
  <c r="O101" i="20"/>
  <c r="R101" i="20"/>
  <c r="S101" i="20"/>
  <c r="T101" i="20"/>
  <c r="V101" i="20"/>
  <c r="W101" i="20"/>
  <c r="X101" i="20"/>
  <c r="Z101" i="20"/>
  <c r="AA101" i="20"/>
  <c r="AB101" i="20"/>
  <c r="AD101" i="20"/>
  <c r="AE101" i="20"/>
  <c r="AF101" i="20"/>
  <c r="AH101" i="20"/>
  <c r="AI101" i="20"/>
  <c r="AJ101" i="20"/>
  <c r="AL101" i="20"/>
  <c r="AM101" i="20"/>
  <c r="AN101" i="20"/>
  <c r="AP101" i="20"/>
  <c r="AQ101" i="20"/>
  <c r="AR101" i="20"/>
  <c r="AT101" i="20"/>
  <c r="AU101" i="20"/>
  <c r="AV101" i="20"/>
  <c r="AX101" i="20"/>
  <c r="AY101" i="20"/>
  <c r="AZ101" i="20"/>
  <c r="BB101" i="20"/>
  <c r="BD101" i="20"/>
  <c r="BF101" i="20"/>
  <c r="U104" i="20"/>
  <c r="Y104" i="20"/>
  <c r="AC104" i="20"/>
  <c r="AG104" i="20"/>
  <c r="AK104" i="20"/>
  <c r="AO104" i="20"/>
  <c r="AS104" i="20"/>
  <c r="AW104" i="20"/>
  <c r="BA104" i="20"/>
  <c r="BE104" i="20"/>
  <c r="P104" i="20" s="1"/>
  <c r="U105" i="20"/>
  <c r="Y105" i="20"/>
  <c r="AC105" i="20"/>
  <c r="AG105" i="20"/>
  <c r="AK105" i="20"/>
  <c r="AO105" i="20"/>
  <c r="AS105" i="20"/>
  <c r="AW105" i="20"/>
  <c r="BA105" i="20"/>
  <c r="BE105" i="20"/>
  <c r="P105" i="20" s="1"/>
  <c r="L106" i="20"/>
  <c r="M106" i="20"/>
  <c r="N106" i="20"/>
  <c r="O106" i="20"/>
  <c r="U106" i="20"/>
  <c r="Y106" i="20"/>
  <c r="AC106" i="20"/>
  <c r="AG106" i="20"/>
  <c r="AK106" i="20"/>
  <c r="AO106" i="20"/>
  <c r="AQ106" i="20"/>
  <c r="AR106" i="20"/>
  <c r="AS106" i="20"/>
  <c r="AT106" i="20"/>
  <c r="AU106" i="20"/>
  <c r="AV106" i="20"/>
  <c r="AW106" i="20"/>
  <c r="AX106" i="20"/>
  <c r="AY106" i="20"/>
  <c r="AZ106" i="20"/>
  <c r="BA106" i="20"/>
  <c r="BB106" i="20"/>
  <c r="BC106" i="20"/>
  <c r="BD106" i="20"/>
  <c r="BE106" i="20"/>
  <c r="BF106" i="20"/>
  <c r="U107" i="20"/>
  <c r="Y107" i="20"/>
  <c r="AC107" i="20"/>
  <c r="AG107" i="20"/>
  <c r="AK107" i="20"/>
  <c r="AO107" i="20"/>
  <c r="U108" i="20"/>
  <c r="Y108" i="20"/>
  <c r="AC108" i="20"/>
  <c r="AG108" i="20"/>
  <c r="AK108" i="20"/>
  <c r="AO108" i="20"/>
  <c r="U109" i="20"/>
  <c r="Y109" i="20"/>
  <c r="AC109" i="20"/>
  <c r="AG109" i="20"/>
  <c r="AK109" i="20"/>
  <c r="AO109" i="20"/>
  <c r="L110" i="20"/>
  <c r="M110" i="20"/>
  <c r="N110" i="20"/>
  <c r="O110" i="20"/>
  <c r="U110" i="20"/>
  <c r="Y110" i="20"/>
  <c r="AC110" i="20"/>
  <c r="AG110" i="20"/>
  <c r="AK110" i="20"/>
  <c r="AO110" i="20"/>
  <c r="AQ110" i="20"/>
  <c r="AR110" i="20"/>
  <c r="AS110" i="20"/>
  <c r="AT110" i="20"/>
  <c r="AU110" i="20"/>
  <c r="AV110" i="20"/>
  <c r="AW110" i="20"/>
  <c r="AX110" i="20"/>
  <c r="AY110" i="20"/>
  <c r="AZ110" i="20"/>
  <c r="BA110" i="20"/>
  <c r="BB110" i="20"/>
  <c r="BC110" i="20"/>
  <c r="BD110" i="20"/>
  <c r="BE110" i="20"/>
  <c r="BF110" i="20"/>
  <c r="U111" i="20"/>
  <c r="Y111" i="20"/>
  <c r="AC111" i="20"/>
  <c r="AG111" i="20"/>
  <c r="AK111" i="20"/>
  <c r="AO111" i="20"/>
  <c r="U112" i="20"/>
  <c r="Y112" i="20"/>
  <c r="AC112" i="20"/>
  <c r="AG112" i="20"/>
  <c r="AK112" i="20"/>
  <c r="AO112" i="20"/>
  <c r="U113" i="20"/>
  <c r="Y113" i="20"/>
  <c r="AC113" i="20"/>
  <c r="AG113" i="20"/>
  <c r="AK113" i="20"/>
  <c r="AO113" i="20"/>
  <c r="U114" i="20"/>
  <c r="Y114" i="20"/>
  <c r="AC114" i="20"/>
  <c r="AG114" i="20"/>
  <c r="AK114" i="20"/>
  <c r="AO114" i="20"/>
  <c r="AS114" i="20"/>
  <c r="AW114" i="20"/>
  <c r="BA114" i="20"/>
  <c r="BE114" i="20"/>
  <c r="P114" i="20" s="1"/>
  <c r="U115" i="20"/>
  <c r="Y115" i="20"/>
  <c r="AC115" i="20"/>
  <c r="AG115" i="20"/>
  <c r="AK115" i="20"/>
  <c r="AO115" i="20"/>
  <c r="AS115" i="20"/>
  <c r="AW115" i="20"/>
  <c r="BA115" i="20"/>
  <c r="BC115" i="20"/>
  <c r="BD115" i="20"/>
  <c r="BE115" i="20"/>
  <c r="BF115" i="20"/>
  <c r="C116" i="20"/>
  <c r="D116" i="20"/>
  <c r="E116" i="20"/>
  <c r="F116" i="20"/>
  <c r="G116" i="20"/>
  <c r="H116" i="20"/>
  <c r="I116" i="20"/>
  <c r="J116" i="20"/>
  <c r="K116" i="20"/>
  <c r="L116" i="20"/>
  <c r="M116" i="20"/>
  <c r="N116" i="20"/>
  <c r="O116" i="20"/>
  <c r="R116" i="20"/>
  <c r="S116" i="20"/>
  <c r="T116" i="20"/>
  <c r="U116" i="20"/>
  <c r="V116" i="20"/>
  <c r="W116" i="20"/>
  <c r="X116" i="20"/>
  <c r="Y116" i="20"/>
  <c r="Z116" i="20"/>
  <c r="AA116" i="20"/>
  <c r="AB116" i="20"/>
  <c r="AC116" i="20"/>
  <c r="AD116" i="20"/>
  <c r="AE116" i="20"/>
  <c r="AF116" i="20"/>
  <c r="AG116" i="20"/>
  <c r="AH116" i="20"/>
  <c r="AI116" i="20"/>
  <c r="AJ116" i="20"/>
  <c r="AK116" i="20"/>
  <c r="AL116" i="20"/>
  <c r="AM116" i="20"/>
  <c r="AN116" i="20"/>
  <c r="AO116" i="20"/>
  <c r="AP116" i="20"/>
  <c r="AQ116" i="20"/>
  <c r="AR116" i="20"/>
  <c r="AS116" i="20"/>
  <c r="AT116" i="20"/>
  <c r="AU116" i="20"/>
  <c r="AV116" i="20"/>
  <c r="AW116" i="20"/>
  <c r="AX116" i="20"/>
  <c r="AY116" i="20"/>
  <c r="AZ116" i="20"/>
  <c r="BA116" i="20"/>
  <c r="BB116" i="20"/>
  <c r="BC116" i="20"/>
  <c r="BD116" i="20"/>
  <c r="BE116" i="20"/>
  <c r="BF116" i="20"/>
  <c r="N122" i="20"/>
  <c r="O122" i="20"/>
  <c r="P122" i="20"/>
  <c r="Y122" i="20"/>
  <c r="AC122" i="20"/>
  <c r="AG122" i="20"/>
  <c r="AK122" i="20"/>
  <c r="AO122" i="20"/>
  <c r="AS122" i="20"/>
  <c r="AW122" i="20"/>
  <c r="N123" i="20"/>
  <c r="O123" i="20"/>
  <c r="P123" i="20"/>
  <c r="Y123" i="20"/>
  <c r="AC123" i="20"/>
  <c r="AG123" i="20"/>
  <c r="AK123" i="20"/>
  <c r="AO123" i="20"/>
  <c r="AS123" i="20"/>
  <c r="AW123" i="20"/>
  <c r="N124" i="20"/>
  <c r="O124" i="20"/>
  <c r="P124" i="20"/>
  <c r="Y124" i="20"/>
  <c r="AC124" i="20"/>
  <c r="AG124" i="20"/>
  <c r="AK124" i="20"/>
  <c r="AO124" i="20"/>
  <c r="AS124" i="20"/>
  <c r="AW124" i="20"/>
  <c r="C125" i="20"/>
  <c r="D125" i="20"/>
  <c r="E125" i="20"/>
  <c r="F125" i="20"/>
  <c r="G125" i="20"/>
  <c r="H125" i="20"/>
  <c r="I125" i="20"/>
  <c r="J125" i="20"/>
  <c r="K125" i="20"/>
  <c r="L125" i="20"/>
  <c r="M125" i="20"/>
  <c r="N125" i="20"/>
  <c r="O125" i="20"/>
  <c r="P125" i="20"/>
  <c r="R125" i="20"/>
  <c r="S125" i="20"/>
  <c r="T125" i="20"/>
  <c r="U125" i="20"/>
  <c r="V125" i="20"/>
  <c r="W125" i="20"/>
  <c r="X125" i="20"/>
  <c r="Y125" i="20"/>
  <c r="Z125" i="20"/>
  <c r="AA125" i="20"/>
  <c r="AB125" i="20"/>
  <c r="AC125" i="20"/>
  <c r="AD125" i="20"/>
  <c r="AE125" i="20"/>
  <c r="AF125" i="20"/>
  <c r="AG125" i="20"/>
  <c r="AH125" i="20"/>
  <c r="AI125" i="20"/>
  <c r="AJ125" i="20"/>
  <c r="AK125" i="20"/>
  <c r="AL125" i="20"/>
  <c r="AM125" i="20"/>
  <c r="AN125" i="20"/>
  <c r="AO125" i="20"/>
  <c r="AP125" i="20"/>
  <c r="AQ125" i="20"/>
  <c r="AR125" i="20"/>
  <c r="AS125" i="20"/>
  <c r="AT125" i="20"/>
  <c r="AU125" i="20"/>
  <c r="AV125" i="20"/>
  <c r="AW125" i="20"/>
  <c r="AX125" i="20"/>
  <c r="AY125" i="20"/>
  <c r="AZ125" i="20"/>
  <c r="BA125" i="20"/>
  <c r="BB125" i="20"/>
  <c r="BC125" i="20"/>
  <c r="BD125" i="20"/>
  <c r="BE125" i="20"/>
  <c r="BF125" i="20"/>
  <c r="R147" i="20"/>
  <c r="S147" i="20"/>
  <c r="T147" i="20"/>
  <c r="U147" i="20"/>
  <c r="V147" i="20"/>
  <c r="W147" i="20"/>
  <c r="X147" i="20"/>
  <c r="Y147" i="20"/>
  <c r="Z147" i="20"/>
  <c r="AA147" i="20"/>
  <c r="AB147" i="20"/>
  <c r="AC147" i="20"/>
  <c r="AD147" i="20"/>
  <c r="AE147" i="20"/>
  <c r="AF147" i="20"/>
  <c r="AG147" i="20"/>
  <c r="AH147" i="20"/>
  <c r="AI147" i="20"/>
  <c r="AJ147" i="20"/>
  <c r="AK147" i="20"/>
  <c r="AL147" i="20"/>
  <c r="AM147" i="20"/>
  <c r="AN147" i="20"/>
  <c r="AO147" i="20"/>
  <c r="AP147" i="20"/>
  <c r="AQ147" i="20"/>
  <c r="AR147" i="20"/>
  <c r="AS147" i="20"/>
  <c r="AT147" i="20"/>
  <c r="AU147" i="20"/>
  <c r="AV147" i="20"/>
  <c r="AW147" i="20"/>
  <c r="AX147" i="20"/>
  <c r="AZ147" i="20"/>
  <c r="BA147" i="20"/>
  <c r="BB147" i="20"/>
  <c r="BD147" i="20"/>
  <c r="BE147" i="20"/>
  <c r="BF147" i="20"/>
  <c r="AY148" i="20"/>
  <c r="AY147" i="20" s="1"/>
  <c r="BC148" i="20"/>
  <c r="BC147" i="20" s="1"/>
  <c r="F155" i="20"/>
  <c r="G155" i="20"/>
  <c r="H155" i="20"/>
  <c r="R155" i="20"/>
  <c r="S155" i="20"/>
  <c r="T155" i="20"/>
  <c r="U155" i="20"/>
  <c r="V155" i="20"/>
  <c r="W155" i="20"/>
  <c r="X155" i="20"/>
  <c r="Y155" i="20"/>
  <c r="Z155" i="20"/>
  <c r="AA155" i="20"/>
  <c r="AB155" i="20"/>
  <c r="AC155" i="20"/>
  <c r="AD155" i="20"/>
  <c r="AD154" i="20" s="1"/>
  <c r="AE155" i="20"/>
  <c r="AE154" i="20" s="1"/>
  <c r="AF155" i="20"/>
  <c r="AF154" i="20" s="1"/>
  <c r="AG155" i="20"/>
  <c r="AG154" i="20" s="1"/>
  <c r="AH155" i="20"/>
  <c r="AH154" i="20" s="1"/>
  <c r="AI155" i="20"/>
  <c r="AI154" i="20" s="1"/>
  <c r="AJ155" i="20"/>
  <c r="AJ154" i="20" s="1"/>
  <c r="AK155" i="20"/>
  <c r="AK154" i="20" s="1"/>
  <c r="AL155" i="20"/>
  <c r="AL154" i="20" s="1"/>
  <c r="AM155" i="20"/>
  <c r="AM154" i="20" s="1"/>
  <c r="AN155" i="20"/>
  <c r="AN154" i="20" s="1"/>
  <c r="AO155" i="20"/>
  <c r="AO154" i="20" s="1"/>
  <c r="AP155" i="20"/>
  <c r="AP154" i="20" s="1"/>
  <c r="AQ155" i="20"/>
  <c r="AQ154" i="20" s="1"/>
  <c r="AR155" i="20"/>
  <c r="AR154" i="20" s="1"/>
  <c r="AS155" i="20"/>
  <c r="AS154" i="20" s="1"/>
  <c r="AT155" i="20"/>
  <c r="AT154" i="20" s="1"/>
  <c r="AU155" i="20"/>
  <c r="AU154" i="20" s="1"/>
  <c r="AV155" i="20"/>
  <c r="AV154" i="20" s="1"/>
  <c r="AW155" i="20"/>
  <c r="AW154" i="20" s="1"/>
  <c r="AX155" i="20"/>
  <c r="AX154" i="20" s="1"/>
  <c r="AY155" i="20"/>
  <c r="AY154" i="20" s="1"/>
  <c r="AZ155" i="20"/>
  <c r="AZ154" i="20" s="1"/>
  <c r="BA155" i="20"/>
  <c r="BA154" i="20" s="1"/>
  <c r="BB155" i="20"/>
  <c r="BB154" i="20" s="1"/>
  <c r="BC155" i="20"/>
  <c r="BC154" i="20" s="1"/>
  <c r="BD155" i="20"/>
  <c r="BD154" i="20" s="1"/>
  <c r="BE155" i="20"/>
  <c r="BE154" i="20" s="1"/>
  <c r="BF155" i="20"/>
  <c r="BF154" i="20" s="1"/>
  <c r="N156" i="20"/>
  <c r="O156" i="20"/>
  <c r="P156" i="20"/>
  <c r="I159" i="20"/>
  <c r="J159" i="20"/>
  <c r="K159" i="20"/>
  <c r="L159" i="20"/>
  <c r="M159" i="20"/>
  <c r="N159" i="20"/>
  <c r="O159" i="20"/>
  <c r="P159" i="20"/>
  <c r="I160" i="20"/>
  <c r="J160" i="20"/>
  <c r="K160" i="20"/>
  <c r="L160" i="20"/>
  <c r="M160" i="20"/>
  <c r="N160" i="20"/>
  <c r="O160" i="20"/>
  <c r="P160" i="20"/>
  <c r="N170" i="20"/>
  <c r="O170" i="20"/>
  <c r="P170" i="20"/>
  <c r="U170" i="20"/>
  <c r="Y170" i="20"/>
  <c r="AC170" i="20"/>
  <c r="AG170" i="20"/>
  <c r="AK170" i="20"/>
  <c r="AO170" i="20"/>
  <c r="AS170" i="20"/>
  <c r="AW170" i="20"/>
  <c r="AY170" i="20"/>
  <c r="AZ170" i="20"/>
  <c r="BA170" i="20"/>
  <c r="BB170" i="20"/>
  <c r="BC170" i="20"/>
  <c r="BD170" i="20"/>
  <c r="BE170" i="20"/>
  <c r="BF170" i="20"/>
  <c r="N171" i="20"/>
  <c r="O171" i="20"/>
  <c r="P171" i="20"/>
  <c r="U171" i="20"/>
  <c r="Y171" i="20"/>
  <c r="AC171" i="20"/>
  <c r="AG171" i="20"/>
  <c r="AK171" i="20"/>
  <c r="AO171" i="20"/>
  <c r="AS171" i="20"/>
  <c r="AV171" i="20"/>
  <c r="AW171" i="20"/>
  <c r="AY171" i="20"/>
  <c r="AZ171" i="20"/>
  <c r="BA171" i="20"/>
  <c r="BB171" i="20"/>
  <c r="BC171" i="20"/>
  <c r="BD171" i="20"/>
  <c r="BE171" i="20"/>
  <c r="BF171" i="20"/>
  <c r="N172" i="20"/>
  <c r="O172" i="20"/>
  <c r="P172" i="20"/>
  <c r="U172" i="20"/>
  <c r="Y172" i="20"/>
  <c r="AC172" i="20"/>
  <c r="AG172" i="20"/>
  <c r="AK172" i="20"/>
  <c r="AO172" i="20"/>
  <c r="AS172" i="20"/>
  <c r="AV172" i="20"/>
  <c r="AW172" i="20"/>
  <c r="AY172" i="20"/>
  <c r="AZ172" i="20"/>
  <c r="BA172" i="20"/>
  <c r="BB172" i="20"/>
  <c r="BC172" i="20"/>
  <c r="BD172" i="20"/>
  <c r="BE172" i="20"/>
  <c r="BF172" i="20"/>
  <c r="O173" i="20"/>
  <c r="P173" i="20"/>
  <c r="U173" i="20"/>
  <c r="Y173" i="20"/>
  <c r="AC173" i="20"/>
  <c r="AG173" i="20"/>
  <c r="AK173" i="20"/>
  <c r="AO173" i="20"/>
  <c r="AS173" i="20"/>
  <c r="AW173" i="20"/>
  <c r="C174" i="20"/>
  <c r="D174" i="20"/>
  <c r="E174" i="20"/>
  <c r="F174" i="20"/>
  <c r="G174" i="20"/>
  <c r="H174" i="20"/>
  <c r="I174" i="20"/>
  <c r="J174" i="20"/>
  <c r="K174" i="20"/>
  <c r="L174" i="20"/>
  <c r="M174" i="20"/>
  <c r="N174" i="20"/>
  <c r="O174" i="20"/>
  <c r="P174" i="20"/>
  <c r="R174" i="20"/>
  <c r="S174" i="20"/>
  <c r="T174" i="20"/>
  <c r="U174" i="20"/>
  <c r="V174" i="20"/>
  <c r="W174" i="20"/>
  <c r="X174" i="20"/>
  <c r="Y174" i="20"/>
  <c r="Z174" i="20"/>
  <c r="AA174" i="20"/>
  <c r="AB174" i="20"/>
  <c r="AC174" i="20"/>
  <c r="AD174" i="20"/>
  <c r="AE174" i="20"/>
  <c r="AF174" i="20"/>
  <c r="AG174" i="20"/>
  <c r="AH174" i="20"/>
  <c r="AI174" i="20"/>
  <c r="AJ174" i="20"/>
  <c r="AK174" i="20"/>
  <c r="AL174" i="20"/>
  <c r="AM174" i="20"/>
  <c r="AN174" i="20"/>
  <c r="AO174" i="20"/>
  <c r="AP174" i="20"/>
  <c r="AQ174" i="20"/>
  <c r="AR174" i="20"/>
  <c r="AS174" i="20"/>
  <c r="AT174" i="20"/>
  <c r="AU174" i="20"/>
  <c r="AV174" i="20"/>
  <c r="AW174" i="20"/>
  <c r="AX174" i="20"/>
  <c r="AY174" i="20"/>
  <c r="AZ174" i="20"/>
  <c r="BA174" i="20"/>
  <c r="BB174" i="20"/>
  <c r="BC174" i="20"/>
  <c r="BD174" i="20"/>
  <c r="BE174" i="20"/>
  <c r="BF174" i="20"/>
  <c r="AP177" i="20"/>
  <c r="AQ177" i="20"/>
  <c r="AR177" i="20"/>
  <c r="AS177" i="20"/>
  <c r="AT177" i="20"/>
  <c r="O3" i="15"/>
  <c r="R7" i="15"/>
  <c r="S17" i="20" s="1"/>
  <c r="S7" i="15"/>
  <c r="T17" i="20" s="1"/>
  <c r="T7" i="15"/>
  <c r="U17" i="20" s="1"/>
  <c r="V7" i="15"/>
  <c r="W17" i="20" s="1"/>
  <c r="W7" i="15"/>
  <c r="X17" i="20" s="1"/>
  <c r="X7" i="15"/>
  <c r="Y17" i="20" s="1"/>
  <c r="Z7" i="15"/>
  <c r="AA17" i="20" s="1"/>
  <c r="AA7" i="15"/>
  <c r="AB17" i="20" s="1"/>
  <c r="AB7" i="15"/>
  <c r="AF7" i="15"/>
  <c r="AJ7" i="15"/>
  <c r="AN7" i="15"/>
  <c r="AR7" i="15"/>
  <c r="AV7" i="15"/>
  <c r="AZ7" i="15"/>
  <c r="BB7" i="15"/>
  <c r="BD7" i="15"/>
  <c r="D8" i="15"/>
  <c r="E8" i="15"/>
  <c r="F8" i="15"/>
  <c r="G8" i="15"/>
  <c r="H8" i="15"/>
  <c r="I8" i="15"/>
  <c r="J8" i="15"/>
  <c r="K8" i="15"/>
  <c r="L8" i="15"/>
  <c r="M8" i="15"/>
  <c r="N8" i="15"/>
  <c r="U8" i="15"/>
  <c r="V8" i="15"/>
  <c r="W8" i="15"/>
  <c r="X8" i="15"/>
  <c r="Y8" i="15"/>
  <c r="Z8" i="15"/>
  <c r="AA8" i="15"/>
  <c r="AB8" i="15"/>
  <c r="AC8" i="15"/>
  <c r="AD8" i="15"/>
  <c r="AE8" i="15"/>
  <c r="AF8" i="15"/>
  <c r="AG8" i="15"/>
  <c r="AH8" i="15"/>
  <c r="AI8" i="15"/>
  <c r="AJ8" i="15"/>
  <c r="AK8" i="15"/>
  <c r="AL8" i="15"/>
  <c r="AM8" i="15"/>
  <c r="AN8" i="15"/>
  <c r="AO8" i="15"/>
  <c r="AP8" i="15"/>
  <c r="AQ8" i="15"/>
  <c r="AR8" i="15"/>
  <c r="AS8" i="15"/>
  <c r="AT8" i="15"/>
  <c r="AU8" i="15"/>
  <c r="AV8" i="15"/>
  <c r="AW8" i="15"/>
  <c r="AX8" i="15"/>
  <c r="AY8" i="15"/>
  <c r="AZ8" i="15"/>
  <c r="BA8" i="15"/>
  <c r="BB8" i="15"/>
  <c r="BC8" i="15"/>
  <c r="BD8" i="15"/>
  <c r="BE8" i="15"/>
  <c r="R9" i="15"/>
  <c r="S9" i="15"/>
  <c r="T9" i="15"/>
  <c r="V9" i="15"/>
  <c r="W9" i="15"/>
  <c r="X9" i="15"/>
  <c r="Z9" i="15"/>
  <c r="AA9" i="15"/>
  <c r="AB9" i="15"/>
  <c r="AF9" i="15"/>
  <c r="AJ9" i="15"/>
  <c r="AN9" i="15"/>
  <c r="AR9" i="15"/>
  <c r="AV9" i="15"/>
  <c r="AZ9" i="15"/>
  <c r="BB9" i="15"/>
  <c r="BD9" i="15"/>
  <c r="R10" i="15"/>
  <c r="S10" i="15"/>
  <c r="T10" i="15"/>
  <c r="V10" i="15"/>
  <c r="W10" i="15"/>
  <c r="X10" i="15"/>
  <c r="Z10" i="15"/>
  <c r="AA10" i="15"/>
  <c r="AB10" i="15"/>
  <c r="AF10" i="15"/>
  <c r="AJ10" i="15"/>
  <c r="AN10" i="15"/>
  <c r="AR10" i="15"/>
  <c r="AV10" i="15"/>
  <c r="AZ10" i="15"/>
  <c r="BB10" i="15"/>
  <c r="BD10" i="15"/>
  <c r="R11" i="15"/>
  <c r="S11" i="15"/>
  <c r="T11" i="15"/>
  <c r="V11" i="15"/>
  <c r="W11" i="15"/>
  <c r="X11" i="15"/>
  <c r="Z11" i="15"/>
  <c r="AA11" i="15"/>
  <c r="AB11" i="15"/>
  <c r="AF11" i="15"/>
  <c r="AJ11" i="15"/>
  <c r="AN11" i="15"/>
  <c r="AR11" i="15"/>
  <c r="AV11" i="15"/>
  <c r="AZ11" i="15"/>
  <c r="BB11" i="15"/>
  <c r="BD11" i="15"/>
  <c r="R12" i="15"/>
  <c r="S12" i="15"/>
  <c r="T12" i="15"/>
  <c r="V12" i="15"/>
  <c r="W12" i="15"/>
  <c r="X12" i="15"/>
  <c r="Z12" i="15"/>
  <c r="AA12" i="15"/>
  <c r="AB12" i="15"/>
  <c r="AF12" i="15"/>
  <c r="AJ12" i="15"/>
  <c r="AN12" i="15"/>
  <c r="AR12" i="15"/>
  <c r="AV12" i="15"/>
  <c r="AZ12" i="15"/>
  <c r="BB12" i="15"/>
  <c r="BD12" i="15"/>
  <c r="R13" i="15"/>
  <c r="S13" i="15"/>
  <c r="T13" i="15"/>
  <c r="V13" i="15"/>
  <c r="W13" i="15"/>
  <c r="X13" i="15"/>
  <c r="Z13" i="15"/>
  <c r="AA13" i="15"/>
  <c r="AB13" i="15"/>
  <c r="AF13" i="15"/>
  <c r="AJ13" i="15"/>
  <c r="AN13" i="15"/>
  <c r="AR13" i="15"/>
  <c r="AV13" i="15"/>
  <c r="AZ13" i="15"/>
  <c r="BB13" i="15"/>
  <c r="BD13" i="15"/>
  <c r="R14" i="15"/>
  <c r="S14" i="15"/>
  <c r="T14" i="15"/>
  <c r="V14" i="15"/>
  <c r="W14" i="15"/>
  <c r="X14" i="15"/>
  <c r="Z14" i="15"/>
  <c r="AA14" i="15"/>
  <c r="AB14" i="15"/>
  <c r="AF14" i="15"/>
  <c r="AJ14" i="15"/>
  <c r="AN14" i="15"/>
  <c r="AR14" i="15"/>
  <c r="AV14" i="15"/>
  <c r="AZ14" i="15"/>
  <c r="BB14" i="15"/>
  <c r="BD14" i="15"/>
  <c r="C15" i="15"/>
  <c r="D15" i="15"/>
  <c r="E15" i="15"/>
  <c r="F15" i="15"/>
  <c r="G15" i="15"/>
  <c r="H15" i="15"/>
  <c r="I15" i="15"/>
  <c r="J15" i="15"/>
  <c r="K15" i="15"/>
  <c r="L15" i="15"/>
  <c r="M15" i="15"/>
  <c r="N15" i="15"/>
  <c r="Q15" i="15"/>
  <c r="R15" i="15"/>
  <c r="S15" i="15"/>
  <c r="T15" i="15"/>
  <c r="U15" i="15"/>
  <c r="V15" i="15"/>
  <c r="W15" i="15"/>
  <c r="X15" i="15"/>
  <c r="Y15" i="15"/>
  <c r="Z15" i="15"/>
  <c r="AA15" i="15"/>
  <c r="AB15" i="15"/>
  <c r="AC15" i="15"/>
  <c r="AD15" i="15"/>
  <c r="AE15" i="15"/>
  <c r="AF15" i="15"/>
  <c r="AG15" i="15"/>
  <c r="AH15" i="15"/>
  <c r="AI15" i="15"/>
  <c r="AJ15" i="15"/>
  <c r="AK15" i="15"/>
  <c r="AL15" i="15"/>
  <c r="AM15" i="15"/>
  <c r="AN15" i="15"/>
  <c r="AO15" i="15"/>
  <c r="AP15" i="15"/>
  <c r="AQ15" i="15"/>
  <c r="AR15" i="15"/>
  <c r="AS15" i="15"/>
  <c r="AT15" i="15"/>
  <c r="AU15" i="15"/>
  <c r="AV15" i="15"/>
  <c r="AW15" i="15"/>
  <c r="AX15" i="15"/>
  <c r="AY15" i="15"/>
  <c r="AZ15" i="15"/>
  <c r="BA15" i="15"/>
  <c r="BB15" i="15"/>
  <c r="BC15" i="15"/>
  <c r="BD15" i="15"/>
  <c r="BE15" i="15"/>
  <c r="R16" i="15"/>
  <c r="S16" i="15"/>
  <c r="T16" i="15"/>
  <c r="V16" i="15"/>
  <c r="W16" i="15"/>
  <c r="X16" i="15"/>
  <c r="Z16" i="15"/>
  <c r="AA16" i="15"/>
  <c r="AB16" i="15"/>
  <c r="AF16" i="15"/>
  <c r="AJ16" i="15"/>
  <c r="AN16" i="15"/>
  <c r="AR16" i="15"/>
  <c r="AV16" i="15"/>
  <c r="AZ16" i="15"/>
  <c r="BB16" i="15"/>
  <c r="BD16" i="15"/>
  <c r="R17" i="15"/>
  <c r="S17" i="15"/>
  <c r="T17" i="15"/>
  <c r="V17" i="15"/>
  <c r="W17" i="15"/>
  <c r="X17" i="15"/>
  <c r="Z17" i="15"/>
  <c r="AA17" i="15"/>
  <c r="AB17" i="15"/>
  <c r="AF17" i="15"/>
  <c r="AJ17" i="15"/>
  <c r="AN17" i="15"/>
  <c r="AR17" i="15"/>
  <c r="AV17" i="15"/>
  <c r="AZ17" i="15"/>
  <c r="BB17" i="15"/>
  <c r="BD17" i="15"/>
  <c r="R18" i="15"/>
  <c r="S18" i="15"/>
  <c r="T18" i="15"/>
  <c r="V18" i="15"/>
  <c r="W18" i="15"/>
  <c r="X18" i="15"/>
  <c r="Z18" i="15"/>
  <c r="AA18" i="15"/>
  <c r="AB18" i="15"/>
  <c r="AF18" i="15"/>
  <c r="AJ18" i="15"/>
  <c r="AN18" i="15"/>
  <c r="AR18" i="15"/>
  <c r="AV18" i="15"/>
  <c r="AZ18" i="15"/>
  <c r="BB18" i="15"/>
  <c r="BD18" i="15"/>
  <c r="R19" i="15"/>
  <c r="S19" i="15"/>
  <c r="T19" i="15"/>
  <c r="V19" i="15"/>
  <c r="W19" i="15"/>
  <c r="X19" i="15"/>
  <c r="Z19" i="15"/>
  <c r="AA19" i="15"/>
  <c r="AB19" i="15"/>
  <c r="AF19" i="15"/>
  <c r="AJ19" i="15"/>
  <c r="AN19" i="15"/>
  <c r="AR19" i="15"/>
  <c r="AV19" i="15"/>
  <c r="AZ19" i="15"/>
  <c r="BB19" i="15"/>
  <c r="BD19" i="15"/>
  <c r="C20" i="15"/>
  <c r="D20" i="15"/>
  <c r="E20" i="15"/>
  <c r="F20" i="15"/>
  <c r="G20" i="15"/>
  <c r="H20" i="15"/>
  <c r="I20" i="15"/>
  <c r="J20" i="15"/>
  <c r="K20" i="15"/>
  <c r="L20" i="15"/>
  <c r="M20" i="15"/>
  <c r="N20" i="15"/>
  <c r="Q20" i="15"/>
  <c r="R20" i="15"/>
  <c r="S20" i="15"/>
  <c r="T20" i="15"/>
  <c r="U20" i="15"/>
  <c r="V20" i="15"/>
  <c r="W20" i="15"/>
  <c r="X20" i="15"/>
  <c r="Y20" i="15"/>
  <c r="Z20" i="15"/>
  <c r="AA20" i="15"/>
  <c r="AB20" i="15"/>
  <c r="AC20" i="15"/>
  <c r="AD20" i="15"/>
  <c r="AE20" i="15"/>
  <c r="AF20" i="15"/>
  <c r="AG20" i="15"/>
  <c r="AH20" i="15"/>
  <c r="AI20" i="15"/>
  <c r="AJ20" i="15"/>
  <c r="AK20" i="15"/>
  <c r="AL20" i="15"/>
  <c r="AM20" i="15"/>
  <c r="AN20" i="15"/>
  <c r="AO20" i="15"/>
  <c r="AP20" i="15"/>
  <c r="AQ20" i="15"/>
  <c r="AR20" i="15"/>
  <c r="AS20" i="15"/>
  <c r="AT20" i="15"/>
  <c r="AU20" i="15"/>
  <c r="AV20" i="15"/>
  <c r="AW20" i="15"/>
  <c r="AX20" i="15"/>
  <c r="AY20" i="15"/>
  <c r="AZ20" i="15"/>
  <c r="BA20" i="15"/>
  <c r="BB20" i="15"/>
  <c r="BC20" i="15"/>
  <c r="BD20" i="15"/>
  <c r="BE20" i="15"/>
  <c r="R21" i="15"/>
  <c r="S21" i="15"/>
  <c r="T21" i="15"/>
  <c r="V21" i="15"/>
  <c r="W21" i="15"/>
  <c r="X21" i="15"/>
  <c r="Z21" i="15"/>
  <c r="AA21" i="15"/>
  <c r="AB21" i="15"/>
  <c r="AF21" i="15"/>
  <c r="AJ21" i="15"/>
  <c r="AN21" i="15"/>
  <c r="AR21" i="15"/>
  <c r="AV21" i="15"/>
  <c r="AZ21" i="15"/>
  <c r="BB21" i="15"/>
  <c r="BD21" i="15"/>
  <c r="C22" i="15"/>
  <c r="D22" i="15"/>
  <c r="E22" i="15"/>
  <c r="F22" i="15"/>
  <c r="G22" i="15"/>
  <c r="H22" i="15"/>
  <c r="I22" i="15"/>
  <c r="J22" i="15"/>
  <c r="K22" i="15"/>
  <c r="L22" i="15"/>
  <c r="M22" i="15"/>
  <c r="N22" i="15"/>
  <c r="Q22" i="15"/>
  <c r="R22" i="15"/>
  <c r="S22" i="15"/>
  <c r="T22" i="15"/>
  <c r="U22" i="15"/>
  <c r="V22" i="15"/>
  <c r="W22" i="15"/>
  <c r="X22" i="15"/>
  <c r="Y22" i="15"/>
  <c r="Z22" i="15"/>
  <c r="AA22" i="15"/>
  <c r="AB22" i="15"/>
  <c r="AC22" i="15"/>
  <c r="AD22" i="15"/>
  <c r="AE22" i="15"/>
  <c r="AF22" i="15"/>
  <c r="AG22" i="15"/>
  <c r="AH22" i="15"/>
  <c r="AI22" i="15"/>
  <c r="AJ22" i="15"/>
  <c r="AK22" i="15"/>
  <c r="AL22" i="15"/>
  <c r="AM22" i="15"/>
  <c r="AN22" i="15"/>
  <c r="AO22" i="15"/>
  <c r="AP22" i="15"/>
  <c r="AQ22" i="15"/>
  <c r="AR22" i="15"/>
  <c r="AS22" i="15"/>
  <c r="AT22" i="15"/>
  <c r="AU22" i="15"/>
  <c r="AV22" i="15"/>
  <c r="AW22" i="15"/>
  <c r="AX22" i="15"/>
  <c r="AY22" i="15"/>
  <c r="AZ22" i="15"/>
  <c r="BA22" i="15"/>
  <c r="BB22" i="15"/>
  <c r="BC22" i="15"/>
  <c r="BD22" i="15"/>
  <c r="BE22" i="15"/>
  <c r="T23" i="15"/>
  <c r="X23" i="15"/>
  <c r="AB23" i="15"/>
  <c r="AF23" i="15"/>
  <c r="AJ23" i="15"/>
  <c r="AN23" i="15"/>
  <c r="AR23" i="15"/>
  <c r="AV23" i="15"/>
  <c r="AZ23" i="15"/>
  <c r="BB23" i="15"/>
  <c r="BD23" i="15"/>
  <c r="C24" i="15"/>
  <c r="D24" i="15"/>
  <c r="E24" i="15"/>
  <c r="F24" i="15"/>
  <c r="G24" i="15"/>
  <c r="H24" i="15"/>
  <c r="I24" i="15"/>
  <c r="J24" i="15"/>
  <c r="K24" i="15"/>
  <c r="L24" i="15"/>
  <c r="M24" i="15"/>
  <c r="N24" i="15"/>
  <c r="Q24" i="15"/>
  <c r="R24" i="15"/>
  <c r="S24" i="15"/>
  <c r="T24" i="15"/>
  <c r="U24" i="15"/>
  <c r="V24" i="15"/>
  <c r="W24" i="15"/>
  <c r="X24" i="15"/>
  <c r="Y24" i="15"/>
  <c r="Z24" i="15"/>
  <c r="AA24" i="15"/>
  <c r="AB24" i="15"/>
  <c r="AC24" i="15"/>
  <c r="AD24" i="15"/>
  <c r="AE24" i="15"/>
  <c r="AF24" i="15"/>
  <c r="AG24" i="15"/>
  <c r="AH24" i="15"/>
  <c r="AI24" i="15"/>
  <c r="AJ24" i="15"/>
  <c r="AK24" i="15"/>
  <c r="AL24" i="15"/>
  <c r="AM24" i="15"/>
  <c r="AN24" i="15"/>
  <c r="AO24" i="15"/>
  <c r="AP24" i="15"/>
  <c r="AQ24" i="15"/>
  <c r="AR24" i="15"/>
  <c r="AS24" i="15"/>
  <c r="AT24" i="15"/>
  <c r="AU24" i="15"/>
  <c r="AV24" i="15"/>
  <c r="AW24" i="15"/>
  <c r="AX24" i="15"/>
  <c r="AY24" i="15"/>
  <c r="AZ24" i="15"/>
  <c r="BA24" i="15"/>
  <c r="BB24" i="15"/>
  <c r="BC24" i="15"/>
  <c r="BD24" i="15"/>
  <c r="BE24" i="15"/>
  <c r="B27" i="15"/>
  <c r="C27" i="15"/>
  <c r="D27" i="15"/>
  <c r="E27" i="15"/>
  <c r="F27" i="15"/>
  <c r="G27" i="15"/>
  <c r="H27" i="15"/>
  <c r="I27" i="15"/>
  <c r="J27" i="15"/>
  <c r="K27" i="15"/>
  <c r="L27" i="15"/>
  <c r="M27" i="15"/>
  <c r="N27" i="15"/>
  <c r="Q27" i="15"/>
  <c r="R27" i="15"/>
  <c r="S27" i="15"/>
  <c r="T27" i="15"/>
  <c r="U27" i="15"/>
  <c r="V27" i="15"/>
  <c r="W27" i="15"/>
  <c r="X27" i="15"/>
  <c r="Y27" i="15"/>
  <c r="Z27" i="15"/>
  <c r="AA27" i="15"/>
  <c r="AB27" i="15"/>
  <c r="AC27" i="15"/>
  <c r="AD27" i="15"/>
  <c r="AE27" i="15"/>
  <c r="AF27" i="15"/>
  <c r="AG27" i="15"/>
  <c r="AH27" i="15"/>
  <c r="AI27" i="15"/>
  <c r="AJ27" i="15"/>
  <c r="AK27" i="15"/>
  <c r="AL27" i="15"/>
  <c r="AM27" i="15"/>
  <c r="AN27" i="15"/>
  <c r="AO27" i="15"/>
  <c r="AP27" i="15"/>
  <c r="AQ27" i="15"/>
  <c r="AR27" i="15"/>
  <c r="AS27" i="15"/>
  <c r="AT27" i="15"/>
  <c r="AU27" i="15"/>
  <c r="AV27" i="15"/>
  <c r="AW27" i="15"/>
  <c r="AX27" i="15"/>
  <c r="AY27" i="15"/>
  <c r="AZ27" i="15"/>
  <c r="BA27" i="15"/>
  <c r="BB27" i="15"/>
  <c r="BC27" i="15"/>
  <c r="BD27" i="15"/>
  <c r="BE27" i="15"/>
  <c r="B28" i="15"/>
  <c r="C28" i="15"/>
  <c r="D28" i="15"/>
  <c r="E28" i="15"/>
  <c r="F28" i="15"/>
  <c r="G28" i="15"/>
  <c r="H28" i="15"/>
  <c r="I28" i="15"/>
  <c r="J28" i="15"/>
  <c r="K28" i="15"/>
  <c r="L28" i="15"/>
  <c r="M28" i="15"/>
  <c r="N28" i="15"/>
  <c r="Q28" i="15"/>
  <c r="R28" i="15"/>
  <c r="S28" i="15"/>
  <c r="T28" i="15"/>
  <c r="U28" i="15"/>
  <c r="V28" i="15"/>
  <c r="W28" i="15"/>
  <c r="X28" i="15"/>
  <c r="Y28" i="15"/>
  <c r="Z28" i="15"/>
  <c r="AA28" i="15"/>
  <c r="AB28" i="15"/>
  <c r="AC28" i="15"/>
  <c r="AD28" i="15"/>
  <c r="AE28" i="15"/>
  <c r="AF28" i="15"/>
  <c r="AG28" i="15"/>
  <c r="AH28" i="15"/>
  <c r="AI28" i="15"/>
  <c r="AJ28" i="15"/>
  <c r="AK28" i="15"/>
  <c r="AL28" i="15"/>
  <c r="AM28" i="15"/>
  <c r="AN28" i="15"/>
  <c r="AO28" i="15"/>
  <c r="AP28" i="15"/>
  <c r="AQ28" i="15"/>
  <c r="AR28" i="15"/>
  <c r="AS28" i="15"/>
  <c r="AT28" i="15"/>
  <c r="AU28" i="15"/>
  <c r="AV28" i="15"/>
  <c r="AW28" i="15"/>
  <c r="AX28" i="15"/>
  <c r="AY28" i="15"/>
  <c r="AZ28" i="15"/>
  <c r="BA28" i="15"/>
  <c r="BB28" i="15"/>
  <c r="BC28" i="15"/>
  <c r="BD28" i="15"/>
  <c r="BE28" i="15"/>
  <c r="B29" i="15"/>
  <c r="C29" i="15"/>
  <c r="D29" i="15"/>
  <c r="E29" i="15"/>
  <c r="F29" i="15"/>
  <c r="G29" i="15"/>
  <c r="H29" i="15"/>
  <c r="I29" i="15"/>
  <c r="J29" i="15"/>
  <c r="K29" i="15"/>
  <c r="L29" i="15"/>
  <c r="M29" i="15"/>
  <c r="N29" i="15"/>
  <c r="Q29" i="15"/>
  <c r="R29" i="15"/>
  <c r="S29" i="15"/>
  <c r="T29" i="15"/>
  <c r="U29" i="15"/>
  <c r="V29" i="15"/>
  <c r="W29" i="15"/>
  <c r="X29" i="15"/>
  <c r="Y29" i="15"/>
  <c r="Z29" i="15"/>
  <c r="AA29" i="15"/>
  <c r="AB29" i="15"/>
  <c r="AC29" i="15"/>
  <c r="AD29" i="15"/>
  <c r="AE29" i="15"/>
  <c r="AF29" i="15"/>
  <c r="AG29" i="15"/>
  <c r="AH29" i="15"/>
  <c r="AI29" i="15"/>
  <c r="AJ29" i="15"/>
  <c r="AK29" i="15"/>
  <c r="AL29" i="15"/>
  <c r="AM29" i="15"/>
  <c r="AN29" i="15"/>
  <c r="AO29" i="15"/>
  <c r="AP29" i="15"/>
  <c r="AQ29" i="15"/>
  <c r="AR29" i="15"/>
  <c r="AS29" i="15"/>
  <c r="AT29" i="15"/>
  <c r="AU29" i="15"/>
  <c r="AV29" i="15"/>
  <c r="AW29" i="15"/>
  <c r="AX29" i="15"/>
  <c r="AY29" i="15"/>
  <c r="AZ29" i="15"/>
  <c r="BA29" i="15"/>
  <c r="BB29" i="15"/>
  <c r="BC29" i="15"/>
  <c r="BD29" i="15"/>
  <c r="BE29" i="15"/>
  <c r="B30" i="15"/>
  <c r="C30" i="15"/>
  <c r="D30" i="15"/>
  <c r="E30" i="15"/>
  <c r="F30" i="15"/>
  <c r="G30" i="15"/>
  <c r="H30" i="15"/>
  <c r="I30" i="15"/>
  <c r="J30" i="15"/>
  <c r="K30" i="15"/>
  <c r="L30" i="15"/>
  <c r="M30" i="15"/>
  <c r="N30" i="15"/>
  <c r="Q30" i="15"/>
  <c r="R30" i="15"/>
  <c r="S30" i="15"/>
  <c r="T30" i="15"/>
  <c r="U30" i="15"/>
  <c r="V30" i="15"/>
  <c r="W30" i="15"/>
  <c r="X30" i="15"/>
  <c r="Y30" i="15"/>
  <c r="Z30" i="15"/>
  <c r="AA30" i="15"/>
  <c r="AB30" i="15"/>
  <c r="AC30" i="15"/>
  <c r="AD30" i="15"/>
  <c r="AE30" i="15"/>
  <c r="AF30" i="15"/>
  <c r="AG30" i="15"/>
  <c r="AH30" i="15"/>
  <c r="AI30" i="15"/>
  <c r="AJ30" i="15"/>
  <c r="AK30" i="15"/>
  <c r="AL30" i="15"/>
  <c r="AM30" i="15"/>
  <c r="AN30" i="15"/>
  <c r="AO30" i="15"/>
  <c r="AP30" i="15"/>
  <c r="AQ30" i="15"/>
  <c r="AR30" i="15"/>
  <c r="AS30" i="15"/>
  <c r="AT30" i="15"/>
  <c r="AU30" i="15"/>
  <c r="AV30" i="15"/>
  <c r="AW30" i="15"/>
  <c r="AX30" i="15"/>
  <c r="AY30" i="15"/>
  <c r="AZ30" i="15"/>
  <c r="BA30" i="15"/>
  <c r="BB30" i="15"/>
  <c r="BC30" i="15"/>
  <c r="BD30" i="15"/>
  <c r="BE30" i="15"/>
  <c r="B31" i="15"/>
  <c r="C31" i="15"/>
  <c r="D31" i="15"/>
  <c r="E31" i="15"/>
  <c r="F31" i="15"/>
  <c r="G31" i="15"/>
  <c r="H31" i="15"/>
  <c r="I31" i="15"/>
  <c r="J31" i="15"/>
  <c r="K31" i="15"/>
  <c r="L31" i="15"/>
  <c r="M31" i="15"/>
  <c r="N31" i="15"/>
  <c r="Q31" i="15"/>
  <c r="R31" i="15"/>
  <c r="S31" i="15"/>
  <c r="T31" i="15"/>
  <c r="U31" i="15"/>
  <c r="V31" i="15"/>
  <c r="W31" i="15"/>
  <c r="X31" i="15"/>
  <c r="Y31" i="15"/>
  <c r="Z31" i="15"/>
  <c r="AA31" i="15"/>
  <c r="AB31" i="15"/>
  <c r="AC31" i="15"/>
  <c r="AD31" i="15"/>
  <c r="AE31" i="15"/>
  <c r="AF31" i="15"/>
  <c r="AG31" i="15"/>
  <c r="AH31" i="15"/>
  <c r="AI31" i="15"/>
  <c r="AJ31" i="15"/>
  <c r="AK31" i="15"/>
  <c r="AL31" i="15"/>
  <c r="AM31" i="15"/>
  <c r="AN31" i="15"/>
  <c r="AO31" i="15"/>
  <c r="AP31" i="15"/>
  <c r="AQ31" i="15"/>
  <c r="AR31" i="15"/>
  <c r="AS31" i="15"/>
  <c r="AT31" i="15"/>
  <c r="AU31" i="15"/>
  <c r="AV31" i="15"/>
  <c r="AW31" i="15"/>
  <c r="AX31" i="15"/>
  <c r="AY31" i="15"/>
  <c r="AZ31" i="15"/>
  <c r="BA31" i="15"/>
  <c r="BB31" i="15"/>
  <c r="BC31" i="15"/>
  <c r="BD31" i="15"/>
  <c r="BE31" i="15"/>
  <c r="C32" i="15"/>
  <c r="D32" i="15"/>
  <c r="E32" i="15"/>
  <c r="F32" i="15"/>
  <c r="G32" i="15"/>
  <c r="H32" i="15"/>
  <c r="I32" i="15"/>
  <c r="J32" i="15"/>
  <c r="K32" i="15"/>
  <c r="L32" i="15"/>
  <c r="M32" i="15"/>
  <c r="N32" i="15"/>
  <c r="U32" i="15"/>
  <c r="V32" i="15"/>
  <c r="W32" i="15"/>
  <c r="Y32" i="15"/>
  <c r="Z32" i="15"/>
  <c r="AA32" i="15"/>
  <c r="AC32" i="15"/>
  <c r="AD32" i="15"/>
  <c r="AE32" i="15"/>
  <c r="AG32" i="15"/>
  <c r="AH32" i="15"/>
  <c r="AI32" i="15"/>
  <c r="AK32" i="15"/>
  <c r="AL32" i="15"/>
  <c r="AM32" i="15"/>
  <c r="AO32" i="15"/>
  <c r="AP32" i="15"/>
  <c r="AQ32" i="15"/>
  <c r="AS32" i="15"/>
  <c r="AT32" i="15"/>
  <c r="AU32" i="15"/>
  <c r="AW32" i="15"/>
  <c r="AX32" i="15"/>
  <c r="AY32" i="15"/>
  <c r="BA32" i="15"/>
  <c r="BB32" i="15"/>
  <c r="BC32" i="15"/>
  <c r="BE32" i="15"/>
  <c r="B34" i="15"/>
  <c r="C34" i="15"/>
  <c r="D34" i="15"/>
  <c r="E34" i="15"/>
  <c r="F34" i="15"/>
  <c r="G34" i="15"/>
  <c r="H34" i="15"/>
  <c r="I34" i="15"/>
  <c r="J34" i="15"/>
  <c r="K34" i="15"/>
  <c r="L34" i="15"/>
  <c r="M34" i="15"/>
  <c r="N34" i="15"/>
  <c r="Q34" i="15"/>
  <c r="R34" i="15"/>
  <c r="S34" i="15"/>
  <c r="T34" i="15"/>
  <c r="U34" i="15"/>
  <c r="V34" i="15"/>
  <c r="W34" i="15"/>
  <c r="X34" i="15"/>
  <c r="Y34" i="15"/>
  <c r="Z34" i="15"/>
  <c r="AA34" i="15"/>
  <c r="AB34" i="15"/>
  <c r="AC34" i="15"/>
  <c r="AD34" i="15"/>
  <c r="AE34" i="15"/>
  <c r="AF34" i="15"/>
  <c r="AG34" i="15"/>
  <c r="AH34" i="15"/>
  <c r="AI34" i="15"/>
  <c r="AJ34" i="15"/>
  <c r="AK34" i="15"/>
  <c r="AL34" i="15"/>
  <c r="AM34" i="15"/>
  <c r="AN34" i="15"/>
  <c r="AO34" i="15"/>
  <c r="AP34" i="15"/>
  <c r="AQ34" i="15"/>
  <c r="AR34" i="15"/>
  <c r="AS34" i="15"/>
  <c r="AT34" i="15"/>
  <c r="AU34" i="15"/>
  <c r="AV34" i="15"/>
  <c r="AW34" i="15"/>
  <c r="AX34" i="15"/>
  <c r="AY34" i="15"/>
  <c r="AZ34" i="15"/>
  <c r="BA34" i="15"/>
  <c r="BB34" i="15"/>
  <c r="BC34" i="15"/>
  <c r="BD34" i="15"/>
  <c r="BE34" i="15"/>
  <c r="C35" i="15"/>
  <c r="D35" i="15"/>
  <c r="E35" i="15"/>
  <c r="F35" i="15"/>
  <c r="G35" i="15"/>
  <c r="H35" i="15"/>
  <c r="I35" i="15"/>
  <c r="J35" i="15"/>
  <c r="K35" i="15"/>
  <c r="L35" i="15"/>
  <c r="M35" i="15"/>
  <c r="N35" i="15"/>
  <c r="Q35" i="15"/>
  <c r="R35" i="15"/>
  <c r="S35" i="15"/>
  <c r="T35" i="15"/>
  <c r="U35" i="15"/>
  <c r="V35" i="15"/>
  <c r="W35" i="15"/>
  <c r="X35" i="15"/>
  <c r="Y35" i="15"/>
  <c r="Z35" i="15"/>
  <c r="AA35" i="15"/>
  <c r="AB35" i="15"/>
  <c r="AC35" i="15"/>
  <c r="AD35" i="15"/>
  <c r="AE35" i="15"/>
  <c r="AF35" i="15"/>
  <c r="AG35" i="15"/>
  <c r="AH35" i="15"/>
  <c r="AI35" i="15"/>
  <c r="AJ35" i="15"/>
  <c r="AK35" i="15"/>
  <c r="AL35" i="15"/>
  <c r="AM35" i="15"/>
  <c r="AN35" i="15"/>
  <c r="AO35" i="15"/>
  <c r="AP35" i="15"/>
  <c r="AQ35" i="15"/>
  <c r="AR35" i="15"/>
  <c r="AS35" i="15"/>
  <c r="AT35" i="15"/>
  <c r="AU35" i="15"/>
  <c r="AV35" i="15"/>
  <c r="AW35" i="15"/>
  <c r="AX35" i="15"/>
  <c r="AY35" i="15"/>
  <c r="AZ35" i="15"/>
  <c r="BA35" i="15"/>
  <c r="BB35" i="15"/>
  <c r="BC35" i="15"/>
  <c r="BD35" i="15"/>
  <c r="BE35" i="15"/>
  <c r="N37" i="15"/>
  <c r="AO37" i="15"/>
  <c r="BA37" i="15"/>
  <c r="BE37" i="15"/>
  <c r="C38" i="15"/>
  <c r="D38" i="15"/>
  <c r="E38" i="15"/>
  <c r="F38" i="15"/>
  <c r="G38" i="15"/>
  <c r="H38" i="15"/>
  <c r="I38" i="15"/>
  <c r="J38" i="15"/>
  <c r="K38" i="15"/>
  <c r="L38" i="15"/>
  <c r="M38" i="15"/>
  <c r="N38" i="15"/>
  <c r="Q38" i="15"/>
  <c r="U38" i="15"/>
  <c r="Y38" i="15"/>
  <c r="AC38" i="15"/>
  <c r="AG38" i="15"/>
  <c r="AK38" i="15"/>
  <c r="AO38" i="15"/>
  <c r="AS38" i="15"/>
  <c r="AW38" i="15"/>
  <c r="BA38" i="15"/>
  <c r="BE38" i="15"/>
  <c r="C40" i="15"/>
  <c r="D40" i="15"/>
  <c r="E40" i="15"/>
  <c r="F40" i="15"/>
  <c r="G40" i="15"/>
  <c r="H40" i="15"/>
  <c r="I40" i="15"/>
  <c r="J40" i="15"/>
  <c r="K40" i="15"/>
  <c r="L40" i="15"/>
  <c r="M40" i="15"/>
  <c r="N40" i="15"/>
  <c r="O40" i="15"/>
  <c r="Q40" i="15"/>
  <c r="R40" i="15"/>
  <c r="S40" i="15"/>
  <c r="T40" i="15"/>
  <c r="U40" i="15"/>
  <c r="V40" i="15"/>
  <c r="W40" i="15"/>
  <c r="X40" i="15"/>
  <c r="Y40" i="15"/>
  <c r="Z40" i="15"/>
  <c r="AA40" i="15"/>
  <c r="AB40" i="15"/>
  <c r="AC40" i="15"/>
  <c r="AD40" i="15"/>
  <c r="AE40" i="15"/>
  <c r="AF40" i="15"/>
  <c r="AG40" i="15"/>
  <c r="AH40" i="15"/>
  <c r="AI40" i="15"/>
  <c r="AJ40" i="15"/>
  <c r="AK40" i="15"/>
  <c r="AL40" i="15"/>
  <c r="AM40" i="15"/>
  <c r="AN40" i="15"/>
  <c r="AO40" i="15"/>
  <c r="AP40" i="15"/>
  <c r="AQ40" i="15"/>
  <c r="AR40" i="15"/>
  <c r="AS40" i="15"/>
  <c r="AT40" i="15"/>
  <c r="AU40" i="15"/>
  <c r="AV40" i="15"/>
  <c r="AW40" i="15"/>
  <c r="AX40" i="15"/>
  <c r="AY40" i="15"/>
  <c r="AZ40" i="15"/>
  <c r="BA40" i="15"/>
  <c r="BB40" i="15"/>
  <c r="BC40" i="15"/>
  <c r="BD40" i="15"/>
  <c r="BE40" i="15"/>
  <c r="C41" i="15"/>
  <c r="D41" i="15"/>
  <c r="E41" i="15"/>
  <c r="F41" i="15"/>
  <c r="G41" i="15"/>
  <c r="H41" i="15"/>
  <c r="I41" i="15"/>
  <c r="J41" i="15"/>
  <c r="K41" i="15"/>
  <c r="L41" i="15"/>
  <c r="M41" i="15"/>
  <c r="N41" i="15"/>
  <c r="Q41" i="15"/>
  <c r="R41" i="15"/>
  <c r="S41" i="15"/>
  <c r="T41" i="15"/>
  <c r="U41" i="15"/>
  <c r="V41" i="15"/>
  <c r="W41" i="15"/>
  <c r="X41" i="15"/>
  <c r="Y41" i="15"/>
  <c r="Z41" i="15"/>
  <c r="AA41" i="15"/>
  <c r="AB41" i="15"/>
  <c r="AC41" i="15"/>
  <c r="AD41" i="15"/>
  <c r="AE41" i="15"/>
  <c r="AF41" i="15"/>
  <c r="AG41" i="15"/>
  <c r="AH41" i="15"/>
  <c r="AI41" i="15"/>
  <c r="AJ41" i="15"/>
  <c r="AK41" i="15"/>
  <c r="AL41" i="15"/>
  <c r="AM41" i="15"/>
  <c r="AN41" i="15"/>
  <c r="AO41" i="15"/>
  <c r="AP41" i="15"/>
  <c r="AQ41" i="15"/>
  <c r="AR41" i="15"/>
  <c r="AS41" i="15"/>
  <c r="AT41" i="15"/>
  <c r="AU41" i="15"/>
  <c r="AV41" i="15"/>
  <c r="AW41" i="15"/>
  <c r="AX41" i="15"/>
  <c r="AY41" i="15"/>
  <c r="AZ41" i="15"/>
  <c r="BA41" i="15"/>
  <c r="BB41" i="15"/>
  <c r="BC41" i="15"/>
  <c r="BD41" i="15"/>
  <c r="BE41" i="15"/>
  <c r="R42" i="15"/>
  <c r="R38" i="15" s="1"/>
  <c r="S42" i="15"/>
  <c r="S38" i="15" s="1"/>
  <c r="T42" i="15"/>
  <c r="T38" i="15" s="1"/>
  <c r="V42" i="15"/>
  <c r="V38" i="15" s="1"/>
  <c r="W42" i="15"/>
  <c r="W38" i="15" s="1"/>
  <c r="X42" i="15"/>
  <c r="X38" i="15" s="1"/>
  <c r="Z42" i="15"/>
  <c r="Z38" i="15" s="1"/>
  <c r="AA42" i="15"/>
  <c r="AA38" i="15" s="1"/>
  <c r="AB42" i="15"/>
  <c r="AB38" i="15" s="1"/>
  <c r="AD42" i="15"/>
  <c r="AD38" i="15" s="1"/>
  <c r="AE42" i="15"/>
  <c r="AE38" i="15" s="1"/>
  <c r="AF42" i="15"/>
  <c r="AF38" i="15" s="1"/>
  <c r="AH42" i="15"/>
  <c r="AH38" i="15" s="1"/>
  <c r="AI42" i="15"/>
  <c r="AI38" i="15" s="1"/>
  <c r="AJ42" i="15"/>
  <c r="AJ38" i="15" s="1"/>
  <c r="AL42" i="15"/>
  <c r="AL38" i="15" s="1"/>
  <c r="AM42" i="15"/>
  <c r="AM38" i="15" s="1"/>
  <c r="AN42" i="15"/>
  <c r="AN38" i="15" s="1"/>
  <c r="AP42" i="15"/>
  <c r="AP38" i="15" s="1"/>
  <c r="AQ42" i="15"/>
  <c r="AQ38" i="15" s="1"/>
  <c r="AR42" i="15"/>
  <c r="AR38" i="15" s="1"/>
  <c r="AT42" i="15"/>
  <c r="AT38" i="15" s="1"/>
  <c r="AU42" i="15"/>
  <c r="AU38" i="15" s="1"/>
  <c r="AV42" i="15"/>
  <c r="AV38" i="15" s="1"/>
  <c r="AX42" i="15"/>
  <c r="AX38" i="15" s="1"/>
  <c r="AY42" i="15"/>
  <c r="AY38" i="15" s="1"/>
  <c r="AZ42" i="15"/>
  <c r="AZ38" i="15" s="1"/>
  <c r="BB42" i="15"/>
  <c r="BC42" i="15"/>
  <c r="BC38" i="15" s="1"/>
  <c r="BD42" i="15"/>
  <c r="BD38" i="15" s="1"/>
  <c r="C43" i="15"/>
  <c r="D43" i="15"/>
  <c r="E43" i="15"/>
  <c r="F43" i="15"/>
  <c r="G43" i="15"/>
  <c r="H43" i="15"/>
  <c r="I43" i="15"/>
  <c r="J43" i="15"/>
  <c r="K43" i="15"/>
  <c r="L43" i="15"/>
  <c r="M43" i="15"/>
  <c r="N43" i="15"/>
  <c r="Q43" i="15"/>
  <c r="R43" i="15"/>
  <c r="S43" i="15"/>
  <c r="T43" i="15"/>
  <c r="U43" i="15"/>
  <c r="V43" i="15"/>
  <c r="W43" i="15"/>
  <c r="X43" i="15"/>
  <c r="Y43" i="15"/>
  <c r="Z43" i="15"/>
  <c r="AA43" i="15"/>
  <c r="AB43" i="15"/>
  <c r="AC43" i="15"/>
  <c r="AD43" i="15"/>
  <c r="AE43" i="15"/>
  <c r="AF43" i="15"/>
  <c r="AG43" i="15"/>
  <c r="AH43" i="15"/>
  <c r="AI43" i="15"/>
  <c r="AJ43" i="15"/>
  <c r="AK43" i="15"/>
  <c r="AL43" i="15"/>
  <c r="AM43" i="15"/>
  <c r="AN43" i="15"/>
  <c r="AO43" i="15"/>
  <c r="AP43" i="15"/>
  <c r="AQ43" i="15"/>
  <c r="AR43" i="15"/>
  <c r="AS43" i="15"/>
  <c r="AT43" i="15"/>
  <c r="AU43" i="15"/>
  <c r="AV43" i="15"/>
  <c r="AW43" i="15"/>
  <c r="AX43" i="15"/>
  <c r="AY43" i="15"/>
  <c r="AZ43" i="15"/>
  <c r="BA43" i="15"/>
  <c r="BB43" i="15"/>
  <c r="BC43" i="15"/>
  <c r="BD43" i="15"/>
  <c r="BE43" i="15"/>
  <c r="D44" i="15"/>
  <c r="E44" i="15"/>
  <c r="F44" i="15"/>
  <c r="G44" i="15"/>
  <c r="H44" i="15"/>
  <c r="I44" i="15"/>
  <c r="J44" i="15"/>
  <c r="K44" i="15"/>
  <c r="L44" i="15"/>
  <c r="M44" i="15"/>
  <c r="N44" i="15"/>
  <c r="U44" i="15"/>
  <c r="V44" i="15"/>
  <c r="W44" i="15"/>
  <c r="X44" i="15"/>
  <c r="Y44" i="15"/>
  <c r="Z44" i="15"/>
  <c r="AA44" i="15"/>
  <c r="AB44" i="15"/>
  <c r="AC44" i="15"/>
  <c r="AD44" i="15"/>
  <c r="AE44" i="15"/>
  <c r="AF44" i="15"/>
  <c r="AG44" i="15"/>
  <c r="AH44" i="15"/>
  <c r="AI44" i="15"/>
  <c r="AJ44" i="15"/>
  <c r="AK44" i="15"/>
  <c r="AL44" i="15"/>
  <c r="AM44" i="15"/>
  <c r="AN44" i="15"/>
  <c r="AO44" i="15"/>
  <c r="AP44" i="15"/>
  <c r="AQ44" i="15"/>
  <c r="AR44" i="15"/>
  <c r="AS44" i="15"/>
  <c r="AT44" i="15"/>
  <c r="AU44" i="15"/>
  <c r="AV44" i="15"/>
  <c r="AW44" i="15"/>
  <c r="AX44" i="15"/>
  <c r="AY44" i="15"/>
  <c r="AZ44" i="15"/>
  <c r="BA44" i="15"/>
  <c r="BB44" i="15"/>
  <c r="BC44" i="15"/>
  <c r="BD44" i="15"/>
  <c r="BE44" i="15"/>
  <c r="C45" i="15"/>
  <c r="D45" i="15"/>
  <c r="E45" i="15"/>
  <c r="F45" i="15"/>
  <c r="G45" i="15"/>
  <c r="H45" i="15"/>
  <c r="I45" i="15"/>
  <c r="J45" i="15"/>
  <c r="K45" i="15"/>
  <c r="L45" i="15"/>
  <c r="M45" i="15"/>
  <c r="N45" i="15"/>
  <c r="Q45" i="15"/>
  <c r="R45" i="15"/>
  <c r="S45" i="15"/>
  <c r="T45" i="15"/>
  <c r="U45" i="15"/>
  <c r="V45" i="15"/>
  <c r="W45" i="15"/>
  <c r="X45" i="15"/>
  <c r="Y45" i="15"/>
  <c r="Z45" i="15"/>
  <c r="AA45" i="15"/>
  <c r="AB45" i="15"/>
  <c r="AC45" i="15"/>
  <c r="AD45" i="15"/>
  <c r="AE45" i="15"/>
  <c r="AF45" i="15"/>
  <c r="AG45" i="15"/>
  <c r="AH45" i="15"/>
  <c r="AI45" i="15"/>
  <c r="AJ45" i="15"/>
  <c r="AK45" i="15"/>
  <c r="AL45" i="15"/>
  <c r="AM45" i="15"/>
  <c r="AN45" i="15"/>
  <c r="AO45" i="15"/>
  <c r="AP45" i="15"/>
  <c r="AQ45" i="15"/>
  <c r="AR45" i="15"/>
  <c r="AS45" i="15"/>
  <c r="AT45" i="15"/>
  <c r="AU45" i="15"/>
  <c r="AV45" i="15"/>
  <c r="AW45" i="15"/>
  <c r="AX45" i="15"/>
  <c r="AY45" i="15"/>
  <c r="AZ45" i="15"/>
  <c r="BA45" i="15"/>
  <c r="BB45" i="15"/>
  <c r="BC45" i="15"/>
  <c r="BD45" i="15"/>
  <c r="BE45" i="15"/>
  <c r="D47" i="15"/>
  <c r="E47" i="15"/>
  <c r="F47" i="15"/>
  <c r="G47" i="15"/>
  <c r="H47" i="15"/>
  <c r="I47" i="15"/>
  <c r="J47" i="15"/>
  <c r="K47" i="15"/>
  <c r="L47" i="15"/>
  <c r="M47" i="15"/>
  <c r="N47" i="15"/>
  <c r="U47" i="15"/>
  <c r="V47" i="15"/>
  <c r="W47" i="15"/>
  <c r="Y47" i="15"/>
  <c r="Z47" i="15"/>
  <c r="AA47" i="15"/>
  <c r="AC47" i="15"/>
  <c r="AD47" i="15"/>
  <c r="AE47" i="15"/>
  <c r="AG47" i="15"/>
  <c r="AH47" i="15"/>
  <c r="AI47" i="15"/>
  <c r="AK47" i="15"/>
  <c r="AL47" i="15"/>
  <c r="AM47" i="15"/>
  <c r="AO47" i="15"/>
  <c r="AP47" i="15"/>
  <c r="AQ47" i="15"/>
  <c r="AS47" i="15"/>
  <c r="AT47" i="15"/>
  <c r="AU47" i="15"/>
  <c r="AW47" i="15"/>
  <c r="AX47" i="15"/>
  <c r="AY47" i="15"/>
  <c r="BA47" i="15"/>
  <c r="BC47" i="15"/>
  <c r="BE47" i="15"/>
  <c r="C48" i="15"/>
  <c r="T48" i="15"/>
  <c r="X48" i="15"/>
  <c r="AB48" i="15"/>
  <c r="AF48" i="15"/>
  <c r="AJ48" i="15"/>
  <c r="AN48" i="15"/>
  <c r="AR48" i="15"/>
  <c r="AV48" i="15"/>
  <c r="AZ48" i="15"/>
  <c r="BB48" i="15"/>
  <c r="BD48" i="15"/>
  <c r="D49" i="15"/>
  <c r="E49" i="15"/>
  <c r="F49" i="15"/>
  <c r="G49" i="15"/>
  <c r="H49" i="15"/>
  <c r="I49" i="15"/>
  <c r="J49" i="15"/>
  <c r="K49" i="15"/>
  <c r="L49" i="15"/>
  <c r="M49" i="15"/>
  <c r="N49" i="15"/>
  <c r="U49" i="15"/>
  <c r="V49" i="15"/>
  <c r="W49" i="15"/>
  <c r="X49" i="15"/>
  <c r="Y49" i="15"/>
  <c r="Z49" i="15"/>
  <c r="AA49" i="15"/>
  <c r="AB49" i="15"/>
  <c r="AC49" i="15"/>
  <c r="AD49" i="15"/>
  <c r="AE49" i="15"/>
  <c r="AF49" i="15"/>
  <c r="AG49" i="15"/>
  <c r="AH49" i="15"/>
  <c r="AI49" i="15"/>
  <c r="AJ49" i="15"/>
  <c r="AK49" i="15"/>
  <c r="AL49" i="15"/>
  <c r="AM49" i="15"/>
  <c r="AN49" i="15"/>
  <c r="AO49" i="15"/>
  <c r="AP49" i="15"/>
  <c r="AQ49" i="15"/>
  <c r="AR49" i="15"/>
  <c r="AS49" i="15"/>
  <c r="AT49" i="15"/>
  <c r="AU49" i="15"/>
  <c r="AV49" i="15"/>
  <c r="AW49" i="15"/>
  <c r="AX49" i="15"/>
  <c r="AY49" i="15"/>
  <c r="AZ49" i="15"/>
  <c r="BA49" i="15"/>
  <c r="BB49" i="15"/>
  <c r="BC49" i="15"/>
  <c r="BD49" i="15"/>
  <c r="BE49" i="15"/>
  <c r="C50" i="15"/>
  <c r="D50" i="15"/>
  <c r="E50" i="15"/>
  <c r="F50" i="15"/>
  <c r="G50" i="15"/>
  <c r="H50" i="15"/>
  <c r="I50" i="15"/>
  <c r="J50" i="15"/>
  <c r="K50" i="15"/>
  <c r="L50" i="15"/>
  <c r="M50" i="15"/>
  <c r="N50" i="15"/>
  <c r="Q50" i="15"/>
  <c r="R50" i="15"/>
  <c r="S50" i="15"/>
  <c r="T50" i="15"/>
  <c r="U50" i="15"/>
  <c r="V50" i="15"/>
  <c r="W50" i="15"/>
  <c r="X50" i="15"/>
  <c r="Y50" i="15"/>
  <c r="Z50" i="15"/>
  <c r="AA50" i="15"/>
  <c r="AB50" i="15"/>
  <c r="AC50" i="15"/>
  <c r="AD50" i="15"/>
  <c r="AE50" i="15"/>
  <c r="AF50" i="15"/>
  <c r="AG50" i="15"/>
  <c r="AH50" i="15"/>
  <c r="AI50" i="15"/>
  <c r="AJ50" i="15"/>
  <c r="AK50" i="15"/>
  <c r="AL50" i="15"/>
  <c r="AM50" i="15"/>
  <c r="AN50" i="15"/>
  <c r="AO50" i="15"/>
  <c r="AP50" i="15"/>
  <c r="AQ50" i="15"/>
  <c r="AR50" i="15"/>
  <c r="AS50" i="15"/>
  <c r="AT50" i="15"/>
  <c r="AU50" i="15"/>
  <c r="AV50" i="15"/>
  <c r="AW50" i="15"/>
  <c r="AX50" i="15"/>
  <c r="AY50" i="15"/>
  <c r="AZ50" i="15"/>
  <c r="BA50" i="15"/>
  <c r="BB50" i="15"/>
  <c r="BC50" i="15"/>
  <c r="BD50" i="15"/>
  <c r="BE50" i="15"/>
  <c r="C51" i="15"/>
  <c r="D51" i="15"/>
  <c r="E51" i="15"/>
  <c r="F51" i="15"/>
  <c r="G51" i="15"/>
  <c r="I51" i="15"/>
  <c r="J51" i="15"/>
  <c r="K51" i="15"/>
  <c r="L51" i="15"/>
  <c r="M51" i="15"/>
  <c r="N51" i="15"/>
  <c r="T51" i="15"/>
  <c r="X51" i="15"/>
  <c r="Y51" i="15"/>
  <c r="Z51" i="15"/>
  <c r="AA51" i="15"/>
  <c r="AB51" i="15"/>
  <c r="AF51" i="15"/>
  <c r="D52" i="15"/>
  <c r="E52" i="15"/>
  <c r="F52" i="15"/>
  <c r="G52" i="15"/>
  <c r="H52" i="15"/>
  <c r="I52" i="15"/>
  <c r="J52" i="15"/>
  <c r="K52" i="15"/>
  <c r="L52" i="15"/>
  <c r="M52" i="15"/>
  <c r="N52" i="15"/>
  <c r="U52" i="15"/>
  <c r="V52" i="15"/>
  <c r="W52" i="15"/>
  <c r="X52" i="15"/>
  <c r="Y52" i="15"/>
  <c r="Z52" i="15"/>
  <c r="AA52" i="15"/>
  <c r="AB52" i="15"/>
  <c r="AC52" i="15"/>
  <c r="AD52" i="15"/>
  <c r="AE52" i="15"/>
  <c r="AF52" i="15"/>
  <c r="C53" i="15"/>
  <c r="D53" i="15"/>
  <c r="E53" i="15"/>
  <c r="F53" i="15"/>
  <c r="G53" i="15"/>
  <c r="H53" i="15"/>
  <c r="I53" i="15"/>
  <c r="J53" i="15"/>
  <c r="K53" i="15"/>
  <c r="L53" i="15"/>
  <c r="M53" i="15"/>
  <c r="N53" i="15"/>
  <c r="Q53" i="15"/>
  <c r="R53" i="15"/>
  <c r="S53" i="15"/>
  <c r="T53" i="15"/>
  <c r="U53" i="15"/>
  <c r="V53" i="15"/>
  <c r="W53" i="15"/>
  <c r="X53" i="15"/>
  <c r="Y53" i="15"/>
  <c r="Z53" i="15"/>
  <c r="AA53" i="15"/>
  <c r="AB53" i="15"/>
  <c r="AC53" i="15"/>
  <c r="AD53" i="15"/>
  <c r="AE53" i="15"/>
  <c r="AF53" i="15"/>
  <c r="C56" i="15"/>
  <c r="D56" i="15"/>
  <c r="E56" i="15"/>
  <c r="F56" i="15"/>
  <c r="G56" i="15"/>
  <c r="H56" i="15"/>
  <c r="I56" i="15"/>
  <c r="J56" i="15"/>
  <c r="K56" i="15"/>
  <c r="L56" i="15"/>
  <c r="M56" i="15"/>
  <c r="N56" i="15"/>
  <c r="O56" i="15"/>
  <c r="Q56" i="15"/>
  <c r="R56" i="15"/>
  <c r="S56" i="15"/>
  <c r="T56" i="15"/>
  <c r="U56" i="15"/>
  <c r="V56" i="15"/>
  <c r="W56" i="15"/>
  <c r="X56" i="15"/>
  <c r="Y56" i="15"/>
  <c r="Z56" i="15"/>
  <c r="AA56" i="15"/>
  <c r="AB56" i="15"/>
  <c r="AC56" i="15"/>
  <c r="AD56" i="15"/>
  <c r="AE56" i="15"/>
  <c r="AF56" i="15"/>
  <c r="AG56" i="15"/>
  <c r="AH56" i="15"/>
  <c r="AI56" i="15"/>
  <c r="AJ56" i="15"/>
  <c r="AK56" i="15"/>
  <c r="AL56" i="15"/>
  <c r="AM56" i="15"/>
  <c r="AN56" i="15"/>
  <c r="AO56" i="15"/>
  <c r="AP56" i="15"/>
  <c r="AQ56" i="15"/>
  <c r="AR56" i="15"/>
  <c r="AS56" i="15"/>
  <c r="AT56" i="15"/>
  <c r="AU56" i="15"/>
  <c r="AV56" i="15"/>
  <c r="AW56" i="15"/>
  <c r="AX56" i="15"/>
  <c r="AY56" i="15"/>
  <c r="AZ56" i="15"/>
  <c r="BA56" i="15"/>
  <c r="BB56" i="15"/>
  <c r="BC56" i="15"/>
  <c r="BD56" i="15"/>
  <c r="BE56" i="15"/>
  <c r="C57" i="15"/>
  <c r="D57" i="15"/>
  <c r="E57" i="15"/>
  <c r="F57" i="15"/>
  <c r="G57" i="15"/>
  <c r="H57" i="15"/>
  <c r="I57" i="15"/>
  <c r="J57" i="15"/>
  <c r="K57" i="15"/>
  <c r="L57" i="15"/>
  <c r="M57" i="15"/>
  <c r="N57" i="15"/>
  <c r="Q57" i="15"/>
  <c r="R57" i="15"/>
  <c r="S57" i="15"/>
  <c r="T57" i="15"/>
  <c r="U57" i="15"/>
  <c r="V57" i="15"/>
  <c r="W57" i="15"/>
  <c r="X57" i="15"/>
  <c r="Y57" i="15"/>
  <c r="Z57" i="15"/>
  <c r="AA57" i="15"/>
  <c r="AB57" i="15"/>
  <c r="AC57" i="15"/>
  <c r="AD57" i="15"/>
  <c r="AE57" i="15"/>
  <c r="AF57" i="15"/>
  <c r="AG57" i="15"/>
  <c r="AH57" i="15"/>
  <c r="AI57" i="15"/>
  <c r="AJ57" i="15"/>
  <c r="AK57" i="15"/>
  <c r="AL57" i="15"/>
  <c r="AM57" i="15"/>
  <c r="AN57" i="15"/>
  <c r="AO57" i="15"/>
  <c r="AP57" i="15"/>
  <c r="AQ57" i="15"/>
  <c r="AR57" i="15"/>
  <c r="AS57" i="15"/>
  <c r="AT57" i="15"/>
  <c r="AU57" i="15"/>
  <c r="AV57" i="15"/>
  <c r="AW57" i="15"/>
  <c r="AX57" i="15"/>
  <c r="AY57" i="15"/>
  <c r="AZ57" i="15"/>
  <c r="BA57" i="15"/>
  <c r="BB57" i="15"/>
  <c r="BC57" i="15"/>
  <c r="BD57" i="15"/>
  <c r="BE57" i="15"/>
  <c r="C58" i="15"/>
  <c r="D58" i="15"/>
  <c r="E58" i="15"/>
  <c r="F58" i="15"/>
  <c r="G58" i="15"/>
  <c r="H58" i="15"/>
  <c r="I58" i="15"/>
  <c r="J58" i="15"/>
  <c r="K58" i="15"/>
  <c r="Q58" i="15"/>
  <c r="R58" i="15"/>
  <c r="S58" i="15"/>
  <c r="T58" i="15"/>
  <c r="U58" i="15"/>
  <c r="V58" i="15"/>
  <c r="W58" i="15"/>
  <c r="X58" i="15"/>
  <c r="Y58" i="15"/>
  <c r="Z58" i="15"/>
  <c r="AA58" i="15"/>
  <c r="AB58" i="15"/>
  <c r="AC58" i="15"/>
  <c r="AD58" i="15"/>
  <c r="AE58" i="15"/>
  <c r="AF58" i="15"/>
  <c r="AG58" i="15"/>
  <c r="AH58" i="15"/>
  <c r="AI58" i="15"/>
  <c r="AJ58" i="15"/>
  <c r="AK58" i="15"/>
  <c r="AL58" i="15"/>
  <c r="AM58" i="15"/>
  <c r="AN58" i="15"/>
  <c r="AO58" i="15"/>
  <c r="AP58" i="15"/>
  <c r="AQ58" i="15"/>
  <c r="AR58" i="15"/>
  <c r="AT58" i="15"/>
  <c r="AU58" i="15"/>
  <c r="AV58" i="15"/>
  <c r="AX58" i="15"/>
  <c r="AY58" i="15"/>
  <c r="AZ58" i="15"/>
  <c r="BB58" i="15"/>
  <c r="BC58" i="15"/>
  <c r="BD58" i="15"/>
  <c r="R59" i="15"/>
  <c r="S59" i="15"/>
  <c r="T59" i="15"/>
  <c r="V59" i="15"/>
  <c r="W59" i="15"/>
  <c r="X59" i="15"/>
  <c r="Z59" i="15"/>
  <c r="AA59" i="15"/>
  <c r="AB59" i="15"/>
  <c r="AD59" i="15"/>
  <c r="AE59" i="15"/>
  <c r="AF59" i="15"/>
  <c r="AH59" i="15"/>
  <c r="AI59" i="15"/>
  <c r="AJ59" i="15"/>
  <c r="AL59" i="15"/>
  <c r="AM59" i="15"/>
  <c r="AN59" i="15"/>
  <c r="AP59" i="15"/>
  <c r="AQ59" i="15"/>
  <c r="AR59" i="15"/>
  <c r="AT59" i="15"/>
  <c r="AU59" i="15"/>
  <c r="AV59" i="15"/>
  <c r="AX59" i="15"/>
  <c r="AY59" i="15"/>
  <c r="AZ59" i="15"/>
  <c r="BB59" i="15"/>
  <c r="BC59" i="15"/>
  <c r="BD59" i="15"/>
  <c r="R60" i="15"/>
  <c r="S60" i="15"/>
  <c r="T60" i="15"/>
  <c r="V60" i="15"/>
  <c r="W60" i="15"/>
  <c r="X60" i="15"/>
  <c r="Z60" i="15"/>
  <c r="AA60" i="15"/>
  <c r="AB60" i="15"/>
  <c r="AD60" i="15"/>
  <c r="AE60" i="15"/>
  <c r="AF60" i="15"/>
  <c r="AH60" i="15"/>
  <c r="AI60" i="15"/>
  <c r="AJ60" i="15"/>
  <c r="AL60" i="15"/>
  <c r="AM60" i="15"/>
  <c r="AN60" i="15"/>
  <c r="AP60" i="15"/>
  <c r="AQ60" i="15"/>
  <c r="AR60" i="15"/>
  <c r="AT60" i="15"/>
  <c r="AU60" i="15"/>
  <c r="AV60" i="15"/>
  <c r="AX60" i="15"/>
  <c r="AY60" i="15"/>
  <c r="AZ60" i="15"/>
  <c r="BB60" i="15"/>
  <c r="BC60" i="15"/>
  <c r="BD60" i="15"/>
  <c r="R61" i="15"/>
  <c r="S61" i="15"/>
  <c r="T61" i="15"/>
  <c r="V61" i="15"/>
  <c r="W61" i="15"/>
  <c r="X61" i="15"/>
  <c r="Z61" i="15"/>
  <c r="AA61" i="15"/>
  <c r="AB61" i="15"/>
  <c r="AD61" i="15"/>
  <c r="AE61" i="15"/>
  <c r="AF61" i="15"/>
  <c r="AH61" i="15"/>
  <c r="AI61" i="15"/>
  <c r="AJ61" i="15"/>
  <c r="AL61" i="15"/>
  <c r="AM61" i="15"/>
  <c r="AN61" i="15"/>
  <c r="AP61" i="15"/>
  <c r="AQ61" i="15"/>
  <c r="AR61" i="15"/>
  <c r="AT61" i="15"/>
  <c r="AU61" i="15"/>
  <c r="AV61" i="15"/>
  <c r="AX61" i="15"/>
  <c r="AY61" i="15"/>
  <c r="AZ61" i="15"/>
  <c r="BB61" i="15"/>
  <c r="BC61" i="15"/>
  <c r="BD61" i="15"/>
  <c r="C62" i="15"/>
  <c r="D62" i="15"/>
  <c r="E62" i="15"/>
  <c r="F62" i="15"/>
  <c r="G62" i="15"/>
  <c r="H62" i="15"/>
  <c r="I62" i="15"/>
  <c r="J62" i="15"/>
  <c r="K62" i="15"/>
  <c r="L62" i="15"/>
  <c r="M62" i="15"/>
  <c r="N62" i="15"/>
  <c r="Q62" i="15"/>
  <c r="R62" i="15"/>
  <c r="S62" i="15"/>
  <c r="T62" i="15"/>
  <c r="U62" i="15"/>
  <c r="V62" i="15"/>
  <c r="W62" i="15"/>
  <c r="X62" i="15"/>
  <c r="Y62" i="15"/>
  <c r="Z62" i="15"/>
  <c r="AA62" i="15"/>
  <c r="AB62" i="15"/>
  <c r="AC62" i="15"/>
  <c r="AD62" i="15"/>
  <c r="AE62" i="15"/>
  <c r="AF62" i="15"/>
  <c r="AG62" i="15"/>
  <c r="AH62" i="15"/>
  <c r="AI62" i="15"/>
  <c r="AJ62" i="15"/>
  <c r="AK62" i="15"/>
  <c r="AL62" i="15"/>
  <c r="AM62" i="15"/>
  <c r="AN62" i="15"/>
  <c r="AO62" i="15"/>
  <c r="AP62" i="15"/>
  <c r="AQ62" i="15"/>
  <c r="AR62" i="15"/>
  <c r="AS62" i="15"/>
  <c r="AT62" i="15"/>
  <c r="AU62" i="15"/>
  <c r="AV62" i="15"/>
  <c r="AW62" i="15"/>
  <c r="AX62" i="15"/>
  <c r="AY62" i="15"/>
  <c r="AZ62" i="15"/>
  <c r="BA62" i="15"/>
  <c r="BB62" i="15"/>
  <c r="BC62" i="15"/>
  <c r="BD62" i="15"/>
  <c r="BE62" i="15"/>
  <c r="C63" i="15"/>
  <c r="C37" i="15" s="1"/>
  <c r="D63" i="15"/>
  <c r="D37" i="15" s="1"/>
  <c r="E63" i="15"/>
  <c r="E37" i="15" s="1"/>
  <c r="F63" i="15"/>
  <c r="F37" i="15" s="1"/>
  <c r="G63" i="15"/>
  <c r="G37" i="15" s="1"/>
  <c r="H63" i="15"/>
  <c r="H37" i="15" s="1"/>
  <c r="I63" i="15"/>
  <c r="I37" i="15" s="1"/>
  <c r="J63" i="15"/>
  <c r="J37" i="15" s="1"/>
  <c r="K63" i="15"/>
  <c r="K37" i="15" s="1"/>
  <c r="L63" i="15"/>
  <c r="L37" i="15" s="1"/>
  <c r="M63" i="15"/>
  <c r="M37" i="15" s="1"/>
  <c r="Q63" i="15"/>
  <c r="Q37" i="15" s="1"/>
  <c r="R63" i="15"/>
  <c r="R37" i="15" s="1"/>
  <c r="S63" i="15"/>
  <c r="S37" i="15" s="1"/>
  <c r="T63" i="15"/>
  <c r="T37" i="15" s="1"/>
  <c r="U63" i="15"/>
  <c r="U37" i="15" s="1"/>
  <c r="V63" i="15"/>
  <c r="V37" i="15" s="1"/>
  <c r="W63" i="15"/>
  <c r="W37" i="15" s="1"/>
  <c r="X63" i="15"/>
  <c r="X37" i="15" s="1"/>
  <c r="Y63" i="15"/>
  <c r="Y37" i="15" s="1"/>
  <c r="Z63" i="15"/>
  <c r="Z37" i="15" s="1"/>
  <c r="AA63" i="15"/>
  <c r="AA37" i="15" s="1"/>
  <c r="AB63" i="15"/>
  <c r="AB37" i="15" s="1"/>
  <c r="AC63" i="15"/>
  <c r="AC37" i="15" s="1"/>
  <c r="AD63" i="15"/>
  <c r="AD37" i="15" s="1"/>
  <c r="AE63" i="15"/>
  <c r="AE37" i="15" s="1"/>
  <c r="AF63" i="15"/>
  <c r="AF37" i="15" s="1"/>
  <c r="AG63" i="15"/>
  <c r="AG37" i="15" s="1"/>
  <c r="AH63" i="15"/>
  <c r="AH37" i="15" s="1"/>
  <c r="AI63" i="15"/>
  <c r="AI37" i="15" s="1"/>
  <c r="AJ63" i="15"/>
  <c r="AJ37" i="15" s="1"/>
  <c r="AK63" i="15"/>
  <c r="AK37" i="15" s="1"/>
  <c r="AL63" i="15"/>
  <c r="AL37" i="15" s="1"/>
  <c r="AM63" i="15"/>
  <c r="AM37" i="15" s="1"/>
  <c r="AN63" i="15"/>
  <c r="AN37" i="15" s="1"/>
  <c r="AP63" i="15"/>
  <c r="AP37" i="15" s="1"/>
  <c r="AQ63" i="15"/>
  <c r="AQ37" i="15" s="1"/>
  <c r="AR63" i="15"/>
  <c r="AR37" i="15" s="1"/>
  <c r="AS63" i="15"/>
  <c r="AS37" i="15" s="1"/>
  <c r="AT63" i="15"/>
  <c r="AT37" i="15" s="1"/>
  <c r="AU63" i="15"/>
  <c r="AU37" i="15" s="1"/>
  <c r="AV63" i="15"/>
  <c r="AV37" i="15" s="1"/>
  <c r="AW63" i="15"/>
  <c r="AW37" i="15" s="1"/>
  <c r="AX63" i="15"/>
  <c r="AX37" i="15" s="1"/>
  <c r="AY63" i="15"/>
  <c r="AY37" i="15" s="1"/>
  <c r="AZ63" i="15"/>
  <c r="AZ37" i="15" s="1"/>
  <c r="BB63" i="15"/>
  <c r="BC63" i="15"/>
  <c r="BC37" i="15" s="1"/>
  <c r="BD63" i="15"/>
  <c r="BD37" i="15" s="1"/>
  <c r="R64" i="15"/>
  <c r="S64" i="15"/>
  <c r="T64" i="15"/>
  <c r="V64" i="15"/>
  <c r="W64" i="15"/>
  <c r="X64" i="15"/>
  <c r="Z64" i="15"/>
  <c r="AA64" i="15"/>
  <c r="AB64" i="15"/>
  <c r="AD64" i="15"/>
  <c r="AE64" i="15"/>
  <c r="AF64" i="15"/>
  <c r="AH64" i="15"/>
  <c r="AI64" i="15"/>
  <c r="AJ64" i="15"/>
  <c r="AL64" i="15"/>
  <c r="AM64" i="15"/>
  <c r="AN64" i="15"/>
  <c r="AP64" i="15"/>
  <c r="AQ64" i="15"/>
  <c r="AR64" i="15"/>
  <c r="AT64" i="15"/>
  <c r="AU64" i="15"/>
  <c r="AV64" i="15"/>
  <c r="AX64" i="15"/>
  <c r="AY64" i="15"/>
  <c r="AZ64" i="15"/>
  <c r="BB64" i="15"/>
  <c r="BC64" i="15"/>
  <c r="BD64" i="15"/>
  <c r="R65" i="15"/>
  <c r="S65" i="15"/>
  <c r="T65" i="15"/>
  <c r="V65" i="15"/>
  <c r="W65" i="15"/>
  <c r="X65" i="15"/>
  <c r="Z65" i="15"/>
  <c r="AA65" i="15"/>
  <c r="AB65" i="15"/>
  <c r="AD65" i="15"/>
  <c r="AE65" i="15"/>
  <c r="AF65" i="15"/>
  <c r="AH65" i="15"/>
  <c r="AI65" i="15"/>
  <c r="AJ65" i="15"/>
  <c r="AL65" i="15"/>
  <c r="AM65" i="15"/>
  <c r="AN65" i="15"/>
  <c r="AP65" i="15"/>
  <c r="AQ65" i="15"/>
  <c r="AR65" i="15"/>
  <c r="AT65" i="15"/>
  <c r="AU65" i="15"/>
  <c r="AV65" i="15"/>
  <c r="AX65" i="15"/>
  <c r="AY65" i="15"/>
  <c r="AZ65" i="15"/>
  <c r="BB65" i="15"/>
  <c r="BC65" i="15"/>
  <c r="BD65" i="15"/>
  <c r="C66" i="15"/>
  <c r="D66" i="15"/>
  <c r="E66" i="15"/>
  <c r="F66" i="15"/>
  <c r="G66" i="15"/>
  <c r="H66" i="15"/>
  <c r="I66" i="15"/>
  <c r="J66" i="15"/>
  <c r="K66" i="15"/>
  <c r="L66" i="15"/>
  <c r="M66" i="15"/>
  <c r="N66" i="15"/>
  <c r="Q66" i="15"/>
  <c r="R66" i="15"/>
  <c r="S66" i="15"/>
  <c r="T66" i="15"/>
  <c r="U66" i="15"/>
  <c r="V66" i="15"/>
  <c r="W66" i="15"/>
  <c r="X66" i="15"/>
  <c r="Y66" i="15"/>
  <c r="Z66" i="15"/>
  <c r="AA66" i="15"/>
  <c r="AB66" i="15"/>
  <c r="AC66" i="15"/>
  <c r="AD66" i="15"/>
  <c r="AE66" i="15"/>
  <c r="AF66" i="15"/>
  <c r="AG66" i="15"/>
  <c r="AH66" i="15"/>
  <c r="AI66" i="15"/>
  <c r="AJ66" i="15"/>
  <c r="AK66" i="15"/>
  <c r="AL66" i="15"/>
  <c r="AM66" i="15"/>
  <c r="AN66" i="15"/>
  <c r="AO66" i="15"/>
  <c r="AP66" i="15"/>
  <c r="AQ66" i="15"/>
  <c r="AR66" i="15"/>
  <c r="AS66" i="15"/>
  <c r="AT66" i="15"/>
  <c r="AU66" i="15"/>
  <c r="AV66" i="15"/>
  <c r="AW66" i="15"/>
  <c r="AX66" i="15"/>
  <c r="AY66" i="15"/>
  <c r="AZ66" i="15"/>
  <c r="BA66" i="15"/>
  <c r="BB66" i="15"/>
  <c r="BC66" i="15"/>
  <c r="BD66" i="15"/>
  <c r="BE66" i="15"/>
  <c r="C67" i="15"/>
  <c r="H67" i="15"/>
  <c r="J67" i="15"/>
  <c r="R67" i="15"/>
  <c r="S67" i="15"/>
  <c r="T67" i="15"/>
  <c r="V67" i="15"/>
  <c r="W67" i="15"/>
  <c r="X67" i="15"/>
  <c r="Z67" i="15"/>
  <c r="AA67" i="15"/>
  <c r="AB67" i="15"/>
  <c r="AD67" i="15"/>
  <c r="AE67" i="15"/>
  <c r="AF67" i="15"/>
  <c r="AH67" i="15"/>
  <c r="AI67" i="15"/>
  <c r="AJ67" i="15"/>
  <c r="AL67" i="15"/>
  <c r="AM67" i="15"/>
  <c r="AN67" i="15"/>
  <c r="AP67" i="15"/>
  <c r="AQ67" i="15"/>
  <c r="AR67" i="15"/>
  <c r="AT67" i="15"/>
  <c r="AU67" i="15"/>
  <c r="AV67" i="15"/>
  <c r="AX67" i="15"/>
  <c r="AY67" i="15"/>
  <c r="AZ67" i="15"/>
  <c r="BB67" i="15"/>
  <c r="BC67" i="15"/>
  <c r="BD67" i="15"/>
  <c r="R68" i="15"/>
  <c r="S68" i="15"/>
  <c r="T68" i="15"/>
  <c r="V68" i="15"/>
  <c r="W68" i="15"/>
  <c r="X68" i="15"/>
  <c r="Z68" i="15"/>
  <c r="AA68" i="15"/>
  <c r="AB68" i="15"/>
  <c r="AD68" i="15"/>
  <c r="AE68" i="15"/>
  <c r="AF68" i="15"/>
  <c r="AH68" i="15"/>
  <c r="AI68" i="15"/>
  <c r="AJ68" i="15"/>
  <c r="AL68" i="15"/>
  <c r="AM68" i="15"/>
  <c r="AN68" i="15"/>
  <c r="AP68" i="15"/>
  <c r="AQ68" i="15"/>
  <c r="AR68" i="15"/>
  <c r="AT68" i="15"/>
  <c r="AU68" i="15"/>
  <c r="AV68" i="15"/>
  <c r="AX68" i="15"/>
  <c r="AY68" i="15"/>
  <c r="AZ68" i="15"/>
  <c r="BB68" i="15"/>
  <c r="BC68" i="15"/>
  <c r="BD68" i="15"/>
  <c r="C69" i="15"/>
  <c r="D69" i="15"/>
  <c r="E69" i="15"/>
  <c r="F69" i="15"/>
  <c r="G69" i="15"/>
  <c r="H69" i="15"/>
  <c r="I69" i="15"/>
  <c r="J69" i="15"/>
  <c r="R69" i="15"/>
  <c r="S69" i="15"/>
  <c r="T69" i="15"/>
  <c r="U69" i="15"/>
  <c r="V69" i="15"/>
  <c r="W69" i="15"/>
  <c r="X69" i="15"/>
  <c r="Y69" i="15"/>
  <c r="Z69" i="15"/>
  <c r="AA69" i="15"/>
  <c r="AB69" i="15"/>
  <c r="AD69" i="15"/>
  <c r="AE69" i="15"/>
  <c r="AF69" i="15"/>
  <c r="AH69" i="15"/>
  <c r="AI69" i="15"/>
  <c r="AJ69" i="15"/>
  <c r="AL69" i="15"/>
  <c r="AM69" i="15"/>
  <c r="AN69" i="15"/>
  <c r="AP69" i="15"/>
  <c r="AQ69" i="15"/>
  <c r="AR69" i="15"/>
  <c r="AT69" i="15"/>
  <c r="AU69" i="15"/>
  <c r="AV69" i="15"/>
  <c r="AX69" i="15"/>
  <c r="AY69" i="15"/>
  <c r="AZ69" i="15"/>
  <c r="BB69" i="15"/>
  <c r="BC69" i="15"/>
  <c r="BD69" i="15"/>
  <c r="C70" i="15"/>
  <c r="D70" i="15"/>
  <c r="E70" i="15"/>
  <c r="F70" i="15"/>
  <c r="G70" i="15"/>
  <c r="H70" i="15"/>
  <c r="I70" i="15"/>
  <c r="J70" i="15"/>
  <c r="K70" i="15"/>
  <c r="L70" i="15"/>
  <c r="M70" i="15"/>
  <c r="N70" i="15"/>
  <c r="Q70" i="15"/>
  <c r="R70" i="15"/>
  <c r="S70" i="15"/>
  <c r="T70" i="15"/>
  <c r="U70" i="15"/>
  <c r="V70" i="15"/>
  <c r="W70" i="15"/>
  <c r="X70" i="15"/>
  <c r="Z70" i="15"/>
  <c r="AA70" i="15"/>
  <c r="AB70" i="15"/>
  <c r="AC70" i="15"/>
  <c r="AD70" i="15"/>
  <c r="AE70" i="15"/>
  <c r="AF70" i="15"/>
  <c r="AG70" i="15"/>
  <c r="AH70" i="15"/>
  <c r="AI70" i="15"/>
  <c r="AJ70" i="15"/>
  <c r="AK70" i="15"/>
  <c r="AL70" i="15"/>
  <c r="AM70" i="15"/>
  <c r="AN70" i="15"/>
  <c r="AO70" i="15"/>
  <c r="AP70" i="15"/>
  <c r="AQ70" i="15"/>
  <c r="AR70" i="15"/>
  <c r="AS70" i="15"/>
  <c r="AT70" i="15"/>
  <c r="AU70" i="15"/>
  <c r="AV70" i="15"/>
  <c r="AW70" i="15"/>
  <c r="AX70" i="15"/>
  <c r="AY70" i="15"/>
  <c r="AZ70" i="15"/>
  <c r="BA70" i="15"/>
  <c r="BB70" i="15"/>
  <c r="BC70" i="15"/>
  <c r="BD70" i="15"/>
  <c r="BE70" i="15"/>
  <c r="R71" i="15"/>
  <c r="S71" i="15"/>
  <c r="T71" i="15"/>
  <c r="V71" i="15"/>
  <c r="W71" i="15"/>
  <c r="X71" i="15"/>
  <c r="Z71" i="15"/>
  <c r="AA71" i="15"/>
  <c r="AB71" i="15"/>
  <c r="AD71" i="15"/>
  <c r="AE71" i="15"/>
  <c r="AF71" i="15"/>
  <c r="AH71" i="15"/>
  <c r="AI71" i="15"/>
  <c r="AJ71" i="15"/>
  <c r="AL71" i="15"/>
  <c r="AM71" i="15"/>
  <c r="AN71" i="15"/>
  <c r="AP71" i="15"/>
  <c r="AQ71" i="15"/>
  <c r="AR71" i="15"/>
  <c r="AT71" i="15"/>
  <c r="AU71" i="15"/>
  <c r="AV71" i="15"/>
  <c r="AX71" i="15"/>
  <c r="AY71" i="15"/>
  <c r="AZ71" i="15"/>
  <c r="BB71" i="15"/>
  <c r="BC71" i="15"/>
  <c r="BD71" i="15"/>
  <c r="C72" i="15"/>
  <c r="D72" i="15"/>
  <c r="E72" i="15"/>
  <c r="F72" i="15"/>
  <c r="G72" i="15"/>
  <c r="H72" i="15"/>
  <c r="I72" i="15"/>
  <c r="J72" i="15"/>
  <c r="K72" i="15"/>
  <c r="L72" i="15"/>
  <c r="M72" i="15"/>
  <c r="N72" i="15"/>
  <c r="Q72" i="15"/>
  <c r="R72" i="15"/>
  <c r="S72" i="15"/>
  <c r="T72" i="15"/>
  <c r="U72" i="15"/>
  <c r="V72" i="15"/>
  <c r="W72" i="15"/>
  <c r="X72" i="15"/>
  <c r="Y72" i="15"/>
  <c r="Z72" i="15"/>
  <c r="AA72" i="15"/>
  <c r="AB72" i="15"/>
  <c r="AC72" i="15"/>
  <c r="AD72" i="15"/>
  <c r="AE72" i="15"/>
  <c r="AF72" i="15"/>
  <c r="AG72" i="15"/>
  <c r="AH72" i="15"/>
  <c r="AI72" i="15"/>
  <c r="AJ72" i="15"/>
  <c r="AK72" i="15"/>
  <c r="AL72" i="15"/>
  <c r="AM72" i="15"/>
  <c r="AN72" i="15"/>
  <c r="AO72" i="15"/>
  <c r="AP72" i="15"/>
  <c r="AQ72" i="15"/>
  <c r="AR72" i="15"/>
  <c r="AS72" i="15"/>
  <c r="AT72" i="15"/>
  <c r="AU72" i="15"/>
  <c r="AV72" i="15"/>
  <c r="AW72" i="15"/>
  <c r="AX72" i="15"/>
  <c r="AY72" i="15"/>
  <c r="AZ72" i="15"/>
  <c r="BA72" i="15"/>
  <c r="BB72" i="15"/>
  <c r="BC72" i="15"/>
  <c r="BD72" i="15"/>
  <c r="BE72" i="15"/>
  <c r="R73" i="15"/>
  <c r="S73" i="15"/>
  <c r="T73" i="15"/>
  <c r="V73" i="15"/>
  <c r="W73" i="15"/>
  <c r="X73" i="15"/>
  <c r="Z73" i="15"/>
  <c r="AA73" i="15"/>
  <c r="AB73" i="15"/>
  <c r="AD73" i="15"/>
  <c r="AE73" i="15"/>
  <c r="AF73" i="15"/>
  <c r="AH73" i="15"/>
  <c r="AI73" i="15"/>
  <c r="AJ73" i="15"/>
  <c r="AL73" i="15"/>
  <c r="AM73" i="15"/>
  <c r="AN73" i="15"/>
  <c r="AP73" i="15"/>
  <c r="AQ73" i="15"/>
  <c r="AR73" i="15"/>
  <c r="AT73" i="15"/>
  <c r="AU73" i="15"/>
  <c r="AV73" i="15"/>
  <c r="AX73" i="15"/>
  <c r="AY73" i="15"/>
  <c r="AZ73" i="15"/>
  <c r="BB73" i="15"/>
  <c r="BC73" i="15"/>
  <c r="BD73" i="15"/>
  <c r="C74" i="15"/>
  <c r="D74" i="15"/>
  <c r="E74" i="15"/>
  <c r="F74" i="15"/>
  <c r="G74" i="15"/>
  <c r="H74" i="15"/>
  <c r="I74" i="15"/>
  <c r="J74" i="15"/>
  <c r="K74" i="15"/>
  <c r="L74" i="15"/>
  <c r="M74" i="15"/>
  <c r="N74" i="15"/>
  <c r="Q74" i="15"/>
  <c r="R74" i="15"/>
  <c r="S74" i="15"/>
  <c r="T74" i="15"/>
  <c r="U74" i="15"/>
  <c r="V74" i="15"/>
  <c r="W74" i="15"/>
  <c r="X74" i="15"/>
  <c r="Y74" i="15"/>
  <c r="Z74" i="15"/>
  <c r="AA74" i="15"/>
  <c r="AB74" i="15"/>
  <c r="AC74" i="15"/>
  <c r="AD74" i="15"/>
  <c r="AE74" i="15"/>
  <c r="AF74" i="15"/>
  <c r="AG74" i="15"/>
  <c r="AH74" i="15"/>
  <c r="AI74" i="15"/>
  <c r="AJ74" i="15"/>
  <c r="AK74" i="15"/>
  <c r="AL74" i="15"/>
  <c r="AM74" i="15"/>
  <c r="AN74" i="15"/>
  <c r="AO74" i="15"/>
  <c r="AP74" i="15"/>
  <c r="AQ74" i="15"/>
  <c r="AR74" i="15"/>
  <c r="AS74" i="15"/>
  <c r="AT74" i="15"/>
  <c r="AU74" i="15"/>
  <c r="AV74" i="15"/>
  <c r="AW74" i="15"/>
  <c r="AX74" i="15"/>
  <c r="AY74" i="15"/>
  <c r="AZ74" i="15"/>
  <c r="BA74" i="15"/>
  <c r="BB74" i="15"/>
  <c r="BC74" i="15"/>
  <c r="BD74" i="15"/>
  <c r="BE74" i="15"/>
  <c r="C75" i="15"/>
  <c r="D75" i="15"/>
  <c r="E75" i="15"/>
  <c r="F75" i="15"/>
  <c r="G75" i="15"/>
  <c r="H75" i="15"/>
  <c r="I75" i="15"/>
  <c r="J75" i="15"/>
  <c r="K75" i="15"/>
  <c r="L75" i="15"/>
  <c r="M75" i="15"/>
  <c r="N75" i="15"/>
  <c r="Q75" i="15"/>
  <c r="R75" i="15"/>
  <c r="S75" i="15"/>
  <c r="T75" i="15"/>
  <c r="U75" i="15"/>
  <c r="V75" i="15"/>
  <c r="W75" i="15"/>
  <c r="X75" i="15"/>
  <c r="Y75" i="15"/>
  <c r="Z75" i="15"/>
  <c r="AA75" i="15"/>
  <c r="AB75" i="15"/>
  <c r="AC75" i="15"/>
  <c r="AD75" i="15"/>
  <c r="AE75" i="15"/>
  <c r="AF75" i="15"/>
  <c r="AG75" i="15"/>
  <c r="AH75" i="15"/>
  <c r="AI75" i="15"/>
  <c r="AJ75" i="15"/>
  <c r="AK75" i="15"/>
  <c r="AL75" i="15"/>
  <c r="AM75" i="15"/>
  <c r="AN75" i="15"/>
  <c r="AO75" i="15"/>
  <c r="AP75" i="15"/>
  <c r="AQ75" i="15"/>
  <c r="AR75" i="15"/>
  <c r="AS75" i="15"/>
  <c r="AT75" i="15"/>
  <c r="AU75" i="15"/>
  <c r="AV75" i="15"/>
  <c r="AW75" i="15"/>
  <c r="AX75" i="15"/>
  <c r="AY75" i="15"/>
  <c r="AZ75" i="15"/>
  <c r="BA75" i="15"/>
  <c r="BB75" i="15"/>
  <c r="BC75" i="15"/>
  <c r="BD75" i="15"/>
  <c r="BE75" i="15"/>
  <c r="C76" i="15"/>
  <c r="D76" i="15"/>
  <c r="E76" i="15"/>
  <c r="F76" i="15"/>
  <c r="G76" i="15"/>
  <c r="H76" i="15"/>
  <c r="I76" i="15"/>
  <c r="J76" i="15"/>
  <c r="K76" i="15"/>
  <c r="L76" i="15"/>
  <c r="M76" i="15"/>
  <c r="N76" i="15"/>
  <c r="Q76" i="15"/>
  <c r="R76" i="15"/>
  <c r="S76" i="15"/>
  <c r="T76" i="15"/>
  <c r="U76" i="15"/>
  <c r="V76" i="15"/>
  <c r="W76" i="15"/>
  <c r="X76" i="15"/>
  <c r="Y76" i="15"/>
  <c r="Z76" i="15"/>
  <c r="AA76" i="15"/>
  <c r="AB76" i="15"/>
  <c r="AC76" i="15"/>
  <c r="AD76" i="15"/>
  <c r="AE76" i="15"/>
  <c r="AF76" i="15"/>
  <c r="AG76" i="15"/>
  <c r="AH76" i="15"/>
  <c r="AI76" i="15"/>
  <c r="AJ76" i="15"/>
  <c r="AK76" i="15"/>
  <c r="AL76" i="15"/>
  <c r="AM76" i="15"/>
  <c r="AN76" i="15"/>
  <c r="AO76" i="15"/>
  <c r="AP76" i="15"/>
  <c r="AQ76" i="15"/>
  <c r="AR76" i="15"/>
  <c r="AS76" i="15"/>
  <c r="AT76" i="15"/>
  <c r="AU76" i="15"/>
  <c r="AV76" i="15"/>
  <c r="AW76" i="15"/>
  <c r="AX76" i="15"/>
  <c r="AY76" i="15"/>
  <c r="AZ76" i="15"/>
  <c r="BA76" i="15"/>
  <c r="BB76" i="15"/>
  <c r="BC76" i="15"/>
  <c r="BD76" i="15"/>
  <c r="BE76" i="15"/>
  <c r="C78" i="15"/>
  <c r="D78" i="15"/>
  <c r="E78" i="15"/>
  <c r="F78" i="15"/>
  <c r="G78" i="15"/>
  <c r="H78" i="15"/>
  <c r="I78" i="15"/>
  <c r="J78" i="15"/>
  <c r="K78" i="15"/>
  <c r="L78" i="15"/>
  <c r="M78" i="15"/>
  <c r="N78" i="15"/>
  <c r="Q78" i="15"/>
  <c r="R78" i="15"/>
  <c r="S78" i="15"/>
  <c r="U78" i="15"/>
  <c r="V78" i="15"/>
  <c r="W78" i="15"/>
  <c r="Y78" i="15"/>
  <c r="Z78" i="15"/>
  <c r="AA78" i="15"/>
  <c r="AC78" i="15"/>
  <c r="AD78" i="15"/>
  <c r="AE78" i="15"/>
  <c r="AG78" i="15"/>
  <c r="AH78" i="15"/>
  <c r="AI78" i="15"/>
  <c r="AK78" i="15"/>
  <c r="AL78" i="15"/>
  <c r="AM78" i="15"/>
  <c r="AO78" i="15"/>
  <c r="AP78" i="15"/>
  <c r="AQ78" i="15"/>
  <c r="AS78" i="15"/>
  <c r="AT78" i="15"/>
  <c r="AU78" i="15"/>
  <c r="AW78" i="15"/>
  <c r="AX78" i="15"/>
  <c r="AY78" i="15"/>
  <c r="BA78" i="15"/>
  <c r="BB78" i="15"/>
  <c r="BC78" i="15"/>
  <c r="BE78" i="15"/>
  <c r="C80" i="15"/>
  <c r="D80" i="15"/>
  <c r="E80" i="15"/>
  <c r="F80" i="15"/>
  <c r="G80" i="15"/>
  <c r="H80" i="15"/>
  <c r="I80" i="15"/>
  <c r="J80" i="15"/>
  <c r="K80" i="15"/>
  <c r="L80" i="15"/>
  <c r="M80" i="15"/>
  <c r="N80" i="15"/>
  <c r="O80" i="15"/>
  <c r="Q80" i="15"/>
  <c r="R80" i="15"/>
  <c r="S80" i="15"/>
  <c r="T80" i="15"/>
  <c r="U80" i="15"/>
  <c r="V80" i="15"/>
  <c r="W80" i="15"/>
  <c r="X80" i="15"/>
  <c r="Y80" i="15"/>
  <c r="Z80" i="15"/>
  <c r="AA80" i="15"/>
  <c r="AB80" i="15"/>
  <c r="AC80" i="15"/>
  <c r="AD80" i="15"/>
  <c r="AE80" i="15"/>
  <c r="AF80" i="15"/>
  <c r="AG80" i="15"/>
  <c r="AH80" i="15"/>
  <c r="AI80" i="15"/>
  <c r="AJ80" i="15"/>
  <c r="AK80" i="15"/>
  <c r="AL80" i="15"/>
  <c r="AM80" i="15"/>
  <c r="AN80" i="15"/>
  <c r="AO80" i="15"/>
  <c r="AP80" i="15"/>
  <c r="AQ80" i="15"/>
  <c r="AR80" i="15"/>
  <c r="AS80" i="15"/>
  <c r="AT80" i="15"/>
  <c r="AU80" i="15"/>
  <c r="AV80" i="15"/>
  <c r="AW80" i="15"/>
  <c r="AX80" i="15"/>
  <c r="AY80" i="15"/>
  <c r="AZ80" i="15"/>
  <c r="BA80" i="15"/>
  <c r="BB80" i="15"/>
  <c r="BC80" i="15"/>
  <c r="BD80" i="15"/>
  <c r="BE80" i="15"/>
  <c r="B81" i="15"/>
  <c r="C81" i="15"/>
  <c r="D81" i="15"/>
  <c r="E81" i="15"/>
  <c r="F81" i="15"/>
  <c r="G81" i="15"/>
  <c r="H81" i="15"/>
  <c r="I81" i="15"/>
  <c r="J81" i="15"/>
  <c r="K81" i="15"/>
  <c r="L81" i="15"/>
  <c r="M81" i="15"/>
  <c r="N81" i="15"/>
  <c r="T81" i="15"/>
  <c r="U81" i="15"/>
  <c r="V81" i="15"/>
  <c r="W81" i="15"/>
  <c r="X81" i="15"/>
  <c r="Y81" i="15"/>
  <c r="Z81" i="15"/>
  <c r="AA81" i="15"/>
  <c r="AB81" i="15"/>
  <c r="AC81" i="15"/>
  <c r="AD81" i="15"/>
  <c r="AE81" i="15"/>
  <c r="AF81" i="15"/>
  <c r="AG81" i="15"/>
  <c r="AH81" i="15"/>
  <c r="AI81" i="15"/>
  <c r="AJ81" i="15"/>
  <c r="AK81" i="15"/>
  <c r="AL81" i="15"/>
  <c r="AM81" i="15"/>
  <c r="AN81" i="15"/>
  <c r="AO81" i="15"/>
  <c r="AP81" i="15"/>
  <c r="AQ81" i="15"/>
  <c r="AR81" i="15"/>
  <c r="AS81" i="15"/>
  <c r="AT81" i="15"/>
  <c r="AU81" i="15"/>
  <c r="AV81" i="15"/>
  <c r="AW81" i="15"/>
  <c r="AX81" i="15"/>
  <c r="AY81" i="15"/>
  <c r="AZ81" i="15"/>
  <c r="BA81" i="15"/>
  <c r="BB81" i="15"/>
  <c r="BC81" i="15"/>
  <c r="BD81" i="15"/>
  <c r="BE81" i="15"/>
  <c r="C82" i="15"/>
  <c r="D82" i="15"/>
  <c r="E82" i="15"/>
  <c r="F82" i="15"/>
  <c r="G82" i="15"/>
  <c r="H82" i="15"/>
  <c r="I82" i="15"/>
  <c r="J82" i="15"/>
  <c r="K82" i="15"/>
  <c r="L82" i="15"/>
  <c r="M82" i="15"/>
  <c r="N82" i="15"/>
  <c r="T82" i="15"/>
  <c r="U82" i="15"/>
  <c r="V82" i="15"/>
  <c r="W82" i="15"/>
  <c r="X82" i="15"/>
  <c r="Y82" i="15"/>
  <c r="Z82" i="15"/>
  <c r="AA82" i="15"/>
  <c r="AB82" i="15"/>
  <c r="AC82" i="15"/>
  <c r="AD82" i="15"/>
  <c r="AE82" i="15"/>
  <c r="AF82" i="15"/>
  <c r="AG82" i="15"/>
  <c r="AH82" i="15"/>
  <c r="AI82" i="15"/>
  <c r="AJ82" i="15"/>
  <c r="AK82" i="15"/>
  <c r="AL82" i="15"/>
  <c r="AM82" i="15"/>
  <c r="AN82" i="15"/>
  <c r="AO82" i="15"/>
  <c r="AP82" i="15"/>
  <c r="AQ82" i="15"/>
  <c r="AR82" i="15"/>
  <c r="AS82" i="15"/>
  <c r="AT82" i="15"/>
  <c r="AU82" i="15"/>
  <c r="AV82" i="15"/>
  <c r="AW82" i="15"/>
  <c r="AX82" i="15"/>
  <c r="AY82" i="15"/>
  <c r="AZ82" i="15"/>
  <c r="BA82" i="15"/>
  <c r="BB82" i="15"/>
  <c r="BC82" i="15"/>
  <c r="BD82" i="15"/>
  <c r="BE82" i="15"/>
  <c r="C83" i="15"/>
  <c r="D83" i="15"/>
  <c r="E83" i="15"/>
  <c r="F83" i="15"/>
  <c r="G83" i="15"/>
  <c r="H83" i="15"/>
  <c r="I83" i="15"/>
  <c r="J83" i="15"/>
  <c r="K83" i="15"/>
  <c r="L83" i="15"/>
  <c r="M83" i="15"/>
  <c r="N83" i="15"/>
  <c r="T83" i="15"/>
  <c r="U83" i="15"/>
  <c r="V83" i="15"/>
  <c r="W83" i="15"/>
  <c r="X83" i="15"/>
  <c r="Y83" i="15"/>
  <c r="Z83" i="15"/>
  <c r="AA83" i="15"/>
  <c r="AB83" i="15"/>
  <c r="AC83" i="15"/>
  <c r="AD83" i="15"/>
  <c r="AE83" i="15"/>
  <c r="AF83" i="15"/>
  <c r="AG83" i="15"/>
  <c r="AH83" i="15"/>
  <c r="AI83" i="15"/>
  <c r="AJ83" i="15"/>
  <c r="AK83" i="15"/>
  <c r="AL83" i="15"/>
  <c r="AM83" i="15"/>
  <c r="AN83" i="15"/>
  <c r="AO83" i="15"/>
  <c r="AP83" i="15"/>
  <c r="AQ83" i="15"/>
  <c r="AR83" i="15"/>
  <c r="AS83" i="15"/>
  <c r="AT83" i="15"/>
  <c r="AU83" i="15"/>
  <c r="AV83" i="15"/>
  <c r="AW83" i="15"/>
  <c r="AX83" i="15"/>
  <c r="AY83" i="15"/>
  <c r="AZ83" i="15"/>
  <c r="BA83" i="15"/>
  <c r="BB83" i="15"/>
  <c r="BC83" i="15"/>
  <c r="BD83" i="15"/>
  <c r="BE83" i="15"/>
  <c r="C84" i="15"/>
  <c r="D84" i="15"/>
  <c r="E84" i="15"/>
  <c r="F84" i="15"/>
  <c r="G84" i="15"/>
  <c r="H84" i="15"/>
  <c r="I84" i="15"/>
  <c r="J84" i="15"/>
  <c r="K84" i="15"/>
  <c r="L84" i="15"/>
  <c r="M84" i="15"/>
  <c r="N84" i="15"/>
  <c r="T84" i="15"/>
  <c r="U84" i="15"/>
  <c r="V84" i="15"/>
  <c r="W84" i="15"/>
  <c r="X84" i="15"/>
  <c r="Y84" i="15"/>
  <c r="Z84" i="15"/>
  <c r="AA84" i="15"/>
  <c r="AB84" i="15"/>
  <c r="AC84" i="15"/>
  <c r="AD84" i="15"/>
  <c r="AE84" i="15"/>
  <c r="AF84" i="15"/>
  <c r="AG84" i="15"/>
  <c r="AH84" i="15"/>
  <c r="AI84" i="15"/>
  <c r="AJ84" i="15"/>
  <c r="AK84" i="15"/>
  <c r="AL84" i="15"/>
  <c r="AM84" i="15"/>
  <c r="AN84" i="15"/>
  <c r="AO84" i="15"/>
  <c r="AP84" i="15"/>
  <c r="AQ84" i="15"/>
  <c r="AR84" i="15"/>
  <c r="AS84" i="15"/>
  <c r="AT84" i="15"/>
  <c r="AU84" i="15"/>
  <c r="AV84" i="15"/>
  <c r="AW84" i="15"/>
  <c r="AX84" i="15"/>
  <c r="AY84" i="15"/>
  <c r="AZ84" i="15"/>
  <c r="BA84" i="15"/>
  <c r="BB84" i="15"/>
  <c r="BC84" i="15"/>
  <c r="BD84" i="15"/>
  <c r="BE84" i="15"/>
  <c r="C85" i="15"/>
  <c r="D85" i="15"/>
  <c r="E85" i="15"/>
  <c r="F85" i="15"/>
  <c r="G85" i="15"/>
  <c r="H85" i="15"/>
  <c r="I85" i="15"/>
  <c r="J85" i="15"/>
  <c r="K85" i="15"/>
  <c r="L85" i="15"/>
  <c r="M85" i="15"/>
  <c r="N85" i="15"/>
  <c r="T85" i="15"/>
  <c r="U85" i="15"/>
  <c r="V85" i="15"/>
  <c r="W85" i="15"/>
  <c r="X85" i="15"/>
  <c r="Y85" i="15"/>
  <c r="Z85" i="15"/>
  <c r="AA85" i="15"/>
  <c r="AB85" i="15"/>
  <c r="AC85" i="15"/>
  <c r="AD85" i="15"/>
  <c r="AE85" i="15"/>
  <c r="AF85" i="15"/>
  <c r="AJ85" i="15"/>
  <c r="C86" i="15"/>
  <c r="D86" i="15"/>
  <c r="E86" i="15"/>
  <c r="F86" i="15"/>
  <c r="G86" i="15"/>
  <c r="H86" i="15"/>
  <c r="I86" i="15"/>
  <c r="J86" i="15"/>
  <c r="K86" i="15"/>
  <c r="L86" i="15"/>
  <c r="M86" i="15"/>
  <c r="N86" i="15"/>
  <c r="T86" i="15"/>
  <c r="U86" i="15"/>
  <c r="V86" i="15"/>
  <c r="W86" i="15"/>
  <c r="X86" i="15"/>
  <c r="Y86" i="15"/>
  <c r="Z86" i="15"/>
  <c r="AA86" i="15"/>
  <c r="AB86" i="15"/>
  <c r="AC86" i="15"/>
  <c r="AD86" i="15"/>
  <c r="AE86" i="15"/>
  <c r="AF86" i="15"/>
  <c r="AG86" i="15"/>
  <c r="AH86" i="15"/>
  <c r="AI86" i="15"/>
  <c r="AJ86" i="15"/>
  <c r="AK86" i="15"/>
  <c r="AL86" i="15"/>
  <c r="AM86" i="15"/>
  <c r="AN86" i="15"/>
  <c r="AO86" i="15"/>
  <c r="AP86" i="15"/>
  <c r="AQ86" i="15"/>
  <c r="AR86" i="15"/>
  <c r="AS86" i="15"/>
  <c r="AT86" i="15"/>
  <c r="AU86" i="15"/>
  <c r="AV86" i="15"/>
  <c r="AW86" i="15"/>
  <c r="AX86" i="15"/>
  <c r="AY86" i="15"/>
  <c r="AZ86" i="15"/>
  <c r="BA86" i="15"/>
  <c r="BB86" i="15"/>
  <c r="BC86" i="15"/>
  <c r="BD86" i="15"/>
  <c r="BE86" i="15"/>
  <c r="C87" i="15"/>
  <c r="D87" i="15"/>
  <c r="E87" i="15"/>
  <c r="F87" i="15"/>
  <c r="G87" i="15"/>
  <c r="H87" i="15"/>
  <c r="I87" i="15"/>
  <c r="J87" i="15"/>
  <c r="K87" i="15"/>
  <c r="L87" i="15"/>
  <c r="M87" i="15"/>
  <c r="N87" i="15"/>
  <c r="T87" i="15"/>
  <c r="U87" i="15"/>
  <c r="V87" i="15"/>
  <c r="W87" i="15"/>
  <c r="X87" i="15"/>
  <c r="Y87" i="15"/>
  <c r="Z87" i="15"/>
  <c r="AA87" i="15"/>
  <c r="AB87" i="15"/>
  <c r="AC87" i="15"/>
  <c r="AD87" i="15"/>
  <c r="AE87" i="15"/>
  <c r="AF87" i="15"/>
  <c r="AG87" i="15"/>
  <c r="AH87" i="15"/>
  <c r="AI87" i="15"/>
  <c r="AJ87" i="15"/>
  <c r="AK87" i="15"/>
  <c r="AL87" i="15"/>
  <c r="AM87" i="15"/>
  <c r="AN87" i="15"/>
  <c r="AO87" i="15"/>
  <c r="AP87" i="15"/>
  <c r="AQ87" i="15"/>
  <c r="AR87" i="15"/>
  <c r="AS87" i="15"/>
  <c r="AT87" i="15"/>
  <c r="AU87" i="15"/>
  <c r="AV87" i="15"/>
  <c r="AW87" i="15"/>
  <c r="AX87" i="15"/>
  <c r="AY87" i="15"/>
  <c r="AZ87" i="15"/>
  <c r="BA87" i="15"/>
  <c r="BB87" i="15"/>
  <c r="BC87" i="15"/>
  <c r="BD87" i="15"/>
  <c r="BE87" i="15"/>
  <c r="C88" i="15"/>
  <c r="D88" i="15"/>
  <c r="E88" i="15"/>
  <c r="F88" i="15"/>
  <c r="G88" i="15"/>
  <c r="H88" i="15"/>
  <c r="I88" i="15"/>
  <c r="J88" i="15"/>
  <c r="K88" i="15"/>
  <c r="L88" i="15"/>
  <c r="M88" i="15"/>
  <c r="N88" i="15"/>
  <c r="T88" i="15"/>
  <c r="U88" i="15"/>
  <c r="V88" i="15"/>
  <c r="W88" i="15"/>
  <c r="X88" i="15"/>
  <c r="Y88" i="15"/>
  <c r="Z88" i="15"/>
  <c r="AA88" i="15"/>
  <c r="AB88" i="15"/>
  <c r="AC88" i="15"/>
  <c r="AD88" i="15"/>
  <c r="AE88" i="15"/>
  <c r="AF88" i="15"/>
  <c r="AG88" i="15"/>
  <c r="AH88" i="15"/>
  <c r="AI88" i="15"/>
  <c r="AJ88" i="15"/>
  <c r="AK88" i="15"/>
  <c r="AL88" i="15"/>
  <c r="AM88" i="15"/>
  <c r="AN88" i="15"/>
  <c r="AO88" i="15"/>
  <c r="AP88" i="15"/>
  <c r="AQ88" i="15"/>
  <c r="AR88" i="15"/>
  <c r="AS88" i="15"/>
  <c r="AT88" i="15"/>
  <c r="AU88" i="15"/>
  <c r="AV88" i="15"/>
  <c r="AW88" i="15"/>
  <c r="AX88" i="15"/>
  <c r="AY88" i="15"/>
  <c r="AZ88" i="15"/>
  <c r="BA88" i="15"/>
  <c r="BB88" i="15"/>
  <c r="BC88" i="15"/>
  <c r="BD88" i="15"/>
  <c r="BE88" i="15"/>
  <c r="C89" i="15"/>
  <c r="D89" i="15"/>
  <c r="E89" i="15"/>
  <c r="F89" i="15"/>
  <c r="G89" i="15"/>
  <c r="H89" i="15"/>
  <c r="I89" i="15"/>
  <c r="J89" i="15"/>
  <c r="K89" i="15"/>
  <c r="L89" i="15"/>
  <c r="M89" i="15"/>
  <c r="N89" i="15"/>
  <c r="T89" i="15"/>
  <c r="U89" i="15"/>
  <c r="V89" i="15"/>
  <c r="W89" i="15"/>
  <c r="X89" i="15"/>
  <c r="Y89" i="15"/>
  <c r="Z89" i="15"/>
  <c r="AA89" i="15"/>
  <c r="AB89" i="15"/>
  <c r="AC89" i="15"/>
  <c r="AD89" i="15"/>
  <c r="AE89" i="15"/>
  <c r="AF89" i="15"/>
  <c r="AG89" i="15"/>
  <c r="AH89" i="15"/>
  <c r="AI89" i="15"/>
  <c r="AJ89" i="15"/>
  <c r="AK89" i="15"/>
  <c r="AL89" i="15"/>
  <c r="AM89" i="15"/>
  <c r="AN89" i="15"/>
  <c r="AO89" i="15"/>
  <c r="AP89" i="15"/>
  <c r="AQ89" i="15"/>
  <c r="AR89" i="15"/>
  <c r="AS89" i="15"/>
  <c r="AT89" i="15"/>
  <c r="AU89" i="15"/>
  <c r="AV89" i="15"/>
  <c r="AW89" i="15"/>
  <c r="AX89" i="15"/>
  <c r="AY89" i="15"/>
  <c r="AZ89" i="15"/>
  <c r="BA89" i="15"/>
  <c r="BB89" i="15"/>
  <c r="BC89" i="15"/>
  <c r="BD89" i="15"/>
  <c r="BE89" i="15"/>
  <c r="C91" i="15"/>
  <c r="D91" i="15"/>
  <c r="E91" i="15"/>
  <c r="F91" i="15"/>
  <c r="G91" i="15"/>
  <c r="H91" i="15"/>
  <c r="I91" i="15"/>
  <c r="J91" i="15"/>
  <c r="K91" i="15"/>
  <c r="L91" i="15"/>
  <c r="M91" i="15"/>
  <c r="N91" i="15"/>
  <c r="O91" i="15"/>
  <c r="Q91" i="15"/>
  <c r="R91" i="15"/>
  <c r="S91" i="15"/>
  <c r="T91" i="15"/>
  <c r="U91" i="15"/>
  <c r="V91" i="15"/>
  <c r="W91" i="15"/>
  <c r="X91" i="15"/>
  <c r="Y91" i="15"/>
  <c r="Z91" i="15"/>
  <c r="AA91" i="15"/>
  <c r="AB91" i="15"/>
  <c r="AC91" i="15"/>
  <c r="AD91" i="15"/>
  <c r="AE91" i="15"/>
  <c r="AF91" i="15"/>
  <c r="AG91" i="15"/>
  <c r="AH91" i="15"/>
  <c r="AI91" i="15"/>
  <c r="AJ91" i="15"/>
  <c r="AK91" i="15"/>
  <c r="AL91" i="15"/>
  <c r="AM91" i="15"/>
  <c r="AN91" i="15"/>
  <c r="AO91" i="15"/>
  <c r="AP91" i="15"/>
  <c r="AQ91" i="15"/>
  <c r="AR91" i="15"/>
  <c r="AS91" i="15"/>
  <c r="AT91" i="15"/>
  <c r="AU91" i="15"/>
  <c r="AV91" i="15"/>
  <c r="AW91" i="15"/>
  <c r="AX91" i="15"/>
  <c r="AY91" i="15"/>
  <c r="AZ91" i="15"/>
  <c r="BA91" i="15"/>
  <c r="BB91" i="15"/>
  <c r="BC91" i="15"/>
  <c r="BD91" i="15"/>
  <c r="BE91" i="15"/>
  <c r="H93" i="15"/>
  <c r="I93" i="15"/>
  <c r="J93" i="15"/>
  <c r="K93" i="15"/>
  <c r="L93" i="15"/>
  <c r="M93" i="15"/>
  <c r="N93" i="15"/>
  <c r="T93" i="15"/>
  <c r="X93" i="15"/>
  <c r="AB93" i="15"/>
  <c r="AC93" i="15"/>
  <c r="AD93" i="15"/>
  <c r="AE93" i="15"/>
  <c r="AF93" i="15"/>
  <c r="AG93" i="15"/>
  <c r="AH93" i="15"/>
  <c r="AI93" i="15"/>
  <c r="AJ93" i="15"/>
  <c r="AK93" i="15"/>
  <c r="AL93" i="15"/>
  <c r="AM93" i="15"/>
  <c r="AN93" i="15"/>
  <c r="AO93" i="15"/>
  <c r="AP93" i="15"/>
  <c r="AQ93" i="15"/>
  <c r="AR93" i="15"/>
  <c r="AS93" i="15"/>
  <c r="AT93" i="15"/>
  <c r="AU93" i="15"/>
  <c r="AV93" i="15"/>
  <c r="AW93" i="15"/>
  <c r="AX93" i="15"/>
  <c r="AY93" i="15"/>
  <c r="AZ93" i="15"/>
  <c r="BA93" i="15"/>
  <c r="BB93" i="15"/>
  <c r="BC93" i="15"/>
  <c r="BD93" i="15"/>
  <c r="BE93" i="15"/>
  <c r="O93" i="15" s="1"/>
  <c r="O94" i="15"/>
  <c r="T94" i="15"/>
  <c r="X94" i="15"/>
  <c r="AB94" i="15"/>
  <c r="AF94" i="15"/>
  <c r="AJ94" i="15"/>
  <c r="AN94" i="15"/>
  <c r="AP94" i="15"/>
  <c r="AR94" i="15"/>
  <c r="AV94" i="15"/>
  <c r="AZ94" i="15"/>
  <c r="BD94" i="15"/>
  <c r="O95" i="15"/>
  <c r="T95" i="15"/>
  <c r="X95" i="15"/>
  <c r="AB95" i="15"/>
  <c r="AF95" i="15"/>
  <c r="AJ95" i="15"/>
  <c r="AN95" i="15"/>
  <c r="AP95" i="15"/>
  <c r="AR95" i="15"/>
  <c r="AV95" i="15"/>
  <c r="AZ95" i="15"/>
  <c r="BD95" i="15"/>
  <c r="O96" i="15"/>
  <c r="T96" i="15"/>
  <c r="X96" i="15"/>
  <c r="AB96" i="15"/>
  <c r="AF96" i="15"/>
  <c r="AJ96" i="15"/>
  <c r="AN96" i="15"/>
  <c r="AR96" i="15"/>
  <c r="AV96" i="15"/>
  <c r="AZ96" i="15"/>
  <c r="BD96" i="15"/>
  <c r="C97" i="15"/>
  <c r="D97" i="15"/>
  <c r="E97" i="15"/>
  <c r="F97" i="15"/>
  <c r="G97" i="15"/>
  <c r="H97" i="15"/>
  <c r="I97" i="15"/>
  <c r="J97" i="15"/>
  <c r="K97" i="15"/>
  <c r="L97" i="15"/>
  <c r="M97" i="15"/>
  <c r="N97" i="15"/>
  <c r="O97" i="15"/>
  <c r="Q97" i="15"/>
  <c r="R97" i="15"/>
  <c r="S97" i="15"/>
  <c r="T97" i="15"/>
  <c r="U97" i="15"/>
  <c r="V97" i="15"/>
  <c r="W97" i="15"/>
  <c r="X97" i="15"/>
  <c r="Y97" i="15"/>
  <c r="Z97" i="15"/>
  <c r="AA97" i="15"/>
  <c r="AB97" i="15"/>
  <c r="AC97" i="15"/>
  <c r="AD97" i="15"/>
  <c r="AE97" i="15"/>
  <c r="AF97" i="15"/>
  <c r="AG97" i="15"/>
  <c r="AH97" i="15"/>
  <c r="AI97" i="15"/>
  <c r="AJ97" i="15"/>
  <c r="AK97" i="15"/>
  <c r="AL97" i="15"/>
  <c r="AM97" i="15"/>
  <c r="AN97" i="15"/>
  <c r="AO97" i="15"/>
  <c r="AP97" i="15"/>
  <c r="AQ97" i="15"/>
  <c r="AR97" i="15"/>
  <c r="AS97" i="15"/>
  <c r="AT97" i="15"/>
  <c r="AU97" i="15"/>
  <c r="AV97" i="15"/>
  <c r="AW97" i="15"/>
  <c r="AX97" i="15"/>
  <c r="AY97" i="15"/>
  <c r="AZ97" i="15"/>
  <c r="BA97" i="15"/>
  <c r="BB97" i="15"/>
  <c r="BC97" i="15"/>
  <c r="BD97" i="15"/>
  <c r="BE97" i="15"/>
  <c r="C98" i="15"/>
  <c r="D98" i="15"/>
  <c r="E98" i="15"/>
  <c r="F98" i="15"/>
  <c r="G98" i="15"/>
  <c r="H98" i="15"/>
  <c r="I98" i="15"/>
  <c r="J98" i="15"/>
  <c r="K98" i="15"/>
  <c r="L98" i="15"/>
  <c r="M98" i="15"/>
  <c r="N98" i="15"/>
  <c r="T98" i="15"/>
  <c r="U98" i="15"/>
  <c r="V98" i="15"/>
  <c r="W98" i="15"/>
  <c r="X98" i="15"/>
  <c r="Y98" i="15"/>
  <c r="Z98" i="15"/>
  <c r="AA98" i="15"/>
  <c r="AB98" i="15"/>
  <c r="AC98" i="15"/>
  <c r="AD98" i="15"/>
  <c r="AE98" i="15"/>
  <c r="AF98" i="15"/>
  <c r="AG98" i="15"/>
  <c r="AH98" i="15"/>
  <c r="AI98" i="15"/>
  <c r="AJ98" i="15"/>
  <c r="AK98" i="15"/>
  <c r="AL98" i="15"/>
  <c r="AM98" i="15"/>
  <c r="AN98" i="15"/>
  <c r="AO98" i="15"/>
  <c r="AP98" i="15"/>
  <c r="AQ98" i="15"/>
  <c r="AR98" i="15"/>
  <c r="AS98" i="15"/>
  <c r="AT98" i="15"/>
  <c r="AU98" i="15"/>
  <c r="AV98" i="15"/>
  <c r="AW98" i="15"/>
  <c r="AX98" i="15"/>
  <c r="AY98" i="15"/>
  <c r="AZ98" i="15"/>
  <c r="BA98" i="15"/>
  <c r="BB98" i="15"/>
  <c r="BC98" i="15"/>
  <c r="BD98" i="15"/>
  <c r="BE98" i="15"/>
  <c r="H101" i="15"/>
  <c r="I101" i="15"/>
  <c r="J101" i="15"/>
  <c r="K101" i="15"/>
  <c r="L101" i="15"/>
  <c r="M101" i="15"/>
  <c r="N101" i="15"/>
  <c r="Q101" i="15"/>
  <c r="R101" i="15"/>
  <c r="S101" i="15"/>
  <c r="T101" i="15"/>
  <c r="U101" i="15"/>
  <c r="V101" i="15"/>
  <c r="W101" i="15"/>
  <c r="X101" i="15"/>
  <c r="Y101" i="15"/>
  <c r="Z101" i="15"/>
  <c r="AA101" i="15"/>
  <c r="AB101" i="15"/>
  <c r="AC101" i="15"/>
  <c r="AD101" i="15"/>
  <c r="AE101" i="15"/>
  <c r="AF101" i="15"/>
  <c r="AG101" i="15"/>
  <c r="AH101" i="15"/>
  <c r="AI101" i="15"/>
  <c r="AJ101" i="15"/>
  <c r="AK101" i="15"/>
  <c r="AL101" i="15"/>
  <c r="AM101" i="15"/>
  <c r="AN101" i="15"/>
  <c r="AO101" i="15"/>
  <c r="AP101" i="15"/>
  <c r="AQ101" i="15"/>
  <c r="AR101" i="15"/>
  <c r="AS101" i="15"/>
  <c r="AT101" i="15"/>
  <c r="AU101" i="15"/>
  <c r="AV101" i="15"/>
  <c r="AW101" i="15"/>
  <c r="AX101" i="15"/>
  <c r="AY101" i="15"/>
  <c r="AZ101" i="15"/>
  <c r="BA101" i="15"/>
  <c r="BB101" i="15"/>
  <c r="BC101" i="15"/>
  <c r="BD101" i="15"/>
  <c r="BE101" i="15"/>
  <c r="C102" i="15"/>
  <c r="D102" i="15"/>
  <c r="E102" i="15"/>
  <c r="F102" i="15"/>
  <c r="G102" i="15"/>
  <c r="H102" i="15"/>
  <c r="I102" i="15"/>
  <c r="J102" i="15"/>
  <c r="K102" i="15"/>
  <c r="L102" i="15"/>
  <c r="M102" i="15"/>
  <c r="N102" i="15"/>
  <c r="Q102" i="15"/>
  <c r="R102" i="15"/>
  <c r="S102" i="15"/>
  <c r="T102" i="15"/>
  <c r="U102" i="15"/>
  <c r="V102" i="15"/>
  <c r="W102" i="15"/>
  <c r="X102" i="15"/>
  <c r="Y102" i="15"/>
  <c r="Z102" i="15"/>
  <c r="AA102" i="15"/>
  <c r="AB102" i="15"/>
  <c r="AC102" i="15"/>
  <c r="AD102" i="15"/>
  <c r="AE102" i="15"/>
  <c r="AF102" i="15"/>
  <c r="AG102" i="15"/>
  <c r="AH102" i="15"/>
  <c r="AI102" i="15"/>
  <c r="AJ102" i="15"/>
  <c r="AK102" i="15"/>
  <c r="AL102" i="15"/>
  <c r="AM102" i="15"/>
  <c r="AN102" i="15"/>
  <c r="AO102" i="15"/>
  <c r="AP102" i="15"/>
  <c r="AQ102" i="15"/>
  <c r="AR102" i="15"/>
  <c r="AS102" i="15"/>
  <c r="AT102" i="15"/>
  <c r="AU102" i="15"/>
  <c r="AV102" i="15"/>
  <c r="AW102" i="15"/>
  <c r="AX102" i="15"/>
  <c r="AY102" i="15"/>
  <c r="AZ102" i="15"/>
  <c r="BA102" i="15"/>
  <c r="BB102" i="15"/>
  <c r="BC102" i="15"/>
  <c r="BD102" i="15"/>
  <c r="BE102" i="15"/>
  <c r="H103" i="15"/>
  <c r="I103" i="15"/>
  <c r="J103" i="15"/>
  <c r="K103" i="15"/>
  <c r="L103" i="15"/>
  <c r="M103" i="15"/>
  <c r="N103" i="15"/>
  <c r="Q103" i="15"/>
  <c r="R103" i="15"/>
  <c r="S103" i="15"/>
  <c r="T103" i="15"/>
  <c r="U103" i="15"/>
  <c r="V103" i="15"/>
  <c r="W103" i="15"/>
  <c r="X103" i="15"/>
  <c r="Y103" i="15"/>
  <c r="Z103" i="15"/>
  <c r="AA103" i="15"/>
  <c r="AB103" i="15"/>
  <c r="AC103" i="15"/>
  <c r="AD103" i="15"/>
  <c r="AE103" i="15"/>
  <c r="AF103" i="15"/>
  <c r="AG103" i="15"/>
  <c r="AH103" i="15"/>
  <c r="AI103" i="15"/>
  <c r="AJ103" i="15"/>
  <c r="AK103" i="15"/>
  <c r="AL103" i="15"/>
  <c r="AM103" i="15"/>
  <c r="AN103" i="15"/>
  <c r="AO103" i="15"/>
  <c r="AP103" i="15"/>
  <c r="AQ103" i="15"/>
  <c r="AR103" i="15"/>
  <c r="AS103" i="15"/>
  <c r="AT103" i="15"/>
  <c r="AU103" i="15"/>
  <c r="AV103" i="15"/>
  <c r="AW103" i="15"/>
  <c r="AX103" i="15"/>
  <c r="AY103" i="15"/>
  <c r="AZ103" i="15"/>
  <c r="BA103" i="15"/>
  <c r="BB103" i="15"/>
  <c r="BC103" i="15"/>
  <c r="BD103" i="15"/>
  <c r="BE103" i="15"/>
  <c r="C106" i="15"/>
  <c r="D106" i="15"/>
  <c r="E106" i="15"/>
  <c r="F106" i="15"/>
  <c r="G106" i="15"/>
  <c r="H106" i="15"/>
  <c r="I106" i="15"/>
  <c r="J106" i="15"/>
  <c r="K106" i="15"/>
  <c r="L106" i="15"/>
  <c r="M106" i="15"/>
  <c r="N106" i="15"/>
  <c r="Q106" i="15"/>
  <c r="R106" i="15"/>
  <c r="S106" i="15"/>
  <c r="U106" i="15"/>
  <c r="V106" i="15"/>
  <c r="W106" i="15"/>
  <c r="Y106" i="15"/>
  <c r="Z106" i="15"/>
  <c r="AA106" i="15"/>
  <c r="AC106" i="15"/>
  <c r="AD106" i="15"/>
  <c r="AE106" i="15"/>
  <c r="AG106" i="15"/>
  <c r="AH106" i="15"/>
  <c r="AI106" i="15"/>
  <c r="AK106" i="15"/>
  <c r="AL106" i="15"/>
  <c r="AM106" i="15"/>
  <c r="AO106" i="15"/>
  <c r="AQ106" i="15"/>
  <c r="AS106" i="15"/>
  <c r="AT106" i="15"/>
  <c r="AU106" i="15"/>
  <c r="AW106" i="15"/>
  <c r="AX106" i="15"/>
  <c r="AY106" i="15"/>
  <c r="BA106" i="15"/>
  <c r="BB106" i="15"/>
  <c r="BC106" i="15"/>
  <c r="BE106" i="15"/>
  <c r="O107" i="15"/>
  <c r="T107" i="15"/>
  <c r="X107" i="15"/>
  <c r="AB107" i="15"/>
  <c r="AF107" i="15"/>
  <c r="AJ107" i="15"/>
  <c r="AN107" i="15"/>
  <c r="AP107" i="15"/>
  <c r="AP106" i="15" s="1"/>
  <c r="AR107" i="15"/>
  <c r="AV107" i="15"/>
  <c r="AZ107" i="15"/>
  <c r="BD107" i="15"/>
  <c r="O108" i="15"/>
  <c r="T108" i="15"/>
  <c r="X108" i="15"/>
  <c r="AB108" i="15"/>
  <c r="AF108" i="15"/>
  <c r="AJ108" i="15"/>
  <c r="AN108" i="15"/>
  <c r="AR108" i="15"/>
  <c r="AV108" i="15"/>
  <c r="AZ108" i="15"/>
  <c r="BD108" i="15"/>
  <c r="O109" i="15"/>
  <c r="T109" i="15"/>
  <c r="X109" i="15"/>
  <c r="AB109" i="15"/>
  <c r="AF109" i="15"/>
  <c r="AJ109" i="15"/>
  <c r="AN109" i="15"/>
  <c r="AR109" i="15"/>
  <c r="AV109" i="15"/>
  <c r="AZ109" i="15"/>
  <c r="BD109" i="15"/>
  <c r="O110" i="15"/>
  <c r="AF110" i="15"/>
  <c r="AJ110" i="15"/>
  <c r="AN110" i="15"/>
  <c r="AR110" i="15"/>
  <c r="AV110" i="15"/>
  <c r="AZ110" i="15"/>
  <c r="BD110" i="15"/>
  <c r="C111" i="15"/>
  <c r="D111" i="15"/>
  <c r="E111" i="15"/>
  <c r="F111" i="15"/>
  <c r="G111" i="15"/>
  <c r="H111" i="15"/>
  <c r="I111" i="15"/>
  <c r="J111" i="15"/>
  <c r="K111" i="15"/>
  <c r="L111" i="15"/>
  <c r="M111" i="15"/>
  <c r="N111" i="15"/>
  <c r="Q111" i="15"/>
  <c r="R111" i="15"/>
  <c r="S111" i="15"/>
  <c r="U111" i="15"/>
  <c r="V111" i="15"/>
  <c r="W111" i="15"/>
  <c r="Y111" i="15"/>
  <c r="Z111" i="15"/>
  <c r="AA111" i="15"/>
  <c r="AC111" i="15"/>
  <c r="AD111" i="15"/>
  <c r="AE111" i="15"/>
  <c r="AG111" i="15"/>
  <c r="AH111" i="15"/>
  <c r="AI111" i="15"/>
  <c r="AK111" i="15"/>
  <c r="AL111" i="15"/>
  <c r="AM111" i="15"/>
  <c r="AO111" i="15"/>
  <c r="AP111" i="15"/>
  <c r="AQ111" i="15"/>
  <c r="AS111" i="15"/>
  <c r="AT111" i="15"/>
  <c r="AU111" i="15"/>
  <c r="AW111" i="15"/>
  <c r="AX111" i="15"/>
  <c r="AY111" i="15"/>
  <c r="BA111" i="15"/>
  <c r="BB111" i="15"/>
  <c r="BC111" i="15"/>
  <c r="BE111" i="15"/>
  <c r="O112" i="15"/>
  <c r="T112" i="15"/>
  <c r="X112" i="15"/>
  <c r="AB112" i="15"/>
  <c r="AF112" i="15"/>
  <c r="AJ112" i="15"/>
  <c r="AN112" i="15"/>
  <c r="AR112" i="15"/>
  <c r="AV112" i="15"/>
  <c r="AZ112" i="15"/>
  <c r="BD112" i="15"/>
  <c r="O113" i="15"/>
  <c r="T113" i="15"/>
  <c r="X113" i="15"/>
  <c r="AB113" i="15"/>
  <c r="AF113" i="15"/>
  <c r="AJ113" i="15"/>
  <c r="AN113" i="15"/>
  <c r="AR113" i="15"/>
  <c r="AV113" i="15"/>
  <c r="AZ113" i="15"/>
  <c r="BD113" i="15"/>
  <c r="O114" i="15"/>
  <c r="T114" i="15"/>
  <c r="X114" i="15"/>
  <c r="AB114" i="15"/>
  <c r="AF114" i="15"/>
  <c r="AJ114" i="15"/>
  <c r="AN114" i="15"/>
  <c r="AR114" i="15"/>
  <c r="AV114" i="15"/>
  <c r="AZ114" i="15"/>
  <c r="BD114" i="15"/>
  <c r="O115" i="15"/>
  <c r="AF115" i="15"/>
  <c r="AJ115" i="15"/>
  <c r="AN115" i="15"/>
  <c r="AR115" i="15"/>
  <c r="AV115" i="15"/>
  <c r="AZ115" i="15"/>
  <c r="BD115" i="15"/>
  <c r="C116" i="15"/>
  <c r="C33" i="15" s="1"/>
  <c r="D116" i="15"/>
  <c r="D33" i="15" s="1"/>
  <c r="E116" i="15"/>
  <c r="E33" i="15" s="1"/>
  <c r="F116" i="15"/>
  <c r="F33" i="15" s="1"/>
  <c r="G116" i="15"/>
  <c r="G33" i="15" s="1"/>
  <c r="H116" i="15"/>
  <c r="H33" i="15" s="1"/>
  <c r="I116" i="15"/>
  <c r="I33" i="15" s="1"/>
  <c r="J116" i="15"/>
  <c r="J33" i="15" s="1"/>
  <c r="K116" i="15"/>
  <c r="K33" i="15" s="1"/>
  <c r="L116" i="15"/>
  <c r="L33" i="15" s="1"/>
  <c r="M116" i="15"/>
  <c r="M33" i="15" s="1"/>
  <c r="N116" i="15"/>
  <c r="N33" i="15" s="1"/>
  <c r="Q116" i="15"/>
  <c r="R116" i="15"/>
  <c r="S116" i="15"/>
  <c r="U116" i="15"/>
  <c r="U33" i="15" s="1"/>
  <c r="V116" i="15"/>
  <c r="V33" i="15" s="1"/>
  <c r="W116" i="15"/>
  <c r="W33" i="15" s="1"/>
  <c r="Y116" i="15"/>
  <c r="Y33" i="15" s="1"/>
  <c r="Z116" i="15"/>
  <c r="Z33" i="15" s="1"/>
  <c r="AA116" i="15"/>
  <c r="AA33" i="15" s="1"/>
  <c r="AC116" i="15"/>
  <c r="AC33" i="15" s="1"/>
  <c r="AD116" i="15"/>
  <c r="AD33" i="15" s="1"/>
  <c r="AE116" i="15"/>
  <c r="AE33" i="15" s="1"/>
  <c r="AG116" i="15"/>
  <c r="AG33" i="15" s="1"/>
  <c r="AH116" i="15"/>
  <c r="AH33" i="15" s="1"/>
  <c r="AI116" i="15"/>
  <c r="AI33" i="15" s="1"/>
  <c r="AK116" i="15"/>
  <c r="AK33" i="15" s="1"/>
  <c r="AL116" i="15"/>
  <c r="AL33" i="15" s="1"/>
  <c r="AM116" i="15"/>
  <c r="AM33" i="15" s="1"/>
  <c r="AO116" i="15"/>
  <c r="AO33" i="15" s="1"/>
  <c r="AP116" i="15"/>
  <c r="AP33" i="15" s="1"/>
  <c r="AQ116" i="15"/>
  <c r="AQ33" i="15" s="1"/>
  <c r="AS116" i="15"/>
  <c r="AS33" i="15" s="1"/>
  <c r="AT116" i="15"/>
  <c r="AT33" i="15" s="1"/>
  <c r="AU116" i="15"/>
  <c r="AU33" i="15" s="1"/>
  <c r="AW116" i="15"/>
  <c r="AW33" i="15" s="1"/>
  <c r="AX116" i="15"/>
  <c r="AX33" i="15" s="1"/>
  <c r="AY116" i="15"/>
  <c r="AY33" i="15" s="1"/>
  <c r="BA116" i="15"/>
  <c r="BA33" i="15" s="1"/>
  <c r="BB116" i="15"/>
  <c r="BB33" i="15" s="1"/>
  <c r="BC116" i="15"/>
  <c r="BC33" i="15" s="1"/>
  <c r="BE116" i="15"/>
  <c r="BE33" i="15" s="1"/>
  <c r="O118" i="15"/>
  <c r="T118" i="15"/>
  <c r="X118" i="15"/>
  <c r="AB118" i="15"/>
  <c r="AF118" i="15"/>
  <c r="AJ118" i="15"/>
  <c r="AN118" i="15"/>
  <c r="AR118" i="15"/>
  <c r="AV118" i="15"/>
  <c r="AZ118" i="15"/>
  <c r="BD118" i="15"/>
  <c r="C120" i="15"/>
  <c r="D120" i="15"/>
  <c r="E120" i="15"/>
  <c r="F120" i="15"/>
  <c r="G120" i="15"/>
  <c r="H120" i="15"/>
  <c r="I120" i="15"/>
  <c r="J120" i="15"/>
  <c r="K120" i="15"/>
  <c r="L120" i="15"/>
  <c r="M120" i="15"/>
  <c r="N120" i="15"/>
  <c r="Q120" i="15"/>
  <c r="R120" i="15"/>
  <c r="S120" i="15"/>
  <c r="U120" i="15"/>
  <c r="V120" i="15"/>
  <c r="W120" i="15"/>
  <c r="Y120" i="15"/>
  <c r="Z120" i="15"/>
  <c r="AA120" i="15"/>
  <c r="AC120" i="15"/>
  <c r="AD120" i="15"/>
  <c r="AE120" i="15"/>
  <c r="AG120" i="15"/>
  <c r="AH120" i="15"/>
  <c r="AI120" i="15"/>
  <c r="AK120" i="15"/>
  <c r="AL120" i="15"/>
  <c r="AM120" i="15"/>
  <c r="AO120" i="15"/>
  <c r="AP120" i="15"/>
  <c r="AQ120" i="15"/>
  <c r="AS120" i="15"/>
  <c r="AT120" i="15"/>
  <c r="AU120" i="15"/>
  <c r="AW120" i="15"/>
  <c r="AX120" i="15"/>
  <c r="AY120" i="15"/>
  <c r="BA120" i="15"/>
  <c r="BB120" i="15"/>
  <c r="BC120" i="15"/>
  <c r="BE120" i="15"/>
  <c r="C121" i="15"/>
  <c r="D121" i="15"/>
  <c r="E121" i="15"/>
  <c r="F121" i="15"/>
  <c r="G121" i="15"/>
  <c r="H121" i="15"/>
  <c r="I121" i="15"/>
  <c r="J121" i="15"/>
  <c r="K121" i="15"/>
  <c r="L121" i="15"/>
  <c r="M121" i="15"/>
  <c r="N121" i="15"/>
  <c r="Q121" i="15"/>
  <c r="R121" i="15"/>
  <c r="S121" i="15"/>
  <c r="U121" i="15"/>
  <c r="V121" i="15"/>
  <c r="W121" i="15"/>
  <c r="Y121" i="15"/>
  <c r="Z121" i="15"/>
  <c r="AA121" i="15"/>
  <c r="AC121" i="15"/>
  <c r="AD121" i="15"/>
  <c r="AE121" i="15"/>
  <c r="AG121" i="15"/>
  <c r="AH121" i="15"/>
  <c r="AI121" i="15"/>
  <c r="AK121" i="15"/>
  <c r="AL121" i="15"/>
  <c r="AM121" i="15"/>
  <c r="AO121" i="15"/>
  <c r="AP121" i="15"/>
  <c r="AQ121" i="15"/>
  <c r="AS121" i="15"/>
  <c r="AT121" i="15"/>
  <c r="AU121" i="15"/>
  <c r="AW121" i="15"/>
  <c r="AX121" i="15"/>
  <c r="AY121" i="15"/>
  <c r="BA121" i="15"/>
  <c r="BB121" i="15"/>
  <c r="BC121" i="15"/>
  <c r="BE121" i="15"/>
  <c r="T123" i="15"/>
  <c r="X123" i="15"/>
  <c r="AB123" i="15"/>
  <c r="AF123" i="15"/>
  <c r="AJ123" i="15"/>
  <c r="AN123" i="15"/>
  <c r="AR123" i="15"/>
  <c r="AV123" i="15"/>
  <c r="AZ123" i="15"/>
  <c r="BD123" i="15"/>
  <c r="BE123" i="15"/>
  <c r="O123" i="15" s="1"/>
  <c r="O125" i="15"/>
  <c r="T125" i="15"/>
  <c r="X125" i="15"/>
  <c r="AB125" i="15"/>
  <c r="AF125" i="15"/>
  <c r="AJ125" i="15"/>
  <c r="AN125" i="15"/>
  <c r="AR125" i="15"/>
  <c r="AV125" i="15"/>
  <c r="AZ125" i="15"/>
  <c r="BD125" i="15"/>
  <c r="C126" i="15"/>
  <c r="D126" i="15"/>
  <c r="E126" i="15"/>
  <c r="F126" i="15"/>
  <c r="G126" i="15"/>
  <c r="H126" i="15"/>
  <c r="I126" i="15"/>
  <c r="J126" i="15"/>
  <c r="K126" i="15"/>
  <c r="L126" i="15"/>
  <c r="M126" i="15"/>
  <c r="N126" i="15"/>
  <c r="Q126" i="15"/>
  <c r="R126" i="15"/>
  <c r="S126" i="15"/>
  <c r="U126" i="15"/>
  <c r="V126" i="15"/>
  <c r="W126" i="15"/>
  <c r="Y126" i="15"/>
  <c r="Z126" i="15"/>
  <c r="AA126" i="15"/>
  <c r="AC126" i="15"/>
  <c r="AD126" i="15"/>
  <c r="AE126" i="15"/>
  <c r="AG126" i="15"/>
  <c r="AH126" i="15"/>
  <c r="AI126" i="15"/>
  <c r="AK126" i="15"/>
  <c r="AL126" i="15"/>
  <c r="AM126" i="15"/>
  <c r="AO126" i="15"/>
  <c r="AP126" i="15"/>
  <c r="AQ126" i="15"/>
  <c r="AS126" i="15"/>
  <c r="AT126" i="15"/>
  <c r="AU126" i="15"/>
  <c r="AW126" i="15"/>
  <c r="AX126" i="15"/>
  <c r="AY126" i="15"/>
  <c r="BA126" i="15"/>
  <c r="BB126" i="15"/>
  <c r="BC126" i="15"/>
  <c r="BE126" i="15"/>
  <c r="C128" i="15"/>
  <c r="D128" i="15"/>
  <c r="E128" i="15"/>
  <c r="F128" i="15"/>
  <c r="G128" i="15"/>
  <c r="H128" i="15"/>
  <c r="I128" i="15"/>
  <c r="J128" i="15"/>
  <c r="K128" i="15"/>
  <c r="L128" i="15"/>
  <c r="M128" i="15"/>
  <c r="N128" i="15"/>
  <c r="O128" i="15"/>
  <c r="Q128" i="15"/>
  <c r="R128" i="15"/>
  <c r="S128" i="15"/>
  <c r="T128" i="15"/>
  <c r="U128" i="15"/>
  <c r="V128" i="15"/>
  <c r="W128" i="15"/>
  <c r="X128" i="15"/>
  <c r="Y128" i="15"/>
  <c r="Z128" i="15"/>
  <c r="AA128" i="15"/>
  <c r="AB128" i="15"/>
  <c r="AC128" i="15"/>
  <c r="AD128" i="15"/>
  <c r="AE128" i="15"/>
  <c r="AF128" i="15"/>
  <c r="AG128" i="15"/>
  <c r="AH128" i="15"/>
  <c r="AI128" i="15"/>
  <c r="AJ128" i="15"/>
  <c r="AK128" i="15"/>
  <c r="AL128" i="15"/>
  <c r="AM128" i="15"/>
  <c r="AN128" i="15"/>
  <c r="AO128" i="15"/>
  <c r="AP128" i="15"/>
  <c r="AQ128" i="15"/>
  <c r="AR128" i="15"/>
  <c r="AS128" i="15"/>
  <c r="AT128" i="15"/>
  <c r="AU128" i="15"/>
  <c r="AV128" i="15"/>
  <c r="AW128" i="15"/>
  <c r="AX128" i="15"/>
  <c r="AY128" i="15"/>
  <c r="AZ128" i="15"/>
  <c r="BA128" i="15"/>
  <c r="BB128" i="15"/>
  <c r="BC128" i="15"/>
  <c r="BD128" i="15"/>
  <c r="BE128" i="15"/>
  <c r="C130" i="15"/>
  <c r="D130" i="15"/>
  <c r="E130" i="15"/>
  <c r="F130" i="15"/>
  <c r="G130" i="15"/>
  <c r="H130" i="15"/>
  <c r="I130" i="15"/>
  <c r="J130" i="15"/>
  <c r="K130" i="15"/>
  <c r="L130" i="15"/>
  <c r="M130" i="15"/>
  <c r="N130" i="15"/>
  <c r="U130" i="15"/>
  <c r="V130" i="15"/>
  <c r="W130" i="15"/>
  <c r="Y130" i="15"/>
  <c r="Z130" i="15"/>
  <c r="AA130" i="15"/>
  <c r="AC130" i="15"/>
  <c r="AD130" i="15"/>
  <c r="AE130" i="15"/>
  <c r="AG130" i="15"/>
  <c r="AH130" i="15"/>
  <c r="AI130" i="15"/>
  <c r="AK130" i="15"/>
  <c r="AL130" i="15"/>
  <c r="AM130" i="15"/>
  <c r="AO130" i="15"/>
  <c r="AP130" i="15"/>
  <c r="AQ130" i="15"/>
  <c r="AS130" i="15"/>
  <c r="AT130" i="15"/>
  <c r="AU130" i="15"/>
  <c r="AW130" i="15"/>
  <c r="AX130" i="15"/>
  <c r="AY130" i="15"/>
  <c r="BA130" i="15"/>
  <c r="BB130" i="15"/>
  <c r="BC130" i="15"/>
  <c r="BE130" i="15"/>
  <c r="C131" i="15"/>
  <c r="D131" i="15"/>
  <c r="E131" i="15"/>
  <c r="F131" i="15"/>
  <c r="G131" i="15"/>
  <c r="H131" i="15"/>
  <c r="I131" i="15"/>
  <c r="J131" i="15"/>
  <c r="K131" i="15"/>
  <c r="L131" i="15"/>
  <c r="M131" i="15"/>
  <c r="N131" i="15"/>
  <c r="U131" i="15"/>
  <c r="V131" i="15"/>
  <c r="W131" i="15"/>
  <c r="Y131" i="15"/>
  <c r="Z131" i="15"/>
  <c r="AA131" i="15"/>
  <c r="AC131" i="15"/>
  <c r="AD131" i="15"/>
  <c r="AE131" i="15"/>
  <c r="AG131" i="15"/>
  <c r="AH131" i="15"/>
  <c r="AI131" i="15"/>
  <c r="AK131" i="15"/>
  <c r="AL131" i="15"/>
  <c r="AM131" i="15"/>
  <c r="AO131" i="15"/>
  <c r="AP131" i="15"/>
  <c r="AQ131" i="15"/>
  <c r="AS131" i="15"/>
  <c r="AT131" i="15"/>
  <c r="AU131" i="15"/>
  <c r="AW131" i="15"/>
  <c r="AX131" i="15"/>
  <c r="AY131" i="15"/>
  <c r="BA131" i="15"/>
  <c r="BB131" i="15"/>
  <c r="BC131" i="15"/>
  <c r="BE131" i="15"/>
  <c r="C133" i="15"/>
  <c r="D133" i="15"/>
  <c r="E133" i="15"/>
  <c r="F133" i="15"/>
  <c r="G133" i="15"/>
  <c r="H133" i="15"/>
  <c r="I133" i="15"/>
  <c r="J133" i="15"/>
  <c r="K133" i="15"/>
  <c r="L133" i="15"/>
  <c r="M133" i="15"/>
  <c r="N133" i="15"/>
  <c r="T133" i="15"/>
  <c r="U133" i="15"/>
  <c r="V133" i="15"/>
  <c r="W133" i="15"/>
  <c r="X133" i="15"/>
  <c r="Y133" i="15"/>
  <c r="Z133" i="15"/>
  <c r="AA133" i="15"/>
  <c r="AB133" i="15"/>
  <c r="AC133" i="15"/>
  <c r="AD133" i="15"/>
  <c r="AE133" i="15"/>
  <c r="AF133" i="15"/>
  <c r="AG133" i="15"/>
  <c r="AH133" i="15"/>
  <c r="AI133" i="15"/>
  <c r="AJ133" i="15"/>
  <c r="AK133" i="15"/>
  <c r="AL133" i="15"/>
  <c r="AM133" i="15"/>
  <c r="AN133" i="15"/>
  <c r="AO133" i="15"/>
  <c r="AP133" i="15"/>
  <c r="AQ133" i="15"/>
  <c r="AR133" i="15"/>
  <c r="AS133" i="15"/>
  <c r="AT133" i="15"/>
  <c r="AU133" i="15"/>
  <c r="AV133" i="15"/>
  <c r="AW133" i="15"/>
  <c r="AX133" i="15"/>
  <c r="AY133" i="15"/>
  <c r="AZ133" i="15"/>
  <c r="BA133" i="15"/>
  <c r="BB133" i="15"/>
  <c r="BC133" i="15"/>
  <c r="BD133" i="15"/>
  <c r="BE133" i="15"/>
  <c r="C134" i="15"/>
  <c r="D134" i="15"/>
  <c r="E134" i="15"/>
  <c r="F134" i="15"/>
  <c r="G134" i="15"/>
  <c r="H134" i="15"/>
  <c r="I134" i="15"/>
  <c r="J134" i="15"/>
  <c r="K134" i="15"/>
  <c r="L134" i="15"/>
  <c r="M134" i="15"/>
  <c r="N134" i="15"/>
  <c r="T134" i="15"/>
  <c r="U134" i="15"/>
  <c r="V134" i="15"/>
  <c r="W134" i="15"/>
  <c r="X134" i="15"/>
  <c r="Y134" i="15"/>
  <c r="Z134" i="15"/>
  <c r="AA134" i="15"/>
  <c r="AB134" i="15"/>
  <c r="AC134" i="15"/>
  <c r="AD134" i="15"/>
  <c r="AE134" i="15"/>
  <c r="AF134" i="15"/>
  <c r="C136" i="15"/>
  <c r="D136" i="15"/>
  <c r="E136" i="15"/>
  <c r="F136" i="15"/>
  <c r="G136" i="15"/>
  <c r="H136" i="15"/>
  <c r="I136" i="15"/>
  <c r="J136" i="15"/>
  <c r="K136" i="15"/>
  <c r="L136" i="15"/>
  <c r="M136" i="15"/>
  <c r="N136" i="15"/>
  <c r="T136" i="15"/>
  <c r="U136" i="15"/>
  <c r="V136" i="15"/>
  <c r="W136" i="15"/>
  <c r="X136" i="15"/>
  <c r="Y136" i="15"/>
  <c r="Z136" i="15"/>
  <c r="AA136" i="15"/>
  <c r="AB136" i="15"/>
  <c r="AC136" i="15"/>
  <c r="AD136" i="15"/>
  <c r="AE136" i="15"/>
  <c r="AF136" i="15"/>
  <c r="AG136" i="15"/>
  <c r="AH136" i="15"/>
  <c r="AI136" i="15"/>
  <c r="AJ136" i="15"/>
  <c r="AK136" i="15"/>
  <c r="AL136" i="15"/>
  <c r="AM136" i="15"/>
  <c r="AN136" i="15"/>
  <c r="AO136" i="15"/>
  <c r="AP136" i="15"/>
  <c r="AQ136" i="15"/>
  <c r="AR136" i="15"/>
  <c r="AS136" i="15"/>
  <c r="AT136" i="15"/>
  <c r="AU136" i="15"/>
  <c r="AV136" i="15"/>
  <c r="AW136" i="15"/>
  <c r="AX136" i="15"/>
  <c r="AY136" i="15"/>
  <c r="AZ136" i="15"/>
  <c r="BA136" i="15"/>
  <c r="BB136" i="15"/>
  <c r="BC136" i="15"/>
  <c r="BD136" i="15"/>
  <c r="BE136" i="15"/>
  <c r="C137" i="15"/>
  <c r="D137" i="15"/>
  <c r="E137" i="15"/>
  <c r="F137" i="15"/>
  <c r="G137" i="15"/>
  <c r="H137" i="15"/>
  <c r="I137" i="15"/>
  <c r="J137" i="15"/>
  <c r="K137" i="15"/>
  <c r="L137" i="15"/>
  <c r="M137" i="15"/>
  <c r="N137" i="15"/>
  <c r="T137" i="15"/>
  <c r="U137" i="15"/>
  <c r="V137" i="15"/>
  <c r="W137" i="15"/>
  <c r="X137" i="15"/>
  <c r="Y137" i="15"/>
  <c r="Z137" i="15"/>
  <c r="AA137" i="15"/>
  <c r="AB137" i="15"/>
  <c r="AC137" i="15"/>
  <c r="AD137" i="15"/>
  <c r="AE137" i="15"/>
  <c r="AF137" i="15"/>
  <c r="AG137" i="15"/>
  <c r="AH137" i="15"/>
  <c r="AI137" i="15"/>
  <c r="AJ137" i="15"/>
  <c r="AK137" i="15"/>
  <c r="AL137" i="15"/>
  <c r="AM137" i="15"/>
  <c r="AN137" i="15"/>
  <c r="AO137" i="15"/>
  <c r="AP137" i="15"/>
  <c r="AQ137" i="15"/>
  <c r="AR137" i="15"/>
  <c r="AS137" i="15"/>
  <c r="AT137" i="15"/>
  <c r="AU137" i="15"/>
  <c r="AV137" i="15"/>
  <c r="AW137" i="15"/>
  <c r="AX137" i="15"/>
  <c r="AY137" i="15"/>
  <c r="AZ137" i="15"/>
  <c r="BA137" i="15"/>
  <c r="BB137" i="15"/>
  <c r="BC137" i="15"/>
  <c r="BD137" i="15"/>
  <c r="BE137" i="15"/>
  <c r="C139" i="15"/>
  <c r="D139" i="15"/>
  <c r="E139" i="15"/>
  <c r="F139" i="15"/>
  <c r="G139" i="15"/>
  <c r="H139" i="15"/>
  <c r="I139" i="15"/>
  <c r="J139" i="15"/>
  <c r="K139" i="15"/>
  <c r="L139" i="15"/>
  <c r="M139" i="15"/>
  <c r="N139" i="15"/>
  <c r="Q139" i="15"/>
  <c r="R139" i="15"/>
  <c r="S139" i="15"/>
  <c r="U139" i="15"/>
  <c r="V139" i="15"/>
  <c r="W139" i="15"/>
  <c r="Y139" i="15"/>
  <c r="Z139" i="15"/>
  <c r="AA139" i="15"/>
  <c r="AC139" i="15"/>
  <c r="AD139" i="15"/>
  <c r="AE139" i="15"/>
  <c r="AG139" i="15"/>
  <c r="AH139" i="15"/>
  <c r="AI139" i="15"/>
  <c r="AK139" i="15"/>
  <c r="AL139" i="15"/>
  <c r="AM139" i="15"/>
  <c r="AO139" i="15"/>
  <c r="AP139" i="15"/>
  <c r="AQ139" i="15"/>
  <c r="AS139" i="15"/>
  <c r="AT139" i="15"/>
  <c r="AU139" i="15"/>
  <c r="AW139" i="15"/>
  <c r="AX139" i="15"/>
  <c r="AY139" i="15"/>
  <c r="BA139" i="15"/>
  <c r="BB139" i="15"/>
  <c r="BC139" i="15"/>
  <c r="BE139" i="15"/>
  <c r="D141" i="15"/>
  <c r="E141" i="15"/>
  <c r="F141" i="15"/>
  <c r="G141" i="15"/>
  <c r="H141" i="15"/>
  <c r="I141" i="15"/>
  <c r="J141" i="15"/>
  <c r="K141" i="15"/>
  <c r="L141" i="15"/>
  <c r="M141" i="15"/>
  <c r="N141" i="15"/>
  <c r="O141" i="15"/>
  <c r="Q141" i="15"/>
  <c r="R141" i="15"/>
  <c r="S141" i="15"/>
  <c r="T141" i="15"/>
  <c r="U141" i="15"/>
  <c r="V141" i="15"/>
  <c r="W141" i="15"/>
  <c r="X141" i="15"/>
  <c r="Y141" i="15"/>
  <c r="Z141" i="15"/>
  <c r="AA141" i="15"/>
  <c r="AB141" i="15"/>
  <c r="AC141" i="15"/>
  <c r="AD141" i="15"/>
  <c r="AE141" i="15"/>
  <c r="AF141" i="15"/>
  <c r="AG141" i="15"/>
  <c r="AH141" i="15"/>
  <c r="AI141" i="15"/>
  <c r="AJ141" i="15"/>
  <c r="AK141" i="15"/>
  <c r="AL141" i="15"/>
  <c r="AM141" i="15"/>
  <c r="AN141" i="15"/>
  <c r="AO141" i="15"/>
  <c r="AP141" i="15"/>
  <c r="AQ141" i="15"/>
  <c r="AR141" i="15"/>
  <c r="AS141" i="15"/>
  <c r="AT141" i="15"/>
  <c r="AU141" i="15"/>
  <c r="AV141" i="15"/>
  <c r="AW141" i="15"/>
  <c r="AX141" i="15"/>
  <c r="AY141" i="15"/>
  <c r="AZ141" i="15"/>
  <c r="BA141" i="15"/>
  <c r="BB141" i="15"/>
  <c r="BC141" i="15"/>
  <c r="BD141" i="15"/>
  <c r="BE141" i="15"/>
  <c r="B142" i="15"/>
  <c r="C142" i="15"/>
  <c r="D142" i="15"/>
  <c r="E142" i="15"/>
  <c r="F142" i="15"/>
  <c r="G142" i="15"/>
  <c r="H142" i="15"/>
  <c r="I142" i="15"/>
  <c r="J142" i="15"/>
  <c r="K142" i="15"/>
  <c r="L142" i="15"/>
  <c r="M142" i="15"/>
  <c r="N142" i="15"/>
  <c r="T142" i="15"/>
  <c r="U142" i="15"/>
  <c r="V142" i="15"/>
  <c r="W142" i="15"/>
  <c r="X142" i="15"/>
  <c r="Y142" i="15"/>
  <c r="Z142" i="15"/>
  <c r="AA142" i="15"/>
  <c r="AB142" i="15"/>
  <c r="AC142" i="15"/>
  <c r="AD142" i="15"/>
  <c r="AE142" i="15"/>
  <c r="AF142" i="15"/>
  <c r="AG142" i="15"/>
  <c r="AH142" i="15"/>
  <c r="AI142" i="15"/>
  <c r="AJ142" i="15"/>
  <c r="AK142" i="15"/>
  <c r="AL142" i="15"/>
  <c r="AM142" i="15"/>
  <c r="AN142" i="15"/>
  <c r="AO142" i="15"/>
  <c r="AP142" i="15"/>
  <c r="AQ142" i="15"/>
  <c r="AR142" i="15"/>
  <c r="AS142" i="15"/>
  <c r="AT142" i="15"/>
  <c r="AU142" i="15"/>
  <c r="AV142" i="15"/>
  <c r="AW142" i="15"/>
  <c r="AX142" i="15"/>
  <c r="AY142" i="15"/>
  <c r="AZ142" i="15"/>
  <c r="BA142" i="15"/>
  <c r="BB142" i="15"/>
  <c r="BC142" i="15"/>
  <c r="BD142" i="15"/>
  <c r="BE142" i="15"/>
  <c r="B143" i="15"/>
  <c r="C143" i="15"/>
  <c r="D143" i="15"/>
  <c r="E143" i="15"/>
  <c r="F143" i="15"/>
  <c r="G143" i="15"/>
  <c r="H143" i="15"/>
  <c r="I143" i="15"/>
  <c r="J143" i="15"/>
  <c r="K143" i="15"/>
  <c r="L143" i="15"/>
  <c r="M143" i="15"/>
  <c r="N143" i="15"/>
  <c r="T143" i="15"/>
  <c r="U143" i="15"/>
  <c r="V143" i="15"/>
  <c r="W143" i="15"/>
  <c r="X143" i="15"/>
  <c r="Y143" i="15"/>
  <c r="Z143" i="15"/>
  <c r="AA143" i="15"/>
  <c r="AB143" i="15"/>
  <c r="AC143" i="15"/>
  <c r="AD143" i="15"/>
  <c r="AE143" i="15"/>
  <c r="AF143" i="15"/>
  <c r="AG143" i="15"/>
  <c r="AH143" i="15"/>
  <c r="AI143" i="15"/>
  <c r="AJ143" i="15"/>
  <c r="AK143" i="15"/>
  <c r="AL143" i="15"/>
  <c r="AM143" i="15"/>
  <c r="AN143" i="15"/>
  <c r="AO143" i="15"/>
  <c r="AP143" i="15"/>
  <c r="AQ143" i="15"/>
  <c r="AR143" i="15"/>
  <c r="AS143" i="15"/>
  <c r="AT143" i="15"/>
  <c r="AU143" i="15"/>
  <c r="AV143" i="15"/>
  <c r="AW143" i="15"/>
  <c r="AX143" i="15"/>
  <c r="AY143" i="15"/>
  <c r="AZ143" i="15"/>
  <c r="BA143" i="15"/>
  <c r="BB143" i="15"/>
  <c r="BC143" i="15"/>
  <c r="BD143" i="15"/>
  <c r="BE143" i="15"/>
  <c r="C144" i="15"/>
  <c r="D144" i="15"/>
  <c r="E144" i="15"/>
  <c r="F144" i="15"/>
  <c r="G144" i="15"/>
  <c r="H144" i="15"/>
  <c r="I144" i="15"/>
  <c r="J144" i="15"/>
  <c r="K144" i="15"/>
  <c r="L144" i="15"/>
  <c r="M144" i="15"/>
  <c r="N144" i="15"/>
  <c r="T144" i="15"/>
  <c r="U144" i="15"/>
  <c r="V144" i="15"/>
  <c r="W144" i="15"/>
  <c r="X144" i="15"/>
  <c r="Y144" i="15"/>
  <c r="Z144" i="15"/>
  <c r="AA144" i="15"/>
  <c r="AB144" i="15"/>
  <c r="AC144" i="15"/>
  <c r="AD144" i="15"/>
  <c r="AE144" i="15"/>
  <c r="AF144" i="15"/>
  <c r="AG144" i="15"/>
  <c r="AH144" i="15"/>
  <c r="AI144" i="15"/>
  <c r="AJ144" i="15"/>
  <c r="AK144" i="15"/>
  <c r="AL144" i="15"/>
  <c r="AM144" i="15"/>
  <c r="AN144" i="15"/>
  <c r="AO144" i="15"/>
  <c r="AP144" i="15"/>
  <c r="AQ144" i="15"/>
  <c r="AR144" i="15"/>
  <c r="AS144" i="15"/>
  <c r="AT144" i="15"/>
  <c r="AU144" i="15"/>
  <c r="AV144" i="15"/>
  <c r="AW144" i="15"/>
  <c r="AX144" i="15"/>
  <c r="AY144" i="15"/>
  <c r="AZ144" i="15"/>
  <c r="BA144" i="15"/>
  <c r="BB144" i="15"/>
  <c r="BC144" i="15"/>
  <c r="BD144" i="15"/>
  <c r="BE144" i="15"/>
  <c r="B145" i="15"/>
  <c r="C145" i="15"/>
  <c r="D145" i="15"/>
  <c r="E145" i="15"/>
  <c r="F145" i="15"/>
  <c r="G145" i="15"/>
  <c r="H145" i="15"/>
  <c r="I145" i="15"/>
  <c r="J145" i="15"/>
  <c r="K145" i="15"/>
  <c r="L145" i="15"/>
  <c r="M145" i="15"/>
  <c r="N145" i="15"/>
  <c r="T145" i="15"/>
  <c r="U145" i="15"/>
  <c r="V145" i="15"/>
  <c r="W145" i="15"/>
  <c r="X145" i="15"/>
  <c r="Y145" i="15"/>
  <c r="Z145" i="15"/>
  <c r="AA145" i="15"/>
  <c r="AB145" i="15"/>
  <c r="AC145" i="15"/>
  <c r="AD145" i="15"/>
  <c r="AE145" i="15"/>
  <c r="AF145" i="15"/>
  <c r="AG145" i="15"/>
  <c r="AH145" i="15"/>
  <c r="AI145" i="15"/>
  <c r="AJ145" i="15"/>
  <c r="AK145" i="15"/>
  <c r="AL145" i="15"/>
  <c r="AM145" i="15"/>
  <c r="AN145" i="15"/>
  <c r="AO145" i="15"/>
  <c r="AP145" i="15"/>
  <c r="AQ145" i="15"/>
  <c r="AR145" i="15"/>
  <c r="AS145" i="15"/>
  <c r="AT145" i="15"/>
  <c r="AU145" i="15"/>
  <c r="AV145" i="15"/>
  <c r="AW145" i="15"/>
  <c r="AX145" i="15"/>
  <c r="AY145" i="15"/>
  <c r="AZ145" i="15"/>
  <c r="BA145" i="15"/>
  <c r="BB145" i="15"/>
  <c r="BC145" i="15"/>
  <c r="BD145" i="15"/>
  <c r="BE145" i="15"/>
  <c r="B146" i="15"/>
  <c r="C146" i="15"/>
  <c r="D146" i="15"/>
  <c r="E146" i="15"/>
  <c r="F146" i="15"/>
  <c r="G146" i="15"/>
  <c r="H146" i="15"/>
  <c r="I146" i="15"/>
  <c r="J146" i="15"/>
  <c r="K146" i="15"/>
  <c r="L146" i="15"/>
  <c r="M146" i="15"/>
  <c r="N146" i="15"/>
  <c r="T146" i="15"/>
  <c r="U146" i="15"/>
  <c r="V146" i="15"/>
  <c r="W146" i="15"/>
  <c r="X146" i="15"/>
  <c r="Y146" i="15"/>
  <c r="Z146" i="15"/>
  <c r="AA146" i="15"/>
  <c r="AB146" i="15"/>
  <c r="AC146" i="15"/>
  <c r="AD146" i="15"/>
  <c r="AE146" i="15"/>
  <c r="AF146" i="15"/>
  <c r="AG146" i="15"/>
  <c r="AH146" i="15"/>
  <c r="AI146" i="15"/>
  <c r="AJ146" i="15"/>
  <c r="AK146" i="15"/>
  <c r="AL146" i="15"/>
  <c r="AM146" i="15"/>
  <c r="AN146" i="15"/>
  <c r="AO146" i="15"/>
  <c r="AP146" i="15"/>
  <c r="AQ146" i="15"/>
  <c r="AR146" i="15"/>
  <c r="AS146" i="15"/>
  <c r="AT146" i="15"/>
  <c r="AU146" i="15"/>
  <c r="AV146" i="15"/>
  <c r="AW146" i="15"/>
  <c r="AX146" i="15"/>
  <c r="AY146" i="15"/>
  <c r="AZ146" i="15"/>
  <c r="BA146" i="15"/>
  <c r="BB146" i="15"/>
  <c r="BC146" i="15"/>
  <c r="BD146" i="15"/>
  <c r="BE146" i="15"/>
  <c r="B147" i="15"/>
  <c r="C147" i="15"/>
  <c r="D147" i="15"/>
  <c r="E147" i="15"/>
  <c r="F147" i="15"/>
  <c r="G147" i="15"/>
  <c r="H147" i="15"/>
  <c r="I147" i="15"/>
  <c r="J147" i="15"/>
  <c r="K147" i="15"/>
  <c r="L147" i="15"/>
  <c r="M147" i="15"/>
  <c r="N147" i="15"/>
  <c r="T147" i="15"/>
  <c r="U147" i="15"/>
  <c r="V147" i="15"/>
  <c r="W147" i="15"/>
  <c r="X147" i="15"/>
  <c r="Y147" i="15"/>
  <c r="Z147" i="15"/>
  <c r="AA147" i="15"/>
  <c r="AB147" i="15"/>
  <c r="AC147" i="15"/>
  <c r="AD147" i="15"/>
  <c r="AE147" i="15"/>
  <c r="AF147" i="15"/>
  <c r="AG147" i="15"/>
  <c r="AH147" i="15"/>
  <c r="AI147" i="15"/>
  <c r="AJ147" i="15"/>
  <c r="AK147" i="15"/>
  <c r="AL147" i="15"/>
  <c r="AM147" i="15"/>
  <c r="AN147" i="15"/>
  <c r="AO147" i="15"/>
  <c r="AP147" i="15"/>
  <c r="AQ147" i="15"/>
  <c r="AR147" i="15"/>
  <c r="AS147" i="15"/>
  <c r="AT147" i="15"/>
  <c r="AU147" i="15"/>
  <c r="AV147" i="15"/>
  <c r="AW147" i="15"/>
  <c r="AX147" i="15"/>
  <c r="AY147" i="15"/>
  <c r="AZ147" i="15"/>
  <c r="BA147" i="15"/>
  <c r="BB147" i="15"/>
  <c r="BC147" i="15"/>
  <c r="BD147" i="15"/>
  <c r="BE147" i="15"/>
  <c r="C148" i="15"/>
  <c r="D148" i="15"/>
  <c r="E148" i="15"/>
  <c r="F148" i="15"/>
  <c r="G148" i="15"/>
  <c r="H148" i="15"/>
  <c r="I148" i="15"/>
  <c r="J148" i="15"/>
  <c r="K148" i="15"/>
  <c r="L148" i="15"/>
  <c r="M148" i="15"/>
  <c r="N148" i="15"/>
  <c r="O148" i="15"/>
  <c r="T148" i="15"/>
  <c r="U148" i="15"/>
  <c r="V148" i="15"/>
  <c r="W148" i="15"/>
  <c r="X148" i="15"/>
  <c r="Y148" i="15"/>
  <c r="Z148" i="15"/>
  <c r="AA148" i="15"/>
  <c r="AB148" i="15"/>
  <c r="AC148" i="15"/>
  <c r="AD148" i="15"/>
  <c r="AE148" i="15"/>
  <c r="AF148" i="15"/>
  <c r="AG148" i="15"/>
  <c r="AH148" i="15"/>
  <c r="AI148" i="15"/>
  <c r="AJ148" i="15"/>
  <c r="AK148" i="15"/>
  <c r="AL148" i="15"/>
  <c r="AM148" i="15"/>
  <c r="AN148" i="15"/>
  <c r="AO148" i="15"/>
  <c r="AP148" i="15"/>
  <c r="AQ148" i="15"/>
  <c r="AR148" i="15"/>
  <c r="AS148" i="15"/>
  <c r="AT148" i="15"/>
  <c r="AU148" i="15"/>
  <c r="AV148" i="15"/>
  <c r="AW148" i="15"/>
  <c r="AX148" i="15"/>
  <c r="AY148" i="15"/>
  <c r="AZ148" i="15"/>
  <c r="BA148" i="15"/>
  <c r="BB148" i="15"/>
  <c r="BC148" i="15"/>
  <c r="BD148" i="15"/>
  <c r="BE148" i="15"/>
  <c r="C149" i="15"/>
  <c r="D149" i="15"/>
  <c r="E149" i="15"/>
  <c r="F149" i="15"/>
  <c r="G149" i="15"/>
  <c r="H149" i="15"/>
  <c r="I149" i="15"/>
  <c r="J149" i="15"/>
  <c r="K149" i="15"/>
  <c r="L149" i="15"/>
  <c r="M149" i="15"/>
  <c r="N149" i="15"/>
  <c r="U149" i="15"/>
  <c r="V149" i="15"/>
  <c r="W149" i="15"/>
  <c r="Y149" i="15"/>
  <c r="Z149" i="15"/>
  <c r="AA149" i="15"/>
  <c r="AC149" i="15"/>
  <c r="AD149" i="15"/>
  <c r="AE149" i="15"/>
  <c r="AG149" i="15"/>
  <c r="AH149" i="15"/>
  <c r="AI149" i="15"/>
  <c r="AK149" i="15"/>
  <c r="AL149" i="15"/>
  <c r="AM149" i="15"/>
  <c r="AO149" i="15"/>
  <c r="AP149" i="15"/>
  <c r="AQ149" i="15"/>
  <c r="AS149" i="15"/>
  <c r="AT149" i="15"/>
  <c r="AU149" i="15"/>
  <c r="AW149" i="15"/>
  <c r="AX149" i="15"/>
  <c r="AY149" i="15"/>
  <c r="BA149" i="15"/>
  <c r="BB149" i="15"/>
  <c r="BC149" i="15"/>
  <c r="BE149" i="15"/>
  <c r="C150" i="15"/>
  <c r="D150" i="15"/>
  <c r="E150" i="15"/>
  <c r="F150" i="15"/>
  <c r="G150" i="15"/>
  <c r="H150" i="15"/>
  <c r="I150" i="15"/>
  <c r="J150" i="15"/>
  <c r="K150" i="15"/>
  <c r="L150" i="15"/>
  <c r="M150" i="15"/>
  <c r="N150" i="15"/>
  <c r="U150" i="15"/>
  <c r="V150" i="15"/>
  <c r="W150" i="15"/>
  <c r="Y150" i="15"/>
  <c r="Z150" i="15"/>
  <c r="AA150" i="15"/>
  <c r="AC150" i="15"/>
  <c r="AD150" i="15"/>
  <c r="AE150" i="15"/>
  <c r="AG150" i="15"/>
  <c r="AH150" i="15"/>
  <c r="AI150" i="15"/>
  <c r="AK150" i="15"/>
  <c r="AL150" i="15"/>
  <c r="AM150" i="15"/>
  <c r="AO150" i="15"/>
  <c r="AP150" i="15"/>
  <c r="AQ150" i="15"/>
  <c r="AS150" i="15"/>
  <c r="AT150" i="15"/>
  <c r="AU150" i="15"/>
  <c r="AW150" i="15"/>
  <c r="AX150" i="15"/>
  <c r="AY150" i="15"/>
  <c r="BA150" i="15"/>
  <c r="BB150" i="15"/>
  <c r="BC150" i="15"/>
  <c r="BE150" i="15"/>
  <c r="C151" i="15"/>
  <c r="D151" i="15"/>
  <c r="E151" i="15"/>
  <c r="F151" i="15"/>
  <c r="G151" i="15"/>
  <c r="H151" i="15"/>
  <c r="I151" i="15"/>
  <c r="J151" i="15"/>
  <c r="K151" i="15"/>
  <c r="L151" i="15"/>
  <c r="M151" i="15"/>
  <c r="N151" i="15"/>
  <c r="O151" i="15"/>
  <c r="T151" i="15"/>
  <c r="U151" i="15"/>
  <c r="V151" i="15"/>
  <c r="W151" i="15"/>
  <c r="X151" i="15"/>
  <c r="Y151" i="15"/>
  <c r="Z151" i="15"/>
  <c r="AA151" i="15"/>
  <c r="AB151" i="15"/>
  <c r="AC151" i="15"/>
  <c r="AD151" i="15"/>
  <c r="AE151" i="15"/>
  <c r="AF151" i="15"/>
  <c r="AG151" i="15"/>
  <c r="AH151" i="15"/>
  <c r="AI151" i="15"/>
  <c r="AJ151" i="15"/>
  <c r="AK151" i="15"/>
  <c r="AL151" i="15"/>
  <c r="AM151" i="15"/>
  <c r="AN151" i="15"/>
  <c r="AO151" i="15"/>
  <c r="AP151" i="15"/>
  <c r="AQ151" i="15"/>
  <c r="AR151" i="15"/>
  <c r="AS151" i="15"/>
  <c r="AT151" i="15"/>
  <c r="AU151" i="15"/>
  <c r="AV151" i="15"/>
  <c r="AW151" i="15"/>
  <c r="AX151" i="15"/>
  <c r="AY151" i="15"/>
  <c r="AZ151" i="15"/>
  <c r="BA151" i="15"/>
  <c r="BB151" i="15"/>
  <c r="BC151" i="15"/>
  <c r="BD151" i="15"/>
  <c r="BE151" i="15"/>
  <c r="C152" i="15"/>
  <c r="D152" i="15"/>
  <c r="E152" i="15"/>
  <c r="F152" i="15"/>
  <c r="G152" i="15"/>
  <c r="H152" i="15"/>
  <c r="I152" i="15"/>
  <c r="J152" i="15"/>
  <c r="K152" i="15"/>
  <c r="L152" i="15"/>
  <c r="M152" i="15"/>
  <c r="N152" i="15"/>
  <c r="U152" i="15"/>
  <c r="V152" i="15"/>
  <c r="W152" i="15"/>
  <c r="Y152" i="15"/>
  <c r="Z152" i="15"/>
  <c r="AA152" i="15"/>
  <c r="AC152" i="15"/>
  <c r="AD152" i="15"/>
  <c r="AE152" i="15"/>
  <c r="AG152" i="15"/>
  <c r="AH152" i="15"/>
  <c r="AI152" i="15"/>
  <c r="AK152" i="15"/>
  <c r="AL152" i="15"/>
  <c r="AM152" i="15"/>
  <c r="AO152" i="15"/>
  <c r="AP152" i="15"/>
  <c r="AQ152" i="15"/>
  <c r="AS152" i="15"/>
  <c r="AT152" i="15"/>
  <c r="AU152" i="15"/>
  <c r="AW152" i="15"/>
  <c r="AX152" i="15"/>
  <c r="AY152" i="15"/>
  <c r="BA152" i="15"/>
  <c r="BB152" i="15"/>
  <c r="BC152" i="15"/>
  <c r="BE152" i="15"/>
  <c r="C153" i="15"/>
  <c r="D153" i="15"/>
  <c r="E153" i="15"/>
  <c r="F153" i="15"/>
  <c r="G153" i="15"/>
  <c r="H153" i="15"/>
  <c r="I153" i="15"/>
  <c r="J153" i="15"/>
  <c r="K153" i="15"/>
  <c r="L153" i="15"/>
  <c r="M153" i="15"/>
  <c r="N153" i="15"/>
  <c r="U153" i="15"/>
  <c r="V153" i="15"/>
  <c r="W153" i="15"/>
  <c r="Y153" i="15"/>
  <c r="Z153" i="15"/>
  <c r="AA153" i="15"/>
  <c r="AC153" i="15"/>
  <c r="AD153" i="15"/>
  <c r="AE153" i="15"/>
  <c r="AG153" i="15"/>
  <c r="AH153" i="15"/>
  <c r="AI153" i="15"/>
  <c r="AK153" i="15"/>
  <c r="AL153" i="15"/>
  <c r="AM153" i="15"/>
  <c r="AO153" i="15"/>
  <c r="AP153" i="15"/>
  <c r="AQ153" i="15"/>
  <c r="AS153" i="15"/>
  <c r="AT153" i="15"/>
  <c r="AU153" i="15"/>
  <c r="AW153" i="15"/>
  <c r="AX153" i="15"/>
  <c r="AY153" i="15"/>
  <c r="BA153" i="15"/>
  <c r="BB153" i="15"/>
  <c r="BC153" i="15"/>
  <c r="BE153" i="15"/>
  <c r="C154" i="15"/>
  <c r="D154" i="15"/>
  <c r="E154" i="15"/>
  <c r="F154" i="15"/>
  <c r="G154" i="15"/>
  <c r="H154" i="15"/>
  <c r="I154" i="15"/>
  <c r="J154" i="15"/>
  <c r="K154" i="15"/>
  <c r="L154" i="15"/>
  <c r="M154" i="15"/>
  <c r="N154" i="15"/>
  <c r="T154" i="15"/>
  <c r="U154" i="15"/>
  <c r="V154" i="15"/>
  <c r="W154" i="15"/>
  <c r="X154" i="15"/>
  <c r="Y154" i="15"/>
  <c r="Z154" i="15"/>
  <c r="AA154" i="15"/>
  <c r="AB154" i="15"/>
  <c r="AC154" i="15"/>
  <c r="AD154" i="15"/>
  <c r="AE154" i="15"/>
  <c r="AF154" i="15"/>
  <c r="AG154" i="15"/>
  <c r="AH154" i="15"/>
  <c r="AI154" i="15"/>
  <c r="AJ154" i="15"/>
  <c r="AK154" i="15"/>
  <c r="AL154" i="15"/>
  <c r="AM154" i="15"/>
  <c r="AN154" i="15"/>
  <c r="AO154" i="15"/>
  <c r="AP154" i="15"/>
  <c r="AQ154" i="15"/>
  <c r="AR154" i="15"/>
  <c r="AS154" i="15"/>
  <c r="AT154" i="15"/>
  <c r="AU154" i="15"/>
  <c r="AV154" i="15"/>
  <c r="AW154" i="15"/>
  <c r="AX154" i="15"/>
  <c r="AY154" i="15"/>
  <c r="AZ154" i="15"/>
  <c r="BA154" i="15"/>
  <c r="BB154" i="15"/>
  <c r="BC154" i="15"/>
  <c r="BD154" i="15"/>
  <c r="BE154" i="15"/>
  <c r="C157" i="15"/>
  <c r="D157" i="15"/>
  <c r="E157" i="15"/>
  <c r="F157" i="15"/>
  <c r="G157" i="15"/>
  <c r="H157" i="15"/>
  <c r="I157" i="15"/>
  <c r="J157" i="15"/>
  <c r="K157" i="15"/>
  <c r="L157" i="15"/>
  <c r="M157" i="15"/>
  <c r="N157" i="15"/>
  <c r="O157" i="15"/>
  <c r="Q157" i="15"/>
  <c r="R157" i="15"/>
  <c r="S157" i="15"/>
  <c r="T157" i="15"/>
  <c r="U157" i="15"/>
  <c r="V157" i="15"/>
  <c r="W157" i="15"/>
  <c r="X157" i="15"/>
  <c r="Y157" i="15"/>
  <c r="Z157" i="15"/>
  <c r="AA157" i="15"/>
  <c r="AB157" i="15"/>
  <c r="AC157" i="15"/>
  <c r="AD157" i="15"/>
  <c r="AE157" i="15"/>
  <c r="AF157" i="15"/>
  <c r="AG157" i="15"/>
  <c r="AH157" i="15"/>
  <c r="AI157" i="15"/>
  <c r="AJ157" i="15"/>
  <c r="AK157" i="15"/>
  <c r="AL157" i="15"/>
  <c r="AM157" i="15"/>
  <c r="AN157" i="15"/>
  <c r="AO157" i="15"/>
  <c r="AP157" i="15"/>
  <c r="AQ157" i="15"/>
  <c r="AR157" i="15"/>
  <c r="AS157" i="15"/>
  <c r="AT157" i="15"/>
  <c r="AU157" i="15"/>
  <c r="AV157" i="15"/>
  <c r="AW157" i="15"/>
  <c r="AX157" i="15"/>
  <c r="AY157" i="15"/>
  <c r="AZ157" i="15"/>
  <c r="BA157" i="15"/>
  <c r="BB157" i="15"/>
  <c r="BC157" i="15"/>
  <c r="BD157" i="15"/>
  <c r="BE157" i="15"/>
  <c r="C158" i="15"/>
  <c r="D158" i="15"/>
  <c r="E158" i="15"/>
  <c r="F158" i="15"/>
  <c r="G158" i="15"/>
  <c r="H158" i="15"/>
  <c r="I158" i="15"/>
  <c r="J158" i="15"/>
  <c r="K158" i="15"/>
  <c r="L158" i="15"/>
  <c r="M158" i="15"/>
  <c r="N158" i="15"/>
  <c r="O158" i="15"/>
  <c r="Q158" i="15"/>
  <c r="R158" i="15"/>
  <c r="S158" i="15"/>
  <c r="T158" i="15"/>
  <c r="U158" i="15"/>
  <c r="V158" i="15"/>
  <c r="W158" i="15"/>
  <c r="X158" i="15"/>
  <c r="Y158" i="15"/>
  <c r="Z158" i="15"/>
  <c r="AA158" i="15"/>
  <c r="AB158" i="15"/>
  <c r="AC158" i="15"/>
  <c r="AD158" i="15"/>
  <c r="AE158" i="15"/>
  <c r="AF158" i="15"/>
  <c r="AG158" i="15"/>
  <c r="AH158" i="15"/>
  <c r="AI158" i="15"/>
  <c r="AJ158" i="15"/>
  <c r="AK158" i="15"/>
  <c r="AL158" i="15"/>
  <c r="AM158" i="15"/>
  <c r="AN158" i="15"/>
  <c r="AO158" i="15"/>
  <c r="AP158" i="15"/>
  <c r="AQ158" i="15"/>
  <c r="AR158" i="15"/>
  <c r="AS158" i="15"/>
  <c r="AT158" i="15"/>
  <c r="AU158" i="15"/>
  <c r="AV158" i="15"/>
  <c r="AW158" i="15"/>
  <c r="AX158" i="15"/>
  <c r="AY158" i="15"/>
  <c r="AZ158" i="15"/>
  <c r="BA158" i="15"/>
  <c r="BB158" i="15"/>
  <c r="BC158" i="15"/>
  <c r="BD158" i="15"/>
  <c r="BE158" i="15"/>
  <c r="C159" i="15"/>
  <c r="D159" i="15"/>
  <c r="E159" i="15"/>
  <c r="F159" i="15"/>
  <c r="G159" i="15"/>
  <c r="H159" i="15"/>
  <c r="I159" i="15"/>
  <c r="J159" i="15"/>
  <c r="K159" i="15"/>
  <c r="L159" i="15"/>
  <c r="M159" i="15"/>
  <c r="N159" i="15"/>
  <c r="O159" i="15"/>
  <c r="Q159" i="15"/>
  <c r="R159" i="15"/>
  <c r="S159" i="15"/>
  <c r="T159" i="15"/>
  <c r="U159" i="15"/>
  <c r="V159" i="15"/>
  <c r="W159" i="15"/>
  <c r="X159" i="15"/>
  <c r="Y159" i="15"/>
  <c r="Z159" i="15"/>
  <c r="AA159" i="15"/>
  <c r="AB159" i="15"/>
  <c r="AC159" i="15"/>
  <c r="AD159" i="15"/>
  <c r="AE159" i="15"/>
  <c r="AF159" i="15"/>
  <c r="AG159" i="15"/>
  <c r="AH159" i="15"/>
  <c r="AI159" i="15"/>
  <c r="AJ159" i="15"/>
  <c r="AK159" i="15"/>
  <c r="AL159" i="15"/>
  <c r="AM159" i="15"/>
  <c r="AN159" i="15"/>
  <c r="AO159" i="15"/>
  <c r="AP159" i="15"/>
  <c r="AQ159" i="15"/>
  <c r="AR159" i="15"/>
  <c r="AS159" i="15"/>
  <c r="AT159" i="15"/>
  <c r="AU159" i="15"/>
  <c r="AV159" i="15"/>
  <c r="AW159" i="15"/>
  <c r="AX159" i="15"/>
  <c r="AY159" i="15"/>
  <c r="AZ159" i="15"/>
  <c r="BA159" i="15"/>
  <c r="BB159" i="15"/>
  <c r="BC159" i="15"/>
  <c r="BD159" i="15"/>
  <c r="BE159" i="15"/>
  <c r="B160" i="15"/>
  <c r="C160" i="15"/>
  <c r="D160" i="15"/>
  <c r="E160" i="15"/>
  <c r="F160" i="15"/>
  <c r="G160" i="15"/>
  <c r="H160" i="15"/>
  <c r="I160" i="15"/>
  <c r="J160" i="15"/>
  <c r="K160" i="15"/>
  <c r="L160" i="15"/>
  <c r="M160" i="15"/>
  <c r="N160" i="15"/>
  <c r="Q160" i="15"/>
  <c r="R160" i="15"/>
  <c r="S160" i="15"/>
  <c r="T160" i="15"/>
  <c r="U160" i="15"/>
  <c r="V160" i="15"/>
  <c r="W160" i="15"/>
  <c r="X160" i="15"/>
  <c r="Y160" i="15"/>
  <c r="Z160" i="15"/>
  <c r="AA160" i="15"/>
  <c r="AB160" i="15"/>
  <c r="AC160" i="15"/>
  <c r="AD160" i="15"/>
  <c r="AE160" i="15"/>
  <c r="AF160" i="15"/>
  <c r="AG160" i="15"/>
  <c r="AH160" i="15"/>
  <c r="AI160" i="15"/>
  <c r="AJ160" i="15"/>
  <c r="AK160" i="15"/>
  <c r="AL160" i="15"/>
  <c r="AM160" i="15"/>
  <c r="AN160" i="15"/>
  <c r="AO160" i="15"/>
  <c r="AP160" i="15"/>
  <c r="AQ160" i="15"/>
  <c r="AR160" i="15"/>
  <c r="AS160" i="15"/>
  <c r="AT160" i="15"/>
  <c r="AU160" i="15"/>
  <c r="AV160" i="15"/>
  <c r="AW160" i="15"/>
  <c r="AX160" i="15"/>
  <c r="AY160" i="15"/>
  <c r="AZ160" i="15"/>
  <c r="BA160" i="15"/>
  <c r="BB160" i="15"/>
  <c r="BC160" i="15"/>
  <c r="BD160" i="15"/>
  <c r="BE160" i="15"/>
  <c r="E161" i="15"/>
  <c r="F161" i="15"/>
  <c r="G161" i="15"/>
  <c r="H161" i="15"/>
  <c r="I161" i="15"/>
  <c r="J161" i="15"/>
  <c r="K161" i="15"/>
  <c r="L161" i="15"/>
  <c r="M161" i="15"/>
  <c r="N161" i="15"/>
  <c r="U161" i="15"/>
  <c r="V161" i="15"/>
  <c r="W161" i="15"/>
  <c r="X161" i="15"/>
  <c r="Y161" i="15"/>
  <c r="Z161" i="15"/>
  <c r="AA161" i="15"/>
  <c r="AB161" i="15"/>
  <c r="AC161" i="15"/>
  <c r="AD161" i="15"/>
  <c r="AE161" i="15"/>
  <c r="AF161" i="15"/>
  <c r="AG161" i="15"/>
  <c r="AH161" i="15"/>
  <c r="AI161" i="15"/>
  <c r="AJ161" i="15"/>
  <c r="AK161" i="15"/>
  <c r="AL161" i="15"/>
  <c r="AM161" i="15"/>
  <c r="AN161" i="15"/>
  <c r="AO161" i="15"/>
  <c r="AP161" i="15"/>
  <c r="AQ161" i="15"/>
  <c r="AR161" i="15"/>
  <c r="AS161" i="15"/>
  <c r="AT161" i="15"/>
  <c r="AU161" i="15"/>
  <c r="AV161" i="15"/>
  <c r="AW161" i="15"/>
  <c r="AX161" i="15"/>
  <c r="AY161" i="15"/>
  <c r="AZ161" i="15"/>
  <c r="BA161" i="15"/>
  <c r="BB161" i="15"/>
  <c r="BC161" i="15"/>
  <c r="BD161" i="15"/>
  <c r="BE161" i="15"/>
  <c r="B163" i="15"/>
  <c r="C163" i="15"/>
  <c r="D163" i="15"/>
  <c r="E163" i="15"/>
  <c r="F163" i="15"/>
  <c r="G163" i="15"/>
  <c r="H163" i="15"/>
  <c r="I163" i="15"/>
  <c r="J163" i="15"/>
  <c r="K163" i="15"/>
  <c r="L163" i="15"/>
  <c r="M163" i="15"/>
  <c r="N163" i="15"/>
  <c r="Q163" i="15"/>
  <c r="R163" i="15"/>
  <c r="S163" i="15"/>
  <c r="T163" i="15"/>
  <c r="U163" i="15"/>
  <c r="V163" i="15"/>
  <c r="W163" i="15"/>
  <c r="X163" i="15"/>
  <c r="Y163" i="15"/>
  <c r="Z163" i="15"/>
  <c r="AA163" i="15"/>
  <c r="AB163" i="15"/>
  <c r="AC163" i="15"/>
  <c r="AD163" i="15"/>
  <c r="AE163" i="15"/>
  <c r="AF163" i="15"/>
  <c r="AG163" i="15"/>
  <c r="AH163" i="15"/>
  <c r="AI163" i="15"/>
  <c r="AJ163" i="15"/>
  <c r="AK163" i="15"/>
  <c r="AL163" i="15"/>
  <c r="AM163" i="15"/>
  <c r="AN163" i="15"/>
  <c r="AO163" i="15"/>
  <c r="AP163" i="15"/>
  <c r="AQ163" i="15"/>
  <c r="AR163" i="15"/>
  <c r="AS163" i="15"/>
  <c r="AT163" i="15"/>
  <c r="AU163" i="15"/>
  <c r="AV163" i="15"/>
  <c r="AW163" i="15"/>
  <c r="AX163" i="15"/>
  <c r="AY163" i="15"/>
  <c r="AZ163" i="15"/>
  <c r="BA163" i="15"/>
  <c r="BB163" i="15"/>
  <c r="BC163" i="15"/>
  <c r="BD163" i="15"/>
  <c r="BE163" i="15"/>
  <c r="E164" i="15"/>
  <c r="F164" i="15"/>
  <c r="G164" i="15"/>
  <c r="H164" i="15"/>
  <c r="I164" i="15"/>
  <c r="J164" i="15"/>
  <c r="K164" i="15"/>
  <c r="L164" i="15"/>
  <c r="M164" i="15"/>
  <c r="N164" i="15"/>
  <c r="U164" i="15"/>
  <c r="V164" i="15"/>
  <c r="W164" i="15"/>
  <c r="X164" i="15"/>
  <c r="Y164" i="15"/>
  <c r="Z164" i="15"/>
  <c r="AA164" i="15"/>
  <c r="AB164" i="15"/>
  <c r="AC164" i="15"/>
  <c r="AD164" i="15"/>
  <c r="AE164" i="15"/>
  <c r="AF164" i="15"/>
  <c r="AG164" i="15"/>
  <c r="AH164" i="15"/>
  <c r="AI164" i="15"/>
  <c r="AJ164" i="15"/>
  <c r="AK164" i="15"/>
  <c r="AL164" i="15"/>
  <c r="AM164" i="15"/>
  <c r="AN164" i="15"/>
  <c r="AO164" i="15"/>
  <c r="AP164" i="15"/>
  <c r="AQ164" i="15"/>
  <c r="AR164" i="15"/>
  <c r="AS164" i="15"/>
  <c r="AT164" i="15"/>
  <c r="AU164" i="15"/>
  <c r="AV164" i="15"/>
  <c r="AW164" i="15"/>
  <c r="AX164" i="15"/>
  <c r="AY164" i="15"/>
  <c r="AZ164" i="15"/>
  <c r="BA164" i="15"/>
  <c r="BB164" i="15"/>
  <c r="BC164" i="15"/>
  <c r="BD164" i="15"/>
  <c r="BE164" i="15"/>
  <c r="C165" i="15"/>
  <c r="D165" i="15"/>
  <c r="E165" i="15"/>
  <c r="F165" i="15"/>
  <c r="G165" i="15"/>
  <c r="H165" i="15"/>
  <c r="I165" i="15"/>
  <c r="J165" i="15"/>
  <c r="K165" i="15"/>
  <c r="L165" i="15"/>
  <c r="M165" i="15"/>
  <c r="N165" i="15"/>
  <c r="Q165" i="15"/>
  <c r="R165" i="15"/>
  <c r="S165" i="15"/>
  <c r="T165" i="15"/>
  <c r="U165" i="15"/>
  <c r="V165" i="15"/>
  <c r="W165" i="15"/>
  <c r="X165" i="15"/>
  <c r="Y165" i="15"/>
  <c r="Z165" i="15"/>
  <c r="AA165" i="15"/>
  <c r="AB165" i="15"/>
  <c r="AC165" i="15"/>
  <c r="AD165" i="15"/>
  <c r="AE165" i="15"/>
  <c r="AF165" i="15"/>
  <c r="AG165" i="15"/>
  <c r="AH165" i="15"/>
  <c r="AI165" i="15"/>
  <c r="AJ165" i="15"/>
  <c r="AK165" i="15"/>
  <c r="AL165" i="15"/>
  <c r="AM165" i="15"/>
  <c r="AN165" i="15"/>
  <c r="AO165" i="15"/>
  <c r="AP165" i="15"/>
  <c r="AQ165" i="15"/>
  <c r="AR165" i="15"/>
  <c r="AS165" i="15"/>
  <c r="AT165" i="15"/>
  <c r="AU165" i="15"/>
  <c r="AV165" i="15"/>
  <c r="AW165" i="15"/>
  <c r="AX165" i="15"/>
  <c r="AY165" i="15"/>
  <c r="AZ165" i="15"/>
  <c r="BA165" i="15"/>
  <c r="BB165" i="15"/>
  <c r="BC165" i="15"/>
  <c r="BD165" i="15"/>
  <c r="BE165" i="15"/>
  <c r="B167" i="15"/>
  <c r="C167" i="15"/>
  <c r="D167" i="15"/>
  <c r="E167" i="15"/>
  <c r="F167" i="15"/>
  <c r="G167" i="15"/>
  <c r="H167" i="15"/>
  <c r="I167" i="15"/>
  <c r="J167" i="15"/>
  <c r="K167" i="15"/>
  <c r="L167" i="15"/>
  <c r="M167" i="15"/>
  <c r="N167" i="15"/>
  <c r="Q167" i="15"/>
  <c r="R167" i="15"/>
  <c r="S167" i="15"/>
  <c r="T167" i="15"/>
  <c r="U167" i="15"/>
  <c r="V167" i="15"/>
  <c r="W167" i="15"/>
  <c r="X167" i="15"/>
  <c r="Y167" i="15"/>
  <c r="Z167" i="15"/>
  <c r="AA167" i="15"/>
  <c r="AB167" i="15"/>
  <c r="AC167" i="15"/>
  <c r="AD167" i="15"/>
  <c r="AE167" i="15"/>
  <c r="AF167" i="15"/>
  <c r="AG167" i="15"/>
  <c r="AH167" i="15"/>
  <c r="AI167" i="15"/>
  <c r="AJ167" i="15"/>
  <c r="AK167" i="15"/>
  <c r="AL167" i="15"/>
  <c r="AM167" i="15"/>
  <c r="AN167" i="15"/>
  <c r="AO167" i="15"/>
  <c r="AP167" i="15"/>
  <c r="AQ167" i="15"/>
  <c r="AR167" i="15"/>
  <c r="AS167" i="15"/>
  <c r="AT167" i="15"/>
  <c r="AU167" i="15"/>
  <c r="AV167" i="15"/>
  <c r="AW167" i="15"/>
  <c r="AX167" i="15"/>
  <c r="AY167" i="15"/>
  <c r="AZ167" i="15"/>
  <c r="BA167" i="15"/>
  <c r="BB167" i="15"/>
  <c r="BC167" i="15"/>
  <c r="BD167" i="15"/>
  <c r="BE167" i="15"/>
  <c r="B168" i="15"/>
  <c r="C168" i="15"/>
  <c r="D168" i="15"/>
  <c r="E168" i="15"/>
  <c r="F168" i="15"/>
  <c r="G168" i="15"/>
  <c r="H168" i="15"/>
  <c r="I168" i="15"/>
  <c r="J168" i="15"/>
  <c r="K168" i="15"/>
  <c r="L168" i="15"/>
  <c r="M168" i="15"/>
  <c r="N168" i="15"/>
  <c r="Q168" i="15"/>
  <c r="R168" i="15"/>
  <c r="S168" i="15"/>
  <c r="T168" i="15"/>
  <c r="U168" i="15"/>
  <c r="V168" i="15"/>
  <c r="W168" i="15"/>
  <c r="X168" i="15"/>
  <c r="Y168" i="15"/>
  <c r="Z168" i="15"/>
  <c r="AA168" i="15"/>
  <c r="AB168" i="15"/>
  <c r="AC168" i="15"/>
  <c r="AD168" i="15"/>
  <c r="AE168" i="15"/>
  <c r="AF168" i="15"/>
  <c r="AG168" i="15"/>
  <c r="AH168" i="15"/>
  <c r="AI168" i="15"/>
  <c r="AJ168" i="15"/>
  <c r="AK168" i="15"/>
  <c r="AL168" i="15"/>
  <c r="AM168" i="15"/>
  <c r="AN168" i="15"/>
  <c r="AO168" i="15"/>
  <c r="AP168" i="15"/>
  <c r="AQ168" i="15"/>
  <c r="AR168" i="15"/>
  <c r="AS168" i="15"/>
  <c r="AT168" i="15"/>
  <c r="AU168" i="15"/>
  <c r="AV168" i="15"/>
  <c r="AW168" i="15"/>
  <c r="AX168" i="15"/>
  <c r="AY168" i="15"/>
  <c r="AZ168" i="15"/>
  <c r="BA168" i="15"/>
  <c r="BB168" i="15"/>
  <c r="BC168" i="15"/>
  <c r="BD168" i="15"/>
  <c r="BE168" i="15"/>
  <c r="B169" i="15"/>
  <c r="C169" i="15"/>
  <c r="D169" i="15"/>
  <c r="E169" i="15"/>
  <c r="F169" i="15"/>
  <c r="G169" i="15"/>
  <c r="H169" i="15"/>
  <c r="I169" i="15"/>
  <c r="J169" i="15"/>
  <c r="K169" i="15"/>
  <c r="L169" i="15"/>
  <c r="M169" i="15"/>
  <c r="N169" i="15"/>
  <c r="Q169" i="15"/>
  <c r="R169" i="15"/>
  <c r="S169" i="15"/>
  <c r="T169" i="15"/>
  <c r="U169" i="15"/>
  <c r="V169" i="15"/>
  <c r="W169" i="15"/>
  <c r="X169" i="15"/>
  <c r="Y169" i="15"/>
  <c r="Z169" i="15"/>
  <c r="AA169" i="15"/>
  <c r="AB169" i="15"/>
  <c r="AC169" i="15"/>
  <c r="AD169" i="15"/>
  <c r="AE169" i="15"/>
  <c r="AF169" i="15"/>
  <c r="AG169" i="15"/>
  <c r="AH169" i="15"/>
  <c r="AI169" i="15"/>
  <c r="AJ169" i="15"/>
  <c r="AK169" i="15"/>
  <c r="AL169" i="15"/>
  <c r="AM169" i="15"/>
  <c r="AN169" i="15"/>
  <c r="AO169" i="15"/>
  <c r="AP169" i="15"/>
  <c r="AQ169" i="15"/>
  <c r="AR169" i="15"/>
  <c r="AS169" i="15"/>
  <c r="AT169" i="15"/>
  <c r="AU169" i="15"/>
  <c r="AV169" i="15"/>
  <c r="AW169" i="15"/>
  <c r="AX169" i="15"/>
  <c r="AY169" i="15"/>
  <c r="AZ169" i="15"/>
  <c r="BA169" i="15"/>
  <c r="BB169" i="15"/>
  <c r="BC169" i="15"/>
  <c r="BD169" i="15"/>
  <c r="BE169" i="15"/>
  <c r="B170" i="15"/>
  <c r="C170" i="15"/>
  <c r="D170" i="15"/>
  <c r="E170" i="15"/>
  <c r="F170" i="15"/>
  <c r="G170" i="15"/>
  <c r="H170" i="15"/>
  <c r="I170" i="15"/>
  <c r="J170" i="15"/>
  <c r="K170" i="15"/>
  <c r="L170" i="15"/>
  <c r="M170" i="15"/>
  <c r="N170" i="15"/>
  <c r="Q170" i="15"/>
  <c r="R170" i="15"/>
  <c r="S170" i="15"/>
  <c r="T170" i="15"/>
  <c r="U170" i="15"/>
  <c r="V170" i="15"/>
  <c r="W170" i="15"/>
  <c r="X170" i="15"/>
  <c r="Y170" i="15"/>
  <c r="Z170" i="15"/>
  <c r="AA170" i="15"/>
  <c r="AB170" i="15"/>
  <c r="AC170" i="15"/>
  <c r="AD170" i="15"/>
  <c r="AE170" i="15"/>
  <c r="AF170" i="15"/>
  <c r="AG170" i="15"/>
  <c r="AH170" i="15"/>
  <c r="AI170" i="15"/>
  <c r="AJ170" i="15"/>
  <c r="AK170" i="15"/>
  <c r="AL170" i="15"/>
  <c r="AM170" i="15"/>
  <c r="AN170" i="15"/>
  <c r="AO170" i="15"/>
  <c r="AP170" i="15"/>
  <c r="AQ170" i="15"/>
  <c r="AR170" i="15"/>
  <c r="AS170" i="15"/>
  <c r="AT170" i="15"/>
  <c r="AU170" i="15"/>
  <c r="AV170" i="15"/>
  <c r="AW170" i="15"/>
  <c r="AX170" i="15"/>
  <c r="AY170" i="15"/>
  <c r="AZ170" i="15"/>
  <c r="BA170" i="15"/>
  <c r="BB170" i="15"/>
  <c r="BC170" i="15"/>
  <c r="BD170" i="15"/>
  <c r="BE170" i="15"/>
  <c r="B171" i="15"/>
  <c r="C171" i="15"/>
  <c r="D171" i="15"/>
  <c r="E171" i="15"/>
  <c r="F171" i="15"/>
  <c r="G171" i="15"/>
  <c r="H171" i="15"/>
  <c r="I171" i="15"/>
  <c r="J171" i="15"/>
  <c r="K171" i="15"/>
  <c r="L171" i="15"/>
  <c r="M171" i="15"/>
  <c r="N171" i="15"/>
  <c r="Q171" i="15"/>
  <c r="R171" i="15"/>
  <c r="S171" i="15"/>
  <c r="T171" i="15"/>
  <c r="U171" i="15"/>
  <c r="V171" i="15"/>
  <c r="W171" i="15"/>
  <c r="X171" i="15"/>
  <c r="Y171" i="15"/>
  <c r="Z171" i="15"/>
  <c r="AA171" i="15"/>
  <c r="AB171" i="15"/>
  <c r="AC171" i="15"/>
  <c r="AD171" i="15"/>
  <c r="AE171" i="15"/>
  <c r="AF171" i="15"/>
  <c r="AG171" i="15"/>
  <c r="AH171" i="15"/>
  <c r="AI171" i="15"/>
  <c r="AJ171" i="15"/>
  <c r="AK171" i="15"/>
  <c r="AL171" i="15"/>
  <c r="AM171" i="15"/>
  <c r="AN171" i="15"/>
  <c r="AO171" i="15"/>
  <c r="AP171" i="15"/>
  <c r="AQ171" i="15"/>
  <c r="AR171" i="15"/>
  <c r="AS171" i="15"/>
  <c r="AT171" i="15"/>
  <c r="AU171" i="15"/>
  <c r="AV171" i="15"/>
  <c r="AW171" i="15"/>
  <c r="AX171" i="15"/>
  <c r="AY171" i="15"/>
  <c r="AZ171" i="15"/>
  <c r="BA171" i="15"/>
  <c r="BB171" i="15"/>
  <c r="BC171" i="15"/>
  <c r="BD171" i="15"/>
  <c r="BE171" i="15"/>
  <c r="B172" i="15"/>
  <c r="C172" i="15"/>
  <c r="D172" i="15"/>
  <c r="E172" i="15"/>
  <c r="F172" i="15"/>
  <c r="G172" i="15"/>
  <c r="H172" i="15"/>
  <c r="I172" i="15"/>
  <c r="J172" i="15"/>
  <c r="K172" i="15"/>
  <c r="L172" i="15"/>
  <c r="M172" i="15"/>
  <c r="N172" i="15"/>
  <c r="Q172" i="15"/>
  <c r="R172" i="15"/>
  <c r="S172" i="15"/>
  <c r="T172" i="15"/>
  <c r="U172" i="15"/>
  <c r="V172" i="15"/>
  <c r="W172" i="15"/>
  <c r="X172" i="15"/>
  <c r="Y172" i="15"/>
  <c r="Z172" i="15"/>
  <c r="AA172" i="15"/>
  <c r="AB172" i="15"/>
  <c r="AC172" i="15"/>
  <c r="AD172" i="15"/>
  <c r="AE172" i="15"/>
  <c r="AF172" i="15"/>
  <c r="AG172" i="15"/>
  <c r="AH172" i="15"/>
  <c r="AI172" i="15"/>
  <c r="AJ172" i="15"/>
  <c r="AK172" i="15"/>
  <c r="AL172" i="15"/>
  <c r="AM172" i="15"/>
  <c r="AN172" i="15"/>
  <c r="AO172" i="15"/>
  <c r="AP172" i="15"/>
  <c r="AQ172" i="15"/>
  <c r="AR172" i="15"/>
  <c r="AS172" i="15"/>
  <c r="AT172" i="15"/>
  <c r="AU172" i="15"/>
  <c r="AV172" i="15"/>
  <c r="AW172" i="15"/>
  <c r="AX172" i="15"/>
  <c r="AY172" i="15"/>
  <c r="AZ172" i="15"/>
  <c r="BA172" i="15"/>
  <c r="BB172" i="15"/>
  <c r="BC172" i="15"/>
  <c r="BD172" i="15"/>
  <c r="BE172" i="15"/>
  <c r="B173" i="15"/>
  <c r="C173" i="15"/>
  <c r="D173" i="15"/>
  <c r="E173" i="15"/>
  <c r="F173" i="15"/>
  <c r="G173" i="15"/>
  <c r="H173" i="15"/>
  <c r="I173" i="15"/>
  <c r="J173" i="15"/>
  <c r="K173" i="15"/>
  <c r="L173" i="15"/>
  <c r="M173" i="15"/>
  <c r="N173" i="15"/>
  <c r="Q173" i="15"/>
  <c r="R173" i="15"/>
  <c r="S173" i="15"/>
  <c r="T173" i="15"/>
  <c r="U173" i="15"/>
  <c r="V173" i="15"/>
  <c r="W173" i="15"/>
  <c r="X173" i="15"/>
  <c r="Y173" i="15"/>
  <c r="Z173" i="15"/>
  <c r="AA173" i="15"/>
  <c r="AB173" i="15"/>
  <c r="AC173" i="15"/>
  <c r="AD173" i="15"/>
  <c r="AE173" i="15"/>
  <c r="AF173" i="15"/>
  <c r="AG173" i="15"/>
  <c r="AH173" i="15"/>
  <c r="AI173" i="15"/>
  <c r="AJ173" i="15"/>
  <c r="AK173" i="15"/>
  <c r="AL173" i="15"/>
  <c r="AM173" i="15"/>
  <c r="AN173" i="15"/>
  <c r="AO173" i="15"/>
  <c r="AP173" i="15"/>
  <c r="AQ173" i="15"/>
  <c r="AR173" i="15"/>
  <c r="AS173" i="15"/>
  <c r="AT173" i="15"/>
  <c r="AU173" i="15"/>
  <c r="AV173" i="15"/>
  <c r="AW173" i="15"/>
  <c r="AX173" i="15"/>
  <c r="AY173" i="15"/>
  <c r="AZ173" i="15"/>
  <c r="BA173" i="15"/>
  <c r="BB173" i="15"/>
  <c r="BC173" i="15"/>
  <c r="BD173" i="15"/>
  <c r="BE173" i="15"/>
  <c r="B174" i="15"/>
  <c r="C174" i="15"/>
  <c r="D174" i="15"/>
  <c r="E174" i="15"/>
  <c r="F174" i="15"/>
  <c r="G174" i="15"/>
  <c r="H174" i="15"/>
  <c r="I174" i="15"/>
  <c r="J174" i="15"/>
  <c r="K174" i="15"/>
  <c r="L174" i="15"/>
  <c r="M174" i="15"/>
  <c r="N174" i="15"/>
  <c r="Q174" i="15"/>
  <c r="R174" i="15"/>
  <c r="S174" i="15"/>
  <c r="T174" i="15"/>
  <c r="U174" i="15"/>
  <c r="V174" i="15"/>
  <c r="W174" i="15"/>
  <c r="X174" i="15"/>
  <c r="Y174" i="15"/>
  <c r="Z174" i="15"/>
  <c r="AA174" i="15"/>
  <c r="AB174" i="15"/>
  <c r="AC174" i="15"/>
  <c r="AD174" i="15"/>
  <c r="AE174" i="15"/>
  <c r="AF174" i="15"/>
  <c r="AG174" i="15"/>
  <c r="AH174" i="15"/>
  <c r="AI174" i="15"/>
  <c r="AJ174" i="15"/>
  <c r="AK174" i="15"/>
  <c r="AL174" i="15"/>
  <c r="AM174" i="15"/>
  <c r="AN174" i="15"/>
  <c r="AO174" i="15"/>
  <c r="AP174" i="15"/>
  <c r="AQ174" i="15"/>
  <c r="AR174" i="15"/>
  <c r="AS174" i="15"/>
  <c r="AT174" i="15"/>
  <c r="AU174" i="15"/>
  <c r="AV174" i="15"/>
  <c r="AW174" i="15"/>
  <c r="AX174" i="15"/>
  <c r="AY174" i="15"/>
  <c r="AZ174" i="15"/>
  <c r="BA174" i="15"/>
  <c r="BB174" i="15"/>
  <c r="BC174" i="15"/>
  <c r="BD174" i="15"/>
  <c r="BE174" i="15"/>
  <c r="B175" i="15"/>
  <c r="C175" i="15"/>
  <c r="D175" i="15"/>
  <c r="E175" i="15"/>
  <c r="F175" i="15"/>
  <c r="G175" i="15"/>
  <c r="H175" i="15"/>
  <c r="I175" i="15"/>
  <c r="J175" i="15"/>
  <c r="K175" i="15"/>
  <c r="L175" i="15"/>
  <c r="M175" i="15"/>
  <c r="N175" i="15"/>
  <c r="Q175" i="15"/>
  <c r="R175" i="15"/>
  <c r="S175" i="15"/>
  <c r="T175" i="15"/>
  <c r="U175" i="15"/>
  <c r="V175" i="15"/>
  <c r="W175" i="15"/>
  <c r="X175" i="15"/>
  <c r="Y175" i="15"/>
  <c r="Z175" i="15"/>
  <c r="AA175" i="15"/>
  <c r="AB175" i="15"/>
  <c r="AC175" i="15"/>
  <c r="AD175" i="15"/>
  <c r="AE175" i="15"/>
  <c r="AF175" i="15"/>
  <c r="AG175" i="15"/>
  <c r="AH175" i="15"/>
  <c r="AI175" i="15"/>
  <c r="AJ175" i="15"/>
  <c r="AK175" i="15"/>
  <c r="AL175" i="15"/>
  <c r="AM175" i="15"/>
  <c r="AN175" i="15"/>
  <c r="AO175" i="15"/>
  <c r="AP175" i="15"/>
  <c r="AQ175" i="15"/>
  <c r="AR175" i="15"/>
  <c r="AS175" i="15"/>
  <c r="AT175" i="15"/>
  <c r="AU175" i="15"/>
  <c r="AV175" i="15"/>
  <c r="AW175" i="15"/>
  <c r="AX175" i="15"/>
  <c r="AY175" i="15"/>
  <c r="AZ175" i="15"/>
  <c r="BA175" i="15"/>
  <c r="BB175" i="15"/>
  <c r="BC175" i="15"/>
  <c r="BD175" i="15"/>
  <c r="BE175" i="15"/>
  <c r="B176" i="15"/>
  <c r="C176" i="15"/>
  <c r="D176" i="15"/>
  <c r="E176" i="15"/>
  <c r="F176" i="15"/>
  <c r="G176" i="15"/>
  <c r="H176" i="15"/>
  <c r="I176" i="15"/>
  <c r="J176" i="15"/>
  <c r="K176" i="15"/>
  <c r="L176" i="15"/>
  <c r="M176" i="15"/>
  <c r="N176" i="15"/>
  <c r="Q176" i="15"/>
  <c r="R176" i="15"/>
  <c r="S176" i="15"/>
  <c r="T176" i="15"/>
  <c r="U176" i="15"/>
  <c r="V176" i="15"/>
  <c r="W176" i="15"/>
  <c r="X176" i="15"/>
  <c r="Y176" i="15"/>
  <c r="Z176" i="15"/>
  <c r="AA176" i="15"/>
  <c r="AB176" i="15"/>
  <c r="AC176" i="15"/>
  <c r="AD176" i="15"/>
  <c r="AE176" i="15"/>
  <c r="AF176" i="15"/>
  <c r="AG176" i="15"/>
  <c r="AH176" i="15"/>
  <c r="AI176" i="15"/>
  <c r="AJ176" i="15"/>
  <c r="AK176" i="15"/>
  <c r="AL176" i="15"/>
  <c r="AM176" i="15"/>
  <c r="AN176" i="15"/>
  <c r="AO176" i="15"/>
  <c r="AP176" i="15"/>
  <c r="AQ176" i="15"/>
  <c r="AR176" i="15"/>
  <c r="AS176" i="15"/>
  <c r="AT176" i="15"/>
  <c r="AU176" i="15"/>
  <c r="AV176" i="15"/>
  <c r="AW176" i="15"/>
  <c r="AX176" i="15"/>
  <c r="AY176" i="15"/>
  <c r="AZ176" i="15"/>
  <c r="BA176" i="15"/>
  <c r="BB176" i="15"/>
  <c r="BC176" i="15"/>
  <c r="BD176" i="15"/>
  <c r="BE176" i="15"/>
  <c r="B177" i="15"/>
  <c r="C177" i="15"/>
  <c r="D177" i="15"/>
  <c r="E177" i="15"/>
  <c r="F177" i="15"/>
  <c r="G177" i="15"/>
  <c r="H177" i="15"/>
  <c r="I177" i="15"/>
  <c r="J177" i="15"/>
  <c r="K177" i="15"/>
  <c r="L177" i="15"/>
  <c r="M177" i="15"/>
  <c r="N177" i="15"/>
  <c r="Q177" i="15"/>
  <c r="R177" i="15"/>
  <c r="S177" i="15"/>
  <c r="T177" i="15"/>
  <c r="U177" i="15"/>
  <c r="V177" i="15"/>
  <c r="W177" i="15"/>
  <c r="X177" i="15"/>
  <c r="Y177" i="15"/>
  <c r="Z177" i="15"/>
  <c r="AA177" i="15"/>
  <c r="AB177" i="15"/>
  <c r="AC177" i="15"/>
  <c r="AD177" i="15"/>
  <c r="AE177" i="15"/>
  <c r="AF177" i="15"/>
  <c r="AG177" i="15"/>
  <c r="AH177" i="15"/>
  <c r="AI177" i="15"/>
  <c r="AJ177" i="15"/>
  <c r="AK177" i="15"/>
  <c r="AL177" i="15"/>
  <c r="AM177" i="15"/>
  <c r="AN177" i="15"/>
  <c r="AO177" i="15"/>
  <c r="AP177" i="15"/>
  <c r="AQ177" i="15"/>
  <c r="AR177" i="15"/>
  <c r="AS177" i="15"/>
  <c r="AT177" i="15"/>
  <c r="AU177" i="15"/>
  <c r="AV177" i="15"/>
  <c r="AW177" i="15"/>
  <c r="AX177" i="15"/>
  <c r="AY177" i="15"/>
  <c r="AZ177" i="15"/>
  <c r="BA177" i="15"/>
  <c r="BB177" i="15"/>
  <c r="BC177" i="15"/>
  <c r="BD177" i="15"/>
  <c r="BE177" i="15"/>
  <c r="B178" i="15"/>
  <c r="C178" i="15"/>
  <c r="D178" i="15"/>
  <c r="E178" i="15"/>
  <c r="F178" i="15"/>
  <c r="G178" i="15"/>
  <c r="H178" i="15"/>
  <c r="I178" i="15"/>
  <c r="J178" i="15"/>
  <c r="K178" i="15"/>
  <c r="L178" i="15"/>
  <c r="M178" i="15"/>
  <c r="N178" i="15"/>
  <c r="Q178" i="15"/>
  <c r="R178" i="15"/>
  <c r="S178" i="15"/>
  <c r="T178" i="15"/>
  <c r="U178" i="15"/>
  <c r="V178" i="15"/>
  <c r="W178" i="15"/>
  <c r="X178" i="15"/>
  <c r="Y178" i="15"/>
  <c r="Z178" i="15"/>
  <c r="AA178" i="15"/>
  <c r="AB178" i="15"/>
  <c r="AC178" i="15"/>
  <c r="AD178" i="15"/>
  <c r="AE178" i="15"/>
  <c r="AF178" i="15"/>
  <c r="AG178" i="15"/>
  <c r="AH178" i="15"/>
  <c r="AI178" i="15"/>
  <c r="AJ178" i="15"/>
  <c r="AK178" i="15"/>
  <c r="AL178" i="15"/>
  <c r="AM178" i="15"/>
  <c r="AN178" i="15"/>
  <c r="AO178" i="15"/>
  <c r="AP178" i="15"/>
  <c r="AQ178" i="15"/>
  <c r="AR178" i="15"/>
  <c r="AS178" i="15"/>
  <c r="AT178" i="15"/>
  <c r="AU178" i="15"/>
  <c r="AV178" i="15"/>
  <c r="AW178" i="15"/>
  <c r="AX178" i="15"/>
  <c r="AY178" i="15"/>
  <c r="AZ178" i="15"/>
  <c r="BA178" i="15"/>
  <c r="BB178" i="15"/>
  <c r="BC178" i="15"/>
  <c r="BD178" i="15"/>
  <c r="BE178" i="15"/>
  <c r="B179" i="15"/>
  <c r="C179" i="15"/>
  <c r="D179" i="15"/>
  <c r="E179" i="15"/>
  <c r="F179" i="15"/>
  <c r="G179" i="15"/>
  <c r="H179" i="15"/>
  <c r="I179" i="15"/>
  <c r="J179" i="15"/>
  <c r="K179" i="15"/>
  <c r="L179" i="15"/>
  <c r="M179" i="15"/>
  <c r="N179" i="15"/>
  <c r="Q179" i="15"/>
  <c r="R179" i="15"/>
  <c r="S179" i="15"/>
  <c r="T179" i="15"/>
  <c r="U179" i="15"/>
  <c r="V179" i="15"/>
  <c r="W179" i="15"/>
  <c r="X179" i="15"/>
  <c r="Y179" i="15"/>
  <c r="Z179" i="15"/>
  <c r="AA179" i="15"/>
  <c r="AB179" i="15"/>
  <c r="AC179" i="15"/>
  <c r="AD179" i="15"/>
  <c r="AE179" i="15"/>
  <c r="AF179" i="15"/>
  <c r="AG179" i="15"/>
  <c r="AH179" i="15"/>
  <c r="AI179" i="15"/>
  <c r="AJ179" i="15"/>
  <c r="AK179" i="15"/>
  <c r="AL179" i="15"/>
  <c r="AM179" i="15"/>
  <c r="AN179" i="15"/>
  <c r="AO179" i="15"/>
  <c r="AP179" i="15"/>
  <c r="AQ179" i="15"/>
  <c r="AR179" i="15"/>
  <c r="AS179" i="15"/>
  <c r="AT179" i="15"/>
  <c r="AU179" i="15"/>
  <c r="AV179" i="15"/>
  <c r="AW179" i="15"/>
  <c r="AX179" i="15"/>
  <c r="AY179" i="15"/>
  <c r="AZ179" i="15"/>
  <c r="BA179" i="15"/>
  <c r="BB179" i="15"/>
  <c r="BC179" i="15"/>
  <c r="BD179" i="15"/>
  <c r="BE179" i="15"/>
  <c r="B180" i="15"/>
  <c r="C180" i="15"/>
  <c r="D180" i="15"/>
  <c r="E180" i="15"/>
  <c r="F180" i="15"/>
  <c r="G180" i="15"/>
  <c r="H180" i="15"/>
  <c r="I180" i="15"/>
  <c r="J180" i="15"/>
  <c r="K180" i="15"/>
  <c r="L180" i="15"/>
  <c r="M180" i="15"/>
  <c r="N180" i="15"/>
  <c r="Q180" i="15"/>
  <c r="R180" i="15"/>
  <c r="S180" i="15"/>
  <c r="T180" i="15"/>
  <c r="U180" i="15"/>
  <c r="V180" i="15"/>
  <c r="W180" i="15"/>
  <c r="X180" i="15"/>
  <c r="Y180" i="15"/>
  <c r="Z180" i="15"/>
  <c r="AA180" i="15"/>
  <c r="AB180" i="15"/>
  <c r="AC180" i="15"/>
  <c r="AD180" i="15"/>
  <c r="AE180" i="15"/>
  <c r="AF180" i="15"/>
  <c r="AG180" i="15"/>
  <c r="AH180" i="15"/>
  <c r="AI180" i="15"/>
  <c r="AJ180" i="15"/>
  <c r="AK180" i="15"/>
  <c r="AL180" i="15"/>
  <c r="AM180" i="15"/>
  <c r="AN180" i="15"/>
  <c r="AO180" i="15"/>
  <c r="AP180" i="15"/>
  <c r="AQ180" i="15"/>
  <c r="AR180" i="15"/>
  <c r="AS180" i="15"/>
  <c r="AT180" i="15"/>
  <c r="AU180" i="15"/>
  <c r="AV180" i="15"/>
  <c r="AW180" i="15"/>
  <c r="AX180" i="15"/>
  <c r="AY180" i="15"/>
  <c r="AZ180" i="15"/>
  <c r="BA180" i="15"/>
  <c r="BB180" i="15"/>
  <c r="BC180" i="15"/>
  <c r="BD180" i="15"/>
  <c r="BE180" i="15"/>
  <c r="B181" i="15"/>
  <c r="C181" i="15"/>
  <c r="D181" i="15"/>
  <c r="E181" i="15"/>
  <c r="F181" i="15"/>
  <c r="G181" i="15"/>
  <c r="H181" i="15"/>
  <c r="I181" i="15"/>
  <c r="J181" i="15"/>
  <c r="K181" i="15"/>
  <c r="L181" i="15"/>
  <c r="M181" i="15"/>
  <c r="N181" i="15"/>
  <c r="Q181" i="15"/>
  <c r="R181" i="15"/>
  <c r="S181" i="15"/>
  <c r="T181" i="15"/>
  <c r="U181" i="15"/>
  <c r="V181" i="15"/>
  <c r="W181" i="15"/>
  <c r="X181" i="15"/>
  <c r="Y181" i="15"/>
  <c r="Z181" i="15"/>
  <c r="AA181" i="15"/>
  <c r="AB181" i="15"/>
  <c r="AC181" i="15"/>
  <c r="AD181" i="15"/>
  <c r="AE181" i="15"/>
  <c r="AF181" i="15"/>
  <c r="AG181" i="15"/>
  <c r="AH181" i="15"/>
  <c r="AI181" i="15"/>
  <c r="AJ181" i="15"/>
  <c r="AK181" i="15"/>
  <c r="AL181" i="15"/>
  <c r="AM181" i="15"/>
  <c r="AN181" i="15"/>
  <c r="AO181" i="15"/>
  <c r="AP181" i="15"/>
  <c r="AQ181" i="15"/>
  <c r="AR181" i="15"/>
  <c r="AS181" i="15"/>
  <c r="AT181" i="15"/>
  <c r="AU181" i="15"/>
  <c r="AV181" i="15"/>
  <c r="AW181" i="15"/>
  <c r="AX181" i="15"/>
  <c r="AY181" i="15"/>
  <c r="AZ181" i="15"/>
  <c r="BA181" i="15"/>
  <c r="BB181" i="15"/>
  <c r="BC181" i="15"/>
  <c r="BD181" i="15"/>
  <c r="BE181" i="15"/>
  <c r="B182" i="15"/>
  <c r="C182" i="15"/>
  <c r="D182" i="15"/>
  <c r="E182" i="15"/>
  <c r="F182" i="15"/>
  <c r="G182" i="15"/>
  <c r="H182" i="15"/>
  <c r="I182" i="15"/>
  <c r="J182" i="15"/>
  <c r="K182" i="15"/>
  <c r="L182" i="15"/>
  <c r="M182" i="15"/>
  <c r="N182" i="15"/>
  <c r="Q182" i="15"/>
  <c r="R182" i="15"/>
  <c r="S182" i="15"/>
  <c r="T182" i="15"/>
  <c r="U182" i="15"/>
  <c r="V182" i="15"/>
  <c r="W182" i="15"/>
  <c r="X182" i="15"/>
  <c r="Y182" i="15"/>
  <c r="Z182" i="15"/>
  <c r="AA182" i="15"/>
  <c r="AB182" i="15"/>
  <c r="AC182" i="15"/>
  <c r="AD182" i="15"/>
  <c r="AE182" i="15"/>
  <c r="AF182" i="15"/>
  <c r="AG182" i="15"/>
  <c r="AH182" i="15"/>
  <c r="AI182" i="15"/>
  <c r="AJ182" i="15"/>
  <c r="AK182" i="15"/>
  <c r="AL182" i="15"/>
  <c r="AM182" i="15"/>
  <c r="AN182" i="15"/>
  <c r="AO182" i="15"/>
  <c r="AP182" i="15"/>
  <c r="AQ182" i="15"/>
  <c r="AR182" i="15"/>
  <c r="AS182" i="15"/>
  <c r="AT182" i="15"/>
  <c r="AU182" i="15"/>
  <c r="AV182" i="15"/>
  <c r="AW182" i="15"/>
  <c r="AX182" i="15"/>
  <c r="AY182" i="15"/>
  <c r="AZ182" i="15"/>
  <c r="BA182" i="15"/>
  <c r="BB182" i="15"/>
  <c r="BC182" i="15"/>
  <c r="BD182" i="15"/>
  <c r="BE182" i="15"/>
  <c r="B183" i="15"/>
  <c r="C183" i="15"/>
  <c r="D183" i="15"/>
  <c r="E183" i="15"/>
  <c r="F183" i="15"/>
  <c r="G183" i="15"/>
  <c r="H183" i="15"/>
  <c r="I183" i="15"/>
  <c r="J183" i="15"/>
  <c r="K183" i="15"/>
  <c r="L183" i="15"/>
  <c r="M183" i="15"/>
  <c r="N183" i="15"/>
  <c r="Q183" i="15"/>
  <c r="R183" i="15"/>
  <c r="S183" i="15"/>
  <c r="T183" i="15"/>
  <c r="U183" i="15"/>
  <c r="V183" i="15"/>
  <c r="W183" i="15"/>
  <c r="X183" i="15"/>
  <c r="Y183" i="15"/>
  <c r="Z183" i="15"/>
  <c r="AA183" i="15"/>
  <c r="AB183" i="15"/>
  <c r="AC183" i="15"/>
  <c r="AD183" i="15"/>
  <c r="AE183" i="15"/>
  <c r="AF183" i="15"/>
  <c r="AG183" i="15"/>
  <c r="AH183" i="15"/>
  <c r="AI183" i="15"/>
  <c r="AJ183" i="15"/>
  <c r="AK183" i="15"/>
  <c r="AL183" i="15"/>
  <c r="AM183" i="15"/>
  <c r="AN183" i="15"/>
  <c r="AO183" i="15"/>
  <c r="AP183" i="15"/>
  <c r="AQ183" i="15"/>
  <c r="AR183" i="15"/>
  <c r="AS183" i="15"/>
  <c r="AT183" i="15"/>
  <c r="AU183" i="15"/>
  <c r="AV183" i="15"/>
  <c r="AW183" i="15"/>
  <c r="AX183" i="15"/>
  <c r="AY183" i="15"/>
  <c r="AZ183" i="15"/>
  <c r="BA183" i="15"/>
  <c r="BB183" i="15"/>
  <c r="BC183" i="15"/>
  <c r="BD183" i="15"/>
  <c r="BE183" i="15"/>
  <c r="B184" i="15"/>
  <c r="C184" i="15"/>
  <c r="D184" i="15"/>
  <c r="E184" i="15"/>
  <c r="F184" i="15"/>
  <c r="G184" i="15"/>
  <c r="H184" i="15"/>
  <c r="I184" i="15"/>
  <c r="J184" i="15"/>
  <c r="K184" i="15"/>
  <c r="L184" i="15"/>
  <c r="M184" i="15"/>
  <c r="N184" i="15"/>
  <c r="Q184" i="15"/>
  <c r="R184" i="15"/>
  <c r="S184" i="15"/>
  <c r="T184" i="15"/>
  <c r="U184" i="15"/>
  <c r="V184" i="15"/>
  <c r="W184" i="15"/>
  <c r="X184" i="15"/>
  <c r="Y184" i="15"/>
  <c r="Z184" i="15"/>
  <c r="AA184" i="15"/>
  <c r="AB184" i="15"/>
  <c r="AC184" i="15"/>
  <c r="AD184" i="15"/>
  <c r="AE184" i="15"/>
  <c r="AF184" i="15"/>
  <c r="AG184" i="15"/>
  <c r="AH184" i="15"/>
  <c r="AI184" i="15"/>
  <c r="AJ184" i="15"/>
  <c r="AK184" i="15"/>
  <c r="AL184" i="15"/>
  <c r="AM184" i="15"/>
  <c r="AN184" i="15"/>
  <c r="AO184" i="15"/>
  <c r="AP184" i="15"/>
  <c r="AQ184" i="15"/>
  <c r="AR184" i="15"/>
  <c r="AS184" i="15"/>
  <c r="AT184" i="15"/>
  <c r="AU184" i="15"/>
  <c r="AV184" i="15"/>
  <c r="AW184" i="15"/>
  <c r="AX184" i="15"/>
  <c r="AY184" i="15"/>
  <c r="AZ184" i="15"/>
  <c r="BA184" i="15"/>
  <c r="BB184" i="15"/>
  <c r="BC184" i="15"/>
  <c r="BD184" i="15"/>
  <c r="BE184" i="15"/>
  <c r="B185" i="15"/>
  <c r="C185" i="15"/>
  <c r="D185" i="15"/>
  <c r="E185" i="15"/>
  <c r="F185" i="15"/>
  <c r="G185" i="15"/>
  <c r="H185" i="15"/>
  <c r="I185" i="15"/>
  <c r="J185" i="15"/>
  <c r="K185" i="15"/>
  <c r="L185" i="15"/>
  <c r="M185" i="15"/>
  <c r="N185" i="15"/>
  <c r="Q185" i="15"/>
  <c r="R185" i="15"/>
  <c r="S185" i="15"/>
  <c r="T185" i="15"/>
  <c r="U185" i="15"/>
  <c r="V185" i="15"/>
  <c r="W185" i="15"/>
  <c r="X185" i="15"/>
  <c r="Y185" i="15"/>
  <c r="Z185" i="15"/>
  <c r="AA185" i="15"/>
  <c r="AB185" i="15"/>
  <c r="AC185" i="15"/>
  <c r="AD185" i="15"/>
  <c r="AE185" i="15"/>
  <c r="AF185" i="15"/>
  <c r="AG185" i="15"/>
  <c r="AH185" i="15"/>
  <c r="AI185" i="15"/>
  <c r="AJ185" i="15"/>
  <c r="AK185" i="15"/>
  <c r="AL185" i="15"/>
  <c r="AM185" i="15"/>
  <c r="AN185" i="15"/>
  <c r="AO185" i="15"/>
  <c r="AP185" i="15"/>
  <c r="AQ185" i="15"/>
  <c r="AR185" i="15"/>
  <c r="AS185" i="15"/>
  <c r="AT185" i="15"/>
  <c r="AU185" i="15"/>
  <c r="AV185" i="15"/>
  <c r="AW185" i="15"/>
  <c r="AX185" i="15"/>
  <c r="AY185" i="15"/>
  <c r="AZ185" i="15"/>
  <c r="BA185" i="15"/>
  <c r="BB185" i="15"/>
  <c r="BC185" i="15"/>
  <c r="BD185" i="15"/>
  <c r="BE185" i="15"/>
  <c r="C187" i="15"/>
  <c r="D187" i="15"/>
  <c r="E187" i="15"/>
  <c r="F187" i="15"/>
  <c r="G187" i="15"/>
  <c r="H187" i="15"/>
  <c r="I187" i="15"/>
  <c r="J187" i="15"/>
  <c r="K187" i="15"/>
  <c r="L187" i="15"/>
  <c r="M187" i="15"/>
  <c r="N187" i="15"/>
  <c r="O187" i="15"/>
  <c r="Q187" i="15"/>
  <c r="R187" i="15"/>
  <c r="S187" i="15"/>
  <c r="T187" i="15"/>
  <c r="U187" i="15"/>
  <c r="V187" i="15"/>
  <c r="W187" i="15"/>
  <c r="X187" i="15"/>
  <c r="Y187" i="15"/>
  <c r="Z187" i="15"/>
  <c r="AA187" i="15"/>
  <c r="AB187" i="15"/>
  <c r="AC187" i="15"/>
  <c r="AD187" i="15"/>
  <c r="AE187" i="15"/>
  <c r="AF187" i="15"/>
  <c r="AG187" i="15"/>
  <c r="AH187" i="15"/>
  <c r="AI187" i="15"/>
  <c r="AJ187" i="15"/>
  <c r="AK187" i="15"/>
  <c r="AL187" i="15"/>
  <c r="AM187" i="15"/>
  <c r="AN187" i="15"/>
  <c r="AO187" i="15"/>
  <c r="AP187" i="15"/>
  <c r="AQ187" i="15"/>
  <c r="AR187" i="15"/>
  <c r="AS187" i="15"/>
  <c r="AT187" i="15"/>
  <c r="AU187" i="15"/>
  <c r="AV187" i="15"/>
  <c r="AW187" i="15"/>
  <c r="AX187" i="15"/>
  <c r="AY187" i="15"/>
  <c r="AZ187" i="15"/>
  <c r="BA187" i="15"/>
  <c r="BB187" i="15"/>
  <c r="BC187" i="15"/>
  <c r="BD187" i="15"/>
  <c r="BE187" i="15"/>
  <c r="C189" i="15"/>
  <c r="D189" i="15"/>
  <c r="E189" i="15"/>
  <c r="F189" i="15"/>
  <c r="G189" i="15"/>
  <c r="H189" i="15"/>
  <c r="I189" i="15"/>
  <c r="J189" i="15"/>
  <c r="K189" i="15"/>
  <c r="L189" i="15"/>
  <c r="M189" i="15"/>
  <c r="N189" i="15"/>
  <c r="Q189" i="15"/>
  <c r="R189" i="15"/>
  <c r="S189" i="15"/>
  <c r="U189" i="15"/>
  <c r="V189" i="15"/>
  <c r="W189" i="15"/>
  <c r="Y189" i="15"/>
  <c r="Z189" i="15"/>
  <c r="AA189" i="15"/>
  <c r="AC189" i="15"/>
  <c r="AD189" i="15"/>
  <c r="AE189" i="15"/>
  <c r="AG189" i="15"/>
  <c r="AH189" i="15"/>
  <c r="AI189" i="15"/>
  <c r="AK189" i="15"/>
  <c r="AL189" i="15"/>
  <c r="AM189" i="15"/>
  <c r="AO189" i="15"/>
  <c r="AP189" i="15"/>
  <c r="AQ189" i="15"/>
  <c r="AS189" i="15"/>
  <c r="AT189" i="15"/>
  <c r="AU189" i="15"/>
  <c r="AW189" i="15"/>
  <c r="AX189" i="15"/>
  <c r="AY189" i="15"/>
  <c r="BA189" i="15"/>
  <c r="BB189" i="15"/>
  <c r="BC189" i="15"/>
  <c r="BE189" i="15"/>
  <c r="C190" i="15"/>
  <c r="D190" i="15"/>
  <c r="E190" i="15"/>
  <c r="F190" i="15"/>
  <c r="G190" i="15"/>
  <c r="H190" i="15"/>
  <c r="I190" i="15"/>
  <c r="J190" i="15"/>
  <c r="K190" i="15"/>
  <c r="L190" i="15"/>
  <c r="M190" i="15"/>
  <c r="N190" i="15"/>
  <c r="Q190" i="15"/>
  <c r="R190" i="15"/>
  <c r="S190" i="15"/>
  <c r="U190" i="15"/>
  <c r="V190" i="15"/>
  <c r="W190" i="15"/>
  <c r="Y190" i="15"/>
  <c r="Z190" i="15"/>
  <c r="AA190" i="15"/>
  <c r="AC190" i="15"/>
  <c r="AD190" i="15"/>
  <c r="AE190" i="15"/>
  <c r="AG190" i="15"/>
  <c r="AH190" i="15"/>
  <c r="AI190" i="15"/>
  <c r="AK190" i="15"/>
  <c r="AL190" i="15"/>
  <c r="AM190" i="15"/>
  <c r="AO190" i="15"/>
  <c r="AP190" i="15"/>
  <c r="AQ190" i="15"/>
  <c r="AS190" i="15"/>
  <c r="AT190" i="15"/>
  <c r="AU190" i="15"/>
  <c r="AW190" i="15"/>
  <c r="AX190" i="15"/>
  <c r="AY190" i="15"/>
  <c r="BA190" i="15"/>
  <c r="BB190" i="15"/>
  <c r="BC190" i="15"/>
  <c r="BE190" i="15"/>
  <c r="C192" i="15"/>
  <c r="D192" i="15"/>
  <c r="E192" i="15"/>
  <c r="F192" i="15"/>
  <c r="G192" i="15"/>
  <c r="H192" i="15"/>
  <c r="I192" i="15"/>
  <c r="J192" i="15"/>
  <c r="K192" i="15"/>
  <c r="L192" i="15"/>
  <c r="M192" i="15"/>
  <c r="N192" i="15"/>
  <c r="O192" i="15"/>
  <c r="Q192" i="15"/>
  <c r="R192" i="15"/>
  <c r="S192" i="15"/>
  <c r="T192" i="15"/>
  <c r="U192" i="15"/>
  <c r="V192" i="15"/>
  <c r="W192" i="15"/>
  <c r="X192" i="15"/>
  <c r="Y192" i="15"/>
  <c r="Z192" i="15"/>
  <c r="AA192" i="15"/>
  <c r="AB192" i="15"/>
  <c r="AC192" i="15"/>
  <c r="AD192" i="15"/>
  <c r="AE192" i="15"/>
  <c r="AF192" i="15"/>
  <c r="AG192" i="15"/>
  <c r="AH192" i="15"/>
  <c r="AI192" i="15"/>
  <c r="AJ192" i="15"/>
  <c r="AK192" i="15"/>
  <c r="AL192" i="15"/>
  <c r="AM192" i="15"/>
  <c r="AN192" i="15"/>
  <c r="AO192" i="15"/>
  <c r="AP192" i="15"/>
  <c r="AQ192" i="15"/>
  <c r="AR192" i="15"/>
  <c r="AS192" i="15"/>
  <c r="AT192" i="15"/>
  <c r="AU192" i="15"/>
  <c r="AV192" i="15"/>
  <c r="AW192" i="15"/>
  <c r="AX192" i="15"/>
  <c r="AY192" i="15"/>
  <c r="AZ192" i="15"/>
  <c r="BA192" i="15"/>
  <c r="BB192" i="15"/>
  <c r="BC192" i="15"/>
  <c r="BD192" i="15"/>
  <c r="BE192" i="15"/>
  <c r="C194" i="15"/>
  <c r="D194" i="15"/>
  <c r="E194" i="15"/>
  <c r="F194" i="15"/>
  <c r="G194" i="15"/>
  <c r="H194" i="15"/>
  <c r="I194" i="15"/>
  <c r="J194" i="15"/>
  <c r="K194" i="15"/>
  <c r="L194" i="15"/>
  <c r="M194" i="15"/>
  <c r="N194" i="15"/>
  <c r="T194" i="15"/>
  <c r="U194" i="15"/>
  <c r="V194" i="15"/>
  <c r="W194" i="15"/>
  <c r="X194" i="15"/>
  <c r="Y194" i="15"/>
  <c r="Z194" i="15"/>
  <c r="AA194" i="15"/>
  <c r="AB194" i="15"/>
  <c r="AC194" i="15"/>
  <c r="AD194" i="15"/>
  <c r="AE194" i="15"/>
  <c r="AF194" i="15"/>
  <c r="AG194" i="15"/>
  <c r="AH194" i="15"/>
  <c r="AI194" i="15"/>
  <c r="AJ194" i="15"/>
  <c r="AK194" i="15"/>
  <c r="AL194" i="15"/>
  <c r="AM194" i="15"/>
  <c r="AN194" i="15"/>
  <c r="AO194" i="15"/>
  <c r="AP194" i="15"/>
  <c r="AQ194" i="15"/>
  <c r="AR194" i="15"/>
  <c r="AS194" i="15"/>
  <c r="AT194" i="15"/>
  <c r="AU194" i="15"/>
  <c r="AV194" i="15"/>
  <c r="AW194" i="15"/>
  <c r="AX194" i="15"/>
  <c r="AY194" i="15"/>
  <c r="AZ194" i="15"/>
  <c r="BA194" i="15"/>
  <c r="BB194" i="15"/>
  <c r="BC194" i="15"/>
  <c r="BD194" i="15"/>
  <c r="BE194" i="15"/>
  <c r="C196" i="15"/>
  <c r="D196" i="15"/>
  <c r="E196" i="15"/>
  <c r="F196" i="15"/>
  <c r="G196" i="15"/>
  <c r="H196" i="15"/>
  <c r="I196" i="15"/>
  <c r="J196" i="15"/>
  <c r="K196" i="15"/>
  <c r="L196" i="15"/>
  <c r="M196" i="15"/>
  <c r="N196" i="15"/>
  <c r="U196" i="15"/>
  <c r="V196" i="15"/>
  <c r="W196" i="15"/>
  <c r="Y196" i="15"/>
  <c r="Z196" i="15"/>
  <c r="AA196" i="15"/>
  <c r="AC196" i="15"/>
  <c r="AD196" i="15"/>
  <c r="AE196" i="15"/>
  <c r="AG196" i="15"/>
  <c r="AH196" i="15"/>
  <c r="AI196" i="15"/>
  <c r="AK196" i="15"/>
  <c r="AL196" i="15"/>
  <c r="AM196" i="15"/>
  <c r="AO196" i="15"/>
  <c r="AP196" i="15"/>
  <c r="AQ196" i="15"/>
  <c r="AS196" i="15"/>
  <c r="AT196" i="15"/>
  <c r="AU196" i="15"/>
  <c r="AW196" i="15"/>
  <c r="AX196" i="15"/>
  <c r="AY196" i="15"/>
  <c r="BA196" i="15"/>
  <c r="BB196" i="15"/>
  <c r="BC196" i="15"/>
  <c r="BE196" i="15"/>
  <c r="C197" i="15"/>
  <c r="D197" i="15"/>
  <c r="E197" i="15"/>
  <c r="F197" i="15"/>
  <c r="G197" i="15"/>
  <c r="H197" i="15"/>
  <c r="I197" i="15"/>
  <c r="J197" i="15"/>
  <c r="K197" i="15"/>
  <c r="L197" i="15"/>
  <c r="M197" i="15"/>
  <c r="N197" i="15"/>
  <c r="U197" i="15"/>
  <c r="V197" i="15"/>
  <c r="W197" i="15"/>
  <c r="Y197" i="15"/>
  <c r="Z197" i="15"/>
  <c r="AA197" i="15"/>
  <c r="AC197" i="15"/>
  <c r="AD197" i="15"/>
  <c r="AE197" i="15"/>
  <c r="AG197" i="15"/>
  <c r="AH197" i="15"/>
  <c r="AI197" i="15"/>
  <c r="AK197" i="15"/>
  <c r="AL197" i="15"/>
  <c r="AM197" i="15"/>
  <c r="AO197" i="15"/>
  <c r="AP197" i="15"/>
  <c r="AQ197" i="15"/>
  <c r="AS197" i="15"/>
  <c r="AT197" i="15"/>
  <c r="AU197" i="15"/>
  <c r="AW197" i="15"/>
  <c r="AX197" i="15"/>
  <c r="AY197" i="15"/>
  <c r="BA197" i="15"/>
  <c r="BB197" i="15"/>
  <c r="BC197" i="15"/>
  <c r="BE197" i="15"/>
  <c r="C199" i="15"/>
  <c r="D199" i="15"/>
  <c r="E199" i="15"/>
  <c r="F199" i="15"/>
  <c r="G199" i="15"/>
  <c r="H199" i="15"/>
  <c r="I199" i="15"/>
  <c r="J199" i="15"/>
  <c r="K199" i="15"/>
  <c r="L199" i="15"/>
  <c r="M199" i="15"/>
  <c r="N199" i="15"/>
  <c r="T199" i="15"/>
  <c r="U199" i="15"/>
  <c r="V199" i="15"/>
  <c r="W199" i="15"/>
  <c r="X199" i="15"/>
  <c r="Y199" i="15"/>
  <c r="Z199" i="15"/>
  <c r="AA199" i="15"/>
  <c r="AB199" i="15"/>
  <c r="AC199" i="15"/>
  <c r="AD199" i="15"/>
  <c r="AE199" i="15"/>
  <c r="AF199" i="15"/>
  <c r="AG199" i="15"/>
  <c r="AH199" i="15"/>
  <c r="AI199" i="15"/>
  <c r="AJ199" i="15"/>
  <c r="AK199" i="15"/>
  <c r="AL199" i="15"/>
  <c r="AM199" i="15"/>
  <c r="AN199" i="15"/>
  <c r="AO199" i="15"/>
  <c r="AP199" i="15"/>
  <c r="AQ199" i="15"/>
  <c r="AR199" i="15"/>
  <c r="AS199" i="15"/>
  <c r="AT199" i="15"/>
  <c r="AU199" i="15"/>
  <c r="AV199" i="15"/>
  <c r="AW199" i="15"/>
  <c r="AX199" i="15"/>
  <c r="AY199" i="15"/>
  <c r="AZ199" i="15"/>
  <c r="BA199" i="15"/>
  <c r="BB199" i="15"/>
  <c r="BC199" i="15"/>
  <c r="BD199" i="15"/>
  <c r="BE199" i="15"/>
  <c r="C201" i="15"/>
  <c r="D201" i="15"/>
  <c r="E201" i="15"/>
  <c r="F201" i="15"/>
  <c r="G201" i="15"/>
  <c r="H201" i="15"/>
  <c r="I201" i="15"/>
  <c r="J201" i="15"/>
  <c r="K201" i="15"/>
  <c r="L201" i="15"/>
  <c r="M201" i="15"/>
  <c r="N201" i="15"/>
  <c r="T201" i="15"/>
  <c r="U201" i="15"/>
  <c r="V201" i="15"/>
  <c r="W201" i="15"/>
  <c r="X201" i="15"/>
  <c r="Y201" i="15"/>
  <c r="Z201" i="15"/>
  <c r="AA201" i="15"/>
  <c r="AB201" i="15"/>
  <c r="AC201" i="15"/>
  <c r="AD201" i="15"/>
  <c r="AE201" i="15"/>
  <c r="AF201" i="15"/>
  <c r="AG201" i="15"/>
  <c r="AH201" i="15"/>
  <c r="AI201" i="15"/>
  <c r="AJ201" i="15"/>
  <c r="AK201" i="15"/>
  <c r="AL201" i="15"/>
  <c r="AM201" i="15"/>
  <c r="AN201" i="15"/>
  <c r="AO201" i="15"/>
  <c r="AP201" i="15"/>
  <c r="AQ201" i="15"/>
  <c r="AR201" i="15"/>
  <c r="AS201" i="15"/>
  <c r="AT201" i="15"/>
  <c r="AU201" i="15"/>
  <c r="AV201" i="15"/>
  <c r="AW201" i="15"/>
  <c r="AX201" i="15"/>
  <c r="AY201" i="15"/>
  <c r="AZ201" i="15"/>
  <c r="BA201" i="15"/>
  <c r="BB201" i="15"/>
  <c r="BC201" i="15"/>
  <c r="BD201" i="15"/>
  <c r="BE201" i="15"/>
  <c r="C202" i="15"/>
  <c r="D202" i="15"/>
  <c r="E202" i="15"/>
  <c r="F202" i="15"/>
  <c r="G202" i="15"/>
  <c r="H202" i="15"/>
  <c r="I202" i="15"/>
  <c r="J202" i="15"/>
  <c r="K202" i="15"/>
  <c r="L202" i="15"/>
  <c r="M202" i="15"/>
  <c r="N202" i="15"/>
  <c r="T202" i="15"/>
  <c r="U202" i="15"/>
  <c r="V202" i="15"/>
  <c r="W202" i="15"/>
  <c r="X202" i="15"/>
  <c r="Y202" i="15"/>
  <c r="Z202" i="15"/>
  <c r="AA202" i="15"/>
  <c r="AB202" i="15"/>
  <c r="AC202" i="15"/>
  <c r="AD202" i="15"/>
  <c r="AE202" i="15"/>
  <c r="AF202" i="15"/>
  <c r="AG202" i="15"/>
  <c r="AH202" i="15"/>
  <c r="AI202" i="15"/>
  <c r="AJ202" i="15"/>
  <c r="AK202" i="15"/>
  <c r="AL202" i="15"/>
  <c r="AM202" i="15"/>
  <c r="AN202" i="15"/>
  <c r="AO202" i="15"/>
  <c r="AP202" i="15"/>
  <c r="AQ202" i="15"/>
  <c r="AR202" i="15"/>
  <c r="AS202" i="15"/>
  <c r="AT202" i="15"/>
  <c r="AU202" i="15"/>
  <c r="AV202" i="15"/>
  <c r="AW202" i="15"/>
  <c r="AX202" i="15"/>
  <c r="AY202" i="15"/>
  <c r="AZ202" i="15"/>
  <c r="BA202" i="15"/>
  <c r="BB202" i="15"/>
  <c r="BC202" i="15"/>
  <c r="BD202" i="15"/>
  <c r="BE202" i="15"/>
  <c r="C204" i="15"/>
  <c r="D204" i="15"/>
  <c r="E204" i="15"/>
  <c r="F204" i="15"/>
  <c r="G204" i="15"/>
  <c r="H204" i="15"/>
  <c r="I204" i="15"/>
  <c r="J204" i="15"/>
  <c r="K204" i="15"/>
  <c r="L204" i="15"/>
  <c r="M204" i="15"/>
  <c r="N204" i="15"/>
  <c r="Q204" i="15"/>
  <c r="R204" i="15"/>
  <c r="S204" i="15"/>
  <c r="U204" i="15"/>
  <c r="V204" i="15"/>
  <c r="W204" i="15"/>
  <c r="Y204" i="15"/>
  <c r="Z204" i="15"/>
  <c r="AA204" i="15"/>
  <c r="AC204" i="15"/>
  <c r="AD204" i="15"/>
  <c r="AE204" i="15"/>
  <c r="AG204" i="15"/>
  <c r="AH204" i="15"/>
  <c r="AI204" i="15"/>
  <c r="AK204" i="15"/>
  <c r="AL204" i="15"/>
  <c r="AM204" i="15"/>
  <c r="AO204" i="15"/>
  <c r="AP204" i="15"/>
  <c r="AQ204" i="15"/>
  <c r="AS204" i="15"/>
  <c r="AT204" i="15"/>
  <c r="AU204" i="15"/>
  <c r="AW204" i="15"/>
  <c r="AX204" i="15"/>
  <c r="AY204" i="15"/>
  <c r="BA204" i="15"/>
  <c r="BB204" i="15"/>
  <c r="BC204" i="15"/>
  <c r="BE204" i="15"/>
  <c r="H207" i="15"/>
  <c r="AR207" i="15"/>
  <c r="AS207" i="15"/>
  <c r="AT207" i="15"/>
  <c r="AW207" i="15"/>
  <c r="AX207" i="15"/>
  <c r="AY207" i="15"/>
  <c r="AZ207" i="15"/>
  <c r="BA207" i="15"/>
  <c r="BB207" i="15"/>
  <c r="BC207" i="15"/>
  <c r="BD207" i="15"/>
  <c r="BE207" i="15"/>
  <c r="C208" i="15"/>
  <c r="D208" i="15"/>
  <c r="E208" i="15"/>
  <c r="F208" i="15"/>
  <c r="G208" i="15"/>
  <c r="H208" i="15"/>
  <c r="I208" i="15"/>
  <c r="J208" i="15"/>
  <c r="Q208" i="15"/>
  <c r="R208" i="15"/>
  <c r="S208" i="15"/>
  <c r="T208" i="15"/>
  <c r="U208" i="15"/>
  <c r="V208" i="15"/>
  <c r="W208" i="15"/>
  <c r="X208" i="15"/>
  <c r="Y208" i="15"/>
  <c r="Z208" i="15"/>
  <c r="AA208" i="15"/>
  <c r="AB208" i="15"/>
  <c r="AC208" i="15"/>
  <c r="AD208" i="15"/>
  <c r="AE208" i="15"/>
  <c r="AF208" i="15"/>
  <c r="AG208" i="15"/>
  <c r="AH208" i="15"/>
  <c r="AI208" i="15"/>
  <c r="AJ208" i="15"/>
  <c r="AK208" i="15"/>
  <c r="AL208" i="15"/>
  <c r="AM208" i="15"/>
  <c r="AN208" i="15"/>
  <c r="AO208" i="15"/>
  <c r="AP208" i="15"/>
  <c r="AQ207" i="15" s="1"/>
  <c r="AU208" i="15"/>
  <c r="AW208" i="15"/>
  <c r="AX208" i="15"/>
  <c r="AY208" i="15"/>
  <c r="BA208" i="15"/>
  <c r="BB208" i="15"/>
  <c r="BC208" i="15"/>
  <c r="BD208" i="15"/>
  <c r="N208" i="15" s="1"/>
  <c r="BE208" i="15"/>
  <c r="O208" i="15" s="1"/>
  <c r="C209" i="15"/>
  <c r="D209" i="15"/>
  <c r="E209" i="15"/>
  <c r="F209" i="15"/>
  <c r="G209" i="15"/>
  <c r="H209" i="15"/>
  <c r="I209" i="15"/>
  <c r="J209" i="15"/>
  <c r="K209" i="15"/>
  <c r="L209" i="15"/>
  <c r="M209" i="15"/>
  <c r="N209" i="15"/>
  <c r="O209" i="15"/>
  <c r="Q209" i="15"/>
  <c r="R209" i="15"/>
  <c r="S209" i="15"/>
  <c r="T209" i="15"/>
  <c r="U209" i="15"/>
  <c r="V209" i="15"/>
  <c r="W209" i="15"/>
  <c r="X209" i="15"/>
  <c r="Y209" i="15"/>
  <c r="Z209" i="15"/>
  <c r="AA209" i="15"/>
  <c r="AB209" i="15"/>
  <c r="AC209" i="15"/>
  <c r="AD209" i="15"/>
  <c r="AE209" i="15"/>
  <c r="AF209" i="15"/>
  <c r="AG209" i="15"/>
  <c r="AH209" i="15"/>
  <c r="AI209" i="15"/>
  <c r="AJ209" i="15"/>
  <c r="AK209" i="15"/>
  <c r="AL209" i="15"/>
  <c r="AM209" i="15"/>
  <c r="AN209" i="15"/>
  <c r="AO209" i="15"/>
  <c r="AP209" i="15"/>
  <c r="AQ209" i="15"/>
  <c r="AR209" i="15"/>
  <c r="AS209" i="15"/>
  <c r="AT209" i="15"/>
  <c r="AU209" i="15"/>
  <c r="AV209" i="15"/>
  <c r="AW209" i="15"/>
  <c r="AX209" i="15"/>
  <c r="AY209" i="15"/>
  <c r="AZ209" i="15"/>
  <c r="BA209" i="15"/>
  <c r="BB209" i="15"/>
  <c r="BC209" i="15"/>
  <c r="BD209" i="15"/>
  <c r="BE209" i="15"/>
  <c r="C211" i="15"/>
  <c r="D211" i="15"/>
  <c r="E211" i="15"/>
  <c r="F211" i="15"/>
  <c r="G211" i="15"/>
  <c r="H211" i="15"/>
  <c r="I211" i="15"/>
  <c r="J211" i="15"/>
  <c r="K211" i="15"/>
  <c r="L211" i="15"/>
  <c r="M211" i="15"/>
  <c r="N211" i="15"/>
  <c r="O211" i="15"/>
  <c r="Q211" i="15"/>
  <c r="R211" i="15"/>
  <c r="S211" i="15"/>
  <c r="T211" i="15"/>
  <c r="U211" i="15"/>
  <c r="V211" i="15"/>
  <c r="W211" i="15"/>
  <c r="X211" i="15"/>
  <c r="Y211" i="15"/>
  <c r="Z211" i="15"/>
  <c r="AA211" i="15"/>
  <c r="AB211" i="15"/>
  <c r="AC211" i="15"/>
  <c r="AD211" i="15"/>
  <c r="AE211" i="15"/>
  <c r="AF211" i="15"/>
  <c r="AG211" i="15"/>
  <c r="AH211" i="15"/>
  <c r="AI211" i="15"/>
  <c r="AJ211" i="15"/>
  <c r="AK211" i="15"/>
  <c r="AL211" i="15"/>
  <c r="AM211" i="15"/>
  <c r="AN211" i="15"/>
  <c r="AO211" i="15"/>
  <c r="AP211" i="15"/>
  <c r="AQ211" i="15"/>
  <c r="AR211" i="15"/>
  <c r="AS211" i="15"/>
  <c r="AT211" i="15"/>
  <c r="AU211" i="15"/>
  <c r="AV211" i="15"/>
  <c r="AW211" i="15"/>
  <c r="AX211" i="15"/>
  <c r="AY211" i="15"/>
  <c r="AZ211" i="15"/>
  <c r="BA211" i="15"/>
  <c r="BB211" i="15"/>
  <c r="BC211" i="15"/>
  <c r="BD211" i="15"/>
  <c r="BE211" i="15"/>
  <c r="C212" i="15"/>
  <c r="D212" i="15"/>
  <c r="E212" i="15"/>
  <c r="F212" i="15"/>
  <c r="G212" i="15"/>
  <c r="H212" i="15"/>
  <c r="T212" i="15"/>
  <c r="U212" i="15"/>
  <c r="V212" i="15"/>
  <c r="W212" i="15"/>
  <c r="X212" i="15"/>
  <c r="Y212" i="15"/>
  <c r="Z212" i="15"/>
  <c r="AA212" i="15"/>
  <c r="AB212" i="15"/>
  <c r="AC212" i="15"/>
  <c r="AD212" i="15"/>
  <c r="AE212" i="15"/>
  <c r="AF212" i="15"/>
  <c r="AT212" i="15"/>
  <c r="AZ212" i="15"/>
  <c r="BA212" i="15"/>
  <c r="BB212" i="15"/>
  <c r="BC212" i="15"/>
  <c r="BD212" i="15"/>
  <c r="BE212" i="15"/>
  <c r="C213" i="15"/>
  <c r="D213" i="15"/>
  <c r="E213" i="15"/>
  <c r="F213" i="15"/>
  <c r="G213" i="15"/>
  <c r="H213" i="15"/>
  <c r="T213" i="15"/>
  <c r="U213" i="15"/>
  <c r="V213" i="15"/>
  <c r="W213" i="15"/>
  <c r="X213" i="15"/>
  <c r="Y213" i="15"/>
  <c r="Z213" i="15"/>
  <c r="AA213" i="15"/>
  <c r="AB213" i="15"/>
  <c r="AC213" i="15"/>
  <c r="AD213" i="15"/>
  <c r="AE213" i="15"/>
  <c r="AF213" i="15"/>
  <c r="AT213" i="15"/>
  <c r="AZ213" i="15"/>
  <c r="BA213" i="15"/>
  <c r="BB213" i="15"/>
  <c r="BC213" i="15"/>
  <c r="BD213" i="15"/>
  <c r="BE213" i="15"/>
  <c r="C214" i="15"/>
  <c r="D214" i="15"/>
  <c r="E214" i="15"/>
  <c r="F214" i="15"/>
  <c r="G214" i="15"/>
  <c r="H214" i="15"/>
  <c r="T214" i="15"/>
  <c r="U214" i="15"/>
  <c r="V214" i="15"/>
  <c r="W214" i="15"/>
  <c r="X214" i="15"/>
  <c r="Y214" i="15"/>
  <c r="Z214" i="15"/>
  <c r="AA214" i="15"/>
  <c r="AB214" i="15"/>
  <c r="AC214" i="15"/>
  <c r="AD214" i="15"/>
  <c r="AE214" i="15"/>
  <c r="AF214" i="15"/>
  <c r="AT214" i="15"/>
  <c r="AZ214" i="15"/>
  <c r="BA214" i="15"/>
  <c r="BB214" i="15"/>
  <c r="BC214" i="15"/>
  <c r="BD214" i="15"/>
  <c r="BE214" i="15"/>
  <c r="C215" i="15"/>
  <c r="D215" i="15"/>
  <c r="E215" i="15"/>
  <c r="F215" i="15"/>
  <c r="G215" i="15"/>
  <c r="H215" i="15"/>
  <c r="T215" i="15"/>
  <c r="U215" i="15"/>
  <c r="V215" i="15"/>
  <c r="W215" i="15"/>
  <c r="X215" i="15"/>
  <c r="Y215" i="15"/>
  <c r="Z215" i="15"/>
  <c r="AA215" i="15"/>
  <c r="AB215" i="15"/>
  <c r="AC215" i="15"/>
  <c r="AD215" i="15"/>
  <c r="AE215" i="15"/>
  <c r="AF215" i="15"/>
  <c r="AT215" i="15"/>
  <c r="AZ215" i="15"/>
  <c r="BA215" i="15"/>
  <c r="BB215" i="15"/>
  <c r="BC215" i="15"/>
  <c r="BD215" i="15"/>
  <c r="BE215" i="15"/>
  <c r="C216" i="15"/>
  <c r="D216" i="15"/>
  <c r="E216" i="15"/>
  <c r="F216" i="15"/>
  <c r="G216" i="15"/>
  <c r="H216" i="15"/>
  <c r="T216" i="15"/>
  <c r="U216" i="15"/>
  <c r="V216" i="15"/>
  <c r="W216" i="15"/>
  <c r="X216" i="15"/>
  <c r="Y216" i="15"/>
  <c r="Z216" i="15"/>
  <c r="AA216" i="15"/>
  <c r="AB216" i="15"/>
  <c r="AC216" i="15"/>
  <c r="AD216" i="15"/>
  <c r="AE216" i="15"/>
  <c r="AF216" i="15"/>
  <c r="AT216" i="15"/>
  <c r="AZ216" i="15"/>
  <c r="BA216" i="15"/>
  <c r="BB216" i="15"/>
  <c r="BC216" i="15"/>
  <c r="BD216" i="15"/>
  <c r="BE216" i="15"/>
  <c r="C217" i="15"/>
  <c r="D217" i="15"/>
  <c r="E217" i="15"/>
  <c r="F217" i="15"/>
  <c r="G217" i="15"/>
  <c r="H217" i="15"/>
  <c r="T217" i="15"/>
  <c r="U217" i="15"/>
  <c r="V217" i="15"/>
  <c r="W217" i="15"/>
  <c r="X217" i="15"/>
  <c r="Y217" i="15"/>
  <c r="Z217" i="15"/>
  <c r="AA217" i="15"/>
  <c r="AB217" i="15"/>
  <c r="AC217" i="15"/>
  <c r="AD217" i="15"/>
  <c r="AE217" i="15"/>
  <c r="AF217" i="15"/>
  <c r="AT217" i="15"/>
  <c r="AZ217" i="15"/>
  <c r="BA217" i="15"/>
  <c r="BB217" i="15"/>
  <c r="BC217" i="15"/>
  <c r="BD217" i="15"/>
  <c r="BE217" i="15"/>
  <c r="C218" i="15"/>
  <c r="D218" i="15"/>
  <c r="E218" i="15"/>
  <c r="F218" i="15"/>
  <c r="G218" i="15"/>
  <c r="H218" i="15"/>
  <c r="I218" i="15"/>
  <c r="J218" i="15"/>
  <c r="K218" i="15"/>
  <c r="L218" i="15"/>
  <c r="M218" i="15"/>
  <c r="N218" i="15"/>
  <c r="O218" i="15"/>
  <c r="T218" i="15"/>
  <c r="U218" i="15"/>
  <c r="V218" i="15"/>
  <c r="W218" i="15"/>
  <c r="X218" i="15"/>
  <c r="Y218" i="15"/>
  <c r="Z218" i="15"/>
  <c r="AA218" i="15"/>
  <c r="AB218" i="15"/>
  <c r="AC218" i="15"/>
  <c r="AD218" i="15"/>
  <c r="AE218" i="15"/>
  <c r="AF218" i="15"/>
  <c r="AG218" i="15"/>
  <c r="AH218" i="15"/>
  <c r="AI218" i="15"/>
  <c r="AJ218" i="15"/>
  <c r="AK218" i="15"/>
  <c r="AL218" i="15"/>
  <c r="AM218" i="15"/>
  <c r="AN218" i="15"/>
  <c r="AO218" i="15"/>
  <c r="AP218" i="15"/>
  <c r="AQ218" i="15"/>
  <c r="AR218" i="15"/>
  <c r="AS218" i="15"/>
  <c r="AT218" i="15"/>
  <c r="AU218" i="15"/>
  <c r="AV218" i="15"/>
  <c r="AW218" i="15"/>
  <c r="AX218" i="15"/>
  <c r="AY218" i="15"/>
  <c r="AZ218" i="15"/>
  <c r="BA218" i="15"/>
  <c r="BB218" i="15"/>
  <c r="BC218" i="15"/>
  <c r="BD218" i="15"/>
  <c r="BE218" i="15"/>
  <c r="C219" i="15"/>
  <c r="D219" i="15"/>
  <c r="E219" i="15"/>
  <c r="F219" i="15"/>
  <c r="G219" i="15"/>
  <c r="H219" i="15"/>
  <c r="I219" i="15"/>
  <c r="J219" i="15"/>
  <c r="K219" i="15"/>
  <c r="L219" i="15"/>
  <c r="M219" i="15"/>
  <c r="N219" i="15"/>
  <c r="U219" i="15"/>
  <c r="V219" i="15"/>
  <c r="W219" i="15"/>
  <c r="Y219" i="15"/>
  <c r="Z219" i="15"/>
  <c r="AA219" i="15"/>
  <c r="AC219" i="15"/>
  <c r="AD219" i="15"/>
  <c r="AE219" i="15"/>
  <c r="AG219" i="15"/>
  <c r="AH219" i="15"/>
  <c r="AI219" i="15"/>
  <c r="AK219" i="15"/>
  <c r="AL219" i="15"/>
  <c r="AM219" i="15"/>
  <c r="AO219" i="15"/>
  <c r="AP219" i="15"/>
  <c r="AQ219" i="15"/>
  <c r="AS219" i="15"/>
  <c r="AT219" i="15"/>
  <c r="AU219" i="15"/>
  <c r="AW219" i="15"/>
  <c r="AX219" i="15"/>
  <c r="AY219" i="15"/>
  <c r="BA219" i="15"/>
  <c r="BB219" i="15"/>
  <c r="BC219" i="15"/>
  <c r="BE219" i="15"/>
  <c r="C220" i="15"/>
  <c r="D220" i="15"/>
  <c r="E220" i="15"/>
  <c r="F220" i="15"/>
  <c r="G220" i="15"/>
  <c r="H220" i="15"/>
  <c r="I220" i="15"/>
  <c r="J220" i="15"/>
  <c r="K220" i="15"/>
  <c r="L220" i="15"/>
  <c r="M220" i="15"/>
  <c r="N220" i="15"/>
  <c r="U220" i="15"/>
  <c r="V220" i="15"/>
  <c r="W220" i="15"/>
  <c r="Y220" i="15"/>
  <c r="Z220" i="15"/>
  <c r="AA220" i="15"/>
  <c r="AC220" i="15"/>
  <c r="AD220" i="15"/>
  <c r="AE220" i="15"/>
  <c r="AG220" i="15"/>
  <c r="AH220" i="15"/>
  <c r="AI220" i="15"/>
  <c r="AK220" i="15"/>
  <c r="AL220" i="15"/>
  <c r="AM220" i="15"/>
  <c r="AO220" i="15"/>
  <c r="AP220" i="15"/>
  <c r="AQ220" i="15"/>
  <c r="AS220" i="15"/>
  <c r="AT220" i="15"/>
  <c r="AU220" i="15"/>
  <c r="AW220" i="15"/>
  <c r="AX220" i="15"/>
  <c r="AY220" i="15"/>
  <c r="BA220" i="15"/>
  <c r="BB220" i="15"/>
  <c r="BC220" i="15"/>
  <c r="BE220" i="15"/>
  <c r="C221" i="15"/>
  <c r="D221" i="15"/>
  <c r="E221" i="15"/>
  <c r="F221" i="15"/>
  <c r="G221" i="15"/>
  <c r="H221" i="15"/>
  <c r="I221" i="15"/>
  <c r="J221" i="15"/>
  <c r="K221" i="15"/>
  <c r="L221" i="15"/>
  <c r="M221" i="15"/>
  <c r="N221" i="15"/>
  <c r="O221" i="15"/>
  <c r="T221" i="15"/>
  <c r="U221" i="15"/>
  <c r="V221" i="15"/>
  <c r="W221" i="15"/>
  <c r="X221" i="15"/>
  <c r="Y221" i="15"/>
  <c r="Z221" i="15"/>
  <c r="AA221" i="15"/>
  <c r="AB221" i="15"/>
  <c r="AC221" i="15"/>
  <c r="AD221" i="15"/>
  <c r="AE221" i="15"/>
  <c r="AF221" i="15"/>
  <c r="AG221" i="15"/>
  <c r="AH221" i="15"/>
  <c r="AI221" i="15"/>
  <c r="AJ221" i="15"/>
  <c r="AK221" i="15"/>
  <c r="AL221" i="15"/>
  <c r="AM221" i="15"/>
  <c r="AN221" i="15"/>
  <c r="AO221" i="15"/>
  <c r="AP221" i="15"/>
  <c r="AQ221" i="15"/>
  <c r="AR221" i="15"/>
  <c r="AS221" i="15"/>
  <c r="AT221" i="15"/>
  <c r="AU221" i="15"/>
  <c r="AV221" i="15"/>
  <c r="AW221" i="15"/>
  <c r="AX221" i="15"/>
  <c r="AY221" i="15"/>
  <c r="AZ221" i="15"/>
  <c r="BA221" i="15"/>
  <c r="BB221" i="15"/>
  <c r="BC221" i="15"/>
  <c r="BD221" i="15"/>
  <c r="BE221" i="15"/>
  <c r="C222" i="15"/>
  <c r="D222" i="15"/>
  <c r="E222" i="15"/>
  <c r="F222" i="15"/>
  <c r="G222" i="15"/>
  <c r="H222" i="15"/>
  <c r="U222" i="15"/>
  <c r="V222" i="15"/>
  <c r="W222" i="15"/>
  <c r="Y222" i="15"/>
  <c r="Z222" i="15"/>
  <c r="AA222" i="15"/>
  <c r="AC222" i="15"/>
  <c r="AD222" i="15"/>
  <c r="AE222" i="15"/>
  <c r="AT222" i="15"/>
  <c r="BA222" i="15"/>
  <c r="BB222" i="15"/>
  <c r="BC222" i="15"/>
  <c r="BE222" i="15"/>
  <c r="C223" i="15"/>
  <c r="D223" i="15"/>
  <c r="E223" i="15"/>
  <c r="F223" i="15"/>
  <c r="G223" i="15"/>
  <c r="H223" i="15"/>
  <c r="U223" i="15"/>
  <c r="V223" i="15"/>
  <c r="W223" i="15"/>
  <c r="Y223" i="15"/>
  <c r="Z223" i="15"/>
  <c r="AA223" i="15"/>
  <c r="AC223" i="15"/>
  <c r="AD223" i="15"/>
  <c r="AE223" i="15"/>
  <c r="AT223" i="15"/>
  <c r="BA223" i="15"/>
  <c r="BB223" i="15"/>
  <c r="BC223" i="15"/>
  <c r="BE223" i="15"/>
  <c r="C224" i="15"/>
  <c r="D224" i="15"/>
  <c r="E224" i="15"/>
  <c r="F224" i="15"/>
  <c r="G224" i="15"/>
  <c r="H224" i="15"/>
  <c r="T224" i="15"/>
  <c r="U224" i="15"/>
  <c r="V224" i="15"/>
  <c r="W224" i="15"/>
  <c r="X224" i="15"/>
  <c r="Y224" i="15"/>
  <c r="Z224" i="15"/>
  <c r="AA224" i="15"/>
  <c r="AB224" i="15"/>
  <c r="AC224" i="15"/>
  <c r="AD224" i="15"/>
  <c r="AE224" i="15"/>
  <c r="AF224" i="15"/>
  <c r="AT224" i="15"/>
  <c r="AZ224" i="15"/>
  <c r="BA224" i="15"/>
  <c r="BB224" i="15"/>
  <c r="BC224" i="15"/>
  <c r="BD224" i="15"/>
  <c r="BE224" i="15"/>
  <c r="C227" i="15"/>
  <c r="C141" i="15" s="1"/>
  <c r="D227" i="15"/>
  <c r="E227" i="15"/>
  <c r="F227" i="15"/>
  <c r="G227" i="15"/>
  <c r="H227" i="15"/>
  <c r="I227" i="15"/>
  <c r="J227" i="15"/>
  <c r="K227" i="15"/>
  <c r="L227" i="15"/>
  <c r="M227" i="15"/>
  <c r="N227" i="15"/>
  <c r="O227" i="15"/>
  <c r="Q227" i="15"/>
  <c r="R227" i="15"/>
  <c r="S227" i="15"/>
  <c r="T227" i="15"/>
  <c r="U227" i="15"/>
  <c r="V227" i="15"/>
  <c r="W227" i="15"/>
  <c r="X227" i="15"/>
  <c r="Y227" i="15"/>
  <c r="Z227" i="15"/>
  <c r="AA227" i="15"/>
  <c r="AB227" i="15"/>
  <c r="AC227" i="15"/>
  <c r="AD227" i="15"/>
  <c r="AE227" i="15"/>
  <c r="AF227" i="15"/>
  <c r="AG227" i="15"/>
  <c r="AH227" i="15"/>
  <c r="AI227" i="15"/>
  <c r="AJ227" i="15"/>
  <c r="AK227" i="15"/>
  <c r="AL227" i="15"/>
  <c r="AM227" i="15"/>
  <c r="AN227" i="15"/>
  <c r="AO227" i="15"/>
  <c r="AP227" i="15"/>
  <c r="AQ227" i="15"/>
  <c r="AR227" i="15"/>
  <c r="AS227" i="15"/>
  <c r="AT227" i="15"/>
  <c r="AU227" i="15"/>
  <c r="AV227" i="15"/>
  <c r="AW227" i="15"/>
  <c r="AX227" i="15"/>
  <c r="AY227" i="15"/>
  <c r="AZ227" i="15"/>
  <c r="BA227" i="15"/>
  <c r="BB227" i="15"/>
  <c r="BC227" i="15"/>
  <c r="BD227" i="15"/>
  <c r="BE227" i="15"/>
  <c r="C228" i="15"/>
  <c r="D228" i="15"/>
  <c r="E228" i="15"/>
  <c r="F228" i="15"/>
  <c r="G228" i="15"/>
  <c r="H228" i="15"/>
  <c r="I228" i="15"/>
  <c r="J228" i="15"/>
  <c r="K228" i="15"/>
  <c r="L228" i="15"/>
  <c r="M228" i="15"/>
  <c r="N228" i="15"/>
  <c r="O228" i="15"/>
  <c r="Q228" i="15"/>
  <c r="R228" i="15"/>
  <c r="S228" i="15"/>
  <c r="T228" i="15"/>
  <c r="U228" i="15"/>
  <c r="V228" i="15"/>
  <c r="W228" i="15"/>
  <c r="X228" i="15"/>
  <c r="Y228" i="15"/>
  <c r="Z228" i="15"/>
  <c r="AA228" i="15"/>
  <c r="AB228" i="15"/>
  <c r="AC228" i="15"/>
  <c r="AD228" i="15"/>
  <c r="AE228" i="15"/>
  <c r="AF228" i="15"/>
  <c r="AG228" i="15"/>
  <c r="AH228" i="15"/>
  <c r="AI228" i="15"/>
  <c r="AJ228" i="15"/>
  <c r="AK228" i="15"/>
  <c r="AL228" i="15"/>
  <c r="AM228" i="15"/>
  <c r="AN228" i="15"/>
  <c r="AO228" i="15"/>
  <c r="AP228" i="15"/>
  <c r="AQ228" i="15"/>
  <c r="AR228" i="15"/>
  <c r="AS228" i="15"/>
  <c r="AT228" i="15"/>
  <c r="AU228" i="15"/>
  <c r="AV228" i="15"/>
  <c r="AW228" i="15"/>
  <c r="AX228" i="15"/>
  <c r="AY228" i="15"/>
  <c r="AZ228" i="15"/>
  <c r="BA228" i="15"/>
  <c r="BB228" i="15"/>
  <c r="BC228" i="15"/>
  <c r="BD228" i="15"/>
  <c r="BE228" i="15"/>
  <c r="C229" i="15"/>
  <c r="D229" i="15"/>
  <c r="E229" i="15"/>
  <c r="F229" i="15"/>
  <c r="G229" i="15"/>
  <c r="H229" i="15"/>
  <c r="I229" i="15"/>
  <c r="J229" i="15"/>
  <c r="K229" i="15"/>
  <c r="L229" i="15"/>
  <c r="M229" i="15"/>
  <c r="N229" i="15"/>
  <c r="O229" i="15"/>
  <c r="Q229" i="15"/>
  <c r="R229" i="15"/>
  <c r="S229" i="15"/>
  <c r="T229" i="15"/>
  <c r="U229" i="15"/>
  <c r="V229" i="15"/>
  <c r="W229" i="15"/>
  <c r="X229" i="15"/>
  <c r="Y229" i="15"/>
  <c r="Z229" i="15"/>
  <c r="AA229" i="15"/>
  <c r="AB229" i="15"/>
  <c r="AC229" i="15"/>
  <c r="AD229" i="15"/>
  <c r="AE229" i="15"/>
  <c r="AF229" i="15"/>
  <c r="AG229" i="15"/>
  <c r="AH229" i="15"/>
  <c r="AI229" i="15"/>
  <c r="AJ229" i="15"/>
  <c r="AK229" i="15"/>
  <c r="AL229" i="15"/>
  <c r="AM229" i="15"/>
  <c r="AN229" i="15"/>
  <c r="AO229" i="15"/>
  <c r="AP229" i="15"/>
  <c r="AQ229" i="15"/>
  <c r="AR229" i="15"/>
  <c r="AS229" i="15"/>
  <c r="AT229" i="15"/>
  <c r="AU229" i="15"/>
  <c r="AV229" i="15"/>
  <c r="AW229" i="15"/>
  <c r="AX229" i="15"/>
  <c r="AY229" i="15"/>
  <c r="AZ229" i="15"/>
  <c r="BA229" i="15"/>
  <c r="BB229" i="15"/>
  <c r="BC229" i="15"/>
  <c r="BD229" i="15"/>
  <c r="BE229" i="15"/>
  <c r="B230" i="15"/>
  <c r="C230" i="15"/>
  <c r="D230" i="15"/>
  <c r="E230" i="15"/>
  <c r="F230" i="15"/>
  <c r="G230" i="15"/>
  <c r="H230" i="15"/>
  <c r="Q230" i="15"/>
  <c r="R230" i="15"/>
  <c r="S230" i="15"/>
  <c r="T230" i="15"/>
  <c r="U230" i="15"/>
  <c r="V230" i="15"/>
  <c r="W230" i="15"/>
  <c r="X230" i="15"/>
  <c r="Y230" i="15"/>
  <c r="Z230" i="15"/>
  <c r="AA230" i="15"/>
  <c r="AB230" i="15"/>
  <c r="AC230" i="15"/>
  <c r="AD230" i="15"/>
  <c r="AE230" i="15"/>
  <c r="AF230" i="15"/>
  <c r="AQ230" i="15"/>
  <c r="AR230" i="15"/>
  <c r="AS230" i="15"/>
  <c r="AT230" i="15"/>
  <c r="AW230" i="15"/>
  <c r="AX230" i="15"/>
  <c r="AY230" i="15"/>
  <c r="AZ230" i="15"/>
  <c r="BA230" i="15"/>
  <c r="BB230" i="15"/>
  <c r="BC230" i="15"/>
  <c r="BD230" i="15"/>
  <c r="BE230" i="15"/>
  <c r="B231" i="15"/>
  <c r="E231" i="15"/>
  <c r="F231" i="15"/>
  <c r="G231" i="15"/>
  <c r="H231" i="15"/>
  <c r="U231" i="15"/>
  <c r="V231" i="15"/>
  <c r="W231" i="15"/>
  <c r="X231" i="15"/>
  <c r="Y231" i="15"/>
  <c r="Z231" i="15"/>
  <c r="AA231" i="15"/>
  <c r="AB231" i="15"/>
  <c r="AC231" i="15"/>
  <c r="AD231" i="15"/>
  <c r="AE231" i="15"/>
  <c r="AF231" i="15"/>
  <c r="AW231" i="15"/>
  <c r="AX231" i="15"/>
  <c r="BA231" i="15"/>
  <c r="BB231" i="15"/>
  <c r="BC231" i="15"/>
  <c r="BD231" i="15"/>
  <c r="BE231" i="15"/>
  <c r="B233" i="15"/>
  <c r="C233" i="15"/>
  <c r="D233" i="15"/>
  <c r="E233" i="15"/>
  <c r="F233" i="15"/>
  <c r="G233" i="15"/>
  <c r="H233" i="15"/>
  <c r="Q233" i="15"/>
  <c r="R233" i="15"/>
  <c r="S233" i="15"/>
  <c r="T233" i="15"/>
  <c r="U233" i="15"/>
  <c r="V233" i="15"/>
  <c r="W233" i="15"/>
  <c r="X233" i="15"/>
  <c r="Y233" i="15"/>
  <c r="Z233" i="15"/>
  <c r="AA233" i="15"/>
  <c r="AB233" i="15"/>
  <c r="AC233" i="15"/>
  <c r="AD233" i="15"/>
  <c r="AE233" i="15"/>
  <c r="AF233" i="15"/>
  <c r="AQ233" i="15"/>
  <c r="AR233" i="15"/>
  <c r="AS233" i="15"/>
  <c r="AT233" i="15"/>
  <c r="AW233" i="15"/>
  <c r="AX233" i="15"/>
  <c r="AY233" i="15"/>
  <c r="AZ233" i="15"/>
  <c r="BA233" i="15"/>
  <c r="BB233" i="15"/>
  <c r="BC233" i="15"/>
  <c r="BD233" i="15"/>
  <c r="BE233" i="15"/>
  <c r="B234" i="15"/>
  <c r="E234" i="15"/>
  <c r="F234" i="15"/>
  <c r="G234" i="15"/>
  <c r="H234" i="15"/>
  <c r="U234" i="15"/>
  <c r="V234" i="15"/>
  <c r="W234" i="15"/>
  <c r="X234" i="15"/>
  <c r="Y234" i="15"/>
  <c r="Z234" i="15"/>
  <c r="AA234" i="15"/>
  <c r="AB234" i="15"/>
  <c r="AC234" i="15"/>
  <c r="AD234" i="15"/>
  <c r="AE234" i="15"/>
  <c r="AF234" i="15"/>
  <c r="AW234" i="15"/>
  <c r="AX234" i="15"/>
  <c r="BA234" i="15"/>
  <c r="BB234" i="15"/>
  <c r="BC234" i="15"/>
  <c r="BD234" i="15"/>
  <c r="BE234" i="15"/>
  <c r="B235" i="15"/>
  <c r="C235" i="15"/>
  <c r="D235" i="15"/>
  <c r="E235" i="15"/>
  <c r="F235" i="15"/>
  <c r="G235" i="15"/>
  <c r="H235" i="15"/>
  <c r="Q235" i="15"/>
  <c r="R235" i="15"/>
  <c r="S235" i="15"/>
  <c r="T235" i="15"/>
  <c r="U235" i="15"/>
  <c r="V235" i="15"/>
  <c r="W235" i="15"/>
  <c r="X235" i="15"/>
  <c r="Y235" i="15"/>
  <c r="Z235" i="15"/>
  <c r="AA235" i="15"/>
  <c r="AB235" i="15"/>
  <c r="AC235" i="15"/>
  <c r="AD235" i="15"/>
  <c r="AE235" i="15"/>
  <c r="AF235" i="15"/>
  <c r="AQ235" i="15"/>
  <c r="AR235" i="15"/>
  <c r="AS235" i="15"/>
  <c r="AT235" i="15"/>
  <c r="AW235" i="15"/>
  <c r="AX235" i="15"/>
  <c r="AY235" i="15"/>
  <c r="AZ235" i="15"/>
  <c r="BA235" i="15"/>
  <c r="BB235" i="15"/>
  <c r="BC235" i="15"/>
  <c r="BD235" i="15"/>
  <c r="BE235" i="15"/>
  <c r="B237" i="15"/>
  <c r="C237" i="15"/>
  <c r="D237" i="15"/>
  <c r="E237" i="15"/>
  <c r="F237" i="15"/>
  <c r="G237" i="15"/>
  <c r="H237" i="15"/>
  <c r="Q237" i="15"/>
  <c r="R237" i="15"/>
  <c r="S237" i="15"/>
  <c r="T237" i="15"/>
  <c r="U237" i="15"/>
  <c r="V237" i="15"/>
  <c r="W237" i="15"/>
  <c r="X237" i="15"/>
  <c r="Y237" i="15"/>
  <c r="Z237" i="15"/>
  <c r="AA237" i="15"/>
  <c r="AB237" i="15"/>
  <c r="AC237" i="15"/>
  <c r="AD237" i="15"/>
  <c r="AE237" i="15"/>
  <c r="AF237" i="15"/>
  <c r="AQ237" i="15"/>
  <c r="AR237" i="15"/>
  <c r="AS237" i="15"/>
  <c r="AT237" i="15"/>
  <c r="AW237" i="15"/>
  <c r="AX237" i="15"/>
  <c r="AY237" i="15"/>
  <c r="AZ237" i="15"/>
  <c r="BA237" i="15"/>
  <c r="BB237" i="15"/>
  <c r="BC237" i="15"/>
  <c r="BD237" i="15"/>
  <c r="BE237" i="15"/>
  <c r="B238" i="15"/>
  <c r="C238" i="15"/>
  <c r="D238" i="15"/>
  <c r="E238" i="15"/>
  <c r="F238" i="15"/>
  <c r="G238" i="15"/>
  <c r="H238" i="15"/>
  <c r="Q238" i="15"/>
  <c r="R238" i="15"/>
  <c r="S238" i="15"/>
  <c r="T238" i="15"/>
  <c r="U238" i="15"/>
  <c r="V238" i="15"/>
  <c r="W238" i="15"/>
  <c r="X238" i="15"/>
  <c r="Y238" i="15"/>
  <c r="Z238" i="15"/>
  <c r="AA238" i="15"/>
  <c r="AB238" i="15"/>
  <c r="AC238" i="15"/>
  <c r="AD238" i="15"/>
  <c r="AE238" i="15"/>
  <c r="AF238" i="15"/>
  <c r="AQ238" i="15"/>
  <c r="AR238" i="15"/>
  <c r="AS238" i="15"/>
  <c r="AT238" i="15"/>
  <c r="AW238" i="15"/>
  <c r="AX238" i="15"/>
  <c r="AY238" i="15"/>
  <c r="AZ238" i="15"/>
  <c r="BA238" i="15"/>
  <c r="BB238" i="15"/>
  <c r="BC238" i="15"/>
  <c r="BD238" i="15"/>
  <c r="BE238" i="15"/>
  <c r="B239" i="15"/>
  <c r="C239" i="15"/>
  <c r="D239" i="15"/>
  <c r="E239" i="15"/>
  <c r="F239" i="15"/>
  <c r="G239" i="15"/>
  <c r="H239" i="15"/>
  <c r="Q239" i="15"/>
  <c r="R239" i="15"/>
  <c r="S239" i="15"/>
  <c r="T239" i="15"/>
  <c r="U239" i="15"/>
  <c r="V239" i="15"/>
  <c r="W239" i="15"/>
  <c r="X239" i="15"/>
  <c r="Y239" i="15"/>
  <c r="Z239" i="15"/>
  <c r="AA239" i="15"/>
  <c r="AB239" i="15"/>
  <c r="AC239" i="15"/>
  <c r="AD239" i="15"/>
  <c r="AE239" i="15"/>
  <c r="AF239" i="15"/>
  <c r="AQ239" i="15"/>
  <c r="AR239" i="15"/>
  <c r="AS239" i="15"/>
  <c r="AT239" i="15"/>
  <c r="AW239" i="15"/>
  <c r="AX239" i="15"/>
  <c r="AY239" i="15"/>
  <c r="AZ239" i="15"/>
  <c r="BA239" i="15"/>
  <c r="BB239" i="15"/>
  <c r="BC239" i="15"/>
  <c r="BD239" i="15"/>
  <c r="BE239" i="15"/>
  <c r="B240" i="15"/>
  <c r="C240" i="15"/>
  <c r="D240" i="15"/>
  <c r="E240" i="15"/>
  <c r="F240" i="15"/>
  <c r="G240" i="15"/>
  <c r="H240" i="15"/>
  <c r="Q240" i="15"/>
  <c r="R240" i="15"/>
  <c r="S240" i="15"/>
  <c r="T240" i="15"/>
  <c r="U240" i="15"/>
  <c r="V240" i="15"/>
  <c r="W240" i="15"/>
  <c r="X240" i="15"/>
  <c r="Y240" i="15"/>
  <c r="Z240" i="15"/>
  <c r="AA240" i="15"/>
  <c r="AB240" i="15"/>
  <c r="AC240" i="15"/>
  <c r="AD240" i="15"/>
  <c r="AE240" i="15"/>
  <c r="AF240" i="15"/>
  <c r="AQ240" i="15"/>
  <c r="AR240" i="15"/>
  <c r="AS240" i="15"/>
  <c r="AT240" i="15"/>
  <c r="AW240" i="15"/>
  <c r="AX240" i="15"/>
  <c r="AY240" i="15"/>
  <c r="AZ240" i="15"/>
  <c r="BA240" i="15"/>
  <c r="BB240" i="15"/>
  <c r="BC240" i="15"/>
  <c r="BD240" i="15"/>
  <c r="BE240" i="15"/>
  <c r="B241" i="15"/>
  <c r="C241" i="15"/>
  <c r="D241" i="15"/>
  <c r="E241" i="15"/>
  <c r="F241" i="15"/>
  <c r="G241" i="15"/>
  <c r="H241" i="15"/>
  <c r="Q241" i="15"/>
  <c r="R241" i="15"/>
  <c r="S241" i="15"/>
  <c r="T241" i="15"/>
  <c r="U241" i="15"/>
  <c r="V241" i="15"/>
  <c r="W241" i="15"/>
  <c r="X241" i="15"/>
  <c r="Y241" i="15"/>
  <c r="Z241" i="15"/>
  <c r="AA241" i="15"/>
  <c r="AB241" i="15"/>
  <c r="AC241" i="15"/>
  <c r="AD241" i="15"/>
  <c r="AE241" i="15"/>
  <c r="AF241" i="15"/>
  <c r="AQ241" i="15"/>
  <c r="AR241" i="15"/>
  <c r="AS241" i="15"/>
  <c r="AT241" i="15"/>
  <c r="AW241" i="15"/>
  <c r="AX241" i="15"/>
  <c r="AY241" i="15"/>
  <c r="AZ241" i="15"/>
  <c r="BA241" i="15"/>
  <c r="BB241" i="15"/>
  <c r="BC241" i="15"/>
  <c r="BD241" i="15"/>
  <c r="BE241" i="15"/>
  <c r="B242" i="15"/>
  <c r="C242" i="15"/>
  <c r="D242" i="15"/>
  <c r="E242" i="15"/>
  <c r="F242" i="15"/>
  <c r="G242" i="15"/>
  <c r="H242" i="15"/>
  <c r="Q242" i="15"/>
  <c r="R242" i="15"/>
  <c r="S242" i="15"/>
  <c r="T242" i="15"/>
  <c r="U242" i="15"/>
  <c r="V242" i="15"/>
  <c r="W242" i="15"/>
  <c r="X242" i="15"/>
  <c r="Y242" i="15"/>
  <c r="Z242" i="15"/>
  <c r="AA242" i="15"/>
  <c r="AB242" i="15"/>
  <c r="AC242" i="15"/>
  <c r="AD242" i="15"/>
  <c r="AE242" i="15"/>
  <c r="AF242" i="15"/>
  <c r="AQ242" i="15"/>
  <c r="AR242" i="15"/>
  <c r="AS242" i="15"/>
  <c r="AT242" i="15"/>
  <c r="AW242" i="15"/>
  <c r="AX242" i="15"/>
  <c r="AY242" i="15"/>
  <c r="AZ242" i="15"/>
  <c r="BA242" i="15"/>
  <c r="BB242" i="15"/>
  <c r="BC242" i="15"/>
  <c r="BD242" i="15"/>
  <c r="BE242" i="15"/>
  <c r="B243" i="15"/>
  <c r="C243" i="15"/>
  <c r="D243" i="15"/>
  <c r="E243" i="15"/>
  <c r="F243" i="15"/>
  <c r="G243" i="15"/>
  <c r="H243" i="15"/>
  <c r="Q243" i="15"/>
  <c r="R243" i="15"/>
  <c r="S243" i="15"/>
  <c r="T243" i="15"/>
  <c r="U243" i="15"/>
  <c r="V243" i="15"/>
  <c r="W243" i="15"/>
  <c r="X243" i="15"/>
  <c r="Y243" i="15"/>
  <c r="Z243" i="15"/>
  <c r="AA243" i="15"/>
  <c r="AB243" i="15"/>
  <c r="AC243" i="15"/>
  <c r="AD243" i="15"/>
  <c r="AE243" i="15"/>
  <c r="AF243" i="15"/>
  <c r="AQ243" i="15"/>
  <c r="AR243" i="15"/>
  <c r="AS243" i="15"/>
  <c r="AT243" i="15"/>
  <c r="AW243" i="15"/>
  <c r="AX243" i="15"/>
  <c r="AY243" i="15"/>
  <c r="AZ243" i="15"/>
  <c r="BA243" i="15"/>
  <c r="BB243" i="15"/>
  <c r="BC243" i="15"/>
  <c r="BD243" i="15"/>
  <c r="BE243" i="15"/>
  <c r="B244" i="15"/>
  <c r="C244" i="15"/>
  <c r="D244" i="15"/>
  <c r="E244" i="15"/>
  <c r="F244" i="15"/>
  <c r="G244" i="15"/>
  <c r="H244" i="15"/>
  <c r="Q244" i="15"/>
  <c r="R244" i="15"/>
  <c r="S244" i="15"/>
  <c r="T244" i="15"/>
  <c r="U244" i="15"/>
  <c r="V244" i="15"/>
  <c r="W244" i="15"/>
  <c r="X244" i="15"/>
  <c r="Y244" i="15"/>
  <c r="Z244" i="15"/>
  <c r="AA244" i="15"/>
  <c r="AB244" i="15"/>
  <c r="AC244" i="15"/>
  <c r="AD244" i="15"/>
  <c r="AE244" i="15"/>
  <c r="AF244" i="15"/>
  <c r="AQ244" i="15"/>
  <c r="AR244" i="15"/>
  <c r="AS244" i="15"/>
  <c r="AT244" i="15"/>
  <c r="AW244" i="15"/>
  <c r="AX244" i="15"/>
  <c r="AY244" i="15"/>
  <c r="AZ244" i="15"/>
  <c r="BA244" i="15"/>
  <c r="BB244" i="15"/>
  <c r="BC244" i="15"/>
  <c r="BD244" i="15"/>
  <c r="BE244" i="15"/>
  <c r="B245" i="15"/>
  <c r="C245" i="15"/>
  <c r="D245" i="15"/>
  <c r="E245" i="15"/>
  <c r="F245" i="15"/>
  <c r="G245" i="15"/>
  <c r="H245" i="15"/>
  <c r="Q245" i="15"/>
  <c r="R245" i="15"/>
  <c r="S245" i="15"/>
  <c r="T245" i="15"/>
  <c r="U245" i="15"/>
  <c r="V245" i="15"/>
  <c r="W245" i="15"/>
  <c r="X245" i="15"/>
  <c r="Y245" i="15"/>
  <c r="Z245" i="15"/>
  <c r="AA245" i="15"/>
  <c r="AB245" i="15"/>
  <c r="AC245" i="15"/>
  <c r="AD245" i="15"/>
  <c r="AE245" i="15"/>
  <c r="AF245" i="15"/>
  <c r="AQ245" i="15"/>
  <c r="AR245" i="15"/>
  <c r="AS245" i="15"/>
  <c r="AT245" i="15"/>
  <c r="AW245" i="15"/>
  <c r="AX245" i="15"/>
  <c r="AY245" i="15"/>
  <c r="AZ245" i="15"/>
  <c r="BA245" i="15"/>
  <c r="BB245" i="15"/>
  <c r="BC245" i="15"/>
  <c r="BD245" i="15"/>
  <c r="BE245" i="15"/>
  <c r="B246" i="15"/>
  <c r="C246" i="15"/>
  <c r="D246" i="15"/>
  <c r="E246" i="15"/>
  <c r="F246" i="15"/>
  <c r="G246" i="15"/>
  <c r="H246" i="15"/>
  <c r="Q246" i="15"/>
  <c r="R246" i="15"/>
  <c r="S246" i="15"/>
  <c r="T246" i="15"/>
  <c r="U246" i="15"/>
  <c r="V246" i="15"/>
  <c r="W246" i="15"/>
  <c r="X246" i="15"/>
  <c r="Y246" i="15"/>
  <c r="Z246" i="15"/>
  <c r="AA246" i="15"/>
  <c r="AB246" i="15"/>
  <c r="AC246" i="15"/>
  <c r="AD246" i="15"/>
  <c r="AE246" i="15"/>
  <c r="AF246" i="15"/>
  <c r="AQ246" i="15"/>
  <c r="AR246" i="15"/>
  <c r="AS246" i="15"/>
  <c r="AT246" i="15"/>
  <c r="AW246" i="15"/>
  <c r="AX246" i="15"/>
  <c r="AY246" i="15"/>
  <c r="AZ246" i="15"/>
  <c r="BA246" i="15"/>
  <c r="BB246" i="15"/>
  <c r="BC246" i="15"/>
  <c r="BD246" i="15"/>
  <c r="BE246" i="15"/>
  <c r="B247" i="15"/>
  <c r="C247" i="15"/>
  <c r="D247" i="15"/>
  <c r="E247" i="15"/>
  <c r="F247" i="15"/>
  <c r="G247" i="15"/>
  <c r="H247" i="15"/>
  <c r="Q247" i="15"/>
  <c r="R247" i="15"/>
  <c r="S247" i="15"/>
  <c r="T247" i="15"/>
  <c r="U247" i="15"/>
  <c r="V247" i="15"/>
  <c r="W247" i="15"/>
  <c r="X247" i="15"/>
  <c r="Y247" i="15"/>
  <c r="Z247" i="15"/>
  <c r="AA247" i="15"/>
  <c r="AB247" i="15"/>
  <c r="AC247" i="15"/>
  <c r="AD247" i="15"/>
  <c r="AE247" i="15"/>
  <c r="AF247" i="15"/>
  <c r="AQ247" i="15"/>
  <c r="AR247" i="15"/>
  <c r="AS247" i="15"/>
  <c r="AT247" i="15"/>
  <c r="AW247" i="15"/>
  <c r="AX247" i="15"/>
  <c r="AY247" i="15"/>
  <c r="AZ247" i="15"/>
  <c r="BA247" i="15"/>
  <c r="BB247" i="15"/>
  <c r="BC247" i="15"/>
  <c r="BD247" i="15"/>
  <c r="BE247" i="15"/>
  <c r="B248" i="15"/>
  <c r="C248" i="15"/>
  <c r="D248" i="15"/>
  <c r="E248" i="15"/>
  <c r="F248" i="15"/>
  <c r="G248" i="15"/>
  <c r="H248" i="15"/>
  <c r="Q248" i="15"/>
  <c r="R248" i="15"/>
  <c r="S248" i="15"/>
  <c r="T248" i="15"/>
  <c r="U248" i="15"/>
  <c r="V248" i="15"/>
  <c r="W248" i="15"/>
  <c r="X248" i="15"/>
  <c r="Y248" i="15"/>
  <c r="Z248" i="15"/>
  <c r="AA248" i="15"/>
  <c r="AB248" i="15"/>
  <c r="AC248" i="15"/>
  <c r="AD248" i="15"/>
  <c r="AE248" i="15"/>
  <c r="AF248" i="15"/>
  <c r="AQ248" i="15"/>
  <c r="AR248" i="15"/>
  <c r="AS248" i="15"/>
  <c r="AT248" i="15"/>
  <c r="AW248" i="15"/>
  <c r="AX248" i="15"/>
  <c r="AY248" i="15"/>
  <c r="AZ248" i="15"/>
  <c r="BA248" i="15"/>
  <c r="BB248" i="15"/>
  <c r="BC248" i="15"/>
  <c r="BD248" i="15"/>
  <c r="BE248" i="15"/>
  <c r="B249" i="15"/>
  <c r="C249" i="15"/>
  <c r="D249" i="15"/>
  <c r="E249" i="15"/>
  <c r="F249" i="15"/>
  <c r="G249" i="15"/>
  <c r="H249" i="15"/>
  <c r="Q249" i="15"/>
  <c r="R249" i="15"/>
  <c r="S249" i="15"/>
  <c r="T249" i="15"/>
  <c r="U249" i="15"/>
  <c r="V249" i="15"/>
  <c r="W249" i="15"/>
  <c r="X249" i="15"/>
  <c r="Y249" i="15"/>
  <c r="Z249" i="15"/>
  <c r="AA249" i="15"/>
  <c r="AB249" i="15"/>
  <c r="AC249" i="15"/>
  <c r="AD249" i="15"/>
  <c r="AE249" i="15"/>
  <c r="AF249" i="15"/>
  <c r="AQ249" i="15"/>
  <c r="AR249" i="15"/>
  <c r="AS249" i="15"/>
  <c r="AT249" i="15"/>
  <c r="AW249" i="15"/>
  <c r="AX249" i="15"/>
  <c r="AY249" i="15"/>
  <c r="AZ249" i="15"/>
  <c r="BA249" i="15"/>
  <c r="BB249" i="15"/>
  <c r="BC249" i="15"/>
  <c r="BD249" i="15"/>
  <c r="BE249" i="15"/>
  <c r="B250" i="15"/>
  <c r="C250" i="15"/>
  <c r="D250" i="15"/>
  <c r="E250" i="15"/>
  <c r="F250" i="15"/>
  <c r="G250" i="15"/>
  <c r="H250" i="15"/>
  <c r="Q250" i="15"/>
  <c r="R250" i="15"/>
  <c r="S250" i="15"/>
  <c r="T250" i="15"/>
  <c r="U250" i="15"/>
  <c r="V250" i="15"/>
  <c r="W250" i="15"/>
  <c r="X250" i="15"/>
  <c r="Y250" i="15"/>
  <c r="Z250" i="15"/>
  <c r="AA250" i="15"/>
  <c r="AB250" i="15"/>
  <c r="AC250" i="15"/>
  <c r="AD250" i="15"/>
  <c r="AE250" i="15"/>
  <c r="AF250" i="15"/>
  <c r="AQ250" i="15"/>
  <c r="AR250" i="15"/>
  <c r="AS250" i="15"/>
  <c r="AT250" i="15"/>
  <c r="AW250" i="15"/>
  <c r="AX250" i="15"/>
  <c r="AY250" i="15"/>
  <c r="AZ250" i="15"/>
  <c r="BA250" i="15"/>
  <c r="BB250" i="15"/>
  <c r="BC250" i="15"/>
  <c r="BD250" i="15"/>
  <c r="BE250" i="15"/>
  <c r="B251" i="15"/>
  <c r="C251" i="15"/>
  <c r="D251" i="15"/>
  <c r="E251" i="15"/>
  <c r="F251" i="15"/>
  <c r="G251" i="15"/>
  <c r="H251" i="15"/>
  <c r="Q251" i="15"/>
  <c r="R251" i="15"/>
  <c r="S251" i="15"/>
  <c r="T251" i="15"/>
  <c r="U251" i="15"/>
  <c r="V251" i="15"/>
  <c r="W251" i="15"/>
  <c r="X251" i="15"/>
  <c r="Y251" i="15"/>
  <c r="Z251" i="15"/>
  <c r="AA251" i="15"/>
  <c r="AB251" i="15"/>
  <c r="AC251" i="15"/>
  <c r="AD251" i="15"/>
  <c r="AE251" i="15"/>
  <c r="AF251" i="15"/>
  <c r="AQ251" i="15"/>
  <c r="AR251" i="15"/>
  <c r="AS251" i="15"/>
  <c r="AT251" i="15"/>
  <c r="AW251" i="15"/>
  <c r="AX251" i="15"/>
  <c r="AY251" i="15"/>
  <c r="AZ251" i="15"/>
  <c r="BA251" i="15"/>
  <c r="BB251" i="15"/>
  <c r="BC251" i="15"/>
  <c r="BD251" i="15"/>
  <c r="BE251" i="15"/>
  <c r="B252" i="15"/>
  <c r="C252" i="15"/>
  <c r="D252" i="15"/>
  <c r="E252" i="15"/>
  <c r="F252" i="15"/>
  <c r="G252" i="15"/>
  <c r="H252" i="15"/>
  <c r="Q252" i="15"/>
  <c r="R252" i="15"/>
  <c r="S252" i="15"/>
  <c r="T252" i="15"/>
  <c r="U252" i="15"/>
  <c r="V252" i="15"/>
  <c r="W252" i="15"/>
  <c r="X252" i="15"/>
  <c r="Y252" i="15"/>
  <c r="Z252" i="15"/>
  <c r="AA252" i="15"/>
  <c r="AB252" i="15"/>
  <c r="AC252" i="15"/>
  <c r="AD252" i="15"/>
  <c r="AE252" i="15"/>
  <c r="AF252" i="15"/>
  <c r="AQ252" i="15"/>
  <c r="AR252" i="15"/>
  <c r="AS252" i="15"/>
  <c r="AT252" i="15"/>
  <c r="AW252" i="15"/>
  <c r="AX252" i="15"/>
  <c r="AY252" i="15"/>
  <c r="AZ252" i="15"/>
  <c r="BA252" i="15"/>
  <c r="BB252" i="15"/>
  <c r="BC252" i="15"/>
  <c r="BD252" i="15"/>
  <c r="BE252" i="15"/>
  <c r="B253" i="15"/>
  <c r="C253" i="15"/>
  <c r="D253" i="15"/>
  <c r="E253" i="15"/>
  <c r="F253" i="15"/>
  <c r="G253" i="15"/>
  <c r="H253" i="15"/>
  <c r="Q253" i="15"/>
  <c r="R253" i="15"/>
  <c r="S253" i="15"/>
  <c r="T253" i="15"/>
  <c r="U253" i="15"/>
  <c r="V253" i="15"/>
  <c r="W253" i="15"/>
  <c r="X253" i="15"/>
  <c r="Y253" i="15"/>
  <c r="Z253" i="15"/>
  <c r="AA253" i="15"/>
  <c r="AB253" i="15"/>
  <c r="AC253" i="15"/>
  <c r="AD253" i="15"/>
  <c r="AE253" i="15"/>
  <c r="AF253" i="15"/>
  <c r="AQ253" i="15"/>
  <c r="AR253" i="15"/>
  <c r="AS253" i="15"/>
  <c r="AT253" i="15"/>
  <c r="AW253" i="15"/>
  <c r="AX253" i="15"/>
  <c r="AY253" i="15"/>
  <c r="AZ253" i="15"/>
  <c r="BA253" i="15"/>
  <c r="BB253" i="15"/>
  <c r="BC253" i="15"/>
  <c r="BD253" i="15"/>
  <c r="BE253" i="15"/>
  <c r="B254" i="15"/>
  <c r="C254" i="15"/>
  <c r="D254" i="15"/>
  <c r="E254" i="15"/>
  <c r="F254" i="15"/>
  <c r="G254" i="15"/>
  <c r="H254" i="15"/>
  <c r="Q254" i="15"/>
  <c r="R254" i="15"/>
  <c r="S254" i="15"/>
  <c r="T254" i="15"/>
  <c r="U254" i="15"/>
  <c r="V254" i="15"/>
  <c r="W254" i="15"/>
  <c r="X254" i="15"/>
  <c r="Y254" i="15"/>
  <c r="Z254" i="15"/>
  <c r="AA254" i="15"/>
  <c r="AB254" i="15"/>
  <c r="AC254" i="15"/>
  <c r="AD254" i="15"/>
  <c r="AE254" i="15"/>
  <c r="AF254" i="15"/>
  <c r="AQ254" i="15"/>
  <c r="AR254" i="15"/>
  <c r="AS254" i="15"/>
  <c r="AT254" i="15"/>
  <c r="AW254" i="15"/>
  <c r="AX254" i="15"/>
  <c r="AY254" i="15"/>
  <c r="AZ254" i="15"/>
  <c r="BA254" i="15"/>
  <c r="BB254" i="15"/>
  <c r="BC254" i="15"/>
  <c r="BD254" i="15"/>
  <c r="BE254" i="15"/>
  <c r="B255" i="15"/>
  <c r="C255" i="15"/>
  <c r="D255" i="15"/>
  <c r="E255" i="15"/>
  <c r="F255" i="15"/>
  <c r="G255" i="15"/>
  <c r="H255" i="15"/>
  <c r="Q255" i="15"/>
  <c r="R255" i="15"/>
  <c r="S255" i="15"/>
  <c r="T255" i="15"/>
  <c r="U255" i="15"/>
  <c r="V255" i="15"/>
  <c r="W255" i="15"/>
  <c r="X255" i="15"/>
  <c r="Y255" i="15"/>
  <c r="Z255" i="15"/>
  <c r="AA255" i="15"/>
  <c r="AB255" i="15"/>
  <c r="AC255" i="15"/>
  <c r="AD255" i="15"/>
  <c r="AE255" i="15"/>
  <c r="AF255" i="15"/>
  <c r="AQ255" i="15"/>
  <c r="AR255" i="15"/>
  <c r="AS255" i="15"/>
  <c r="AT255" i="15"/>
  <c r="AW255" i="15"/>
  <c r="AX255" i="15"/>
  <c r="AY255" i="15"/>
  <c r="AZ255" i="15"/>
  <c r="BA255" i="15"/>
  <c r="BB255" i="15"/>
  <c r="BC255" i="15"/>
  <c r="BD255" i="15"/>
  <c r="BE255" i="15"/>
  <c r="C257" i="15"/>
  <c r="D257" i="15"/>
  <c r="E257" i="15"/>
  <c r="F257" i="15"/>
  <c r="G257" i="15"/>
  <c r="H257" i="15"/>
  <c r="I257" i="15"/>
  <c r="J257" i="15"/>
  <c r="K257" i="15"/>
  <c r="L257" i="15"/>
  <c r="M257" i="15"/>
  <c r="N257" i="15"/>
  <c r="O257" i="15"/>
  <c r="Q257" i="15"/>
  <c r="R257" i="15"/>
  <c r="S257" i="15"/>
  <c r="T257" i="15"/>
  <c r="U257" i="15"/>
  <c r="V257" i="15"/>
  <c r="W257" i="15"/>
  <c r="X257" i="15"/>
  <c r="Y257" i="15"/>
  <c r="Z257" i="15"/>
  <c r="AA257" i="15"/>
  <c r="AB257" i="15"/>
  <c r="AC257" i="15"/>
  <c r="AD257" i="15"/>
  <c r="AE257" i="15"/>
  <c r="AF257" i="15"/>
  <c r="AG257" i="15"/>
  <c r="AH257" i="15"/>
  <c r="AI257" i="15"/>
  <c r="AJ257" i="15"/>
  <c r="AK257" i="15"/>
  <c r="AL257" i="15"/>
  <c r="AM257" i="15"/>
  <c r="AN257" i="15"/>
  <c r="AO257" i="15"/>
  <c r="AP257" i="15"/>
  <c r="AQ257" i="15"/>
  <c r="AR257" i="15"/>
  <c r="AS257" i="15"/>
  <c r="AT257" i="15"/>
  <c r="AU257" i="15"/>
  <c r="AV257" i="15"/>
  <c r="AW257" i="15"/>
  <c r="AX257" i="15"/>
  <c r="AY257" i="15"/>
  <c r="AZ257" i="15"/>
  <c r="BA257" i="15"/>
  <c r="BB257" i="15"/>
  <c r="BC257" i="15"/>
  <c r="BD257" i="15"/>
  <c r="BE257" i="15"/>
  <c r="C259" i="15"/>
  <c r="D259" i="15"/>
  <c r="E259" i="15"/>
  <c r="F259" i="15"/>
  <c r="G259" i="15"/>
  <c r="H259" i="15"/>
  <c r="I259" i="15"/>
  <c r="J259" i="15"/>
  <c r="K259" i="15"/>
  <c r="L259" i="15"/>
  <c r="M259" i="15"/>
  <c r="N259" i="15"/>
  <c r="O259" i="15"/>
  <c r="Q259" i="15"/>
  <c r="R259" i="15"/>
  <c r="S259" i="15"/>
  <c r="T259" i="15"/>
  <c r="U259" i="15"/>
  <c r="V259" i="15"/>
  <c r="W259" i="15"/>
  <c r="X259" i="15"/>
  <c r="Y259" i="15"/>
  <c r="Z259" i="15"/>
  <c r="AA259" i="15"/>
  <c r="AB259" i="15"/>
  <c r="AC259" i="15"/>
  <c r="AD259" i="15"/>
  <c r="AE259" i="15"/>
  <c r="AF259" i="15"/>
  <c r="AG259" i="15"/>
  <c r="AH259" i="15"/>
  <c r="AI259" i="15"/>
  <c r="AJ259" i="15"/>
  <c r="AK259" i="15"/>
  <c r="AL259" i="15"/>
  <c r="AM259" i="15"/>
  <c r="AN259" i="15"/>
  <c r="AO259" i="15"/>
  <c r="AP259" i="15"/>
  <c r="AQ259" i="15"/>
  <c r="AR259" i="15"/>
  <c r="AS259" i="15"/>
  <c r="AT259" i="15"/>
  <c r="AU259" i="15"/>
  <c r="AV259" i="15"/>
  <c r="AW259" i="15"/>
  <c r="AX259" i="15"/>
  <c r="AY259" i="15"/>
  <c r="AZ259" i="15"/>
  <c r="BA259" i="15"/>
  <c r="BB259" i="15"/>
  <c r="BC259" i="15"/>
  <c r="BD259" i="15"/>
  <c r="BE259" i="15"/>
  <c r="C261" i="15"/>
  <c r="D261" i="15"/>
  <c r="E261" i="15"/>
  <c r="F261" i="15"/>
  <c r="G261" i="15"/>
  <c r="H261" i="15"/>
  <c r="I261" i="15"/>
  <c r="J261" i="15"/>
  <c r="K261" i="15"/>
  <c r="L261" i="15"/>
  <c r="M261" i="15"/>
  <c r="N261" i="15"/>
  <c r="Q261" i="15"/>
  <c r="R261" i="15"/>
  <c r="S261" i="15"/>
  <c r="U261" i="15"/>
  <c r="V261" i="15"/>
  <c r="W261" i="15"/>
  <c r="Y261" i="15"/>
  <c r="Z261" i="15"/>
  <c r="AA261" i="15"/>
  <c r="AC261" i="15"/>
  <c r="AD261" i="15"/>
  <c r="AE261" i="15"/>
  <c r="AG261" i="15"/>
  <c r="AH261" i="15"/>
  <c r="AI261" i="15"/>
  <c r="AK261" i="15"/>
  <c r="AL261" i="15"/>
  <c r="AM261" i="15"/>
  <c r="AO261" i="15"/>
  <c r="AP261" i="15"/>
  <c r="AQ261" i="15"/>
  <c r="AS261" i="15"/>
  <c r="AT261" i="15"/>
  <c r="AU261" i="15"/>
  <c r="AW261" i="15"/>
  <c r="AX261" i="15"/>
  <c r="AY261" i="15"/>
  <c r="BA261" i="15"/>
  <c r="BB261" i="15"/>
  <c r="BC261" i="15"/>
  <c r="BE261" i="15"/>
  <c r="C262" i="15"/>
  <c r="D262" i="15"/>
  <c r="E262" i="15"/>
  <c r="F262" i="15"/>
  <c r="G262" i="15"/>
  <c r="H262" i="15"/>
  <c r="I262" i="15"/>
  <c r="J262" i="15"/>
  <c r="K262" i="15"/>
  <c r="L262" i="15"/>
  <c r="M262" i="15"/>
  <c r="N262" i="15"/>
  <c r="Q262" i="15"/>
  <c r="R262" i="15"/>
  <c r="S262" i="15"/>
  <c r="U262" i="15"/>
  <c r="V262" i="15"/>
  <c r="W262" i="15"/>
  <c r="Y262" i="15"/>
  <c r="Z262" i="15"/>
  <c r="AA262" i="15"/>
  <c r="AC262" i="15"/>
  <c r="AD262" i="15"/>
  <c r="AE262" i="15"/>
  <c r="AG262" i="15"/>
  <c r="AH262" i="15"/>
  <c r="AI262" i="15"/>
  <c r="AK262" i="15"/>
  <c r="AL262" i="15"/>
  <c r="AM262" i="15"/>
  <c r="AO262" i="15"/>
  <c r="AP262" i="15"/>
  <c r="AQ262" i="15"/>
  <c r="AS262" i="15"/>
  <c r="AT262" i="15"/>
  <c r="AU262" i="15"/>
  <c r="AW262" i="15"/>
  <c r="AX262" i="15"/>
  <c r="AY262" i="15"/>
  <c r="BA262" i="15"/>
  <c r="BB262" i="15"/>
  <c r="BC262" i="15"/>
  <c r="BE262" i="15"/>
  <c r="C264" i="15"/>
  <c r="D264" i="15"/>
  <c r="E264" i="15"/>
  <c r="F264" i="15"/>
  <c r="G264" i="15"/>
  <c r="H264" i="15"/>
  <c r="I264" i="15"/>
  <c r="J264" i="15"/>
  <c r="K264" i="15"/>
  <c r="L264" i="15"/>
  <c r="M264" i="15"/>
  <c r="N264" i="15"/>
  <c r="O264" i="15"/>
  <c r="Q264" i="15"/>
  <c r="R264" i="15"/>
  <c r="S264" i="15"/>
  <c r="T264" i="15"/>
  <c r="U264" i="15"/>
  <c r="V264" i="15"/>
  <c r="W264" i="15"/>
  <c r="X264" i="15"/>
  <c r="Y264" i="15"/>
  <c r="Z264" i="15"/>
  <c r="AA264" i="15"/>
  <c r="AB264" i="15"/>
  <c r="AC264" i="15"/>
  <c r="AD264" i="15"/>
  <c r="AE264" i="15"/>
  <c r="AF264" i="15"/>
  <c r="AG264" i="15"/>
  <c r="AH264" i="15"/>
  <c r="AI264" i="15"/>
  <c r="AJ264" i="15"/>
  <c r="AK264" i="15"/>
  <c r="AL264" i="15"/>
  <c r="AM264" i="15"/>
  <c r="AN264" i="15"/>
  <c r="AO264" i="15"/>
  <c r="AP264" i="15"/>
  <c r="AQ264" i="15"/>
  <c r="AR264" i="15"/>
  <c r="AS264" i="15"/>
  <c r="AT264" i="15"/>
  <c r="AU264" i="15"/>
  <c r="AV264" i="15"/>
  <c r="AW264" i="15"/>
  <c r="AX264" i="15"/>
  <c r="AY264" i="15"/>
  <c r="AZ264" i="15"/>
  <c r="BA264" i="15"/>
  <c r="BB264" i="15"/>
  <c r="BC264" i="15"/>
  <c r="BD264" i="15"/>
  <c r="BE264" i="15"/>
  <c r="C266" i="15"/>
  <c r="D266" i="15"/>
  <c r="E266" i="15"/>
  <c r="F266" i="15"/>
  <c r="G266" i="15"/>
  <c r="H266" i="15"/>
  <c r="T266" i="15"/>
  <c r="U266" i="15"/>
  <c r="V266" i="15"/>
  <c r="W266" i="15"/>
  <c r="X266" i="15"/>
  <c r="Y266" i="15"/>
  <c r="Z266" i="15"/>
  <c r="AA266" i="15"/>
  <c r="AB266" i="15"/>
  <c r="AC266" i="15"/>
  <c r="AD266" i="15"/>
  <c r="AE266" i="15"/>
  <c r="AF266" i="15"/>
  <c r="AT266" i="15"/>
  <c r="AZ266" i="15"/>
  <c r="BA266" i="15"/>
  <c r="BB266" i="15"/>
  <c r="BC266" i="15"/>
  <c r="BD266" i="15"/>
  <c r="BE266" i="15"/>
  <c r="B268" i="15"/>
  <c r="C268" i="15"/>
  <c r="D268" i="15"/>
  <c r="E268" i="15"/>
  <c r="F268" i="15"/>
  <c r="G268" i="15"/>
  <c r="H268" i="15"/>
  <c r="U268" i="15"/>
  <c r="V268" i="15"/>
  <c r="W268" i="15"/>
  <c r="Y268" i="15"/>
  <c r="Z268" i="15"/>
  <c r="AA268" i="15"/>
  <c r="AC268" i="15"/>
  <c r="AD268" i="15"/>
  <c r="AE268" i="15"/>
  <c r="AT268" i="15"/>
  <c r="BA268" i="15"/>
  <c r="BB268" i="15"/>
  <c r="BC268" i="15"/>
  <c r="BE268" i="15"/>
  <c r="B269" i="15"/>
  <c r="C269" i="15"/>
  <c r="D269" i="15"/>
  <c r="E269" i="15"/>
  <c r="F269" i="15"/>
  <c r="G269" i="15"/>
  <c r="H269" i="15"/>
  <c r="U269" i="15"/>
  <c r="V269" i="15"/>
  <c r="W269" i="15"/>
  <c r="Y269" i="15"/>
  <c r="Z269" i="15"/>
  <c r="AA269" i="15"/>
  <c r="AC269" i="15"/>
  <c r="AD269" i="15"/>
  <c r="AE269" i="15"/>
  <c r="AT269" i="15"/>
  <c r="BA269" i="15"/>
  <c r="BB269" i="15"/>
  <c r="BC269" i="15"/>
  <c r="BE269" i="15"/>
  <c r="B271" i="15"/>
  <c r="C271" i="15"/>
  <c r="D271" i="15"/>
  <c r="E271" i="15"/>
  <c r="F271" i="15"/>
  <c r="G271" i="15"/>
  <c r="H271" i="15"/>
  <c r="T271" i="15"/>
  <c r="U271" i="15"/>
  <c r="V271" i="15"/>
  <c r="W271" i="15"/>
  <c r="X271" i="15"/>
  <c r="Y271" i="15"/>
  <c r="Z271" i="15"/>
  <c r="AA271" i="15"/>
  <c r="AB271" i="15"/>
  <c r="AC271" i="15"/>
  <c r="AD271" i="15"/>
  <c r="AE271" i="15"/>
  <c r="AF271" i="15"/>
  <c r="AT271" i="15"/>
  <c r="AZ271" i="15"/>
  <c r="BA271" i="15"/>
  <c r="BB271" i="15"/>
  <c r="BC271" i="15"/>
  <c r="BD271" i="15"/>
  <c r="BE271" i="15"/>
  <c r="B273" i="15"/>
  <c r="C273" i="15"/>
  <c r="D273" i="15"/>
  <c r="E273" i="15"/>
  <c r="F273" i="15"/>
  <c r="G273" i="15"/>
  <c r="H273" i="15"/>
  <c r="T273" i="15"/>
  <c r="U273" i="15"/>
  <c r="V273" i="15"/>
  <c r="W273" i="15"/>
  <c r="X273" i="15"/>
  <c r="Y273" i="15"/>
  <c r="Z273" i="15"/>
  <c r="AA273" i="15"/>
  <c r="AB273" i="15"/>
  <c r="AC273" i="15"/>
  <c r="AD273" i="15"/>
  <c r="AE273" i="15"/>
  <c r="AF273" i="15"/>
  <c r="AT273" i="15"/>
  <c r="AZ273" i="15"/>
  <c r="BA273" i="15"/>
  <c r="BB273" i="15"/>
  <c r="BC273" i="15"/>
  <c r="BD273" i="15"/>
  <c r="BE273" i="15"/>
  <c r="B274" i="15"/>
  <c r="C274" i="15"/>
  <c r="D274" i="15"/>
  <c r="E274" i="15"/>
  <c r="F274" i="15"/>
  <c r="G274" i="15"/>
  <c r="H274" i="15"/>
  <c r="T274" i="15"/>
  <c r="U274" i="15"/>
  <c r="V274" i="15"/>
  <c r="W274" i="15"/>
  <c r="X274" i="15"/>
  <c r="Y274" i="15"/>
  <c r="Z274" i="15"/>
  <c r="AA274" i="15"/>
  <c r="AB274" i="15"/>
  <c r="AC274" i="15"/>
  <c r="AD274" i="15"/>
  <c r="AE274" i="15"/>
  <c r="AF274" i="15"/>
  <c r="AT274" i="15"/>
  <c r="AZ274" i="15"/>
  <c r="BA274" i="15"/>
  <c r="BB274" i="15"/>
  <c r="BC274" i="15"/>
  <c r="BD274" i="15"/>
  <c r="BE274" i="15"/>
  <c r="B276" i="15"/>
  <c r="C276" i="15"/>
  <c r="D276" i="15"/>
  <c r="E276" i="15"/>
  <c r="F276" i="15"/>
  <c r="G276" i="15"/>
  <c r="H276" i="15"/>
  <c r="I276" i="15"/>
  <c r="J276" i="15"/>
  <c r="K276" i="15"/>
  <c r="L276" i="15"/>
  <c r="M276" i="15"/>
  <c r="N276" i="15"/>
  <c r="Q276" i="15"/>
  <c r="R276" i="15"/>
  <c r="S276" i="15"/>
  <c r="U276" i="15"/>
  <c r="V276" i="15"/>
  <c r="W276" i="15"/>
  <c r="Y276" i="15"/>
  <c r="Z276" i="15"/>
  <c r="AA276" i="15"/>
  <c r="AC276" i="15"/>
  <c r="AD276" i="15"/>
  <c r="AE276" i="15"/>
  <c r="AG276" i="15"/>
  <c r="AH276" i="15"/>
  <c r="AI276" i="15"/>
  <c r="AK276" i="15"/>
  <c r="AL276" i="15"/>
  <c r="AM276" i="15"/>
  <c r="AO276" i="15"/>
  <c r="AP276" i="15"/>
  <c r="AQ276" i="15"/>
  <c r="AS276" i="15"/>
  <c r="AT276" i="15"/>
  <c r="AU276" i="15"/>
  <c r="AW276" i="15"/>
  <c r="AX276" i="15"/>
  <c r="AY276" i="15"/>
  <c r="BA276" i="15"/>
  <c r="BB276" i="15"/>
  <c r="BC276" i="15"/>
  <c r="BE276" i="15"/>
  <c r="J3" i="17"/>
  <c r="J7" i="17"/>
  <c r="D9" i="17"/>
  <c r="E9" i="17"/>
  <c r="D10" i="17"/>
  <c r="E10" i="17"/>
  <c r="D11" i="17"/>
  <c r="E11" i="17"/>
  <c r="D13" i="17"/>
  <c r="E13" i="17"/>
  <c r="D14" i="17"/>
  <c r="E14" i="17"/>
  <c r="D15" i="17"/>
  <c r="E15" i="17"/>
  <c r="D16" i="17"/>
  <c r="E16" i="17"/>
  <c r="D17" i="17"/>
  <c r="E17" i="17"/>
  <c r="D18" i="17"/>
  <c r="E18" i="17"/>
  <c r="D19" i="17"/>
  <c r="E19" i="17"/>
  <c r="D20" i="17"/>
  <c r="E20" i="17"/>
  <c r="D21" i="17"/>
  <c r="D22" i="17"/>
  <c r="D25" i="17"/>
  <c r="E25" i="17"/>
  <c r="D26" i="17"/>
  <c r="E26" i="17"/>
  <c r="D27" i="17"/>
  <c r="E27" i="17"/>
  <c r="D30" i="17"/>
  <c r="E30" i="17"/>
  <c r="D31" i="17"/>
  <c r="E31" i="17"/>
  <c r="E32" i="17"/>
  <c r="E33" i="17"/>
  <c r="E34" i="17"/>
  <c r="D35" i="17"/>
  <c r="E35" i="17"/>
  <c r="E36" i="17"/>
  <c r="D37" i="17"/>
  <c r="E37" i="17"/>
  <c r="D38" i="17"/>
  <c r="E42" i="17"/>
  <c r="E43" i="17"/>
  <c r="E44" i="17"/>
  <c r="E45" i="17"/>
  <c r="E46" i="17"/>
  <c r="E47" i="17"/>
  <c r="D48" i="17"/>
  <c r="E48" i="17"/>
  <c r="D49" i="17"/>
  <c r="D53" i="17"/>
  <c r="E53" i="17"/>
  <c r="D54" i="17"/>
  <c r="E54" i="17"/>
  <c r="D55" i="17"/>
  <c r="E55" i="17"/>
  <c r="D56" i="17"/>
  <c r="E56" i="17"/>
  <c r="D57" i="17"/>
  <c r="E57" i="17"/>
  <c r="D58" i="17"/>
  <c r="E58" i="17"/>
  <c r="D59" i="17"/>
  <c r="E59" i="17"/>
  <c r="D60" i="17"/>
  <c r="J65" i="17"/>
  <c r="D71" i="17"/>
  <c r="E71" i="17"/>
  <c r="D72" i="17"/>
  <c r="E72" i="17"/>
  <c r="D73" i="17"/>
  <c r="E73" i="17"/>
  <c r="D75" i="17"/>
  <c r="E75" i="17"/>
  <c r="D76" i="17"/>
  <c r="E76" i="17"/>
  <c r="D77" i="17"/>
  <c r="E77" i="17"/>
  <c r="D78" i="17"/>
  <c r="E78" i="17"/>
  <c r="D79" i="17"/>
  <c r="E79" i="17"/>
  <c r="D80" i="17"/>
  <c r="E80" i="17"/>
  <c r="D81" i="17"/>
  <c r="E81" i="17"/>
  <c r="D82" i="17"/>
  <c r="E82" i="17"/>
  <c r="D83" i="17"/>
  <c r="D87" i="17"/>
  <c r="E87" i="17"/>
  <c r="D88" i="17"/>
  <c r="E88" i="17"/>
  <c r="D89" i="17"/>
  <c r="E89" i="17"/>
  <c r="D92" i="17"/>
  <c r="E92" i="17"/>
  <c r="D93" i="17"/>
  <c r="E93" i="17"/>
  <c r="E94" i="17"/>
  <c r="E95" i="17"/>
  <c r="E96" i="17"/>
  <c r="D97" i="17"/>
  <c r="E97" i="17"/>
  <c r="E98" i="17"/>
  <c r="D99" i="17"/>
  <c r="E99" i="17"/>
  <c r="D100" i="17"/>
  <c r="E104" i="17"/>
  <c r="E105" i="17"/>
  <c r="E106" i="17"/>
  <c r="E107" i="17"/>
  <c r="E108" i="17"/>
  <c r="E109" i="17"/>
  <c r="D110" i="17"/>
  <c r="E110" i="17"/>
  <c r="D111" i="17"/>
  <c r="D115" i="17"/>
  <c r="E115" i="17"/>
  <c r="D116" i="17"/>
  <c r="E116" i="17"/>
  <c r="D117" i="17"/>
  <c r="E117" i="17"/>
  <c r="D118" i="17"/>
  <c r="E118" i="17"/>
  <c r="D119" i="17"/>
  <c r="E119" i="17"/>
  <c r="D120" i="17"/>
  <c r="E120" i="17"/>
  <c r="D121" i="17"/>
  <c r="E121" i="17"/>
  <c r="J131" i="17"/>
  <c r="D137" i="17"/>
  <c r="E137" i="17"/>
  <c r="D138" i="17"/>
  <c r="E138" i="17"/>
  <c r="D139" i="17"/>
  <c r="E139" i="17"/>
  <c r="D141" i="17"/>
  <c r="E141" i="17"/>
  <c r="D142" i="17"/>
  <c r="E142" i="17"/>
  <c r="D143" i="17"/>
  <c r="E143" i="17"/>
  <c r="D144" i="17"/>
  <c r="E144" i="17"/>
  <c r="D145" i="17"/>
  <c r="E145" i="17"/>
  <c r="D146" i="17"/>
  <c r="E146" i="17"/>
  <c r="D147" i="17"/>
  <c r="E147" i="17"/>
  <c r="D148" i="17"/>
  <c r="E148" i="17"/>
  <c r="D149" i="17"/>
  <c r="D151" i="17"/>
  <c r="D155" i="17"/>
  <c r="D156" i="17"/>
  <c r="D160" i="17"/>
  <c r="E160" i="17"/>
  <c r="E161" i="17"/>
  <c r="E162" i="17"/>
  <c r="E163" i="17"/>
  <c r="D164" i="17"/>
  <c r="E164" i="17"/>
  <c r="E165" i="17"/>
  <c r="D166" i="17"/>
  <c r="E166" i="17"/>
  <c r="E170" i="17"/>
  <c r="E171" i="17"/>
  <c r="E172" i="17"/>
  <c r="E173" i="17"/>
  <c r="E174" i="17"/>
  <c r="E175" i="17"/>
  <c r="D176" i="17"/>
  <c r="E176" i="17"/>
  <c r="D180" i="17"/>
  <c r="E180" i="17"/>
  <c r="D181" i="17"/>
  <c r="E181" i="17"/>
  <c r="D182" i="17"/>
  <c r="E182" i="17"/>
  <c r="D183" i="17"/>
  <c r="E183" i="17"/>
  <c r="D184" i="17"/>
  <c r="E184" i="17"/>
  <c r="D185" i="17"/>
  <c r="E185" i="17"/>
  <c r="D186" i="17"/>
  <c r="E186" i="17"/>
  <c r="D188" i="17"/>
  <c r="J196" i="17"/>
  <c r="D202" i="17"/>
  <c r="E202" i="17"/>
  <c r="D203" i="17"/>
  <c r="E203" i="17"/>
  <c r="D204" i="17"/>
  <c r="E204" i="17"/>
  <c r="D206" i="17"/>
  <c r="E206" i="17"/>
  <c r="D207" i="17"/>
  <c r="E207" i="17"/>
  <c r="D208" i="17"/>
  <c r="E208" i="17"/>
  <c r="D209" i="17"/>
  <c r="E209" i="17"/>
  <c r="D210" i="17"/>
  <c r="E210" i="17"/>
  <c r="D211" i="17"/>
  <c r="E211" i="17"/>
  <c r="D212" i="17"/>
  <c r="E212" i="17"/>
  <c r="D213" i="17"/>
  <c r="E213" i="17"/>
  <c r="D214" i="17"/>
  <c r="D216" i="17"/>
  <c r="D220" i="17"/>
  <c r="D221" i="17"/>
  <c r="D224" i="17"/>
  <c r="E224" i="17"/>
  <c r="E225" i="17"/>
  <c r="E226" i="17"/>
  <c r="E227" i="17"/>
  <c r="E228" i="17"/>
  <c r="E229" i="17"/>
  <c r="D230" i="17"/>
  <c r="E230" i="17"/>
  <c r="E233" i="17"/>
  <c r="E234" i="17"/>
  <c r="E235" i="17"/>
  <c r="E236" i="17"/>
  <c r="E237" i="17"/>
  <c r="E238" i="17"/>
  <c r="D239" i="17"/>
  <c r="E239" i="17"/>
  <c r="D242" i="17"/>
  <c r="E242" i="17"/>
  <c r="D243" i="17"/>
  <c r="E243" i="17"/>
  <c r="D244" i="17"/>
  <c r="E244" i="17"/>
  <c r="D245" i="17"/>
  <c r="E245" i="17"/>
  <c r="D246" i="17"/>
  <c r="E246" i="17"/>
  <c r="D247" i="17"/>
  <c r="E247" i="17"/>
  <c r="D248" i="17"/>
  <c r="E248" i="17"/>
  <c r="D250" i="17"/>
  <c r="J255" i="17"/>
  <c r="J256" i="17"/>
  <c r="D259" i="17"/>
  <c r="E259" i="17"/>
  <c r="J259" i="17"/>
  <c r="D260" i="17"/>
  <c r="E260" i="17"/>
  <c r="D261" i="17"/>
  <c r="E261" i="17"/>
  <c r="D263" i="17"/>
  <c r="E263" i="17"/>
  <c r="K263" i="17"/>
  <c r="D264" i="17"/>
  <c r="E264" i="17"/>
  <c r="D265" i="17"/>
  <c r="E265" i="17"/>
  <c r="D266" i="17"/>
  <c r="E266" i="17"/>
  <c r="D267" i="17"/>
  <c r="J262" i="17" s="1"/>
  <c r="J261" i="17" s="1"/>
  <c r="E267" i="17"/>
  <c r="D268" i="17"/>
  <c r="E268" i="17"/>
  <c r="D269" i="17"/>
  <c r="J264" i="17" s="1"/>
  <c r="K264" i="17" s="1"/>
  <c r="E269" i="17"/>
  <c r="D270" i="17"/>
  <c r="E270" i="17"/>
  <c r="D271" i="17"/>
  <c r="E271" i="17"/>
  <c r="D273" i="17"/>
  <c r="D277" i="17"/>
  <c r="E277" i="17"/>
  <c r="D278" i="17"/>
  <c r="E278" i="17"/>
  <c r="D281" i="17"/>
  <c r="E281" i="17"/>
  <c r="E282" i="17"/>
  <c r="E283" i="17"/>
  <c r="E284" i="17"/>
  <c r="E285" i="17"/>
  <c r="E286" i="17"/>
  <c r="D287" i="17"/>
  <c r="E287" i="17"/>
  <c r="E290" i="17"/>
  <c r="E291" i="17"/>
  <c r="E292" i="17"/>
  <c r="E293" i="17"/>
  <c r="E294" i="17"/>
  <c r="E295" i="17"/>
  <c r="D296" i="17"/>
  <c r="E296" i="17"/>
  <c r="D299" i="17"/>
  <c r="E299" i="17"/>
  <c r="D300" i="17"/>
  <c r="E300" i="17"/>
  <c r="D301" i="17"/>
  <c r="E301" i="17"/>
  <c r="D302" i="17"/>
  <c r="E302" i="17"/>
  <c r="D303" i="17"/>
  <c r="E303" i="17"/>
  <c r="D304" i="17"/>
  <c r="E304" i="17"/>
  <c r="D305" i="17"/>
  <c r="E305" i="17"/>
  <c r="D307" i="17"/>
  <c r="J308" i="17"/>
  <c r="J309" i="17"/>
  <c r="D312" i="17"/>
  <c r="E312" i="17"/>
  <c r="J312" i="17"/>
  <c r="D313" i="17"/>
  <c r="E313" i="17"/>
  <c r="D314" i="17"/>
  <c r="E314" i="17"/>
  <c r="D316" i="17"/>
  <c r="E316" i="17"/>
  <c r="K316" i="17"/>
  <c r="D317" i="17"/>
  <c r="E317" i="17"/>
  <c r="D318" i="17"/>
  <c r="E318" i="17"/>
  <c r="D319" i="17"/>
  <c r="E319" i="17"/>
  <c r="D320" i="17"/>
  <c r="J315" i="17" s="1"/>
  <c r="J314" i="17" s="1"/>
  <c r="E320" i="17"/>
  <c r="D321" i="17"/>
  <c r="E321" i="17"/>
  <c r="D322" i="17"/>
  <c r="J317" i="17" s="1"/>
  <c r="K317" i="17" s="1"/>
  <c r="E322" i="17"/>
  <c r="D323" i="17"/>
  <c r="E323" i="17"/>
  <c r="D324" i="17"/>
  <c r="E324" i="17"/>
  <c r="D330" i="17"/>
  <c r="D331" i="17"/>
  <c r="D334" i="17"/>
  <c r="E334" i="17"/>
  <c r="D335" i="17"/>
  <c r="E335" i="17"/>
  <c r="E336" i="17"/>
  <c r="E337" i="17"/>
  <c r="E338" i="17"/>
  <c r="E339" i="17"/>
  <c r="D340" i="17"/>
  <c r="E340" i="17"/>
  <c r="E343" i="17"/>
  <c r="E344" i="17"/>
  <c r="E345" i="17"/>
  <c r="E346" i="17"/>
  <c r="E347" i="17"/>
  <c r="E348" i="17"/>
  <c r="D349" i="17"/>
  <c r="E349" i="17"/>
  <c r="D352" i="17"/>
  <c r="E352" i="17"/>
  <c r="D353" i="17"/>
  <c r="E353" i="17"/>
  <c r="D354" i="17"/>
  <c r="E354" i="17"/>
  <c r="D355" i="17"/>
  <c r="E355" i="17"/>
  <c r="D356" i="17"/>
  <c r="E356" i="17"/>
  <c r="D357" i="17"/>
  <c r="E357" i="17"/>
  <c r="D358" i="17"/>
  <c r="E358" i="17"/>
  <c r="J361" i="17"/>
  <c r="E330" i="17" s="1"/>
  <c r="E331" i="17" s="1"/>
  <c r="D365" i="17"/>
  <c r="E365" i="17"/>
  <c r="D366" i="17"/>
  <c r="E366" i="17"/>
  <c r="D367" i="17"/>
  <c r="E367" i="17"/>
  <c r="D369" i="17"/>
  <c r="E369" i="17"/>
  <c r="K369" i="17"/>
  <c r="D370" i="17"/>
  <c r="E370" i="17"/>
  <c r="D371" i="17"/>
  <c r="E371" i="17"/>
  <c r="D372" i="17"/>
  <c r="E372" i="17"/>
  <c r="D373" i="17"/>
  <c r="J368" i="17" s="1"/>
  <c r="J367" i="17" s="1"/>
  <c r="E373" i="17"/>
  <c r="D374" i="17"/>
  <c r="E374" i="17"/>
  <c r="D375" i="17"/>
  <c r="J370" i="17" s="1"/>
  <c r="K370" i="17" s="1"/>
  <c r="E375" i="17"/>
  <c r="D376" i="17"/>
  <c r="E376" i="17"/>
  <c r="D377" i="17"/>
  <c r="D379" i="17"/>
  <c r="D383" i="17"/>
  <c r="E383" i="17"/>
  <c r="D384" i="17"/>
  <c r="E384" i="17"/>
  <c r="D387" i="17"/>
  <c r="E387" i="17"/>
  <c r="D388" i="17"/>
  <c r="E388" i="17"/>
  <c r="E389" i="17"/>
  <c r="E390" i="17"/>
  <c r="E391" i="17"/>
  <c r="E392" i="17"/>
  <c r="D393" i="17"/>
  <c r="E393" i="17"/>
  <c r="E396" i="17"/>
  <c r="E397" i="17"/>
  <c r="E398" i="17"/>
  <c r="E399" i="17"/>
  <c r="E400" i="17"/>
  <c r="D401" i="17"/>
  <c r="E401" i="17"/>
  <c r="D402" i="17"/>
  <c r="E402" i="17"/>
  <c r="D405" i="17"/>
  <c r="E405" i="17"/>
  <c r="D406" i="17"/>
  <c r="E406" i="17"/>
  <c r="D407" i="17"/>
  <c r="E407" i="17"/>
  <c r="D408" i="17"/>
  <c r="E408" i="17"/>
  <c r="D409" i="17"/>
  <c r="E409" i="17"/>
  <c r="D410" i="17"/>
  <c r="E410" i="17"/>
  <c r="D411" i="17"/>
  <c r="E411" i="17"/>
  <c r="D413" i="17"/>
  <c r="J415" i="17"/>
  <c r="D419" i="17"/>
  <c r="E419" i="17"/>
  <c r="D420" i="17"/>
  <c r="E420" i="17"/>
  <c r="D421" i="17"/>
  <c r="E421" i="17"/>
  <c r="D423" i="17"/>
  <c r="E423" i="17"/>
  <c r="K423" i="17"/>
  <c r="D424" i="17"/>
  <c r="E424" i="17"/>
  <c r="D425" i="17"/>
  <c r="E425" i="17"/>
  <c r="D426" i="17"/>
  <c r="E426" i="17"/>
  <c r="D427" i="17"/>
  <c r="J422" i="17" s="1"/>
  <c r="J421" i="17" s="1"/>
  <c r="E427" i="17"/>
  <c r="D428" i="17"/>
  <c r="E428" i="17"/>
  <c r="D429" i="17"/>
  <c r="J424" i="17" s="1"/>
  <c r="K424" i="17" s="1"/>
  <c r="E429" i="17"/>
  <c r="D430" i="17"/>
  <c r="E430" i="17"/>
  <c r="D431" i="17"/>
  <c r="D433" i="17"/>
  <c r="D437" i="17"/>
  <c r="D438" i="17"/>
  <c r="D441" i="17"/>
  <c r="E441" i="17"/>
  <c r="D442" i="17"/>
  <c r="E442" i="17"/>
  <c r="E443" i="17"/>
  <c r="E444" i="17"/>
  <c r="E445" i="17"/>
  <c r="E446" i="17"/>
  <c r="D447" i="17"/>
  <c r="E447" i="17"/>
  <c r="E450" i="17"/>
  <c r="E451" i="17"/>
  <c r="E452" i="17"/>
  <c r="E453" i="17"/>
  <c r="E454" i="17"/>
  <c r="E455" i="17"/>
  <c r="D456" i="17"/>
  <c r="E456" i="17"/>
  <c r="D459" i="17"/>
  <c r="E459" i="17"/>
  <c r="D460" i="17"/>
  <c r="E460" i="17"/>
  <c r="D461" i="17"/>
  <c r="E461" i="17"/>
  <c r="D462" i="17"/>
  <c r="E462" i="17"/>
  <c r="D463" i="17"/>
  <c r="E463" i="17"/>
  <c r="D464" i="17"/>
  <c r="E464" i="17"/>
  <c r="D465" i="17"/>
  <c r="E465" i="17"/>
  <c r="D467" i="17"/>
  <c r="J471" i="17"/>
  <c r="E437" i="17" s="1"/>
  <c r="E438" i="17" s="1"/>
  <c r="D475" i="17"/>
  <c r="E475" i="17"/>
  <c r="D476" i="17"/>
  <c r="E476" i="17"/>
  <c r="D477" i="17"/>
  <c r="E477" i="17"/>
  <c r="D479" i="17"/>
  <c r="E479" i="17"/>
  <c r="K479" i="17"/>
  <c r="D480" i="17"/>
  <c r="E480" i="17"/>
  <c r="D481" i="17"/>
  <c r="E481" i="17"/>
  <c r="D482" i="17"/>
  <c r="E482" i="17"/>
  <c r="D483" i="17"/>
  <c r="J478" i="17" s="1"/>
  <c r="J477" i="17" s="1"/>
  <c r="E483" i="17"/>
  <c r="D484" i="17"/>
  <c r="E484" i="17"/>
  <c r="D485" i="17"/>
  <c r="J480" i="17" s="1"/>
  <c r="K480" i="17" s="1"/>
  <c r="E485" i="17"/>
  <c r="D486" i="17"/>
  <c r="E486" i="17"/>
  <c r="D487" i="17"/>
  <c r="D489" i="17"/>
  <c r="D493" i="17"/>
  <c r="E493" i="17"/>
  <c r="D494" i="17"/>
  <c r="E494" i="17"/>
  <c r="D497" i="17"/>
  <c r="E497" i="17"/>
  <c r="D498" i="17"/>
  <c r="E498" i="17"/>
  <c r="E499" i="17"/>
  <c r="E500" i="17"/>
  <c r="E501" i="17"/>
  <c r="E502" i="17"/>
  <c r="D503" i="17"/>
  <c r="E503" i="17"/>
  <c r="E506" i="17"/>
  <c r="E507" i="17"/>
  <c r="E508" i="17"/>
  <c r="E509" i="17"/>
  <c r="E510" i="17"/>
  <c r="E511" i="17"/>
  <c r="D512" i="17"/>
  <c r="E512" i="17"/>
  <c r="D515" i="17"/>
  <c r="E515" i="17"/>
  <c r="D516" i="17"/>
  <c r="E516" i="17"/>
  <c r="D517" i="17"/>
  <c r="E517" i="17"/>
  <c r="D518" i="17"/>
  <c r="E518" i="17"/>
  <c r="D519" i="17"/>
  <c r="E519" i="17"/>
  <c r="D520" i="17"/>
  <c r="E520" i="17"/>
  <c r="D521" i="17"/>
  <c r="E521" i="17"/>
  <c r="D523" i="17"/>
  <c r="J527" i="17"/>
  <c r="D531" i="17"/>
  <c r="E531" i="17"/>
  <c r="D532" i="17"/>
  <c r="E532" i="17"/>
  <c r="D533" i="17"/>
  <c r="E533" i="17"/>
  <c r="D535" i="17"/>
  <c r="E535" i="17"/>
  <c r="K535" i="17"/>
  <c r="D536" i="17"/>
  <c r="E536" i="17"/>
  <c r="D537" i="17"/>
  <c r="E537" i="17"/>
  <c r="D538" i="17"/>
  <c r="E538" i="17"/>
  <c r="D539" i="17"/>
  <c r="J534" i="17" s="1"/>
  <c r="J533" i="17" s="1"/>
  <c r="E539" i="17"/>
  <c r="D540" i="17"/>
  <c r="E540" i="17"/>
  <c r="D541" i="17"/>
  <c r="J536" i="17" s="1"/>
  <c r="K536" i="17" s="1"/>
  <c r="E541" i="17"/>
  <c r="D542" i="17"/>
  <c r="E542" i="17"/>
  <c r="D543" i="17"/>
  <c r="D549" i="17"/>
  <c r="D550" i="17"/>
  <c r="D553" i="17"/>
  <c r="E553" i="17"/>
  <c r="D554" i="17"/>
  <c r="E554" i="17"/>
  <c r="E555" i="17"/>
  <c r="E556" i="17"/>
  <c r="E557" i="17"/>
  <c r="E558" i="17"/>
  <c r="D559" i="17"/>
  <c r="E559" i="17"/>
  <c r="E562" i="17"/>
  <c r="E563" i="17"/>
  <c r="E564" i="17"/>
  <c r="E565" i="17"/>
  <c r="E566" i="17"/>
  <c r="E567" i="17"/>
  <c r="D568" i="17"/>
  <c r="E568" i="17"/>
  <c r="D571" i="17"/>
  <c r="E571" i="17"/>
  <c r="D572" i="17"/>
  <c r="E572" i="17"/>
  <c r="D573" i="17"/>
  <c r="E573" i="17"/>
  <c r="D574" i="17"/>
  <c r="E574" i="17"/>
  <c r="D575" i="17"/>
  <c r="E575" i="17"/>
  <c r="D576" i="17"/>
  <c r="E576" i="17"/>
  <c r="D577" i="17"/>
  <c r="E577" i="17"/>
  <c r="J581" i="17"/>
  <c r="E549" i="17" s="1"/>
  <c r="E550" i="17" s="1"/>
  <c r="D585" i="17"/>
  <c r="E585" i="17"/>
  <c r="D586" i="17"/>
  <c r="E586" i="17"/>
  <c r="D587" i="17"/>
  <c r="E587" i="17"/>
  <c r="D589" i="17"/>
  <c r="E589" i="17"/>
  <c r="K589" i="17"/>
  <c r="D590" i="17"/>
  <c r="E590" i="17"/>
  <c r="D591" i="17"/>
  <c r="E591" i="17"/>
  <c r="D592" i="17"/>
  <c r="E592" i="17"/>
  <c r="D593" i="17"/>
  <c r="J588" i="17" s="1"/>
  <c r="J587" i="17" s="1"/>
  <c r="E593" i="17"/>
  <c r="D594" i="17"/>
  <c r="E594" i="17"/>
  <c r="D595" i="17"/>
  <c r="J590" i="17" s="1"/>
  <c r="K590" i="17" s="1"/>
  <c r="E595" i="17"/>
  <c r="D596" i="17"/>
  <c r="E596" i="17"/>
  <c r="D597" i="17"/>
  <c r="D599" i="17"/>
  <c r="D603" i="17"/>
  <c r="E603" i="17"/>
  <c r="D604" i="17"/>
  <c r="E604" i="17"/>
  <c r="D607" i="17"/>
  <c r="E607" i="17"/>
  <c r="D608" i="17"/>
  <c r="E608" i="17"/>
  <c r="E609" i="17"/>
  <c r="E610" i="17"/>
  <c r="E611" i="17"/>
  <c r="E612" i="17"/>
  <c r="D613" i="17"/>
  <c r="E613" i="17"/>
  <c r="E616" i="17"/>
  <c r="E617" i="17"/>
  <c r="E618" i="17"/>
  <c r="E619" i="17"/>
  <c r="E620" i="17"/>
  <c r="E621" i="17"/>
  <c r="D622" i="17"/>
  <c r="E622" i="17"/>
  <c r="D625" i="17"/>
  <c r="E625" i="17"/>
  <c r="D626" i="17"/>
  <c r="E626" i="17"/>
  <c r="D627" i="17"/>
  <c r="E627" i="17"/>
  <c r="D628" i="17"/>
  <c r="E628" i="17"/>
  <c r="D629" i="17"/>
  <c r="E629" i="17"/>
  <c r="D630" i="17"/>
  <c r="E630" i="17"/>
  <c r="D631" i="17"/>
  <c r="E631" i="17"/>
  <c r="J635" i="17"/>
  <c r="J636" i="17"/>
  <c r="D639" i="17"/>
  <c r="E639" i="17"/>
  <c r="D640" i="17"/>
  <c r="E640" i="17"/>
  <c r="D641" i="17"/>
  <c r="E641" i="17"/>
  <c r="D643" i="17"/>
  <c r="E643" i="17"/>
  <c r="K643" i="17"/>
  <c r="D644" i="17"/>
  <c r="E644" i="17"/>
  <c r="D645" i="17"/>
  <c r="E645" i="17"/>
  <c r="D646" i="17"/>
  <c r="E646" i="17"/>
  <c r="D647" i="17"/>
  <c r="J642" i="17" s="1"/>
  <c r="J641" i="17" s="1"/>
  <c r="E647" i="17"/>
  <c r="D648" i="17"/>
  <c r="E648" i="17"/>
  <c r="D649" i="17"/>
  <c r="J644" i="17" s="1"/>
  <c r="K644" i="17" s="1"/>
  <c r="E649" i="17"/>
  <c r="D650" i="17"/>
  <c r="E650" i="17"/>
  <c r="D651" i="17"/>
  <c r="E651" i="17"/>
  <c r="D653" i="17"/>
  <c r="D657" i="17"/>
  <c r="E657" i="17"/>
  <c r="D658" i="17"/>
  <c r="E658" i="17"/>
  <c r="D661" i="17"/>
  <c r="E661" i="17"/>
  <c r="D662" i="17"/>
  <c r="E662" i="17"/>
  <c r="E663" i="17"/>
  <c r="E664" i="17"/>
  <c r="E665" i="17"/>
  <c r="E666" i="17"/>
  <c r="D667" i="17"/>
  <c r="E667" i="17"/>
  <c r="E670" i="17"/>
  <c r="E671" i="17"/>
  <c r="E672" i="17"/>
  <c r="E673" i="17"/>
  <c r="E674" i="17"/>
  <c r="E675" i="17"/>
  <c r="D676" i="17"/>
  <c r="E676" i="17"/>
  <c r="D679" i="17"/>
  <c r="E679" i="17"/>
  <c r="D680" i="17"/>
  <c r="E680" i="17"/>
  <c r="D681" i="17"/>
  <c r="E681" i="17"/>
  <c r="D682" i="17"/>
  <c r="E682" i="17"/>
  <c r="D683" i="17"/>
  <c r="E683" i="17"/>
  <c r="D684" i="17"/>
  <c r="E684" i="17"/>
  <c r="D685" i="17"/>
  <c r="E685" i="17"/>
  <c r="J688" i="17"/>
  <c r="D692" i="17"/>
  <c r="E692" i="17"/>
  <c r="D693" i="17"/>
  <c r="E693" i="17"/>
  <c r="D694" i="17"/>
  <c r="E694" i="17"/>
  <c r="D696" i="17"/>
  <c r="E696" i="17"/>
  <c r="K696" i="17"/>
  <c r="D697" i="17"/>
  <c r="E697" i="17"/>
  <c r="D698" i="17"/>
  <c r="E698" i="17"/>
  <c r="D699" i="17"/>
  <c r="E699" i="17"/>
  <c r="D700" i="17"/>
  <c r="J695" i="17" s="1"/>
  <c r="J694" i="17" s="1"/>
  <c r="E700" i="17"/>
  <c r="D701" i="17"/>
  <c r="E701" i="17"/>
  <c r="D702" i="17"/>
  <c r="J697" i="17" s="1"/>
  <c r="K697" i="17" s="1"/>
  <c r="E702" i="17"/>
  <c r="D703" i="17"/>
  <c r="E703" i="17"/>
  <c r="D704" i="17"/>
  <c r="D706" i="17"/>
  <c r="D710" i="17"/>
  <c r="E710" i="17"/>
  <c r="D711" i="17"/>
  <c r="E711" i="17"/>
  <c r="D714" i="17"/>
  <c r="E714" i="17"/>
  <c r="D715" i="17"/>
  <c r="E715" i="17"/>
  <c r="D716" i="17"/>
  <c r="E716" i="17"/>
  <c r="E717" i="17"/>
  <c r="E718" i="17"/>
  <c r="E719" i="17"/>
  <c r="D720" i="17"/>
  <c r="E720" i="17"/>
  <c r="E723" i="17"/>
  <c r="E724" i="17"/>
  <c r="E725" i="17"/>
  <c r="E726" i="17"/>
  <c r="E727" i="17"/>
  <c r="E728" i="17"/>
  <c r="D729" i="17"/>
  <c r="E729" i="17"/>
  <c r="D732" i="17"/>
  <c r="E732" i="17"/>
  <c r="D733" i="17"/>
  <c r="E733" i="17"/>
  <c r="D734" i="17"/>
  <c r="E734" i="17"/>
  <c r="D735" i="17"/>
  <c r="E735" i="17"/>
  <c r="D736" i="17"/>
  <c r="E736" i="17"/>
  <c r="D737" i="17"/>
  <c r="E737" i="17"/>
  <c r="D738" i="17"/>
  <c r="E738" i="17"/>
  <c r="J742" i="17"/>
  <c r="D746" i="17"/>
  <c r="E746" i="17"/>
  <c r="D747" i="17"/>
  <c r="E747" i="17"/>
  <c r="D748" i="17"/>
  <c r="E748" i="17"/>
  <c r="D750" i="17"/>
  <c r="E750" i="17"/>
  <c r="K750" i="17"/>
  <c r="D751" i="17"/>
  <c r="E751" i="17"/>
  <c r="D752" i="17"/>
  <c r="E752" i="17"/>
  <c r="D753" i="17"/>
  <c r="E753" i="17"/>
  <c r="D754" i="17"/>
  <c r="J749" i="17" s="1"/>
  <c r="J748" i="17" s="1"/>
  <c r="E754" i="17"/>
  <c r="D755" i="17"/>
  <c r="E755" i="17"/>
  <c r="D756" i="17"/>
  <c r="J751" i="17" s="1"/>
  <c r="K751" i="17" s="1"/>
  <c r="E756" i="17"/>
  <c r="D757" i="17"/>
  <c r="E757" i="17"/>
  <c r="D758" i="17"/>
  <c r="D764" i="17"/>
  <c r="E764" i="17"/>
  <c r="D765" i="17"/>
  <c r="E765" i="17"/>
  <c r="D768" i="17"/>
  <c r="E768" i="17"/>
  <c r="D769" i="17"/>
  <c r="E769" i="17"/>
  <c r="D770" i="17"/>
  <c r="E770" i="17"/>
  <c r="E771" i="17"/>
  <c r="E772" i="17"/>
  <c r="E773" i="17"/>
  <c r="D774" i="17"/>
  <c r="E774" i="17"/>
  <c r="E777" i="17"/>
  <c r="E778" i="17"/>
  <c r="E779" i="17"/>
  <c r="E780" i="17"/>
  <c r="E781" i="17"/>
  <c r="E782" i="17"/>
  <c r="D783" i="17"/>
  <c r="E783" i="17"/>
  <c r="D786" i="17"/>
  <c r="E786" i="17"/>
  <c r="D787" i="17"/>
  <c r="E787" i="17"/>
  <c r="D788" i="17"/>
  <c r="E788" i="17"/>
  <c r="D789" i="17"/>
  <c r="E789" i="17"/>
  <c r="D790" i="17"/>
  <c r="E790" i="17"/>
  <c r="D791" i="17"/>
  <c r="E791" i="17"/>
  <c r="D792" i="17"/>
  <c r="E792" i="17"/>
  <c r="J796" i="17"/>
  <c r="D800" i="17"/>
  <c r="E800" i="17"/>
  <c r="D801" i="17"/>
  <c r="E801" i="17"/>
  <c r="D802" i="17"/>
  <c r="E802" i="17"/>
  <c r="D804" i="17"/>
  <c r="E804" i="17"/>
  <c r="K804" i="17"/>
  <c r="D805" i="17"/>
  <c r="E805" i="17"/>
  <c r="D806" i="17"/>
  <c r="E806" i="17"/>
  <c r="D807" i="17"/>
  <c r="E807" i="17"/>
  <c r="D808" i="17"/>
  <c r="J803" i="17" s="1"/>
  <c r="J802" i="17" s="1"/>
  <c r="E808" i="17"/>
  <c r="D809" i="17"/>
  <c r="E809" i="17"/>
  <c r="D810" i="17"/>
  <c r="J805" i="17" s="1"/>
  <c r="K805" i="17" s="1"/>
  <c r="E810" i="17"/>
  <c r="D811" i="17"/>
  <c r="E811" i="17"/>
  <c r="D812" i="17"/>
  <c r="D814" i="17"/>
  <c r="D818" i="17"/>
  <c r="E818" i="17"/>
  <c r="D819" i="17"/>
  <c r="E819" i="17"/>
  <c r="D822" i="17"/>
  <c r="E822" i="17"/>
  <c r="D823" i="17"/>
  <c r="E823" i="17"/>
  <c r="D824" i="17"/>
  <c r="E824" i="17"/>
  <c r="E825" i="17"/>
  <c r="E826" i="17"/>
  <c r="E827" i="17"/>
  <c r="D828" i="17"/>
  <c r="E828" i="17"/>
  <c r="E831" i="17"/>
  <c r="E832" i="17"/>
  <c r="E833" i="17"/>
  <c r="E834" i="17"/>
  <c r="E835" i="17"/>
  <c r="E836" i="17"/>
  <c r="D837" i="17"/>
  <c r="E837" i="17"/>
  <c r="D840" i="17"/>
  <c r="E840" i="17"/>
  <c r="D841" i="17"/>
  <c r="E841" i="17"/>
  <c r="D842" i="17"/>
  <c r="E842" i="17"/>
  <c r="D843" i="17"/>
  <c r="E843" i="17"/>
  <c r="D844" i="17"/>
  <c r="E844" i="17"/>
  <c r="D845" i="17"/>
  <c r="E845" i="17"/>
  <c r="D846" i="17"/>
  <c r="E846" i="17"/>
  <c r="J850" i="17"/>
  <c r="D854" i="17"/>
  <c r="E854" i="17"/>
  <c r="D855" i="17"/>
  <c r="E855" i="17"/>
  <c r="D856" i="17"/>
  <c r="E856" i="17"/>
  <c r="D858" i="17"/>
  <c r="E858" i="17"/>
  <c r="K858" i="17"/>
  <c r="D859" i="17"/>
  <c r="E859" i="17"/>
  <c r="D860" i="17"/>
  <c r="E860" i="17"/>
  <c r="D861" i="17"/>
  <c r="E861" i="17"/>
  <c r="D862" i="17"/>
  <c r="J857" i="17" s="1"/>
  <c r="J856" i="17" s="1"/>
  <c r="E862" i="17"/>
  <c r="D863" i="17"/>
  <c r="E863" i="17"/>
  <c r="D864" i="17"/>
  <c r="J859" i="17" s="1"/>
  <c r="K859" i="17" s="1"/>
  <c r="E864" i="17"/>
  <c r="D865" i="17"/>
  <c r="E865" i="17"/>
  <c r="D866" i="17"/>
  <c r="D868" i="17"/>
  <c r="D872" i="17"/>
  <c r="E872" i="17"/>
  <c r="D873" i="17"/>
  <c r="E873" i="17"/>
  <c r="D876" i="17"/>
  <c r="E876" i="17"/>
  <c r="D877" i="17"/>
  <c r="E877" i="17"/>
  <c r="D878" i="17"/>
  <c r="E878" i="17"/>
  <c r="E879" i="17"/>
  <c r="E880" i="17"/>
  <c r="E881" i="17"/>
  <c r="D882" i="17"/>
  <c r="E882" i="17"/>
  <c r="E885" i="17"/>
  <c r="E886" i="17"/>
  <c r="E887" i="17"/>
  <c r="E888" i="17"/>
  <c r="E889" i="17"/>
  <c r="E890" i="17"/>
  <c r="D891" i="17"/>
  <c r="E891" i="17"/>
  <c r="D894" i="17"/>
  <c r="E894" i="17"/>
  <c r="D895" i="17"/>
  <c r="E895" i="17"/>
  <c r="D896" i="17"/>
  <c r="E896" i="17"/>
  <c r="D897" i="17"/>
  <c r="E897" i="17"/>
  <c r="D898" i="17"/>
  <c r="E898" i="17"/>
  <c r="D899" i="17"/>
  <c r="E899" i="17"/>
  <c r="D900" i="17"/>
  <c r="E900" i="17"/>
  <c r="J904" i="17"/>
  <c r="D908" i="17"/>
  <c r="E908" i="17"/>
  <c r="D909" i="17"/>
  <c r="E909" i="17"/>
  <c r="D910" i="17"/>
  <c r="E910" i="17"/>
  <c r="D912" i="17"/>
  <c r="E912" i="17"/>
  <c r="K912" i="17"/>
  <c r="D913" i="17"/>
  <c r="E913" i="17"/>
  <c r="D914" i="17"/>
  <c r="E914" i="17"/>
  <c r="D915" i="17"/>
  <c r="E915" i="17"/>
  <c r="D916" i="17"/>
  <c r="J911" i="17" s="1"/>
  <c r="J910" i="17" s="1"/>
  <c r="E916" i="17"/>
  <c r="D917" i="17"/>
  <c r="E917" i="17"/>
  <c r="D918" i="17"/>
  <c r="J913" i="17" s="1"/>
  <c r="K913" i="17" s="1"/>
  <c r="E918" i="17"/>
  <c r="D919" i="17"/>
  <c r="E919" i="17"/>
  <c r="D920" i="17"/>
  <c r="D922" i="17"/>
  <c r="D926" i="17"/>
  <c r="E926" i="17"/>
  <c r="D927" i="17"/>
  <c r="E927" i="17"/>
  <c r="D930" i="17"/>
  <c r="E930" i="17"/>
  <c r="D931" i="17"/>
  <c r="E931" i="17"/>
  <c r="D932" i="17"/>
  <c r="E932" i="17"/>
  <c r="D933" i="17"/>
  <c r="E933" i="17"/>
  <c r="E934" i="17"/>
  <c r="E935" i="17"/>
  <c r="D936" i="17"/>
  <c r="E936" i="17"/>
  <c r="E939" i="17"/>
  <c r="E940" i="17"/>
  <c r="E941" i="17"/>
  <c r="E942" i="17"/>
  <c r="E943" i="17"/>
  <c r="E944" i="17"/>
  <c r="D945" i="17"/>
  <c r="E945" i="17"/>
  <c r="D948" i="17"/>
  <c r="E948" i="17"/>
  <c r="D949" i="17"/>
  <c r="E949" i="17"/>
  <c r="D950" i="17"/>
  <c r="E950" i="17"/>
  <c r="D951" i="17"/>
  <c r="E951" i="17"/>
  <c r="D952" i="17"/>
  <c r="E952" i="17"/>
  <c r="D953" i="17"/>
  <c r="E953" i="17"/>
  <c r="D954" i="17"/>
  <c r="E954" i="17"/>
  <c r="J956" i="17"/>
  <c r="D960" i="17"/>
  <c r="E960" i="17"/>
  <c r="D961" i="17"/>
  <c r="E961" i="17"/>
  <c r="D962" i="17"/>
  <c r="E962" i="17"/>
  <c r="D964" i="17"/>
  <c r="E964" i="17"/>
  <c r="K964" i="17"/>
  <c r="D965" i="17"/>
  <c r="E965" i="17"/>
  <c r="D966" i="17"/>
  <c r="E966" i="17"/>
  <c r="D967" i="17"/>
  <c r="E967" i="17"/>
  <c r="D968" i="17"/>
  <c r="J963" i="17" s="1"/>
  <c r="J962" i="17" s="1"/>
  <c r="E968" i="17"/>
  <c r="D969" i="17"/>
  <c r="E969" i="17"/>
  <c r="D970" i="17"/>
  <c r="J965" i="17" s="1"/>
  <c r="K965" i="17" s="1"/>
  <c r="E970" i="17"/>
  <c r="D971" i="17"/>
  <c r="E971" i="17"/>
  <c r="D972" i="17"/>
  <c r="D978" i="17"/>
  <c r="E978" i="17"/>
  <c r="D979" i="17"/>
  <c r="E979" i="17"/>
  <c r="D982" i="17"/>
  <c r="E982" i="17"/>
  <c r="D983" i="17"/>
  <c r="E983" i="17"/>
  <c r="D984" i="17"/>
  <c r="E984" i="17"/>
  <c r="D985" i="17"/>
  <c r="E985" i="17"/>
  <c r="E986" i="17"/>
  <c r="E987" i="17"/>
  <c r="D988" i="17"/>
  <c r="E988" i="17"/>
  <c r="E991" i="17"/>
  <c r="E992" i="17"/>
  <c r="E993" i="17"/>
  <c r="E994" i="17"/>
  <c r="E995" i="17"/>
  <c r="E996" i="17"/>
  <c r="D997" i="17"/>
  <c r="E997" i="17"/>
  <c r="D1000" i="17"/>
  <c r="E1000" i="17"/>
  <c r="D1001" i="17"/>
  <c r="E1001" i="17"/>
  <c r="D1002" i="17"/>
  <c r="E1002" i="17"/>
  <c r="D1003" i="17"/>
  <c r="E1003" i="17"/>
  <c r="D1004" i="17"/>
  <c r="E1004" i="17"/>
  <c r="D1005" i="17"/>
  <c r="E1005" i="17"/>
  <c r="D1006" i="17"/>
  <c r="E1006" i="17"/>
  <c r="J1009" i="17"/>
  <c r="J1010" i="17"/>
  <c r="D1013" i="17"/>
  <c r="E1013" i="17"/>
  <c r="D1014" i="17"/>
  <c r="E1014" i="17"/>
  <c r="D1015" i="17"/>
  <c r="E1015" i="17"/>
  <c r="D1017" i="17"/>
  <c r="E1017" i="17"/>
  <c r="K1017" i="17"/>
  <c r="D1018" i="17"/>
  <c r="E1018" i="17"/>
  <c r="D1019" i="17"/>
  <c r="E1019" i="17"/>
  <c r="D1020" i="17"/>
  <c r="E1020" i="17"/>
  <c r="D1021" i="17"/>
  <c r="J1016" i="17" s="1"/>
  <c r="J1015" i="17" s="1"/>
  <c r="E1021" i="17"/>
  <c r="D1022" i="17"/>
  <c r="E1022" i="17"/>
  <c r="D1023" i="17"/>
  <c r="J1018" i="17" s="1"/>
  <c r="K1018" i="17" s="1"/>
  <c r="E1023" i="17"/>
  <c r="D1024" i="17"/>
  <c r="E1024" i="17"/>
  <c r="D1025" i="17"/>
  <c r="E1025" i="17"/>
  <c r="D1027" i="17"/>
  <c r="D1031" i="17"/>
  <c r="E1031" i="17"/>
  <c r="D1032" i="17"/>
  <c r="E1032" i="17"/>
  <c r="D1035" i="17"/>
  <c r="E1035" i="17"/>
  <c r="E1036" i="17"/>
  <c r="D1037" i="17"/>
  <c r="E1037" i="17"/>
  <c r="D1038" i="17"/>
  <c r="E1038" i="17"/>
  <c r="E1039" i="17"/>
  <c r="E1040" i="17"/>
  <c r="D1041" i="17"/>
  <c r="E1041" i="17"/>
  <c r="E1044" i="17"/>
  <c r="E1045" i="17"/>
  <c r="E1046" i="17"/>
  <c r="E1047" i="17"/>
  <c r="E1048" i="17"/>
  <c r="E1049" i="17"/>
  <c r="D1050" i="17"/>
  <c r="E1050" i="17"/>
  <c r="D1053" i="17"/>
  <c r="E1053" i="17"/>
  <c r="D1054" i="17"/>
  <c r="E1054" i="17"/>
  <c r="D1055" i="17"/>
  <c r="E1055" i="17"/>
  <c r="D1056" i="17"/>
  <c r="E1056" i="17"/>
  <c r="D1057" i="17"/>
  <c r="E1057" i="17"/>
  <c r="D1058" i="17"/>
  <c r="E1058" i="17"/>
  <c r="D1059" i="17"/>
  <c r="E1059" i="17"/>
  <c r="J1062" i="17"/>
  <c r="D1066" i="17"/>
  <c r="E1066" i="17"/>
  <c r="D1067" i="17"/>
  <c r="E1067" i="17"/>
  <c r="D1068" i="17"/>
  <c r="E1068" i="17"/>
  <c r="D1070" i="17"/>
  <c r="E1070" i="17"/>
  <c r="K1070" i="17"/>
  <c r="D1071" i="17"/>
  <c r="E1071" i="17"/>
  <c r="D1072" i="17"/>
  <c r="E1072" i="17"/>
  <c r="D1073" i="17"/>
  <c r="E1073" i="17"/>
  <c r="D1074" i="17"/>
  <c r="J1069" i="17" s="1"/>
  <c r="J1068" i="17" s="1"/>
  <c r="E1074" i="17"/>
  <c r="D1075" i="17"/>
  <c r="E1075" i="17"/>
  <c r="D1076" i="17"/>
  <c r="J1071" i="17" s="1"/>
  <c r="K1071" i="17" s="1"/>
  <c r="E1076" i="17"/>
  <c r="D1077" i="17"/>
  <c r="E1077" i="17"/>
  <c r="D1078" i="17"/>
  <c r="D1080" i="17"/>
  <c r="D1084" i="17"/>
  <c r="E1084" i="17"/>
  <c r="D1085" i="17"/>
  <c r="E1085" i="17"/>
  <c r="D1088" i="17"/>
  <c r="E1088" i="17"/>
  <c r="D1089" i="17"/>
  <c r="E1089" i="17"/>
  <c r="E1090" i="17"/>
  <c r="D1091" i="17"/>
  <c r="E1091" i="17"/>
  <c r="D1092" i="17"/>
  <c r="E1092" i="17"/>
  <c r="E1093" i="17"/>
  <c r="D1094" i="17"/>
  <c r="E1094" i="17"/>
  <c r="E1097" i="17"/>
  <c r="E1098" i="17"/>
  <c r="E1099" i="17"/>
  <c r="E1100" i="17"/>
  <c r="E1101" i="17"/>
  <c r="E1102" i="17"/>
  <c r="D1103" i="17"/>
  <c r="E1103" i="17"/>
  <c r="D1106" i="17"/>
  <c r="E1106" i="17"/>
  <c r="D1107" i="17"/>
  <c r="E1107" i="17"/>
  <c r="D1108" i="17"/>
  <c r="E1108" i="17"/>
  <c r="D1109" i="17"/>
  <c r="E1109" i="17"/>
  <c r="D1110" i="17"/>
  <c r="E1110" i="17"/>
  <c r="D1111" i="17"/>
  <c r="E1111" i="17"/>
  <c r="D1112" i="17"/>
  <c r="E1112" i="17"/>
  <c r="J1114" i="17"/>
  <c r="D1118" i="17"/>
  <c r="E1118" i="17"/>
  <c r="D1119" i="17"/>
  <c r="E1119" i="17"/>
  <c r="D1120" i="17"/>
  <c r="E1120" i="17"/>
  <c r="D1122" i="17"/>
  <c r="E1122" i="17"/>
  <c r="K1122" i="17"/>
  <c r="D1123" i="17"/>
  <c r="E1123" i="17"/>
  <c r="D1124" i="17"/>
  <c r="E1124" i="17"/>
  <c r="D1125" i="17"/>
  <c r="J1120" i="17" s="1"/>
  <c r="E1125" i="17"/>
  <c r="D1126" i="17"/>
  <c r="E1126" i="17"/>
  <c r="D1127" i="17"/>
  <c r="E1127" i="17"/>
  <c r="D1128" i="17"/>
  <c r="J1123" i="17" s="1"/>
  <c r="K1123" i="17" s="1"/>
  <c r="E1128" i="17"/>
  <c r="D1129" i="17"/>
  <c r="E1129" i="17"/>
  <c r="D1130" i="17"/>
  <c r="E1130" i="17"/>
  <c r="D1132" i="17"/>
  <c r="D1136" i="17"/>
  <c r="E1136" i="17"/>
  <c r="D1137" i="17"/>
  <c r="E1137" i="17"/>
  <c r="D1140" i="17"/>
  <c r="E1140" i="17"/>
  <c r="D1141" i="17"/>
  <c r="E1141" i="17"/>
  <c r="D1142" i="17"/>
  <c r="E1142" i="17"/>
  <c r="D1143" i="17"/>
  <c r="E1143" i="17"/>
  <c r="D1144" i="17"/>
  <c r="E1144" i="17"/>
  <c r="E1145" i="17"/>
  <c r="D1146" i="17"/>
  <c r="E1146" i="17"/>
  <c r="E1149" i="17"/>
  <c r="E1150" i="17"/>
  <c r="E1151" i="17"/>
  <c r="E1152" i="17"/>
  <c r="E1153" i="17"/>
  <c r="E1154" i="17"/>
  <c r="D1155" i="17"/>
  <c r="E1155" i="17"/>
  <c r="D1158" i="17"/>
  <c r="E1158" i="17"/>
  <c r="D1159" i="17"/>
  <c r="E1159" i="17"/>
  <c r="D1160" i="17"/>
  <c r="E1160" i="17"/>
  <c r="D1161" i="17"/>
  <c r="E1161" i="17"/>
  <c r="D1162" i="17"/>
  <c r="E1162" i="17"/>
  <c r="D1163" i="17"/>
  <c r="E1163" i="17"/>
  <c r="D1164" i="17"/>
  <c r="E1164" i="17"/>
  <c r="J1166" i="17"/>
  <c r="D1170" i="17"/>
  <c r="E1170" i="17"/>
  <c r="D1171" i="17"/>
  <c r="E1171" i="17"/>
  <c r="D1172" i="17"/>
  <c r="E1172" i="17"/>
  <c r="D1174" i="17"/>
  <c r="E1174" i="17"/>
  <c r="K1174" i="17"/>
  <c r="D1175" i="17"/>
  <c r="E1175" i="17"/>
  <c r="D1176" i="17"/>
  <c r="E1176" i="17"/>
  <c r="D1177" i="17"/>
  <c r="J1172" i="17" s="1"/>
  <c r="E1177" i="17"/>
  <c r="D1178" i="17"/>
  <c r="E1178" i="17"/>
  <c r="D1179" i="17"/>
  <c r="E1179" i="17"/>
  <c r="D1180" i="17"/>
  <c r="J1175" i="17" s="1"/>
  <c r="K1175" i="17" s="1"/>
  <c r="E1180" i="17"/>
  <c r="D1181" i="17"/>
  <c r="E1181" i="17"/>
  <c r="D1182" i="17"/>
  <c r="E1182" i="17"/>
  <c r="D1188" i="17"/>
  <c r="E1188" i="17"/>
  <c r="D1189" i="17"/>
  <c r="E1189" i="17"/>
  <c r="D1192" i="17"/>
  <c r="E1192" i="17"/>
  <c r="E1193" i="17"/>
  <c r="D1194" i="17"/>
  <c r="E1194" i="17"/>
  <c r="D1195" i="17"/>
  <c r="E1195" i="17"/>
  <c r="D1196" i="17"/>
  <c r="E1196" i="17"/>
  <c r="D1197" i="17"/>
  <c r="E1197" i="17"/>
  <c r="D1198" i="17"/>
  <c r="E1198" i="17"/>
  <c r="E1201" i="17"/>
  <c r="E1202" i="17"/>
  <c r="E1203" i="17"/>
  <c r="E1204" i="17"/>
  <c r="E1205" i="17"/>
  <c r="E1206" i="17"/>
  <c r="D1207" i="17"/>
  <c r="E1207" i="17"/>
  <c r="D1210" i="17"/>
  <c r="E1210" i="17"/>
  <c r="D1211" i="17"/>
  <c r="E1211" i="17"/>
  <c r="D1212" i="17"/>
  <c r="E1212" i="17"/>
  <c r="D1213" i="17"/>
  <c r="E1213" i="17"/>
  <c r="D1214" i="17"/>
  <c r="E1214" i="17"/>
  <c r="D1215" i="17"/>
  <c r="E1215" i="17"/>
  <c r="D1216" i="17"/>
  <c r="E1216" i="17"/>
  <c r="J1219" i="17"/>
  <c r="D1223" i="17"/>
  <c r="E1223" i="17"/>
  <c r="D1224" i="17"/>
  <c r="E1224" i="17"/>
  <c r="D1225" i="17"/>
  <c r="E1225" i="17"/>
  <c r="D1227" i="17"/>
  <c r="E1227" i="17"/>
  <c r="K1227" i="17"/>
  <c r="D1228" i="17"/>
  <c r="E1228" i="17"/>
  <c r="D1229" i="17"/>
  <c r="E1229" i="17"/>
  <c r="D1230" i="17"/>
  <c r="J1225" i="17" s="1"/>
  <c r="E1230" i="17"/>
  <c r="D1231" i="17"/>
  <c r="E1231" i="17"/>
  <c r="D1232" i="17"/>
  <c r="E1232" i="17"/>
  <c r="D1233" i="17"/>
  <c r="J1228" i="17" s="1"/>
  <c r="K1228" i="17" s="1"/>
  <c r="E1233" i="17"/>
  <c r="D1234" i="17"/>
  <c r="E1234" i="17"/>
  <c r="D1235" i="17"/>
  <c r="E1235" i="17"/>
  <c r="D1237" i="17"/>
  <c r="D1241" i="17"/>
  <c r="E1241" i="17"/>
  <c r="D1242" i="17"/>
  <c r="E1242" i="17"/>
  <c r="D1245" i="17"/>
  <c r="E1245" i="17"/>
  <c r="E1246" i="17"/>
  <c r="D1247" i="17"/>
  <c r="E1247" i="17"/>
  <c r="D1248" i="17"/>
  <c r="E1248" i="17"/>
  <c r="D1249" i="17"/>
  <c r="E1249" i="17"/>
  <c r="D1250" i="17"/>
  <c r="E1250" i="17"/>
  <c r="D1251" i="17"/>
  <c r="E1251" i="17"/>
  <c r="E1254" i="17"/>
  <c r="E1255" i="17"/>
  <c r="E1256" i="17"/>
  <c r="E1257" i="17"/>
  <c r="E1258" i="17"/>
  <c r="E1259" i="17"/>
  <c r="D1260" i="17"/>
  <c r="E1260" i="17"/>
  <c r="D1263" i="17"/>
  <c r="E1263" i="17"/>
  <c r="D1264" i="17"/>
  <c r="E1264" i="17"/>
  <c r="D1265" i="17"/>
  <c r="E1265" i="17"/>
  <c r="D1266" i="17"/>
  <c r="E1266" i="17"/>
  <c r="D1267" i="17"/>
  <c r="E1267" i="17"/>
  <c r="D1268" i="17"/>
  <c r="E1268" i="17"/>
  <c r="D1269" i="17"/>
  <c r="E1269" i="17"/>
  <c r="J1272" i="17"/>
  <c r="D1276" i="17"/>
  <c r="E1276" i="17"/>
  <c r="D1277" i="17"/>
  <c r="E1277" i="17"/>
  <c r="D1278" i="17"/>
  <c r="E1278" i="17"/>
  <c r="D1280" i="17"/>
  <c r="E1280" i="17"/>
  <c r="K1280" i="17"/>
  <c r="D1281" i="17"/>
  <c r="E1281" i="17"/>
  <c r="D1282" i="17"/>
  <c r="E1282" i="17"/>
  <c r="D1283" i="17"/>
  <c r="J1278" i="17" s="1"/>
  <c r="E1283" i="17"/>
  <c r="D1284" i="17"/>
  <c r="E1284" i="17"/>
  <c r="D1285" i="17"/>
  <c r="E1285" i="17"/>
  <c r="D1286" i="17"/>
  <c r="J1281" i="17" s="1"/>
  <c r="K1281" i="17" s="1"/>
  <c r="E1286" i="17"/>
  <c r="D1287" i="17"/>
  <c r="E1287" i="17"/>
  <c r="D1288" i="17"/>
  <c r="D1290" i="17"/>
  <c r="D1294" i="17"/>
  <c r="E1294" i="17"/>
  <c r="D1295" i="17"/>
  <c r="E1295" i="17"/>
  <c r="D1298" i="17"/>
  <c r="E1298" i="17"/>
  <c r="E1299" i="17"/>
  <c r="D1300" i="17"/>
  <c r="E1300" i="17"/>
  <c r="D1301" i="17"/>
  <c r="E1301" i="17"/>
  <c r="D1302" i="17"/>
  <c r="E1302" i="17"/>
  <c r="E1303" i="17"/>
  <c r="D1304" i="17"/>
  <c r="E1304" i="17"/>
  <c r="E1307" i="17"/>
  <c r="E1308" i="17"/>
  <c r="E1309" i="17"/>
  <c r="E1310" i="17"/>
  <c r="E1311" i="17"/>
  <c r="E1312" i="17"/>
  <c r="D1313" i="17"/>
  <c r="E1313" i="17"/>
  <c r="D1316" i="17"/>
  <c r="E1316" i="17"/>
  <c r="D1317" i="17"/>
  <c r="E1317" i="17"/>
  <c r="D1318" i="17"/>
  <c r="E1318" i="17"/>
  <c r="D1319" i="17"/>
  <c r="E1319" i="17"/>
  <c r="D1320" i="17"/>
  <c r="E1320" i="17"/>
  <c r="D1321" i="17"/>
  <c r="E1321" i="17"/>
  <c r="D1322" i="17"/>
  <c r="E1322" i="17"/>
  <c r="J1325" i="17"/>
  <c r="D1329" i="17"/>
  <c r="E1329" i="17"/>
  <c r="D1330" i="17"/>
  <c r="E1330" i="17"/>
  <c r="D1331" i="17"/>
  <c r="E1331" i="17"/>
  <c r="D1333" i="17"/>
  <c r="E1333" i="17"/>
  <c r="K1333" i="17"/>
  <c r="D1334" i="17"/>
  <c r="E1334" i="17"/>
  <c r="D1335" i="17"/>
  <c r="E1335" i="17"/>
  <c r="D1336" i="17"/>
  <c r="J1331" i="17" s="1"/>
  <c r="E1336" i="17"/>
  <c r="D1337" i="17"/>
  <c r="E1337" i="17"/>
  <c r="D1338" i="17"/>
  <c r="E1338" i="17"/>
  <c r="D1339" i="17"/>
  <c r="J1334" i="17" s="1"/>
  <c r="K1334" i="17" s="1"/>
  <c r="E1339" i="17"/>
  <c r="D1340" i="17"/>
  <c r="E1340" i="17"/>
  <c r="D1341" i="17"/>
  <c r="D1343" i="17"/>
  <c r="D1347" i="17"/>
  <c r="D1348" i="17"/>
  <c r="D1351" i="17"/>
  <c r="E1351" i="17"/>
  <c r="E1352" i="17"/>
  <c r="D1353" i="17"/>
  <c r="E1353" i="17"/>
  <c r="E1354" i="17"/>
  <c r="D1355" i="17"/>
  <c r="E1355" i="17"/>
  <c r="D1356" i="17"/>
  <c r="E1356" i="17"/>
  <c r="D1357" i="17"/>
  <c r="E1357" i="17"/>
  <c r="E1360" i="17"/>
  <c r="E1361" i="17"/>
  <c r="E1362" i="17"/>
  <c r="E1363" i="17"/>
  <c r="E1364" i="17"/>
  <c r="E1365" i="17"/>
  <c r="D1366" i="17"/>
  <c r="E1366" i="17"/>
  <c r="D1369" i="17"/>
  <c r="E1369" i="17"/>
  <c r="D1370" i="17"/>
  <c r="E1370" i="17"/>
  <c r="D1371" i="17"/>
  <c r="E1371" i="17"/>
  <c r="D1372" i="17"/>
  <c r="E1372" i="17"/>
  <c r="D1373" i="17"/>
  <c r="E1373" i="17"/>
  <c r="D1374" i="17"/>
  <c r="E1374" i="17"/>
  <c r="D1375" i="17"/>
  <c r="E1375" i="17"/>
  <c r="J1379" i="17"/>
  <c r="E1347" i="17" s="1"/>
  <c r="E1348" i="17" s="1"/>
  <c r="J1380" i="17"/>
  <c r="D1383" i="17"/>
  <c r="E1383" i="17"/>
  <c r="D1384" i="17"/>
  <c r="E1384" i="17"/>
  <c r="D1385" i="17"/>
  <c r="E1385" i="17"/>
  <c r="D1387" i="17"/>
  <c r="E1387" i="17"/>
  <c r="K1387" i="17"/>
  <c r="D1388" i="17"/>
  <c r="E1388" i="17"/>
  <c r="D1389" i="17"/>
  <c r="E1389" i="17"/>
  <c r="D1390" i="17"/>
  <c r="J1385" i="17" s="1"/>
  <c r="E1390" i="17"/>
  <c r="D1391" i="17"/>
  <c r="E1391" i="17"/>
  <c r="D1392" i="17"/>
  <c r="E1392" i="17"/>
  <c r="D1393" i="17"/>
  <c r="J1388" i="17" s="1"/>
  <c r="K1388" i="17" s="1"/>
  <c r="E1393" i="17"/>
  <c r="D1394" i="17"/>
  <c r="E1394" i="17"/>
  <c r="D1395" i="17"/>
  <c r="E1395" i="17"/>
  <c r="D1401" i="17"/>
  <c r="E1401" i="17"/>
  <c r="D1402" i="17"/>
  <c r="E1402" i="17"/>
  <c r="D1405" i="17"/>
  <c r="E1405" i="17"/>
  <c r="E1406" i="17"/>
  <c r="D1407" i="17"/>
  <c r="E1407" i="17"/>
  <c r="D1408" i="17"/>
  <c r="E1408" i="17"/>
  <c r="D1409" i="17"/>
  <c r="E1409" i="17"/>
  <c r="D1410" i="17"/>
  <c r="E1410" i="17"/>
  <c r="D1411" i="17"/>
  <c r="E1411" i="17"/>
  <c r="E1414" i="17"/>
  <c r="E1415" i="17"/>
  <c r="E1416" i="17"/>
  <c r="E1417" i="17"/>
  <c r="E1418" i="17"/>
  <c r="E1419" i="17"/>
  <c r="D1420" i="17"/>
  <c r="E1420" i="17"/>
  <c r="D1423" i="17"/>
  <c r="E1423" i="17"/>
  <c r="D1424" i="17"/>
  <c r="E1424" i="17"/>
  <c r="D1425" i="17"/>
  <c r="E1425" i="17"/>
  <c r="D1426" i="17"/>
  <c r="E1426" i="17"/>
  <c r="D1427" i="17"/>
  <c r="E1427" i="17"/>
  <c r="D1428" i="17"/>
  <c r="E1428" i="17"/>
  <c r="D1429" i="17"/>
  <c r="E1429" i="17"/>
  <c r="J1432" i="17"/>
  <c r="J1433" i="17"/>
  <c r="D1436" i="17"/>
  <c r="E1436" i="17"/>
  <c r="D1437" i="17"/>
  <c r="E1437" i="17"/>
  <c r="D1438" i="17"/>
  <c r="E1438" i="17"/>
  <c r="D1440" i="17"/>
  <c r="E1440" i="17"/>
  <c r="K1440" i="17"/>
  <c r="D1441" i="17"/>
  <c r="E1441" i="17"/>
  <c r="D1442" i="17"/>
  <c r="E1442" i="17"/>
  <c r="D1443" i="17"/>
  <c r="J1438" i="17" s="1"/>
  <c r="D1444" i="17"/>
  <c r="E1444" i="17"/>
  <c r="D1445" i="17"/>
  <c r="D1446" i="17"/>
  <c r="J1441" i="17" s="1"/>
  <c r="K1441" i="17" s="1"/>
  <c r="E1446" i="17"/>
  <c r="D1447" i="17"/>
  <c r="D1448" i="17"/>
  <c r="E1448" i="17"/>
  <c r="D1450" i="17"/>
  <c r="D1454" i="17"/>
  <c r="E1454" i="17"/>
  <c r="D1455" i="17"/>
  <c r="E1455" i="17"/>
  <c r="D1458" i="17"/>
  <c r="E1458" i="17"/>
  <c r="E1459" i="17"/>
  <c r="E1460" i="17"/>
  <c r="D1461" i="17"/>
  <c r="E1461" i="17"/>
  <c r="D1462" i="17"/>
  <c r="E1462" i="17"/>
  <c r="D1463" i="17"/>
  <c r="E1463" i="17"/>
  <c r="D1464" i="17"/>
  <c r="E1464" i="17"/>
  <c r="E1467" i="17"/>
  <c r="E1468" i="17"/>
  <c r="E1469" i="17"/>
  <c r="E1470" i="17"/>
  <c r="E1471" i="17"/>
  <c r="E1472" i="17"/>
  <c r="D1473" i="17"/>
  <c r="E1473" i="17"/>
  <c r="D1476" i="17"/>
  <c r="E1476" i="17"/>
  <c r="D1477" i="17"/>
  <c r="E1477" i="17"/>
  <c r="D1478" i="17"/>
  <c r="E1478" i="17"/>
  <c r="D1479" i="17"/>
  <c r="E1479" i="17"/>
  <c r="D1480" i="17"/>
  <c r="E1480" i="17"/>
  <c r="D1481" i="17"/>
  <c r="E1481" i="17"/>
  <c r="D1482" i="17"/>
  <c r="E1482" i="17"/>
  <c r="J1485" i="17"/>
  <c r="E1439" i="17" s="1"/>
  <c r="E1443" i="17" s="1"/>
  <c r="J1486" i="17"/>
  <c r="D1489" i="17"/>
  <c r="E1489" i="17"/>
  <c r="D1490" i="17"/>
  <c r="E1490" i="17"/>
  <c r="D1491" i="17"/>
  <c r="E1491" i="17"/>
  <c r="E1492" i="17"/>
  <c r="D1493" i="17"/>
  <c r="E1493" i="17"/>
  <c r="K1493" i="17"/>
  <c r="D1494" i="17"/>
  <c r="E1494" i="17"/>
  <c r="D1495" i="17"/>
  <c r="E1495" i="17"/>
  <c r="D1496" i="17"/>
  <c r="J1491" i="17" s="1"/>
  <c r="E1496" i="17"/>
  <c r="D1497" i="17"/>
  <c r="E1497" i="17"/>
  <c r="D1498" i="17"/>
  <c r="E1498" i="17"/>
  <c r="D1499" i="17"/>
  <c r="J1494" i="17" s="1"/>
  <c r="K1494" i="17" s="1"/>
  <c r="E1499" i="17"/>
  <c r="D1500" i="17"/>
  <c r="E1500" i="17"/>
  <c r="D1501" i="17"/>
  <c r="E1501" i="17"/>
  <c r="D1503" i="17"/>
  <c r="D1507" i="17"/>
  <c r="E1507" i="17"/>
  <c r="D1508" i="17"/>
  <c r="E1508" i="17"/>
  <c r="D1511" i="17"/>
  <c r="E1511" i="17"/>
  <c r="E1512" i="17"/>
  <c r="E1513" i="17"/>
  <c r="D1514" i="17"/>
  <c r="E1514" i="17"/>
  <c r="D1515" i="17"/>
  <c r="E1515" i="17"/>
  <c r="D1516" i="17"/>
  <c r="E1516" i="17"/>
  <c r="D1517" i="17"/>
  <c r="E1517" i="17"/>
  <c r="E1520" i="17"/>
  <c r="E1521" i="17"/>
  <c r="E1522" i="17"/>
  <c r="E1523" i="17"/>
  <c r="E1524" i="17"/>
  <c r="E1525" i="17"/>
  <c r="D1526" i="17"/>
  <c r="E1526" i="17"/>
  <c r="D1529" i="17"/>
  <c r="E1529" i="17"/>
  <c r="D1530" i="17"/>
  <c r="E1530" i="17"/>
  <c r="D1531" i="17"/>
  <c r="E1531" i="17"/>
  <c r="D1532" i="17"/>
  <c r="E1532" i="17"/>
  <c r="D1533" i="17"/>
  <c r="E1533" i="17"/>
  <c r="D1534" i="17"/>
  <c r="E1534" i="17"/>
  <c r="D1535" i="17"/>
  <c r="E1535" i="17"/>
  <c r="J1538" i="17"/>
  <c r="J1539" i="17"/>
  <c r="D1542" i="17"/>
  <c r="E1542" i="17"/>
  <c r="D1543" i="17"/>
  <c r="E1543" i="17"/>
  <c r="D1544" i="17"/>
  <c r="E1544" i="17"/>
  <c r="D1546" i="17"/>
  <c r="E1546" i="17"/>
  <c r="K1546" i="17"/>
  <c r="D1547" i="17"/>
  <c r="E1547" i="17"/>
  <c r="D1548" i="17"/>
  <c r="E1548" i="17"/>
  <c r="D1549" i="17"/>
  <c r="J1544" i="17" s="1"/>
  <c r="E1549" i="17"/>
  <c r="D1550" i="17"/>
  <c r="E1550" i="17"/>
  <c r="D1551" i="17"/>
  <c r="E1551" i="17"/>
  <c r="D1552" i="17"/>
  <c r="J1547" i="17" s="1"/>
  <c r="K1547" i="17" s="1"/>
  <c r="E1552" i="17"/>
  <c r="D1553" i="17"/>
  <c r="E1553" i="17"/>
  <c r="D1554" i="17"/>
  <c r="E1554" i="17"/>
  <c r="D1556" i="17"/>
  <c r="D1560" i="17"/>
  <c r="E1560" i="17"/>
  <c r="D1561" i="17"/>
  <c r="E1561" i="17"/>
  <c r="D1566" i="17"/>
  <c r="E1566" i="17"/>
  <c r="E1567" i="17"/>
  <c r="E1568" i="17"/>
  <c r="D1569" i="17"/>
  <c r="E1569" i="17"/>
  <c r="D1570" i="17"/>
  <c r="E1570" i="17"/>
  <c r="D1571" i="17"/>
  <c r="E1571" i="17"/>
  <c r="D1572" i="17"/>
  <c r="E1572" i="17"/>
  <c r="D1573" i="17"/>
  <c r="E1573" i="17"/>
  <c r="J1576" i="17"/>
  <c r="J1577" i="17"/>
  <c r="D1580" i="17"/>
  <c r="E1580" i="17"/>
  <c r="D1581" i="17"/>
  <c r="E1581" i="17"/>
  <c r="D1582" i="17"/>
  <c r="E1582" i="17"/>
  <c r="D1584" i="17"/>
  <c r="E1584" i="17"/>
  <c r="K1584" i="17"/>
  <c r="D1585" i="17"/>
  <c r="E1585" i="17"/>
  <c r="D1586" i="17"/>
  <c r="E1586" i="17"/>
  <c r="D1587" i="17"/>
  <c r="J1582" i="17" s="1"/>
  <c r="E1587" i="17"/>
  <c r="D1588" i="17"/>
  <c r="E1588" i="17"/>
  <c r="D1589" i="17"/>
  <c r="E1589" i="17"/>
  <c r="D1590" i="17"/>
  <c r="J1585" i="17" s="1"/>
  <c r="K1585" i="17" s="1"/>
  <c r="E1590" i="17"/>
  <c r="D1591" i="17"/>
  <c r="E1591" i="17"/>
  <c r="D1592" i="17"/>
  <c r="E1592" i="17"/>
  <c r="D1598" i="17"/>
  <c r="E1598" i="17"/>
  <c r="D1599" i="17"/>
  <c r="E1599" i="17"/>
  <c r="D1604" i="17"/>
  <c r="E1604" i="17"/>
  <c r="E1605" i="17"/>
  <c r="E1606" i="17"/>
  <c r="D1607" i="17"/>
  <c r="E1607" i="17"/>
  <c r="E1608" i="17"/>
  <c r="D1609" i="17"/>
  <c r="E1609" i="17"/>
  <c r="D1610" i="17"/>
  <c r="E1610" i="17"/>
  <c r="J1613" i="17"/>
  <c r="D1617" i="17"/>
  <c r="E1617" i="17"/>
  <c r="D1618" i="17"/>
  <c r="E1618" i="17"/>
  <c r="D1619" i="17"/>
  <c r="E1619" i="17"/>
  <c r="K1619" i="17"/>
  <c r="E1620" i="17"/>
  <c r="J1620" i="17"/>
  <c r="D1621" i="17"/>
  <c r="E1621" i="17"/>
  <c r="K1621" i="17"/>
  <c r="K1620" i="17" s="1"/>
  <c r="D1622" i="17"/>
  <c r="E1622" i="17"/>
  <c r="D1623" i="17"/>
  <c r="E1623" i="17"/>
  <c r="D1624" i="17"/>
  <c r="E1624" i="17"/>
  <c r="D1625" i="17"/>
  <c r="E1625" i="17"/>
  <c r="D1626" i="17"/>
  <c r="E1626" i="17"/>
  <c r="D1627" i="17"/>
  <c r="J1622" i="17" s="1"/>
  <c r="E1627" i="17"/>
  <c r="D1628" i="17"/>
  <c r="E1628" i="17"/>
  <c r="D1629" i="17"/>
  <c r="D1631" i="17"/>
  <c r="D1635" i="17"/>
  <c r="E1635" i="17"/>
  <c r="D1636" i="17"/>
  <c r="E1636" i="17"/>
  <c r="D1641" i="17"/>
  <c r="E1641" i="17"/>
  <c r="E1642" i="17"/>
  <c r="E1643" i="17"/>
  <c r="E1644" i="17"/>
  <c r="E1645" i="17"/>
  <c r="E1646" i="17"/>
  <c r="D1647" i="17"/>
  <c r="E1647" i="17"/>
  <c r="J1649" i="17"/>
  <c r="D1653" i="17"/>
  <c r="E1653" i="17"/>
  <c r="D1654" i="17"/>
  <c r="E1654" i="17"/>
  <c r="D1655" i="17"/>
  <c r="E1655" i="17"/>
  <c r="D1657" i="17"/>
  <c r="E1657" i="17"/>
  <c r="D1658" i="17"/>
  <c r="E1658" i="17"/>
  <c r="D1659" i="17"/>
  <c r="E1659" i="17"/>
  <c r="D1660" i="17"/>
  <c r="E1660" i="17"/>
  <c r="D1661" i="17"/>
  <c r="E1661" i="17"/>
  <c r="D1662" i="17"/>
  <c r="E1662" i="17"/>
  <c r="D1663" i="17"/>
  <c r="E1663" i="17"/>
  <c r="D1664" i="17"/>
  <c r="E1664" i="17"/>
  <c r="D1665" i="17"/>
  <c r="D1667" i="17"/>
  <c r="D1671" i="17"/>
  <c r="E1671" i="17"/>
  <c r="D1672" i="17"/>
  <c r="E1672" i="17"/>
  <c r="D1677" i="17"/>
  <c r="E1677" i="17"/>
  <c r="E1678" i="17"/>
  <c r="E1679" i="17"/>
  <c r="E1680" i="17"/>
  <c r="E1681" i="17"/>
  <c r="E1682" i="17"/>
  <c r="D1683" i="17"/>
  <c r="E1683" i="17"/>
  <c r="F1660" i="17" l="1"/>
  <c r="F1662" i="17"/>
  <c r="F1624" i="17"/>
  <c r="J1624" i="17"/>
  <c r="F1626" i="17"/>
  <c r="K1622" i="17"/>
  <c r="K1623" i="17" s="1"/>
  <c r="J1623" i="17"/>
  <c r="G1587" i="17"/>
  <c r="G1589" i="17"/>
  <c r="F1587" i="17"/>
  <c r="J1587" i="17"/>
  <c r="L1584" i="17" s="1"/>
  <c r="F1589" i="17"/>
  <c r="K1582" i="17"/>
  <c r="L1582" i="17"/>
  <c r="J1583" i="17"/>
  <c r="J1586" i="17"/>
  <c r="G1549" i="17"/>
  <c r="G1551" i="17"/>
  <c r="F1549" i="17"/>
  <c r="J1549" i="17"/>
  <c r="L1546" i="17" s="1"/>
  <c r="F1551" i="17"/>
  <c r="K1544" i="17"/>
  <c r="L1544" i="17"/>
  <c r="J1545" i="17"/>
  <c r="J1548" i="17"/>
  <c r="G1496" i="17"/>
  <c r="G1498" i="17"/>
  <c r="F1496" i="17"/>
  <c r="J1496" i="17"/>
  <c r="L1493" i="17" s="1"/>
  <c r="F1498" i="17"/>
  <c r="K1491" i="17"/>
  <c r="L1491" i="17"/>
  <c r="J1492" i="17"/>
  <c r="J1495" i="17"/>
  <c r="G1443" i="17"/>
  <c r="E1445" i="17"/>
  <c r="G1445" i="17" s="1"/>
  <c r="E1447" i="17"/>
  <c r="G1447" i="17" s="1"/>
  <c r="F1443" i="17"/>
  <c r="J1443" i="17"/>
  <c r="L1440" i="17" s="1"/>
  <c r="F1445" i="17"/>
  <c r="F1447" i="17"/>
  <c r="K1438" i="17"/>
  <c r="L1438" i="17"/>
  <c r="J1439" i="17"/>
  <c r="J1442" i="17"/>
  <c r="G1390" i="17"/>
  <c r="G1392" i="17"/>
  <c r="G1394" i="17"/>
  <c r="F1390" i="17"/>
  <c r="J1390" i="17"/>
  <c r="L1387" i="17" s="1"/>
  <c r="F1392" i="17"/>
  <c r="F1394" i="17"/>
  <c r="K1385" i="17"/>
  <c r="L1385" i="17"/>
  <c r="J1386" i="17"/>
  <c r="J1389" i="17"/>
  <c r="F1336" i="17"/>
  <c r="J1336" i="17"/>
  <c r="L1333" i="17" s="1"/>
  <c r="F1338" i="17"/>
  <c r="F1340" i="17"/>
  <c r="K1331" i="17"/>
  <c r="L1331" i="17"/>
  <c r="J1332" i="17"/>
  <c r="J1335" i="17"/>
  <c r="F1283" i="17"/>
  <c r="J1283" i="17"/>
  <c r="L1280" i="17" s="1"/>
  <c r="F1285" i="17"/>
  <c r="F1287" i="17"/>
  <c r="K1278" i="17"/>
  <c r="L1278" i="17"/>
  <c r="J1279" i="17"/>
  <c r="J1282" i="17"/>
  <c r="G1230" i="17"/>
  <c r="G1232" i="17"/>
  <c r="G1234" i="17"/>
  <c r="F1230" i="17"/>
  <c r="J1230" i="17"/>
  <c r="L1227" i="17" s="1"/>
  <c r="F1232" i="17"/>
  <c r="F1234" i="17"/>
  <c r="K1225" i="17"/>
  <c r="L1225" i="17"/>
  <c r="J1226" i="17"/>
  <c r="J1229" i="17"/>
  <c r="G1177" i="17"/>
  <c r="G1179" i="17"/>
  <c r="G1181" i="17"/>
  <c r="F1177" i="17"/>
  <c r="J1177" i="17"/>
  <c r="L1174" i="17" s="1"/>
  <c r="F1179" i="17"/>
  <c r="F1181" i="17"/>
  <c r="K1172" i="17"/>
  <c r="L1172" i="17"/>
  <c r="J1173" i="17"/>
  <c r="J1176" i="17"/>
  <c r="G1125" i="17"/>
  <c r="G1127" i="17"/>
  <c r="G1129" i="17"/>
  <c r="F1125" i="17"/>
  <c r="J1125" i="17"/>
  <c r="L1122" i="17" s="1"/>
  <c r="F1127" i="17"/>
  <c r="F1129" i="17"/>
  <c r="K1120" i="17"/>
  <c r="L1120" i="17"/>
  <c r="J1121" i="17"/>
  <c r="J1124" i="17"/>
  <c r="F1073" i="17"/>
  <c r="J1073" i="17"/>
  <c r="L1070" i="17" s="1"/>
  <c r="F1075" i="17"/>
  <c r="F1077" i="17"/>
  <c r="K1068" i="17"/>
  <c r="L1068" i="17"/>
  <c r="J1072" i="17"/>
  <c r="G1020" i="17"/>
  <c r="G1022" i="17"/>
  <c r="G1024" i="17"/>
  <c r="F1020" i="17"/>
  <c r="J1020" i="17"/>
  <c r="L1017" i="17" s="1"/>
  <c r="F1022" i="17"/>
  <c r="F1024" i="17"/>
  <c r="K1015" i="17"/>
  <c r="L1015" i="17"/>
  <c r="J1019" i="17"/>
  <c r="F967" i="17"/>
  <c r="J967" i="17"/>
  <c r="L964" i="17" s="1"/>
  <c r="F969" i="17"/>
  <c r="F971" i="17"/>
  <c r="K962" i="17"/>
  <c r="L962" i="17"/>
  <c r="J966" i="17"/>
  <c r="F915" i="17"/>
  <c r="J915" i="17"/>
  <c r="L912" i="17" s="1"/>
  <c r="F917" i="17"/>
  <c r="F919" i="17"/>
  <c r="K910" i="17"/>
  <c r="L910" i="17"/>
  <c r="J914" i="17"/>
  <c r="F861" i="17"/>
  <c r="J861" i="17"/>
  <c r="L858" i="17" s="1"/>
  <c r="F863" i="17"/>
  <c r="F865" i="17"/>
  <c r="K856" i="17"/>
  <c r="L856" i="17"/>
  <c r="J860" i="17"/>
  <c r="F807" i="17"/>
  <c r="J807" i="17"/>
  <c r="L804" i="17" s="1"/>
  <c r="F809" i="17"/>
  <c r="F811" i="17"/>
  <c r="K802" i="17"/>
  <c r="L802" i="17"/>
  <c r="J806" i="17"/>
  <c r="F753" i="17"/>
  <c r="J753" i="17"/>
  <c r="L750" i="17" s="1"/>
  <c r="F755" i="17"/>
  <c r="F757" i="17"/>
  <c r="K748" i="17"/>
  <c r="L748" i="17"/>
  <c r="J752" i="17"/>
  <c r="F699" i="17"/>
  <c r="J699" i="17"/>
  <c r="L696" i="17" s="1"/>
  <c r="F701" i="17"/>
  <c r="F703" i="17"/>
  <c r="K694" i="17"/>
  <c r="L694" i="17"/>
  <c r="J698" i="17"/>
  <c r="G646" i="17"/>
  <c r="G648" i="17"/>
  <c r="G650" i="17"/>
  <c r="F646" i="17"/>
  <c r="J646" i="17"/>
  <c r="L643" i="17" s="1"/>
  <c r="F648" i="17"/>
  <c r="F650" i="17"/>
  <c r="K641" i="17"/>
  <c r="L641" i="17"/>
  <c r="J645" i="17"/>
  <c r="F592" i="17"/>
  <c r="J592" i="17"/>
  <c r="L589" i="17" s="1"/>
  <c r="F594" i="17"/>
  <c r="F596" i="17"/>
  <c r="K587" i="17"/>
  <c r="L587" i="17"/>
  <c r="J591" i="17"/>
  <c r="F538" i="17"/>
  <c r="J538" i="17"/>
  <c r="L535" i="17" s="1"/>
  <c r="F540" i="17"/>
  <c r="F542" i="17"/>
  <c r="K533" i="17"/>
  <c r="L533" i="17"/>
  <c r="J537" i="17"/>
  <c r="F482" i="17"/>
  <c r="J482" i="17"/>
  <c r="L479" i="17" s="1"/>
  <c r="F484" i="17"/>
  <c r="F486" i="17"/>
  <c r="K477" i="17"/>
  <c r="L477" i="17"/>
  <c r="J481" i="17"/>
  <c r="F426" i="17"/>
  <c r="J426" i="17"/>
  <c r="L423" i="17" s="1"/>
  <c r="F428" i="17"/>
  <c r="F430" i="17"/>
  <c r="K421" i="17"/>
  <c r="L421" i="17"/>
  <c r="J425" i="17"/>
  <c r="F372" i="17"/>
  <c r="J372" i="17"/>
  <c r="L369" i="17" s="1"/>
  <c r="F374" i="17"/>
  <c r="F376" i="17"/>
  <c r="K367" i="17"/>
  <c r="L367" i="17"/>
  <c r="J371" i="17"/>
  <c r="G319" i="17"/>
  <c r="G321" i="17"/>
  <c r="G323" i="17"/>
  <c r="F319" i="17"/>
  <c r="J319" i="17"/>
  <c r="L316" i="17" s="1"/>
  <c r="F321" i="17"/>
  <c r="F323" i="17"/>
  <c r="K314" i="17"/>
  <c r="L314" i="17"/>
  <c r="J318" i="17"/>
  <c r="G266" i="17"/>
  <c r="G268" i="17"/>
  <c r="G270" i="17"/>
  <c r="F266" i="17"/>
  <c r="J266" i="17"/>
  <c r="L263" i="17" s="1"/>
  <c r="F268" i="17"/>
  <c r="F270" i="17"/>
  <c r="K261" i="17"/>
  <c r="L261" i="17"/>
  <c r="J265" i="17"/>
  <c r="E155" i="17"/>
  <c r="E156" i="17" s="1"/>
  <c r="E220" i="17"/>
  <c r="E221" i="17" s="1"/>
  <c r="F209" i="17"/>
  <c r="F211" i="17"/>
  <c r="F213" i="17"/>
  <c r="F144" i="17"/>
  <c r="F146" i="17"/>
  <c r="F148" i="17"/>
  <c r="F78" i="17"/>
  <c r="F80" i="17"/>
  <c r="F82" i="17"/>
  <c r="F16" i="17"/>
  <c r="F18" i="17"/>
  <c r="F20" i="17"/>
  <c r="AU207" i="15"/>
  <c r="AV207" i="15"/>
  <c r="AP207" i="15"/>
  <c r="AO207" i="15"/>
  <c r="AN207" i="15"/>
  <c r="AM207" i="15"/>
  <c r="AL207" i="15"/>
  <c r="AK207" i="15"/>
  <c r="AJ207" i="15"/>
  <c r="AI207" i="15"/>
  <c r="AH207" i="15"/>
  <c r="AG207" i="15"/>
  <c r="O207" i="15"/>
  <c r="N207" i="15"/>
  <c r="M207" i="15"/>
  <c r="L207" i="15"/>
  <c r="BD32" i="15"/>
  <c r="BD78" i="15"/>
  <c r="AZ32" i="15"/>
  <c r="AZ78" i="15"/>
  <c r="AV32" i="15"/>
  <c r="AV78" i="15"/>
  <c r="AR32" i="15"/>
  <c r="AR78" i="15"/>
  <c r="AN32" i="15"/>
  <c r="AN78" i="15"/>
  <c r="AJ32" i="15"/>
  <c r="AJ78" i="15"/>
  <c r="AF32" i="15"/>
  <c r="AF78" i="15"/>
  <c r="AB32" i="15"/>
  <c r="AB78" i="15"/>
  <c r="X32" i="15"/>
  <c r="X78" i="15"/>
  <c r="T32" i="15"/>
  <c r="T78" i="15"/>
  <c r="BD111" i="15"/>
  <c r="AZ111" i="15"/>
  <c r="AV111" i="15"/>
  <c r="AR111" i="15"/>
  <c r="AN111" i="15"/>
  <c r="AJ111" i="15"/>
  <c r="AF111" i="15"/>
  <c r="AB111" i="15"/>
  <c r="X111" i="15"/>
  <c r="T111" i="15"/>
  <c r="O111" i="15"/>
  <c r="BD106" i="15"/>
  <c r="BD116" i="15" s="1"/>
  <c r="AZ106" i="15"/>
  <c r="AZ116" i="15" s="1"/>
  <c r="AV106" i="15"/>
  <c r="AV116" i="15" s="1"/>
  <c r="AR106" i="15"/>
  <c r="AR116" i="15" s="1"/>
  <c r="AN106" i="15"/>
  <c r="AN116" i="15" s="1"/>
  <c r="AJ106" i="15"/>
  <c r="AJ116" i="15" s="1"/>
  <c r="AF106" i="15"/>
  <c r="AF116" i="15" s="1"/>
  <c r="AB106" i="15"/>
  <c r="AB116" i="15" s="1"/>
  <c r="X106" i="15"/>
  <c r="X116" i="15" s="1"/>
  <c r="T106" i="15"/>
  <c r="T116" i="15" s="1"/>
  <c r="O106" i="15"/>
  <c r="O116" i="15" s="1"/>
  <c r="O74" i="15"/>
  <c r="O73" i="15"/>
  <c r="O71" i="15"/>
  <c r="O70" i="15"/>
  <c r="O69" i="15"/>
  <c r="O68" i="15"/>
  <c r="O67" i="15"/>
  <c r="O65" i="15"/>
  <c r="O64" i="15"/>
  <c r="BB37" i="15"/>
  <c r="O63" i="15"/>
  <c r="O61" i="15"/>
  <c r="O60" i="15"/>
  <c r="O59" i="15"/>
  <c r="O58" i="15"/>
  <c r="BE60" i="20"/>
  <c r="BE101" i="20"/>
  <c r="BD47" i="15"/>
  <c r="BC60" i="20"/>
  <c r="BC101" i="20"/>
  <c r="BB47" i="15"/>
  <c r="O48" i="15"/>
  <c r="BA60" i="20"/>
  <c r="BA101" i="20"/>
  <c r="AZ47" i="15"/>
  <c r="AW101" i="20"/>
  <c r="AV47" i="15"/>
  <c r="AS82" i="20"/>
  <c r="AS101" i="20"/>
  <c r="AR47" i="15"/>
  <c r="AO82" i="20"/>
  <c r="AO101" i="20"/>
  <c r="AN47" i="15"/>
  <c r="AK82" i="20"/>
  <c r="AK101" i="20"/>
  <c r="AJ47" i="15"/>
  <c r="AG82" i="20"/>
  <c r="AG101" i="20"/>
  <c r="AF47" i="15"/>
  <c r="AC82" i="20"/>
  <c r="AC101" i="20"/>
  <c r="AB47" i="15"/>
  <c r="Y82" i="20"/>
  <c r="Y101" i="20"/>
  <c r="X47" i="15"/>
  <c r="U82" i="20"/>
  <c r="U101" i="20"/>
  <c r="T47" i="15"/>
  <c r="C82" i="20"/>
  <c r="C101" i="20"/>
  <c r="C47" i="15"/>
  <c r="BB38" i="15"/>
  <c r="O42" i="15"/>
  <c r="O23" i="15"/>
  <c r="O21" i="15"/>
  <c r="O19" i="15"/>
  <c r="O18" i="15"/>
  <c r="O17" i="15"/>
  <c r="O33" i="15" s="1"/>
  <c r="O16" i="15"/>
  <c r="O32" i="15" s="1"/>
  <c r="O14" i="15"/>
  <c r="O13" i="15"/>
  <c r="O12" i="15"/>
  <c r="O11" i="15"/>
  <c r="O10" i="15"/>
  <c r="O9" i="15"/>
  <c r="BE28" i="20"/>
  <c r="BC28" i="20"/>
  <c r="O7" i="15"/>
  <c r="BA28" i="20"/>
  <c r="AS17" i="20"/>
  <c r="AO17" i="20"/>
  <c r="AK17" i="20"/>
  <c r="AG17" i="20"/>
  <c r="P155" i="20"/>
  <c r="P154" i="20" s="1"/>
  <c r="O155" i="20"/>
  <c r="O154" i="20" s="1"/>
  <c r="N155" i="20"/>
  <c r="N154" i="20" s="1"/>
  <c r="M155" i="20"/>
  <c r="M154" i="20" s="1"/>
  <c r="L155" i="20"/>
  <c r="L154" i="20" s="1"/>
  <c r="K155" i="20"/>
  <c r="K154" i="20" s="1"/>
  <c r="J155" i="20"/>
  <c r="I155" i="20"/>
  <c r="P115" i="20"/>
  <c r="P110" i="20"/>
  <c r="P106" i="20"/>
  <c r="P116" i="20" s="1"/>
  <c r="P58" i="20"/>
  <c r="P57" i="20"/>
  <c r="P56" i="20"/>
  <c r="P55" i="20"/>
  <c r="P54" i="20"/>
  <c r="P53" i="20"/>
  <c r="P52" i="20"/>
  <c r="P26" i="20"/>
  <c r="P25" i="20"/>
  <c r="P24" i="20"/>
  <c r="P23" i="20"/>
  <c r="P22" i="20"/>
  <c r="P21" i="20"/>
  <c r="P20" i="20"/>
  <c r="P27" i="20" l="1"/>
  <c r="P28" i="20" s="1"/>
  <c r="P31" i="20"/>
  <c r="P32" i="20"/>
  <c r="P33" i="20"/>
  <c r="P34" i="20"/>
  <c r="P35" i="20"/>
  <c r="P36" i="20"/>
  <c r="P37" i="20"/>
  <c r="P59" i="20"/>
  <c r="P63" i="20"/>
  <c r="P64" i="20"/>
  <c r="P65" i="20"/>
  <c r="P66" i="20"/>
  <c r="P67" i="20"/>
  <c r="P69" i="20"/>
  <c r="O15" i="15"/>
  <c r="O81" i="15"/>
  <c r="O102" i="15"/>
  <c r="O160" i="15"/>
  <c r="O230" i="15"/>
  <c r="O27" i="15"/>
  <c r="O101" i="15"/>
  <c r="O103" i="15"/>
  <c r="O28" i="15"/>
  <c r="O29" i="15"/>
  <c r="O30" i="15"/>
  <c r="O38" i="15"/>
  <c r="Q47" i="15"/>
  <c r="R47" i="15"/>
  <c r="S47" i="15"/>
  <c r="P101" i="20"/>
  <c r="O50" i="15"/>
  <c r="O51" i="15"/>
  <c r="O85" i="15" s="1"/>
  <c r="O134" i="15" s="1"/>
  <c r="O57" i="15"/>
  <c r="O84" i="15"/>
  <c r="O163" i="15"/>
  <c r="O165" i="15" s="1"/>
  <c r="O233" i="15"/>
  <c r="O168" i="15"/>
  <c r="O238" i="15"/>
  <c r="O169" i="15"/>
  <c r="O239" i="15"/>
  <c r="O86" i="15"/>
  <c r="O145" i="15" s="1"/>
  <c r="O215" i="15" s="1"/>
  <c r="O170" i="15"/>
  <c r="O240" i="15"/>
  <c r="O171" i="15"/>
  <c r="O241" i="15"/>
  <c r="O37" i="15"/>
  <c r="O88" i="15"/>
  <c r="O146" i="15" s="1"/>
  <c r="O216" i="15" s="1"/>
  <c r="O173" i="15"/>
  <c r="O243" i="15"/>
  <c r="O174" i="15"/>
  <c r="O244" i="15"/>
  <c r="O175" i="15"/>
  <c r="O245" i="15"/>
  <c r="O177" i="15"/>
  <c r="O247" i="15"/>
  <c r="O178" i="15"/>
  <c r="O248" i="15"/>
  <c r="O179" i="15"/>
  <c r="O249" i="15"/>
  <c r="O180" i="15"/>
  <c r="O250" i="15"/>
  <c r="O181" i="15"/>
  <c r="O251" i="15"/>
  <c r="O183" i="15"/>
  <c r="O253" i="15"/>
  <c r="O184" i="15"/>
  <c r="O254" i="15"/>
  <c r="O120" i="15"/>
  <c r="O121" i="15"/>
  <c r="T33" i="15"/>
  <c r="T120" i="15"/>
  <c r="T121" i="15"/>
  <c r="X33" i="15"/>
  <c r="X120" i="15"/>
  <c r="X121" i="15"/>
  <c r="AB33" i="15"/>
  <c r="AB120" i="15"/>
  <c r="AB121" i="15"/>
  <c r="AF33" i="15"/>
  <c r="AF120" i="15"/>
  <c r="AF121" i="15"/>
  <c r="AJ33" i="15"/>
  <c r="AJ120" i="15"/>
  <c r="AJ121" i="15"/>
  <c r="AN33" i="15"/>
  <c r="AN120" i="15"/>
  <c r="AN121" i="15"/>
  <c r="AR33" i="15"/>
  <c r="AR120" i="15"/>
  <c r="AR121" i="15"/>
  <c r="AV33" i="15"/>
  <c r="AV120" i="15"/>
  <c r="AV121" i="15"/>
  <c r="AZ33" i="15"/>
  <c r="AZ120" i="15"/>
  <c r="AZ121" i="15"/>
  <c r="BD33" i="15"/>
  <c r="BD120" i="15"/>
  <c r="BD121" i="15"/>
  <c r="L212" i="15"/>
  <c r="L213" i="15"/>
  <c r="L215" i="15"/>
  <c r="L216" i="15"/>
  <c r="L217" i="15"/>
  <c r="L230" i="15"/>
  <c r="L233" i="15"/>
  <c r="L237" i="15"/>
  <c r="L238" i="15"/>
  <c r="L239" i="15"/>
  <c r="L240" i="15"/>
  <c r="L241" i="15"/>
  <c r="L242" i="15"/>
  <c r="L243" i="15"/>
  <c r="L244" i="15"/>
  <c r="L245" i="15"/>
  <c r="L246" i="15"/>
  <c r="L247" i="15"/>
  <c r="L248" i="15"/>
  <c r="L249" i="15"/>
  <c r="L250" i="15"/>
  <c r="L251" i="15"/>
  <c r="L252" i="15"/>
  <c r="L253" i="15"/>
  <c r="L254" i="15"/>
  <c r="L255" i="15"/>
  <c r="M212" i="15"/>
  <c r="M213" i="15"/>
  <c r="M215" i="15"/>
  <c r="M216" i="15"/>
  <c r="M217" i="15"/>
  <c r="M230" i="15"/>
  <c r="M231" i="15" s="1"/>
  <c r="M233" i="15"/>
  <c r="M237" i="15"/>
  <c r="M238" i="15"/>
  <c r="M239" i="15"/>
  <c r="M240" i="15"/>
  <c r="M241" i="15"/>
  <c r="M242" i="15"/>
  <c r="M243" i="15"/>
  <c r="M244" i="15"/>
  <c r="M245" i="15"/>
  <c r="M246" i="15"/>
  <c r="M247" i="15"/>
  <c r="M248" i="15"/>
  <c r="M249" i="15"/>
  <c r="M250" i="15"/>
  <c r="M251" i="15"/>
  <c r="M252" i="15"/>
  <c r="M253" i="15"/>
  <c r="M254" i="15"/>
  <c r="M255" i="15"/>
  <c r="N212" i="15"/>
  <c r="N213" i="15"/>
  <c r="N215" i="15"/>
  <c r="N216" i="15"/>
  <c r="N217" i="15"/>
  <c r="N230" i="15"/>
  <c r="N231" i="15" s="1"/>
  <c r="N233" i="15"/>
  <c r="N237" i="15"/>
  <c r="N238" i="15"/>
  <c r="N239" i="15"/>
  <c r="N240" i="15"/>
  <c r="N241" i="15"/>
  <c r="N242" i="15"/>
  <c r="N243" i="15"/>
  <c r="N244" i="15"/>
  <c r="N245" i="15"/>
  <c r="N246" i="15"/>
  <c r="N247" i="15"/>
  <c r="N248" i="15"/>
  <c r="N249" i="15"/>
  <c r="N250" i="15"/>
  <c r="N251" i="15"/>
  <c r="N252" i="15"/>
  <c r="N253" i="15"/>
  <c r="N254" i="15"/>
  <c r="N255" i="15"/>
  <c r="J4" i="17"/>
  <c r="E21" i="17" s="1"/>
  <c r="J66" i="17"/>
  <c r="E83" i="17" s="1"/>
  <c r="J132" i="17"/>
  <c r="E149" i="17" s="1"/>
  <c r="J197" i="17"/>
  <c r="E214" i="17" s="1"/>
  <c r="I207" i="15"/>
  <c r="AG212" i="15"/>
  <c r="AH212" i="15"/>
  <c r="AI212" i="15"/>
  <c r="AJ212" i="15"/>
  <c r="AG213" i="15"/>
  <c r="AH213" i="15"/>
  <c r="AI213" i="15"/>
  <c r="AJ213" i="15"/>
  <c r="AG215" i="15"/>
  <c r="AH215" i="15"/>
  <c r="AI215" i="15"/>
  <c r="AJ215" i="15"/>
  <c r="AG216" i="15"/>
  <c r="AH216" i="15"/>
  <c r="AI216" i="15"/>
  <c r="AJ216" i="15"/>
  <c r="AG217" i="15"/>
  <c r="AH217" i="15"/>
  <c r="AI217" i="15"/>
  <c r="AJ217" i="15"/>
  <c r="AG230" i="15"/>
  <c r="AG231" i="15" s="1"/>
  <c r="AG233" i="15"/>
  <c r="AG237" i="15"/>
  <c r="AG238" i="15"/>
  <c r="AG239" i="15"/>
  <c r="AG240" i="15"/>
  <c r="AG241" i="15"/>
  <c r="AG242" i="15"/>
  <c r="AG243" i="15"/>
  <c r="AG244" i="15"/>
  <c r="AG245" i="15"/>
  <c r="AG246" i="15"/>
  <c r="AG247" i="15"/>
  <c r="AG248" i="15"/>
  <c r="AG249" i="15"/>
  <c r="AG250" i="15"/>
  <c r="AG251" i="15"/>
  <c r="AG252" i="15"/>
  <c r="AG253" i="15"/>
  <c r="AG254" i="15"/>
  <c r="AG255" i="15"/>
  <c r="J1167" i="17"/>
  <c r="J1220" i="17"/>
  <c r="J1273" i="17"/>
  <c r="E1288" i="17" s="1"/>
  <c r="J1326" i="17"/>
  <c r="E1341" i="17" s="1"/>
  <c r="AK212" i="15"/>
  <c r="AK213" i="15"/>
  <c r="AK215" i="15"/>
  <c r="AK216" i="15"/>
  <c r="AK217" i="15"/>
  <c r="AH230" i="15"/>
  <c r="AH231" i="15" s="1"/>
  <c r="AH233" i="15"/>
  <c r="AH237" i="15"/>
  <c r="AH238" i="15"/>
  <c r="AH239" i="15"/>
  <c r="AH240" i="15"/>
  <c r="AH241" i="15"/>
  <c r="AH242" i="15"/>
  <c r="AH243" i="15"/>
  <c r="AH244" i="15"/>
  <c r="AH245" i="15"/>
  <c r="AH246" i="15"/>
  <c r="AH247" i="15"/>
  <c r="AH248" i="15"/>
  <c r="AH249" i="15"/>
  <c r="AH250" i="15"/>
  <c r="AH251" i="15"/>
  <c r="AH252" i="15"/>
  <c r="AH253" i="15"/>
  <c r="AH254" i="15"/>
  <c r="AH255" i="15"/>
  <c r="J1115" i="17"/>
  <c r="AL212" i="15"/>
  <c r="AL213" i="15"/>
  <c r="AL215" i="15"/>
  <c r="AL216" i="15"/>
  <c r="AL217" i="15"/>
  <c r="AI230" i="15"/>
  <c r="AI231" i="15" s="1"/>
  <c r="AI233" i="15"/>
  <c r="AI237" i="15"/>
  <c r="AI238" i="15"/>
  <c r="AI239" i="15"/>
  <c r="AI240" i="15"/>
  <c r="AI241" i="15"/>
  <c r="AI242" i="15"/>
  <c r="AI243" i="15"/>
  <c r="AI244" i="15"/>
  <c r="AI245" i="15"/>
  <c r="AI246" i="15"/>
  <c r="AI247" i="15"/>
  <c r="AI248" i="15"/>
  <c r="AI249" i="15"/>
  <c r="AI250" i="15"/>
  <c r="AI251" i="15"/>
  <c r="AI252" i="15"/>
  <c r="AI253" i="15"/>
  <c r="AI254" i="15"/>
  <c r="AI255" i="15"/>
  <c r="J1063" i="17"/>
  <c r="E1078" i="17" s="1"/>
  <c r="AM212" i="15"/>
  <c r="AM213" i="15"/>
  <c r="AM215" i="15"/>
  <c r="AM216" i="15"/>
  <c r="AM217" i="15"/>
  <c r="AJ230" i="15"/>
  <c r="AJ231" i="15" s="1"/>
  <c r="AJ233" i="15"/>
  <c r="AJ237" i="15"/>
  <c r="AJ238" i="15"/>
  <c r="AJ239" i="15"/>
  <c r="AJ240" i="15"/>
  <c r="AJ241" i="15"/>
  <c r="AJ242" i="15"/>
  <c r="AJ243" i="15"/>
  <c r="AJ244" i="15"/>
  <c r="AJ245" i="15"/>
  <c r="AJ246" i="15"/>
  <c r="AJ247" i="15"/>
  <c r="AJ248" i="15"/>
  <c r="AJ249" i="15"/>
  <c r="AJ250" i="15"/>
  <c r="AJ251" i="15"/>
  <c r="AJ252" i="15"/>
  <c r="AJ253" i="15"/>
  <c r="AJ254" i="15"/>
  <c r="AJ255" i="15"/>
  <c r="J207" i="15"/>
  <c r="AN212" i="15"/>
  <c r="AN213" i="15"/>
  <c r="AN215" i="15"/>
  <c r="AN216" i="15"/>
  <c r="AN217" i="15"/>
  <c r="AK230" i="15"/>
  <c r="AK231" i="15" s="1"/>
  <c r="AK233" i="15"/>
  <c r="AK237" i="15"/>
  <c r="AK238" i="15"/>
  <c r="AK239" i="15"/>
  <c r="AK240" i="15"/>
  <c r="AK241" i="15"/>
  <c r="AK242" i="15"/>
  <c r="AK243" i="15"/>
  <c r="AK244" i="15"/>
  <c r="AK245" i="15"/>
  <c r="AK246" i="15"/>
  <c r="AK247" i="15"/>
  <c r="AK248" i="15"/>
  <c r="AK249" i="15"/>
  <c r="AK250" i="15"/>
  <c r="AK251" i="15"/>
  <c r="AK252" i="15"/>
  <c r="AK253" i="15"/>
  <c r="AK254" i="15"/>
  <c r="AK255" i="15"/>
  <c r="J957" i="17"/>
  <c r="E972" i="17" s="1"/>
  <c r="AO212" i="15"/>
  <c r="AO213" i="15"/>
  <c r="AO215" i="15"/>
  <c r="AO216" i="15"/>
  <c r="AO217" i="15"/>
  <c r="AL230" i="15"/>
  <c r="AL231" i="15" s="1"/>
  <c r="AL233" i="15"/>
  <c r="AL237" i="15"/>
  <c r="AL238" i="15"/>
  <c r="AL239" i="15"/>
  <c r="AL240" i="15"/>
  <c r="AL241" i="15"/>
  <c r="AL242" i="15"/>
  <c r="AL243" i="15"/>
  <c r="AL244" i="15"/>
  <c r="AL245" i="15"/>
  <c r="AL246" i="15"/>
  <c r="AL247" i="15"/>
  <c r="AL248" i="15"/>
  <c r="AL249" i="15"/>
  <c r="AL250" i="15"/>
  <c r="AL251" i="15"/>
  <c r="AL252" i="15"/>
  <c r="AL253" i="15"/>
  <c r="AL254" i="15"/>
  <c r="AL255" i="15"/>
  <c r="J905" i="17"/>
  <c r="E920" i="17" s="1"/>
  <c r="AP212" i="15"/>
  <c r="AP213" i="15"/>
  <c r="AP215" i="15"/>
  <c r="AP216" i="15"/>
  <c r="AP217" i="15"/>
  <c r="AM230" i="15"/>
  <c r="AM233" i="15"/>
  <c r="AM237" i="15"/>
  <c r="AM238" i="15"/>
  <c r="AM239" i="15"/>
  <c r="AM240" i="15"/>
  <c r="AM241" i="15"/>
  <c r="AM242" i="15"/>
  <c r="AM243" i="15"/>
  <c r="AM244" i="15"/>
  <c r="AM245" i="15"/>
  <c r="AM246" i="15"/>
  <c r="AM247" i="15"/>
  <c r="AM248" i="15"/>
  <c r="AM249" i="15"/>
  <c r="AM250" i="15"/>
  <c r="AM251" i="15"/>
  <c r="AM252" i="15"/>
  <c r="AM253" i="15"/>
  <c r="AM254" i="15"/>
  <c r="AM255" i="15"/>
  <c r="J851" i="17"/>
  <c r="E866" i="17" s="1"/>
  <c r="AQ212" i="15"/>
  <c r="AQ213" i="15"/>
  <c r="AQ215" i="15"/>
  <c r="AQ216" i="15"/>
  <c r="AQ217" i="15"/>
  <c r="AN230" i="15"/>
  <c r="AN233" i="15"/>
  <c r="AN237" i="15"/>
  <c r="AN238" i="15"/>
  <c r="AN239" i="15"/>
  <c r="AN240" i="15"/>
  <c r="AN241" i="15"/>
  <c r="AN242" i="15"/>
  <c r="AN243" i="15"/>
  <c r="AN244" i="15"/>
  <c r="AN245" i="15"/>
  <c r="AN246" i="15"/>
  <c r="AN247" i="15"/>
  <c r="AN248" i="15"/>
  <c r="AN249" i="15"/>
  <c r="AN250" i="15"/>
  <c r="AN251" i="15"/>
  <c r="AN252" i="15"/>
  <c r="AN253" i="15"/>
  <c r="AN254" i="15"/>
  <c r="AN255" i="15"/>
  <c r="J797" i="17"/>
  <c r="E812" i="17" s="1"/>
  <c r="K207" i="15"/>
  <c r="AR212" i="15"/>
  <c r="AR213" i="15"/>
  <c r="AR215" i="15"/>
  <c r="AR216" i="15"/>
  <c r="AR217" i="15"/>
  <c r="AO230" i="15"/>
  <c r="AO233" i="15"/>
  <c r="AO237" i="15"/>
  <c r="AO238" i="15"/>
  <c r="AO239" i="15"/>
  <c r="AO240" i="15"/>
  <c r="AO241" i="15"/>
  <c r="AO242" i="15"/>
  <c r="AO243" i="15"/>
  <c r="AO244" i="15"/>
  <c r="AO245" i="15"/>
  <c r="AO246" i="15"/>
  <c r="AO247" i="15"/>
  <c r="AO248" i="15"/>
  <c r="AO249" i="15"/>
  <c r="AO250" i="15"/>
  <c r="AO251" i="15"/>
  <c r="AO252" i="15"/>
  <c r="AO253" i="15"/>
  <c r="AO254" i="15"/>
  <c r="AO255" i="15"/>
  <c r="J743" i="17"/>
  <c r="E758" i="17" s="1"/>
  <c r="AS212" i="15"/>
  <c r="AS213" i="15"/>
  <c r="AS215" i="15"/>
  <c r="AS216" i="15"/>
  <c r="AS217" i="15"/>
  <c r="AP230" i="15"/>
  <c r="AP233" i="15"/>
  <c r="AP237" i="15"/>
  <c r="AP238" i="15"/>
  <c r="AP239" i="15"/>
  <c r="AP240" i="15"/>
  <c r="AP241" i="15"/>
  <c r="AP242" i="15"/>
  <c r="AP243" i="15"/>
  <c r="AP244" i="15"/>
  <c r="AP245" i="15"/>
  <c r="AP246" i="15"/>
  <c r="AP247" i="15"/>
  <c r="AP248" i="15"/>
  <c r="AP249" i="15"/>
  <c r="AP250" i="15"/>
  <c r="AP251" i="15"/>
  <c r="AP252" i="15"/>
  <c r="AP253" i="15"/>
  <c r="AP254" i="15"/>
  <c r="AP255" i="15"/>
  <c r="J689" i="17"/>
  <c r="E704" i="17" s="1"/>
  <c r="AY212" i="15"/>
  <c r="AY213" i="15"/>
  <c r="AY215" i="15"/>
  <c r="AY216" i="15"/>
  <c r="AY217" i="15"/>
  <c r="AV230" i="15"/>
  <c r="AV233" i="15"/>
  <c r="AV237" i="15"/>
  <c r="AV238" i="15"/>
  <c r="AV239" i="15"/>
  <c r="AV240" i="15"/>
  <c r="AV241" i="15"/>
  <c r="AV242" i="15"/>
  <c r="AV243" i="15"/>
  <c r="AV244" i="15"/>
  <c r="AV245" i="15"/>
  <c r="AV246" i="15"/>
  <c r="AV247" i="15"/>
  <c r="AV248" i="15"/>
  <c r="AV249" i="15"/>
  <c r="AV250" i="15"/>
  <c r="AV251" i="15"/>
  <c r="AV252" i="15"/>
  <c r="AV253" i="15"/>
  <c r="AV254" i="15"/>
  <c r="AV255" i="15"/>
  <c r="AU212" i="15"/>
  <c r="AV212" i="15"/>
  <c r="AW212" i="15"/>
  <c r="AX212" i="15"/>
  <c r="AU213" i="15"/>
  <c r="AV213" i="15"/>
  <c r="AW213" i="15"/>
  <c r="AX213" i="15"/>
  <c r="AU215" i="15"/>
  <c r="AV215" i="15"/>
  <c r="AW215" i="15"/>
  <c r="AX215" i="15"/>
  <c r="AU216" i="15"/>
  <c r="AV216" i="15"/>
  <c r="AW216" i="15"/>
  <c r="AX216" i="15"/>
  <c r="AU217" i="15"/>
  <c r="AV217" i="15"/>
  <c r="AW217" i="15"/>
  <c r="AX217" i="15"/>
  <c r="AU230" i="15"/>
  <c r="AU233" i="15"/>
  <c r="AU237" i="15"/>
  <c r="AU238" i="15"/>
  <c r="AU239" i="15"/>
  <c r="AU240" i="15"/>
  <c r="AU241" i="15"/>
  <c r="AU242" i="15"/>
  <c r="AU243" i="15"/>
  <c r="AU244" i="15"/>
  <c r="AU245" i="15"/>
  <c r="AU246" i="15"/>
  <c r="AU247" i="15"/>
  <c r="AU248" i="15"/>
  <c r="AU249" i="15"/>
  <c r="AU250" i="15"/>
  <c r="AU251" i="15"/>
  <c r="AU252" i="15"/>
  <c r="AU253" i="15"/>
  <c r="AU254" i="15"/>
  <c r="AU255" i="15"/>
  <c r="J362" i="17"/>
  <c r="E377" i="17" s="1"/>
  <c r="J416" i="17"/>
  <c r="E431" i="17" s="1"/>
  <c r="J472" i="17"/>
  <c r="E487" i="17" s="1"/>
  <c r="J528" i="17"/>
  <c r="E543" i="17" s="1"/>
  <c r="J582" i="17"/>
  <c r="E597" i="17" s="1"/>
  <c r="K262" i="17"/>
  <c r="K265" i="17"/>
  <c r="K315" i="17"/>
  <c r="K318" i="17"/>
  <c r="K368" i="17"/>
  <c r="K371" i="17"/>
  <c r="K422" i="17"/>
  <c r="K425" i="17"/>
  <c r="K478" i="17"/>
  <c r="K481" i="17"/>
  <c r="K534" i="17"/>
  <c r="K537" i="17"/>
  <c r="K588" i="17"/>
  <c r="K591" i="17"/>
  <c r="K642" i="17"/>
  <c r="K645" i="17"/>
  <c r="K695" i="17"/>
  <c r="K698" i="17"/>
  <c r="K749" i="17"/>
  <c r="K752" i="17"/>
  <c r="K803" i="17"/>
  <c r="K806" i="17"/>
  <c r="K857" i="17"/>
  <c r="K860" i="17"/>
  <c r="K911" i="17"/>
  <c r="K914" i="17"/>
  <c r="K963" i="17"/>
  <c r="K966" i="17"/>
  <c r="K1016" i="17"/>
  <c r="K1019" i="17"/>
  <c r="K1069" i="17"/>
  <c r="K1072" i="17"/>
  <c r="K1121" i="17"/>
  <c r="K1124" i="17"/>
  <c r="K1173" i="17"/>
  <c r="K1176" i="17"/>
  <c r="K1226" i="17"/>
  <c r="K1229" i="17"/>
  <c r="K1279" i="17"/>
  <c r="K1282" i="17"/>
  <c r="K1332" i="17"/>
  <c r="K1335" i="17"/>
  <c r="K1386" i="17"/>
  <c r="K1389" i="17"/>
  <c r="K1439" i="17"/>
  <c r="K1442" i="17"/>
  <c r="K1492" i="17"/>
  <c r="K1495" i="17"/>
  <c r="K1545" i="17"/>
  <c r="K1548" i="17"/>
  <c r="K1583" i="17"/>
  <c r="K1586" i="17"/>
  <c r="L1619" i="17"/>
  <c r="L1621" i="17"/>
  <c r="G592" i="17" l="1"/>
  <c r="G594" i="17"/>
  <c r="G596" i="17"/>
  <c r="G538" i="17"/>
  <c r="G540" i="17"/>
  <c r="G542" i="17"/>
  <c r="G482" i="17"/>
  <c r="G484" i="17"/>
  <c r="G486" i="17"/>
  <c r="G426" i="17"/>
  <c r="G428" i="17"/>
  <c r="G430" i="17"/>
  <c r="G372" i="17"/>
  <c r="G374" i="17"/>
  <c r="G376" i="17"/>
  <c r="AU234" i="15"/>
  <c r="AY234" i="15"/>
  <c r="AU235" i="15"/>
  <c r="AU266" i="15"/>
  <c r="AV266" i="15"/>
  <c r="AW266" i="15"/>
  <c r="AX266" i="15"/>
  <c r="AU231" i="15"/>
  <c r="AY231" i="15"/>
  <c r="AX214" i="15"/>
  <c r="AX222" i="15"/>
  <c r="AX223" i="15"/>
  <c r="AX224" i="15"/>
  <c r="AW214" i="15"/>
  <c r="AW222" i="15"/>
  <c r="AW223" i="15"/>
  <c r="AW224" i="15"/>
  <c r="AV214" i="15"/>
  <c r="AV224" i="15"/>
  <c r="AU214" i="15"/>
  <c r="AU222" i="15"/>
  <c r="AU223" i="15"/>
  <c r="AU224" i="15"/>
  <c r="AV234" i="15"/>
  <c r="AZ234" i="15"/>
  <c r="AV235" i="15"/>
  <c r="AY266" i="15"/>
  <c r="AV231" i="15"/>
  <c r="AZ231" i="15"/>
  <c r="AY214" i="15"/>
  <c r="AY222" i="15"/>
  <c r="AY223" i="15"/>
  <c r="AY224" i="15"/>
  <c r="G699" i="17"/>
  <c r="G701" i="17"/>
  <c r="G703" i="17"/>
  <c r="AP234" i="15"/>
  <c r="AT234" i="15"/>
  <c r="AP235" i="15"/>
  <c r="AS266" i="15"/>
  <c r="AP231" i="15"/>
  <c r="AT231" i="15"/>
  <c r="AS214" i="15"/>
  <c r="AS222" i="15"/>
  <c r="AS223" i="15"/>
  <c r="AS224" i="15"/>
  <c r="G753" i="17"/>
  <c r="G755" i="17"/>
  <c r="G757" i="17"/>
  <c r="AO234" i="15"/>
  <c r="AS234" i="15"/>
  <c r="AO235" i="15"/>
  <c r="AR266" i="15"/>
  <c r="AO231" i="15"/>
  <c r="AS231" i="15"/>
  <c r="AR214" i="15"/>
  <c r="AR224" i="15"/>
  <c r="K212" i="15"/>
  <c r="K213" i="15"/>
  <c r="K215" i="15"/>
  <c r="K216" i="15"/>
  <c r="K217" i="15"/>
  <c r="K230" i="15"/>
  <c r="K233" i="15"/>
  <c r="K237" i="15"/>
  <c r="K238" i="15"/>
  <c r="K239" i="15"/>
  <c r="K240" i="15"/>
  <c r="K241" i="15"/>
  <c r="K242" i="15"/>
  <c r="K243" i="15"/>
  <c r="K244" i="15"/>
  <c r="K245" i="15"/>
  <c r="K246" i="15"/>
  <c r="K247" i="15"/>
  <c r="K248" i="15"/>
  <c r="K249" i="15"/>
  <c r="K250" i="15"/>
  <c r="K251" i="15"/>
  <c r="K252" i="15"/>
  <c r="K253" i="15"/>
  <c r="K254" i="15"/>
  <c r="K255" i="15"/>
  <c r="G807" i="17"/>
  <c r="G809" i="17"/>
  <c r="G811" i="17"/>
  <c r="AN234" i="15"/>
  <c r="AR234" i="15"/>
  <c r="AN235" i="15"/>
  <c r="AQ266" i="15"/>
  <c r="AN231" i="15"/>
  <c r="AR231" i="15"/>
  <c r="AQ214" i="15"/>
  <c r="AQ222" i="15"/>
  <c r="AQ223" i="15"/>
  <c r="AQ224" i="15"/>
  <c r="G861" i="17"/>
  <c r="G863" i="17"/>
  <c r="G865" i="17"/>
  <c r="AM234" i="15"/>
  <c r="AQ234" i="15"/>
  <c r="AM235" i="15"/>
  <c r="AP266" i="15"/>
  <c r="AM231" i="15"/>
  <c r="AQ231" i="15"/>
  <c r="AP214" i="15"/>
  <c r="AP222" i="15"/>
  <c r="AP223" i="15"/>
  <c r="AP224" i="15"/>
  <c r="G915" i="17"/>
  <c r="G917" i="17"/>
  <c r="G919" i="17"/>
  <c r="AL234" i="15"/>
  <c r="AL235" i="15"/>
  <c r="AO266" i="15"/>
  <c r="AO214" i="15"/>
  <c r="AO222" i="15"/>
  <c r="AO223" i="15"/>
  <c r="AO224" i="15"/>
  <c r="G967" i="17"/>
  <c r="G969" i="17"/>
  <c r="G971" i="17"/>
  <c r="AK234" i="15"/>
  <c r="AK235" i="15"/>
  <c r="AN266" i="15"/>
  <c r="AN214" i="15"/>
  <c r="AN224" i="15"/>
  <c r="J212" i="15"/>
  <c r="J213" i="15"/>
  <c r="J215" i="15"/>
  <c r="J216" i="15"/>
  <c r="J217" i="15"/>
  <c r="J230" i="15"/>
  <c r="J233" i="15"/>
  <c r="J237" i="15"/>
  <c r="J238" i="15"/>
  <c r="J239" i="15"/>
  <c r="J240" i="15"/>
  <c r="J241" i="15"/>
  <c r="J242" i="15"/>
  <c r="J243" i="15"/>
  <c r="J244" i="15"/>
  <c r="J245" i="15"/>
  <c r="J246" i="15"/>
  <c r="J247" i="15"/>
  <c r="J248" i="15"/>
  <c r="J249" i="15"/>
  <c r="J250" i="15"/>
  <c r="J251" i="15"/>
  <c r="J252" i="15"/>
  <c r="J253" i="15"/>
  <c r="J254" i="15"/>
  <c r="J255" i="15"/>
  <c r="AJ234" i="15"/>
  <c r="AJ235" i="15"/>
  <c r="AM266" i="15"/>
  <c r="AM214" i="15"/>
  <c r="AM222" i="15"/>
  <c r="AM223" i="15"/>
  <c r="AM224" i="15"/>
  <c r="G1073" i="17"/>
  <c r="G1075" i="17"/>
  <c r="G1077" i="17"/>
  <c r="AI234" i="15"/>
  <c r="AI235" i="15"/>
  <c r="AL266" i="15"/>
  <c r="AL214" i="15"/>
  <c r="AL222" i="15"/>
  <c r="AL223" i="15"/>
  <c r="AL224" i="15"/>
  <c r="AH234" i="15"/>
  <c r="AH235" i="15"/>
  <c r="AK266" i="15"/>
  <c r="AK214" i="15"/>
  <c r="AK222" i="15"/>
  <c r="AK223" i="15"/>
  <c r="AK224" i="15"/>
  <c r="G1336" i="17"/>
  <c r="G1338" i="17"/>
  <c r="G1340" i="17"/>
  <c r="G1283" i="17"/>
  <c r="G1285" i="17"/>
  <c r="G1287" i="17"/>
  <c r="AG234" i="15"/>
  <c r="AG235" i="15"/>
  <c r="AG266" i="15"/>
  <c r="AH266" i="15"/>
  <c r="AI266" i="15"/>
  <c r="AJ266" i="15"/>
  <c r="AJ214" i="15"/>
  <c r="AJ224" i="15"/>
  <c r="AI214" i="15"/>
  <c r="AI222" i="15"/>
  <c r="AI223" i="15"/>
  <c r="AI224" i="15"/>
  <c r="AH214" i="15"/>
  <c r="AH222" i="15"/>
  <c r="AH223" i="15"/>
  <c r="AH224" i="15"/>
  <c r="AG214" i="15"/>
  <c r="AG222" i="15"/>
  <c r="AG223" i="15"/>
  <c r="AG224" i="15"/>
  <c r="I212" i="15"/>
  <c r="I213" i="15"/>
  <c r="I215" i="15"/>
  <c r="I216" i="15"/>
  <c r="I217" i="15"/>
  <c r="I230" i="15"/>
  <c r="I231" i="15" s="1"/>
  <c r="I233" i="15"/>
  <c r="I237" i="15"/>
  <c r="I238" i="15"/>
  <c r="I239" i="15"/>
  <c r="I240" i="15"/>
  <c r="I241" i="15"/>
  <c r="I242" i="15"/>
  <c r="I243" i="15"/>
  <c r="I244" i="15"/>
  <c r="I245" i="15"/>
  <c r="I246" i="15"/>
  <c r="I247" i="15"/>
  <c r="I248" i="15"/>
  <c r="I249" i="15"/>
  <c r="I250" i="15"/>
  <c r="I251" i="15"/>
  <c r="I252" i="15"/>
  <c r="I253" i="15"/>
  <c r="I254" i="15"/>
  <c r="I255" i="15"/>
  <c r="G209" i="17"/>
  <c r="G211" i="17"/>
  <c r="G213" i="17"/>
  <c r="G144" i="17"/>
  <c r="G146" i="17"/>
  <c r="G148" i="17"/>
  <c r="G78" i="17"/>
  <c r="G80" i="17"/>
  <c r="G82" i="17"/>
  <c r="G16" i="17"/>
  <c r="G18" i="17"/>
  <c r="G20" i="17"/>
  <c r="N234" i="15"/>
  <c r="N235" i="15"/>
  <c r="N266" i="15"/>
  <c r="N214" i="15"/>
  <c r="N222" i="15"/>
  <c r="N223" i="15"/>
  <c r="N224" i="15"/>
  <c r="M234" i="15"/>
  <c r="M235" i="15"/>
  <c r="M266" i="15"/>
  <c r="M214" i="15"/>
  <c r="M222" i="15"/>
  <c r="M223" i="15"/>
  <c r="M224" i="15"/>
  <c r="L234" i="15"/>
  <c r="L235" i="15"/>
  <c r="L266" i="15"/>
  <c r="L231" i="15"/>
  <c r="L214" i="15"/>
  <c r="L222" i="15"/>
  <c r="L223" i="15"/>
  <c r="L224" i="15"/>
  <c r="BD126" i="15"/>
  <c r="BD131" i="15"/>
  <c r="BD149" i="15"/>
  <c r="BD219" i="15" s="1"/>
  <c r="BD222" i="15" s="1"/>
  <c r="BD190" i="15"/>
  <c r="BD262" i="15"/>
  <c r="BD269" i="15" s="1"/>
  <c r="D85" i="17"/>
  <c r="D122" i="17"/>
  <c r="BD130" i="15"/>
  <c r="BD139" i="15"/>
  <c r="BD204" i="15" s="1"/>
  <c r="BD150" i="15"/>
  <c r="BD220" i="15" s="1"/>
  <c r="BD223" i="15" s="1"/>
  <c r="BD189" i="15"/>
  <c r="BD261" i="15"/>
  <c r="AZ126" i="15"/>
  <c r="AZ131" i="15"/>
  <c r="AZ149" i="15"/>
  <c r="AZ219" i="15" s="1"/>
  <c r="AZ222" i="15" s="1"/>
  <c r="AZ190" i="15"/>
  <c r="AZ262" i="15"/>
  <c r="AZ269" i="15" s="1"/>
  <c r="D326" i="17"/>
  <c r="D360" i="17"/>
  <c r="AZ130" i="15"/>
  <c r="AZ139" i="15"/>
  <c r="AZ204" i="15" s="1"/>
  <c r="AZ150" i="15"/>
  <c r="AZ220" i="15" s="1"/>
  <c r="AZ223" i="15" s="1"/>
  <c r="AZ189" i="15"/>
  <c r="AZ261" i="15"/>
  <c r="AV126" i="15"/>
  <c r="AV131" i="15"/>
  <c r="AV149" i="15"/>
  <c r="AV219" i="15" s="1"/>
  <c r="AV222" i="15" s="1"/>
  <c r="AV190" i="15"/>
  <c r="AV262" i="15"/>
  <c r="AV269" i="15" s="1"/>
  <c r="D545" i="17"/>
  <c r="D579" i="17"/>
  <c r="AV130" i="15"/>
  <c r="AV139" i="15"/>
  <c r="AV204" i="15" s="1"/>
  <c r="AV150" i="15"/>
  <c r="AV220" i="15" s="1"/>
  <c r="AV223" i="15" s="1"/>
  <c r="AV189" i="15"/>
  <c r="AV261" i="15"/>
  <c r="AR126" i="15"/>
  <c r="AR131" i="15"/>
  <c r="AR149" i="15"/>
  <c r="AR219" i="15" s="1"/>
  <c r="AR222" i="15" s="1"/>
  <c r="AR190" i="15"/>
  <c r="AR262" i="15"/>
  <c r="AR269" i="15" s="1"/>
  <c r="D760" i="17"/>
  <c r="AR130" i="15"/>
  <c r="AR139" i="15"/>
  <c r="AR204" i="15" s="1"/>
  <c r="AR150" i="15"/>
  <c r="AR220" i="15" s="1"/>
  <c r="AR223" i="15" s="1"/>
  <c r="AR189" i="15"/>
  <c r="AR261" i="15"/>
  <c r="AN126" i="15"/>
  <c r="AN131" i="15"/>
  <c r="AN149" i="15"/>
  <c r="AN219" i="15" s="1"/>
  <c r="AN222" i="15" s="1"/>
  <c r="AN190" i="15"/>
  <c r="AN262" i="15"/>
  <c r="AN269" i="15" s="1"/>
  <c r="D974" i="17"/>
  <c r="AN130" i="15"/>
  <c r="AN139" i="15"/>
  <c r="AN204" i="15" s="1"/>
  <c r="AN150" i="15"/>
  <c r="AN220" i="15" s="1"/>
  <c r="AN223" i="15" s="1"/>
  <c r="AN189" i="15"/>
  <c r="AN261" i="15"/>
  <c r="AJ126" i="15"/>
  <c r="AJ131" i="15"/>
  <c r="AJ149" i="15"/>
  <c r="AJ219" i="15" s="1"/>
  <c r="AJ222" i="15" s="1"/>
  <c r="AJ190" i="15"/>
  <c r="AJ262" i="15"/>
  <c r="AJ269" i="15" s="1"/>
  <c r="D1184" i="17"/>
  <c r="AJ130" i="15"/>
  <c r="AJ139" i="15"/>
  <c r="AJ204" i="15" s="1"/>
  <c r="AJ150" i="15"/>
  <c r="AJ220" i="15" s="1"/>
  <c r="AJ223" i="15" s="1"/>
  <c r="AJ189" i="15"/>
  <c r="AJ261" i="15"/>
  <c r="AF126" i="15"/>
  <c r="AF131" i="15"/>
  <c r="AF149" i="15"/>
  <c r="AF219" i="15" s="1"/>
  <c r="AF222" i="15" s="1"/>
  <c r="AF190" i="15"/>
  <c r="AF262" i="15"/>
  <c r="AF269" i="15" s="1"/>
  <c r="D1397" i="17"/>
  <c r="AF130" i="15"/>
  <c r="AF139" i="15"/>
  <c r="AF204" i="15" s="1"/>
  <c r="AF150" i="15"/>
  <c r="AF220" i="15" s="1"/>
  <c r="AF223" i="15" s="1"/>
  <c r="AF189" i="15"/>
  <c r="AF261" i="15"/>
  <c r="AB126" i="15"/>
  <c r="AB131" i="15"/>
  <c r="AB149" i="15"/>
  <c r="AB219" i="15" s="1"/>
  <c r="AB222" i="15" s="1"/>
  <c r="AB190" i="15"/>
  <c r="AB262" i="15"/>
  <c r="AB269" i="15" s="1"/>
  <c r="D1594" i="17"/>
  <c r="AB130" i="15"/>
  <c r="AB139" i="15"/>
  <c r="AB204" i="15" s="1"/>
  <c r="AB150" i="15"/>
  <c r="AB220" i="15" s="1"/>
  <c r="AB223" i="15" s="1"/>
  <c r="AB189" i="15"/>
  <c r="AB261" i="15"/>
  <c r="X126" i="15"/>
  <c r="X131" i="15"/>
  <c r="X149" i="15"/>
  <c r="X219" i="15" s="1"/>
  <c r="X222" i="15" s="1"/>
  <c r="X190" i="15"/>
  <c r="X262" i="15"/>
  <c r="X269" i="15" s="1"/>
  <c r="X130" i="15"/>
  <c r="X139" i="15"/>
  <c r="X204" i="15" s="1"/>
  <c r="X150" i="15"/>
  <c r="X220" i="15" s="1"/>
  <c r="X223" i="15" s="1"/>
  <c r="X189" i="15"/>
  <c r="X261" i="15"/>
  <c r="T126" i="15"/>
  <c r="T131" i="15"/>
  <c r="T149" i="15"/>
  <c r="T219" i="15" s="1"/>
  <c r="T222" i="15" s="1"/>
  <c r="T190" i="15"/>
  <c r="T262" i="15"/>
  <c r="T269" i="15" s="1"/>
  <c r="T130" i="15"/>
  <c r="T139" i="15"/>
  <c r="T204" i="15" s="1"/>
  <c r="T150" i="15"/>
  <c r="T220" i="15" s="1"/>
  <c r="T223" i="15" s="1"/>
  <c r="T189" i="15"/>
  <c r="T261" i="15"/>
  <c r="O126" i="15"/>
  <c r="O131" i="15"/>
  <c r="O149" i="15"/>
  <c r="O219" i="15" s="1"/>
  <c r="O190" i="15"/>
  <c r="O262" i="15"/>
  <c r="O130" i="15"/>
  <c r="O139" i="15"/>
  <c r="O204" i="15" s="1"/>
  <c r="O150" i="15"/>
  <c r="O220" i="15" s="1"/>
  <c r="O189" i="15"/>
  <c r="O261" i="15"/>
  <c r="O235" i="15"/>
  <c r="O266" i="15"/>
  <c r="O133" i="15"/>
  <c r="O136" i="15"/>
  <c r="O201" i="15" s="1"/>
  <c r="O137" i="15"/>
  <c r="O202" i="15" s="1"/>
  <c r="O143" i="15"/>
  <c r="O194" i="15"/>
  <c r="O62" i="15"/>
  <c r="O167" i="15"/>
  <c r="O237" i="15"/>
  <c r="O98" i="15"/>
  <c r="O142" i="15"/>
  <c r="O212" i="15" s="1"/>
  <c r="O20" i="15"/>
  <c r="O31" i="15"/>
  <c r="O41" i="15"/>
  <c r="O43" i="15" s="1"/>
  <c r="O82" i="15"/>
  <c r="P60" i="20"/>
  <c r="P70" i="20"/>
  <c r="P38" i="20"/>
  <c r="O45" i="15" l="1"/>
  <c r="O83" i="15"/>
  <c r="O47" i="15"/>
  <c r="O22" i="15"/>
  <c r="O24" i="15" s="1"/>
  <c r="O87" i="15" s="1"/>
  <c r="O34" i="15"/>
  <c r="O35" i="15"/>
  <c r="O66" i="15"/>
  <c r="O172" i="15"/>
  <c r="O242" i="15"/>
  <c r="O144" i="15"/>
  <c r="O213" i="15"/>
  <c r="O154" i="15"/>
  <c r="O199" i="15"/>
  <c r="O271" i="15"/>
  <c r="O273" i="15"/>
  <c r="O274" i="15"/>
  <c r="O268" i="15"/>
  <c r="O276" i="15"/>
  <c r="O223" i="15"/>
  <c r="O153" i="15"/>
  <c r="O196" i="15"/>
  <c r="O269" i="15"/>
  <c r="O222" i="15"/>
  <c r="O152" i="15"/>
  <c r="O197" i="15"/>
  <c r="T268" i="15"/>
  <c r="T276" i="15"/>
  <c r="T153" i="15"/>
  <c r="T196" i="15"/>
  <c r="T152" i="15"/>
  <c r="T197" i="15"/>
  <c r="X268" i="15"/>
  <c r="X276" i="15"/>
  <c r="X153" i="15"/>
  <c r="X196" i="15"/>
  <c r="X152" i="15"/>
  <c r="X197" i="15"/>
  <c r="AB268" i="15"/>
  <c r="AB276" i="15"/>
  <c r="AB153" i="15"/>
  <c r="AB196" i="15"/>
  <c r="AB152" i="15"/>
  <c r="AB197" i="15"/>
  <c r="AF268" i="15"/>
  <c r="AF276" i="15"/>
  <c r="AF153" i="15"/>
  <c r="AF196" i="15"/>
  <c r="AF152" i="15"/>
  <c r="AF197" i="15"/>
  <c r="AJ268" i="15"/>
  <c r="AJ276" i="15"/>
  <c r="AJ153" i="15"/>
  <c r="AJ196" i="15"/>
  <c r="AJ152" i="15"/>
  <c r="AJ197" i="15"/>
  <c r="AN268" i="15"/>
  <c r="AN276" i="15"/>
  <c r="AN153" i="15"/>
  <c r="AN196" i="15"/>
  <c r="AN152" i="15"/>
  <c r="AN197" i="15"/>
  <c r="AR268" i="15"/>
  <c r="AR276" i="15"/>
  <c r="AR153" i="15"/>
  <c r="AR196" i="15"/>
  <c r="AR152" i="15"/>
  <c r="AR197" i="15"/>
  <c r="AV268" i="15"/>
  <c r="AV276" i="15"/>
  <c r="AV153" i="15"/>
  <c r="AV196" i="15"/>
  <c r="AV152" i="15"/>
  <c r="AV197" i="15"/>
  <c r="AZ268" i="15"/>
  <c r="AZ276" i="15"/>
  <c r="AZ153" i="15"/>
  <c r="AZ196" i="15"/>
  <c r="AZ152" i="15"/>
  <c r="AZ197" i="15"/>
  <c r="BD268" i="15"/>
  <c r="BD276" i="15"/>
  <c r="BD153" i="15"/>
  <c r="BD196" i="15"/>
  <c r="BD152" i="15"/>
  <c r="BD197" i="15"/>
  <c r="L268" i="15"/>
  <c r="L269" i="15"/>
  <c r="L271" i="15"/>
  <c r="L273" i="15"/>
  <c r="L274" i="15"/>
  <c r="M268" i="15"/>
  <c r="M269" i="15"/>
  <c r="M271" i="15"/>
  <c r="M273" i="15"/>
  <c r="M274" i="15"/>
  <c r="N268" i="15"/>
  <c r="N269" i="15"/>
  <c r="N271" i="15"/>
  <c r="N273" i="15"/>
  <c r="N274" i="15"/>
  <c r="I234" i="15"/>
  <c r="I235" i="15"/>
  <c r="I266" i="15"/>
  <c r="I214" i="15"/>
  <c r="I222" i="15"/>
  <c r="I223" i="15"/>
  <c r="I224" i="15"/>
  <c r="AJ271" i="15"/>
  <c r="AJ273" i="15"/>
  <c r="AJ274" i="15"/>
  <c r="AI268" i="15"/>
  <c r="AI269" i="15"/>
  <c r="AI271" i="15"/>
  <c r="AI273" i="15"/>
  <c r="AI274" i="15"/>
  <c r="AH268" i="15"/>
  <c r="AH269" i="15"/>
  <c r="AH271" i="15"/>
  <c r="AH273" i="15"/>
  <c r="AH274" i="15"/>
  <c r="AG268" i="15"/>
  <c r="AG269" i="15"/>
  <c r="AG271" i="15"/>
  <c r="AG273" i="15"/>
  <c r="AG274" i="15"/>
  <c r="AK268" i="15"/>
  <c r="AK269" i="15"/>
  <c r="AK271" i="15"/>
  <c r="AK273" i="15"/>
  <c r="AK274" i="15"/>
  <c r="AL268" i="15"/>
  <c r="AL269" i="15"/>
  <c r="AL271" i="15"/>
  <c r="AL273" i="15"/>
  <c r="AL274" i="15"/>
  <c r="AM268" i="15"/>
  <c r="AM269" i="15"/>
  <c r="AM271" i="15"/>
  <c r="AM273" i="15"/>
  <c r="AM274" i="15"/>
  <c r="J234" i="15"/>
  <c r="J235" i="15"/>
  <c r="J266" i="15"/>
  <c r="J231" i="15"/>
  <c r="J214" i="15"/>
  <c r="J222" i="15"/>
  <c r="J223" i="15"/>
  <c r="J224" i="15"/>
  <c r="AN271" i="15"/>
  <c r="AN273" i="15"/>
  <c r="AN274" i="15"/>
  <c r="AO268" i="15"/>
  <c r="AO269" i="15"/>
  <c r="AO271" i="15"/>
  <c r="AO273" i="15"/>
  <c r="AO274" i="15"/>
  <c r="AP268" i="15"/>
  <c r="AP269" i="15"/>
  <c r="AP271" i="15"/>
  <c r="AP273" i="15"/>
  <c r="AP274" i="15"/>
  <c r="AQ268" i="15"/>
  <c r="AQ269" i="15"/>
  <c r="AQ271" i="15"/>
  <c r="AQ273" i="15"/>
  <c r="AQ274" i="15"/>
  <c r="K234" i="15"/>
  <c r="K235" i="15"/>
  <c r="K266" i="15"/>
  <c r="K231" i="15"/>
  <c r="K214" i="15"/>
  <c r="K222" i="15"/>
  <c r="K223" i="15"/>
  <c r="K224" i="15"/>
  <c r="AR271" i="15"/>
  <c r="AR273" i="15"/>
  <c r="AR274" i="15"/>
  <c r="AS268" i="15"/>
  <c r="AS269" i="15"/>
  <c r="AS271" i="15"/>
  <c r="AS273" i="15"/>
  <c r="AS274" i="15"/>
  <c r="AY268" i="15"/>
  <c r="AY269" i="15"/>
  <c r="AY271" i="15"/>
  <c r="AY273" i="15"/>
  <c r="AY274" i="15"/>
  <c r="AX268" i="15"/>
  <c r="AX269" i="15"/>
  <c r="AX271" i="15"/>
  <c r="AX273" i="15"/>
  <c r="AX274" i="15"/>
  <c r="AW268" i="15"/>
  <c r="AW269" i="15"/>
  <c r="AW271" i="15"/>
  <c r="AW273" i="15"/>
  <c r="AW274" i="15"/>
  <c r="AV271" i="15"/>
  <c r="AV273" i="15"/>
  <c r="AV274" i="15"/>
  <c r="AU268" i="15"/>
  <c r="AU269" i="15"/>
  <c r="AU271" i="15"/>
  <c r="AU273" i="15"/>
  <c r="AU274" i="15"/>
  <c r="K268" i="15" l="1"/>
  <c r="K269" i="15"/>
  <c r="K271" i="15"/>
  <c r="K273" i="15"/>
  <c r="K274" i="15"/>
  <c r="J268" i="15"/>
  <c r="J269" i="15"/>
  <c r="J271" i="15"/>
  <c r="J273" i="15"/>
  <c r="J274" i="15"/>
  <c r="I268" i="15"/>
  <c r="I269" i="15"/>
  <c r="I271" i="15"/>
  <c r="I273" i="15"/>
  <c r="I274" i="15"/>
  <c r="O214" i="15"/>
  <c r="O224" i="15"/>
  <c r="O72" i="15"/>
  <c r="O89" i="15"/>
  <c r="O147" i="15" s="1"/>
  <c r="O217" i="15" s="1"/>
  <c r="O176" i="15"/>
  <c r="O246" i="15"/>
  <c r="O75" i="15" l="1"/>
  <c r="O182" i="15"/>
  <c r="O252" i="15"/>
  <c r="O76" i="15" l="1"/>
  <c r="O78" i="15" s="1"/>
  <c r="O185" i="15"/>
  <c r="O255" i="1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CRISIL</author>
    <author>GR&amp;RS</author>
    <author>CRISIL GR&amp;RS</author>
    <author>Crisil GR&amp;A</author>
  </authors>
  <commentList>
    <comment ref="I7" authorId="0" shapeId="0" xr:uid="{F07D6A83-706C-4657-9D3F-51FE60F43268}">
      <text>
        <r>
          <rPr>
            <b/>
            <sz val="9"/>
            <color indexed="81"/>
            <rFont val="Tahoma"/>
            <charset val="1"/>
          </rPr>
          <t>CRISIL:</t>
        </r>
        <r>
          <rPr>
            <sz val="9"/>
            <color indexed="81"/>
            <rFont val="Tahoma"/>
            <charset val="1"/>
          </rPr>
          <t xml:space="preserve">
excludes leases and other current and non-current financial assets</t>
        </r>
      </text>
    </comment>
    <comment ref="J7" authorId="1" shapeId="0" xr:uid="{D9AB292C-7632-45AB-9474-F3130CB5C27A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Net Financial Debt (gross debt less cash and net balances of currency hedging instruments, including mark-to-market) during the period reached Ch$ 1,335.7 billion</t>
        </r>
      </text>
    </comment>
    <comment ref="J8" authorId="0" shapeId="0" xr:uid="{494C2471-0709-4B71-B4D2-387670D2009B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Leverage ratios on an LTM EBITDA basis (Ch$ 855.4 billion, +7.7% YoY) stood at NFD / EBITDA of 1.56x and (NFD + IFRS 16 liabilities) / EBITDA of 2.35x, reflecting a solid financial position.</t>
        </r>
      </text>
    </comment>
    <comment ref="D30" authorId="0" shapeId="0" xr:uid="{FC9E1960-7677-45C1-8AB2-FD6C684F5CA5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FS: 53/87</t>
        </r>
      </text>
    </comment>
    <comment ref="I69" authorId="0" shapeId="0" xr:uid="{255FF737-0230-436B-B496-88036425C71E}">
      <text>
        <r>
          <rPr>
            <b/>
            <sz val="9"/>
            <color indexed="81"/>
            <rFont val="Tahoma"/>
            <charset val="1"/>
          </rPr>
          <t>CRISIL:</t>
        </r>
        <r>
          <rPr>
            <sz val="9"/>
            <color indexed="81"/>
            <rFont val="Tahoma"/>
            <charset val="1"/>
          </rPr>
          <t xml:space="preserve">
excludes leases and other current and non-current financial assets</t>
        </r>
      </text>
    </comment>
    <comment ref="J69" authorId="1" shapeId="0" xr:uid="{58E6720E-5F6E-4FBA-9BF5-EB5949EEA377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Company def: Total short- and long-term debt, less cash &amp; cash equivalents and less current and non-current financial assets. </t>
        </r>
      </text>
    </comment>
    <comment ref="D92" authorId="0" shapeId="0" xr:uid="{3E31E04E-246D-412A-8510-B35B69687828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FS: 61/97</t>
        </r>
      </text>
    </comment>
    <comment ref="I135" authorId="0" shapeId="0" xr:uid="{674A50B8-8C53-483C-93D4-C6F9F9198F87}">
      <text>
        <r>
          <rPr>
            <b/>
            <sz val="9"/>
            <color indexed="81"/>
            <rFont val="Tahoma"/>
            <charset val="1"/>
          </rPr>
          <t>CRISIL:</t>
        </r>
        <r>
          <rPr>
            <sz val="9"/>
            <color indexed="81"/>
            <rFont val="Tahoma"/>
            <charset val="1"/>
          </rPr>
          <t xml:space="preserve">
excludes leases and other current and non-current financial assets</t>
        </r>
      </text>
    </comment>
    <comment ref="J135" authorId="1" shapeId="0" xr:uid="{0034F42F-795F-4370-A96A-CAB79FD5C22E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Company def: Total short- and long-term debt, less cash &amp; cash equivalents and less current and non-current financial assets. </t>
        </r>
      </text>
    </comment>
    <comment ref="I200" authorId="0" shapeId="0" xr:uid="{0918C711-B12E-491C-96C5-A5BB82B65FD7}">
      <text>
        <r>
          <rPr>
            <b/>
            <sz val="9"/>
            <color indexed="81"/>
            <rFont val="Tahoma"/>
            <charset val="1"/>
          </rPr>
          <t>CRISIL:</t>
        </r>
        <r>
          <rPr>
            <sz val="9"/>
            <color indexed="81"/>
            <rFont val="Tahoma"/>
            <charset val="1"/>
          </rPr>
          <t xml:space="preserve">
excludes leases and other current and non-current financial assets</t>
        </r>
      </text>
    </comment>
    <comment ref="J200" authorId="1" shapeId="0" xr:uid="{E92B958B-4962-4768-9875-E05F5799D85A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Company def: Total short- and long-term debt, less cash &amp; cash equivalents and less current and non-current financial assets. </t>
        </r>
      </text>
    </comment>
    <comment ref="J263" authorId="1" shapeId="0" xr:uid="{0351A5E3-DD3F-4E5E-A645-893B784379EA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PR 4/26</t>
        </r>
      </text>
    </comment>
    <comment ref="J316" authorId="1" shapeId="0" xr:uid="{B802A2F8-02C6-447C-83D1-AC97D010A279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PR 4/23</t>
        </r>
      </text>
    </comment>
    <comment ref="J369" authorId="1" shapeId="0" xr:uid="{2F548CD3-FEDE-458D-9F93-F4B4816BA241}">
      <text>
        <r>
          <rPr>
            <b/>
            <sz val="9"/>
            <color indexed="81"/>
            <rFont val="Tahoma"/>
            <family val="2"/>
          </rPr>
          <t>GR&amp;RS:</t>
        </r>
        <r>
          <rPr>
            <sz val="9"/>
            <color indexed="81"/>
            <rFont val="Tahoma"/>
            <family val="2"/>
          </rPr>
          <t xml:space="preserve">
PR 3/21</t>
        </r>
      </text>
    </comment>
    <comment ref="D401" authorId="2" shapeId="0" xr:uid="{384B1CFC-EABF-4214-BB24-D1AC36AE0A6D}">
      <text>
        <r>
          <rPr>
            <b/>
            <sz val="9"/>
            <color indexed="81"/>
            <rFont val="Tahoma"/>
            <charset val="1"/>
          </rPr>
          <t>CRISIL GR&amp;RS:</t>
        </r>
        <r>
          <rPr>
            <sz val="9"/>
            <color indexed="81"/>
            <rFont val="Tahoma"/>
            <charset val="1"/>
          </rPr>
          <t xml:space="preserve">
Adjusted +90 to match total lease liabilities as per the reported number</t>
        </r>
      </text>
    </comment>
    <comment ref="J423" authorId="1" shapeId="0" xr:uid="{2326840B-FDDE-4E48-B628-F845337B7CA0}">
      <text>
        <r>
          <rPr>
            <b/>
            <sz val="9"/>
            <color indexed="81"/>
            <rFont val="Tahoma"/>
            <family val="2"/>
          </rPr>
          <t>GR&amp;RS:</t>
        </r>
        <r>
          <rPr>
            <sz val="9"/>
            <color indexed="81"/>
            <rFont val="Tahoma"/>
            <family val="2"/>
          </rPr>
          <t xml:space="preserve">
PR 3/21</t>
        </r>
      </text>
    </comment>
    <comment ref="J479" authorId="1" shapeId="0" xr:uid="{2C9D885B-0ADC-4607-B513-32CD222BE4A6}">
      <text>
        <r>
          <rPr>
            <b/>
            <sz val="9"/>
            <color indexed="81"/>
            <rFont val="Tahoma"/>
            <family val="2"/>
          </rPr>
          <t>GR&amp;RS:</t>
        </r>
        <r>
          <rPr>
            <sz val="9"/>
            <color indexed="81"/>
            <rFont val="Tahoma"/>
            <family val="2"/>
          </rPr>
          <t xml:space="preserve">
PR 3/24
</t>
        </r>
      </text>
    </comment>
    <comment ref="J535" authorId="1" shapeId="0" xr:uid="{0F317F35-42E8-489F-81D6-0E61A2695C8C}">
      <text>
        <r>
          <rPr>
            <b/>
            <sz val="9"/>
            <color indexed="81"/>
            <rFont val="Tahoma"/>
            <family val="2"/>
          </rPr>
          <t>GR&amp;RS:</t>
        </r>
        <r>
          <rPr>
            <sz val="9"/>
            <color indexed="81"/>
            <rFont val="Tahoma"/>
            <family val="2"/>
          </rPr>
          <t xml:space="preserve">
PPT 4/24
</t>
        </r>
      </text>
    </comment>
    <comment ref="J589" authorId="1" shapeId="0" xr:uid="{2644777E-793D-4673-A9B7-9E9EC50B55F5}">
      <text>
        <r>
          <rPr>
            <b/>
            <sz val="9"/>
            <color indexed="81"/>
            <rFont val="Tahoma"/>
            <family val="2"/>
          </rPr>
          <t>GR&amp;RS:</t>
        </r>
        <r>
          <rPr>
            <sz val="9"/>
            <color indexed="81"/>
            <rFont val="Tahoma"/>
            <family val="2"/>
          </rPr>
          <t xml:space="preserve">
PPT 15/20</t>
        </r>
      </text>
    </comment>
    <comment ref="J643" authorId="1" shapeId="0" xr:uid="{A3E9DC67-D1FF-4206-9580-D1591361C2CD}">
      <text>
        <r>
          <rPr>
            <b/>
            <sz val="9"/>
            <color indexed="81"/>
            <rFont val="Tahoma"/>
            <family val="2"/>
          </rPr>
          <t>GR&amp;RS:</t>
        </r>
        <r>
          <rPr>
            <sz val="9"/>
            <color indexed="81"/>
            <rFont val="Tahoma"/>
            <family val="2"/>
          </rPr>
          <t xml:space="preserve">
PPT 15/20</t>
        </r>
      </text>
    </comment>
    <comment ref="J696" authorId="1" shapeId="0" xr:uid="{C4B9C67A-35CE-4B4D-8DCF-399E5970DD27}">
      <text>
        <r>
          <rPr>
            <b/>
            <sz val="9"/>
            <color indexed="81"/>
            <rFont val="Tahoma"/>
            <family val="2"/>
          </rPr>
          <t>GR&amp;RS:</t>
        </r>
        <r>
          <rPr>
            <sz val="9"/>
            <color indexed="81"/>
            <rFont val="Tahoma"/>
            <family val="2"/>
          </rPr>
          <t xml:space="preserve">
PPT 12/17</t>
        </r>
      </text>
    </comment>
    <comment ref="I1332" authorId="3" shapeId="0" xr:uid="{F186CF92-DC59-4288-B208-6D693E57BE35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Includes cash and net balances from F/X hedging instruments, including mark-to-market
accruals</t>
        </r>
      </text>
    </comment>
    <comment ref="I1386" authorId="3" shapeId="0" xr:uid="{191735FB-FFE0-47B6-B3BA-9871CE0D9B5F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Includes cash and net balances from F/X hedging instruments, including mark-to-market
accruals</t>
        </r>
      </text>
    </comment>
    <comment ref="C1413" authorId="3" shapeId="0" xr:uid="{8147FC97-422D-4BB1-9351-2962911D37C4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taken from page 78/121 of 4Q19 report</t>
        </r>
      </text>
    </comment>
    <comment ref="I1439" authorId="3" shapeId="0" xr:uid="{5B7D791A-B842-459D-86E5-3519B86AF461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Includes cash and net balances from F/X hedging instruments, including mark-to-market
accruals</t>
        </r>
      </text>
    </comment>
    <comment ref="C1466" authorId="3" shapeId="0" xr:uid="{CEB542F4-D43D-48EF-814F-1293DB373198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taken from page 72/120 of 3Q19 report</t>
        </r>
      </text>
    </comment>
    <comment ref="I1492" authorId="3" shapeId="0" xr:uid="{78748C2E-CA58-4C08-A147-EA9075E5DB53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Includes cash and net balances from F/X hedging instruments, including mark-to-market
accruals</t>
        </r>
      </text>
    </comment>
    <comment ref="C1519" authorId="3" shapeId="0" xr:uid="{A08A2E37-34A1-4869-9C82-223809C45B0C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taken from page 73/95 of 2Q19 report</t>
        </r>
      </text>
    </comment>
    <comment ref="I1545" authorId="3" shapeId="0" xr:uid="{56D63956-9C1D-4392-A95E-67E812DE6B74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Includes cash and net balances from F/X hedging instruments, including mark-to-market
accruals</t>
        </r>
      </text>
    </comment>
    <comment ref="K1551" authorId="3" shapeId="0" xr:uid="{030DF294-12A8-4B54-B16C-583C0ACB9A39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taken from presentation page-25/26</t>
        </r>
      </text>
    </comment>
    <comment ref="I1583" authorId="3" shapeId="0" xr:uid="{8A3817D6-B548-42A5-96F1-957D2AFC77F8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Includes cash and net balances from F/X hedging instruments, including mark-to-market
accruals</t>
        </r>
      </text>
    </comment>
    <comment ref="I1620" authorId="3" shapeId="0" xr:uid="{A9A04EC2-8A1E-4A25-A9C5-42B01F4E3026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Includes cash and net balances from F/X hedging instruments, including mark-tomarket
accruals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Vedant Sanjay Chaudhari</author>
    <author>Rishabh Saraf</author>
    <author>Crisil Integral IQ</author>
    <author>CRISIL</author>
    <author>Crisil GR&amp;A</author>
    <author>CRISIL GR&amp;A</author>
    <author>Crisil GR&amp;RS</author>
    <author>Arjun Mehra</author>
  </authors>
  <commentList>
    <comment ref="J7" authorId="0" shapeId="0" xr:uid="{8E7EA6D5-E174-48CD-B42C-35F61D3D439D}">
      <text>
        <r>
          <rPr>
            <sz val="9"/>
            <color indexed="81"/>
            <rFont val="Tahoma"/>
            <family val="2"/>
          </rPr>
          <t>Restated</t>
        </r>
      </text>
    </comment>
    <comment ref="J9" authorId="0" shapeId="0" xr:uid="{4FF42E07-E04B-4B2E-9949-1B185B7B0860}">
      <text>
        <r>
          <rPr>
            <sz val="9"/>
            <color indexed="81"/>
            <rFont val="Tahoma"/>
            <family val="2"/>
          </rPr>
          <t>Restated</t>
        </r>
      </text>
    </comment>
    <comment ref="AG51" authorId="1" shapeId="0" xr:uid="{DD8AE3DE-CADA-43C3-B3D6-CA2DF6E5FCA3}">
      <text>
        <r>
          <rPr>
            <b/>
            <sz val="9"/>
            <color indexed="81"/>
            <rFont val="Tahoma"/>
            <family val="2"/>
          </rPr>
          <t>CRIISIL:</t>
        </r>
        <r>
          <rPr>
            <sz val="9"/>
            <color indexed="81"/>
            <rFont val="Tahoma"/>
            <family val="2"/>
          </rPr>
          <t xml:space="preserve">
Company has stopped reported pre-IFRS16 EBITDA from 1Q20</t>
        </r>
      </text>
    </comment>
    <comment ref="C58" authorId="2" shapeId="0" xr:uid="{EE07A4CB-7F91-4E91-AA76-206A57761920}">
      <text>
        <r>
          <rPr>
            <b/>
            <sz val="9"/>
            <color indexed="81"/>
            <rFont val="Tahoma"/>
            <charset val="1"/>
          </rPr>
          <t>Crisil Integral IQ:</t>
        </r>
        <r>
          <rPr>
            <sz val="9"/>
            <color indexed="81"/>
            <rFont val="Tahoma"/>
            <charset val="1"/>
          </rPr>
          <t xml:space="preserve">
from cash flow statement, includes - 
- Amounts Collected from Customers
- Payments to Suppliers</t>
        </r>
      </text>
    </comment>
    <comment ref="D58" authorId="2" shapeId="0" xr:uid="{FF38DB37-9BF9-4318-BE8A-CA2BA9A95146}">
      <text>
        <r>
          <rPr>
            <b/>
            <sz val="9"/>
            <color indexed="81"/>
            <rFont val="Tahoma"/>
            <charset val="1"/>
          </rPr>
          <t>Crisil Integral IQ:</t>
        </r>
        <r>
          <rPr>
            <sz val="9"/>
            <color indexed="81"/>
            <rFont val="Tahoma"/>
            <charset val="1"/>
          </rPr>
          <t xml:space="preserve">
from cash flow statement, includes - 
- Amounts Collected from Customers
- Payments to Suppliers</t>
        </r>
      </text>
    </comment>
    <comment ref="E58" authorId="2" shapeId="0" xr:uid="{10245E75-09D6-4B7D-9357-951FFC0987C4}">
      <text>
        <r>
          <rPr>
            <b/>
            <sz val="9"/>
            <color indexed="81"/>
            <rFont val="Tahoma"/>
            <charset val="1"/>
          </rPr>
          <t>Crisil Integral IQ:</t>
        </r>
        <r>
          <rPr>
            <sz val="9"/>
            <color indexed="81"/>
            <rFont val="Tahoma"/>
            <charset val="1"/>
          </rPr>
          <t xml:space="preserve">
from cash flow statement, includes - 
- Amounts Collected from Customers
- Payments to Suppliers</t>
        </r>
      </text>
    </comment>
    <comment ref="F58" authorId="2" shapeId="0" xr:uid="{AEB3D894-B180-4C8C-879E-A8DBF08DBFAB}">
      <text>
        <r>
          <rPr>
            <b/>
            <sz val="9"/>
            <color indexed="81"/>
            <rFont val="Tahoma"/>
            <charset val="1"/>
          </rPr>
          <t>Crisil Integral IQ:</t>
        </r>
        <r>
          <rPr>
            <sz val="9"/>
            <color indexed="81"/>
            <rFont val="Tahoma"/>
            <charset val="1"/>
          </rPr>
          <t xml:space="preserve">
from cash flow statement, includes - 
- Amounts Collected from Customers
- Payments to Suppliers</t>
        </r>
      </text>
    </comment>
    <comment ref="G58" authorId="2" shapeId="0" xr:uid="{E356F37B-A447-4E2E-81FD-CFD6AB46897A}">
      <text>
        <r>
          <rPr>
            <b/>
            <sz val="9"/>
            <color indexed="81"/>
            <rFont val="Tahoma"/>
            <charset val="1"/>
          </rPr>
          <t>Crisil Integral IQ:</t>
        </r>
        <r>
          <rPr>
            <sz val="9"/>
            <color indexed="81"/>
            <rFont val="Tahoma"/>
            <charset val="1"/>
          </rPr>
          <t xml:space="preserve">
from cash flow statement, includes - 
- Amounts Collected from Customers
- Payments to Suppliers</t>
        </r>
      </text>
    </comment>
    <comment ref="H58" authorId="2" shapeId="0" xr:uid="{DA3F61A3-5761-4DD3-A118-2EE990F4E63C}">
      <text>
        <r>
          <rPr>
            <b/>
            <sz val="9"/>
            <color indexed="81"/>
            <rFont val="Tahoma"/>
            <charset val="1"/>
          </rPr>
          <t>Crisil Integral IQ:</t>
        </r>
        <r>
          <rPr>
            <sz val="9"/>
            <color indexed="81"/>
            <rFont val="Tahoma"/>
            <charset val="1"/>
          </rPr>
          <t xml:space="preserve">
from cash flow statement, includes - 
- Amounts Collected from Customers
- Payments to Suppliers</t>
        </r>
      </text>
    </comment>
    <comment ref="I58" authorId="2" shapeId="0" xr:uid="{61564031-3884-42CF-82C3-6120D4FE514A}">
      <text>
        <r>
          <rPr>
            <b/>
            <sz val="9"/>
            <color indexed="81"/>
            <rFont val="Tahoma"/>
            <charset val="1"/>
          </rPr>
          <t>Crisil Integral IQ:</t>
        </r>
        <r>
          <rPr>
            <sz val="9"/>
            <color indexed="81"/>
            <rFont val="Tahoma"/>
            <charset val="1"/>
          </rPr>
          <t xml:space="preserve">
from cash flow statement, includes - 
- Amounts Collected from Customers
- Payments to Suppliers</t>
        </r>
      </text>
    </comment>
    <comment ref="J58" authorId="2" shapeId="0" xr:uid="{C91D0162-9C53-412B-BD5F-46EAA9B89C3F}">
      <text>
        <r>
          <rPr>
            <b/>
            <sz val="9"/>
            <color indexed="81"/>
            <rFont val="Tahoma"/>
            <charset val="1"/>
          </rPr>
          <t>Crisil Integral IQ:</t>
        </r>
        <r>
          <rPr>
            <sz val="9"/>
            <color indexed="81"/>
            <rFont val="Tahoma"/>
            <charset val="1"/>
          </rPr>
          <t xml:space="preserve">
from cash flow statement, includes - 
- Amounts Collected from Customers
- Payments to Suppliers</t>
        </r>
      </text>
    </comment>
    <comment ref="K58" authorId="2" shapeId="0" xr:uid="{0079748E-6066-4F81-B297-FCC23125F149}">
      <text>
        <r>
          <rPr>
            <b/>
            <sz val="9"/>
            <color indexed="81"/>
            <rFont val="Tahoma"/>
            <charset val="1"/>
          </rPr>
          <t>Crisil Integral IQ:</t>
        </r>
        <r>
          <rPr>
            <sz val="9"/>
            <color indexed="81"/>
            <rFont val="Tahoma"/>
            <charset val="1"/>
          </rPr>
          <t xml:space="preserve">
from cash flow statement, includes - 
- Amounts Collected from Customers
- Payments to Suppliers</t>
        </r>
      </text>
    </comment>
    <comment ref="L58" authorId="2" shapeId="0" xr:uid="{9C0B13DB-00EC-4BF7-A70C-87C928D2FF73}">
      <text>
        <r>
          <rPr>
            <b/>
            <sz val="9"/>
            <color indexed="81"/>
            <rFont val="Tahoma"/>
            <family val="2"/>
          </rPr>
          <t>Crisil Integral IQ:</t>
        </r>
        <r>
          <rPr>
            <sz val="9"/>
            <color indexed="81"/>
            <rFont val="Tahoma"/>
            <family val="2"/>
          </rPr>
          <t xml:space="preserve">
Changes in working capital as reported in company presentation</t>
        </r>
      </text>
    </comment>
    <comment ref="M58" authorId="2" shapeId="0" xr:uid="{679F70DC-9AFD-4FCF-BF08-0E0F35876642}">
      <text>
        <r>
          <rPr>
            <b/>
            <sz val="9"/>
            <color indexed="81"/>
            <rFont val="Tahoma"/>
            <family val="2"/>
          </rPr>
          <t>Crisil Integral IQ:</t>
        </r>
        <r>
          <rPr>
            <sz val="9"/>
            <color indexed="81"/>
            <rFont val="Tahoma"/>
            <family val="2"/>
          </rPr>
          <t xml:space="preserve">
Changes in working capital as reported in company presentation</t>
        </r>
      </text>
    </comment>
    <comment ref="N58" authorId="2" shapeId="0" xr:uid="{4C134255-70BA-47D6-AB6E-18F34CAD4B63}">
      <text>
        <r>
          <rPr>
            <b/>
            <sz val="9"/>
            <color indexed="81"/>
            <rFont val="Tahoma"/>
            <family val="2"/>
          </rPr>
          <t>Crisil Integral IQ:</t>
        </r>
        <r>
          <rPr>
            <sz val="9"/>
            <color indexed="81"/>
            <rFont val="Tahoma"/>
            <family val="2"/>
          </rPr>
          <t xml:space="preserve">
Changes in working capital as reported in company presentation</t>
        </r>
      </text>
    </comment>
    <comment ref="Q58" authorId="2" shapeId="0" xr:uid="{315DECE3-B429-4D49-B9A8-33F21694B10F}">
      <text>
        <r>
          <rPr>
            <b/>
            <sz val="9"/>
            <color indexed="81"/>
            <rFont val="Tahoma"/>
            <charset val="1"/>
          </rPr>
          <t>Crisil Integral IQ:</t>
        </r>
        <r>
          <rPr>
            <sz val="9"/>
            <color indexed="81"/>
            <rFont val="Tahoma"/>
            <charset val="1"/>
          </rPr>
          <t xml:space="preserve">
from cash flow statement, includes - 
- Amounts Collected from Customers
- Payments to Suppliers</t>
        </r>
      </text>
    </comment>
    <comment ref="R58" authorId="2" shapeId="0" xr:uid="{E5177E0C-F460-4442-84FC-37927DAA0B2D}">
      <text>
        <r>
          <rPr>
            <b/>
            <sz val="9"/>
            <color indexed="81"/>
            <rFont val="Tahoma"/>
            <charset val="1"/>
          </rPr>
          <t>Crisil Integral IQ:</t>
        </r>
        <r>
          <rPr>
            <sz val="9"/>
            <color indexed="81"/>
            <rFont val="Tahoma"/>
            <charset val="1"/>
          </rPr>
          <t xml:space="preserve">
from cash flow statement, includes - 
- Amounts Collected from Customers
- Payments to Suppliers</t>
        </r>
      </text>
    </comment>
    <comment ref="S58" authorId="2" shapeId="0" xr:uid="{0E6509DD-1FB3-411A-A8B8-1CC69CAE46B9}">
      <text>
        <r>
          <rPr>
            <b/>
            <sz val="9"/>
            <color indexed="81"/>
            <rFont val="Tahoma"/>
            <charset val="1"/>
          </rPr>
          <t>Crisil Integral IQ:</t>
        </r>
        <r>
          <rPr>
            <sz val="9"/>
            <color indexed="81"/>
            <rFont val="Tahoma"/>
            <charset val="1"/>
          </rPr>
          <t xml:space="preserve">
from cash flow statement, includes - 
- Amounts Collected from Customers
- Payments to Suppliers</t>
        </r>
      </text>
    </comment>
    <comment ref="T58" authorId="2" shapeId="0" xr:uid="{AAB214F7-EA2C-4541-AD03-46B0A8F1FDB6}">
      <text>
        <r>
          <rPr>
            <b/>
            <sz val="9"/>
            <color indexed="81"/>
            <rFont val="Tahoma"/>
            <charset val="1"/>
          </rPr>
          <t>Crisil Integral IQ:</t>
        </r>
        <r>
          <rPr>
            <sz val="9"/>
            <color indexed="81"/>
            <rFont val="Tahoma"/>
            <charset val="1"/>
          </rPr>
          <t xml:space="preserve">
from cash flow statement, includes - 
- Amounts Collected from Customers
- Payments to Suppliers</t>
        </r>
      </text>
    </comment>
    <comment ref="U58" authorId="2" shapeId="0" xr:uid="{B3A7FC8C-0710-468F-B533-B288AF7D79BF}">
      <text>
        <r>
          <rPr>
            <b/>
            <sz val="9"/>
            <color indexed="81"/>
            <rFont val="Tahoma"/>
            <charset val="1"/>
          </rPr>
          <t>Crisil Integral IQ:</t>
        </r>
        <r>
          <rPr>
            <sz val="9"/>
            <color indexed="81"/>
            <rFont val="Tahoma"/>
            <charset val="1"/>
          </rPr>
          <t xml:space="preserve">
from cash flow statement, includes - 
- Amounts Collected from Customers
- Payments to Suppliers</t>
        </r>
      </text>
    </comment>
    <comment ref="V58" authorId="2" shapeId="0" xr:uid="{A21011CA-B5D3-46EB-8C0E-DEB664C65CBC}">
      <text>
        <r>
          <rPr>
            <b/>
            <sz val="9"/>
            <color indexed="81"/>
            <rFont val="Tahoma"/>
            <charset val="1"/>
          </rPr>
          <t>Crisil Integral IQ:</t>
        </r>
        <r>
          <rPr>
            <sz val="9"/>
            <color indexed="81"/>
            <rFont val="Tahoma"/>
            <charset val="1"/>
          </rPr>
          <t xml:space="preserve">
from cash flow statement, includes - 
- Amounts Collected from Customers
- Payments to Suppliers</t>
        </r>
      </text>
    </comment>
    <comment ref="W58" authorId="2" shapeId="0" xr:uid="{0E318E71-5E16-4A2C-9FD9-AC56AA766D94}">
      <text>
        <r>
          <rPr>
            <b/>
            <sz val="9"/>
            <color indexed="81"/>
            <rFont val="Tahoma"/>
            <charset val="1"/>
          </rPr>
          <t>Crisil Integral IQ:</t>
        </r>
        <r>
          <rPr>
            <sz val="9"/>
            <color indexed="81"/>
            <rFont val="Tahoma"/>
            <charset val="1"/>
          </rPr>
          <t xml:space="preserve">
from cash flow statement, includes - 
- Amounts Collected from Customers
- Payments to Suppliers</t>
        </r>
      </text>
    </comment>
    <comment ref="X58" authorId="2" shapeId="0" xr:uid="{369746C0-AFB2-461D-93D6-73902056B548}">
      <text>
        <r>
          <rPr>
            <b/>
            <sz val="9"/>
            <color indexed="81"/>
            <rFont val="Tahoma"/>
            <charset val="1"/>
          </rPr>
          <t>Crisil Integral IQ:</t>
        </r>
        <r>
          <rPr>
            <sz val="9"/>
            <color indexed="81"/>
            <rFont val="Tahoma"/>
            <charset val="1"/>
          </rPr>
          <t xml:space="preserve">
from cash flow statement, includes - 
- Amounts Collected from Customers
- Payments to Suppliers</t>
        </r>
      </text>
    </comment>
    <comment ref="Y58" authorId="2" shapeId="0" xr:uid="{726E5AC0-7428-470F-B03D-ED0457891E76}">
      <text>
        <r>
          <rPr>
            <b/>
            <sz val="9"/>
            <color indexed="81"/>
            <rFont val="Tahoma"/>
            <charset val="1"/>
          </rPr>
          <t>Crisil Integral IQ:</t>
        </r>
        <r>
          <rPr>
            <sz val="9"/>
            <color indexed="81"/>
            <rFont val="Tahoma"/>
            <charset val="1"/>
          </rPr>
          <t xml:space="preserve">
from cash flow statement, includes - 
- Amounts Collected from Customers
- Payments to Suppliers</t>
        </r>
      </text>
    </comment>
    <comment ref="Z58" authorId="2" shapeId="0" xr:uid="{8D09F76C-6256-4717-BCBF-457B0D9CE67E}">
      <text>
        <r>
          <rPr>
            <b/>
            <sz val="9"/>
            <color indexed="81"/>
            <rFont val="Tahoma"/>
            <charset val="1"/>
          </rPr>
          <t>Crisil Integral IQ:</t>
        </r>
        <r>
          <rPr>
            <sz val="9"/>
            <color indexed="81"/>
            <rFont val="Tahoma"/>
            <charset val="1"/>
          </rPr>
          <t xml:space="preserve">
from cash flow statement, includes - 
- Amounts Collected from Customers
- Payments to Suppliers</t>
        </r>
      </text>
    </comment>
    <comment ref="AA58" authorId="2" shapeId="0" xr:uid="{96B5157F-BD3B-412A-BE28-546F2F7379C8}">
      <text>
        <r>
          <rPr>
            <b/>
            <sz val="9"/>
            <color indexed="81"/>
            <rFont val="Tahoma"/>
            <charset val="1"/>
          </rPr>
          <t>Crisil Integral IQ:</t>
        </r>
        <r>
          <rPr>
            <sz val="9"/>
            <color indexed="81"/>
            <rFont val="Tahoma"/>
            <charset val="1"/>
          </rPr>
          <t xml:space="preserve">
from cash flow statement, includes - 
- Amounts Collected from Customers
- Payments to Suppliers</t>
        </r>
      </text>
    </comment>
    <comment ref="AB58" authorId="2" shapeId="0" xr:uid="{4AFD9598-35C0-4B92-A360-6E7B6CAE610D}">
      <text>
        <r>
          <rPr>
            <b/>
            <sz val="9"/>
            <color indexed="81"/>
            <rFont val="Tahoma"/>
            <charset val="1"/>
          </rPr>
          <t>Crisil Integral IQ:</t>
        </r>
        <r>
          <rPr>
            <sz val="9"/>
            <color indexed="81"/>
            <rFont val="Tahoma"/>
            <charset val="1"/>
          </rPr>
          <t xml:space="preserve">
from cash flow statement, includes - 
- Amounts Collected from Customers
- Payments to Suppliers</t>
        </r>
      </text>
    </comment>
    <comment ref="AC58" authorId="2" shapeId="0" xr:uid="{AB68D22B-8F32-4967-896E-19F15245B095}">
      <text>
        <r>
          <rPr>
            <b/>
            <sz val="9"/>
            <color indexed="81"/>
            <rFont val="Tahoma"/>
            <charset val="1"/>
          </rPr>
          <t>Crisil Integral IQ:</t>
        </r>
        <r>
          <rPr>
            <sz val="9"/>
            <color indexed="81"/>
            <rFont val="Tahoma"/>
            <charset val="1"/>
          </rPr>
          <t xml:space="preserve">
from cash flow statement, includes - 
- Amounts Collected from Customers
- Payments to Suppliers</t>
        </r>
      </text>
    </comment>
    <comment ref="AD58" authorId="2" shapeId="0" xr:uid="{670E407B-5718-4B0E-925A-95F5DD767DEF}">
      <text>
        <r>
          <rPr>
            <b/>
            <sz val="9"/>
            <color indexed="81"/>
            <rFont val="Tahoma"/>
            <charset val="1"/>
          </rPr>
          <t>Crisil Integral IQ:</t>
        </r>
        <r>
          <rPr>
            <sz val="9"/>
            <color indexed="81"/>
            <rFont val="Tahoma"/>
            <charset val="1"/>
          </rPr>
          <t xml:space="preserve">
from cash flow statement, includes - 
- Amounts Collected from Customers
- Payments to Suppliers</t>
        </r>
      </text>
    </comment>
    <comment ref="AE58" authorId="2" shapeId="0" xr:uid="{10E8F500-DE4E-490D-827B-371FAE040DE8}">
      <text>
        <r>
          <rPr>
            <b/>
            <sz val="9"/>
            <color indexed="81"/>
            <rFont val="Tahoma"/>
            <charset val="1"/>
          </rPr>
          <t>Crisil Integral IQ:</t>
        </r>
        <r>
          <rPr>
            <sz val="9"/>
            <color indexed="81"/>
            <rFont val="Tahoma"/>
            <charset val="1"/>
          </rPr>
          <t xml:space="preserve">
from cash flow statement, includes - 
- Amounts Collected from Customers
- Payments to Suppliers</t>
        </r>
      </text>
    </comment>
    <comment ref="AF58" authorId="2" shapeId="0" xr:uid="{9263032C-CB04-41C3-8F1E-CBFF8A81B7D0}">
      <text>
        <r>
          <rPr>
            <b/>
            <sz val="9"/>
            <color indexed="81"/>
            <rFont val="Tahoma"/>
            <charset val="1"/>
          </rPr>
          <t>Crisil Integral IQ:</t>
        </r>
        <r>
          <rPr>
            <sz val="9"/>
            <color indexed="81"/>
            <rFont val="Tahoma"/>
            <charset val="1"/>
          </rPr>
          <t xml:space="preserve">
from cash flow statement, includes - 
- Amounts Collected from Customers
- Payments to Suppliers</t>
        </r>
      </text>
    </comment>
    <comment ref="AG58" authorId="2" shapeId="0" xr:uid="{E4689299-9F73-46B1-A6D0-F697313130D7}">
      <text>
        <r>
          <rPr>
            <b/>
            <sz val="9"/>
            <color indexed="81"/>
            <rFont val="Tahoma"/>
            <charset val="1"/>
          </rPr>
          <t>Crisil Integral IQ:</t>
        </r>
        <r>
          <rPr>
            <sz val="9"/>
            <color indexed="81"/>
            <rFont val="Tahoma"/>
            <charset val="1"/>
          </rPr>
          <t xml:space="preserve">
from cash flow statement, includes - 
- Amounts Collected from Customers
- Payments to Suppliers</t>
        </r>
      </text>
    </comment>
    <comment ref="AH58" authorId="2" shapeId="0" xr:uid="{5D338362-65E9-437E-867D-9DF3401FE8CC}">
      <text>
        <r>
          <rPr>
            <b/>
            <sz val="9"/>
            <color indexed="81"/>
            <rFont val="Tahoma"/>
            <charset val="1"/>
          </rPr>
          <t>Crisil Integral IQ:</t>
        </r>
        <r>
          <rPr>
            <sz val="9"/>
            <color indexed="81"/>
            <rFont val="Tahoma"/>
            <charset val="1"/>
          </rPr>
          <t xml:space="preserve">
from cash flow statement, includes - 
- Amounts Collected from Customers
- Payments to Suppliers</t>
        </r>
      </text>
    </comment>
    <comment ref="AI58" authorId="2" shapeId="0" xr:uid="{6180C40E-5383-4CFA-8238-710613911855}">
      <text>
        <r>
          <rPr>
            <b/>
            <sz val="9"/>
            <color indexed="81"/>
            <rFont val="Tahoma"/>
            <charset val="1"/>
          </rPr>
          <t>Crisil Integral IQ:</t>
        </r>
        <r>
          <rPr>
            <sz val="9"/>
            <color indexed="81"/>
            <rFont val="Tahoma"/>
            <charset val="1"/>
          </rPr>
          <t xml:space="preserve">
from cash flow statement, includes - 
- Amounts Collected from Customers
- Payments to Suppliers</t>
        </r>
      </text>
    </comment>
    <comment ref="AJ58" authorId="2" shapeId="0" xr:uid="{43FA9FCE-E2DE-40BB-BE7F-FC9030FC780D}">
      <text>
        <r>
          <rPr>
            <b/>
            <sz val="9"/>
            <color indexed="81"/>
            <rFont val="Tahoma"/>
            <charset val="1"/>
          </rPr>
          <t>Crisil Integral IQ:</t>
        </r>
        <r>
          <rPr>
            <sz val="9"/>
            <color indexed="81"/>
            <rFont val="Tahoma"/>
            <charset val="1"/>
          </rPr>
          <t xml:space="preserve">
from cash flow statement, includes - 
- Amounts Collected from Customers
- Payments to Suppliers</t>
        </r>
      </text>
    </comment>
    <comment ref="AK58" authorId="2" shapeId="0" xr:uid="{F8D177F8-3AC7-4883-942C-7B225CA8B2AC}">
      <text>
        <r>
          <rPr>
            <b/>
            <sz val="9"/>
            <color indexed="81"/>
            <rFont val="Tahoma"/>
            <charset val="1"/>
          </rPr>
          <t>Crisil Integral IQ:</t>
        </r>
        <r>
          <rPr>
            <sz val="9"/>
            <color indexed="81"/>
            <rFont val="Tahoma"/>
            <charset val="1"/>
          </rPr>
          <t xml:space="preserve">
from cash flow statement, includes - 
- Amounts Collected from Customers
- Payments to Suppliers</t>
        </r>
      </text>
    </comment>
    <comment ref="AL58" authorId="2" shapeId="0" xr:uid="{8AA6ED08-BE89-4570-950E-2729097F137D}">
      <text>
        <r>
          <rPr>
            <b/>
            <sz val="9"/>
            <color indexed="81"/>
            <rFont val="Tahoma"/>
            <charset val="1"/>
          </rPr>
          <t>Crisil Integral IQ:</t>
        </r>
        <r>
          <rPr>
            <sz val="9"/>
            <color indexed="81"/>
            <rFont val="Tahoma"/>
            <charset val="1"/>
          </rPr>
          <t xml:space="preserve">
from cash flow statement, includes - 
- Amounts Collected from Customers
- Payments to Suppliers</t>
        </r>
      </text>
    </comment>
    <comment ref="AM58" authorId="2" shapeId="0" xr:uid="{FA14ADF8-4E40-4FAD-9AFD-A8C43DD1C026}">
      <text>
        <r>
          <rPr>
            <b/>
            <sz val="9"/>
            <color indexed="81"/>
            <rFont val="Tahoma"/>
            <charset val="1"/>
          </rPr>
          <t>Crisil Integral IQ:</t>
        </r>
        <r>
          <rPr>
            <sz val="9"/>
            <color indexed="81"/>
            <rFont val="Tahoma"/>
            <charset val="1"/>
          </rPr>
          <t xml:space="preserve">
from cash flow statement, includes - 
- Amounts Collected from Customers
- Payments to Suppliers</t>
        </r>
      </text>
    </comment>
    <comment ref="AN58" authorId="2" shapeId="0" xr:uid="{003DC69E-009F-4C21-A5F7-1F43FFFEFC40}">
      <text>
        <r>
          <rPr>
            <b/>
            <sz val="9"/>
            <color indexed="81"/>
            <rFont val="Tahoma"/>
            <charset val="1"/>
          </rPr>
          <t>Crisil Integral IQ:</t>
        </r>
        <r>
          <rPr>
            <sz val="9"/>
            <color indexed="81"/>
            <rFont val="Tahoma"/>
            <charset val="1"/>
          </rPr>
          <t xml:space="preserve">
from cash flow statement, includes - 
- Amounts Collected from Customers
- Payments to Suppliers</t>
        </r>
      </text>
    </comment>
    <comment ref="AO58" authorId="2" shapeId="0" xr:uid="{49CD7A37-45BE-40B2-A563-CD6519C92054}">
      <text>
        <r>
          <rPr>
            <b/>
            <sz val="9"/>
            <color indexed="81"/>
            <rFont val="Tahoma"/>
            <charset val="1"/>
          </rPr>
          <t>Crisil Integral IQ:</t>
        </r>
        <r>
          <rPr>
            <sz val="9"/>
            <color indexed="81"/>
            <rFont val="Tahoma"/>
            <charset val="1"/>
          </rPr>
          <t xml:space="preserve">
from cash flow statement, includes - 
- Amounts Collected from Customers
- Payments to Suppliers</t>
        </r>
      </text>
    </comment>
    <comment ref="AP58" authorId="2" shapeId="0" xr:uid="{1B787D9E-E657-465B-A826-F4185D3D9501}">
      <text>
        <r>
          <rPr>
            <b/>
            <sz val="9"/>
            <color indexed="81"/>
            <rFont val="Tahoma"/>
            <charset val="1"/>
          </rPr>
          <t>Crisil Integral IQ:</t>
        </r>
        <r>
          <rPr>
            <sz val="9"/>
            <color indexed="81"/>
            <rFont val="Tahoma"/>
            <charset val="1"/>
          </rPr>
          <t xml:space="preserve">
from cash flow statement, includes - 
- Amounts Collected from Customers
- Payments to Suppliers</t>
        </r>
      </text>
    </comment>
    <comment ref="AQ58" authorId="2" shapeId="0" xr:uid="{B992C469-3DB1-49AD-9A74-4D5594B2FD21}">
      <text>
        <r>
          <rPr>
            <b/>
            <sz val="9"/>
            <color indexed="81"/>
            <rFont val="Tahoma"/>
            <charset val="1"/>
          </rPr>
          <t>Crisil Integral IQ:</t>
        </r>
        <r>
          <rPr>
            <sz val="9"/>
            <color indexed="81"/>
            <rFont val="Tahoma"/>
            <charset val="1"/>
          </rPr>
          <t xml:space="preserve">
from cash flow statement, includes - 
- Amounts Collected from Customers
- Payments to Suppliers</t>
        </r>
      </text>
    </comment>
    <comment ref="AS58" authorId="2" shapeId="0" xr:uid="{5EA23DCE-1DAF-4C46-839B-6C77BC35ACFF}">
      <text>
        <r>
          <rPr>
            <b/>
            <sz val="9"/>
            <color indexed="81"/>
            <rFont val="Tahoma"/>
            <family val="2"/>
          </rPr>
          <t>Crisil Integral IQ:</t>
        </r>
        <r>
          <rPr>
            <sz val="9"/>
            <color indexed="81"/>
            <rFont val="Tahoma"/>
            <family val="2"/>
          </rPr>
          <t xml:space="preserve">
Changes in working capital as reported in company presentation</t>
        </r>
      </text>
    </comment>
    <comment ref="AT58" authorId="2" shapeId="0" xr:uid="{3A019E2A-9EE1-443E-A448-D418129F81F4}">
      <text>
        <r>
          <rPr>
            <b/>
            <sz val="9"/>
            <color indexed="81"/>
            <rFont val="Tahoma"/>
            <family val="2"/>
          </rPr>
          <t>Crisil Integral IQ:</t>
        </r>
        <r>
          <rPr>
            <sz val="9"/>
            <color indexed="81"/>
            <rFont val="Tahoma"/>
            <family val="2"/>
          </rPr>
          <t xml:space="preserve">
Changes in working capital as reported in company presentation</t>
        </r>
      </text>
    </comment>
    <comment ref="AU58" authorId="2" shapeId="0" xr:uid="{BB4584FC-D2C3-4F5B-B465-FD79B4F3A7C8}">
      <text>
        <r>
          <rPr>
            <b/>
            <sz val="9"/>
            <color indexed="81"/>
            <rFont val="Tahoma"/>
            <family val="2"/>
          </rPr>
          <t>Crisil Integral IQ:</t>
        </r>
        <r>
          <rPr>
            <sz val="9"/>
            <color indexed="81"/>
            <rFont val="Tahoma"/>
            <family val="2"/>
          </rPr>
          <t xml:space="preserve">
Changes in working capital as reported in company presentation</t>
        </r>
      </text>
    </comment>
    <comment ref="AW58" authorId="2" shapeId="0" xr:uid="{2574F29A-80E1-47A5-BA1B-70132F5EA50B}">
      <text>
        <r>
          <rPr>
            <b/>
            <sz val="9"/>
            <color indexed="81"/>
            <rFont val="Tahoma"/>
            <family val="2"/>
          </rPr>
          <t>Crisil Integral IQ:</t>
        </r>
        <r>
          <rPr>
            <sz val="9"/>
            <color indexed="81"/>
            <rFont val="Tahoma"/>
            <family val="2"/>
          </rPr>
          <t xml:space="preserve">
Changes in working capital as reported in company presentation</t>
        </r>
      </text>
    </comment>
    <comment ref="AX58" authorId="2" shapeId="0" xr:uid="{6791A2BB-2A46-4E87-BECC-DCEDCEE5F46A}">
      <text>
        <r>
          <rPr>
            <b/>
            <sz val="9"/>
            <color indexed="81"/>
            <rFont val="Tahoma"/>
            <family val="2"/>
          </rPr>
          <t>Crisil Integral IQ:</t>
        </r>
        <r>
          <rPr>
            <sz val="9"/>
            <color indexed="81"/>
            <rFont val="Tahoma"/>
            <family val="2"/>
          </rPr>
          <t xml:space="preserve">
Changes in working capital as reported in company presentation</t>
        </r>
      </text>
    </comment>
    <comment ref="AY58" authorId="2" shapeId="0" xr:uid="{FEE3F473-6DFC-454D-B078-C7247D1F512B}">
      <text>
        <r>
          <rPr>
            <b/>
            <sz val="9"/>
            <color indexed="81"/>
            <rFont val="Tahoma"/>
            <family val="2"/>
          </rPr>
          <t>Crisil Integral IQ:</t>
        </r>
        <r>
          <rPr>
            <sz val="9"/>
            <color indexed="81"/>
            <rFont val="Tahoma"/>
            <family val="2"/>
          </rPr>
          <t xml:space="preserve">
Changes in working capital as reported in company presentation</t>
        </r>
      </text>
    </comment>
    <comment ref="BA58" authorId="2" shapeId="0" xr:uid="{D4180BE5-8E93-462A-B443-9F6D10184C28}">
      <text>
        <r>
          <rPr>
            <b/>
            <sz val="9"/>
            <color indexed="81"/>
            <rFont val="Tahoma"/>
            <family val="2"/>
          </rPr>
          <t>Crisil Integral IQ:</t>
        </r>
        <r>
          <rPr>
            <sz val="9"/>
            <color indexed="81"/>
            <rFont val="Tahoma"/>
            <family val="2"/>
          </rPr>
          <t xml:space="preserve">
Changes in working capital as reported in company presentation</t>
        </r>
      </text>
    </comment>
    <comment ref="BB58" authorId="2" shapeId="0" xr:uid="{F0873E84-4864-49EE-8A2C-85B9CADF3A9A}">
      <text>
        <r>
          <rPr>
            <b/>
            <sz val="9"/>
            <color indexed="81"/>
            <rFont val="Tahoma"/>
            <family val="2"/>
          </rPr>
          <t>Crisil Integral IQ:</t>
        </r>
        <r>
          <rPr>
            <sz val="9"/>
            <color indexed="81"/>
            <rFont val="Tahoma"/>
            <family val="2"/>
          </rPr>
          <t xml:space="preserve">
Changes in working capital as reported in company presentation</t>
        </r>
      </text>
    </comment>
    <comment ref="BC58" authorId="2" shapeId="0" xr:uid="{3BBEFBD5-512C-49F2-ADFD-68FE94071FA7}">
      <text>
        <r>
          <rPr>
            <b/>
            <sz val="9"/>
            <color indexed="81"/>
            <rFont val="Tahoma"/>
            <family val="2"/>
          </rPr>
          <t>Crisil Integral IQ:</t>
        </r>
        <r>
          <rPr>
            <sz val="9"/>
            <color indexed="81"/>
            <rFont val="Tahoma"/>
            <family val="2"/>
          </rPr>
          <t xml:space="preserve">
Changes in working capital as reported in company presentation</t>
        </r>
      </text>
    </comment>
    <comment ref="BE58" authorId="3" shapeId="0" xr:uid="{5B3AAC59-3600-4B07-A08F-28904480DADB}">
      <text>
        <r>
          <rPr>
            <b/>
            <sz val="9"/>
            <color indexed="81"/>
            <rFont val="Tahoma"/>
            <charset val="1"/>
          </rPr>
          <t>CRISIL:</t>
        </r>
        <r>
          <rPr>
            <sz val="9"/>
            <color indexed="81"/>
            <rFont val="Tahoma"/>
            <charset val="1"/>
          </rPr>
          <t xml:space="preserve">
Changes in working capital as reported in company presentation (converted to millions)</t>
        </r>
      </text>
    </comment>
    <comment ref="B63" authorId="4" shapeId="0" xr:uid="{848F0439-0B76-4E08-808F-E59BECB0D3D5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Includes:
Amounts from the sale of property, plant and equipment
Purchases of Property, Plant and Equipment</t>
        </r>
      </text>
    </comment>
    <comment ref="B65" authorId="4" shapeId="0" xr:uid="{435CB470-1A88-450E-B5E5-0A3ADBAAD31F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Includes:
Cash flows used to obtain control of subsidiaries</t>
        </r>
      </text>
    </comment>
    <comment ref="B67" authorId="4" shapeId="0" xr:uid="{9D7DE18A-360F-440A-AA3D-A7B848DB1B63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Includes:
Government Grants
Other Cash Inputs (Outputs)</t>
        </r>
      </text>
    </comment>
    <comment ref="N67" authorId="3" shapeId="0" xr:uid="{5237E59A-25ED-46ED-98E5-B2133BD5BED1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Includes:
* Other Cash Inflows (Outflows): 178,081.531</t>
        </r>
      </text>
    </comment>
    <comment ref="BE67" authorId="3" shapeId="0" xr:uid="{FC0B9C4F-3732-43E3-AC63-7176BA84EC1C}">
      <text>
        <r>
          <rPr>
            <b/>
            <sz val="9"/>
            <color indexed="81"/>
            <rFont val="Tahoma"/>
            <charset val="1"/>
          </rPr>
          <t>CRISIL:</t>
        </r>
        <r>
          <rPr>
            <sz val="9"/>
            <color indexed="81"/>
            <rFont val="Tahoma"/>
            <charset val="1"/>
          </rPr>
          <t xml:space="preserve">
This includes other cash inflows</t>
        </r>
      </text>
    </comment>
    <comment ref="N71" authorId="3" shapeId="0" xr:uid="{F5EAB335-03F9-49F7-A057-E4D6DB4B70F9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Includes:
* Other Cash Inflows (Outflows): 278,738.174</t>
        </r>
      </text>
    </comment>
    <comment ref="BC71" authorId="3" shapeId="0" xr:uid="{ADDEE0AF-685B-49AF-8E2C-C162CF73D41F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9M includes:
* Other Cash Inflows (Outflows)</t>
        </r>
      </text>
    </comment>
    <comment ref="BE71" authorId="3" shapeId="0" xr:uid="{643848BD-E470-44F3-A009-F4F2B4945CA9}">
      <text>
        <r>
          <rPr>
            <b/>
            <sz val="9"/>
            <color indexed="81"/>
            <rFont val="Tahoma"/>
            <charset val="1"/>
          </rPr>
          <t>CRISIL:</t>
        </r>
        <r>
          <rPr>
            <sz val="9"/>
            <color indexed="81"/>
            <rFont val="Tahoma"/>
            <charset val="1"/>
          </rPr>
          <t xml:space="preserve">
This includes other cash outflows</t>
        </r>
      </text>
    </comment>
    <comment ref="L74" authorId="3" shapeId="0" xr:uid="{ADA3EC4C-3DF9-4079-8CDE-C64A5FEDAC1B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The difference is because company uses cash receipts for cash flow statement instead of EBITDA</t>
        </r>
      </text>
    </comment>
    <comment ref="M74" authorId="3" shapeId="0" xr:uid="{846E304B-B146-41D9-9EA3-F34768BBDFA8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The difference is because company uses cash receipts for cash flow statement instead of EBITDA</t>
        </r>
      </text>
    </comment>
    <comment ref="N74" authorId="3" shapeId="0" xr:uid="{967A9398-C074-447A-84F9-0D7E343CC83D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The difference is because company uses cash receipts from direct cash flow method as reported to calcaute CFO</t>
        </r>
      </text>
    </comment>
    <comment ref="BA74" authorId="3" shapeId="0" xr:uid="{3A338C73-AEBE-4DFB-80CC-400CBE9441BF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The difference is because company uses cash receipts for cash flow statement instead of EBITDA</t>
        </r>
      </text>
    </comment>
    <comment ref="BC74" authorId="3" shapeId="0" xr:uid="{67D9756B-617E-41A8-8B16-5ACC0814C9A7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The difference is because company uses cash receipts for cash flow statement instead of EBITDA</t>
        </r>
      </text>
    </comment>
    <comment ref="BE74" authorId="3" shapeId="0" xr:uid="{F03A46D3-D1B4-475E-B805-3C57F6516A8A}">
      <text>
        <r>
          <rPr>
            <b/>
            <sz val="9"/>
            <color indexed="81"/>
            <rFont val="Tahoma"/>
            <charset val="1"/>
          </rPr>
          <t>CRISIL:</t>
        </r>
        <r>
          <rPr>
            <sz val="9"/>
            <color indexed="81"/>
            <rFont val="Tahoma"/>
            <charset val="1"/>
          </rPr>
          <t xml:space="preserve">
The difference is because company uses cash receipts for cash flow statement instead of EBITDA</t>
        </r>
      </text>
    </comment>
    <comment ref="B93" authorId="3" shapeId="0" xr:uid="{E9822C95-0ACD-403C-9AA5-4FE3E6992DB4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Includes:
* Property, Plant and Equipment
* Rights of Use through Leases</t>
        </r>
      </text>
    </comment>
    <comment ref="B95" authorId="5" shapeId="0" xr:uid="{5FCB1396-B9B2-4371-8F74-F45F702A346A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Includes only the current portion</t>
        </r>
      </text>
    </comment>
    <comment ref="B101" authorId="6" shapeId="0" xr:uid="{7F14CB70-04E6-4827-97AC-04E3DB1776E8}">
      <text>
        <r>
          <rPr>
            <b/>
            <sz val="9"/>
            <color indexed="81"/>
            <rFont val="Tahoma"/>
            <family val="2"/>
          </rPr>
          <t>Crisil GR&amp;RS:</t>
        </r>
        <r>
          <rPr>
            <sz val="9"/>
            <color indexed="81"/>
            <rFont val="Tahoma"/>
            <family val="2"/>
          </rPr>
          <t xml:space="preserve">
Calculated using Personnel expenses as COGS is not provided directly</t>
        </r>
      </text>
    </comment>
    <comment ref="B103" authorId="6" shapeId="0" xr:uid="{BC8C33D7-91EA-4953-B3F5-12C1FD4F202D}">
      <text>
        <r>
          <rPr>
            <b/>
            <sz val="9"/>
            <color indexed="81"/>
            <rFont val="Tahoma"/>
            <family val="2"/>
          </rPr>
          <t>Crisil GR&amp;RS:</t>
        </r>
        <r>
          <rPr>
            <sz val="9"/>
            <color indexed="81"/>
            <rFont val="Tahoma"/>
            <family val="2"/>
          </rPr>
          <t xml:space="preserve">
Calculated using Personnel expenses as COGS is not provided directly</t>
        </r>
      </text>
    </comment>
    <comment ref="B110" authorId="4" shapeId="0" xr:uid="{C5CC4027-C491-4C2D-9D13-710EC1749C91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Balance sheet lease liability as per IFRS16</t>
        </r>
      </text>
    </comment>
    <comment ref="AC110" authorId="4" shapeId="0" xr:uid="{117E4A1E-637F-4F2A-AB1A-3BF04748CB6C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Balance sheet lease liability as per IFRS16</t>
        </r>
      </text>
    </comment>
    <comment ref="AD110" authorId="4" shapeId="0" xr:uid="{D562F14E-4404-4E19-A935-546E0B275F07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Balance sheet lease liability as per IFRS16</t>
        </r>
      </text>
    </comment>
    <comment ref="AE110" authorId="4" shapeId="0" xr:uid="{5E7B8617-2A69-43A7-945D-B54BC1D02199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Balance sheet lease liability as per IFRS16</t>
        </r>
      </text>
    </comment>
    <comment ref="AF110" authorId="4" shapeId="0" xr:uid="{2F011270-0DF4-41CF-BE42-9C1EF2232CA7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Balance sheet lease liability as per IFRS16</t>
        </r>
      </text>
    </comment>
    <comment ref="AG110" authorId="4" shapeId="0" xr:uid="{F7C19B08-F393-476F-BC9D-3F654825F0B1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Balance sheet lease liability as per IFRS16</t>
        </r>
      </text>
    </comment>
    <comment ref="AH110" authorId="4" shapeId="0" xr:uid="{BD3B76F9-89E2-4C23-A4BE-AA2F3F56F154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Balance sheet lease liability as per IFRS16</t>
        </r>
      </text>
    </comment>
    <comment ref="AI110" authorId="4" shapeId="0" xr:uid="{9D90D087-715D-4075-A901-D003F14B00FA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Balance sheet lease liability as per IFRS16</t>
        </r>
      </text>
    </comment>
    <comment ref="AJ110" authorId="4" shapeId="0" xr:uid="{50E57957-812A-493A-8C7D-B14168B4978C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Balance sheet lease liability as per IFRS16</t>
        </r>
      </text>
    </comment>
    <comment ref="AK110" authorId="4" shapeId="0" xr:uid="{5D0FCB5B-9E0D-4B65-ABBF-681A57044A92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Balance sheet lease liability as per IFRS16</t>
        </r>
      </text>
    </comment>
    <comment ref="AM110" authorId="4" shapeId="0" xr:uid="{360D57B5-53C9-43D3-916B-AE6F7362BBFA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Balance sheet lease liability as per IFRS16</t>
        </r>
      </text>
    </comment>
    <comment ref="AN110" authorId="4" shapeId="0" xr:uid="{149CEC1F-333F-48CF-B782-235B062BDD5E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Balance sheet lease liability as per IFRS16</t>
        </r>
      </text>
    </comment>
    <comment ref="AO110" authorId="4" shapeId="0" xr:uid="{E5D9CDBB-AF60-4DD5-9D8E-F41AD3878909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Balance sheet lease liability as per IFRS16</t>
        </r>
      </text>
    </comment>
    <comment ref="AQ110" authorId="4" shapeId="0" xr:uid="{4A94E6FC-F63D-4483-B81F-EA8450913E84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Balance sheet lease liability as per IFRS16</t>
        </r>
      </text>
    </comment>
    <comment ref="AR110" authorId="4" shapeId="0" xr:uid="{46F727C6-43B1-451A-B014-AF776A655259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Balance sheet lease liability as per IFRS16</t>
        </r>
      </text>
    </comment>
    <comment ref="AS110" authorId="4" shapeId="0" xr:uid="{4681A8E6-56FD-4E69-A9D7-1AFCCAFFA705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Balance sheet lease liability as per IFRS16</t>
        </r>
      </text>
    </comment>
    <comment ref="AU110" authorId="4" shapeId="0" xr:uid="{32B35E76-9F81-4380-9D66-C5E6D51B9E5E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Balance sheet lease liability as per IFRS16</t>
        </r>
      </text>
    </comment>
    <comment ref="AV110" authorId="4" shapeId="0" xr:uid="{BFD096DB-927F-4CE6-AB1F-8A5D58471951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Balance sheet lease liability as per IFRS16</t>
        </r>
      </text>
    </comment>
    <comment ref="AW110" authorId="4" shapeId="0" xr:uid="{15CF5D8D-6D0C-45AD-9205-D7F63855A7C0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Balance sheet lease liability as per IFRS16</t>
        </r>
      </text>
    </comment>
    <comment ref="AY110" authorId="4" shapeId="0" xr:uid="{9D116DAF-2D6F-4184-ABEA-FFDD9D59CBB6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Balance sheet lease liability as per IFRS16</t>
        </r>
      </text>
    </comment>
    <comment ref="AZ110" authorId="4" shapeId="0" xr:uid="{1BC2F6E9-C1C6-4046-88EB-2989C6045C8E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Balance sheet lease liability as per IFRS16</t>
        </r>
      </text>
    </comment>
    <comment ref="BA110" authorId="4" shapeId="0" xr:uid="{BD54F111-FEB6-44F5-A4EF-47EED911B946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Balance sheet lease liability as per IFRS16</t>
        </r>
      </text>
    </comment>
    <comment ref="BC110" authorId="4" shapeId="0" xr:uid="{EADFFB30-7F78-4BD4-83DB-015657F43B4F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Balance sheet lease liability as per IFRS16</t>
        </r>
      </text>
    </comment>
    <comment ref="B115" authorId="4" shapeId="0" xr:uid="{7A110A9E-DA19-46F3-8EFA-D526BB8916DE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Balance sheet lease liability as per IFRS16</t>
        </r>
      </text>
    </comment>
    <comment ref="AC115" authorId="4" shapeId="0" xr:uid="{9E125E3A-6C01-4A5B-8938-CA5FC50A3F11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Balance sheet lease liability as per IFRS16</t>
        </r>
      </text>
    </comment>
    <comment ref="AD115" authorId="4" shapeId="0" xr:uid="{B7D3BA8C-29A2-46AD-AD5C-133EC3503E48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Balance sheet lease liability as per IFRS16</t>
        </r>
      </text>
    </comment>
    <comment ref="AE115" authorId="4" shapeId="0" xr:uid="{DD12A7C5-DCA3-4156-84C4-C151BE3C7446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Balance sheet lease liability as per IFRS16</t>
        </r>
      </text>
    </comment>
    <comment ref="AF115" authorId="4" shapeId="0" xr:uid="{8C679F8D-BCD7-430B-941E-4270B7E98E1D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Balance sheet lease liability as per IFRS16</t>
        </r>
      </text>
    </comment>
    <comment ref="AG115" authorId="4" shapeId="0" xr:uid="{9D488078-3ABF-4ACE-85E3-17C8CDC4978C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Balance sheet lease liability as per IFRS16</t>
        </r>
      </text>
    </comment>
    <comment ref="AH115" authorId="4" shapeId="0" xr:uid="{7FF48D6B-35C5-4414-98EC-8FC40B2EF702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Balance sheet lease liability as per IFRS16</t>
        </r>
      </text>
    </comment>
    <comment ref="AI115" authorId="4" shapeId="0" xr:uid="{1F150856-9F81-4A9C-A419-5C47FF624790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Balance sheet lease liability as per IFRS16</t>
        </r>
      </text>
    </comment>
    <comment ref="AJ115" authorId="4" shapeId="0" xr:uid="{F115B37C-2334-4170-AFAC-2EFC8A359FAC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Balance sheet lease liability as per IFRS16</t>
        </r>
      </text>
    </comment>
    <comment ref="AK115" authorId="4" shapeId="0" xr:uid="{CDF8336B-80A3-421C-B4CB-D3C8F35FD446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Balance sheet lease liability as per IFRS16</t>
        </r>
      </text>
    </comment>
    <comment ref="AM115" authorId="4" shapeId="0" xr:uid="{3EC7E88D-5739-46A5-9BB9-6BEF0EEED20E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Balance sheet lease liability as per IFRS16</t>
        </r>
      </text>
    </comment>
    <comment ref="AN115" authorId="4" shapeId="0" xr:uid="{1D518FD5-6FC4-40A2-B642-E87F556D1A86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Balance sheet lease liability as per IFRS16</t>
        </r>
      </text>
    </comment>
    <comment ref="AO115" authorId="4" shapeId="0" xr:uid="{79B61E84-EA34-4A79-BBE3-BD982392C29A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Balance sheet lease liability as per IFRS16</t>
        </r>
      </text>
    </comment>
    <comment ref="AQ115" authorId="4" shapeId="0" xr:uid="{F5848DD5-D758-48E6-A368-100339B55F38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Balance sheet lease liability as per IFRS16</t>
        </r>
      </text>
    </comment>
    <comment ref="AR115" authorId="4" shapeId="0" xr:uid="{E533ED7E-3B94-4BAD-B742-61593681B10B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Balance sheet lease liability as per IFRS16</t>
        </r>
      </text>
    </comment>
    <comment ref="AS115" authorId="4" shapeId="0" xr:uid="{C86882D6-7399-4BA4-B6C6-9E039363C18B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Balance sheet lease liability as per IFRS16</t>
        </r>
      </text>
    </comment>
    <comment ref="AT115" authorId="4" shapeId="0" xr:uid="{E842CC00-600D-4C20-AA85-A97580B2110E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Balance sheet lease liability as per IFRS16</t>
        </r>
      </text>
    </comment>
    <comment ref="AU115" authorId="4" shapeId="0" xr:uid="{FC594560-0233-4773-81C8-AA2622DBD505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Balance sheet lease liability as per IFRS16</t>
        </r>
      </text>
    </comment>
    <comment ref="AV115" authorId="4" shapeId="0" xr:uid="{4FBA0EBF-5ACB-4CC2-9F8F-2F6D7A7392E5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Balance sheet lease liability as per IFRS16</t>
        </r>
      </text>
    </comment>
    <comment ref="AW115" authorId="4" shapeId="0" xr:uid="{B5D32F3E-BD59-4747-948B-A08F7521631A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Balance sheet lease liability as per IFRS16</t>
        </r>
      </text>
    </comment>
    <comment ref="AY115" authorId="4" shapeId="0" xr:uid="{00B24876-7D23-4DB3-B704-5CCBADA6670E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Balance sheet lease liability as per IFRS16</t>
        </r>
      </text>
    </comment>
    <comment ref="AZ115" authorId="4" shapeId="0" xr:uid="{7709A523-BF3B-42F5-85EC-94251CAB64AE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Balance sheet lease liability as per IFRS16</t>
        </r>
      </text>
    </comment>
    <comment ref="BA115" authorId="4" shapeId="0" xr:uid="{6B4F37E4-22A3-4214-80BA-2EA8C0076D9A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Balance sheet lease liability as per IFRS16</t>
        </r>
      </text>
    </comment>
    <comment ref="BC115" authorId="4" shapeId="0" xr:uid="{26C45B6B-C877-4BAA-B1B5-806FFACFC6E0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Balance sheet lease liability as per IFRS16</t>
        </r>
      </text>
    </comment>
    <comment ref="BB123" authorId="3" shapeId="0" xr:uid="{392230F7-D52A-450E-9639-FFACB54195F0}">
      <text>
        <r>
          <rPr>
            <b/>
            <sz val="9"/>
            <color indexed="81"/>
            <rFont val="Tahoma"/>
            <charset val="1"/>
          </rPr>
          <t>CRISIL:</t>
        </r>
        <r>
          <rPr>
            <sz val="9"/>
            <color indexed="81"/>
            <rFont val="Tahoma"/>
            <charset val="1"/>
          </rPr>
          <t xml:space="preserve">
from PPT</t>
        </r>
      </text>
    </comment>
    <comment ref="BC123" authorId="3" shapeId="0" xr:uid="{AB3CAFFF-FB14-44A2-B1A8-8200FAAABA33}">
      <text>
        <r>
          <rPr>
            <b/>
            <sz val="9"/>
            <color indexed="81"/>
            <rFont val="Tahoma"/>
            <charset val="1"/>
          </rPr>
          <t>CRISIL:</t>
        </r>
        <r>
          <rPr>
            <sz val="9"/>
            <color indexed="81"/>
            <rFont val="Tahoma"/>
            <charset val="1"/>
          </rPr>
          <t xml:space="preserve">
from PPT</t>
        </r>
      </text>
    </comment>
    <comment ref="BE123" authorId="3" shapeId="0" xr:uid="{7182C0CF-A991-49B2-A9F6-E8D009B28A4A}">
      <text>
        <r>
          <rPr>
            <b/>
            <sz val="9"/>
            <color indexed="81"/>
            <rFont val="Tahoma"/>
            <charset val="1"/>
          </rPr>
          <t>CRISIL:</t>
        </r>
        <r>
          <rPr>
            <sz val="9"/>
            <color indexed="81"/>
            <rFont val="Tahoma"/>
            <charset val="1"/>
          </rPr>
          <t xml:space="preserve">
from PR (9/25)</t>
        </r>
      </text>
    </comment>
    <comment ref="B134" authorId="4" shapeId="0" xr:uid="{8054C6E8-22A3-4F16-B138-AAF1CDE37DC6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excluding from EBITDA the introduction of IFRS 16</t>
        </r>
      </text>
    </comment>
    <comment ref="AR208" authorId="0" shapeId="0" xr:uid="{BF337294-950E-4F59-A050-F8CF4E38860B}">
      <text>
        <r>
          <rPr>
            <sz val="9"/>
            <color indexed="81"/>
            <rFont val="Tahoma"/>
            <family val="2"/>
          </rPr>
          <t>Investing.com</t>
        </r>
      </text>
    </comment>
    <comment ref="AS208" authorId="7" shapeId="0" xr:uid="{5EC31725-FE24-48D1-A257-DDD7FFBC1A52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Investing.com</t>
        </r>
      </text>
    </comment>
    <comment ref="AV208" authorId="0" shapeId="0" xr:uid="{25E4616C-97FD-4856-B91F-4CFB9FEABEEC}">
      <text>
        <r>
          <rPr>
            <sz val="9"/>
            <color indexed="81"/>
            <rFont val="Tahoma"/>
            <family val="2"/>
          </rPr>
          <t>Investing.com</t>
        </r>
      </text>
    </comment>
    <comment ref="AZ208" authorId="0" shapeId="0" xr:uid="{D3A0E5BB-0A91-40ED-93E6-791C4E99EDB7}">
      <text>
        <r>
          <rPr>
            <sz val="9"/>
            <color indexed="81"/>
            <rFont val="Tahoma"/>
            <family val="2"/>
          </rPr>
          <t>Investing.com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Crisil GR&amp;A</author>
    <author>CRISIL</author>
    <author>CRISIL GR&amp;RS</author>
    <author>CRISIL GR&amp;A</author>
    <author>Vedant Sanjay Chaudhari</author>
    <author>PradeepG</author>
  </authors>
  <commentList>
    <comment ref="AD15" authorId="0" shapeId="0" xr:uid="{68DE82D6-70B4-4940-A7FF-125F4BDB0CE4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This is including other income</t>
        </r>
      </text>
    </comment>
    <comment ref="AE15" authorId="0" shapeId="0" xr:uid="{4C626DC5-5E05-4E7D-9990-9040183F784E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This is including other income</t>
        </r>
      </text>
    </comment>
    <comment ref="AF15" authorId="0" shapeId="0" xr:uid="{DD8DE0F7-BFB3-4FC7-90FD-205432C6E4E7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This is including other income</t>
        </r>
      </text>
    </comment>
    <comment ref="AG15" authorId="0" shapeId="0" xr:uid="{5CE369CF-0C4F-41A9-A549-9E8CA85B7E69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This is including other income</t>
        </r>
      </text>
    </comment>
    <comment ref="AH15" authorId="0" shapeId="0" xr:uid="{E7A66B3D-B963-4A8F-81A8-4F68B6A3F349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This is including other income</t>
        </r>
      </text>
    </comment>
    <comment ref="AI15" authorId="0" shapeId="0" xr:uid="{A814AB12-6C96-4652-8BFA-423C1AE3926A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This is including other income</t>
        </r>
      </text>
    </comment>
    <comment ref="AJ15" authorId="0" shapeId="0" xr:uid="{71DE4C75-A128-413C-AA5F-9B61614A6E5F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This is including other income</t>
        </r>
      </text>
    </comment>
    <comment ref="AK15" authorId="0" shapeId="0" xr:uid="{D8D9BDD6-7C35-4A5C-85D1-F41C1C7B481C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This is including other income</t>
        </r>
      </text>
    </comment>
    <comment ref="AL15" authorId="0" shapeId="0" xr:uid="{8B2692B2-798E-49AD-BC63-1362624124CA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This is including other income</t>
        </r>
      </text>
    </comment>
    <comment ref="AM15" authorId="0" shapeId="0" xr:uid="{F4212676-0DF3-4758-A419-75D33048A9DD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This is including other income</t>
        </r>
      </text>
    </comment>
    <comment ref="AN15" authorId="0" shapeId="0" xr:uid="{1A23B85A-2301-492D-B01E-F16542F4B450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This is including other income</t>
        </r>
      </text>
    </comment>
    <comment ref="AO15" authorId="0" shapeId="0" xr:uid="{F7748253-F72A-4560-A318-350CD60B0CBF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This is including other income</t>
        </r>
      </text>
    </comment>
    <comment ref="AP15" authorId="0" shapeId="0" xr:uid="{84888CCE-C8DE-4B36-A5B6-0B962D883A1B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This is including other income</t>
        </r>
      </text>
    </comment>
    <comment ref="AQ15" authorId="0" shapeId="0" xr:uid="{693C19BF-DCC9-481E-84D2-F4605997092F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This is including other income</t>
        </r>
      </text>
    </comment>
    <comment ref="AR15" authorId="0" shapeId="0" xr:uid="{9E26259C-93D1-47CF-884F-4AEBD65CE9FD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This is including other income</t>
        </r>
      </text>
    </comment>
    <comment ref="AS15" authorId="0" shapeId="0" xr:uid="{825C6880-EF76-4530-B127-32CF9FD737B9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This is including other income</t>
        </r>
      </text>
    </comment>
    <comment ref="AT15" authorId="0" shapeId="0" xr:uid="{850E74DB-D0A4-42A4-BD75-3B707D0D0A48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This is including other income</t>
        </r>
      </text>
    </comment>
    <comment ref="O20" authorId="1" shapeId="0" xr:uid="{F25EB940-E761-4DD4-940C-026D1C6035BB}">
      <text>
        <r>
          <rPr>
            <b/>
            <sz val="9"/>
            <color indexed="81"/>
            <rFont val="Tahoma"/>
            <charset val="1"/>
          </rPr>
          <t>CRISIL:</t>
        </r>
        <r>
          <rPr>
            <sz val="9"/>
            <color indexed="81"/>
            <rFont val="Tahoma"/>
            <charset val="1"/>
          </rPr>
          <t xml:space="preserve">
from FS</t>
        </r>
      </text>
    </comment>
    <comment ref="BD20" authorId="1" shapeId="0" xr:uid="{F17D72F1-E839-455F-9CB9-34243F042E78}">
      <text>
        <r>
          <rPr>
            <b/>
            <sz val="9"/>
            <color indexed="81"/>
            <rFont val="Tahoma"/>
            <charset val="1"/>
          </rPr>
          <t>CRISIL:</t>
        </r>
        <r>
          <rPr>
            <sz val="9"/>
            <color indexed="81"/>
            <rFont val="Tahoma"/>
            <charset val="1"/>
          </rPr>
          <t xml:space="preserve">
from FS</t>
        </r>
      </text>
    </comment>
    <comment ref="BF20" authorId="1" shapeId="0" xr:uid="{34C5F5FC-3553-46EA-BDCC-295EAF526213}">
      <text>
        <r>
          <rPr>
            <b/>
            <sz val="9"/>
            <color indexed="81"/>
            <rFont val="Tahoma"/>
            <charset val="1"/>
          </rPr>
          <t>CRISIL:</t>
        </r>
        <r>
          <rPr>
            <sz val="9"/>
            <color indexed="81"/>
            <rFont val="Tahoma"/>
            <charset val="1"/>
          </rPr>
          <t xml:space="preserve">
from FS</t>
        </r>
      </text>
    </comment>
    <comment ref="AU27" authorId="2" shapeId="0" xr:uid="{A416C8C9-14F3-4623-8D48-35B45F0E3912}">
      <text>
        <r>
          <rPr>
            <b/>
            <sz val="9"/>
            <color indexed="81"/>
            <rFont val="Tahoma"/>
            <family val="2"/>
          </rPr>
          <t>CRISIL GR&amp;RS:</t>
        </r>
        <r>
          <rPr>
            <sz val="9"/>
            <color indexed="81"/>
            <rFont val="Tahoma"/>
            <family val="2"/>
          </rPr>
          <t xml:space="preserve">
6M23 numbers</t>
        </r>
      </text>
    </comment>
    <comment ref="B96" authorId="0" shapeId="0" xr:uid="{5CB06A1E-BC62-415F-AD87-EAD9318DBA1E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Includes wholesales mobile services</t>
        </r>
      </text>
    </comment>
    <comment ref="O96" authorId="1" shapeId="0" xr:uid="{01BF9E05-137F-45BF-8098-513807549FDA}">
      <text>
        <r>
          <rPr>
            <b/>
            <sz val="9"/>
            <color indexed="81"/>
            <rFont val="Tahoma"/>
            <charset val="1"/>
          </rPr>
          <t>CRISIL:</t>
        </r>
        <r>
          <rPr>
            <sz val="9"/>
            <color indexed="81"/>
            <rFont val="Tahoma"/>
            <charset val="1"/>
          </rPr>
          <t xml:space="preserve">
from Sumamry Results</t>
        </r>
      </text>
    </comment>
    <comment ref="BD96" authorId="1" shapeId="0" xr:uid="{0775F176-A3AB-4C42-9A13-E7DD553818EF}">
      <text>
        <r>
          <rPr>
            <b/>
            <sz val="9"/>
            <color indexed="81"/>
            <rFont val="Tahoma"/>
            <charset val="1"/>
          </rPr>
          <t>CRISIL:</t>
        </r>
        <r>
          <rPr>
            <sz val="9"/>
            <color indexed="81"/>
            <rFont val="Tahoma"/>
            <charset val="1"/>
          </rPr>
          <t xml:space="preserve">
from Sumamry Results</t>
        </r>
      </text>
    </comment>
    <comment ref="BF96" authorId="1" shapeId="0" xr:uid="{1DAA8A67-9E03-4592-921E-58D60140EAB7}">
      <text>
        <r>
          <rPr>
            <b/>
            <sz val="9"/>
            <color indexed="81"/>
            <rFont val="Tahoma"/>
            <charset val="1"/>
          </rPr>
          <t>CRISIL:</t>
        </r>
        <r>
          <rPr>
            <sz val="9"/>
            <color indexed="81"/>
            <rFont val="Tahoma"/>
            <charset val="1"/>
          </rPr>
          <t xml:space="preserve">
from PR (22/25)</t>
        </r>
      </text>
    </comment>
    <comment ref="B97" authorId="0" shapeId="0" xr:uid="{09E9E599-6FD2-44BE-BA46-EAD7DB2BF167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Includes wholesales fixed services</t>
        </r>
      </text>
    </comment>
    <comment ref="B98" authorId="0" shapeId="0" xr:uid="{0CB6B012-11B2-4EAE-A65C-63239647B15E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Others includes call center, Americatel Peru &amp; others</t>
        </r>
      </text>
    </comment>
    <comment ref="O104" authorId="1" shapeId="0" xr:uid="{72F2829C-004F-4B7F-BCD9-0057EB89C6B5}">
      <text>
        <r>
          <rPr>
            <b/>
            <sz val="9"/>
            <color indexed="81"/>
            <rFont val="Tahoma"/>
            <charset val="1"/>
          </rPr>
          <t>CRISIL:</t>
        </r>
        <r>
          <rPr>
            <sz val="9"/>
            <color indexed="81"/>
            <rFont val="Tahoma"/>
            <charset val="1"/>
          </rPr>
          <t xml:space="preserve">
from FS</t>
        </r>
      </text>
    </comment>
    <comment ref="BD104" authorId="1" shapeId="0" xr:uid="{83B2A1E6-D906-4856-940D-B7D21DF0D423}">
      <text>
        <r>
          <rPr>
            <b/>
            <sz val="9"/>
            <color indexed="81"/>
            <rFont val="Tahoma"/>
            <charset val="1"/>
          </rPr>
          <t>CRISIL:</t>
        </r>
        <r>
          <rPr>
            <sz val="9"/>
            <color indexed="81"/>
            <rFont val="Tahoma"/>
            <charset val="1"/>
          </rPr>
          <t xml:space="preserve">
from FS</t>
        </r>
      </text>
    </comment>
    <comment ref="BF104" authorId="1" shapeId="0" xr:uid="{3822E697-0402-4453-9BA4-705077361A33}">
      <text>
        <r>
          <rPr>
            <b/>
            <sz val="9"/>
            <color indexed="81"/>
            <rFont val="Tahoma"/>
            <charset val="1"/>
          </rPr>
          <t>CRISIL:</t>
        </r>
        <r>
          <rPr>
            <sz val="9"/>
            <color indexed="81"/>
            <rFont val="Tahoma"/>
            <charset val="1"/>
          </rPr>
          <t xml:space="preserve">
Pg 6/25 Earnings Release</t>
        </r>
      </text>
    </comment>
    <comment ref="AQ106" authorId="3" shapeId="0" xr:uid="{D18DEBED-110E-4901-A7A4-2F2630B9B853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Fixed and ICT revenue</t>
        </r>
      </text>
    </comment>
    <comment ref="AU106" authorId="3" shapeId="0" xr:uid="{19081F4E-6E5D-4733-8FC5-9A23404B21D8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Fixed and ICT revenue</t>
        </r>
      </text>
    </comment>
    <comment ref="AY106" authorId="3" shapeId="0" xr:uid="{698FD2F8-08C6-4729-A3E7-FFCFE3F32E24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Fixed and ICT revenue</t>
        </r>
      </text>
    </comment>
    <comment ref="BC106" authorId="3" shapeId="0" xr:uid="{0D733CE0-8E4F-4337-99F4-24436FE35C54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Fixed and ICT revenue</t>
        </r>
      </text>
    </comment>
    <comment ref="AQ110" authorId="3" shapeId="0" xr:uid="{F344C252-86FC-4C76-86D9-359926DA3CAE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Wholesale revenue and others</t>
        </r>
      </text>
    </comment>
    <comment ref="AU110" authorId="3" shapeId="0" xr:uid="{5A4F89E7-D892-4063-AC5C-805931A54B2C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Wholesale revenue and others</t>
        </r>
      </text>
    </comment>
    <comment ref="AY110" authorId="3" shapeId="0" xr:uid="{EF9D0F9B-9903-4915-BCCC-167BB8562BF5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Wholesale revenue and others</t>
        </r>
      </text>
    </comment>
    <comment ref="BC110" authorId="3" shapeId="0" xr:uid="{336B69EF-2C8C-4D36-BCA8-A531D674AEC8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Wholesale revenue and others</t>
        </r>
      </text>
    </comment>
    <comment ref="O115" authorId="1" shapeId="0" xr:uid="{CECDE7F8-9DDE-4A1C-9F91-CF734032C2DB}">
      <text>
        <r>
          <rPr>
            <b/>
            <sz val="9"/>
            <color indexed="81"/>
            <rFont val="Tahoma"/>
            <charset val="1"/>
          </rPr>
          <t>CRISIL:</t>
        </r>
        <r>
          <rPr>
            <sz val="9"/>
            <color indexed="81"/>
            <rFont val="Tahoma"/>
            <charset val="1"/>
          </rPr>
          <t xml:space="preserve">
from Sumamry Results</t>
        </r>
      </text>
    </comment>
    <comment ref="BD122" authorId="1" shapeId="0" xr:uid="{D3EF0D8B-82ED-424D-B995-C0E00BDD5A86}">
      <text>
        <r>
          <rPr>
            <b/>
            <sz val="9"/>
            <color indexed="81"/>
            <rFont val="Tahoma"/>
            <charset val="1"/>
          </rPr>
          <t>CRISIL:</t>
        </r>
        <r>
          <rPr>
            <sz val="9"/>
            <color indexed="81"/>
            <rFont val="Tahoma"/>
            <charset val="1"/>
          </rPr>
          <t xml:space="preserve">
from Sumamry Results</t>
        </r>
      </text>
    </comment>
    <comment ref="BE122" authorId="1" shapeId="0" xr:uid="{7BF0F103-5BE6-41A4-A98E-FAEA8F37CFA4}">
      <text>
        <r>
          <rPr>
            <b/>
            <sz val="9"/>
            <color indexed="81"/>
            <rFont val="Tahoma"/>
            <charset val="1"/>
          </rPr>
          <t>CRISIL:</t>
        </r>
        <r>
          <rPr>
            <sz val="9"/>
            <color indexed="81"/>
            <rFont val="Tahoma"/>
            <charset val="1"/>
          </rPr>
          <t xml:space="preserve">
from Sumamry Results</t>
        </r>
      </text>
    </comment>
    <comment ref="BF122" authorId="1" shapeId="0" xr:uid="{1D40F8B8-5824-4291-A4A1-355029816E37}">
      <text>
        <r>
          <rPr>
            <b/>
            <sz val="9"/>
            <color indexed="81"/>
            <rFont val="Tahoma"/>
            <charset val="1"/>
          </rPr>
          <t>CRISIL:</t>
        </r>
        <r>
          <rPr>
            <sz val="9"/>
            <color indexed="81"/>
            <rFont val="Tahoma"/>
            <charset val="1"/>
          </rPr>
          <t xml:space="preserve">
Pg 12/25 Earnings Release</t>
        </r>
      </text>
    </comment>
    <comment ref="BF140" authorId="1" shapeId="0" xr:uid="{EFE70E96-F43F-43ED-B3F0-7CBCED4F67E4}">
      <text>
        <r>
          <rPr>
            <b/>
            <sz val="9"/>
            <color indexed="81"/>
            <rFont val="Tahoma"/>
            <charset val="1"/>
          </rPr>
          <t>CRISIL:</t>
        </r>
        <r>
          <rPr>
            <sz val="9"/>
            <color indexed="81"/>
            <rFont val="Tahoma"/>
            <charset val="1"/>
          </rPr>
          <t xml:space="preserve">
Pg 12/25</t>
        </r>
      </text>
    </comment>
    <comment ref="AS143" authorId="4" shapeId="0" xr:uid="{C5B447BB-FA26-495F-B42F-FCD41D5D8CE5}">
      <text>
        <r>
          <rPr>
            <sz val="9"/>
            <color indexed="81"/>
            <rFont val="Tahoma"/>
            <family val="2"/>
          </rPr>
          <t>Data N.A.</t>
        </r>
      </text>
    </comment>
    <comment ref="AT143" authorId="4" shapeId="0" xr:uid="{CE5AA162-BF86-4690-86F3-F2E1489AC08F}">
      <text>
        <r>
          <rPr>
            <sz val="9"/>
            <color indexed="81"/>
            <rFont val="Tahoma"/>
            <family val="2"/>
          </rPr>
          <t>Data N.A.</t>
        </r>
      </text>
    </comment>
    <comment ref="AU143" authorId="4" shapeId="0" xr:uid="{11B26178-9508-4A22-9CA3-B51EE33F1ECB}">
      <text>
        <r>
          <rPr>
            <sz val="9"/>
            <color indexed="81"/>
            <rFont val="Tahoma"/>
            <family val="2"/>
          </rPr>
          <t>Data N.A.</t>
        </r>
      </text>
    </comment>
    <comment ref="AV143" authorId="4" shapeId="0" xr:uid="{3C1F1A54-DDBE-4018-93E4-64051C885F7E}">
      <text>
        <r>
          <rPr>
            <sz val="9"/>
            <color indexed="81"/>
            <rFont val="Tahoma"/>
            <family val="2"/>
          </rPr>
          <t>Data N.A.</t>
        </r>
      </text>
    </comment>
    <comment ref="AW143" authorId="4" shapeId="0" xr:uid="{339FACFA-A6F6-4725-A796-E25E793268FF}">
      <text>
        <r>
          <rPr>
            <sz val="9"/>
            <color indexed="81"/>
            <rFont val="Tahoma"/>
            <family val="2"/>
          </rPr>
          <t>Data N.A.</t>
        </r>
      </text>
    </comment>
    <comment ref="AX143" authorId="4" shapeId="0" xr:uid="{0068B40E-452F-41A7-B989-6A748F0E2073}">
      <text>
        <r>
          <rPr>
            <sz val="9"/>
            <color indexed="81"/>
            <rFont val="Tahoma"/>
            <family val="2"/>
          </rPr>
          <t>Data N.A.</t>
        </r>
      </text>
    </comment>
    <comment ref="AY143" authorId="4" shapeId="0" xr:uid="{3E0B7A4C-B754-4CD9-878C-A964E5C097BA}">
      <text>
        <r>
          <rPr>
            <sz val="9"/>
            <color indexed="81"/>
            <rFont val="Tahoma"/>
            <family val="2"/>
          </rPr>
          <t>Data N.A.</t>
        </r>
      </text>
    </comment>
    <comment ref="AZ143" authorId="4" shapeId="0" xr:uid="{C716CBB0-7B46-4CD0-9701-284C30EEF2F8}">
      <text>
        <r>
          <rPr>
            <sz val="9"/>
            <color indexed="81"/>
            <rFont val="Tahoma"/>
            <family val="2"/>
          </rPr>
          <t>Data N.A.</t>
        </r>
      </text>
    </comment>
    <comment ref="BA143" authorId="4" shapeId="0" xr:uid="{E08B0939-8217-4159-82A4-5EE90D4443A5}">
      <text>
        <r>
          <rPr>
            <sz val="9"/>
            <color indexed="81"/>
            <rFont val="Tahoma"/>
            <family val="2"/>
          </rPr>
          <t>Data N.A.</t>
        </r>
      </text>
    </comment>
    <comment ref="BB143" authorId="4" shapeId="0" xr:uid="{257C952A-AC74-43B2-9AAB-F04B9AE71854}">
      <text>
        <r>
          <rPr>
            <sz val="9"/>
            <color indexed="81"/>
            <rFont val="Tahoma"/>
            <family val="2"/>
          </rPr>
          <t>Data N.A.</t>
        </r>
      </text>
    </comment>
    <comment ref="BC143" authorId="4" shapeId="0" xr:uid="{655E2B7B-78CE-4168-AC8D-A33DE98B0501}">
      <text>
        <r>
          <rPr>
            <sz val="9"/>
            <color indexed="81"/>
            <rFont val="Tahoma"/>
            <family val="2"/>
          </rPr>
          <t>Data N.A.</t>
        </r>
      </text>
    </comment>
    <comment ref="BD143" authorId="4" shapeId="0" xr:uid="{4DB37E78-ED4B-4A21-BB6A-072247674250}">
      <text>
        <r>
          <rPr>
            <sz val="9"/>
            <color indexed="81"/>
            <rFont val="Tahoma"/>
            <family val="2"/>
          </rPr>
          <t>Data N.A.</t>
        </r>
      </text>
    </comment>
    <comment ref="BE143" authorId="4" shapeId="0" xr:uid="{4EBF0485-18C9-4FCE-8E60-A4B66816239B}">
      <text>
        <r>
          <rPr>
            <sz val="9"/>
            <color indexed="81"/>
            <rFont val="Tahoma"/>
            <family val="2"/>
          </rPr>
          <t>Data N.A.</t>
        </r>
      </text>
    </comment>
    <comment ref="AS144" authorId="4" shapeId="0" xr:uid="{C04DEE8B-9670-40C9-BD1E-E1BECB35000E}">
      <text>
        <r>
          <rPr>
            <sz val="9"/>
            <color indexed="81"/>
            <rFont val="Tahoma"/>
            <family val="2"/>
          </rPr>
          <t>Data N.A.</t>
        </r>
      </text>
    </comment>
    <comment ref="AT144" authorId="4" shapeId="0" xr:uid="{A2E964D6-FD04-4DB1-AC45-748B230C9BCA}">
      <text>
        <r>
          <rPr>
            <sz val="9"/>
            <color indexed="81"/>
            <rFont val="Tahoma"/>
            <family val="2"/>
          </rPr>
          <t>Data N.A.</t>
        </r>
      </text>
    </comment>
    <comment ref="AU144" authorId="4" shapeId="0" xr:uid="{E3C0FC0B-3E0B-482C-B6AB-055D269B0048}">
      <text>
        <r>
          <rPr>
            <sz val="9"/>
            <color indexed="81"/>
            <rFont val="Tahoma"/>
            <family val="2"/>
          </rPr>
          <t>Data N.A.</t>
        </r>
      </text>
    </comment>
    <comment ref="AV144" authorId="4" shapeId="0" xr:uid="{4D79D7B8-3C47-4939-8FD6-6EECF9052008}">
      <text>
        <r>
          <rPr>
            <sz val="9"/>
            <color indexed="81"/>
            <rFont val="Tahoma"/>
            <family val="2"/>
          </rPr>
          <t>Data N.A.</t>
        </r>
      </text>
    </comment>
    <comment ref="AW144" authorId="4" shapeId="0" xr:uid="{8603F183-5E24-4C65-99FB-50C10B4D4FE2}">
      <text>
        <r>
          <rPr>
            <sz val="9"/>
            <color indexed="81"/>
            <rFont val="Tahoma"/>
            <family val="2"/>
          </rPr>
          <t>Data N.A.</t>
        </r>
      </text>
    </comment>
    <comment ref="AX144" authorId="4" shapeId="0" xr:uid="{253EF1BC-7C98-4DA1-94A5-989281CC5298}">
      <text>
        <r>
          <rPr>
            <sz val="9"/>
            <color indexed="81"/>
            <rFont val="Tahoma"/>
            <family val="2"/>
          </rPr>
          <t>Data N.A.</t>
        </r>
      </text>
    </comment>
    <comment ref="AY144" authorId="4" shapeId="0" xr:uid="{A0FE0034-48AC-4162-A519-05642ED2435B}">
      <text>
        <r>
          <rPr>
            <sz val="9"/>
            <color indexed="81"/>
            <rFont val="Tahoma"/>
            <family val="2"/>
          </rPr>
          <t>Data N.A.</t>
        </r>
      </text>
    </comment>
    <comment ref="AZ144" authorId="4" shapeId="0" xr:uid="{0DE15EE9-A68B-4D0F-9329-2C1611A8FFA7}">
      <text>
        <r>
          <rPr>
            <sz val="9"/>
            <color indexed="81"/>
            <rFont val="Tahoma"/>
            <family val="2"/>
          </rPr>
          <t>Data N.A.</t>
        </r>
      </text>
    </comment>
    <comment ref="BA144" authorId="4" shapeId="0" xr:uid="{49456D70-D6B8-4F14-ABAD-0A96F4B33E24}">
      <text>
        <r>
          <rPr>
            <sz val="9"/>
            <color indexed="81"/>
            <rFont val="Tahoma"/>
            <family val="2"/>
          </rPr>
          <t>Data N.A.</t>
        </r>
      </text>
    </comment>
    <comment ref="BB144" authorId="4" shapeId="0" xr:uid="{FBA3CB24-5ADB-48A4-BADD-CE39284095D2}">
      <text>
        <r>
          <rPr>
            <sz val="9"/>
            <color indexed="81"/>
            <rFont val="Tahoma"/>
            <family val="2"/>
          </rPr>
          <t>Data N.A.</t>
        </r>
      </text>
    </comment>
    <comment ref="BC144" authorId="4" shapeId="0" xr:uid="{798D3A49-BB4E-43CB-B402-999C458BF518}">
      <text>
        <r>
          <rPr>
            <sz val="9"/>
            <color indexed="81"/>
            <rFont val="Tahoma"/>
            <family val="2"/>
          </rPr>
          <t>Data N.A.</t>
        </r>
      </text>
    </comment>
    <comment ref="BD144" authorId="4" shapeId="0" xr:uid="{27342B6A-3CF3-410A-8C10-BB0C653C27B9}">
      <text>
        <r>
          <rPr>
            <sz val="9"/>
            <color indexed="81"/>
            <rFont val="Tahoma"/>
            <family val="2"/>
          </rPr>
          <t>Data N.A.</t>
        </r>
      </text>
    </comment>
    <comment ref="BE144" authorId="4" shapeId="0" xr:uid="{E5819427-E96F-49B0-AED8-72A5F154BDA1}">
      <text>
        <r>
          <rPr>
            <sz val="9"/>
            <color indexed="81"/>
            <rFont val="Tahoma"/>
            <family val="2"/>
          </rPr>
          <t>Data N.A.</t>
        </r>
      </text>
    </comment>
    <comment ref="AS145" authorId="4" shapeId="0" xr:uid="{EBC1771B-71A2-4355-84C7-92A7D85BE94B}">
      <text>
        <r>
          <rPr>
            <sz val="9"/>
            <color indexed="81"/>
            <rFont val="Tahoma"/>
            <family val="2"/>
          </rPr>
          <t>Data N.A.</t>
        </r>
      </text>
    </comment>
    <comment ref="AT145" authorId="4" shapeId="0" xr:uid="{904C31C2-2E5D-4D08-9F5C-6861B8F9DA68}">
      <text>
        <r>
          <rPr>
            <sz val="9"/>
            <color indexed="81"/>
            <rFont val="Tahoma"/>
            <family val="2"/>
          </rPr>
          <t>Data N.A.</t>
        </r>
      </text>
    </comment>
    <comment ref="AU145" authorId="4" shapeId="0" xr:uid="{AEB1A02D-CCDF-4798-A15A-D43207DBE285}">
      <text>
        <r>
          <rPr>
            <sz val="9"/>
            <color indexed="81"/>
            <rFont val="Tahoma"/>
            <family val="2"/>
          </rPr>
          <t>Data N.A.</t>
        </r>
      </text>
    </comment>
    <comment ref="AV145" authorId="4" shapeId="0" xr:uid="{184D70D5-0D10-41B4-99B4-B12EEE824ACA}">
      <text>
        <r>
          <rPr>
            <sz val="9"/>
            <color indexed="81"/>
            <rFont val="Tahoma"/>
            <family val="2"/>
          </rPr>
          <t>Data N.A.</t>
        </r>
      </text>
    </comment>
    <comment ref="AW145" authorId="4" shapeId="0" xr:uid="{3DF13F76-0656-462D-9ECC-E9C4C49788DA}">
      <text>
        <r>
          <rPr>
            <sz val="9"/>
            <color indexed="81"/>
            <rFont val="Tahoma"/>
            <family val="2"/>
          </rPr>
          <t>Data N.A.</t>
        </r>
      </text>
    </comment>
    <comment ref="AX145" authorId="4" shapeId="0" xr:uid="{FEC9172F-675F-4185-B6D0-D6085A225615}">
      <text>
        <r>
          <rPr>
            <sz val="9"/>
            <color indexed="81"/>
            <rFont val="Tahoma"/>
            <family val="2"/>
          </rPr>
          <t>Data N.A.</t>
        </r>
      </text>
    </comment>
    <comment ref="AY145" authorId="4" shapeId="0" xr:uid="{570AA65C-F5B6-46A3-83C0-6971A236F934}">
      <text>
        <r>
          <rPr>
            <sz val="9"/>
            <color indexed="81"/>
            <rFont val="Tahoma"/>
            <family val="2"/>
          </rPr>
          <t>Data N.A.</t>
        </r>
      </text>
    </comment>
    <comment ref="AZ145" authorId="4" shapeId="0" xr:uid="{8BB4B172-D3F1-4B58-92F4-55F8A7304B37}">
      <text>
        <r>
          <rPr>
            <sz val="9"/>
            <color indexed="81"/>
            <rFont val="Tahoma"/>
            <family val="2"/>
          </rPr>
          <t>Data N.A.</t>
        </r>
      </text>
    </comment>
    <comment ref="BA145" authorId="4" shapeId="0" xr:uid="{572CBCD5-143A-4482-B3C0-A2A667ECFF89}">
      <text>
        <r>
          <rPr>
            <sz val="9"/>
            <color indexed="81"/>
            <rFont val="Tahoma"/>
            <family val="2"/>
          </rPr>
          <t>Data N.A.</t>
        </r>
      </text>
    </comment>
    <comment ref="BB145" authorId="4" shapeId="0" xr:uid="{4411D9A2-04D3-4308-83A2-6712C2FC68FA}">
      <text>
        <r>
          <rPr>
            <sz val="9"/>
            <color indexed="81"/>
            <rFont val="Tahoma"/>
            <family val="2"/>
          </rPr>
          <t>Data N.A.</t>
        </r>
      </text>
    </comment>
    <comment ref="BC145" authorId="4" shapeId="0" xr:uid="{1FA01EF8-45A4-4FF6-BACD-C0B7FC66EEEB}">
      <text>
        <r>
          <rPr>
            <sz val="9"/>
            <color indexed="81"/>
            <rFont val="Tahoma"/>
            <family val="2"/>
          </rPr>
          <t>Data N.A.</t>
        </r>
      </text>
    </comment>
    <comment ref="BD145" authorId="4" shapeId="0" xr:uid="{45C8B901-2FA9-42D0-A5AE-B585E31A8F2E}">
      <text>
        <r>
          <rPr>
            <sz val="9"/>
            <color indexed="81"/>
            <rFont val="Tahoma"/>
            <family val="2"/>
          </rPr>
          <t>Data N.A.</t>
        </r>
      </text>
    </comment>
    <comment ref="BE145" authorId="4" shapeId="0" xr:uid="{AF169D31-84B7-47A5-9372-CECB6BD16B42}">
      <text>
        <r>
          <rPr>
            <sz val="9"/>
            <color indexed="81"/>
            <rFont val="Tahoma"/>
            <family val="2"/>
          </rPr>
          <t>Data N.A.</t>
        </r>
      </text>
    </comment>
    <comment ref="BF148" authorId="1" shapeId="0" xr:uid="{BF444724-FBB8-4BFE-B599-A6013D9357FB}">
      <text>
        <r>
          <rPr>
            <b/>
            <sz val="9"/>
            <color indexed="81"/>
            <rFont val="Tahoma"/>
            <charset val="1"/>
          </rPr>
          <t>CRISIL:</t>
        </r>
        <r>
          <rPr>
            <sz val="9"/>
            <color indexed="81"/>
            <rFont val="Tahoma"/>
            <charset val="1"/>
          </rPr>
          <t xml:space="preserve">
Pg 12/25</t>
        </r>
      </text>
    </comment>
    <comment ref="BD156" authorId="1" shapeId="0" xr:uid="{5D856BBB-0C7B-4634-8B5E-74CD329A4719}">
      <text>
        <r>
          <rPr>
            <b/>
            <sz val="9"/>
            <color indexed="81"/>
            <rFont val="Tahoma"/>
            <charset val="1"/>
          </rPr>
          <t>CRISIL:</t>
        </r>
        <r>
          <rPr>
            <sz val="9"/>
            <color indexed="81"/>
            <rFont val="Tahoma"/>
            <charset val="1"/>
          </rPr>
          <t xml:space="preserve">
from Sumamry Results</t>
        </r>
      </text>
    </comment>
    <comment ref="BE156" authorId="1" shapeId="0" xr:uid="{FCD81CC7-95B8-4678-9572-0D37B3B5DE11}">
      <text>
        <r>
          <rPr>
            <b/>
            <sz val="9"/>
            <color indexed="81"/>
            <rFont val="Tahoma"/>
            <charset val="1"/>
          </rPr>
          <t>CRISIL:</t>
        </r>
        <r>
          <rPr>
            <sz val="9"/>
            <color indexed="81"/>
            <rFont val="Tahoma"/>
            <charset val="1"/>
          </rPr>
          <t xml:space="preserve">
pg 27/31</t>
        </r>
      </text>
    </comment>
    <comment ref="BF156" authorId="1" shapeId="0" xr:uid="{3642F401-26BC-4A7C-8C04-ADFB368D3207}">
      <text>
        <r>
          <rPr>
            <b/>
            <sz val="9"/>
            <color indexed="81"/>
            <rFont val="Tahoma"/>
            <charset val="1"/>
          </rPr>
          <t>CRISIL:</t>
        </r>
        <r>
          <rPr>
            <sz val="9"/>
            <color indexed="81"/>
            <rFont val="Tahoma"/>
            <charset val="1"/>
          </rPr>
          <t xml:space="preserve">
Pg 20/25 Earnings Release</t>
        </r>
      </text>
    </comment>
    <comment ref="BF159" authorId="1" shapeId="0" xr:uid="{94F36968-D083-4B8E-BC00-A45ACCA1AE15}">
      <text>
        <r>
          <rPr>
            <b/>
            <sz val="9"/>
            <color indexed="81"/>
            <rFont val="Tahoma"/>
            <charset val="1"/>
          </rPr>
          <t>CRISIL:</t>
        </r>
        <r>
          <rPr>
            <sz val="9"/>
            <color indexed="81"/>
            <rFont val="Tahoma"/>
            <charset val="1"/>
          </rPr>
          <t xml:space="preserve">
Pg 20/25</t>
        </r>
      </text>
    </comment>
    <comment ref="BF162" authorId="1" shapeId="0" xr:uid="{85DE10F3-07D2-431B-9077-B73936E0A918}">
      <text>
        <r>
          <rPr>
            <b/>
            <sz val="9"/>
            <color indexed="81"/>
            <rFont val="Tahoma"/>
            <charset val="1"/>
          </rPr>
          <t>CRISIL:</t>
        </r>
        <r>
          <rPr>
            <sz val="9"/>
            <color indexed="81"/>
            <rFont val="Tahoma"/>
            <charset val="1"/>
          </rPr>
          <t xml:space="preserve">
Pg 20/25 </t>
        </r>
      </text>
    </comment>
    <comment ref="BF164" authorId="1" shapeId="0" xr:uid="{CEF37C72-9687-42F2-9A01-D4B176089401}">
      <text>
        <r>
          <rPr>
            <b/>
            <sz val="9"/>
            <color indexed="81"/>
            <rFont val="Tahoma"/>
            <charset val="1"/>
          </rPr>
          <t>CRISIL:</t>
        </r>
        <r>
          <rPr>
            <sz val="9"/>
            <color indexed="81"/>
            <rFont val="Tahoma"/>
            <charset val="1"/>
          </rPr>
          <t xml:space="preserve">
Pg 20/25</t>
        </r>
      </text>
    </comment>
    <comment ref="AV171" authorId="5" shapeId="0" xr:uid="{9C4A4242-651C-47E1-AF37-D29979387C7B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Includes consumer and corporate &amp; SME segments</t>
        </r>
      </text>
    </comment>
    <comment ref="AV172" authorId="5" shapeId="0" xr:uid="{D43FC9B7-2246-48F9-8909-5CD7F2CE3D2D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Includes consumer and corporate &amp; SME segments</t>
        </r>
      </text>
    </comment>
    <comment ref="BF173" authorId="1" shapeId="0" xr:uid="{A5B62A3E-7B67-4B74-80F4-1D4E630F5143}">
      <text>
        <r>
          <rPr>
            <b/>
            <sz val="9"/>
            <color indexed="81"/>
            <rFont val="Tahoma"/>
            <charset val="1"/>
          </rPr>
          <t>CRISIL:</t>
        </r>
        <r>
          <rPr>
            <sz val="9"/>
            <color indexed="81"/>
            <rFont val="Tahoma"/>
            <charset val="1"/>
          </rPr>
          <t xml:space="preserve">
Pg 20/25</t>
        </r>
      </text>
    </comment>
  </commentList>
</comments>
</file>

<file path=xl/sharedStrings.xml><?xml version="1.0" encoding="utf-8"?>
<sst xmlns="http://schemas.openxmlformats.org/spreadsheetml/2006/main" count="2692" uniqueCount="446">
  <si>
    <t>1Q26</t>
  </si>
  <si>
    <t>Exchange rate as at end</t>
  </si>
  <si>
    <t>LTM Average exchange rate</t>
  </si>
  <si>
    <t>Amount outstanding as on 31-Mar-2026</t>
  </si>
  <si>
    <t>Ch$ (mn)</t>
  </si>
  <si>
    <t>USD (mn)</t>
  </si>
  <si>
    <t>Leverage (Ch$)</t>
  </si>
  <si>
    <t>Leverage (USD)</t>
  </si>
  <si>
    <t>Company Reported</t>
  </si>
  <si>
    <t xml:space="preserve">Net debt </t>
  </si>
  <si>
    <t>Short-term debt</t>
  </si>
  <si>
    <t>Net debt to EBITDA</t>
  </si>
  <si>
    <t>Interest bearing borrowings (Loans)</t>
  </si>
  <si>
    <t>Liabilities with bondholders</t>
  </si>
  <si>
    <t>Liabilities for leases current</t>
  </si>
  <si>
    <t>Long-term debt</t>
  </si>
  <si>
    <t>Liabilities for leases non-current</t>
  </si>
  <si>
    <t>Total Loans &amp; Borrows</t>
  </si>
  <si>
    <t>Cash &amp; Equivalents</t>
  </si>
  <si>
    <t>Equity</t>
  </si>
  <si>
    <t xml:space="preserve">Total Capitalisation </t>
  </si>
  <si>
    <t xml:space="preserve">LTM Adjusted EBITDA </t>
  </si>
  <si>
    <t>check</t>
  </si>
  <si>
    <t>Liquidity Table at end-1Q26</t>
  </si>
  <si>
    <t>Cash and cash equivalents</t>
  </si>
  <si>
    <t>Total</t>
  </si>
  <si>
    <t>Debt Maturity Profile at end-1Q26</t>
  </si>
  <si>
    <t>Less than 1 year</t>
  </si>
  <si>
    <t>Year 1-2</t>
  </si>
  <si>
    <t>Year 2-3</t>
  </si>
  <si>
    <t>Year 3-4</t>
  </si>
  <si>
    <t>Year 4-5</t>
  </si>
  <si>
    <t>Over 5 years</t>
  </si>
  <si>
    <t>Total debt (excluding leases)</t>
  </si>
  <si>
    <t>Lease liabilities Maturity Profile at end-1Q26</t>
  </si>
  <si>
    <t>(Ch$ millions)</t>
  </si>
  <si>
    <t>(USD millions)</t>
  </si>
  <si>
    <t>Total debt</t>
  </si>
  <si>
    <t>Total debt (including leases)</t>
  </si>
  <si>
    <t>FY25</t>
  </si>
  <si>
    <t>Exchange rate as at end FY25</t>
  </si>
  <si>
    <t>LTM Average exchange rate FY25</t>
  </si>
  <si>
    <t>Amount outstanding as on 30-Dec-2025</t>
  </si>
  <si>
    <t>Liquidity Table at end-FY25</t>
  </si>
  <si>
    <t>Debt Maturity Profile at end-FY25</t>
  </si>
  <si>
    <t>Lease liabilities Maturity Profile at end-3Q25</t>
  </si>
  <si>
    <t>Debt Maturity Profile at end-3Q25</t>
  </si>
  <si>
    <t>3Q25</t>
  </si>
  <si>
    <t>Exchange rate as at end 3Q25</t>
  </si>
  <si>
    <t>LTM Average exchange rate 3Q25</t>
  </si>
  <si>
    <t>Amount outstanding as on 30-Sep-2025</t>
  </si>
  <si>
    <t xml:space="preserve">       Interest bearing borrowings (Loans)</t>
  </si>
  <si>
    <t xml:space="preserve">       Liabilities with bondholders</t>
  </si>
  <si>
    <t xml:space="preserve">  Liabilities for leases current</t>
  </si>
  <si>
    <t xml:space="preserve">  Liabilities for leases non-current</t>
  </si>
  <si>
    <t>Liquidity Table at end-3Q25</t>
  </si>
  <si>
    <t>2Q25</t>
  </si>
  <si>
    <t>Exchange rate as at end 2Q25</t>
  </si>
  <si>
    <t>LTM Average exchange rate 2Q25</t>
  </si>
  <si>
    <t>Amount outstanding as on 30-Jun-2025</t>
  </si>
  <si>
    <t>Liquidity Table at end-2Q25</t>
  </si>
  <si>
    <t>Debt Maturity Profile at end-2Q25</t>
  </si>
  <si>
    <t>Lease liabilities Maturity Profile at end-2Q25</t>
  </si>
  <si>
    <t>1Q25</t>
  </si>
  <si>
    <t>Exchange rate as at end 1Q25</t>
  </si>
  <si>
    <t>Amount outstanding as on 31-Mar-2025</t>
  </si>
  <si>
    <t>LTM Average exchange rate 1Q25</t>
  </si>
  <si>
    <t xml:space="preserve">Leverage </t>
  </si>
  <si>
    <t>LTM Adjusted EBITDA</t>
  </si>
  <si>
    <t>Liquidity Table at end-1Q25</t>
  </si>
  <si>
    <t>Debt Maturity Profile at end-1Q25</t>
  </si>
  <si>
    <t>Lease liabilities Maturity Profile at end-1Q25</t>
  </si>
  <si>
    <t>4Q24</t>
  </si>
  <si>
    <t>Exchange rate as at end 4Q24</t>
  </si>
  <si>
    <t>Amount outstanding as on 31-Dec-2024</t>
  </si>
  <si>
    <t>LTM Average exchange rate 4Q24</t>
  </si>
  <si>
    <t>Liquidity Table at end-4Q24</t>
  </si>
  <si>
    <t>Debt Maturity Profile at end-4Q24</t>
  </si>
  <si>
    <t>Lease liabilities Maturity Profile at end-4Q24</t>
  </si>
  <si>
    <t>3Q24</t>
  </si>
  <si>
    <t>Exchange rate as at end 3Q24</t>
  </si>
  <si>
    <t>Amount outstanding as on 30-Sep-2024</t>
  </si>
  <si>
    <t>LTM Average exchange rate 3Q24</t>
  </si>
  <si>
    <t>Liquidity Table at end-3Q24</t>
  </si>
  <si>
    <t>Debt Maturity Profile at end-3Q24</t>
  </si>
  <si>
    <t>Lease liabilities Maturity Profile at end-3Q24</t>
  </si>
  <si>
    <t>2Q24</t>
  </si>
  <si>
    <t>Exchange rate as at end 2Q24</t>
  </si>
  <si>
    <t>Amount outstanding as on 30-Jun-2024</t>
  </si>
  <si>
    <t>LTM Average exchange rate 2Q24</t>
  </si>
  <si>
    <t>Liquidity Table at end-2Q24</t>
  </si>
  <si>
    <t>Debt Maturity Profile at end-2Q24</t>
  </si>
  <si>
    <t>Lease liabilities Maturity Profile at end-2Q24</t>
  </si>
  <si>
    <t>1Q24</t>
  </si>
  <si>
    <t>Exchange rate as at end 1Q24</t>
  </si>
  <si>
    <t>Amount outstanding as on 31-Mar-2024</t>
  </si>
  <si>
    <t>LTM Average exchange rate 1Q24</t>
  </si>
  <si>
    <t>Liquidity Table at end-1Q24</t>
  </si>
  <si>
    <t>Debt Maturity Profile at end-1Q24</t>
  </si>
  <si>
    <t>Lease liabilities Maturity Profile at end-1Q24</t>
  </si>
  <si>
    <t>4Q23</t>
  </si>
  <si>
    <t>Exchange rate as at end Q4 2023</t>
  </si>
  <si>
    <t>Amount outstanding as on 31-Dec-2023</t>
  </si>
  <si>
    <t>LTM Average exchange rate Q4 2023</t>
  </si>
  <si>
    <t>Liquidity Table at end-4Q23</t>
  </si>
  <si>
    <t>Debt Maturity Profile at end-4Q23</t>
  </si>
  <si>
    <t>Lease liabilities Maturity Profile at end-4Q23</t>
  </si>
  <si>
    <t>3Q23</t>
  </si>
  <si>
    <t>Exchange rate as at end Q3 2023</t>
  </si>
  <si>
    <t>Amount outstanding as on 30-Sep-2023</t>
  </si>
  <si>
    <t>LTM Average exchange rate Q3 2023</t>
  </si>
  <si>
    <t>Liquidity Table at end-3Q23</t>
  </si>
  <si>
    <t>Debt Maturity Profile at end-3Q23</t>
  </si>
  <si>
    <t>Lease liabilities Maturity Profile at end-3Q23</t>
  </si>
  <si>
    <t>2Q23</t>
  </si>
  <si>
    <t>Exchange rate as at end Q2 2023</t>
  </si>
  <si>
    <t>Amount outstanding as on 30-June-2023</t>
  </si>
  <si>
    <t>LTM Average exchange rate Q2 2023</t>
  </si>
  <si>
    <t>Liquidity Table at end-2Q23</t>
  </si>
  <si>
    <t>Debt Maturity Profile at end-2Q23</t>
  </si>
  <si>
    <t>Lease liabilities Maturity Profile at end-2Q23</t>
  </si>
  <si>
    <t>1Q23</t>
  </si>
  <si>
    <t>Exchange rate as at end Q1 2023</t>
  </si>
  <si>
    <t>Amount outstanding as on 31-March-2023</t>
  </si>
  <si>
    <t>LTM Average exchange rate Q1 2023</t>
  </si>
  <si>
    <t>Liquidity Table at end-1Q23</t>
  </si>
  <si>
    <t>Debt Maturity Profile at end-1Q23</t>
  </si>
  <si>
    <t>Lease liabilities Maturity Profile at end-1Q23</t>
  </si>
  <si>
    <t>4Q22</t>
  </si>
  <si>
    <t>Exchange rate as at end Q4 2022</t>
  </si>
  <si>
    <t>Amount outstanding as on 31-Dec-2022</t>
  </si>
  <si>
    <t>LTM Average exchange rate Q4 2022</t>
  </si>
  <si>
    <t>Liquidity Table at end-4Q22</t>
  </si>
  <si>
    <t>Debt Maturity Profile at end-4Q22</t>
  </si>
  <si>
    <t>Lease liabilities Maturity Profile at end-4Q22</t>
  </si>
  <si>
    <t>3Q22</t>
  </si>
  <si>
    <t>Exchange rate as at end Q3 2022</t>
  </si>
  <si>
    <t>Amount outstanding as on 30-Sep-2022</t>
  </si>
  <si>
    <t>LTM Average exchange rate Q3 2022</t>
  </si>
  <si>
    <t>Liquidity Table at end-3Q22</t>
  </si>
  <si>
    <t>Debt Maturity Profile at end-3Q22</t>
  </si>
  <si>
    <t>Lease liabilities Maturity Profile at end-3Q22</t>
  </si>
  <si>
    <t>2Q22</t>
  </si>
  <si>
    <t>Exchange rate as at end Q2 2022</t>
  </si>
  <si>
    <t>Amount outstanding as on 30-Jun-2022</t>
  </si>
  <si>
    <t>LTM Average exchange rate Q2 2022</t>
  </si>
  <si>
    <t>Liquidity Table at end-2Q22</t>
  </si>
  <si>
    <t>Debt Maturity Profile at end-2Q22</t>
  </si>
  <si>
    <t>Lease liabilities Maturity Profile at end-2Q22</t>
  </si>
  <si>
    <t>1Q22</t>
  </si>
  <si>
    <t>Exchange rate as at end Q1 2022</t>
  </si>
  <si>
    <t>Amount outstanding as on 31-Mar-2022</t>
  </si>
  <si>
    <t>LTM Average exchange rate Q1 2022</t>
  </si>
  <si>
    <t>Liquidity Table at end-1Q22</t>
  </si>
  <si>
    <t>Debt Maturity Profile at end-1Q22</t>
  </si>
  <si>
    <t>Lease liabilities Maturity Profile at end-1Q22</t>
  </si>
  <si>
    <t>FY21</t>
  </si>
  <si>
    <t>Exchange rate as at end FY 2021</t>
  </si>
  <si>
    <t>Amount outstanding as on 31-Dec-2021</t>
  </si>
  <si>
    <t>LTM Average exchange rate FY 2021</t>
  </si>
  <si>
    <t>Liquidity Table at end-FY21</t>
  </si>
  <si>
    <t>Debt Maturity Profile at end-FY21</t>
  </si>
  <si>
    <t>Lease liabilities Maturity Profile at end-FY21</t>
  </si>
  <si>
    <t>3Q21</t>
  </si>
  <si>
    <t>Exchange rate as at end 3Q 2021</t>
  </si>
  <si>
    <t>Amount outstanding as on 31-Sep-2021</t>
  </si>
  <si>
    <t>LTM Average exchange rate 3Q 2021</t>
  </si>
  <si>
    <t>Liquidity Table at end-3Q21</t>
  </si>
  <si>
    <t>Debt Maturity Profile at end-3Q21</t>
  </si>
  <si>
    <t>Lease liabilities Maturity Profile at end-3Q21</t>
  </si>
  <si>
    <t>2Q21</t>
  </si>
  <si>
    <t>Exchange rate as at end 2Q 2021</t>
  </si>
  <si>
    <t>Amount outstanding as on 31-Jun-2021</t>
  </si>
  <si>
    <t>LTM Average exchange rate 2Q 2021</t>
  </si>
  <si>
    <t>Amount outstanding as on 31-Mar-2021</t>
  </si>
  <si>
    <t>Liquidity Table at end-2Q21</t>
  </si>
  <si>
    <t>Debt Maturity Profile at end-2Q21</t>
  </si>
  <si>
    <t>Lease liabilities Maturity Profile at end-2Q21</t>
  </si>
  <si>
    <t>1Q21</t>
  </si>
  <si>
    <t>Exchange rate as at end 1Q 2021</t>
  </si>
  <si>
    <t>LTM Average exchange rate 1Q 2021</t>
  </si>
  <si>
    <t>Liquidity Table at end-1Q21</t>
  </si>
  <si>
    <t>Debt Maturity Profile at end-1Q21</t>
  </si>
  <si>
    <t>Lease liabilities Maturity Profile at end-1Q21</t>
  </si>
  <si>
    <t>FY20</t>
  </si>
  <si>
    <t>Exchange rate as at end FY 2020</t>
  </si>
  <si>
    <t>Amount outstanding as on 31-Dec-2020</t>
  </si>
  <si>
    <t>LTM Average exchange rate FY 2020</t>
  </si>
  <si>
    <t>Liquidity Table at end-FY20</t>
  </si>
  <si>
    <t>Debt Maturity Profile at end-FY20</t>
  </si>
  <si>
    <t>Lease liabilities Maturity Profile at end-FY20</t>
  </si>
  <si>
    <t>3Q20</t>
  </si>
  <si>
    <t>Exchange rate as at end 3Q 2020</t>
  </si>
  <si>
    <t>Amount outstanding as on 30-Sep-2020</t>
  </si>
  <si>
    <t>LTM Average exchange rate 3Q 2020</t>
  </si>
  <si>
    <t>Liquidity Table at end-3Q20</t>
  </si>
  <si>
    <t>Debt Maturity Profile at end-3Q20</t>
  </si>
  <si>
    <t>Lease liabilities Maturity Profile at end-3Q20</t>
  </si>
  <si>
    <t>2Q20</t>
  </si>
  <si>
    <t>Exchange rate as at end 2Q 2020</t>
  </si>
  <si>
    <t>Amount outstanding as on 30-Jun-2020</t>
  </si>
  <si>
    <t>LTM Average exchange rate 2Q 2020</t>
  </si>
  <si>
    <t>Liquidity Table at end-2Q20</t>
  </si>
  <si>
    <t>Debt Maturity Profile at end-2Q20</t>
  </si>
  <si>
    <t>Lease liabilities Maturity Profile at end-2Q20</t>
  </si>
  <si>
    <t>Debt Maturity Profile at end-1Q20</t>
  </si>
  <si>
    <t>1Q20</t>
  </si>
  <si>
    <t>Exchange rate as at end 1Q 2020</t>
  </si>
  <si>
    <t>Amount outstanding as on 31-Mar-2020</t>
  </si>
  <si>
    <t>LTM Average exchange rate 1Q 2020</t>
  </si>
  <si>
    <t>Liquidity Table at end-1Q20</t>
  </si>
  <si>
    <t>Lease liabilities Maturity Profile at end-1Q20</t>
  </si>
  <si>
    <t>4Q19</t>
  </si>
  <si>
    <t>Exchange rate as at end 4Q 2019</t>
  </si>
  <si>
    <t>LTM Average exchange rate 4Q 2019</t>
  </si>
  <si>
    <t>Amount outstanding as on 31-Dec-2019</t>
  </si>
  <si>
    <t>LTM Adjusted EBITDA (pre IFRS)</t>
  </si>
  <si>
    <t>Liquidity Table at end-4Q19</t>
  </si>
  <si>
    <t>Debt Maturity Profile at end-4Q19</t>
  </si>
  <si>
    <t>Lease liabilities Maturity Profile at end-4Q19</t>
  </si>
  <si>
    <t>3Q19</t>
  </si>
  <si>
    <t>Exchange rate as at end 3Q 2019</t>
  </si>
  <si>
    <t>Amount outstanding as on 30-Sep-2019</t>
  </si>
  <si>
    <t>LTM Average exchange rate 3Q 2019</t>
  </si>
  <si>
    <t>Liquidity Table at end-3Q19</t>
  </si>
  <si>
    <t>Total Liquidity</t>
  </si>
  <si>
    <t>Debt Maturity Profile at end-3Q19</t>
  </si>
  <si>
    <t>Lease liabilities Maturity Profile at end-3Q19</t>
  </si>
  <si>
    <t>2Q19</t>
  </si>
  <si>
    <t>Exchange rate as at end 2Q 2019</t>
  </si>
  <si>
    <t>Amount outstanding as on 30-Jun-2019</t>
  </si>
  <si>
    <t>LTM Average exchange rate 2Q 2019</t>
  </si>
  <si>
    <t>Liquidity Table at end-2Q19</t>
  </si>
  <si>
    <t>Debt Maturity Profile at end-2Q19</t>
  </si>
  <si>
    <t>Lease liabilities Maturity Profile at end-2Q19</t>
  </si>
  <si>
    <t>1Q19</t>
  </si>
  <si>
    <t>Exchange rate as at end 1Q 2019</t>
  </si>
  <si>
    <t>Amount outstanding as on 31-Mar-2019</t>
  </si>
  <si>
    <t>LTM Average exchange rate 1Q 2019</t>
  </si>
  <si>
    <t>Net Financial debt/ EBITDA, excluding IFRS 16</t>
  </si>
  <si>
    <t>3.75x</t>
  </si>
  <si>
    <t>Liquidity Table at end-1Q19</t>
  </si>
  <si>
    <t>Debt Maturity Profile at end-1Q19</t>
  </si>
  <si>
    <t>Non current lease liabilities</t>
  </si>
  <si>
    <t>4Q18</t>
  </si>
  <si>
    <t>Exchange rate as at end 4Q 2018</t>
  </si>
  <si>
    <t>Amount outstanding as on 31-Dec-2018</t>
  </si>
  <si>
    <t>Average exchange rate 4Q 2018</t>
  </si>
  <si>
    <t xml:space="preserve">       Finance Lease Liabilities</t>
  </si>
  <si>
    <t>Liquidity Table at end-4Q18</t>
  </si>
  <si>
    <t>Debt Maturity Profile at end-4Q18</t>
  </si>
  <si>
    <t>3Q18</t>
  </si>
  <si>
    <t>Exchange rate as at end 3Q 2018</t>
  </si>
  <si>
    <t>Amount outstanding as on 30-Sep-2018</t>
  </si>
  <si>
    <t>Liquidity Table at end-3Q18</t>
  </si>
  <si>
    <t>Debt Maturity Profile at end-3Q18</t>
  </si>
  <si>
    <t>USD mn</t>
  </si>
  <si>
    <t>2Q18</t>
  </si>
  <si>
    <t>Exchange rate as at end 2Q 2018</t>
  </si>
  <si>
    <t>Amount outstanding as on 30-Jun-2018</t>
  </si>
  <si>
    <t>Liquidity Table at end-2Q18</t>
  </si>
  <si>
    <t>Debt Maturity Profile at end-2Q18</t>
  </si>
  <si>
    <t>ENTEL</t>
  </si>
  <si>
    <t>Annual</t>
  </si>
  <si>
    <t>LTM</t>
  </si>
  <si>
    <t xml:space="preserve"> </t>
  </si>
  <si>
    <t>Quarterly</t>
  </si>
  <si>
    <t>Quartdrly</t>
  </si>
  <si>
    <t>Act</t>
  </si>
  <si>
    <t>FY</t>
  </si>
  <si>
    <t>Q1</t>
  </si>
  <si>
    <t>Q2</t>
  </si>
  <si>
    <t>Q3</t>
  </si>
  <si>
    <t>Q4</t>
  </si>
  <si>
    <t>INCOME STATEMENT</t>
  </si>
  <si>
    <t>Revenues</t>
  </si>
  <si>
    <t xml:space="preserve">% y-o-y growth </t>
  </si>
  <si>
    <t>Other income</t>
  </si>
  <si>
    <t>Salaries and Expenses / Employee Benefits Expenses</t>
  </si>
  <si>
    <t>Depreciation and amortization expenses</t>
  </si>
  <si>
    <t>Impairment losses (reversals), Net</t>
  </si>
  <si>
    <t>Other expenses</t>
  </si>
  <si>
    <t>Other gains (losses)</t>
  </si>
  <si>
    <t>Operating Profit</t>
  </si>
  <si>
    <t>Finance Income</t>
  </si>
  <si>
    <t>Financial expenses</t>
  </si>
  <si>
    <t>Foreign currency translation differences</t>
  </si>
  <si>
    <t>Results from inflation-adjusted units</t>
  </si>
  <si>
    <t>Profit before tax</t>
  </si>
  <si>
    <t>Income tax benefit/(expense)</t>
  </si>
  <si>
    <t>Income from Continuing Operations</t>
  </si>
  <si>
    <t>Discontinued Operations</t>
  </si>
  <si>
    <t>Net income</t>
  </si>
  <si>
    <t>As % of Revenues unless stated otherwise</t>
  </si>
  <si>
    <t>Finance Income as a % of cash at end of period</t>
  </si>
  <si>
    <t>Finance costs as a % of debt including leases at end of period</t>
  </si>
  <si>
    <t>Income tax benefit/(expense) as a % of Profit before tax</t>
  </si>
  <si>
    <t>capex/sales</t>
  </si>
  <si>
    <t>D/A/sales</t>
  </si>
  <si>
    <t xml:space="preserve">EBITDA </t>
  </si>
  <si>
    <t xml:space="preserve">Operating profit </t>
  </si>
  <si>
    <t>Depreciation &amp; amortisation</t>
  </si>
  <si>
    <t xml:space="preserve">% growth </t>
  </si>
  <si>
    <t>% margin</t>
  </si>
  <si>
    <t xml:space="preserve">Adjustment </t>
  </si>
  <si>
    <t xml:space="preserve">Adj. EBITDA </t>
  </si>
  <si>
    <t>CASH FLOW</t>
  </si>
  <si>
    <t xml:space="preserve">Adjusted EBITDA </t>
  </si>
  <si>
    <t>Working Capital</t>
  </si>
  <si>
    <t>Taxes, net</t>
  </si>
  <si>
    <t>Cash interest paid</t>
  </si>
  <si>
    <t>Cash interest received</t>
  </si>
  <si>
    <t xml:space="preserve">Net cash from operations </t>
  </si>
  <si>
    <t>Net Capex</t>
  </si>
  <si>
    <t>Purchase and development of intangible assets</t>
  </si>
  <si>
    <t>Disposals/ Acquistion, of subsidiaries</t>
  </si>
  <si>
    <t xml:space="preserve">Free cash flow </t>
  </si>
  <si>
    <t>Other investing activities</t>
  </si>
  <si>
    <t>Equity Issuance/Buyback</t>
  </si>
  <si>
    <t xml:space="preserve">Dividends Paid </t>
  </si>
  <si>
    <t>Change in debt</t>
  </si>
  <si>
    <t>Other financing activities</t>
  </si>
  <si>
    <t>Cash flow after financing activities</t>
  </si>
  <si>
    <t>FX</t>
  </si>
  <si>
    <t>Balancing figure</t>
  </si>
  <si>
    <t xml:space="preserve">Net change in cash </t>
  </si>
  <si>
    <t xml:space="preserve">LTM </t>
  </si>
  <si>
    <t>EBITDA</t>
  </si>
  <si>
    <t>Adjusted EBITDA</t>
  </si>
  <si>
    <t>Adjusted EBITDA (pre-IFRS 16)</t>
  </si>
  <si>
    <t>Net Income</t>
  </si>
  <si>
    <t>Capex</t>
  </si>
  <si>
    <t xml:space="preserve">BALANCE SHEET </t>
  </si>
  <si>
    <t>Tangible fixed assets</t>
  </si>
  <si>
    <t>Inventory</t>
  </si>
  <si>
    <t>Trade accounts receivables, net</t>
  </si>
  <si>
    <t>Trade creditors /payables</t>
  </si>
  <si>
    <t>Net working capital</t>
  </si>
  <si>
    <t>% of revenues</t>
  </si>
  <si>
    <t>Inventory Days</t>
  </si>
  <si>
    <t>Receivable Days</t>
  </si>
  <si>
    <t>Payable Days</t>
  </si>
  <si>
    <t xml:space="preserve">Debt  Breakdown </t>
  </si>
  <si>
    <t>Finance Lease Liabilities</t>
  </si>
  <si>
    <t>Total Debt</t>
  </si>
  <si>
    <t>Cash and equivalents</t>
  </si>
  <si>
    <t xml:space="preserve">Gross total debt </t>
  </si>
  <si>
    <t>Company reported net debt</t>
  </si>
  <si>
    <t>Equity (as reported on balance sheet)</t>
  </si>
  <si>
    <t>Total debt + Equity</t>
  </si>
  <si>
    <t>CREDIT RATIOS</t>
  </si>
  <si>
    <t>Total Net Leverage</t>
  </si>
  <si>
    <t xml:space="preserve">Total Gross Leverage </t>
  </si>
  <si>
    <t>Net Leverage (based on company reported debt)</t>
  </si>
  <si>
    <t>Reported Net leverage (pre-IFRS16)</t>
  </si>
  <si>
    <t>EBITDA - Capex / Interest</t>
  </si>
  <si>
    <t>EBITDA/Interest</t>
  </si>
  <si>
    <t xml:space="preserve">Gearing (Net debt / Equity) </t>
  </si>
  <si>
    <t>Key  Credit Metrics (Ch$ mn where applicable)</t>
  </si>
  <si>
    <t>Adjusted EBITDA margin</t>
  </si>
  <si>
    <t>Cash</t>
  </si>
  <si>
    <t>Net Debt</t>
  </si>
  <si>
    <t>Company Reported Net Debt</t>
  </si>
  <si>
    <t>Gross Leverage</t>
  </si>
  <si>
    <t xml:space="preserve">Net Leverage </t>
  </si>
  <si>
    <t>Company Reported Net Leverage</t>
  </si>
  <si>
    <t>Summary Financials</t>
  </si>
  <si>
    <t>(Ch$)</t>
  </si>
  <si>
    <t>Gross Debt</t>
  </si>
  <si>
    <t>FX rate average - Ch$/USD</t>
  </si>
  <si>
    <t>FX rate  - Ch$/USD (as at end of period)</t>
  </si>
  <si>
    <t>USD to CHP (EOP)</t>
  </si>
  <si>
    <t>Key  Credit Metrics (USD mn where applicable)</t>
  </si>
  <si>
    <t>Revenue by Segments</t>
  </si>
  <si>
    <t>Consumer</t>
  </si>
  <si>
    <t>Enterprise</t>
  </si>
  <si>
    <t>Corporate</t>
  </si>
  <si>
    <t>M. Serv.Peru</t>
  </si>
  <si>
    <t>Other businesses</t>
  </si>
  <si>
    <t>Withdrawals</t>
  </si>
  <si>
    <t>Un-Assigned</t>
  </si>
  <si>
    <t>Total Revenue</t>
  </si>
  <si>
    <t>B2B'Enterprise</t>
  </si>
  <si>
    <t>Digital Business</t>
  </si>
  <si>
    <t>Revenue by Segments (Share %)</t>
  </si>
  <si>
    <t>Revenue by Segments (YoY % Growth)</t>
  </si>
  <si>
    <t>EBITDA by Segments</t>
  </si>
  <si>
    <t>Total EBITDA</t>
  </si>
  <si>
    <t>EBITDA Margin</t>
  </si>
  <si>
    <t>EBITDA breakdown by Services (in mn of Ch$)</t>
  </si>
  <si>
    <t xml:space="preserve">Mobile Services Chile </t>
  </si>
  <si>
    <t xml:space="preserve">Fixed Services </t>
  </si>
  <si>
    <t>Others</t>
  </si>
  <si>
    <t>Entel Peru</t>
  </si>
  <si>
    <t>Operating Revenue (in mn of Ch$)</t>
  </si>
  <si>
    <t>Mobile Phone Services-Chile</t>
  </si>
  <si>
    <t>Mobile Phone Services-Peru</t>
  </si>
  <si>
    <t>Data Services (including IT)</t>
  </si>
  <si>
    <t>Local Telephone Services</t>
  </si>
  <si>
    <t>Long Distance</t>
  </si>
  <si>
    <t>Internet</t>
  </si>
  <si>
    <t>Services to Other Operators</t>
  </si>
  <si>
    <t>Traffic Business</t>
  </si>
  <si>
    <t>TV Service</t>
  </si>
  <si>
    <t>Americatel Peru</t>
  </si>
  <si>
    <t>Call Center Services and Other</t>
  </si>
  <si>
    <t>Other Revenue</t>
  </si>
  <si>
    <t>Total Operating Revenue</t>
  </si>
  <si>
    <t>ENTEL (excluding the Mobile Peru Operation)</t>
  </si>
  <si>
    <t>Mobile Suscribers (in thousands)</t>
  </si>
  <si>
    <t xml:space="preserve">      Postpaid Voice Chile</t>
  </si>
  <si>
    <t xml:space="preserve">      Prepaid Voice Chile</t>
  </si>
  <si>
    <t xml:space="preserve">      MBB Chile</t>
  </si>
  <si>
    <t xml:space="preserve">      Total mobile subscribers</t>
  </si>
  <si>
    <t>MOBILE ARPU (in Ch$)</t>
  </si>
  <si>
    <t xml:space="preserve">     ARPU Chile Ch$</t>
  </si>
  <si>
    <t>MOU (in minutes)</t>
  </si>
  <si>
    <t xml:space="preserve">     MOU Av. Chile</t>
  </si>
  <si>
    <t>CHURN (%)</t>
  </si>
  <si>
    <t xml:space="preserve">      Av. Churn Chile</t>
  </si>
  <si>
    <t>% Mobile Data / Postpaid Base</t>
  </si>
  <si>
    <t>Postpaid Effective GOU (Gigas/month)</t>
  </si>
  <si>
    <t>4G users (thousands)</t>
  </si>
  <si>
    <t>Fixed Voice Access (number of access)</t>
  </si>
  <si>
    <t xml:space="preserve">      Corp&amp;SME Service Codes</t>
  </si>
  <si>
    <t xml:space="preserve">      Entel Hogar</t>
  </si>
  <si>
    <t xml:space="preserve">      Trunk IP-NGN-Bundling</t>
  </si>
  <si>
    <t>RGU "Entel Hogar"</t>
  </si>
  <si>
    <t xml:space="preserve">    FTTH RGU's </t>
  </si>
  <si>
    <t xml:space="preserve">    Wireless Home RGU's</t>
  </si>
  <si>
    <t>Entel Perú</t>
  </si>
  <si>
    <t>Total Access (in thousand)</t>
  </si>
  <si>
    <t xml:space="preserve">    Mobile</t>
  </si>
  <si>
    <t xml:space="preserve">    Fixed Wireless</t>
  </si>
  <si>
    <t>Mobile Base Mix</t>
  </si>
  <si>
    <t xml:space="preserve">     Prepaid</t>
  </si>
  <si>
    <t xml:space="preserve">     Postpaid</t>
  </si>
  <si>
    <t>Mobile Average ARPU (US $)</t>
  </si>
  <si>
    <t>Churn (%)</t>
  </si>
  <si>
    <t>Main Business Operational Figures</t>
  </si>
  <si>
    <t>Total Mobile Customers ( in thousands)</t>
  </si>
  <si>
    <t xml:space="preserve">    Prepaid Voice Chile</t>
  </si>
  <si>
    <t xml:space="preserve">    Postpaid Voice Chile</t>
  </si>
  <si>
    <t xml:space="preserve">    MBB &amp; IOT Chile</t>
  </si>
  <si>
    <t xml:space="preserve">    Mobile Peru</t>
  </si>
  <si>
    <t xml:space="preserve">    Total mobile Customers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</si>
</sst>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1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 * #,##0.00_ ;_ * \-#,##0.00_ ;_ * &quot;-&quot;??_ ;_ @_ "/>
    <numFmt numFmtId="165" formatCode="_-* #,##0.00_-;\-* #,##0.00_-;_-* &quot;-&quot;??_-;_-@_-"/>
    <numFmt numFmtId="166" formatCode="#,##0.0_);\(#,##0.0\)"/>
    <numFmt numFmtId="167" formatCode="#0.0%_);\(#0.0%\)"/>
    <numFmt numFmtId="168" formatCode="#0.00\x"/>
    <numFmt numFmtId="169" formatCode="mmm\ yyyy"/>
    <numFmt numFmtId="170" formatCode="0.0%"/>
    <numFmt numFmtId="171" formatCode="_(* #,##0.0_);_(* \(#,##0.0\);_(* &quot;-&quot;??_);_(@_)"/>
    <numFmt numFmtId="172" formatCode="_(* #,##0.000_);_(* \(#,##0.000\);_(* &quot;-&quot;??_);_(@_)"/>
    <numFmt numFmtId="173" formatCode="_(* #,##0_);_(* \(#,##0\);_(* &quot;-&quot;??_);_(@_)"/>
    <numFmt numFmtId="174" formatCode="#,##0.0\ ;\(#,##0.0\)"/>
    <numFmt numFmtId="175" formatCode="&quot;$&quot;#,##0.00_)&quot;per share&quot;;\(&quot;$&quot;#,##0.00\)&quot; per share&quot;"/>
    <numFmt numFmtId="176" formatCode="0.0_)\%;\(0.0\)\%;0.0_)\%;@_)_%"/>
    <numFmt numFmtId="177" formatCode="#,##0.0_)_%;\(#,##0.0\)_%;0.0_)_%;@_)_%"/>
    <numFmt numFmtId="178" formatCode="#,##0.0_);\(#,##0.0\);#,##0.0_);@_)"/>
    <numFmt numFmtId="179" formatCode="&quot;$&quot;_(#,##0.00_);&quot;$&quot;\(#,##0.00\);&quot;$&quot;_(0.00_);@_)"/>
    <numFmt numFmtId="180" formatCode="&quot;$&quot;_(#,##0.00_);&quot;$&quot;\(#,##0.00\)"/>
    <numFmt numFmtId="181" formatCode="#,##0.00_);\(#,##0.00\);0.00_);@_)"/>
    <numFmt numFmtId="182" formatCode="\€_(#,##0.00_);\€\(#,##0.00\);\€_(0.00_);@_)"/>
    <numFmt numFmtId="183" formatCode="#,##0_)\x;\(#,##0\)\x;0_)\x;@_)_x"/>
    <numFmt numFmtId="184" formatCode="#,##0.0_)\x;\(#,##0.0\)\x"/>
    <numFmt numFmtId="185" formatCode="#,##0_)_x;\(#,##0\)_x;0_)_x;@_)_x"/>
    <numFmt numFmtId="186" formatCode="#,##0.0_)_x;\(#,##0.0\)_x"/>
    <numFmt numFmtId="187" formatCode="0.0_)\%;\(0.0\)\%"/>
    <numFmt numFmtId="188" formatCode="#,##0.0_)_%;\(#,##0.0\)_%"/>
    <numFmt numFmtId="189" formatCode="_(\£* #,##0_);_(\£* \(#,##0\);_(\£* &quot;-&quot;_);_(@_)"/>
    <numFmt numFmtId="190" formatCode="_(\£* #,##0.0_);_(\£* \(#,##0.0\);_(\£* &quot;-&quot;_);_(@_)"/>
    <numFmt numFmtId="191" formatCode="_(\£* #,##0.00_);_(\£* \(#,##0.00\);_(\£* &quot;-&quot;_);_(@_)"/>
    <numFmt numFmtId="192" formatCode="_(* #,##0\p_);_(* \(#,##0\p\);_(* &quot;-&quot;\ \p_);_(@_)"/>
    <numFmt numFmtId="193" formatCode="_(* #,##0.00\p_);_(* \(#,##0.00\p\);_(* &quot;-&quot;\ \p_);_(@_)"/>
    <numFmt numFmtId="194" formatCode="\£#,##0.00"/>
    <numFmt numFmtId="195" formatCode="&quot;$&quot;&quot; &quot;#,##0_);\(&quot;$&quot;&quot; &quot;#,##0\);\-_)"/>
    <numFmt numFmtId="196" formatCode="#,##0_);\(#,##0\);\-_)"/>
    <numFmt numFmtId="197" formatCode="&quot;$&quot;#,##0_);[Red]\(&quot;$&quot;#,##0\);&quot;-&quot;"/>
    <numFmt numFmtId="198" formatCode="[Blue]0.0%;[Blue]\-0.0%"/>
    <numFmt numFmtId="199" formatCode="\£#,##0_);\(\£#,##0\)"/>
    <numFmt numFmtId="200" formatCode="&quot;fl&quot;#,##0_);\(&quot;fl&quot;#,##0\)"/>
    <numFmt numFmtId="201" formatCode="&quot;$&quot;\ #,##0_);\(&quot;$&quot;\ #,##0\)"/>
    <numFmt numFmtId="202" formatCode="_(&quot;R$&quot;* #,##0.00_);_(&quot;R$&quot;* \(#,##0.00\);_(&quot;R$&quot;* &quot;-&quot;??_);_(@_)"/>
    <numFmt numFmtId="203" formatCode="0.0\x;[Red]\(0.0\x\)"/>
    <numFmt numFmtId="204" formatCode="#,##0.0_);\(#,##0.0\);&quot;—&quot;_)"/>
    <numFmt numFmtId="205" formatCode="&quot;$&quot;#,##0.0_);\(&quot;$&quot;#,##0.0\);&quot;—&quot;_)"/>
    <numFmt numFmtId="206" formatCode="0.000000000%"/>
    <numFmt numFmtId="207" formatCode="#,##0.0000"/>
    <numFmt numFmtId="208" formatCode="mm/dd/yy"/>
    <numFmt numFmtId="209" formatCode="&quot;$&quot;#,##0.00"/>
    <numFmt numFmtId="210" formatCode="_([$€-2]* #,##0.00_);_([$€-2]* \(#,##0.00\);_([$€-2]* &quot;-&quot;??_)"/>
    <numFmt numFmtId="211" formatCode="#&quot; mon&quot;"/>
    <numFmt numFmtId="212" formatCode="#,##0\ &quot;F&quot;;[Red]\-#,##0\ &quot;F&quot;"/>
    <numFmt numFmtId="213" formatCode="#,##0.00\ &quot;F&quot;;[Red]\-#,##0.00\ &quot;F&quot;"/>
    <numFmt numFmtId="214" formatCode="#,##0.0\x_)_);\(#,##0.0\x\)_);#,##0.0\x_)_);@_%_)"/>
    <numFmt numFmtId="215" formatCode="_(* #,##0.00\ ___);_(* \(#,##0.00\ __\);_(* &quot;-&quot;??_);_(@_)"/>
    <numFmt numFmtId="216" formatCode="0%\);[Red]\(0%"/>
    <numFmt numFmtId="217" formatCode="_(* #,##0\ ___);_(* \(#,##0\ __\);_(* &quot;-&quot;??_);_(@_)"/>
    <numFmt numFmtId="218" formatCode="_(* #,##0\ \x_);_(* \(#,##0\ \x\);_(* &quot;-&quot;??_);_(@_)"/>
    <numFmt numFmtId="219" formatCode="0%_);[Red]\(0%\)"/>
    <numFmt numFmtId="220" formatCode="_(* #,##0.0\ ___);_(* \(#,##0.0\ __\);_(* &quot;-&quot;??_);_(@_)"/>
    <numFmt numFmtId="221" formatCode="_(* #,##0.0\ \x_);_(* \(#,##0.0\ \x\);_(* &quot;-&quot;??_);_(@_)"/>
    <numFmt numFmtId="222" formatCode="#,##0&quot; F&quot;_);\(#,##0&quot; F&quot;\)"/>
    <numFmt numFmtId="223" formatCode="_(* #,##0.00_);_(* \(\ #,##0.00\ \);_(* &quot;&quot;??_);_(\ @_ \)"/>
    <numFmt numFmtId="224" formatCode="0.00_)"/>
    <numFmt numFmtId="225" formatCode="_(* #,##0.0_);_(* \(#,##0.0\);_(* &quot;-&quot;?_);_(@_)"/>
    <numFmt numFmtId="226" formatCode="0.00%\ &quot;Ramped&quot;\ "/>
    <numFmt numFmtId="227" formatCode="0.00%\ &quot;Ramped&quot;"/>
    <numFmt numFmtId="228" formatCode="0.0000"/>
    <numFmt numFmtId="229" formatCode="0.000"/>
    <numFmt numFmtId="230" formatCode="&quot;Diversity =&quot;\ #.0"/>
    <numFmt numFmtId="231" formatCode="&quot;Ratings Factor =&quot;\ #"/>
    <numFmt numFmtId="232" formatCode="&quot;Page &quot;0"/>
    <numFmt numFmtId="233" formatCode="&quot;\&quot;#,##0.00;[Red]\-&quot;\&quot;#,##0.00"/>
    <numFmt numFmtId="234" formatCode="0.0_%"/>
    <numFmt numFmtId="235" formatCode="_(0.0%;_(* \(0.0\)%"/>
    <numFmt numFmtId="236" formatCode="_(* #,##0.0000_);_(* \(#,##0.0000\);_(* &quot;-&quot;??_);_(@_)"/>
    <numFmt numFmtId="237" formatCode="0&quot; bps&quot;"/>
    <numFmt numFmtId="238" formatCode="&quot;WAS =&quot;\ #.00"/>
    <numFmt numFmtId="239" formatCode="&quot;Avg. Px.=&quot;#.00"/>
    <numFmt numFmtId="240" formatCode="&quot;WAL=&quot;#.00"/>
    <numFmt numFmtId="241" formatCode="#.00\ &quot;years&quot;"/>
    <numFmt numFmtId="242" formatCode="&quot;2nd Lien=&quot;#"/>
    <numFmt numFmtId="243" formatCode="&quot;WAPP=&quot;#.00"/>
    <numFmt numFmtId="244" formatCode="&quot;WAS=&quot;#.00"/>
    <numFmt numFmtId="245" formatCode="&quot;WAC=&quot;#.00"/>
    <numFmt numFmtId="246" formatCode="&quot;$&quot;#,##0.0_);\(&quot;$&quot;#,##0.0\)"/>
    <numFmt numFmtId="247" formatCode="#,###,;\(#,###,\)"/>
    <numFmt numFmtId="248" formatCode="000\-00\-0000"/>
    <numFmt numFmtId="249" formatCode="&quot;$&quot;#,##0.0000"/>
    <numFmt numFmtId="250" formatCode="&quot;$&quot;#,##0.000000"/>
    <numFmt numFmtId="251" formatCode="&quot;$&quot;#,##0.000"/>
    <numFmt numFmtId="252" formatCode="000000000"/>
    <numFmt numFmtId="253" formatCode="000"/>
    <numFmt numFmtId="254" formatCode="hh:mm\ AM/PM_)"/>
    <numFmt numFmtId="255" formatCode="#.0&quot;x&quot;"/>
    <numFmt numFmtId="256" formatCode="yyyy"/>
    <numFmt numFmtId="257" formatCode="\¥#,##0_);\(\¥#,##0\)"/>
    <numFmt numFmtId="258" formatCode="#0.0\x"/>
    <numFmt numFmtId="259" formatCode="0.0\x"/>
    <numFmt numFmtId="260" formatCode="0.0"/>
    <numFmt numFmtId="261" formatCode="#,##0.00000_);\(#,##0.00000\)"/>
    <numFmt numFmtId="262" formatCode="#,##0.000_);\(#,##0.000\)"/>
    <numFmt numFmtId="263" formatCode="#,##0.0"/>
    <numFmt numFmtId="264" formatCode="0.0000\x"/>
    <numFmt numFmtId="265" formatCode="_(* #,##0.00000_);_(* \(#,##0.00000\);_(* &quot;-&quot;??_);_(@_)"/>
    <numFmt numFmtId="266" formatCode="0.00\x"/>
  </numFmts>
  <fonts count="134">
    <font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color indexed="12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i/>
      <sz val="9"/>
      <name val="Arial"/>
      <family val="2"/>
    </font>
    <font>
      <b/>
      <u val="singleAccounting"/>
      <sz val="8"/>
      <color indexed="8"/>
      <name val="Arial"/>
      <family val="2"/>
    </font>
    <font>
      <sz val="1"/>
      <color indexed="9"/>
      <name val="Symbol"/>
      <family val="1"/>
    </font>
    <font>
      <b/>
      <u val="singleAccounting"/>
      <sz val="8"/>
      <color indexed="8"/>
      <name val="Verdana"/>
      <family val="2"/>
    </font>
    <font>
      <b/>
      <sz val="10"/>
      <color indexed="9"/>
      <name val="Arial"/>
      <family val="2"/>
    </font>
    <font>
      <b/>
      <sz val="12"/>
      <color indexed="8"/>
      <name val="Verdana"/>
      <family val="2"/>
    </font>
    <font>
      <b/>
      <sz val="8"/>
      <color indexed="9"/>
      <name val="Verdana"/>
      <family val="2"/>
    </font>
    <font>
      <vertAlign val="subscript"/>
      <sz val="8"/>
      <color indexed="8"/>
      <name val="Arial"/>
      <family val="2"/>
    </font>
    <font>
      <vertAlign val="superscript"/>
      <sz val="8"/>
      <color indexed="8"/>
      <name val="Arial"/>
      <family val="2"/>
    </font>
    <font>
      <b/>
      <sz val="8"/>
      <color indexed="8"/>
      <name val="Arial"/>
      <family val="2"/>
    </font>
    <font>
      <i/>
      <sz val="8"/>
      <color indexed="8"/>
      <name val="Arial"/>
      <family val="2"/>
    </font>
    <font>
      <sz val="8"/>
      <color indexed="8"/>
      <name val="Arial"/>
      <family val="2"/>
    </font>
    <font>
      <b/>
      <sz val="13"/>
      <color indexed="8"/>
      <name val="Verdana"/>
      <family val="2"/>
    </font>
    <font>
      <b/>
      <sz val="8"/>
      <name val="Arial"/>
      <family val="2"/>
    </font>
    <font>
      <u val="singleAccounting"/>
      <sz val="10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indexed="12"/>
      <name val="Times New Roman"/>
      <family val="1"/>
    </font>
    <font>
      <i/>
      <sz val="10"/>
      <name val="Times New Roman"/>
      <family val="1"/>
    </font>
    <font>
      <sz val="9"/>
      <name val="Arial"/>
      <family val="2"/>
    </font>
    <font>
      <sz val="8"/>
      <name val="Times New Roman"/>
      <family val="1"/>
    </font>
    <font>
      <b/>
      <sz val="22"/>
      <color indexed="18"/>
      <name val="Arial"/>
      <family val="2"/>
    </font>
    <font>
      <b/>
      <sz val="14"/>
      <color indexed="18"/>
      <name val="Arial"/>
      <family val="2"/>
    </font>
    <font>
      <sz val="9"/>
      <color indexed="8"/>
      <name val="Arial"/>
      <family val="2"/>
    </font>
    <font>
      <b/>
      <sz val="10"/>
      <color indexed="18"/>
      <name val="Arial"/>
      <family val="2"/>
    </font>
    <font>
      <b/>
      <u val="singleAccounting"/>
      <sz val="10"/>
      <color indexed="18"/>
      <name val="Arial"/>
      <family val="2"/>
    </font>
    <font>
      <sz val="8"/>
      <color indexed="8"/>
      <name val="Times New Roman"/>
      <family val="1"/>
    </font>
    <font>
      <sz val="8"/>
      <color indexed="14"/>
      <name val="Times New Roman"/>
      <family val="1"/>
    </font>
    <font>
      <sz val="10"/>
      <name val="Book Antiqua"/>
      <family val="1"/>
    </font>
    <font>
      <sz val="8"/>
      <name val="Times"/>
      <family val="1"/>
    </font>
    <font>
      <b/>
      <sz val="12"/>
      <name val="Times"/>
      <family val="1"/>
    </font>
    <font>
      <sz val="12"/>
      <name val="Arial"/>
      <family val="2"/>
    </font>
    <font>
      <sz val="10"/>
      <color indexed="8"/>
      <name val="Times New Roman"/>
      <family val="1"/>
    </font>
    <font>
      <sz val="8"/>
      <color indexed="12"/>
      <name val="Times"/>
      <family val="1"/>
    </font>
    <font>
      <sz val="8"/>
      <name val="Helv"/>
    </font>
    <font>
      <sz val="12"/>
      <name val="Times"/>
      <family val="1"/>
    </font>
    <font>
      <b/>
      <i/>
      <sz val="10"/>
      <name val="Arial"/>
      <family val="2"/>
    </font>
    <font>
      <b/>
      <i/>
      <sz val="12"/>
      <name val="Times New Roman"/>
      <family val="1"/>
    </font>
    <font>
      <b/>
      <u/>
      <sz val="8"/>
      <color indexed="8"/>
      <name val="Times New Roman"/>
      <family val="1"/>
    </font>
    <font>
      <b/>
      <sz val="9"/>
      <color indexed="8"/>
      <name val="Times New Roman"/>
      <family val="1"/>
    </font>
    <font>
      <i/>
      <sz val="8"/>
      <name val="Arial"/>
      <family val="2"/>
    </font>
    <font>
      <b/>
      <i/>
      <sz val="8"/>
      <name val="Arial"/>
      <family val="2"/>
    </font>
    <font>
      <b/>
      <sz val="8"/>
      <name val="Book Antiqua"/>
      <family val="1"/>
    </font>
    <font>
      <sz val="14"/>
      <name val="Arial"/>
      <family val="2"/>
    </font>
    <font>
      <sz val="8"/>
      <color indexed="12"/>
      <name val="Times New Roman"/>
      <family val="1"/>
    </font>
    <font>
      <b/>
      <sz val="14"/>
      <name val="Book Antiqua"/>
      <family val="1"/>
    </font>
    <font>
      <sz val="10"/>
      <name val="MS Serif"/>
      <family val="1"/>
    </font>
    <font>
      <sz val="10"/>
      <name val="MS Sans Serif"/>
      <family val="2"/>
    </font>
    <font>
      <sz val="12"/>
      <name val="Times New Roman"/>
      <family val="1"/>
    </font>
    <font>
      <u val="doubleAccounting"/>
      <sz val="10"/>
      <name val="Arial"/>
      <family val="2"/>
    </font>
    <font>
      <sz val="10"/>
      <color indexed="16"/>
      <name val="MS Serif"/>
      <family val="1"/>
    </font>
    <font>
      <b/>
      <i/>
      <sz val="9"/>
      <color indexed="4"/>
      <name val="Times New Roman"/>
      <family val="1"/>
    </font>
    <font>
      <sz val="7"/>
      <name val="Arial"/>
      <family val="2"/>
    </font>
    <font>
      <b/>
      <sz val="14"/>
      <name val="Arial"/>
      <family val="2"/>
    </font>
    <font>
      <u/>
      <sz val="8"/>
      <name val="Times New Roman"/>
      <family val="1"/>
    </font>
    <font>
      <b/>
      <sz val="12"/>
      <color indexed="9"/>
      <name val="Times"/>
      <family val="1"/>
    </font>
    <font>
      <b/>
      <i/>
      <sz val="18"/>
      <color indexed="4"/>
      <name val="Times New Roman"/>
      <family val="1"/>
    </font>
    <font>
      <b/>
      <sz val="12"/>
      <name val="Arial"/>
      <family val="2"/>
    </font>
    <font>
      <b/>
      <sz val="8"/>
      <name val="Palatino"/>
      <family val="1"/>
    </font>
    <font>
      <b/>
      <sz val="9"/>
      <name val="Arial"/>
      <family val="2"/>
    </font>
    <font>
      <b/>
      <sz val="8"/>
      <name val="MS Sans Serif"/>
      <family val="2"/>
    </font>
    <font>
      <b/>
      <i/>
      <sz val="10"/>
      <name val="Times New Roman"/>
      <family val="1"/>
    </font>
    <font>
      <b/>
      <sz val="10"/>
      <name val="Palatino"/>
      <family val="1"/>
    </font>
    <font>
      <sz val="8"/>
      <name val="Book Antiqua"/>
      <family val="1"/>
    </font>
    <font>
      <sz val="10"/>
      <name val="Geneva"/>
      <family val="2"/>
    </font>
    <font>
      <i/>
      <sz val="7"/>
      <name val="Book Antiqua"/>
      <family val="1"/>
    </font>
    <font>
      <sz val="8"/>
      <name val="Palatino"/>
      <family val="1"/>
    </font>
    <font>
      <b/>
      <i/>
      <sz val="16"/>
      <name val="Helv"/>
    </font>
    <font>
      <sz val="10"/>
      <color indexed="12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b/>
      <u/>
      <sz val="10"/>
      <color indexed="12"/>
      <name val="Times New Roman"/>
      <family val="1"/>
    </font>
    <font>
      <b/>
      <sz val="12"/>
      <name val="Times New Roman"/>
      <family val="1"/>
    </font>
    <font>
      <b/>
      <sz val="15"/>
      <name val="Times New Roman"/>
      <family val="1"/>
    </font>
    <font>
      <sz val="8"/>
      <color indexed="72"/>
      <name val="Arial"/>
      <family val="2"/>
    </font>
    <font>
      <sz val="11"/>
      <color indexed="8"/>
      <name val="Times New Roman"/>
      <family val="1"/>
    </font>
    <font>
      <b/>
      <i/>
      <sz val="11"/>
      <color indexed="8"/>
      <name val="Times New Roman"/>
      <family val="1"/>
    </font>
    <font>
      <b/>
      <sz val="11"/>
      <color indexed="16"/>
      <name val="Times New Roman"/>
      <family val="1"/>
    </font>
    <font>
      <u/>
      <sz val="8"/>
      <name val="Book Antiqua"/>
      <family val="1"/>
    </font>
    <font>
      <sz val="9"/>
      <name val="Times New Roman"/>
      <family val="1"/>
    </font>
    <font>
      <b/>
      <sz val="9"/>
      <name val="Times New Roman"/>
      <family val="1"/>
    </font>
    <font>
      <sz val="12"/>
      <name val="Arial MT"/>
    </font>
    <font>
      <b/>
      <sz val="10"/>
      <color indexed="8"/>
      <name val="Arial Narrow"/>
      <family val="2"/>
    </font>
    <font>
      <b/>
      <sz val="10"/>
      <name val="MS Sans Serif"/>
      <family val="2"/>
    </font>
    <font>
      <sz val="7"/>
      <color indexed="12"/>
      <name val="Arial"/>
      <family val="2"/>
    </font>
    <font>
      <sz val="8"/>
      <name val="Wingdings"/>
      <charset val="2"/>
    </font>
    <font>
      <sz val="9"/>
      <color indexed="8"/>
      <name val="Times New Roman"/>
      <family val="1"/>
    </font>
    <font>
      <sz val="8"/>
      <name val="MS Sans Serif"/>
      <family val="2"/>
    </font>
    <font>
      <b/>
      <sz val="8"/>
      <color indexed="10"/>
      <name val="Times New Roman"/>
      <family val="1"/>
    </font>
    <font>
      <b/>
      <sz val="8"/>
      <color indexed="8"/>
      <name val="Helv"/>
    </font>
    <font>
      <b/>
      <sz val="14"/>
      <color indexed="8"/>
      <name val="Times New Roman"/>
      <family val="1"/>
    </font>
    <font>
      <b/>
      <u/>
      <sz val="14"/>
      <name val="Book Antiqua"/>
      <family val="1"/>
    </font>
    <font>
      <b/>
      <sz val="10"/>
      <name val="Book Antiqua"/>
      <family val="1"/>
    </font>
    <font>
      <b/>
      <sz val="7"/>
      <name val="Arial"/>
      <family val="2"/>
    </font>
    <font>
      <b/>
      <sz val="7"/>
      <color indexed="12"/>
      <name val="Arial"/>
      <family val="2"/>
    </font>
    <font>
      <b/>
      <u/>
      <sz val="10"/>
      <name val="Book Antiqua"/>
      <family val="1"/>
    </font>
    <font>
      <b/>
      <sz val="8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indexed="9"/>
      <name val="Calibri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0"/>
      <name val="Calibri"/>
      <family val="2"/>
      <scheme val="minor"/>
    </font>
    <font>
      <b/>
      <sz val="10"/>
      <color indexed="9"/>
      <name val="Calibri"/>
      <family val="2"/>
      <scheme val="minor"/>
    </font>
    <font>
      <b/>
      <sz val="10"/>
      <color indexed="12"/>
      <name val="Calibri"/>
      <family val="2"/>
      <scheme val="minor"/>
    </font>
    <font>
      <sz val="10"/>
      <color indexed="12"/>
      <name val="Calibri"/>
      <family val="2"/>
      <scheme val="minor"/>
    </font>
    <font>
      <b/>
      <sz val="10"/>
      <name val="Calibri"/>
      <family val="2"/>
      <scheme val="minor"/>
    </font>
    <font>
      <b/>
      <u/>
      <sz val="16"/>
      <name val="Calibri"/>
      <family val="2"/>
      <scheme val="minor"/>
    </font>
    <font>
      <i/>
      <sz val="10"/>
      <name val="Calibri"/>
      <family val="2"/>
      <scheme val="minor"/>
    </font>
    <font>
      <i/>
      <sz val="10"/>
      <color indexed="8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indexed="8"/>
      <name val="Calibri"/>
      <family val="2"/>
      <scheme val="minor"/>
    </font>
    <font>
      <i/>
      <sz val="10"/>
      <color rgb="FF0000FF"/>
      <name val="Calibri"/>
      <family val="2"/>
      <scheme val="minor"/>
    </font>
    <font>
      <sz val="10"/>
      <color rgb="FF0000FF"/>
      <name val="Calibri"/>
      <family val="2"/>
      <scheme val="minor"/>
    </font>
    <font>
      <b/>
      <sz val="10"/>
      <color rgb="FF0000FF"/>
      <name val="Calibri"/>
      <family val="2"/>
      <scheme val="minor"/>
    </font>
    <font>
      <i/>
      <sz val="8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i/>
      <sz val="10"/>
      <color rgb="FFFF0000"/>
      <name val="Calibri"/>
      <family val="2"/>
      <scheme val="minor"/>
    </font>
    <font>
      <b/>
      <u/>
      <sz val="1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8"/>
      <color rgb="FF0000FF"/>
      <name val="Calibri"/>
      <family val="2"/>
      <scheme val="minor"/>
    </font>
    <font>
      <b/>
      <sz val="8"/>
      <color rgb="FFFF0000"/>
      <name val="Calibri"/>
      <family val="2"/>
      <scheme val="minor"/>
    </font>
    <font>
      <b/>
      <i/>
      <sz val="8"/>
      <color rgb="FFFF0000"/>
      <name val="Calibri"/>
      <family val="2"/>
      <scheme val="minor"/>
    </font>
    <font>
      <i/>
      <sz val="8"/>
      <name val="Calibri"/>
      <family val="2"/>
      <scheme val="minor"/>
    </font>
    <font>
      <sz val="8"/>
      <color rgb="FFFF000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lightGray">
        <fgColor indexed="15"/>
      </patternFill>
    </fill>
    <fill>
      <patternFill patternType="solid">
        <fgColor indexed="6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0"/>
        <bgColor indexed="64"/>
      </patternFill>
    </fill>
    <fill>
      <patternFill patternType="mediumGray">
        <fgColor indexed="22"/>
      </patternFill>
    </fill>
    <fill>
      <patternFill patternType="darkVertical"/>
    </fill>
    <fill>
      <patternFill patternType="solid">
        <fgColor indexed="56"/>
        <bgColor indexed="64"/>
      </patternFill>
    </fill>
    <fill>
      <patternFill patternType="solid">
        <fgColor indexed="15"/>
        <bgColor indexed="64"/>
      </patternFill>
    </fill>
    <fill>
      <patternFill patternType="lightGray">
        <fgColor indexed="13"/>
      </patternFill>
    </fill>
    <fill>
      <patternFill patternType="solid">
        <fgColor rgb="FF4F81BD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52">
    <border>
      <left/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/>
      <top/>
      <bottom style="medium">
        <color indexed="18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8"/>
      </top>
      <bottom/>
      <diagonal/>
    </border>
    <border>
      <left/>
      <right/>
      <top/>
      <bottom style="thin">
        <color indexed="8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indexed="45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45"/>
      </bottom>
      <diagonal/>
    </border>
    <border>
      <left/>
      <right/>
      <top style="medium">
        <color indexed="45"/>
      </top>
      <bottom/>
      <diagonal/>
    </border>
    <border>
      <left/>
      <right/>
      <top/>
      <bottom style="double">
        <color indexed="45"/>
      </bottom>
      <diagonal/>
    </border>
    <border>
      <left style="thick">
        <color indexed="9"/>
      </left>
      <right style="thick">
        <color indexed="9"/>
      </right>
      <top/>
      <bottom style="double">
        <color indexed="64"/>
      </bottom>
      <diagonal/>
    </border>
    <border>
      <left style="thick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9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904">
    <xf numFmtId="0" fontId="0" fillId="0" borderId="0"/>
    <xf numFmtId="174" fontId="26" fillId="0" borderId="0"/>
    <xf numFmtId="0" fontId="27" fillId="0" borderId="0">
      <alignment horizontal="right"/>
    </xf>
    <xf numFmtId="0" fontId="6" fillId="0" borderId="0"/>
    <xf numFmtId="175" fontId="22" fillId="0" borderId="0" applyFont="0" applyFill="0" applyBorder="0" applyAlignment="0"/>
    <xf numFmtId="176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0" fontId="6" fillId="0" borderId="0">
      <alignment horizontal="left" wrapText="1"/>
    </xf>
    <xf numFmtId="0" fontId="6" fillId="0" borderId="0">
      <alignment horizontal="left" wrapText="1"/>
    </xf>
    <xf numFmtId="0" fontId="6" fillId="0" borderId="0">
      <alignment horizontal="left" wrapText="1"/>
    </xf>
    <xf numFmtId="0" fontId="6" fillId="0" borderId="0">
      <alignment horizontal="left" wrapText="1"/>
    </xf>
    <xf numFmtId="0" fontId="6" fillId="0" borderId="0">
      <alignment horizontal="left" wrapText="1"/>
    </xf>
    <xf numFmtId="0" fontId="6" fillId="0" borderId="0">
      <alignment horizontal="left" wrapText="1"/>
    </xf>
    <xf numFmtId="0" fontId="6" fillId="0" borderId="0">
      <alignment horizontal="left" wrapText="1"/>
    </xf>
    <xf numFmtId="0" fontId="6" fillId="0" borderId="0">
      <alignment horizontal="left" wrapText="1"/>
    </xf>
    <xf numFmtId="0" fontId="6" fillId="0" borderId="0">
      <alignment horizontal="left" wrapText="1"/>
    </xf>
    <xf numFmtId="0" fontId="6" fillId="0" borderId="0">
      <alignment horizontal="left" wrapText="1"/>
    </xf>
    <xf numFmtId="0" fontId="6" fillId="0" borderId="0">
      <alignment horizontal="left" wrapText="1"/>
    </xf>
    <xf numFmtId="0" fontId="6" fillId="0" borderId="0">
      <alignment horizontal="left" wrapText="1"/>
    </xf>
    <xf numFmtId="0" fontId="6" fillId="0" borderId="0">
      <alignment horizontal="left" wrapText="1"/>
    </xf>
    <xf numFmtId="0" fontId="6" fillId="0" borderId="0">
      <alignment horizontal="left" wrapText="1"/>
    </xf>
    <xf numFmtId="0" fontId="6" fillId="0" borderId="0">
      <alignment horizontal="left" wrapText="1"/>
    </xf>
    <xf numFmtId="0" fontId="6" fillId="0" borderId="0">
      <alignment horizontal="left" wrapText="1"/>
    </xf>
    <xf numFmtId="0" fontId="6" fillId="0" borderId="0">
      <alignment horizontal="left" wrapText="1"/>
    </xf>
    <xf numFmtId="0" fontId="6" fillId="0" borderId="0">
      <alignment horizontal="left" wrapText="1"/>
    </xf>
    <xf numFmtId="0" fontId="6" fillId="0" borderId="0">
      <alignment horizontal="left" wrapText="1"/>
    </xf>
    <xf numFmtId="0" fontId="6" fillId="0" borderId="0">
      <alignment horizontal="left" wrapText="1"/>
    </xf>
    <xf numFmtId="0" fontId="6" fillId="0" borderId="0">
      <alignment horizontal="left" wrapText="1"/>
    </xf>
    <xf numFmtId="0" fontId="6" fillId="0" borderId="0">
      <alignment horizontal="left" wrapText="1"/>
    </xf>
    <xf numFmtId="0" fontId="6" fillId="0" borderId="0">
      <alignment horizontal="left" wrapText="1"/>
    </xf>
    <xf numFmtId="0" fontId="6" fillId="0" borderId="0">
      <alignment horizontal="left" wrapText="1"/>
    </xf>
    <xf numFmtId="0" fontId="6" fillId="0" borderId="0">
      <alignment horizontal="left" wrapText="1"/>
    </xf>
    <xf numFmtId="0" fontId="6" fillId="0" borderId="0">
      <alignment horizontal="left" wrapText="1"/>
    </xf>
    <xf numFmtId="0" fontId="6" fillId="0" borderId="0">
      <alignment horizontal="left" wrapText="1"/>
    </xf>
    <xf numFmtId="0" fontId="6" fillId="0" borderId="0">
      <alignment horizontal="left" wrapText="1"/>
    </xf>
    <xf numFmtId="0" fontId="6" fillId="0" borderId="0">
      <alignment horizontal="left" wrapText="1"/>
    </xf>
    <xf numFmtId="0" fontId="6" fillId="0" borderId="0" applyNumberFormat="0" applyFill="0" applyBorder="0" applyAlignment="0" applyProtection="0">
      <alignment horizontal="left" wrapText="1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6" fillId="0" borderId="0" applyNumberFormat="0" applyFill="0" applyBorder="0" applyAlignment="0" applyProtection="0">
      <alignment horizontal="left" wrapText="1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6" fillId="0" borderId="0">
      <alignment horizontal="left" wrapText="1"/>
    </xf>
    <xf numFmtId="0" fontId="6" fillId="0" borderId="0">
      <alignment horizontal="left" wrapText="1"/>
    </xf>
    <xf numFmtId="0" fontId="6" fillId="0" borderId="0">
      <alignment horizontal="left" wrapText="1"/>
    </xf>
    <xf numFmtId="0" fontId="6" fillId="0" borderId="0">
      <alignment horizontal="left" wrapText="1"/>
    </xf>
    <xf numFmtId="0" fontId="6" fillId="0" borderId="0">
      <alignment horizontal="left" wrapText="1"/>
    </xf>
    <xf numFmtId="0" fontId="6" fillId="0" borderId="0">
      <alignment horizontal="left" wrapText="1"/>
    </xf>
    <xf numFmtId="0" fontId="6" fillId="0" borderId="0">
      <alignment horizontal="left" wrapText="1"/>
    </xf>
    <xf numFmtId="0" fontId="6" fillId="0" borderId="0">
      <alignment horizontal="left" wrapText="1"/>
    </xf>
    <xf numFmtId="0" fontId="6" fillId="0" borderId="0">
      <alignment horizontal="left" wrapText="1"/>
    </xf>
    <xf numFmtId="0" fontId="6" fillId="0" borderId="0">
      <alignment vertical="top"/>
    </xf>
    <xf numFmtId="0" fontId="6" fillId="0" borderId="0" applyNumberFormat="0" applyFill="0" applyBorder="0" applyAlignment="0" applyProtection="0">
      <alignment horizontal="left" wrapText="1"/>
    </xf>
    <xf numFmtId="0" fontId="6" fillId="0" borderId="0">
      <alignment vertical="top"/>
    </xf>
    <xf numFmtId="178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80" fontId="6" fillId="0" borderId="0" applyFont="0" applyFill="0" applyBorder="0" applyAlignment="0" applyProtection="0"/>
    <xf numFmtId="181" fontId="6" fillId="0" borderId="0" applyFont="0" applyFill="0" applyBorder="0" applyAlignment="0" applyProtection="0"/>
    <xf numFmtId="39" fontId="6" fillId="0" borderId="0" applyFont="0" applyFill="0" applyBorder="0" applyAlignment="0" applyProtection="0"/>
    <xf numFmtId="182" fontId="6" fillId="0" borderId="0" applyFont="0" applyFill="0" applyBorder="0" applyAlignment="0" applyProtection="0"/>
    <xf numFmtId="0" fontId="6" fillId="0" borderId="0">
      <alignment horizontal="left" wrapText="1"/>
    </xf>
    <xf numFmtId="0" fontId="6" fillId="0" borderId="0">
      <alignment horizontal="left" wrapText="1"/>
    </xf>
    <xf numFmtId="0" fontId="6" fillId="0" borderId="0">
      <alignment horizontal="left" wrapText="1"/>
    </xf>
    <xf numFmtId="0" fontId="6" fillId="0" borderId="0">
      <alignment horizontal="left" wrapText="1"/>
    </xf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6" fillId="2" borderId="0" applyNumberFormat="0" applyFont="0" applyAlignment="0" applyProtection="0"/>
    <xf numFmtId="0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4" fontId="6" fillId="0" borderId="0" applyFont="0" applyFill="0" applyBorder="0" applyAlignment="0" applyProtection="0"/>
    <xf numFmtId="185" fontId="6" fillId="0" borderId="0" applyFont="0" applyFill="0" applyBorder="0" applyProtection="0">
      <alignment horizontal="right"/>
    </xf>
    <xf numFmtId="186" fontId="6" fillId="0" borderId="0" applyFont="0" applyFill="0" applyBorder="0" applyAlignment="0" applyProtection="0"/>
    <xf numFmtId="0" fontId="6" fillId="0" borderId="0">
      <alignment horizontal="left" wrapText="1"/>
    </xf>
    <xf numFmtId="0" fontId="6" fillId="0" borderId="0">
      <alignment horizontal="left" wrapText="1"/>
    </xf>
    <xf numFmtId="187" fontId="6" fillId="0" borderId="0" applyFont="0" applyFill="0" applyBorder="0" applyAlignment="0" applyProtection="0"/>
    <xf numFmtId="188" fontId="6" fillId="0" borderId="0" applyFont="0" applyFill="0" applyBorder="0" applyAlignment="0" applyProtection="0"/>
    <xf numFmtId="0" fontId="6" fillId="0" borderId="0">
      <alignment horizontal="left" wrapText="1"/>
    </xf>
    <xf numFmtId="0" fontId="6" fillId="0" borderId="0">
      <alignment horizontal="left" wrapText="1"/>
    </xf>
    <xf numFmtId="0" fontId="6" fillId="0" borderId="0">
      <alignment horizontal="left" wrapText="1"/>
    </xf>
    <xf numFmtId="0" fontId="6" fillId="0" borderId="0">
      <alignment horizontal="left" wrapText="1"/>
    </xf>
    <xf numFmtId="0" fontId="6" fillId="0" borderId="0">
      <alignment horizontal="left" wrapText="1"/>
    </xf>
    <xf numFmtId="0" fontId="6" fillId="0" borderId="0">
      <alignment horizontal="left" wrapText="1"/>
    </xf>
    <xf numFmtId="0" fontId="6" fillId="0" borderId="0">
      <alignment horizontal="left" wrapText="1"/>
    </xf>
    <xf numFmtId="0" fontId="6" fillId="0" borderId="0">
      <alignment horizontal="left" wrapText="1"/>
    </xf>
    <xf numFmtId="0" fontId="6" fillId="0" borderId="0" applyFont="0" applyFill="0" applyBorder="0" applyAlignment="0" applyProtection="0"/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6" fillId="0" borderId="0">
      <alignment horizontal="left" wrapText="1"/>
    </xf>
    <xf numFmtId="0" fontId="6" fillId="0" borderId="0">
      <alignment horizontal="left" wrapText="1"/>
    </xf>
    <xf numFmtId="0" fontId="6" fillId="0" borderId="0">
      <alignment horizontal="left" wrapText="1"/>
    </xf>
    <xf numFmtId="0" fontId="6" fillId="0" borderId="0">
      <alignment horizontal="left" wrapText="1"/>
    </xf>
    <xf numFmtId="0" fontId="29" fillId="0" borderId="0" applyNumberFormat="0" applyFill="0" applyBorder="0" applyProtection="0">
      <alignment vertical="top"/>
    </xf>
    <xf numFmtId="0" fontId="29" fillId="0" borderId="0" applyNumberFormat="0" applyFill="0" applyBorder="0" applyProtection="0">
      <alignment vertical="top"/>
    </xf>
    <xf numFmtId="0" fontId="30" fillId="0" borderId="1" applyNumberFormat="0" applyFill="0" applyAlignment="0" applyProtection="0"/>
    <xf numFmtId="0" fontId="31" fillId="0" borderId="2" applyNumberFormat="0" applyFill="0" applyProtection="0">
      <alignment horizontal="center"/>
    </xf>
    <xf numFmtId="0" fontId="31" fillId="0" borderId="0" applyNumberFormat="0" applyFill="0" applyBorder="0" applyProtection="0">
      <alignment horizontal="left"/>
    </xf>
    <xf numFmtId="0" fontId="32" fillId="0" borderId="0" applyNumberFormat="0" applyFill="0" applyBorder="0" applyProtection="0">
      <alignment horizontal="centerContinuous"/>
    </xf>
    <xf numFmtId="189" fontId="33" fillId="0" borderId="0" applyFont="0" applyFill="0" applyBorder="0" applyAlignment="0" applyProtection="0"/>
    <xf numFmtId="190" fontId="33" fillId="0" borderId="0" applyFont="0" applyFill="0" applyBorder="0" applyAlignment="0" applyProtection="0"/>
    <xf numFmtId="191" fontId="33" fillId="0" borderId="0" applyFont="0" applyFill="0" applyBorder="0" applyAlignment="0" applyProtection="0"/>
    <xf numFmtId="192" fontId="33" fillId="0" borderId="0" applyFont="0" applyFill="0" applyBorder="0" applyAlignment="0" applyProtection="0"/>
    <xf numFmtId="193" fontId="33" fillId="0" borderId="0" applyFont="0" applyFill="0" applyBorder="0" applyAlignment="0" applyProtection="0"/>
    <xf numFmtId="194" fontId="34" fillId="0" borderId="0" applyFont="0" applyFill="0" applyBorder="0" applyAlignment="0" applyProtection="0"/>
    <xf numFmtId="42" fontId="6" fillId="0" borderId="0" applyFont="0" applyFill="0" applyBorder="0" applyAlignment="0" applyProtection="0"/>
    <xf numFmtId="0" fontId="35" fillId="0" borderId="0" applyNumberFormat="0" applyFont="0" applyFill="0" applyBorder="0" applyProtection="0">
      <alignment horizontal="centerContinuous"/>
    </xf>
    <xf numFmtId="0" fontId="3" fillId="0" borderId="0" applyNumberFormat="0" applyFill="0" applyBorder="0" applyAlignment="0">
      <protection locked="0"/>
    </xf>
    <xf numFmtId="0" fontId="36" fillId="0" borderId="0"/>
    <xf numFmtId="0" fontId="37" fillId="0" borderId="0"/>
    <xf numFmtId="0" fontId="27" fillId="0" borderId="0">
      <alignment horizontal="center" wrapText="1"/>
      <protection locked="0"/>
    </xf>
    <xf numFmtId="0" fontId="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2" fillId="3" borderId="0" applyNumberFormat="0" applyBorder="0" applyAlignment="0">
      <protection locked="0"/>
    </xf>
    <xf numFmtId="195" fontId="22" fillId="0" borderId="0" applyFont="0" applyFill="0" applyBorder="0" applyAlignment="0" applyProtection="0"/>
    <xf numFmtId="196" fontId="39" fillId="0" borderId="0" applyFont="0" applyFill="0" applyBorder="0" applyAlignment="0" applyProtection="0"/>
    <xf numFmtId="197" fontId="22" fillId="0" borderId="0" applyFont="0" applyFill="0" applyBorder="0" applyAlignment="0" applyProtection="0"/>
    <xf numFmtId="0" fontId="106" fillId="25" borderId="0"/>
    <xf numFmtId="0" fontId="40" fillId="0" borderId="0" applyNumberFormat="0" applyFill="0" applyBorder="0" applyAlignment="0" applyProtection="0"/>
    <xf numFmtId="198" fontId="41" fillId="0" borderId="0"/>
    <xf numFmtId="0" fontId="42" fillId="0" borderId="0" applyNumberFormat="0" applyFill="0" applyBorder="0" applyAlignment="0" applyProtection="0"/>
    <xf numFmtId="0" fontId="5" fillId="0" borderId="0"/>
    <xf numFmtId="0" fontId="43" fillId="0" borderId="0"/>
    <xf numFmtId="0" fontId="35" fillId="0" borderId="3" applyNumberFormat="0" applyFont="0" applyFill="0" applyAlignment="0" applyProtection="0"/>
    <xf numFmtId="0" fontId="44" fillId="0" borderId="4" applyFill="0" applyProtection="0">
      <alignment horizontal="right"/>
    </xf>
    <xf numFmtId="199" fontId="21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45" fillId="0" borderId="0"/>
    <xf numFmtId="0" fontId="26" fillId="0" borderId="0" applyFill="0" applyBorder="0" applyAlignment="0"/>
    <xf numFmtId="0" fontId="26" fillId="0" borderId="0" applyFill="0" applyBorder="0" applyAlignment="0"/>
    <xf numFmtId="200" fontId="26" fillId="0" borderId="0" applyFill="0" applyBorder="0" applyAlignment="0"/>
    <xf numFmtId="201" fontId="26" fillId="0" borderId="0" applyFill="0" applyBorder="0" applyAlignment="0"/>
    <xf numFmtId="202" fontId="6" fillId="0" borderId="0" applyFill="0" applyBorder="0" applyAlignment="0"/>
    <xf numFmtId="0" fontId="26" fillId="0" borderId="0" applyFill="0" applyBorder="0" applyAlignment="0"/>
    <xf numFmtId="0" fontId="26" fillId="0" borderId="0" applyFill="0" applyBorder="0" applyAlignment="0"/>
    <xf numFmtId="0" fontId="26" fillId="0" borderId="0" applyFill="0" applyBorder="0" applyAlignment="0"/>
    <xf numFmtId="39" fontId="27" fillId="4" borderId="0" applyNumberFormat="0" applyFont="0" applyBorder="0" applyAlignment="0"/>
    <xf numFmtId="0" fontId="46" fillId="0" borderId="0"/>
    <xf numFmtId="0" fontId="35" fillId="0" borderId="0" applyNumberFormat="0" applyFont="0" applyFill="0" applyBorder="0" applyProtection="0">
      <alignment horizontal="center"/>
    </xf>
    <xf numFmtId="49" fontId="20" fillId="0" borderId="0" applyFill="0" applyBorder="0" applyProtection="0">
      <alignment horizontal="center"/>
    </xf>
    <xf numFmtId="49" fontId="47" fillId="0" borderId="0" applyFill="0" applyBorder="0" applyProtection="0">
      <alignment horizontal="center"/>
    </xf>
    <xf numFmtId="8" fontId="6" fillId="0" borderId="5" applyFont="0" applyFill="0" applyBorder="0" applyProtection="0">
      <alignment horizontal="right"/>
    </xf>
    <xf numFmtId="0" fontId="4" fillId="0" borderId="0"/>
    <xf numFmtId="0" fontId="2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49" fillId="0" borderId="3" applyNumberFormat="0" applyFill="0" applyBorder="0" applyAlignment="0" applyProtection="0">
      <alignment horizontal="center"/>
    </xf>
    <xf numFmtId="0" fontId="8" fillId="5" borderId="0"/>
    <xf numFmtId="43" fontId="1" fillId="0" borderId="0" applyFont="0" applyFill="0" applyBorder="0" applyAlignment="0" applyProtection="0"/>
    <xf numFmtId="203" fontId="6" fillId="0" borderId="0"/>
    <xf numFmtId="203" fontId="6" fillId="0" borderId="0"/>
    <xf numFmtId="203" fontId="6" fillId="0" borderId="0"/>
    <xf numFmtId="203" fontId="6" fillId="0" borderId="0"/>
    <xf numFmtId="203" fontId="6" fillId="0" borderId="0"/>
    <xf numFmtId="203" fontId="6" fillId="0" borderId="0"/>
    <xf numFmtId="203" fontId="6" fillId="0" borderId="0"/>
    <xf numFmtId="203" fontId="6" fillId="0" borderId="0"/>
    <xf numFmtId="204" fontId="50" fillId="0" borderId="0"/>
    <xf numFmtId="0" fontId="26" fillId="0" borderId="0" applyFont="0" applyFill="0" applyBorder="0" applyAlignment="0" applyProtection="0"/>
    <xf numFmtId="171" fontId="51" fillId="0" borderId="0" applyFont="0" applyFill="0" applyBorder="0" applyAlignment="0" applyProtection="0"/>
    <xf numFmtId="43" fontId="6" fillId="0" borderId="0" applyFont="0" applyFill="0" applyBorder="0" applyAlignment="0" applyProtection="0"/>
    <xf numFmtId="40" fontId="6" fillId="0" borderId="0" applyFont="0" applyFill="0" applyBorder="0" applyProtection="0">
      <alignment horizontal="right"/>
    </xf>
    <xf numFmtId="3" fontId="6" fillId="0" borderId="0" applyFill="0" applyBorder="0" applyAlignment="0" applyProtection="0"/>
    <xf numFmtId="3" fontId="2" fillId="0" borderId="0" applyFont="0" applyFill="0" applyBorder="0" applyAlignment="0" applyProtection="0"/>
    <xf numFmtId="3" fontId="20" fillId="0" borderId="0" applyFill="0" applyBorder="0" applyAlignment="0" applyProtection="0"/>
    <xf numFmtId="38" fontId="52" fillId="0" borderId="0" applyNumberFormat="0" applyFill="0" applyBorder="0">
      <alignment vertical="center"/>
    </xf>
    <xf numFmtId="0" fontId="53" fillId="0" borderId="0" applyNumberFormat="0" applyAlignment="0">
      <alignment horizontal="left"/>
    </xf>
    <xf numFmtId="7" fontId="6" fillId="0" borderId="0" applyFont="0" applyFill="0" applyBorder="0" applyAlignment="0" applyProtection="0"/>
    <xf numFmtId="205" fontId="50" fillId="0" borderId="0"/>
    <xf numFmtId="0" fontId="26" fillId="0" borderId="0" applyFont="0" applyFill="0" applyBorder="0" applyAlignment="0" applyProtection="0"/>
    <xf numFmtId="206" fontId="22" fillId="0" borderId="0" applyFont="0" applyFill="0" applyBorder="0" applyAlignment="0" applyProtection="0"/>
    <xf numFmtId="8" fontId="35" fillId="0" borderId="0" applyBorder="0"/>
    <xf numFmtId="207" fontId="6" fillId="0" borderId="0" applyNumberFormat="0">
      <alignment horizontal="right"/>
    </xf>
    <xf numFmtId="15" fontId="6" fillId="0" borderId="0" applyFont="0" applyFill="0" applyBorder="0" applyProtection="0">
      <alignment horizontal="right"/>
    </xf>
    <xf numFmtId="14" fontId="4" fillId="0" borderId="0" applyFill="0" applyBorder="0" applyAlignment="0"/>
    <xf numFmtId="15" fontId="6" fillId="0" borderId="0" applyFont="0" applyFill="0" applyBorder="0" applyProtection="0">
      <alignment horizontal="right"/>
    </xf>
    <xf numFmtId="208" fontId="20" fillId="0" borderId="0" applyFill="0" applyBorder="0" applyProtection="0">
      <alignment horizontal="left"/>
    </xf>
    <xf numFmtId="0" fontId="6" fillId="0" borderId="0">
      <alignment horizontal="left"/>
    </xf>
    <xf numFmtId="38" fontId="54" fillId="0" borderId="6">
      <alignment vertical="center"/>
    </xf>
    <xf numFmtId="209" fontId="34" fillId="0" borderId="0" applyFont="0" applyFill="0" applyBorder="0" applyAlignment="0" applyProtection="0"/>
    <xf numFmtId="4" fontId="55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5" fillId="0" borderId="7" applyNumberFormat="0" applyFont="0" applyFill="0" applyAlignment="0" applyProtection="0"/>
    <xf numFmtId="42" fontId="56" fillId="0" borderId="0" applyFill="0" applyBorder="0" applyAlignment="0" applyProtection="0"/>
    <xf numFmtId="0" fontId="26" fillId="0" borderId="0" applyFill="0" applyBorder="0" applyAlignment="0"/>
    <xf numFmtId="0" fontId="26" fillId="0" borderId="0" applyFill="0" applyBorder="0" applyAlignment="0"/>
    <xf numFmtId="0" fontId="26" fillId="0" borderId="0" applyFill="0" applyBorder="0" applyAlignment="0"/>
    <xf numFmtId="0" fontId="26" fillId="0" borderId="0" applyFill="0" applyBorder="0" applyAlignment="0"/>
    <xf numFmtId="0" fontId="26" fillId="0" borderId="0" applyFill="0" applyBorder="0" applyAlignment="0"/>
    <xf numFmtId="0" fontId="57" fillId="0" borderId="0" applyNumberFormat="0" applyAlignment="0">
      <alignment horizontal="left"/>
    </xf>
    <xf numFmtId="210" fontId="6" fillId="0" borderId="0" applyFont="0" applyFill="0" applyBorder="0" applyAlignment="0" applyProtection="0"/>
    <xf numFmtId="170" fontId="35" fillId="0" borderId="0" applyNumberFormat="0" applyFont="0" applyAlignment="0">
      <alignment vertical="center"/>
    </xf>
    <xf numFmtId="0" fontId="58" fillId="0" borderId="0">
      <alignment horizontal="center"/>
    </xf>
    <xf numFmtId="0" fontId="59" fillId="0" borderId="0" applyNumberFormat="0" applyFill="0" applyBorder="0" applyAlignment="0" applyProtection="0"/>
    <xf numFmtId="38" fontId="2" fillId="6" borderId="0" applyNumberFormat="0" applyBorder="0" applyAlignment="0" applyProtection="0"/>
    <xf numFmtId="0" fontId="5" fillId="7" borderId="8" applyAlignment="0" applyProtection="0"/>
    <xf numFmtId="0" fontId="60" fillId="0" borderId="3" applyFill="0" applyProtection="0">
      <alignment horizontal="centerContinuous"/>
    </xf>
    <xf numFmtId="41" fontId="61" fillId="0" borderId="0">
      <alignment horizontal="center"/>
    </xf>
    <xf numFmtId="0" fontId="6" fillId="0" borderId="0">
      <alignment horizontal="center"/>
    </xf>
    <xf numFmtId="0" fontId="6" fillId="0" borderId="0">
      <alignment horizontal="left"/>
    </xf>
    <xf numFmtId="0" fontId="6" fillId="0" borderId="0">
      <alignment horizontal="right"/>
    </xf>
    <xf numFmtId="0" fontId="62" fillId="8" borderId="0"/>
    <xf numFmtId="0" fontId="63" fillId="0" borderId="0">
      <alignment horizontal="center" vertical="center"/>
    </xf>
    <xf numFmtId="0" fontId="64" fillId="0" borderId="9" applyNumberFormat="0" applyAlignment="0" applyProtection="0">
      <alignment horizontal="left" vertical="center"/>
    </xf>
    <xf numFmtId="0" fontId="64" fillId="0" borderId="8">
      <alignment horizontal="left" vertical="center"/>
    </xf>
    <xf numFmtId="0" fontId="65" fillId="0" borderId="0">
      <alignment horizontal="center"/>
    </xf>
    <xf numFmtId="0" fontId="66" fillId="0" borderId="0" applyFill="0" applyBorder="0" applyProtection="0">
      <alignment horizontal="right"/>
    </xf>
    <xf numFmtId="0" fontId="67" fillId="0" borderId="10">
      <alignment horizontal="center"/>
    </xf>
    <xf numFmtId="0" fontId="67" fillId="0" borderId="0">
      <alignment horizontal="center"/>
    </xf>
    <xf numFmtId="10" fontId="40" fillId="0" borderId="0" applyNumberFormat="0" applyFill="0" applyBorder="0" applyAlignment="0" applyProtection="0">
      <alignment horizontal="right"/>
    </xf>
    <xf numFmtId="10" fontId="2" fillId="9" borderId="11" applyNumberFormat="0" applyBorder="0" applyAlignment="0" applyProtection="0"/>
    <xf numFmtId="0" fontId="9" fillId="0" borderId="0"/>
    <xf numFmtId="0" fontId="68" fillId="0" borderId="0"/>
    <xf numFmtId="0" fontId="2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49" fontId="2" fillId="0" borderId="0" applyFont="0" applyFill="0" applyBorder="0" applyProtection="0">
      <alignment horizontal="left"/>
    </xf>
    <xf numFmtId="49" fontId="20" fillId="0" borderId="0" applyFill="0" applyBorder="0" applyProtection="0">
      <alignment horizontal="left"/>
    </xf>
    <xf numFmtId="49" fontId="20" fillId="0" borderId="3" applyFill="0" applyProtection="0">
      <alignment horizontal="left"/>
    </xf>
    <xf numFmtId="49" fontId="20" fillId="0" borderId="12" applyFill="0" applyProtection="0">
      <alignment horizontal="left"/>
    </xf>
    <xf numFmtId="0" fontId="69" fillId="0" borderId="0"/>
    <xf numFmtId="0" fontId="26" fillId="0" borderId="0" applyFill="0" applyBorder="0" applyAlignment="0"/>
    <xf numFmtId="0" fontId="26" fillId="0" borderId="0" applyFill="0" applyBorder="0" applyAlignment="0"/>
    <xf numFmtId="0" fontId="26" fillId="0" borderId="0" applyFill="0" applyBorder="0" applyAlignment="0"/>
    <xf numFmtId="0" fontId="26" fillId="0" borderId="0" applyFill="0" applyBorder="0" applyAlignment="0"/>
    <xf numFmtId="0" fontId="26" fillId="0" borderId="0" applyFill="0" applyBorder="0" applyAlignment="0"/>
    <xf numFmtId="166" fontId="6" fillId="0" borderId="0" applyNumberFormat="0" applyFont="0" applyFill="0" applyBorder="0" applyAlignment="0"/>
    <xf numFmtId="17" fontId="22" fillId="0" borderId="0"/>
    <xf numFmtId="0" fontId="27" fillId="0" borderId="0" applyNumberFormat="0" applyFill="0" applyBorder="0" applyProtection="0"/>
    <xf numFmtId="0" fontId="22" fillId="0" borderId="0" applyNumberFormat="0" applyFill="0" applyBorder="0" applyProtection="0"/>
    <xf numFmtId="38" fontId="70" fillId="0" borderId="0" applyNumberFormat="0" applyFill="0" applyBorder="0">
      <alignment horizontal="left" vertical="center"/>
    </xf>
    <xf numFmtId="165" fontId="6" fillId="0" borderId="0" applyFont="0" applyFill="0" applyBorder="0" applyAlignment="0" applyProtection="0"/>
    <xf numFmtId="38" fontId="71" fillId="0" borderId="0" applyFont="0" applyFill="0" applyBorder="0" applyAlignment="0" applyProtection="0"/>
    <xf numFmtId="40" fontId="71" fillId="0" borderId="0" applyFont="0" applyFill="0" applyBorder="0" applyAlignment="0" applyProtection="0"/>
    <xf numFmtId="170" fontId="72" fillId="0" borderId="0" applyFill="0" applyBorder="0">
      <alignment vertical="center"/>
    </xf>
    <xf numFmtId="211" fontId="27" fillId="0" borderId="0">
      <alignment horizontal="center"/>
    </xf>
    <xf numFmtId="212" fontId="71" fillId="0" borderId="0" applyFont="0" applyFill="0" applyBorder="0" applyAlignment="0" applyProtection="0"/>
    <xf numFmtId="213" fontId="71" fillId="0" borderId="0" applyFont="0" applyFill="0" applyBorder="0" applyAlignment="0" applyProtection="0"/>
    <xf numFmtId="7" fontId="6" fillId="0" borderId="0"/>
    <xf numFmtId="214" fontId="73" fillId="0" borderId="0" applyFont="0" applyFill="0" applyBorder="0" applyProtection="0">
      <alignment horizontal="right"/>
    </xf>
    <xf numFmtId="215" fontId="55" fillId="0" borderId="0" applyFont="0" applyFill="0" applyBorder="0" applyAlignment="0" applyProtection="0"/>
    <xf numFmtId="216" fontId="22" fillId="0" borderId="0" applyFont="0" applyFill="0" applyBorder="0" applyAlignment="0" applyProtection="0"/>
    <xf numFmtId="217" fontId="55" fillId="0" borderId="0" applyFont="0" applyFill="0" applyBorder="0" applyAlignment="0" applyProtection="0"/>
    <xf numFmtId="218" fontId="27" fillId="0" borderId="0" applyFont="0" applyFill="0" applyBorder="0" applyAlignment="0" applyProtection="0"/>
    <xf numFmtId="219" fontId="22" fillId="0" borderId="0" applyFont="0" applyFill="0" applyBorder="0" applyAlignment="0" applyProtection="0"/>
    <xf numFmtId="220" fontId="55" fillId="0" borderId="0" applyFont="0" applyFill="0" applyBorder="0" applyAlignment="0" applyProtection="0"/>
    <xf numFmtId="221" fontId="55" fillId="0" borderId="0" applyFont="0" applyFill="0" applyBorder="0" applyAlignment="0" applyProtection="0"/>
    <xf numFmtId="222" fontId="22" fillId="0" borderId="0" applyFont="0" applyFill="0" applyBorder="0" applyAlignment="0" applyProtection="0"/>
    <xf numFmtId="223" fontId="6" fillId="0" borderId="0"/>
    <xf numFmtId="0" fontId="10" fillId="10" borderId="0"/>
    <xf numFmtId="0" fontId="11" fillId="11" borderId="0"/>
    <xf numFmtId="0" fontId="12" fillId="0" borderId="0"/>
    <xf numFmtId="224" fontId="7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5" fillId="0" borderId="0">
      <alignment horizontal="center"/>
    </xf>
    <xf numFmtId="0" fontId="23" fillId="0" borderId="0">
      <alignment horizontal="center" vertical="center"/>
    </xf>
    <xf numFmtId="0" fontId="22" fillId="0" borderId="13"/>
    <xf numFmtId="0" fontId="22" fillId="0" borderId="14"/>
    <xf numFmtId="49" fontId="22" fillId="0" borderId="14">
      <alignment horizontal="left"/>
    </xf>
    <xf numFmtId="0" fontId="22" fillId="0" borderId="15"/>
    <xf numFmtId="0" fontId="22" fillId="0" borderId="3"/>
    <xf numFmtId="0" fontId="22" fillId="0" borderId="16"/>
    <xf numFmtId="0" fontId="22" fillId="6" borderId="17"/>
    <xf numFmtId="0" fontId="23" fillId="6" borderId="12">
      <alignment horizontal="left"/>
    </xf>
    <xf numFmtId="0" fontId="23" fillId="6" borderId="18">
      <alignment horizontal="left"/>
    </xf>
    <xf numFmtId="0" fontId="22" fillId="6" borderId="12"/>
    <xf numFmtId="0" fontId="22" fillId="0" borderId="0">
      <alignment horizontal="left"/>
    </xf>
    <xf numFmtId="0" fontId="23" fillId="6" borderId="12">
      <alignment horizontal="left"/>
    </xf>
    <xf numFmtId="0" fontId="39" fillId="6" borderId="12">
      <alignment horizontal="left"/>
    </xf>
    <xf numFmtId="0" fontId="22" fillId="6" borderId="18"/>
    <xf numFmtId="0" fontId="22" fillId="0" borderId="13">
      <alignment horizontal="left"/>
    </xf>
    <xf numFmtId="0" fontId="22" fillId="0" borderId="0">
      <alignment horizontal="left"/>
    </xf>
    <xf numFmtId="0" fontId="22" fillId="0" borderId="14">
      <alignment horizontal="center"/>
    </xf>
    <xf numFmtId="0" fontId="22" fillId="0" borderId="0">
      <alignment horizontal="left"/>
    </xf>
    <xf numFmtId="0" fontId="23" fillId="6" borderId="17">
      <alignment horizontal="left"/>
    </xf>
    <xf numFmtId="0" fontId="22" fillId="0" borderId="13">
      <alignment horizontal="left"/>
    </xf>
    <xf numFmtId="0" fontId="22" fillId="0" borderId="13">
      <alignment horizontal="right"/>
    </xf>
    <xf numFmtId="173" fontId="23" fillId="0" borderId="0"/>
    <xf numFmtId="0" fontId="22" fillId="0" borderId="13"/>
    <xf numFmtId="170" fontId="22" fillId="0" borderId="14"/>
    <xf numFmtId="0" fontId="22" fillId="0" borderId="13"/>
    <xf numFmtId="0" fontId="22" fillId="0" borderId="13">
      <alignment horizontal="left"/>
    </xf>
    <xf numFmtId="0" fontId="23" fillId="6" borderId="17"/>
    <xf numFmtId="0" fontId="76" fillId="6" borderId="13">
      <alignment horizontal="left"/>
    </xf>
    <xf numFmtId="0" fontId="22" fillId="6" borderId="14"/>
    <xf numFmtId="0" fontId="23" fillId="6" borderId="13">
      <alignment horizontal="left"/>
    </xf>
    <xf numFmtId="0" fontId="22" fillId="0" borderId="13">
      <alignment horizontal="left"/>
    </xf>
    <xf numFmtId="0" fontId="22" fillId="0" borderId="13">
      <alignment horizontal="left"/>
    </xf>
    <xf numFmtId="14" fontId="75" fillId="0" borderId="0">
      <alignment horizontal="center"/>
    </xf>
    <xf numFmtId="49" fontId="77" fillId="0" borderId="13">
      <alignment horizontal="left"/>
    </xf>
    <xf numFmtId="0" fontId="77" fillId="0" borderId="13"/>
    <xf numFmtId="0" fontId="23" fillId="6" borderId="13">
      <alignment horizontal="left"/>
    </xf>
    <xf numFmtId="0" fontId="23" fillId="6" borderId="13"/>
    <xf numFmtId="49" fontId="22" fillId="0" borderId="14">
      <alignment horizontal="left"/>
    </xf>
    <xf numFmtId="0" fontId="75" fillId="0" borderId="13"/>
    <xf numFmtId="0" fontId="75" fillId="0" borderId="0">
      <alignment horizontal="center"/>
    </xf>
    <xf numFmtId="14" fontId="75" fillId="0" borderId="0">
      <alignment horizontal="center"/>
    </xf>
    <xf numFmtId="0" fontId="75" fillId="0" borderId="15"/>
    <xf numFmtId="0" fontId="22" fillId="0" borderId="3">
      <alignment horizontal="center"/>
    </xf>
    <xf numFmtId="0" fontId="22" fillId="0" borderId="0"/>
    <xf numFmtId="0" fontId="75" fillId="0" borderId="3">
      <alignment horizontal="center"/>
    </xf>
    <xf numFmtId="14" fontId="75" fillId="0" borderId="3">
      <alignment horizontal="center"/>
    </xf>
    <xf numFmtId="0" fontId="23" fillId="0" borderId="0">
      <alignment horizontal="left" vertical="center" wrapText="1"/>
    </xf>
    <xf numFmtId="0" fontId="23" fillId="6" borderId="9">
      <alignment horizontal="left" wrapText="1"/>
    </xf>
    <xf numFmtId="0" fontId="23" fillId="0" borderId="0">
      <alignment horizontal="right" vertical="center"/>
    </xf>
    <xf numFmtId="173" fontId="23" fillId="0" borderId="0">
      <alignment horizontal="right"/>
    </xf>
    <xf numFmtId="14" fontId="78" fillId="0" borderId="0">
      <alignment horizontal="center"/>
    </xf>
    <xf numFmtId="0" fontId="23" fillId="6" borderId="19">
      <alignment horizontal="center" wrapText="1"/>
    </xf>
    <xf numFmtId="0" fontId="55" fillId="0" borderId="0">
      <alignment horizontal="center" vertical="center"/>
    </xf>
    <xf numFmtId="1" fontId="79" fillId="0" borderId="0">
      <alignment horizontal="center" wrapText="1"/>
    </xf>
    <xf numFmtId="0" fontId="23" fillId="6" borderId="9">
      <alignment horizontal="center" wrapText="1"/>
    </xf>
    <xf numFmtId="0" fontId="79" fillId="6" borderId="20">
      <alignment horizontal="center" wrapText="1"/>
    </xf>
    <xf numFmtId="0" fontId="79" fillId="6" borderId="19">
      <alignment horizontal="left" wrapText="1"/>
    </xf>
    <xf numFmtId="0" fontId="22" fillId="0" borderId="14">
      <alignment horizontal="left"/>
    </xf>
    <xf numFmtId="0" fontId="55" fillId="0" borderId="0">
      <alignment horizontal="center"/>
    </xf>
    <xf numFmtId="2" fontId="55" fillId="12" borderId="0">
      <alignment horizontal="center"/>
    </xf>
    <xf numFmtId="0" fontId="22" fillId="0" borderId="0">
      <alignment horizontal="left" vertical="top"/>
    </xf>
    <xf numFmtId="16" fontId="22" fillId="0" borderId="0"/>
    <xf numFmtId="0" fontId="22" fillId="12" borderId="0"/>
    <xf numFmtId="14" fontId="22" fillId="0" borderId="0">
      <alignment horizontal="center"/>
    </xf>
    <xf numFmtId="2" fontId="55" fillId="0" borderId="12">
      <alignment horizontal="center" vertical="center"/>
    </xf>
    <xf numFmtId="0" fontId="23" fillId="6" borderId="0">
      <alignment horizontal="center"/>
    </xf>
    <xf numFmtId="2" fontId="55" fillId="0" borderId="0">
      <alignment horizontal="center"/>
    </xf>
    <xf numFmtId="2" fontId="55" fillId="0" borderId="0">
      <alignment horizontal="center"/>
    </xf>
    <xf numFmtId="0" fontId="22" fillId="0" borderId="0">
      <alignment horizontal="left" vertical="top"/>
    </xf>
    <xf numFmtId="15" fontId="22" fillId="0" borderId="0">
      <alignment horizontal="left" vertical="top"/>
    </xf>
    <xf numFmtId="0" fontId="22" fillId="0" borderId="0">
      <alignment horizontal="left" vertical="top"/>
    </xf>
    <xf numFmtId="14" fontId="22" fillId="0" borderId="0">
      <alignment horizontal="center" vertical="top"/>
    </xf>
    <xf numFmtId="0" fontId="55" fillId="0" borderId="0"/>
    <xf numFmtId="0" fontId="79" fillId="0" borderId="3"/>
    <xf numFmtId="14" fontId="79" fillId="0" borderId="3"/>
    <xf numFmtId="2" fontId="55" fillId="0" borderId="3">
      <alignment horizontal="center"/>
    </xf>
    <xf numFmtId="0" fontId="22" fillId="0" borderId="0">
      <alignment horizontal="center"/>
    </xf>
    <xf numFmtId="2" fontId="55" fillId="0" borderId="3">
      <alignment horizontal="center"/>
    </xf>
    <xf numFmtId="0" fontId="55" fillId="0" borderId="3"/>
    <xf numFmtId="0" fontId="55" fillId="0" borderId="3">
      <alignment horizontal="center"/>
    </xf>
    <xf numFmtId="0" fontId="55" fillId="0" borderId="3">
      <alignment horizontal="center"/>
    </xf>
    <xf numFmtId="0" fontId="23" fillId="0" borderId="0">
      <alignment horizontal="left" vertical="top"/>
    </xf>
    <xf numFmtId="0" fontId="23" fillId="0" borderId="0">
      <alignment horizontal="left" vertical="top"/>
    </xf>
    <xf numFmtId="0" fontId="22" fillId="0" borderId="0">
      <alignment horizontal="center" vertical="top"/>
    </xf>
    <xf numFmtId="43" fontId="55" fillId="0" borderId="0">
      <alignment horizontal="left"/>
    </xf>
    <xf numFmtId="173" fontId="22" fillId="0" borderId="0"/>
    <xf numFmtId="0" fontId="22" fillId="0" borderId="0">
      <alignment horizontal="center"/>
    </xf>
    <xf numFmtId="0" fontId="75" fillId="0" borderId="0"/>
    <xf numFmtId="43" fontId="22" fillId="0" borderId="0"/>
    <xf numFmtId="1" fontId="22" fillId="0" borderId="0"/>
    <xf numFmtId="0" fontId="23" fillId="0" borderId="0"/>
    <xf numFmtId="43" fontId="22" fillId="0" borderId="0">
      <alignment horizontal="center"/>
    </xf>
    <xf numFmtId="43" fontId="22" fillId="0" borderId="21"/>
    <xf numFmtId="43" fontId="22" fillId="0" borderId="22"/>
    <xf numFmtId="0" fontId="22" fillId="0" borderId="10"/>
    <xf numFmtId="43" fontId="22" fillId="0" borderId="0"/>
    <xf numFmtId="1" fontId="79" fillId="0" borderId="16">
      <alignment horizontal="center" wrapText="1"/>
    </xf>
    <xf numFmtId="0" fontId="55" fillId="0" borderId="0">
      <alignment horizontal="center"/>
    </xf>
    <xf numFmtId="0" fontId="22" fillId="0" borderId="0">
      <alignment horizontal="left"/>
    </xf>
    <xf numFmtId="0" fontId="55" fillId="0" borderId="0"/>
    <xf numFmtId="43" fontId="22" fillId="0" borderId="0">
      <alignment horizontal="center"/>
    </xf>
    <xf numFmtId="0" fontId="23" fillId="0" borderId="3">
      <alignment horizontal="left" vertical="top"/>
    </xf>
    <xf numFmtId="0" fontId="22" fillId="0" borderId="3">
      <alignment horizontal="center" vertical="top"/>
    </xf>
    <xf numFmtId="14" fontId="22" fillId="0" borderId="3">
      <alignment horizontal="center" vertical="top"/>
    </xf>
    <xf numFmtId="15" fontId="22" fillId="0" borderId="3">
      <alignment horizontal="left" vertical="top"/>
    </xf>
    <xf numFmtId="0" fontId="25" fillId="0" borderId="0"/>
    <xf numFmtId="225" fontId="22" fillId="0" borderId="0">
      <alignment vertical="top"/>
    </xf>
    <xf numFmtId="0" fontId="22" fillId="0" borderId="3">
      <alignment horizontal="left" vertical="top"/>
    </xf>
    <xf numFmtId="0" fontId="22" fillId="0" borderId="0">
      <alignment horizontal="center" wrapText="1"/>
    </xf>
    <xf numFmtId="0" fontId="22" fillId="0" borderId="0">
      <alignment horizontal="center"/>
    </xf>
    <xf numFmtId="0" fontId="22" fillId="0" borderId="0">
      <alignment horizontal="center" vertical="top"/>
    </xf>
    <xf numFmtId="0" fontId="23" fillId="0" borderId="0"/>
    <xf numFmtId="14" fontId="22" fillId="0" borderId="0">
      <alignment horizontal="center"/>
    </xf>
    <xf numFmtId="14" fontId="22" fillId="0" borderId="0">
      <alignment horizontal="left" vertical="top"/>
    </xf>
    <xf numFmtId="41" fontId="22" fillId="0" borderId="0"/>
    <xf numFmtId="3" fontId="23" fillId="0" borderId="23">
      <alignment horizontal="right" vertical="center"/>
    </xf>
    <xf numFmtId="173" fontId="23" fillId="0" borderId="22">
      <alignment horizontal="right"/>
    </xf>
    <xf numFmtId="226" fontId="79" fillId="0" borderId="0">
      <alignment wrapText="1"/>
    </xf>
    <xf numFmtId="0" fontId="22" fillId="0" borderId="0">
      <alignment horizontal="center"/>
    </xf>
    <xf numFmtId="227" fontId="23" fillId="0" borderId="10"/>
    <xf numFmtId="227" fontId="23" fillId="0" borderId="0"/>
    <xf numFmtId="0" fontId="22" fillId="0" borderId="0">
      <alignment vertical="top"/>
    </xf>
    <xf numFmtId="3" fontId="23" fillId="0" borderId="21">
      <alignment horizontal="right" vertical="center"/>
    </xf>
    <xf numFmtId="0" fontId="79" fillId="0" borderId="15">
      <alignment horizontal="center" wrapText="1"/>
    </xf>
    <xf numFmtId="3" fontId="23" fillId="0" borderId="24">
      <alignment horizontal="right" vertical="center"/>
    </xf>
    <xf numFmtId="3" fontId="23" fillId="0" borderId="0">
      <alignment horizontal="right" vertical="center"/>
    </xf>
    <xf numFmtId="173" fontId="23" fillId="0" borderId="10">
      <alignment horizontal="right"/>
    </xf>
    <xf numFmtId="0" fontId="4" fillId="0" borderId="25">
      <alignment wrapText="1"/>
    </xf>
    <xf numFmtId="228" fontId="4" fillId="0" borderId="25">
      <alignment horizontal="right" wrapText="1"/>
    </xf>
    <xf numFmtId="4" fontId="22" fillId="0" borderId="0">
      <alignment horizontal="center"/>
    </xf>
    <xf numFmtId="0" fontId="23" fillId="6" borderId="9">
      <alignment horizontal="center"/>
    </xf>
    <xf numFmtId="0" fontId="23" fillId="6" borderId="20">
      <alignment horizontal="center"/>
    </xf>
    <xf numFmtId="14" fontId="22" fillId="0" borderId="0">
      <alignment horizontal="center" vertical="top"/>
    </xf>
    <xf numFmtId="0" fontId="22" fillId="13" borderId="0">
      <alignment vertical="top"/>
    </xf>
    <xf numFmtId="0" fontId="22" fillId="13" borderId="0"/>
    <xf numFmtId="0" fontId="4" fillId="0" borderId="25">
      <alignment wrapText="1"/>
    </xf>
    <xf numFmtId="229" fontId="26" fillId="0" borderId="0">
      <alignment horizontal="right" vertical="center" wrapText="1"/>
    </xf>
    <xf numFmtId="0" fontId="26" fillId="0" borderId="0">
      <alignment horizontal="right" vertical="center" wrapText="1"/>
    </xf>
    <xf numFmtId="0" fontId="4" fillId="0" borderId="0">
      <alignment wrapText="1"/>
    </xf>
    <xf numFmtId="173" fontId="22" fillId="0" borderId="0"/>
    <xf numFmtId="0" fontId="22" fillId="13" borderId="0">
      <alignment horizontal="center"/>
    </xf>
    <xf numFmtId="0" fontId="23" fillId="13" borderId="0"/>
    <xf numFmtId="0" fontId="22" fillId="13" borderId="0">
      <alignment horizontal="center" vertical="top"/>
    </xf>
    <xf numFmtId="0" fontId="22" fillId="0" borderId="0">
      <alignment vertical="top"/>
    </xf>
    <xf numFmtId="14" fontId="22" fillId="13" borderId="0">
      <alignment horizontal="center" vertical="top"/>
    </xf>
    <xf numFmtId="15" fontId="22" fillId="13" borderId="0">
      <alignment horizontal="left" vertical="top"/>
    </xf>
    <xf numFmtId="0" fontId="22" fillId="13" borderId="0">
      <alignment horizontal="left" vertical="top"/>
    </xf>
    <xf numFmtId="14" fontId="22" fillId="13" borderId="0">
      <alignment horizontal="left" vertical="top"/>
    </xf>
    <xf numFmtId="0" fontId="22" fillId="14" borderId="0">
      <alignment horizontal="center"/>
    </xf>
    <xf numFmtId="0" fontId="23" fillId="14" borderId="0"/>
    <xf numFmtId="0" fontId="22" fillId="14" borderId="0">
      <alignment horizontal="center" vertical="top"/>
    </xf>
    <xf numFmtId="14" fontId="22" fillId="14" borderId="0">
      <alignment horizontal="center" vertical="top"/>
    </xf>
    <xf numFmtId="0" fontId="22" fillId="14" borderId="0">
      <alignment vertical="top"/>
    </xf>
    <xf numFmtId="15" fontId="22" fillId="14" borderId="0">
      <alignment horizontal="left" vertical="top"/>
    </xf>
    <xf numFmtId="15" fontId="75" fillId="0" borderId="0">
      <alignment horizontal="left"/>
    </xf>
    <xf numFmtId="0" fontId="22" fillId="14" borderId="0">
      <alignment horizontal="left" vertical="top"/>
    </xf>
    <xf numFmtId="173" fontId="22" fillId="14" borderId="0">
      <alignment vertical="top"/>
    </xf>
    <xf numFmtId="14" fontId="22" fillId="14" borderId="0">
      <alignment horizontal="left" vertical="top"/>
    </xf>
    <xf numFmtId="0" fontId="22" fillId="14" borderId="0">
      <alignment horizontal="center"/>
    </xf>
    <xf numFmtId="0" fontId="22" fillId="14" borderId="0"/>
    <xf numFmtId="0" fontId="23" fillId="14" borderId="0">
      <alignment horizontal="left" vertical="top"/>
    </xf>
    <xf numFmtId="14" fontId="22" fillId="14" borderId="0">
      <alignment horizontal="center" vertical="top"/>
    </xf>
    <xf numFmtId="0" fontId="55" fillId="14" borderId="0">
      <alignment horizontal="center"/>
    </xf>
    <xf numFmtId="0" fontId="75" fillId="14" borderId="0">
      <alignment horizontal="center"/>
    </xf>
    <xf numFmtId="0" fontId="22" fillId="14" borderId="0"/>
    <xf numFmtId="0" fontId="55" fillId="0" borderId="0"/>
    <xf numFmtId="0" fontId="23" fillId="0" borderId="0">
      <alignment horizontal="center"/>
    </xf>
    <xf numFmtId="0" fontId="23" fillId="0" borderId="0">
      <alignment horizontal="center"/>
    </xf>
    <xf numFmtId="173" fontId="23" fillId="6" borderId="23">
      <alignment horizontal="center"/>
    </xf>
    <xf numFmtId="173" fontId="23" fillId="6" borderId="24">
      <alignment horizontal="center"/>
    </xf>
    <xf numFmtId="2" fontId="55" fillId="0" borderId="0"/>
    <xf numFmtId="0" fontId="55" fillId="0" borderId="0"/>
    <xf numFmtId="2" fontId="55" fillId="0" borderId="0">
      <alignment horizontal="center"/>
    </xf>
    <xf numFmtId="0" fontId="55" fillId="0" borderId="0">
      <alignment horizontal="center"/>
    </xf>
    <xf numFmtId="0" fontId="75" fillId="0" borderId="0">
      <alignment wrapText="1"/>
    </xf>
    <xf numFmtId="0" fontId="55" fillId="0" borderId="0">
      <alignment horizontal="center"/>
    </xf>
    <xf numFmtId="0" fontId="79" fillId="0" borderId="0">
      <alignment horizontal="left" vertical="center"/>
    </xf>
    <xf numFmtId="2" fontId="55" fillId="0" borderId="12">
      <alignment horizontal="center" vertical="center"/>
    </xf>
    <xf numFmtId="0" fontId="55" fillId="0" borderId="12">
      <alignment horizontal="center" vertical="center"/>
    </xf>
    <xf numFmtId="0" fontId="55" fillId="0" borderId="18">
      <alignment horizontal="center" vertical="center"/>
    </xf>
    <xf numFmtId="0" fontId="55" fillId="0" borderId="0">
      <alignment horizontal="center" vertical="center"/>
    </xf>
    <xf numFmtId="0" fontId="55" fillId="0" borderId="0">
      <alignment horizontal="left" vertical="center"/>
    </xf>
    <xf numFmtId="0" fontId="79" fillId="0" borderId="0">
      <alignment horizontal="left"/>
    </xf>
    <xf numFmtId="0" fontId="79" fillId="0" borderId="0">
      <alignment horizontal="left"/>
    </xf>
    <xf numFmtId="0" fontId="79" fillId="0" borderId="0">
      <alignment horizontal="center"/>
    </xf>
    <xf numFmtId="0" fontId="22" fillId="0" borderId="0">
      <alignment horizontal="center" vertical="center" wrapText="1"/>
    </xf>
    <xf numFmtId="0" fontId="79" fillId="0" borderId="0">
      <alignment horizontal="center" wrapText="1"/>
    </xf>
    <xf numFmtId="0" fontId="79" fillId="0" borderId="13">
      <alignment horizontal="center" wrapText="1"/>
    </xf>
    <xf numFmtId="1" fontId="79" fillId="0" borderId="14">
      <alignment horizontal="center" wrapText="1"/>
    </xf>
    <xf numFmtId="0" fontId="79" fillId="0" borderId="0">
      <alignment horizontal="center"/>
    </xf>
    <xf numFmtId="230" fontId="79" fillId="0" borderId="0">
      <alignment horizontal="center" wrapText="1"/>
    </xf>
    <xf numFmtId="43" fontId="79" fillId="0" borderId="0"/>
    <xf numFmtId="0" fontId="79" fillId="0" borderId="0"/>
    <xf numFmtId="0" fontId="55" fillId="0" borderId="0">
      <alignment wrapText="1"/>
    </xf>
    <xf numFmtId="0" fontId="79" fillId="0" borderId="0">
      <alignment horizontal="center" wrapText="1"/>
    </xf>
    <xf numFmtId="0" fontId="79" fillId="0" borderId="0">
      <alignment horizontal="center" wrapText="1"/>
    </xf>
    <xf numFmtId="43" fontId="22" fillId="0" borderId="0">
      <alignment horizontal="center" vertical="center" wrapText="1"/>
    </xf>
    <xf numFmtId="0" fontId="79" fillId="0" borderId="0">
      <alignment horizontal="center" wrapText="1"/>
    </xf>
    <xf numFmtId="231" fontId="79" fillId="0" borderId="0">
      <alignment horizontal="center" wrapText="1"/>
    </xf>
    <xf numFmtId="0" fontId="79" fillId="6" borderId="9">
      <alignment horizontal="center" wrapText="1"/>
    </xf>
    <xf numFmtId="2" fontId="79" fillId="6" borderId="9">
      <alignment horizontal="center" wrapText="1"/>
    </xf>
    <xf numFmtId="0" fontId="79" fillId="6" borderId="9">
      <alignment horizontal="center" wrapText="1"/>
    </xf>
    <xf numFmtId="0" fontId="79" fillId="0" borderId="0">
      <alignment horizontal="center" wrapText="1"/>
    </xf>
    <xf numFmtId="0" fontId="22" fillId="0" borderId="0"/>
    <xf numFmtId="0" fontId="22" fillId="0" borderId="0"/>
    <xf numFmtId="0" fontId="80" fillId="0" borderId="0">
      <alignment horizontal="left" vertical="center"/>
    </xf>
    <xf numFmtId="173" fontId="80" fillId="0" borderId="0">
      <alignment horizontal="left" vertical="center"/>
    </xf>
    <xf numFmtId="0" fontId="23" fillId="0" borderId="0">
      <alignment horizontal="center" vertical="center" wrapText="1"/>
    </xf>
    <xf numFmtId="0" fontId="80" fillId="0" borderId="0">
      <alignment horizontal="center" vertical="center"/>
    </xf>
    <xf numFmtId="0" fontId="23" fillId="0" borderId="23">
      <alignment horizontal="left"/>
    </xf>
    <xf numFmtId="41" fontId="23" fillId="0" borderId="26"/>
    <xf numFmtId="0" fontId="23" fillId="0" borderId="23"/>
    <xf numFmtId="41" fontId="23" fillId="0" borderId="0"/>
    <xf numFmtId="0" fontId="23" fillId="0" borderId="21"/>
    <xf numFmtId="173" fontId="23" fillId="0" borderId="27"/>
    <xf numFmtId="173" fontId="23" fillId="0" borderId="0"/>
    <xf numFmtId="43" fontId="23" fillId="0" borderId="27"/>
    <xf numFmtId="43" fontId="23" fillId="0" borderId="0"/>
    <xf numFmtId="0" fontId="22" fillId="0" borderId="0">
      <alignment wrapText="1"/>
    </xf>
    <xf numFmtId="0" fontId="23" fillId="0" borderId="22"/>
    <xf numFmtId="43" fontId="23" fillId="0" borderId="28"/>
    <xf numFmtId="0" fontId="23" fillId="0" borderId="0">
      <alignment horizontal="center"/>
    </xf>
    <xf numFmtId="0" fontId="23" fillId="6" borderId="23">
      <alignment horizontal="center"/>
    </xf>
    <xf numFmtId="173" fontId="23" fillId="6" borderId="24">
      <alignment horizontal="center"/>
    </xf>
    <xf numFmtId="0" fontId="23" fillId="6" borderId="24">
      <alignment horizontal="center"/>
    </xf>
    <xf numFmtId="0" fontId="23" fillId="6" borderId="26">
      <alignment horizontal="center"/>
    </xf>
    <xf numFmtId="0" fontId="23" fillId="6" borderId="22">
      <alignment horizontal="center"/>
    </xf>
    <xf numFmtId="173" fontId="23" fillId="6" borderId="10">
      <alignment horizontal="right"/>
    </xf>
    <xf numFmtId="0" fontId="23" fillId="6" borderId="10">
      <alignment horizontal="center"/>
    </xf>
    <xf numFmtId="0" fontId="22" fillId="0" borderId="0">
      <alignment horizontal="left" vertical="center" wrapText="1"/>
    </xf>
    <xf numFmtId="0" fontId="23" fillId="6" borderId="28">
      <alignment horizontal="center"/>
    </xf>
    <xf numFmtId="0" fontId="23" fillId="15" borderId="0">
      <alignment horizontal="center"/>
    </xf>
    <xf numFmtId="173" fontId="23" fillId="6" borderId="22">
      <alignment horizontal="center"/>
    </xf>
    <xf numFmtId="173" fontId="23" fillId="6" borderId="10">
      <alignment horizontal="center"/>
    </xf>
    <xf numFmtId="0" fontId="23" fillId="6" borderId="10">
      <alignment horizontal="center"/>
    </xf>
    <xf numFmtId="173" fontId="23" fillId="6" borderId="28">
      <alignment horizontal="center"/>
    </xf>
    <xf numFmtId="0" fontId="23" fillId="6" borderId="29">
      <alignment horizontal="center"/>
    </xf>
    <xf numFmtId="0" fontId="23" fillId="6" borderId="3">
      <alignment horizontal="center"/>
    </xf>
    <xf numFmtId="0" fontId="23" fillId="6" borderId="3">
      <alignment horizontal="center"/>
    </xf>
    <xf numFmtId="0" fontId="23" fillId="6" borderId="30">
      <alignment horizontal="center"/>
    </xf>
    <xf numFmtId="0" fontId="22" fillId="0" borderId="0"/>
    <xf numFmtId="0" fontId="23" fillId="6" borderId="21">
      <alignment horizontal="center"/>
    </xf>
    <xf numFmtId="0" fontId="23" fillId="6" borderId="0">
      <alignment horizontal="center"/>
    </xf>
    <xf numFmtId="0" fontId="23" fillId="6" borderId="27">
      <alignment horizontal="center"/>
    </xf>
    <xf numFmtId="0" fontId="39" fillId="0" borderId="0">
      <alignment horizontal="left"/>
    </xf>
    <xf numFmtId="49" fontId="22" fillId="0" borderId="0">
      <alignment horizontal="left"/>
    </xf>
    <xf numFmtId="0" fontId="39" fillId="0" borderId="0">
      <alignment horizontal="left"/>
    </xf>
    <xf numFmtId="15" fontId="75" fillId="15" borderId="0">
      <alignment horizontal="left"/>
    </xf>
    <xf numFmtId="0" fontId="22" fillId="0" borderId="0">
      <alignment horizontal="right"/>
    </xf>
    <xf numFmtId="49" fontId="22" fillId="0" borderId="0">
      <alignment horizontal="left"/>
    </xf>
    <xf numFmtId="49" fontId="22" fillId="0" borderId="0">
      <alignment horizontal="left"/>
    </xf>
    <xf numFmtId="10" fontId="75" fillId="0" borderId="0"/>
    <xf numFmtId="0" fontId="2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81" fillId="0" borderId="0">
      <alignment horizontal="left" vertical="top"/>
      <protection locked="0"/>
    </xf>
    <xf numFmtId="0" fontId="35" fillId="0" borderId="11" applyNumberFormat="0" applyFont="0" applyFill="0" applyAlignment="0" applyProtection="0"/>
    <xf numFmtId="40" fontId="82" fillId="15" borderId="0">
      <alignment horizontal="right"/>
    </xf>
    <xf numFmtId="0" fontId="83" fillId="15" borderId="0">
      <alignment horizontal="right"/>
    </xf>
    <xf numFmtId="0" fontId="84" fillId="15" borderId="14"/>
    <xf numFmtId="0" fontId="84" fillId="0" borderId="0" applyBorder="0">
      <alignment horizontal="centerContinuous"/>
    </xf>
    <xf numFmtId="232" fontId="85" fillId="0" borderId="0" applyFill="0">
      <alignment horizontal="center" vertical="center"/>
    </xf>
    <xf numFmtId="0" fontId="23" fillId="0" borderId="31" applyNumberFormat="0" applyAlignment="0" applyProtection="0"/>
    <xf numFmtId="0" fontId="22" fillId="16" borderId="0" applyNumberFormat="0" applyFont="0" applyBorder="0" applyAlignment="0" applyProtection="0"/>
    <xf numFmtId="0" fontId="2" fillId="17" borderId="32" applyNumberFormat="0" applyFont="0" applyBorder="0" applyAlignment="0" applyProtection="0">
      <alignment horizontal="center"/>
    </xf>
    <xf numFmtId="0" fontId="2" fillId="18" borderId="32" applyNumberFormat="0" applyFont="0" applyBorder="0" applyAlignment="0" applyProtection="0">
      <alignment horizontal="center"/>
    </xf>
    <xf numFmtId="0" fontId="22" fillId="0" borderId="33" applyNumberFormat="0" applyAlignment="0" applyProtection="0"/>
    <xf numFmtId="0" fontId="22" fillId="0" borderId="34" applyNumberFormat="0" applyAlignment="0" applyProtection="0"/>
    <xf numFmtId="0" fontId="23" fillId="0" borderId="35" applyNumberFormat="0" applyAlignment="0" applyProtection="0"/>
    <xf numFmtId="14" fontId="27" fillId="0" borderId="0">
      <alignment horizontal="center" wrapText="1"/>
      <protection locked="0"/>
    </xf>
    <xf numFmtId="9" fontId="1" fillId="0" borderId="0" applyFont="0" applyFill="0" applyBorder="0" applyAlignment="0" applyProtection="0"/>
    <xf numFmtId="9" fontId="55" fillId="0" borderId="0" applyFont="0" applyFill="0" applyBorder="0" applyAlignment="0" applyProtection="0"/>
    <xf numFmtId="233" fontId="86" fillId="0" borderId="0" applyFont="0" applyFill="0" applyBorder="0" applyAlignment="0" applyProtection="0"/>
    <xf numFmtId="170" fontId="55" fillId="0" borderId="0" applyFont="0" applyFill="0" applyBorder="0" applyAlignment="0" applyProtection="0"/>
    <xf numFmtId="234" fontId="55" fillId="0" borderId="0" applyFont="0" applyFill="0" applyBorder="0" applyAlignment="0" applyProtection="0"/>
    <xf numFmtId="235" fontId="55" fillId="0" borderId="0" applyFont="0" applyFill="0" applyBorder="0" applyAlignment="0" applyProtection="0"/>
    <xf numFmtId="10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 applyFont="0" applyFill="0" applyBorder="0" applyProtection="0">
      <alignment horizontal="right"/>
    </xf>
    <xf numFmtId="173" fontId="75" fillId="0" borderId="0">
      <alignment horizontal="right"/>
    </xf>
    <xf numFmtId="173" fontId="23" fillId="0" borderId="0">
      <alignment horizontal="left" vertical="center"/>
    </xf>
    <xf numFmtId="172" fontId="2" fillId="0" borderId="0"/>
    <xf numFmtId="173" fontId="75" fillId="0" borderId="0">
      <alignment horizontal="right"/>
    </xf>
    <xf numFmtId="173" fontId="75" fillId="0" borderId="0">
      <alignment horizontal="center"/>
    </xf>
    <xf numFmtId="171" fontId="75" fillId="0" borderId="0">
      <alignment horizontal="right"/>
    </xf>
    <xf numFmtId="173" fontId="75" fillId="0" borderId="3">
      <alignment horizontal="right"/>
    </xf>
    <xf numFmtId="173" fontId="75" fillId="0" borderId="3">
      <alignment horizontal="center"/>
    </xf>
    <xf numFmtId="171" fontId="75" fillId="0" borderId="3">
      <alignment horizontal="right"/>
    </xf>
    <xf numFmtId="43" fontId="75" fillId="0" borderId="3">
      <alignment horizontal="center"/>
    </xf>
    <xf numFmtId="236" fontId="75" fillId="0" borderId="12"/>
    <xf numFmtId="237" fontId="75" fillId="0" borderId="12">
      <alignment horizontal="center"/>
    </xf>
    <xf numFmtId="173" fontId="23" fillId="0" borderId="0">
      <alignment horizontal="right" vertical="center"/>
    </xf>
    <xf numFmtId="237" fontId="75" fillId="0" borderId="18">
      <alignment horizontal="center" wrapText="1"/>
    </xf>
    <xf numFmtId="237" fontId="75" fillId="0" borderId="0">
      <alignment horizontal="center"/>
    </xf>
    <xf numFmtId="237" fontId="75" fillId="0" borderId="14">
      <alignment horizontal="center" wrapText="1"/>
    </xf>
    <xf numFmtId="236" fontId="75" fillId="0" borderId="14">
      <alignment wrapText="1"/>
    </xf>
    <xf numFmtId="236" fontId="75" fillId="0" borderId="3"/>
    <xf numFmtId="236" fontId="75" fillId="0" borderId="16">
      <alignment wrapText="1"/>
    </xf>
    <xf numFmtId="238" fontId="23" fillId="0" borderId="0">
      <alignment horizontal="left"/>
    </xf>
    <xf numFmtId="239" fontId="23" fillId="0" borderId="0">
      <alignment horizontal="left"/>
    </xf>
    <xf numFmtId="240" fontId="23" fillId="0" borderId="0">
      <alignment horizontal="left"/>
    </xf>
    <xf numFmtId="173" fontId="22" fillId="0" borderId="0">
      <alignment vertical="top"/>
    </xf>
    <xf numFmtId="241" fontId="23" fillId="0" borderId="0">
      <alignment horizontal="center"/>
    </xf>
    <xf numFmtId="236" fontId="78" fillId="0" borderId="0"/>
    <xf numFmtId="173" fontId="55" fillId="0" borderId="0">
      <alignment horizontal="right"/>
    </xf>
    <xf numFmtId="173" fontId="55" fillId="0" borderId="0">
      <alignment horizontal="center"/>
    </xf>
    <xf numFmtId="237" fontId="22" fillId="0" borderId="0">
      <alignment horizontal="center" vertical="top"/>
    </xf>
    <xf numFmtId="173" fontId="20" fillId="0" borderId="3">
      <alignment horizontal="centerContinuous"/>
    </xf>
    <xf numFmtId="173" fontId="2" fillId="0" borderId="3">
      <alignment horizontal="center"/>
    </xf>
    <xf numFmtId="173" fontId="2" fillId="0" borderId="0"/>
    <xf numFmtId="173" fontId="2" fillId="0" borderId="3"/>
    <xf numFmtId="43" fontId="2" fillId="0" borderId="3"/>
    <xf numFmtId="43" fontId="20" fillId="0" borderId="0">
      <alignment horizontal="right"/>
    </xf>
    <xf numFmtId="171" fontId="23" fillId="0" borderId="0">
      <alignment horizontal="right" vertical="center"/>
    </xf>
    <xf numFmtId="166" fontId="79" fillId="0" borderId="0">
      <alignment horizontal="center" wrapText="1"/>
    </xf>
    <xf numFmtId="2" fontId="79" fillId="0" borderId="0">
      <alignment horizontal="center"/>
    </xf>
    <xf numFmtId="43" fontId="55" fillId="0" borderId="0"/>
    <xf numFmtId="0" fontId="2" fillId="0" borderId="0">
      <alignment horizontal="center"/>
    </xf>
    <xf numFmtId="43" fontId="22" fillId="0" borderId="0">
      <alignment horizontal="center" vertical="top"/>
    </xf>
    <xf numFmtId="236" fontId="22" fillId="0" borderId="0">
      <alignment horizontal="center" vertical="top"/>
    </xf>
    <xf numFmtId="237" fontId="22" fillId="0" borderId="0">
      <alignment horizontal="center" vertical="top" wrapText="1"/>
    </xf>
    <xf numFmtId="43" fontId="22" fillId="0" borderId="0">
      <alignment horizontal="left" vertical="top"/>
    </xf>
    <xf numFmtId="173" fontId="22" fillId="0" borderId="0">
      <alignment horizontal="right" vertical="top"/>
    </xf>
    <xf numFmtId="43" fontId="22" fillId="0" borderId="0">
      <alignment horizontal="center" vertical="top"/>
    </xf>
    <xf numFmtId="43" fontId="23" fillId="0" borderId="0">
      <alignment horizontal="center"/>
    </xf>
    <xf numFmtId="236" fontId="22" fillId="0" borderId="0">
      <alignment horizontal="center" vertical="top"/>
    </xf>
    <xf numFmtId="237" fontId="22" fillId="0" borderId="0">
      <alignment horizontal="center" vertical="top" wrapText="1"/>
    </xf>
    <xf numFmtId="173" fontId="22" fillId="0" borderId="0">
      <alignment horizontal="left" vertical="top"/>
    </xf>
    <xf numFmtId="43" fontId="22" fillId="0" borderId="0">
      <alignment horizontal="left" vertical="top"/>
    </xf>
    <xf numFmtId="173" fontId="2" fillId="0" borderId="0">
      <alignment horizontal="left"/>
    </xf>
    <xf numFmtId="173" fontId="20" fillId="0" borderId="0">
      <alignment horizontal="centerContinuous"/>
    </xf>
    <xf numFmtId="173" fontId="20" fillId="0" borderId="0">
      <alignment horizontal="left"/>
    </xf>
    <xf numFmtId="173" fontId="20" fillId="0" borderId="3">
      <alignment horizontal="left"/>
    </xf>
    <xf numFmtId="43" fontId="55" fillId="0" borderId="0"/>
    <xf numFmtId="43" fontId="55" fillId="0" borderId="3">
      <alignment horizontal="center"/>
    </xf>
    <xf numFmtId="236" fontId="23" fillId="0" borderId="0">
      <alignment horizontal="center"/>
    </xf>
    <xf numFmtId="43" fontId="55" fillId="0" borderId="3"/>
    <xf numFmtId="43" fontId="20" fillId="0" borderId="0"/>
    <xf numFmtId="173" fontId="2" fillId="14" borderId="0">
      <alignment horizontal="center"/>
    </xf>
    <xf numFmtId="173" fontId="2" fillId="14" borderId="0">
      <alignment horizontal="center"/>
    </xf>
    <xf numFmtId="173" fontId="20" fillId="14" borderId="0">
      <alignment horizontal="centerContinuous"/>
    </xf>
    <xf numFmtId="173" fontId="20" fillId="14" borderId="3">
      <alignment horizontal="center" wrapText="1"/>
    </xf>
    <xf numFmtId="173" fontId="2" fillId="19" borderId="0">
      <alignment horizontal="center"/>
    </xf>
    <xf numFmtId="173" fontId="2" fillId="19" borderId="0">
      <alignment horizontal="center"/>
    </xf>
    <xf numFmtId="173" fontId="20" fillId="19" borderId="0">
      <alignment horizontal="centerContinuous"/>
    </xf>
    <xf numFmtId="173" fontId="20" fillId="19" borderId="3">
      <alignment horizontal="centerContinuous"/>
    </xf>
    <xf numFmtId="236" fontId="23" fillId="0" borderId="0">
      <alignment horizontal="center" wrapText="1"/>
    </xf>
    <xf numFmtId="173" fontId="22" fillId="0" borderId="0"/>
    <xf numFmtId="43" fontId="22" fillId="0" borderId="0"/>
    <xf numFmtId="43" fontId="22" fillId="0" borderId="0">
      <alignment horizontal="center"/>
    </xf>
    <xf numFmtId="173" fontId="22" fillId="0" borderId="0"/>
    <xf numFmtId="172" fontId="22" fillId="0" borderId="0"/>
    <xf numFmtId="43" fontId="22" fillId="0" borderId="27"/>
    <xf numFmtId="173" fontId="22" fillId="0" borderId="3"/>
    <xf numFmtId="43" fontId="22" fillId="0" borderId="28"/>
    <xf numFmtId="172" fontId="22" fillId="0" borderId="10"/>
    <xf numFmtId="10" fontId="22" fillId="0" borderId="0"/>
    <xf numFmtId="238" fontId="23" fillId="0" borderId="0">
      <alignment horizontal="center"/>
    </xf>
    <xf numFmtId="43" fontId="22" fillId="0" borderId="0"/>
    <xf numFmtId="242" fontId="23" fillId="0" borderId="0">
      <alignment horizontal="center" vertical="top"/>
    </xf>
    <xf numFmtId="14" fontId="20" fillId="0" borderId="0">
      <alignment horizontal="center"/>
    </xf>
    <xf numFmtId="4" fontId="55" fillId="0" borderId="0">
      <alignment horizontal="right" vertical="top"/>
    </xf>
    <xf numFmtId="173" fontId="55" fillId="0" borderId="0">
      <alignment horizontal="center" vertical="top"/>
    </xf>
    <xf numFmtId="173" fontId="22" fillId="0" borderId="3">
      <alignment horizontal="right" vertical="top"/>
    </xf>
    <xf numFmtId="171" fontId="22" fillId="0" borderId="3">
      <alignment horizontal="center" vertical="top"/>
    </xf>
    <xf numFmtId="43" fontId="22" fillId="0" borderId="3">
      <alignment horizontal="center" vertical="top"/>
    </xf>
    <xf numFmtId="236" fontId="22" fillId="0" borderId="3">
      <alignment horizontal="center" vertical="top"/>
    </xf>
    <xf numFmtId="237" fontId="22" fillId="0" borderId="3">
      <alignment horizontal="center" vertical="top" wrapText="1"/>
    </xf>
    <xf numFmtId="238" fontId="23" fillId="0" borderId="0">
      <alignment horizontal="center" wrapText="1"/>
    </xf>
    <xf numFmtId="173" fontId="22" fillId="0" borderId="3">
      <alignment horizontal="center" vertical="top"/>
    </xf>
    <xf numFmtId="173" fontId="22" fillId="0" borderId="3">
      <alignment horizontal="left" vertical="top"/>
    </xf>
    <xf numFmtId="173" fontId="22" fillId="0" borderId="3">
      <alignment vertical="top"/>
    </xf>
    <xf numFmtId="43" fontId="22" fillId="0" borderId="3">
      <alignment horizontal="left" vertical="top"/>
    </xf>
    <xf numFmtId="237" fontId="22" fillId="0" borderId="3">
      <alignment horizontal="center" vertical="top"/>
    </xf>
    <xf numFmtId="43" fontId="2" fillId="0" borderId="0">
      <alignment horizontal="center"/>
    </xf>
    <xf numFmtId="173" fontId="23" fillId="0" borderId="24">
      <alignment horizontal="right" vertical="center"/>
    </xf>
    <xf numFmtId="240" fontId="23" fillId="0" borderId="24">
      <alignment horizontal="left"/>
    </xf>
    <xf numFmtId="243" fontId="23" fillId="0" borderId="24">
      <alignment horizontal="left"/>
    </xf>
    <xf numFmtId="171" fontId="23" fillId="0" borderId="24">
      <alignment horizontal="right" vertical="center"/>
    </xf>
    <xf numFmtId="173" fontId="23" fillId="0" borderId="0">
      <alignment horizontal="left"/>
    </xf>
    <xf numFmtId="173" fontId="23" fillId="0" borderId="10">
      <alignment horizontal="right" vertical="center"/>
    </xf>
    <xf numFmtId="240" fontId="23" fillId="0" borderId="10">
      <alignment horizontal="left"/>
    </xf>
    <xf numFmtId="243" fontId="23" fillId="0" borderId="10">
      <alignment horizontal="left"/>
    </xf>
    <xf numFmtId="171" fontId="23" fillId="0" borderId="10">
      <alignment horizontal="right"/>
    </xf>
    <xf numFmtId="244" fontId="23" fillId="0" borderId="28">
      <alignment horizontal="left"/>
    </xf>
    <xf numFmtId="173" fontId="23" fillId="0" borderId="10">
      <alignment horizontal="left" vertical="center"/>
    </xf>
    <xf numFmtId="172" fontId="2" fillId="0" borderId="0">
      <alignment horizontal="center"/>
    </xf>
    <xf numFmtId="43" fontId="2" fillId="14" borderId="0">
      <alignment horizontal="center"/>
    </xf>
    <xf numFmtId="43" fontId="2" fillId="19" borderId="0">
      <alignment horizontal="center"/>
    </xf>
    <xf numFmtId="243" fontId="23" fillId="0" borderId="0">
      <alignment horizontal="left"/>
    </xf>
    <xf numFmtId="170" fontId="20" fillId="0" borderId="0" applyFill="0" applyBorder="0" applyAlignment="0" applyProtection="0"/>
    <xf numFmtId="173" fontId="75" fillId="0" borderId="0">
      <alignment horizontal="center"/>
    </xf>
    <xf numFmtId="173" fontId="23" fillId="0" borderId="0">
      <alignment horizontal="right"/>
    </xf>
    <xf numFmtId="244" fontId="23" fillId="0" borderId="27">
      <alignment horizontal="left"/>
    </xf>
    <xf numFmtId="43" fontId="22" fillId="0" borderId="26">
      <alignment horizontal="center"/>
    </xf>
    <xf numFmtId="173" fontId="23" fillId="0" borderId="3">
      <alignment horizontal="right" vertical="center"/>
    </xf>
    <xf numFmtId="245" fontId="23" fillId="0" borderId="27">
      <alignment horizontal="left"/>
    </xf>
    <xf numFmtId="173" fontId="22" fillId="13" borderId="0"/>
    <xf numFmtId="173" fontId="22" fillId="13" borderId="0">
      <alignment horizontal="center" vertical="top"/>
    </xf>
    <xf numFmtId="173" fontId="22" fillId="0" borderId="10"/>
    <xf numFmtId="173" fontId="22" fillId="13" borderId="0">
      <alignment horizontal="center" vertical="top"/>
    </xf>
    <xf numFmtId="173" fontId="22" fillId="13" borderId="0">
      <alignment horizontal="right" vertical="top"/>
    </xf>
    <xf numFmtId="171" fontId="22" fillId="13" borderId="0">
      <alignment horizontal="center" vertical="top"/>
    </xf>
    <xf numFmtId="171" fontId="23" fillId="0" borderId="0">
      <alignment horizontal="right"/>
    </xf>
    <xf numFmtId="43" fontId="22" fillId="13" borderId="0">
      <alignment horizontal="center" vertical="top"/>
    </xf>
    <xf numFmtId="236" fontId="22" fillId="13" borderId="0">
      <alignment horizontal="center" vertical="top"/>
    </xf>
    <xf numFmtId="237" fontId="22" fillId="13" borderId="0">
      <alignment horizontal="center" vertical="top"/>
    </xf>
    <xf numFmtId="237" fontId="22" fillId="13" borderId="0">
      <alignment horizontal="center" vertical="top" wrapText="1"/>
    </xf>
    <xf numFmtId="173" fontId="22" fillId="13" borderId="0">
      <alignment horizontal="left" vertical="top"/>
    </xf>
    <xf numFmtId="43" fontId="22" fillId="13" borderId="0">
      <alignment horizontal="left" vertical="top"/>
    </xf>
    <xf numFmtId="43" fontId="22" fillId="13" borderId="0"/>
    <xf numFmtId="173" fontId="22" fillId="14" borderId="0">
      <alignment horizontal="center" vertical="top"/>
    </xf>
    <xf numFmtId="173" fontId="22" fillId="14" borderId="0">
      <alignment horizontal="right" vertical="top"/>
    </xf>
    <xf numFmtId="171" fontId="22" fillId="14" borderId="0">
      <alignment horizontal="center" vertical="top"/>
    </xf>
    <xf numFmtId="173" fontId="22" fillId="0" borderId="0">
      <alignment horizontal="right"/>
    </xf>
    <xf numFmtId="43" fontId="22" fillId="14" borderId="0">
      <alignment horizontal="center" vertical="top"/>
    </xf>
    <xf numFmtId="236" fontId="22" fillId="14" borderId="0">
      <alignment horizontal="center" vertical="top"/>
    </xf>
    <xf numFmtId="237" fontId="22" fillId="14" borderId="0">
      <alignment horizontal="center" vertical="top"/>
    </xf>
    <xf numFmtId="237" fontId="22" fillId="14" borderId="0">
      <alignment horizontal="center" vertical="top" wrapText="1"/>
    </xf>
    <xf numFmtId="173" fontId="22" fillId="14" borderId="0">
      <alignment horizontal="center" vertical="top"/>
    </xf>
    <xf numFmtId="173" fontId="22" fillId="14" borderId="0">
      <alignment horizontal="left" vertical="top"/>
    </xf>
    <xf numFmtId="173" fontId="22" fillId="14" borderId="0"/>
    <xf numFmtId="43" fontId="22" fillId="14" borderId="0">
      <alignment horizontal="left" vertical="top"/>
    </xf>
    <xf numFmtId="236" fontId="22" fillId="14" borderId="0">
      <alignment horizontal="center" vertical="top"/>
    </xf>
    <xf numFmtId="237" fontId="75" fillId="14" borderId="0">
      <alignment horizontal="center" wrapText="1"/>
    </xf>
    <xf numFmtId="173" fontId="22" fillId="0" borderId="0"/>
    <xf numFmtId="173" fontId="22" fillId="14" borderId="0">
      <alignment horizontal="left" vertical="top"/>
    </xf>
    <xf numFmtId="173" fontId="22" fillId="14" borderId="0">
      <alignment horizontal="right"/>
    </xf>
    <xf numFmtId="173" fontId="22" fillId="14" borderId="0">
      <alignment horizontal="right"/>
    </xf>
    <xf numFmtId="4" fontId="55" fillId="14" borderId="0">
      <alignment horizontal="right" vertical="top"/>
    </xf>
    <xf numFmtId="43" fontId="22" fillId="14" borderId="0">
      <alignment horizontal="center" vertical="top"/>
    </xf>
    <xf numFmtId="237" fontId="22" fillId="14" borderId="0">
      <alignment horizontal="center" vertical="top" wrapText="1"/>
    </xf>
    <xf numFmtId="43" fontId="22" fillId="14" borderId="0">
      <alignment horizontal="left" vertical="top"/>
    </xf>
    <xf numFmtId="173" fontId="23" fillId="6" borderId="9">
      <alignment horizontal="right" wrapText="1"/>
    </xf>
    <xf numFmtId="173" fontId="23" fillId="6" borderId="9">
      <alignment horizontal="center" wrapText="1"/>
    </xf>
    <xf numFmtId="171" fontId="23" fillId="6" borderId="9">
      <alignment horizontal="right" wrapText="1"/>
    </xf>
    <xf numFmtId="43" fontId="23" fillId="6" borderId="9">
      <alignment horizontal="center" wrapText="1"/>
    </xf>
    <xf numFmtId="236" fontId="23" fillId="6" borderId="9">
      <alignment horizontal="center" wrapText="1"/>
    </xf>
    <xf numFmtId="236" fontId="23" fillId="6" borderId="9">
      <alignment horizontal="center" wrapText="1"/>
    </xf>
    <xf numFmtId="208" fontId="24" fillId="0" borderId="0">
      <alignment horizontal="left" vertical="center" wrapText="1"/>
    </xf>
    <xf numFmtId="173" fontId="22" fillId="0" borderId="0">
      <alignment horizontal="right"/>
    </xf>
    <xf numFmtId="173" fontId="22" fillId="0" borderId="0"/>
    <xf numFmtId="171" fontId="22" fillId="0" borderId="0">
      <alignment horizontal="right"/>
    </xf>
    <xf numFmtId="43" fontId="22" fillId="0" borderId="0">
      <alignment horizontal="center"/>
    </xf>
    <xf numFmtId="236" fontId="22" fillId="0" borderId="0"/>
    <xf numFmtId="236" fontId="22" fillId="0" borderId="0">
      <alignment wrapText="1"/>
    </xf>
    <xf numFmtId="171" fontId="22" fillId="0" borderId="0">
      <alignment horizontal="center" vertical="top"/>
    </xf>
    <xf numFmtId="173" fontId="22" fillId="0" borderId="0">
      <alignment horizontal="center" vertical="top"/>
    </xf>
    <xf numFmtId="173" fontId="22" fillId="0" borderId="0">
      <alignment horizontal="center" vertical="top"/>
    </xf>
    <xf numFmtId="173" fontId="22" fillId="0" borderId="0">
      <alignment horizontal="left" vertical="top"/>
    </xf>
    <xf numFmtId="173" fontId="22" fillId="0" borderId="0">
      <alignment horizontal="right" vertical="center" wrapText="1"/>
    </xf>
    <xf numFmtId="173" fontId="22" fillId="0" borderId="0">
      <alignment horizontal="right" vertical="top"/>
    </xf>
    <xf numFmtId="171" fontId="22" fillId="0" borderId="0">
      <alignment horizontal="center" vertical="top"/>
    </xf>
    <xf numFmtId="171" fontId="75" fillId="0" borderId="0">
      <alignment horizontal="right"/>
    </xf>
    <xf numFmtId="43" fontId="75" fillId="0" borderId="0">
      <alignment horizontal="center"/>
    </xf>
    <xf numFmtId="236" fontId="75" fillId="0" borderId="0"/>
    <xf numFmtId="237" fontId="75" fillId="0" borderId="0">
      <alignment horizontal="center"/>
    </xf>
    <xf numFmtId="237" fontId="75" fillId="0" borderId="0">
      <alignment horizontal="center" wrapText="1"/>
    </xf>
    <xf numFmtId="236" fontId="75" fillId="0" borderId="0">
      <alignment wrapText="1"/>
    </xf>
    <xf numFmtId="43" fontId="55" fillId="0" borderId="0">
      <alignment horizontal="center"/>
    </xf>
    <xf numFmtId="43" fontId="55" fillId="0" borderId="0"/>
    <xf numFmtId="173" fontId="22" fillId="0" borderId="0">
      <alignment horizontal="center" vertical="center" wrapText="1"/>
    </xf>
    <xf numFmtId="43" fontId="55" fillId="0" borderId="17">
      <alignment horizontal="center" vertical="center"/>
    </xf>
    <xf numFmtId="43" fontId="55" fillId="0" borderId="12">
      <alignment horizontal="center" vertical="center"/>
    </xf>
    <xf numFmtId="43" fontId="79" fillId="0" borderId="12">
      <alignment horizontal="center" vertical="center"/>
    </xf>
    <xf numFmtId="43" fontId="79" fillId="0" borderId="13">
      <alignment horizontal="center"/>
    </xf>
    <xf numFmtId="43" fontId="79" fillId="0" borderId="0">
      <alignment horizontal="center"/>
    </xf>
    <xf numFmtId="2" fontId="79" fillId="0" borderId="0">
      <alignment horizontal="center"/>
    </xf>
    <xf numFmtId="43" fontId="79" fillId="0" borderId="14">
      <alignment horizontal="center"/>
    </xf>
    <xf numFmtId="43" fontId="79" fillId="0" borderId="0">
      <alignment horizontal="center"/>
    </xf>
    <xf numFmtId="173" fontId="79" fillId="0" borderId="0">
      <alignment horizontal="center" wrapText="1"/>
    </xf>
    <xf numFmtId="173" fontId="79" fillId="0" borderId="3">
      <alignment horizontal="center" wrapText="1"/>
    </xf>
    <xf numFmtId="171" fontId="22" fillId="0" borderId="0">
      <alignment horizontal="right" vertical="center" wrapText="1"/>
    </xf>
    <xf numFmtId="166" fontId="79" fillId="0" borderId="3">
      <alignment horizontal="center" wrapText="1"/>
    </xf>
    <xf numFmtId="43" fontId="87" fillId="0" borderId="0">
      <alignment horizontal="left"/>
    </xf>
    <xf numFmtId="43" fontId="79" fillId="0" borderId="0">
      <alignment horizontal="center" wrapText="1"/>
    </xf>
    <xf numFmtId="43" fontId="79" fillId="0" borderId="0">
      <alignment wrapText="1"/>
    </xf>
    <xf numFmtId="43" fontId="79" fillId="6" borderId="9">
      <alignment horizontal="right" wrapText="1"/>
    </xf>
    <xf numFmtId="43" fontId="79" fillId="6" borderId="9">
      <alignment horizontal="center" wrapText="1"/>
    </xf>
    <xf numFmtId="173" fontId="2" fillId="0" borderId="0"/>
    <xf numFmtId="173" fontId="2" fillId="0" borderId="0">
      <alignment horizontal="center"/>
    </xf>
    <xf numFmtId="173" fontId="2" fillId="0" borderId="0">
      <alignment horizontal="left"/>
    </xf>
    <xf numFmtId="173" fontId="2" fillId="0" borderId="0">
      <alignment horizontal="center"/>
    </xf>
    <xf numFmtId="43" fontId="23" fillId="0" borderId="0">
      <alignment horizontal="center" vertical="center" wrapText="1"/>
    </xf>
    <xf numFmtId="173" fontId="20" fillId="0" borderId="0">
      <alignment horizontal="center"/>
    </xf>
    <xf numFmtId="173" fontId="2" fillId="0" borderId="0"/>
    <xf numFmtId="173" fontId="80" fillId="0" borderId="0">
      <alignment horizontal="left" vertical="center"/>
    </xf>
    <xf numFmtId="173" fontId="23" fillId="0" borderId="27"/>
    <xf numFmtId="173" fontId="23" fillId="0" borderId="0"/>
    <xf numFmtId="43" fontId="23" fillId="0" borderId="0"/>
    <xf numFmtId="43" fontId="23" fillId="0" borderId="0">
      <alignment horizontal="center"/>
    </xf>
    <xf numFmtId="173" fontId="23" fillId="0" borderId="0">
      <alignment horizontal="center"/>
    </xf>
    <xf numFmtId="173" fontId="23" fillId="6" borderId="24">
      <alignment horizontal="center"/>
    </xf>
    <xf numFmtId="49" fontId="22" fillId="0" borderId="0">
      <alignment horizontal="left"/>
    </xf>
    <xf numFmtId="236" fontId="23" fillId="0" borderId="0">
      <alignment horizontal="center" vertical="center" wrapText="1"/>
    </xf>
    <xf numFmtId="49" fontId="22" fillId="0" borderId="13">
      <alignment horizontal="left"/>
    </xf>
    <xf numFmtId="49" fontId="22" fillId="0" borderId="15">
      <alignment horizontal="left"/>
    </xf>
    <xf numFmtId="173" fontId="77" fillId="0" borderId="14"/>
    <xf numFmtId="49" fontId="22" fillId="0" borderId="14">
      <alignment horizontal="left"/>
    </xf>
    <xf numFmtId="173" fontId="2" fillId="0" borderId="0">
      <alignment horizontal="center"/>
    </xf>
    <xf numFmtId="173" fontId="2" fillId="0" borderId="0"/>
    <xf numFmtId="173" fontId="2" fillId="0" borderId="0"/>
    <xf numFmtId="173" fontId="20" fillId="0" borderId="0">
      <alignment horizontal="right"/>
    </xf>
    <xf numFmtId="173" fontId="20" fillId="0" borderId="0">
      <alignment horizontal="center"/>
    </xf>
    <xf numFmtId="173" fontId="20" fillId="0" borderId="3"/>
    <xf numFmtId="173" fontId="23" fillId="0" borderId="0">
      <alignment horizontal="left" vertical="center" wrapText="1"/>
    </xf>
    <xf numFmtId="173" fontId="20" fillId="0" borderId="3">
      <alignment horizontal="center"/>
    </xf>
    <xf numFmtId="173" fontId="20" fillId="0" borderId="3">
      <alignment horizontal="center" wrapText="1"/>
    </xf>
    <xf numFmtId="173" fontId="20" fillId="0" borderId="0"/>
    <xf numFmtId="173" fontId="20" fillId="0" borderId="3">
      <alignment horizontal="center" wrapText="1"/>
    </xf>
    <xf numFmtId="173" fontId="20" fillId="0" borderId="0">
      <alignment horizontal="center"/>
    </xf>
    <xf numFmtId="173" fontId="20" fillId="0" borderId="3">
      <alignment horizontal="center"/>
    </xf>
    <xf numFmtId="173" fontId="20" fillId="0" borderId="0"/>
    <xf numFmtId="173" fontId="20" fillId="0" borderId="3">
      <alignment horizontal="left" wrapText="1"/>
    </xf>
    <xf numFmtId="237" fontId="2" fillId="0" borderId="0">
      <alignment horizontal="center"/>
    </xf>
    <xf numFmtId="237" fontId="2" fillId="0" borderId="0">
      <alignment horizontal="left"/>
    </xf>
    <xf numFmtId="0" fontId="88" fillId="0" borderId="0"/>
    <xf numFmtId="10" fontId="6" fillId="0" borderId="0"/>
    <xf numFmtId="0" fontId="26" fillId="0" borderId="0" applyFill="0" applyBorder="0" applyAlignment="0"/>
    <xf numFmtId="0" fontId="26" fillId="0" borderId="0" applyFill="0" applyBorder="0" applyAlignment="0"/>
    <xf numFmtId="0" fontId="26" fillId="0" borderId="0" applyFill="0" applyBorder="0" applyAlignment="0"/>
    <xf numFmtId="0" fontId="26" fillId="0" borderId="0" applyFill="0" applyBorder="0" applyAlignment="0"/>
    <xf numFmtId="0" fontId="26" fillId="0" borderId="0" applyFill="0" applyBorder="0" applyAlignment="0"/>
    <xf numFmtId="228" fontId="6" fillId="0" borderId="0"/>
    <xf numFmtId="0" fontId="89" fillId="6" borderId="0"/>
    <xf numFmtId="0" fontId="54" fillId="0" borderId="0" applyNumberFormat="0" applyFont="0" applyFill="0" applyBorder="0" applyAlignment="0" applyProtection="0">
      <alignment horizontal="left"/>
    </xf>
    <xf numFmtId="15" fontId="54" fillId="0" borderId="0" applyFont="0" applyFill="0" applyBorder="0" applyAlignment="0" applyProtection="0"/>
    <xf numFmtId="4" fontId="54" fillId="0" borderId="0" applyFont="0" applyFill="0" applyBorder="0" applyAlignment="0" applyProtection="0"/>
    <xf numFmtId="0" fontId="90" fillId="0" borderId="10">
      <alignment horizontal="center"/>
    </xf>
    <xf numFmtId="3" fontId="54" fillId="0" borderId="0" applyFont="0" applyFill="0" applyBorder="0" applyAlignment="0" applyProtection="0"/>
    <xf numFmtId="0" fontId="54" fillId="20" borderId="0" applyNumberFormat="0" applyFont="0" applyBorder="0" applyAlignment="0" applyProtection="0"/>
    <xf numFmtId="0" fontId="22" fillId="0" borderId="0">
      <alignment vertical="top"/>
    </xf>
    <xf numFmtId="0" fontId="22" fillId="0" borderId="0">
      <alignment vertical="top"/>
    </xf>
    <xf numFmtId="0" fontId="22" fillId="0" borderId="0">
      <alignment vertical="top"/>
    </xf>
    <xf numFmtId="0" fontId="22" fillId="0" borderId="0">
      <alignment vertical="top"/>
    </xf>
    <xf numFmtId="246" fontId="91" fillId="0" borderId="0"/>
    <xf numFmtId="0" fontId="6" fillId="0" borderId="0" applyFont="0" applyFill="0" applyBorder="0" applyProtection="0">
      <alignment horizontal="right"/>
    </xf>
    <xf numFmtId="0" fontId="6" fillId="0" borderId="0" applyFont="0" applyFill="0" applyBorder="0" applyProtection="0">
      <alignment horizontal="right"/>
    </xf>
    <xf numFmtId="0" fontId="6" fillId="0" borderId="0" applyFont="0" applyFill="0" applyBorder="0" applyProtection="0">
      <alignment horizontal="right"/>
    </xf>
    <xf numFmtId="0" fontId="92" fillId="21" borderId="0" applyNumberFormat="0" applyFont="0" applyBorder="0" applyAlignment="0">
      <alignment horizontal="center"/>
    </xf>
    <xf numFmtId="14" fontId="41" fillId="0" borderId="0" applyNumberFormat="0" applyFill="0" applyBorder="0" applyAlignment="0" applyProtection="0">
      <alignment horizontal="left"/>
    </xf>
    <xf numFmtId="49" fontId="2" fillId="0" borderId="0" applyFont="0" applyFill="0" applyBorder="0" applyProtection="0">
      <alignment horizontal="right"/>
    </xf>
    <xf numFmtId="49" fontId="20" fillId="0" borderId="0" applyFill="0" applyBorder="0" applyProtection="0">
      <alignment horizontal="right"/>
    </xf>
    <xf numFmtId="49" fontId="20" fillId="0" borderId="3" applyFill="0" applyProtection="0">
      <alignment horizontal="right"/>
    </xf>
    <xf numFmtId="49" fontId="20" fillId="0" borderId="12" applyFill="0" applyProtection="0">
      <alignment horizontal="right"/>
    </xf>
    <xf numFmtId="0" fontId="64" fillId="0" borderId="0" applyFill="0" applyBorder="0" applyProtection="0">
      <alignment horizontal="left"/>
    </xf>
    <xf numFmtId="0" fontId="13" fillId="22" borderId="0"/>
    <xf numFmtId="165" fontId="6" fillId="0" borderId="0" applyFont="0" applyFill="0" applyBorder="0" applyAlignment="0" applyProtection="0"/>
    <xf numFmtId="0" fontId="92" fillId="1" borderId="8" applyNumberFormat="0" applyFont="0" applyAlignment="0">
      <alignment horizontal="center"/>
    </xf>
    <xf numFmtId="247" fontId="93" fillId="0" borderId="0" applyFont="0" applyFill="0" applyBorder="0" applyAlignment="0" applyProtection="0"/>
    <xf numFmtId="1" fontId="6" fillId="0" borderId="0"/>
    <xf numFmtId="0" fontId="2" fillId="0" borderId="0" applyFont="0" applyFill="0" applyBorder="0" applyAlignment="0" applyProtection="0"/>
    <xf numFmtId="0" fontId="20" fillId="0" borderId="0" applyFill="0" applyBorder="0" applyAlignment="0" applyProtection="0"/>
    <xf numFmtId="42" fontId="21" fillId="0" borderId="0" applyFill="0" applyBorder="0" applyAlignment="0" applyProtection="0"/>
    <xf numFmtId="0" fontId="94" fillId="0" borderId="0" applyNumberFormat="0" applyFill="0" applyBorder="0" applyAlignment="0">
      <alignment horizontal="center"/>
    </xf>
    <xf numFmtId="12" fontId="6" fillId="0" borderId="0" applyFont="0" applyFill="0" applyBorder="0" applyProtection="0">
      <alignment horizontal="right"/>
    </xf>
    <xf numFmtId="0" fontId="6" fillId="23" borderId="0" applyFont="0" applyFill="0" applyBorder="0" applyProtection="0">
      <alignment horizontal="right"/>
    </xf>
    <xf numFmtId="0" fontId="4" fillId="0" borderId="0">
      <alignment vertical="top"/>
    </xf>
    <xf numFmtId="0" fontId="79" fillId="0" borderId="0" applyNumberFormat="0" applyFill="0" applyBorder="0" applyProtection="0">
      <alignment horizontal="left"/>
    </xf>
    <xf numFmtId="0" fontId="22" fillId="0" borderId="0" applyNumberFormat="0" applyFill="0" applyBorder="0" applyProtection="0">
      <alignment horizontal="left"/>
    </xf>
    <xf numFmtId="0" fontId="22" fillId="0" borderId="0" applyNumberFormat="0" applyFill="0" applyBorder="0" applyProtection="0">
      <alignment horizontal="left"/>
    </xf>
    <xf numFmtId="0" fontId="23" fillId="0" borderId="0" applyNumberFormat="0" applyFill="0" applyBorder="0" applyProtection="0">
      <alignment horizontal="left"/>
    </xf>
    <xf numFmtId="0" fontId="23" fillId="0" borderId="0" applyFill="0" applyBorder="0" applyProtection="0">
      <alignment horizontal="left" wrapText="1"/>
    </xf>
    <xf numFmtId="0" fontId="23" fillId="0" borderId="0" applyNumberFormat="0" applyFill="0" applyBorder="0" applyProtection="0">
      <alignment horizontal="right" wrapText="1"/>
    </xf>
    <xf numFmtId="1" fontId="22" fillId="0" borderId="0" applyFill="0" applyBorder="0" applyProtection="0">
      <alignment horizontal="left"/>
    </xf>
    <xf numFmtId="49" fontId="22" fillId="0" borderId="0" applyFill="0" applyBorder="0" applyProtection="0">
      <alignment horizontal="left"/>
    </xf>
    <xf numFmtId="1" fontId="22" fillId="0" borderId="0" applyFill="0" applyBorder="0" applyProtection="0">
      <alignment horizontal="center"/>
    </xf>
    <xf numFmtId="37" fontId="22" fillId="0" borderId="0" applyFill="0" applyBorder="0" applyProtection="0">
      <alignment horizontal="right"/>
    </xf>
    <xf numFmtId="7" fontId="22" fillId="0" borderId="0" applyFill="0" applyBorder="0" applyProtection="0">
      <alignment horizontal="right"/>
    </xf>
    <xf numFmtId="248" fontId="22" fillId="0" borderId="0" applyFill="0" applyBorder="0" applyProtection="0">
      <alignment horizontal="left"/>
    </xf>
    <xf numFmtId="37" fontId="23" fillId="0" borderId="0" applyFill="0" applyBorder="0" applyProtection="0">
      <alignment horizontal="right"/>
    </xf>
    <xf numFmtId="7" fontId="23" fillId="0" borderId="0" applyFill="0" applyBorder="0" applyProtection="0">
      <alignment horizontal="right"/>
    </xf>
    <xf numFmtId="249" fontId="22" fillId="0" borderId="0" applyFill="0" applyBorder="0" applyProtection="0">
      <alignment horizontal="right"/>
    </xf>
    <xf numFmtId="250" fontId="22" fillId="0" borderId="0" applyFill="0" applyBorder="0" applyProtection="0">
      <alignment horizontal="right"/>
    </xf>
    <xf numFmtId="251" fontId="22" fillId="0" borderId="0" applyFill="0" applyBorder="0" applyProtection="0">
      <alignment horizontal="right"/>
    </xf>
    <xf numFmtId="14" fontId="22" fillId="0" borderId="0" applyFill="0" applyBorder="0" applyProtection="0">
      <alignment horizontal="right"/>
    </xf>
    <xf numFmtId="14" fontId="22" fillId="0" borderId="0" applyFill="0" applyBorder="0" applyProtection="0">
      <alignment horizontal="right"/>
    </xf>
    <xf numFmtId="252" fontId="22" fillId="0" borderId="0" applyFill="0" applyBorder="0" applyProtection="0">
      <alignment horizontal="left"/>
    </xf>
    <xf numFmtId="253" fontId="22" fillId="0" borderId="0" applyFill="0" applyBorder="0" applyProtection="0">
      <alignment horizontal="left"/>
    </xf>
    <xf numFmtId="249" fontId="23" fillId="0" borderId="0" applyFill="0" applyBorder="0" applyProtection="0">
      <alignment horizontal="right"/>
    </xf>
    <xf numFmtId="1" fontId="23" fillId="0" borderId="0" applyFill="0" applyBorder="0" applyProtection="0">
      <alignment horizontal="left"/>
    </xf>
    <xf numFmtId="248" fontId="23" fillId="0" borderId="0" applyFill="0" applyBorder="0" applyProtection="0">
      <alignment horizontal="left"/>
    </xf>
    <xf numFmtId="37" fontId="23" fillId="0" borderId="0" applyFill="0" applyBorder="0" applyProtection="0">
      <alignment horizontal="right"/>
    </xf>
    <xf numFmtId="1" fontId="95" fillId="0" borderId="0" applyFill="0" applyBorder="0" applyProtection="0">
      <alignment horizontal="left"/>
    </xf>
    <xf numFmtId="49" fontId="22" fillId="0" borderId="0" applyFill="0" applyBorder="0" applyProtection="0">
      <alignment horizontal="left"/>
    </xf>
    <xf numFmtId="253" fontId="22" fillId="0" borderId="0" applyFill="0" applyBorder="0" applyProtection="0">
      <alignment horizontal="left"/>
    </xf>
    <xf numFmtId="0" fontId="4" fillId="0" borderId="0" applyNumberFormat="0" applyBorder="0" applyAlignment="0"/>
    <xf numFmtId="0" fontId="14" fillId="0" borderId="0"/>
    <xf numFmtId="40" fontId="96" fillId="0" borderId="0" applyBorder="0">
      <alignment horizontal="right"/>
    </xf>
    <xf numFmtId="6" fontId="70" fillId="0" borderId="36" applyFill="0">
      <alignment vertical="center"/>
    </xf>
    <xf numFmtId="0" fontId="15" fillId="0" borderId="0"/>
    <xf numFmtId="0" fontId="97" fillId="0" borderId="0"/>
    <xf numFmtId="0" fontId="2" fillId="0" borderId="0"/>
    <xf numFmtId="49" fontId="4" fillId="0" borderId="0" applyFill="0" applyBorder="0" applyAlignment="0"/>
    <xf numFmtId="0" fontId="26" fillId="0" borderId="0" applyFill="0" applyBorder="0" applyAlignment="0"/>
    <xf numFmtId="202" fontId="6" fillId="0" borderId="0" applyFill="0" applyBorder="0" applyAlignment="0"/>
    <xf numFmtId="0" fontId="16" fillId="0" borderId="0"/>
    <xf numFmtId="0" fontId="17" fillId="0" borderId="0"/>
    <xf numFmtId="0" fontId="18" fillId="0" borderId="0">
      <alignment vertical="top"/>
    </xf>
    <xf numFmtId="254" fontId="70" fillId="0" borderId="0" applyFill="0" applyBorder="0">
      <alignment vertical="center"/>
    </xf>
    <xf numFmtId="0" fontId="22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38" fontId="98" fillId="0" borderId="0" applyNumberFormat="0" applyFill="0" applyBorder="0">
      <alignment horizontal="left" vertical="center"/>
    </xf>
    <xf numFmtId="38" fontId="99" fillId="0" borderId="0" applyNumberFormat="0" applyFill="0" applyBorder="0">
      <alignment horizontal="centerContinuous" vertical="center"/>
    </xf>
    <xf numFmtId="0" fontId="19" fillId="0" borderId="0">
      <alignment vertical="top"/>
    </xf>
    <xf numFmtId="0" fontId="100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5" fillId="0" borderId="0" applyFill="0" applyBorder="0" applyAlignment="0" applyProtection="0"/>
    <xf numFmtId="0" fontId="16" fillId="0" borderId="0">
      <alignment wrapText="1"/>
    </xf>
    <xf numFmtId="0" fontId="101" fillId="0" borderId="0">
      <alignment horizontal="left"/>
      <protection locked="0"/>
    </xf>
    <xf numFmtId="165" fontId="6" fillId="0" borderId="0" applyFont="0" applyFill="0" applyBorder="0" applyAlignment="0" applyProtection="0">
      <alignment wrapText="1"/>
    </xf>
    <xf numFmtId="5" fontId="86" fillId="0" borderId="0">
      <alignment vertical="center"/>
    </xf>
    <xf numFmtId="224" fontId="26" fillId="0" borderId="0"/>
    <xf numFmtId="255" fontId="27" fillId="0" borderId="0" applyFill="0" applyBorder="0" applyAlignment="0" applyProtection="0"/>
    <xf numFmtId="14" fontId="22" fillId="0" borderId="0" applyFont="0" applyFill="0" applyBorder="0" applyProtection="0"/>
    <xf numFmtId="256" fontId="102" fillId="0" borderId="0" applyFill="0" applyBorder="0">
      <alignment vertical="center"/>
    </xf>
    <xf numFmtId="0" fontId="70" fillId="24" borderId="37" applyNumberFormat="0" applyFont="0" applyBorder="0" applyAlignment="0" applyProtection="0">
      <alignment horizontal="right"/>
    </xf>
    <xf numFmtId="257" fontId="21" fillId="0" borderId="0" applyFont="0" applyFill="0" applyBorder="0" applyAlignment="0" applyProtection="0"/>
    <xf numFmtId="256" fontId="103" fillId="0" borderId="0">
      <alignment horizontal="center"/>
    </xf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42" fontId="6" fillId="0" borderId="0" applyFont="0" applyFill="0" applyBorder="0" applyAlignment="0" applyProtection="0"/>
  </cellStyleXfs>
  <cellXfs count="399">
    <xf numFmtId="0" fontId="0" fillId="0" borderId="0" xfId="0"/>
    <xf numFmtId="0" fontId="109" fillId="0" borderId="0" xfId="0" applyFont="1"/>
    <xf numFmtId="0" fontId="110" fillId="0" borderId="0" xfId="0" applyFont="1"/>
    <xf numFmtId="0" fontId="111" fillId="0" borderId="0" xfId="0" applyFont="1"/>
    <xf numFmtId="166" fontId="112" fillId="0" borderId="0" xfId="0" applyNumberFormat="1" applyFont="1"/>
    <xf numFmtId="0" fontId="113" fillId="0" borderId="0" xfId="0" applyFont="1"/>
    <xf numFmtId="166" fontId="109" fillId="0" borderId="0" xfId="0" applyNumberFormat="1" applyFont="1"/>
    <xf numFmtId="0" fontId="109" fillId="0" borderId="0" xfId="0" applyFont="1" applyAlignment="1">
      <alignment horizontal="left"/>
    </xf>
    <xf numFmtId="166" fontId="113" fillId="0" borderId="0" xfId="0" applyNumberFormat="1" applyFont="1"/>
    <xf numFmtId="168" fontId="109" fillId="0" borderId="0" xfId="0" applyNumberFormat="1" applyFont="1"/>
    <xf numFmtId="0" fontId="114" fillId="26" borderId="0" xfId="0" applyFont="1" applyFill="1" applyAlignment="1">
      <alignment horizontal="left"/>
    </xf>
    <xf numFmtId="0" fontId="113" fillId="26" borderId="0" xfId="0" applyFont="1" applyFill="1"/>
    <xf numFmtId="0" fontId="113" fillId="26" borderId="38" xfId="0" applyFont="1" applyFill="1" applyBorder="1" applyAlignment="1">
      <alignment horizontal="centerContinuous"/>
    </xf>
    <xf numFmtId="169" fontId="113" fillId="26" borderId="0" xfId="0" applyNumberFormat="1" applyFont="1" applyFill="1" applyAlignment="1">
      <alignment horizontal="centerContinuous"/>
    </xf>
    <xf numFmtId="169" fontId="113" fillId="26" borderId="0" xfId="0" applyNumberFormat="1" applyFont="1" applyFill="1" applyAlignment="1">
      <alignment horizontal="center"/>
    </xf>
    <xf numFmtId="0" fontId="113" fillId="0" borderId="0" xfId="0" applyFont="1" applyAlignment="1">
      <alignment horizontal="left"/>
    </xf>
    <xf numFmtId="0" fontId="113" fillId="26" borderId="3" xfId="0" applyFont="1" applyFill="1" applyBorder="1"/>
    <xf numFmtId="0" fontId="109" fillId="26" borderId="3" xfId="0" applyFont="1" applyFill="1" applyBorder="1"/>
    <xf numFmtId="0" fontId="115" fillId="27" borderId="0" xfId="0" applyFont="1" applyFill="1" applyAlignment="1">
      <alignment horizontal="left" indent="1"/>
    </xf>
    <xf numFmtId="170" fontId="116" fillId="27" borderId="0" xfId="548" applyNumberFormat="1" applyFont="1" applyFill="1"/>
    <xf numFmtId="0" fontId="115" fillId="27" borderId="0" xfId="0" applyFont="1" applyFill="1" applyAlignment="1">
      <alignment horizontal="left"/>
    </xf>
    <xf numFmtId="43" fontId="111" fillId="0" borderId="0" xfId="162" applyFont="1" applyFill="1" applyBorder="1" applyAlignment="1">
      <alignment horizontal="center"/>
    </xf>
    <xf numFmtId="37" fontId="109" fillId="0" borderId="0" xfId="0" applyNumberFormat="1" applyFont="1"/>
    <xf numFmtId="0" fontId="113" fillId="0" borderId="39" xfId="0" applyFont="1" applyBorder="1"/>
    <xf numFmtId="166" fontId="111" fillId="0" borderId="0" xfId="0" applyNumberFormat="1" applyFont="1"/>
    <xf numFmtId="0" fontId="115" fillId="27" borderId="0" xfId="0" applyFont="1" applyFill="1"/>
    <xf numFmtId="170" fontId="115" fillId="27" borderId="0" xfId="548" applyNumberFormat="1" applyFont="1" applyFill="1"/>
    <xf numFmtId="258" fontId="113" fillId="0" borderId="0" xfId="0" applyNumberFormat="1" applyFont="1"/>
    <xf numFmtId="258" fontId="109" fillId="0" borderId="0" xfId="0" applyNumberFormat="1" applyFont="1"/>
    <xf numFmtId="0" fontId="109" fillId="0" borderId="0" xfId="269" applyFont="1"/>
    <xf numFmtId="167" fontId="113" fillId="0" borderId="0" xfId="0" applyNumberFormat="1" applyFont="1"/>
    <xf numFmtId="166" fontId="117" fillId="0" borderId="0" xfId="0" applyNumberFormat="1" applyFont="1"/>
    <xf numFmtId="166" fontId="118" fillId="0" borderId="0" xfId="0" applyNumberFormat="1" applyFont="1"/>
    <xf numFmtId="170" fontId="115" fillId="27" borderId="0" xfId="0" applyNumberFormat="1" applyFont="1" applyFill="1"/>
    <xf numFmtId="169" fontId="113" fillId="26" borderId="3" xfId="0" applyNumberFormat="1" applyFont="1" applyFill="1" applyBorder="1" applyAlignment="1">
      <alignment horizontal="centerContinuous"/>
    </xf>
    <xf numFmtId="0" fontId="115" fillId="0" borderId="0" xfId="0" applyFont="1"/>
    <xf numFmtId="0" fontId="109" fillId="0" borderId="0" xfId="0" applyFont="1" applyAlignment="1">
      <alignment horizontal="right"/>
    </xf>
    <xf numFmtId="259" fontId="113" fillId="0" borderId="0" xfId="0" applyNumberFormat="1" applyFont="1" applyAlignment="1">
      <alignment horizontal="right"/>
    </xf>
    <xf numFmtId="259" fontId="109" fillId="0" borderId="0" xfId="0" applyNumberFormat="1" applyFont="1" applyAlignment="1">
      <alignment horizontal="right"/>
    </xf>
    <xf numFmtId="9" fontId="115" fillId="27" borderId="0" xfId="548" applyFont="1" applyFill="1" applyAlignment="1">
      <alignment horizontal="right"/>
    </xf>
    <xf numFmtId="37" fontId="109" fillId="0" borderId="0" xfId="0" applyNumberFormat="1" applyFont="1" applyAlignment="1">
      <alignment horizontal="right"/>
    </xf>
    <xf numFmtId="166" fontId="113" fillId="0" borderId="0" xfId="0" applyNumberFormat="1" applyFont="1" applyAlignment="1">
      <alignment horizontal="right"/>
    </xf>
    <xf numFmtId="9" fontId="109" fillId="0" borderId="0" xfId="548" applyFont="1"/>
    <xf numFmtId="9" fontId="109" fillId="0" borderId="0" xfId="548" applyFont="1" applyFill="1"/>
    <xf numFmtId="0" fontId="109" fillId="0" borderId="7" xfId="0" applyFont="1" applyBorder="1"/>
    <xf numFmtId="170" fontId="115" fillId="0" borderId="0" xfId="548" applyNumberFormat="1" applyFont="1" applyFill="1"/>
    <xf numFmtId="166" fontId="113" fillId="0" borderId="39" xfId="0" applyNumberFormat="1" applyFont="1" applyBorder="1"/>
    <xf numFmtId="260" fontId="113" fillId="0" borderId="39" xfId="0" applyNumberFormat="1" applyFont="1" applyBorder="1"/>
    <xf numFmtId="0" fontId="115" fillId="0" borderId="0" xfId="0" applyFont="1" applyAlignment="1">
      <alignment horizontal="left" indent="1"/>
    </xf>
    <xf numFmtId="1" fontId="109" fillId="0" borderId="0" xfId="0" applyNumberFormat="1" applyFont="1" applyAlignment="1">
      <alignment horizontal="right"/>
    </xf>
    <xf numFmtId="0" fontId="113" fillId="0" borderId="7" xfId="0" applyFont="1" applyBorder="1"/>
    <xf numFmtId="170" fontId="115" fillId="27" borderId="0" xfId="548" applyNumberFormat="1" applyFont="1" applyFill="1" applyAlignment="1">
      <alignment horizontal="right"/>
    </xf>
    <xf numFmtId="0" fontId="113" fillId="0" borderId="0" xfId="269" applyFont="1"/>
    <xf numFmtId="0" fontId="113" fillId="0" borderId="23" xfId="269" applyFont="1" applyBorder="1"/>
    <xf numFmtId="0" fontId="109" fillId="0" borderId="21" xfId="269" applyFont="1" applyBorder="1" applyAlignment="1">
      <alignment horizontal="left"/>
    </xf>
    <xf numFmtId="0" fontId="109" fillId="0" borderId="22" xfId="269" applyFont="1" applyBorder="1" applyAlignment="1">
      <alignment horizontal="left"/>
    </xf>
    <xf numFmtId="0" fontId="113" fillId="0" borderId="26" xfId="269" applyFont="1" applyBorder="1"/>
    <xf numFmtId="2" fontId="109" fillId="0" borderId="0" xfId="0" applyNumberFormat="1" applyFont="1"/>
    <xf numFmtId="0" fontId="113" fillId="26" borderId="8" xfId="0" applyFont="1" applyFill="1" applyBorder="1"/>
    <xf numFmtId="0" fontId="113" fillId="0" borderId="6" xfId="0" applyFont="1" applyBorder="1"/>
    <xf numFmtId="0" fontId="113" fillId="0" borderId="40" xfId="269" applyFont="1" applyBorder="1" applyAlignment="1">
      <alignment horizontal="left" wrapText="1"/>
    </xf>
    <xf numFmtId="0" fontId="113" fillId="0" borderId="41" xfId="269" applyFont="1" applyBorder="1" applyAlignment="1">
      <alignment horizontal="left" wrapText="1"/>
    </xf>
    <xf numFmtId="0" fontId="109" fillId="0" borderId="21" xfId="269" applyFont="1" applyBorder="1" applyAlignment="1">
      <alignment horizontal="left" wrapText="1"/>
    </xf>
    <xf numFmtId="0" fontId="109" fillId="0" borderId="42" xfId="269" applyFont="1" applyBorder="1"/>
    <xf numFmtId="170" fontId="119" fillId="27" borderId="0" xfId="548" applyNumberFormat="1" applyFont="1" applyFill="1"/>
    <xf numFmtId="171" fontId="120" fillId="0" borderId="0" xfId="162" applyNumberFormat="1" applyFont="1" applyFill="1" applyBorder="1"/>
    <xf numFmtId="166" fontId="120" fillId="0" borderId="0" xfId="0" applyNumberFormat="1" applyFont="1"/>
    <xf numFmtId="171" fontId="120" fillId="0" borderId="0" xfId="162" applyNumberFormat="1" applyFont="1" applyFill="1"/>
    <xf numFmtId="171" fontId="109" fillId="0" borderId="0" xfId="162" applyNumberFormat="1" applyFont="1" applyFill="1" applyBorder="1"/>
    <xf numFmtId="166" fontId="121" fillId="0" borderId="0" xfId="0" applyNumberFormat="1" applyFont="1"/>
    <xf numFmtId="171" fontId="113" fillId="0" borderId="0" xfId="162" applyNumberFormat="1" applyFont="1" applyFill="1" applyBorder="1"/>
    <xf numFmtId="171" fontId="112" fillId="0" borderId="0" xfId="162" applyNumberFormat="1" applyFont="1" applyFill="1"/>
    <xf numFmtId="170" fontId="113" fillId="0" borderId="0" xfId="548" applyNumberFormat="1" applyFont="1" applyFill="1" applyAlignment="1">
      <alignment horizontal="right"/>
    </xf>
    <xf numFmtId="170" fontId="113" fillId="0" borderId="0" xfId="548" applyNumberFormat="1" applyFont="1" applyFill="1" applyBorder="1"/>
    <xf numFmtId="171" fontId="113" fillId="0" borderId="0" xfId="162" applyNumberFormat="1" applyFont="1" applyFill="1"/>
    <xf numFmtId="169" fontId="113" fillId="26" borderId="3" xfId="0" applyNumberFormat="1" applyFont="1" applyFill="1" applyBorder="1" applyAlignment="1">
      <alignment horizontal="center" vertical="center"/>
    </xf>
    <xf numFmtId="171" fontId="109" fillId="0" borderId="0" xfId="162" applyNumberFormat="1" applyFont="1" applyAlignment="1">
      <alignment horizontal="right"/>
    </xf>
    <xf numFmtId="171" fontId="113" fillId="0" borderId="39" xfId="162" applyNumberFormat="1" applyFont="1" applyFill="1" applyBorder="1" applyAlignment="1">
      <alignment horizontal="right"/>
    </xf>
    <xf numFmtId="171" fontId="109" fillId="0" borderId="0" xfId="162" applyNumberFormat="1" applyFont="1" applyBorder="1"/>
    <xf numFmtId="171" fontId="109" fillId="0" borderId="7" xfId="162" applyNumberFormat="1" applyFont="1" applyBorder="1"/>
    <xf numFmtId="171" fontId="113" fillId="0" borderId="7" xfId="162" applyNumberFormat="1" applyFont="1" applyBorder="1"/>
    <xf numFmtId="171" fontId="109" fillId="0" borderId="0" xfId="162" applyNumberFormat="1" applyFont="1"/>
    <xf numFmtId="171" fontId="113" fillId="0" borderId="6" xfId="162" applyNumberFormat="1" applyFont="1" applyBorder="1"/>
    <xf numFmtId="169" fontId="113" fillId="26" borderId="8" xfId="0" applyNumberFormat="1" applyFont="1" applyFill="1" applyBorder="1" applyAlignment="1">
      <alignment horizontal="center" vertical="center"/>
    </xf>
    <xf numFmtId="173" fontId="109" fillId="0" borderId="27" xfId="162" applyNumberFormat="1" applyFont="1" applyFill="1" applyBorder="1" applyAlignment="1">
      <alignment horizontal="left" wrapText="1"/>
    </xf>
    <xf numFmtId="173" fontId="109" fillId="0" borderId="43" xfId="162" applyNumberFormat="1" applyFont="1" applyFill="1" applyBorder="1" applyAlignment="1">
      <alignment horizontal="left" wrapText="1"/>
    </xf>
    <xf numFmtId="170" fontId="112" fillId="0" borderId="0" xfId="548" applyNumberFormat="1" applyFont="1" applyFill="1"/>
    <xf numFmtId="0" fontId="109" fillId="0" borderId="44" xfId="0" applyFont="1" applyBorder="1"/>
    <xf numFmtId="171" fontId="109" fillId="0" borderId="44" xfId="162" applyNumberFormat="1" applyFont="1" applyBorder="1"/>
    <xf numFmtId="171" fontId="112" fillId="0" borderId="0" xfId="0" applyNumberFormat="1" applyFont="1"/>
    <xf numFmtId="0" fontId="122" fillId="0" borderId="0" xfId="0" applyFont="1"/>
    <xf numFmtId="173" fontId="109" fillId="27" borderId="0" xfId="162" applyNumberFormat="1" applyFont="1" applyFill="1" applyBorder="1" applyAlignment="1">
      <alignment horizontal="center" wrapText="1"/>
    </xf>
    <xf numFmtId="171" fontId="109" fillId="27" borderId="0" xfId="162" applyNumberFormat="1" applyFont="1" applyFill="1" applyBorder="1" applyAlignment="1">
      <alignment horizontal="center" wrapText="1"/>
    </xf>
    <xf numFmtId="173" fontId="109" fillId="0" borderId="27" xfId="269" applyNumberFormat="1" applyFont="1" applyBorder="1"/>
    <xf numFmtId="166" fontId="123" fillId="0" borderId="0" xfId="0" applyNumberFormat="1" applyFont="1"/>
    <xf numFmtId="0" fontId="123" fillId="0" borderId="0" xfId="0" applyFont="1"/>
    <xf numFmtId="166" fontId="124" fillId="0" borderId="0" xfId="0" applyNumberFormat="1" applyFont="1"/>
    <xf numFmtId="172" fontId="120" fillId="0" borderId="0" xfId="0" applyNumberFormat="1" applyFont="1"/>
    <xf numFmtId="0" fontId="120" fillId="0" borderId="0" xfId="0" applyFont="1"/>
    <xf numFmtId="260" fontId="112" fillId="0" borderId="0" xfId="0" applyNumberFormat="1" applyFont="1"/>
    <xf numFmtId="260" fontId="109" fillId="0" borderId="0" xfId="0" applyNumberFormat="1" applyFont="1"/>
    <xf numFmtId="170" fontId="125" fillId="27" borderId="0" xfId="548" applyNumberFormat="1" applyFont="1" applyFill="1" applyBorder="1"/>
    <xf numFmtId="171" fontId="121" fillId="0" borderId="0" xfId="162" applyNumberFormat="1" applyFont="1" applyFill="1"/>
    <xf numFmtId="0" fontId="113" fillId="0" borderId="22" xfId="269" applyFont="1" applyBorder="1" applyAlignment="1">
      <alignment horizontal="left"/>
    </xf>
    <xf numFmtId="171" fontId="109" fillId="0" borderId="27" xfId="269" applyNumberFormat="1" applyFont="1" applyBorder="1"/>
    <xf numFmtId="171" fontId="109" fillId="0" borderId="28" xfId="269" applyNumberFormat="1" applyFont="1" applyBorder="1"/>
    <xf numFmtId="260" fontId="113" fillId="0" borderId="28" xfId="269" applyNumberFormat="1" applyFont="1" applyBorder="1"/>
    <xf numFmtId="171" fontId="113" fillId="0" borderId="8" xfId="162" applyNumberFormat="1" applyFont="1" applyFill="1" applyBorder="1"/>
    <xf numFmtId="171" fontId="113" fillId="28" borderId="0" xfId="162" applyNumberFormat="1" applyFont="1" applyFill="1" applyBorder="1"/>
    <xf numFmtId="0" fontId="113" fillId="26" borderId="38" xfId="0" applyFont="1" applyFill="1" applyBorder="1" applyAlignment="1">
      <alignment horizontal="center"/>
    </xf>
    <xf numFmtId="0" fontId="113" fillId="0" borderId="0" xfId="272" applyFont="1" applyAlignment="1">
      <alignment horizontal="left"/>
    </xf>
    <xf numFmtId="0" fontId="109" fillId="0" borderId="0" xfId="272" quotePrefix="1" applyFont="1" applyAlignment="1">
      <alignment horizontal="left"/>
    </xf>
    <xf numFmtId="3" fontId="120" fillId="0" borderId="0" xfId="0" applyNumberFormat="1" applyFont="1"/>
    <xf numFmtId="0" fontId="109" fillId="0" borderId="0" xfId="271" applyFont="1"/>
    <xf numFmtId="0" fontId="113" fillId="0" borderId="0" xfId="272" quotePrefix="1" applyFont="1" applyAlignment="1">
      <alignment horizontal="left"/>
    </xf>
    <xf numFmtId="0" fontId="113" fillId="27" borderId="45" xfId="269" applyFont="1" applyFill="1" applyBorder="1" applyAlignment="1">
      <alignment horizontal="right" wrapText="1"/>
    </xf>
    <xf numFmtId="173" fontId="109" fillId="27" borderId="13" xfId="162" applyNumberFormat="1" applyFont="1" applyFill="1" applyBorder="1" applyAlignment="1">
      <alignment horizontal="center" wrapText="1"/>
    </xf>
    <xf numFmtId="0" fontId="109" fillId="27" borderId="14" xfId="269" applyFont="1" applyFill="1" applyBorder="1" applyAlignment="1">
      <alignment horizontal="right" wrapText="1"/>
    </xf>
    <xf numFmtId="171" fontId="109" fillId="27" borderId="13" xfId="162" applyNumberFormat="1" applyFont="1" applyFill="1" applyBorder="1" applyAlignment="1">
      <alignment horizontal="center" wrapText="1"/>
    </xf>
    <xf numFmtId="171" fontId="113" fillId="28" borderId="46" xfId="162" applyNumberFormat="1" applyFont="1" applyFill="1" applyBorder="1"/>
    <xf numFmtId="259" fontId="113" fillId="28" borderId="45" xfId="270" applyNumberFormat="1" applyFont="1" applyFill="1" applyBorder="1"/>
    <xf numFmtId="171" fontId="109" fillId="28" borderId="13" xfId="162" applyNumberFormat="1" applyFont="1" applyFill="1" applyBorder="1"/>
    <xf numFmtId="171" fontId="109" fillId="28" borderId="0" xfId="162" applyNumberFormat="1" applyFont="1" applyFill="1" applyBorder="1"/>
    <xf numFmtId="259" fontId="109" fillId="28" borderId="14" xfId="270" applyNumberFormat="1" applyFont="1" applyFill="1" applyBorder="1"/>
    <xf numFmtId="171" fontId="113" fillId="28" borderId="13" xfId="162" applyNumberFormat="1" applyFont="1" applyFill="1" applyBorder="1"/>
    <xf numFmtId="0" fontId="109" fillId="0" borderId="14" xfId="269" applyFont="1" applyBorder="1"/>
    <xf numFmtId="166" fontId="109" fillId="0" borderId="15" xfId="0" applyNumberFormat="1" applyFont="1" applyBorder="1"/>
    <xf numFmtId="166" fontId="109" fillId="0" borderId="3" xfId="0" applyNumberFormat="1" applyFont="1" applyBorder="1"/>
    <xf numFmtId="0" fontId="109" fillId="0" borderId="16" xfId="269" applyFont="1" applyBorder="1"/>
    <xf numFmtId="0" fontId="113" fillId="27" borderId="11" xfId="269" applyFont="1" applyFill="1" applyBorder="1" applyAlignment="1">
      <alignment horizontal="left" wrapText="1"/>
    </xf>
    <xf numFmtId="0" fontId="113" fillId="27" borderId="32" xfId="269" applyFont="1" applyFill="1" applyBorder="1" applyAlignment="1">
      <alignment horizontal="left" wrapText="1"/>
    </xf>
    <xf numFmtId="0" fontId="109" fillId="27" borderId="32" xfId="269" applyFont="1" applyFill="1" applyBorder="1" applyAlignment="1">
      <alignment horizontal="left" wrapText="1"/>
    </xf>
    <xf numFmtId="0" fontId="113" fillId="28" borderId="11" xfId="270" applyFont="1" applyFill="1" applyBorder="1"/>
    <xf numFmtId="0" fontId="109" fillId="28" borderId="32" xfId="270" applyFont="1" applyFill="1" applyBorder="1"/>
    <xf numFmtId="0" fontId="113" fillId="28" borderId="32" xfId="270" applyFont="1" applyFill="1" applyBorder="1"/>
    <xf numFmtId="0" fontId="109" fillId="28" borderId="47" xfId="270" applyFont="1" applyFill="1" applyBorder="1"/>
    <xf numFmtId="0" fontId="126" fillId="0" borderId="0" xfId="269" applyFont="1"/>
    <xf numFmtId="171" fontId="126" fillId="0" borderId="0" xfId="269" applyNumberFormat="1" applyFont="1"/>
    <xf numFmtId="0" fontId="115" fillId="0" borderId="0" xfId="269" applyFont="1"/>
    <xf numFmtId="0" fontId="109" fillId="0" borderId="0" xfId="0" applyFont="1" applyAlignment="1">
      <alignment wrapText="1"/>
    </xf>
    <xf numFmtId="166" fontId="112" fillId="0" borderId="0" xfId="0" applyNumberFormat="1" applyFont="1" applyAlignment="1">
      <alignment horizontal="right" vertical="center"/>
    </xf>
    <xf numFmtId="3" fontId="121" fillId="0" borderId="0" xfId="0" applyNumberFormat="1" applyFont="1"/>
    <xf numFmtId="3" fontId="113" fillId="0" borderId="0" xfId="0" applyNumberFormat="1" applyFont="1"/>
    <xf numFmtId="0" fontId="113" fillId="0" borderId="0" xfId="271" applyFont="1"/>
    <xf numFmtId="3" fontId="109" fillId="0" borderId="0" xfId="0" applyNumberFormat="1" applyFont="1"/>
    <xf numFmtId="0" fontId="126" fillId="0" borderId="0" xfId="272" quotePrefix="1" applyFont="1" applyAlignment="1">
      <alignment horizontal="left"/>
    </xf>
    <xf numFmtId="3" fontId="126" fillId="0" borderId="0" xfId="0" applyNumberFormat="1" applyFont="1"/>
    <xf numFmtId="3" fontId="120" fillId="29" borderId="0" xfId="0" applyNumberFormat="1" applyFont="1" applyFill="1"/>
    <xf numFmtId="263" fontId="113" fillId="0" borderId="0" xfId="0" applyNumberFormat="1" applyFont="1"/>
    <xf numFmtId="170" fontId="109" fillId="0" borderId="0" xfId="548" applyNumberFormat="1" applyFont="1" applyFill="1" applyBorder="1"/>
    <xf numFmtId="9" fontId="120" fillId="0" borderId="0" xfId="548" applyFont="1" applyFill="1" applyBorder="1"/>
    <xf numFmtId="10" fontId="120" fillId="0" borderId="0" xfId="548" applyNumberFormat="1" applyFont="1" applyFill="1" applyBorder="1"/>
    <xf numFmtId="4" fontId="120" fillId="0" borderId="0" xfId="0" applyNumberFormat="1" applyFont="1"/>
    <xf numFmtId="3" fontId="120" fillId="30" borderId="0" xfId="0" applyNumberFormat="1" applyFont="1" applyFill="1"/>
    <xf numFmtId="0" fontId="127" fillId="0" borderId="0" xfId="272" quotePrefix="1" applyFont="1" applyAlignment="1">
      <alignment horizontal="left"/>
    </xf>
    <xf numFmtId="263" fontId="120" fillId="29" borderId="0" xfId="0" applyNumberFormat="1" applyFont="1" applyFill="1"/>
    <xf numFmtId="10" fontId="120" fillId="30" borderId="0" xfId="548" applyNumberFormat="1" applyFont="1" applyFill="1" applyBorder="1"/>
    <xf numFmtId="261" fontId="113" fillId="29" borderId="0" xfId="0" applyNumberFormat="1" applyFont="1" applyFill="1" applyAlignment="1">
      <alignment horizontal="right"/>
    </xf>
    <xf numFmtId="171" fontId="120" fillId="27" borderId="0" xfId="162" applyNumberFormat="1" applyFont="1" applyFill="1" applyBorder="1" applyAlignment="1">
      <alignment horizontal="center" wrapText="1"/>
    </xf>
    <xf numFmtId="263" fontId="113" fillId="0" borderId="28" xfId="269" applyNumberFormat="1" applyFont="1" applyBorder="1"/>
    <xf numFmtId="166" fontId="109" fillId="30" borderId="0" xfId="0" applyNumberFormat="1" applyFont="1" applyFill="1"/>
    <xf numFmtId="171" fontId="113" fillId="28" borderId="8" xfId="162" applyNumberFormat="1" applyFont="1" applyFill="1" applyBorder="1"/>
    <xf numFmtId="171" fontId="109" fillId="0" borderId="0" xfId="162" applyNumberFormat="1" applyFont="1" applyFill="1" applyBorder="1" applyAlignment="1">
      <alignment horizontal="center" wrapText="1"/>
    </xf>
    <xf numFmtId="166" fontId="109" fillId="0" borderId="0" xfId="0" applyNumberFormat="1" applyFont="1" applyAlignment="1">
      <alignment horizontal="right"/>
    </xf>
    <xf numFmtId="0" fontId="113" fillId="27" borderId="48" xfId="269" applyFont="1" applyFill="1" applyBorder="1" applyAlignment="1">
      <alignment horizontal="left" wrapText="1"/>
    </xf>
    <xf numFmtId="0" fontId="109" fillId="27" borderId="18" xfId="269" applyFont="1" applyFill="1" applyBorder="1" applyAlignment="1">
      <alignment horizontal="right" wrapText="1"/>
    </xf>
    <xf numFmtId="173" fontId="109" fillId="27" borderId="48" xfId="162" applyNumberFormat="1" applyFont="1" applyFill="1" applyBorder="1" applyAlignment="1">
      <alignment horizontal="center" wrapText="1"/>
    </xf>
    <xf numFmtId="171" fontId="113" fillId="28" borderId="11" xfId="162" applyNumberFormat="1" applyFont="1" applyFill="1" applyBorder="1"/>
    <xf numFmtId="171" fontId="109" fillId="28" borderId="32" xfId="162" applyNumberFormat="1" applyFont="1" applyFill="1" applyBorder="1"/>
    <xf numFmtId="171" fontId="113" fillId="28" borderId="32" xfId="162" applyNumberFormat="1" applyFont="1" applyFill="1" applyBorder="1"/>
    <xf numFmtId="166" fontId="109" fillId="0" borderId="47" xfId="0" applyNumberFormat="1" applyFont="1" applyBorder="1"/>
    <xf numFmtId="171" fontId="113" fillId="0" borderId="11" xfId="162" applyNumberFormat="1" applyFont="1" applyFill="1" applyBorder="1"/>
    <xf numFmtId="171" fontId="109" fillId="0" borderId="32" xfId="162" applyNumberFormat="1" applyFont="1" applyFill="1" applyBorder="1" applyAlignment="1">
      <alignment horizontal="center" wrapText="1"/>
    </xf>
    <xf numFmtId="166" fontId="111" fillId="0" borderId="0" xfId="0" applyNumberFormat="1" applyFont="1" applyAlignment="1">
      <alignment horizontal="right" vertical="center"/>
    </xf>
    <xf numFmtId="0" fontId="113" fillId="0" borderId="49" xfId="269" applyFont="1" applyBorder="1"/>
    <xf numFmtId="263" fontId="113" fillId="0" borderId="50" xfId="269" applyNumberFormat="1" applyFont="1" applyBorder="1"/>
    <xf numFmtId="262" fontId="113" fillId="0" borderId="0" xfId="0" applyNumberFormat="1" applyFont="1" applyAlignment="1">
      <alignment horizontal="right"/>
    </xf>
    <xf numFmtId="0" fontId="126" fillId="0" borderId="0" xfId="0" applyFont="1"/>
    <xf numFmtId="0" fontId="109" fillId="0" borderId="0" xfId="0" applyFont="1" applyAlignment="1">
      <alignment horizontal="left" indent="1"/>
    </xf>
    <xf numFmtId="261" fontId="113" fillId="0" borderId="0" xfId="0" applyNumberFormat="1" applyFont="1" applyAlignment="1">
      <alignment horizontal="right"/>
    </xf>
    <xf numFmtId="171" fontId="121" fillId="28" borderId="11" xfId="162" applyNumberFormat="1" applyFont="1" applyFill="1" applyBorder="1"/>
    <xf numFmtId="171" fontId="120" fillId="0" borderId="27" xfId="269" applyNumberFormat="1" applyFont="1" applyBorder="1"/>
    <xf numFmtId="171" fontId="120" fillId="0" borderId="28" xfId="269" applyNumberFormat="1" applyFont="1" applyBorder="1"/>
    <xf numFmtId="0" fontId="109" fillId="27" borderId="32" xfId="269" applyFont="1" applyFill="1" applyBorder="1" applyAlignment="1">
      <alignment horizontal="left" wrapText="1" indent="1"/>
    </xf>
    <xf numFmtId="171" fontId="109" fillId="0" borderId="27" xfId="162" applyNumberFormat="1" applyFont="1" applyFill="1" applyBorder="1" applyAlignment="1">
      <alignment horizontal="left" wrapText="1"/>
    </xf>
    <xf numFmtId="171" fontId="109" fillId="0" borderId="43" xfId="162" applyNumberFormat="1" applyFont="1" applyFill="1" applyBorder="1" applyAlignment="1">
      <alignment horizontal="left" wrapText="1"/>
    </xf>
    <xf numFmtId="0" fontId="113" fillId="0" borderId="19" xfId="269" applyFont="1" applyBorder="1" applyAlignment="1">
      <alignment horizontal="left"/>
    </xf>
    <xf numFmtId="263" fontId="113" fillId="0" borderId="20" xfId="269" applyNumberFormat="1" applyFont="1" applyBorder="1"/>
    <xf numFmtId="0" fontId="109" fillId="0" borderId="46" xfId="269" applyFont="1" applyBorder="1"/>
    <xf numFmtId="0" fontId="109" fillId="0" borderId="8" xfId="269" applyFont="1" applyBorder="1"/>
    <xf numFmtId="259" fontId="121" fillId="28" borderId="45" xfId="270" applyNumberFormat="1" applyFont="1" applyFill="1" applyBorder="1"/>
    <xf numFmtId="43" fontId="109" fillId="0" borderId="0" xfId="269" applyNumberFormat="1" applyFont="1"/>
    <xf numFmtId="264" fontId="109" fillId="0" borderId="0" xfId="269" applyNumberFormat="1" applyFont="1"/>
    <xf numFmtId="171" fontId="113" fillId="0" borderId="20" xfId="269" applyNumberFormat="1" applyFont="1" applyBorder="1"/>
    <xf numFmtId="263" fontId="126" fillId="0" borderId="0" xfId="0" applyNumberFormat="1" applyFont="1"/>
    <xf numFmtId="262" fontId="113" fillId="0" borderId="0" xfId="0" applyNumberFormat="1" applyFont="1"/>
    <xf numFmtId="225" fontId="109" fillId="0" borderId="0" xfId="269" applyNumberFormat="1" applyFont="1"/>
    <xf numFmtId="258" fontId="113" fillId="31" borderId="0" xfId="0" applyNumberFormat="1" applyFont="1" applyFill="1"/>
    <xf numFmtId="166" fontId="109" fillId="31" borderId="0" xfId="0" applyNumberFormat="1" applyFont="1" applyFill="1"/>
    <xf numFmtId="166" fontId="113" fillId="31" borderId="0" xfId="0" applyNumberFormat="1" applyFont="1" applyFill="1"/>
    <xf numFmtId="171" fontId="113" fillId="31" borderId="0" xfId="162" applyNumberFormat="1" applyFont="1" applyFill="1"/>
    <xf numFmtId="171" fontId="121" fillId="31" borderId="0" xfId="162" applyNumberFormat="1" applyFont="1" applyFill="1"/>
    <xf numFmtId="0" fontId="109" fillId="32" borderId="47" xfId="270" applyFont="1" applyFill="1" applyBorder="1"/>
    <xf numFmtId="0" fontId="113" fillId="0" borderId="0" xfId="269" applyFont="1" applyAlignment="1">
      <alignment horizontal="right" wrapText="1"/>
    </xf>
    <xf numFmtId="0" fontId="109" fillId="0" borderId="0" xfId="269" applyFont="1" applyAlignment="1">
      <alignment horizontal="right" wrapText="1"/>
    </xf>
    <xf numFmtId="259" fontId="113" fillId="0" borderId="0" xfId="270" applyNumberFormat="1" applyFont="1"/>
    <xf numFmtId="259" fontId="109" fillId="0" borderId="0" xfId="270" applyNumberFormat="1" applyFont="1"/>
    <xf numFmtId="0" fontId="113" fillId="0" borderId="32" xfId="269" applyFont="1" applyBorder="1" applyAlignment="1">
      <alignment horizontal="left" wrapText="1"/>
    </xf>
    <xf numFmtId="173" fontId="109" fillId="0" borderId="13" xfId="162" applyNumberFormat="1" applyFont="1" applyFill="1" applyBorder="1" applyAlignment="1">
      <alignment horizontal="center" wrapText="1"/>
    </xf>
    <xf numFmtId="173" fontId="109" fillId="0" borderId="0" xfId="162" applyNumberFormat="1" applyFont="1" applyFill="1" applyBorder="1" applyAlignment="1">
      <alignment horizontal="center" wrapText="1"/>
    </xf>
    <xf numFmtId="0" fontId="109" fillId="0" borderId="14" xfId="269" applyFont="1" applyBorder="1" applyAlignment="1">
      <alignment horizontal="right" wrapText="1"/>
    </xf>
    <xf numFmtId="171" fontId="109" fillId="0" borderId="13" xfId="162" applyNumberFormat="1" applyFont="1" applyFill="1" applyBorder="1" applyAlignment="1">
      <alignment horizontal="center" wrapText="1"/>
    </xf>
    <xf numFmtId="0" fontId="109" fillId="0" borderId="32" xfId="269" applyFont="1" applyBorder="1" applyAlignment="1">
      <alignment horizontal="left" wrapText="1"/>
    </xf>
    <xf numFmtId="0" fontId="109" fillId="0" borderId="32" xfId="269" applyFont="1" applyBorder="1" applyAlignment="1">
      <alignment horizontal="left" wrapText="1" indent="1"/>
    </xf>
    <xf numFmtId="0" fontId="113" fillId="0" borderId="11" xfId="270" applyFont="1" applyBorder="1"/>
    <xf numFmtId="171" fontId="113" fillId="0" borderId="46" xfId="162" applyNumberFormat="1" applyFont="1" applyFill="1" applyBorder="1"/>
    <xf numFmtId="259" fontId="113" fillId="0" borderId="45" xfId="270" applyNumberFormat="1" applyFont="1" applyBorder="1"/>
    <xf numFmtId="0" fontId="109" fillId="0" borderId="32" xfId="270" applyFont="1" applyBorder="1"/>
    <xf numFmtId="171" fontId="109" fillId="0" borderId="13" xfId="162" applyNumberFormat="1" applyFont="1" applyFill="1" applyBorder="1"/>
    <xf numFmtId="259" fontId="109" fillId="0" borderId="14" xfId="270" applyNumberFormat="1" applyFont="1" applyBorder="1"/>
    <xf numFmtId="0" fontId="113" fillId="0" borderId="32" xfId="270" applyFont="1" applyBorder="1"/>
    <xf numFmtId="171" fontId="113" fillId="0" borderId="13" xfId="162" applyNumberFormat="1" applyFont="1" applyFill="1" applyBorder="1"/>
    <xf numFmtId="0" fontId="109" fillId="0" borderId="47" xfId="270" applyFont="1" applyBorder="1"/>
    <xf numFmtId="0" fontId="113" fillId="0" borderId="48" xfId="269" applyFont="1" applyBorder="1" applyAlignment="1">
      <alignment horizontal="left" wrapText="1"/>
    </xf>
    <xf numFmtId="173" fontId="109" fillId="0" borderId="48" xfId="162" applyNumberFormat="1" applyFont="1" applyFill="1" applyBorder="1" applyAlignment="1">
      <alignment horizontal="center" wrapText="1"/>
    </xf>
    <xf numFmtId="0" fontId="109" fillId="0" borderId="18" xfId="269" applyFont="1" applyBorder="1" applyAlignment="1">
      <alignment horizontal="right" wrapText="1"/>
    </xf>
    <xf numFmtId="171" fontId="109" fillId="0" borderId="32" xfId="162" applyNumberFormat="1" applyFont="1" applyFill="1" applyBorder="1"/>
    <xf numFmtId="171" fontId="121" fillId="0" borderId="11" xfId="162" applyNumberFormat="1" applyFont="1" applyFill="1" applyBorder="1"/>
    <xf numFmtId="171" fontId="113" fillId="0" borderId="32" xfId="162" applyNumberFormat="1" applyFont="1" applyFill="1" applyBorder="1"/>
    <xf numFmtId="263" fontId="120" fillId="0" borderId="0" xfId="0" applyNumberFormat="1" applyFont="1"/>
    <xf numFmtId="171" fontId="121" fillId="33" borderId="0" xfId="162" applyNumberFormat="1" applyFont="1" applyFill="1"/>
    <xf numFmtId="170" fontId="116" fillId="33" borderId="0" xfId="548" applyNumberFormat="1" applyFont="1" applyFill="1"/>
    <xf numFmtId="166" fontId="109" fillId="33" borderId="0" xfId="0" applyNumberFormat="1" applyFont="1" applyFill="1"/>
    <xf numFmtId="258" fontId="113" fillId="33" borderId="0" xfId="0" applyNumberFormat="1" applyFont="1" applyFill="1"/>
    <xf numFmtId="0" fontId="113" fillId="0" borderId="0" xfId="269" applyFont="1" applyAlignment="1">
      <alignment horizontal="left"/>
    </xf>
    <xf numFmtId="263" fontId="113" fillId="0" borderId="0" xfId="269" applyNumberFormat="1" applyFont="1"/>
    <xf numFmtId="171" fontId="113" fillId="0" borderId="0" xfId="269" applyNumberFormat="1" applyFont="1"/>
    <xf numFmtId="164" fontId="109" fillId="0" borderId="0" xfId="269" applyNumberFormat="1" applyFont="1"/>
    <xf numFmtId="170" fontId="109" fillId="0" borderId="0" xfId="555" applyNumberFormat="1" applyFont="1" applyFill="1" applyBorder="1"/>
    <xf numFmtId="170" fontId="113" fillId="0" borderId="0" xfId="555" applyNumberFormat="1" applyFont="1" applyFill="1" applyBorder="1"/>
    <xf numFmtId="10" fontId="120" fillId="0" borderId="0" xfId="555" applyNumberFormat="1" applyFont="1" applyFill="1" applyBorder="1"/>
    <xf numFmtId="171" fontId="109" fillId="0" borderId="8" xfId="162" applyNumberFormat="1" applyFont="1" applyFill="1" applyBorder="1" applyAlignment="1">
      <alignment horizontal="center" wrapText="1"/>
    </xf>
    <xf numFmtId="169" fontId="113" fillId="0" borderId="0" xfId="0" applyNumberFormat="1" applyFont="1" applyAlignment="1">
      <alignment horizontal="center"/>
    </xf>
    <xf numFmtId="171" fontId="113" fillId="0" borderId="7" xfId="162" applyNumberFormat="1" applyFont="1" applyFill="1" applyBorder="1"/>
    <xf numFmtId="171" fontId="109" fillId="0" borderId="0" xfId="162" applyNumberFormat="1" applyFont="1" applyFill="1"/>
    <xf numFmtId="2" fontId="109" fillId="0" borderId="0" xfId="269" applyNumberFormat="1" applyFont="1"/>
    <xf numFmtId="43" fontId="111" fillId="0" borderId="0" xfId="174" applyFont="1" applyFill="1" applyBorder="1" applyAlignment="1">
      <alignment horizontal="center"/>
    </xf>
    <xf numFmtId="170" fontId="125" fillId="27" borderId="0" xfId="555" applyNumberFormat="1" applyFont="1" applyFill="1"/>
    <xf numFmtId="170" fontId="115" fillId="27" borderId="0" xfId="555" applyNumberFormat="1" applyFont="1" applyFill="1"/>
    <xf numFmtId="170" fontId="115" fillId="0" borderId="0" xfId="555" applyNumberFormat="1" applyFont="1" applyFill="1"/>
    <xf numFmtId="170" fontId="116" fillId="27" borderId="0" xfId="555" applyNumberFormat="1" applyFont="1" applyFill="1"/>
    <xf numFmtId="9" fontId="109" fillId="0" borderId="0" xfId="555" applyFont="1"/>
    <xf numFmtId="9" fontId="109" fillId="0" borderId="0" xfId="555" applyFont="1" applyFill="1"/>
    <xf numFmtId="171" fontId="113" fillId="0" borderId="0" xfId="174" applyNumberFormat="1" applyFont="1" applyFill="1" applyBorder="1"/>
    <xf numFmtId="170" fontId="113" fillId="0" borderId="0" xfId="555" applyNumberFormat="1" applyFont="1" applyFill="1" applyAlignment="1">
      <alignment horizontal="right"/>
    </xf>
    <xf numFmtId="170" fontId="115" fillId="27" borderId="0" xfId="555" applyNumberFormat="1" applyFont="1" applyFill="1" applyAlignment="1">
      <alignment horizontal="right"/>
    </xf>
    <xf numFmtId="171" fontId="113" fillId="0" borderId="0" xfId="174" applyNumberFormat="1" applyFont="1" applyFill="1"/>
    <xf numFmtId="171" fontId="109" fillId="0" borderId="0" xfId="174" applyNumberFormat="1" applyFont="1" applyAlignment="1">
      <alignment horizontal="right"/>
    </xf>
    <xf numFmtId="171" fontId="113" fillId="0" borderId="39" xfId="174" applyNumberFormat="1" applyFont="1" applyFill="1" applyBorder="1" applyAlignment="1">
      <alignment horizontal="right"/>
    </xf>
    <xf numFmtId="171" fontId="109" fillId="0" borderId="0" xfId="174" applyNumberFormat="1" applyFont="1" applyBorder="1"/>
    <xf numFmtId="171" fontId="113" fillId="0" borderId="7" xfId="174" applyNumberFormat="1" applyFont="1" applyBorder="1"/>
    <xf numFmtId="171" fontId="109" fillId="0" borderId="44" xfId="174" applyNumberFormat="1" applyFont="1" applyBorder="1"/>
    <xf numFmtId="171" fontId="109" fillId="0" borderId="0" xfId="174" applyNumberFormat="1" applyFont="1"/>
    <xf numFmtId="171" fontId="109" fillId="0" borderId="7" xfId="174" applyNumberFormat="1" applyFont="1" applyBorder="1"/>
    <xf numFmtId="166" fontId="123" fillId="0" borderId="0" xfId="0" applyNumberFormat="1" applyFont="1" applyAlignment="1">
      <alignment vertical="center"/>
    </xf>
    <xf numFmtId="171" fontId="128" fillId="29" borderId="11" xfId="162" applyNumberFormat="1" applyFont="1" applyFill="1" applyBorder="1"/>
    <xf numFmtId="3" fontId="124" fillId="0" borderId="0" xfId="0" applyNumberFormat="1" applyFont="1"/>
    <xf numFmtId="3" fontId="117" fillId="0" borderId="0" xfId="0" applyNumberFormat="1" applyFont="1"/>
    <xf numFmtId="3" fontId="120" fillId="33" borderId="0" xfId="0" applyNumberFormat="1" applyFont="1" applyFill="1"/>
    <xf numFmtId="263" fontId="113" fillId="33" borderId="0" xfId="0" applyNumberFormat="1" applyFont="1" applyFill="1"/>
    <xf numFmtId="170" fontId="109" fillId="33" borderId="0" xfId="548" applyNumberFormat="1" applyFont="1" applyFill="1" applyBorder="1"/>
    <xf numFmtId="3" fontId="113" fillId="33" borderId="0" xfId="0" applyNumberFormat="1" applyFont="1" applyFill="1"/>
    <xf numFmtId="170" fontId="113" fillId="33" borderId="0" xfId="548" applyNumberFormat="1" applyFont="1" applyFill="1" applyBorder="1"/>
    <xf numFmtId="263" fontId="109" fillId="0" borderId="0" xfId="269" applyNumberFormat="1" applyFont="1"/>
    <xf numFmtId="265" fontId="126" fillId="0" borderId="0" xfId="269" applyNumberFormat="1" applyFont="1"/>
    <xf numFmtId="266" fontId="113" fillId="0" borderId="45" xfId="270" applyNumberFormat="1" applyFont="1" applyBorder="1"/>
    <xf numFmtId="0" fontId="113" fillId="0" borderId="0" xfId="269" applyFont="1" applyAlignment="1">
      <alignment horizontal="left" wrapText="1"/>
    </xf>
    <xf numFmtId="0" fontId="109" fillId="0" borderId="0" xfId="269" applyFont="1" applyAlignment="1">
      <alignment horizontal="left"/>
    </xf>
    <xf numFmtId="171" fontId="120" fillId="0" borderId="0" xfId="269" applyNumberFormat="1" applyFont="1"/>
    <xf numFmtId="171" fontId="109" fillId="0" borderId="0" xfId="162" applyNumberFormat="1" applyFont="1" applyFill="1" applyBorder="1" applyAlignment="1">
      <alignment horizontal="left" wrapText="1"/>
    </xf>
    <xf numFmtId="171" fontId="109" fillId="0" borderId="0" xfId="269" applyNumberFormat="1" applyFont="1"/>
    <xf numFmtId="166" fontId="123" fillId="0" borderId="0" xfId="0" applyNumberFormat="1" applyFont="1" applyAlignment="1">
      <alignment horizontal="right" vertical="center"/>
    </xf>
    <xf numFmtId="170" fontId="115" fillId="27" borderId="0" xfId="548" applyNumberFormat="1" applyFont="1" applyFill="1" applyAlignment="1">
      <alignment horizontal="right" vertical="center"/>
    </xf>
    <xf numFmtId="166" fontId="124" fillId="0" borderId="0" xfId="0" applyNumberFormat="1" applyFont="1" applyAlignment="1">
      <alignment horizontal="right" vertical="center"/>
    </xf>
    <xf numFmtId="166" fontId="113" fillId="0" borderId="0" xfId="0" applyNumberFormat="1" applyFont="1" applyAlignment="1">
      <alignment horizontal="right" vertical="center"/>
    </xf>
    <xf numFmtId="1" fontId="109" fillId="27" borderId="0" xfId="0" applyNumberFormat="1" applyFont="1" applyFill="1" applyAlignment="1">
      <alignment horizontal="right"/>
    </xf>
    <xf numFmtId="259" fontId="113" fillId="27" borderId="0" xfId="0" applyNumberFormat="1" applyFont="1" applyFill="1" applyAlignment="1">
      <alignment horizontal="right"/>
    </xf>
    <xf numFmtId="259" fontId="109" fillId="27" borderId="0" xfId="0" applyNumberFormat="1" applyFont="1" applyFill="1" applyAlignment="1">
      <alignment horizontal="right"/>
    </xf>
    <xf numFmtId="2" fontId="109" fillId="27" borderId="0" xfId="0" applyNumberFormat="1" applyFont="1" applyFill="1"/>
    <xf numFmtId="3" fontId="120" fillId="27" borderId="0" xfId="0" applyNumberFormat="1" applyFont="1" applyFill="1"/>
    <xf numFmtId="170" fontId="109" fillId="27" borderId="0" xfId="548" applyNumberFormat="1" applyFont="1" applyFill="1" applyBorder="1"/>
    <xf numFmtId="170" fontId="113" fillId="27" borderId="0" xfId="548" applyNumberFormat="1" applyFont="1" applyFill="1" applyBorder="1"/>
    <xf numFmtId="3" fontId="113" fillId="27" borderId="0" xfId="0" applyNumberFormat="1" applyFont="1" applyFill="1"/>
    <xf numFmtId="10" fontId="120" fillId="27" borderId="0" xfId="548" applyNumberFormat="1" applyFont="1" applyFill="1" applyBorder="1"/>
    <xf numFmtId="0" fontId="113" fillId="26" borderId="11" xfId="269" applyFont="1" applyFill="1" applyBorder="1" applyAlignment="1">
      <alignment horizontal="left" wrapText="1"/>
    </xf>
    <xf numFmtId="0" fontId="113" fillId="26" borderId="46" xfId="269" applyFont="1" applyFill="1" applyBorder="1" applyAlignment="1">
      <alignment horizontal="center" vertical="center" wrapText="1"/>
    </xf>
    <xf numFmtId="0" fontId="113" fillId="26" borderId="8" xfId="269" applyFont="1" applyFill="1" applyBorder="1" applyAlignment="1">
      <alignment horizontal="center" vertical="center" wrapText="1"/>
    </xf>
    <xf numFmtId="0" fontId="113" fillId="26" borderId="45" xfId="269" applyFont="1" applyFill="1" applyBorder="1" applyAlignment="1">
      <alignment horizontal="center" vertical="center" wrapText="1"/>
    </xf>
    <xf numFmtId="0" fontId="113" fillId="26" borderId="40" xfId="269" applyFont="1" applyFill="1" applyBorder="1" applyAlignment="1">
      <alignment horizontal="left" wrapText="1"/>
    </xf>
    <xf numFmtId="0" fontId="113" fillId="26" borderId="41" xfId="269" applyFont="1" applyFill="1" applyBorder="1" applyAlignment="1">
      <alignment horizontal="center" vertical="center" wrapText="1"/>
    </xf>
    <xf numFmtId="0" fontId="113" fillId="0" borderId="21" xfId="270" applyFont="1" applyBorder="1"/>
    <xf numFmtId="171" fontId="121" fillId="0" borderId="27" xfId="162" applyNumberFormat="1" applyFont="1" applyFill="1" applyBorder="1"/>
    <xf numFmtId="0" fontId="113" fillId="0" borderId="22" xfId="270" applyFont="1" applyBorder="1"/>
    <xf numFmtId="259" fontId="121" fillId="0" borderId="28" xfId="270" applyNumberFormat="1" applyFont="1" applyBorder="1"/>
    <xf numFmtId="0" fontId="113" fillId="0" borderId="0" xfId="0" applyFont="1" applyAlignment="1">
      <alignment horizontal="centerContinuous"/>
    </xf>
    <xf numFmtId="169" fontId="113" fillId="0" borderId="0" xfId="0" applyNumberFormat="1" applyFont="1" applyAlignment="1">
      <alignment horizontal="centerContinuous"/>
    </xf>
    <xf numFmtId="0" fontId="109" fillId="26" borderId="0" xfId="0" applyFont="1" applyFill="1"/>
    <xf numFmtId="0" fontId="113" fillId="26" borderId="0" xfId="0" applyFont="1" applyFill="1" applyAlignment="1">
      <alignment horizontal="centerContinuous"/>
    </xf>
    <xf numFmtId="0" fontId="113" fillId="26" borderId="0" xfId="0" applyFont="1" applyFill="1" applyAlignment="1">
      <alignment horizontal="center"/>
    </xf>
    <xf numFmtId="171" fontId="113" fillId="0" borderId="0" xfId="162" applyNumberFormat="1" applyFont="1" applyFill="1" applyBorder="1" applyAlignment="1">
      <alignment horizontal="right"/>
    </xf>
    <xf numFmtId="166" fontId="124" fillId="0" borderId="0" xfId="0" applyNumberFormat="1" applyFont="1" applyAlignment="1">
      <alignment vertical="center"/>
    </xf>
    <xf numFmtId="0" fontId="117" fillId="34" borderId="0" xfId="0" applyFont="1" applyFill="1" applyAlignment="1">
      <alignment horizontal="left"/>
    </xf>
    <xf numFmtId="166" fontId="109" fillId="34" borderId="0" xfId="0" applyNumberFormat="1" applyFont="1" applyFill="1"/>
    <xf numFmtId="166" fontId="124" fillId="34" borderId="0" xfId="0" applyNumberFormat="1" applyFont="1" applyFill="1"/>
    <xf numFmtId="171" fontId="121" fillId="27" borderId="0" xfId="162" applyNumberFormat="1" applyFont="1" applyFill="1"/>
    <xf numFmtId="0" fontId="109" fillId="34" borderId="0" xfId="0" applyFont="1" applyFill="1"/>
    <xf numFmtId="166" fontId="109" fillId="27" borderId="0" xfId="0" applyNumberFormat="1" applyFont="1" applyFill="1"/>
    <xf numFmtId="0" fontId="113" fillId="34" borderId="0" xfId="0" applyFont="1" applyFill="1"/>
    <xf numFmtId="258" fontId="113" fillId="27" borderId="0" xfId="0" applyNumberFormat="1" applyFont="1" applyFill="1"/>
    <xf numFmtId="0" fontId="113" fillId="27" borderId="39" xfId="0" applyFont="1" applyFill="1" applyBorder="1"/>
    <xf numFmtId="166" fontId="113" fillId="27" borderId="39" xfId="0" applyNumberFormat="1" applyFont="1" applyFill="1" applyBorder="1"/>
    <xf numFmtId="260" fontId="113" fillId="27" borderId="39" xfId="0" applyNumberFormat="1" applyFont="1" applyFill="1" applyBorder="1"/>
    <xf numFmtId="261" fontId="123" fillId="0" borderId="0" xfId="0" applyNumberFormat="1" applyFont="1"/>
    <xf numFmtId="170" fontId="115" fillId="0" borderId="0" xfId="548" applyNumberFormat="1" applyFont="1" applyFill="1" applyBorder="1"/>
    <xf numFmtId="170" fontId="116" fillId="0" borderId="0" xfId="548" applyNumberFormat="1" applyFont="1" applyFill="1" applyBorder="1"/>
    <xf numFmtId="9" fontId="109" fillId="0" borderId="0" xfId="548" applyFont="1" applyFill="1" applyBorder="1"/>
    <xf numFmtId="170" fontId="113" fillId="0" borderId="0" xfId="548" applyNumberFormat="1" applyFont="1" applyFill="1" applyBorder="1" applyAlignment="1">
      <alignment horizontal="right"/>
    </xf>
    <xf numFmtId="169" fontId="113" fillId="0" borderId="0" xfId="0" applyNumberFormat="1" applyFont="1" applyAlignment="1">
      <alignment horizontal="center" vertical="center"/>
    </xf>
    <xf numFmtId="170" fontId="115" fillId="0" borderId="0" xfId="548" applyNumberFormat="1" applyFont="1" applyFill="1" applyBorder="1" applyAlignment="1">
      <alignment horizontal="right"/>
    </xf>
    <xf numFmtId="171" fontId="109" fillId="0" borderId="0" xfId="162" applyNumberFormat="1" applyFont="1" applyFill="1" applyBorder="1" applyAlignment="1">
      <alignment horizontal="right"/>
    </xf>
    <xf numFmtId="171" fontId="113" fillId="0" borderId="7" xfId="174" applyNumberFormat="1" applyFont="1" applyFill="1" applyBorder="1"/>
    <xf numFmtId="171" fontId="109" fillId="0" borderId="0" xfId="174" applyNumberFormat="1" applyFont="1" applyFill="1" applyBorder="1"/>
    <xf numFmtId="166" fontId="113" fillId="34" borderId="0" xfId="0" applyNumberFormat="1" applyFont="1" applyFill="1"/>
    <xf numFmtId="171" fontId="113" fillId="0" borderId="43" xfId="162" applyNumberFormat="1" applyFont="1" applyFill="1" applyBorder="1" applyAlignment="1">
      <alignment horizontal="left" wrapText="1"/>
    </xf>
    <xf numFmtId="0" fontId="113" fillId="0" borderId="42" xfId="269" applyFont="1" applyBorder="1"/>
    <xf numFmtId="171" fontId="113" fillId="0" borderId="0" xfId="162" applyNumberFormat="1" applyFont="1" applyFill="1" applyBorder="1" applyAlignment="1">
      <alignment horizontal="left" wrapText="1"/>
    </xf>
    <xf numFmtId="0" fontId="128" fillId="26" borderId="40" xfId="269" applyFont="1" applyFill="1" applyBorder="1" applyAlignment="1">
      <alignment horizontal="left" wrapText="1"/>
    </xf>
    <xf numFmtId="0" fontId="122" fillId="0" borderId="0" xfId="272" quotePrefix="1" applyFont="1" applyAlignment="1">
      <alignment horizontal="left"/>
    </xf>
    <xf numFmtId="3" fontId="122" fillId="0" borderId="0" xfId="0" applyNumberFormat="1" applyFont="1"/>
    <xf numFmtId="3" fontId="129" fillId="0" borderId="0" xfId="0" applyNumberFormat="1" applyFont="1"/>
    <xf numFmtId="263" fontId="122" fillId="0" borderId="0" xfId="0" applyNumberFormat="1" applyFont="1"/>
    <xf numFmtId="0" fontId="130" fillId="0" borderId="0" xfId="269" applyFont="1" applyAlignment="1">
      <alignment horizontal="left"/>
    </xf>
    <xf numFmtId="263" fontId="131" fillId="0" borderId="0" xfId="269" applyNumberFormat="1" applyFont="1"/>
    <xf numFmtId="171" fontId="120" fillId="0" borderId="0" xfId="0" applyNumberFormat="1" applyFont="1"/>
    <xf numFmtId="43" fontId="113" fillId="0" borderId="0" xfId="174" applyFont="1" applyFill="1" applyBorder="1" applyAlignment="1">
      <alignment horizontal="center"/>
    </xf>
    <xf numFmtId="0" fontId="109" fillId="27" borderId="0" xfId="0" applyFont="1" applyFill="1"/>
    <xf numFmtId="0" fontId="109" fillId="27" borderId="0" xfId="0" applyFont="1" applyFill="1" applyAlignment="1">
      <alignment horizontal="left"/>
    </xf>
    <xf numFmtId="166" fontId="112" fillId="34" borderId="0" xfId="0" applyNumberFormat="1" applyFont="1" applyFill="1"/>
    <xf numFmtId="0" fontId="113" fillId="34" borderId="0" xfId="0" applyFont="1" applyFill="1" applyAlignment="1">
      <alignment horizontal="left"/>
    </xf>
    <xf numFmtId="170" fontId="116" fillId="0" borderId="0" xfId="548" applyNumberFormat="1" applyFont="1" applyFill="1"/>
    <xf numFmtId="170" fontId="125" fillId="0" borderId="0" xfId="555" applyNumberFormat="1" applyFont="1" applyFill="1"/>
    <xf numFmtId="173" fontId="122" fillId="0" borderId="0" xfId="162" applyNumberFormat="1" applyFont="1" applyFill="1"/>
    <xf numFmtId="171" fontId="122" fillId="0" borderId="0" xfId="162" applyNumberFormat="1" applyFont="1" applyFill="1"/>
    <xf numFmtId="173" fontId="122" fillId="0" borderId="0" xfId="174" applyNumberFormat="1" applyFont="1" applyFill="1"/>
    <xf numFmtId="2" fontId="122" fillId="0" borderId="0" xfId="162" applyNumberFormat="1" applyFont="1" applyFill="1" applyBorder="1"/>
    <xf numFmtId="0" fontId="132" fillId="0" borderId="0" xfId="0" applyFont="1"/>
    <xf numFmtId="0" fontId="115" fillId="0" borderId="0" xfId="0" applyFont="1" applyAlignment="1">
      <alignment horizontal="left"/>
    </xf>
    <xf numFmtId="166" fontId="126" fillId="0" borderId="0" xfId="0" applyNumberFormat="1" applyFont="1"/>
    <xf numFmtId="166" fontId="125" fillId="0" borderId="0" xfId="0" applyNumberFormat="1" applyFont="1"/>
    <xf numFmtId="262" fontId="109" fillId="34" borderId="0" xfId="0" applyNumberFormat="1" applyFont="1" applyFill="1" applyAlignment="1">
      <alignment horizontal="right"/>
    </xf>
    <xf numFmtId="172" fontId="124" fillId="34" borderId="0" xfId="162" applyNumberFormat="1" applyFont="1" applyFill="1" applyBorder="1" applyAlignment="1">
      <alignment horizontal="center"/>
    </xf>
    <xf numFmtId="172" fontId="109" fillId="34" borderId="0" xfId="0" applyNumberFormat="1" applyFont="1" applyFill="1" applyAlignment="1">
      <alignment horizontal="right"/>
    </xf>
    <xf numFmtId="0" fontId="113" fillId="35" borderId="0" xfId="0" applyFont="1" applyFill="1"/>
    <xf numFmtId="259" fontId="113" fillId="35" borderId="0" xfId="0" applyNumberFormat="1" applyFont="1" applyFill="1" applyAlignment="1">
      <alignment horizontal="right"/>
    </xf>
    <xf numFmtId="0" fontId="109" fillId="35" borderId="0" xfId="0" applyFont="1" applyFill="1"/>
    <xf numFmtId="259" fontId="109" fillId="35" borderId="0" xfId="0" applyNumberFormat="1" applyFont="1" applyFill="1" applyAlignment="1">
      <alignment horizontal="right"/>
    </xf>
    <xf numFmtId="0" fontId="113" fillId="27" borderId="0" xfId="0" applyFont="1" applyFill="1"/>
    <xf numFmtId="166" fontId="109" fillId="27" borderId="0" xfId="0" applyNumberFormat="1" applyFont="1" applyFill="1" applyAlignment="1">
      <alignment horizontal="right"/>
    </xf>
    <xf numFmtId="170" fontId="113" fillId="0" borderId="7" xfId="555" applyNumberFormat="1" applyFont="1" applyFill="1" applyBorder="1" applyAlignment="1">
      <alignment horizontal="right"/>
    </xf>
    <xf numFmtId="166" fontId="113" fillId="27" borderId="0" xfId="0" applyNumberFormat="1" applyFont="1" applyFill="1" applyAlignment="1">
      <alignment horizontal="right"/>
    </xf>
    <xf numFmtId="263" fontId="109" fillId="0" borderId="0" xfId="0" applyNumberFormat="1" applyFont="1"/>
    <xf numFmtId="263" fontId="121" fillId="0" borderId="0" xfId="0" applyNumberFormat="1" applyFont="1"/>
    <xf numFmtId="263" fontId="129" fillId="0" borderId="0" xfId="0" applyNumberFormat="1" applyFont="1"/>
    <xf numFmtId="0" fontId="127" fillId="35" borderId="0" xfId="272" quotePrefix="1" applyFont="1" applyFill="1" applyAlignment="1">
      <alignment horizontal="left"/>
    </xf>
    <xf numFmtId="3" fontId="120" fillId="35" borderId="0" xfId="0" applyNumberFormat="1" applyFont="1" applyFill="1"/>
    <xf numFmtId="3" fontId="117" fillId="35" borderId="0" xfId="0" applyNumberFormat="1" applyFont="1" applyFill="1"/>
    <xf numFmtId="0" fontId="113" fillId="35" borderId="0" xfId="272" applyFont="1" applyFill="1" applyAlignment="1">
      <alignment horizontal="left"/>
    </xf>
    <xf numFmtId="0" fontId="113" fillId="27" borderId="0" xfId="272" applyFont="1" applyFill="1" applyAlignment="1">
      <alignment horizontal="left"/>
    </xf>
    <xf numFmtId="3" fontId="126" fillId="27" borderId="0" xfId="0" applyNumberFormat="1" applyFont="1" applyFill="1"/>
    <xf numFmtId="259" fontId="113" fillId="0" borderId="8" xfId="270" applyNumberFormat="1" applyFont="1" applyBorder="1"/>
    <xf numFmtId="0" fontId="128" fillId="26" borderId="51" xfId="269" applyFont="1" applyFill="1" applyBorder="1" applyAlignment="1">
      <alignment horizontal="left" wrapText="1"/>
    </xf>
    <xf numFmtId="0" fontId="113" fillId="0" borderId="0" xfId="270" applyFont="1"/>
    <xf numFmtId="0" fontId="113" fillId="0" borderId="10" xfId="270" applyFont="1" applyBorder="1"/>
    <xf numFmtId="0" fontId="113" fillId="26" borderId="8" xfId="269" applyFont="1" applyFill="1" applyBorder="1" applyAlignment="1">
      <alignment horizontal="left" wrapText="1"/>
    </xf>
    <xf numFmtId="0" fontId="109" fillId="0" borderId="0" xfId="269" applyFont="1" applyAlignment="1">
      <alignment horizontal="left" wrapText="1" indent="1"/>
    </xf>
    <xf numFmtId="0" fontId="113" fillId="0" borderId="8" xfId="270" applyFont="1" applyBorder="1"/>
    <xf numFmtId="0" fontId="109" fillId="0" borderId="0" xfId="270" applyFont="1"/>
    <xf numFmtId="0" fontId="113" fillId="0" borderId="12" xfId="270" applyFont="1" applyBorder="1"/>
    <xf numFmtId="166" fontId="113" fillId="0" borderId="12" xfId="0" applyNumberFormat="1" applyFont="1" applyBorder="1"/>
    <xf numFmtId="171" fontId="113" fillId="0" borderId="12" xfId="162" applyNumberFormat="1" applyFont="1" applyFill="1" applyBorder="1" applyAlignment="1">
      <alignment horizontal="center" wrapText="1"/>
    </xf>
    <xf numFmtId="0" fontId="113" fillId="0" borderId="18" xfId="269" applyFont="1" applyBorder="1"/>
    <xf numFmtId="0" fontId="113" fillId="0" borderId="12" xfId="269" applyFont="1" applyBorder="1"/>
    <xf numFmtId="261" fontId="109" fillId="0" borderId="0" xfId="0" applyNumberFormat="1" applyFont="1" applyAlignment="1">
      <alignment horizontal="right"/>
    </xf>
    <xf numFmtId="0" fontId="133" fillId="0" borderId="0" xfId="269" applyFont="1" applyAlignment="1">
      <alignment horizontal="left"/>
    </xf>
    <xf numFmtId="263" fontId="122" fillId="0" borderId="0" xfId="269" applyNumberFormat="1" applyFont="1"/>
    <xf numFmtId="0" fontId="113" fillId="0" borderId="10" xfId="269" applyFont="1" applyBorder="1" applyAlignment="1">
      <alignment horizontal="center"/>
    </xf>
    <xf numFmtId="0" fontId="113" fillId="27" borderId="46" xfId="269" applyFont="1" applyFill="1" applyBorder="1" applyAlignment="1">
      <alignment horizontal="center" wrapText="1"/>
    </xf>
    <xf numFmtId="0" fontId="113" fillId="27" borderId="8" xfId="269" applyFont="1" applyFill="1" applyBorder="1" applyAlignment="1">
      <alignment horizontal="center" wrapText="1"/>
    </xf>
    <xf numFmtId="0" fontId="113" fillId="0" borderId="0" xfId="269" applyFont="1" applyAlignment="1">
      <alignment horizontal="center"/>
    </xf>
  </cellXfs>
  <cellStyles count="904">
    <cellStyle name="$" xfId="1" xr:uid="{E0DA26B7-1348-4BBA-B3D2-3CB357138B8D}"/>
    <cellStyle name="$_TSA Model - 1 8 06 - v2" xfId="2" xr:uid="{CD736CC7-A687-49B5-943F-C4E14C75A062}"/>
    <cellStyle name="%" xfId="3" xr:uid="{6FAC4322-1C67-40FA-8C7F-AB98898668A4}"/>
    <cellStyle name=";;;" xfId="4" xr:uid="{B6E8E893-843E-47F2-97B3-42785ACF6CC7}"/>
    <cellStyle name="_%(SignOnly)" xfId="5" xr:uid="{EA2CF075-6BDF-49D4-A2CC-7A8B92B2764F}"/>
    <cellStyle name="_%(SignSpaceOnly)" xfId="6" xr:uid="{1AC0B54C-9033-4DF4-BC1F-EC5F96B98A13}"/>
    <cellStyle name="_0% CADR" xfId="7" xr:uid="{ED1663E7-4E84-4B4C-A13A-C2FC0DD218C9}"/>
    <cellStyle name="_0% IRR" xfId="8" xr:uid="{D8855D35-D7D0-41F6-805A-D7101AEC36A7}"/>
    <cellStyle name="_1% CADR" xfId="9" xr:uid="{91AD6615-7B0F-4136-B66A-DB04589D7FEA}"/>
    <cellStyle name="_10% CADR" xfId="10" xr:uid="{8E5EE5DD-6F35-4FC6-AD19-17E4306ECB50}"/>
    <cellStyle name="_10% CDR" xfId="11" xr:uid="{37E6F24F-0F71-4117-A025-4912A6E9DAB1}"/>
    <cellStyle name="_11% CADR" xfId="12" xr:uid="{001555CE-7DCC-4D35-837A-E2EF8A8EACFA}"/>
    <cellStyle name="_12% CADR" xfId="13" xr:uid="{7B9C7525-95EE-40C4-934B-D6F3B4392A23}"/>
    <cellStyle name="_12% CDR" xfId="14" xr:uid="{FFEE795F-A218-4A00-A16E-231857F7B127}"/>
    <cellStyle name="_13% CADR" xfId="15" xr:uid="{07FBCAB5-8D54-4C57-843B-F0279E0E2F6C}"/>
    <cellStyle name="_14% CADR" xfId="16" xr:uid="{151DDB65-AA8B-4B8C-9291-3D1B56FD0327}"/>
    <cellStyle name="_14% CDR" xfId="17" xr:uid="{C466B8AF-A991-4382-9604-33AD12DE755C}"/>
    <cellStyle name="_16% CDR" xfId="18" xr:uid="{2CFEB74D-0ECD-4795-8786-7627FDBB1EEE}"/>
    <cellStyle name="_18% CDR" xfId="19" xr:uid="{8CBB255E-D4EA-44FB-8EDB-EF73DAEEB2B4}"/>
    <cellStyle name="_19.6% CDR BBB Break In Yield" xfId="20" xr:uid="{27CEFC4F-47D6-4266-A8ED-49B2232D8E5E}"/>
    <cellStyle name="_2% CADR" xfId="21" xr:uid="{E5681462-414E-409E-BBCC-054C50BF6989}"/>
    <cellStyle name="_20% CDR" xfId="22" xr:uid="{B4FBB16B-472C-408F-8C6C-AD83B0B1A48C}"/>
    <cellStyle name="_21.5% CDR BBB Break In Yield" xfId="23" xr:uid="{79211721-5515-4325-AE28-84EA76AF9F8B}"/>
    <cellStyle name="_3% CADR" xfId="24" xr:uid="{430A3453-6221-4E6B-89D6-0F053B179D9F}"/>
    <cellStyle name="_3% CDR" xfId="25" xr:uid="{214171DC-9B39-460A-BB30-76804D4B7581}"/>
    <cellStyle name="_4% CADR" xfId="26" xr:uid="{98E9A774-DEF0-47C6-A454-0020B8617865}"/>
    <cellStyle name="_5% CADR" xfId="27" xr:uid="{74BF8CF1-2C43-4FBE-B8CA-A1350E980DF6}"/>
    <cellStyle name="_5% CDR" xfId="28" xr:uid="{0D5287DA-62D3-45B9-BE30-98756F201DD8}"/>
    <cellStyle name="_6% CADR" xfId="29" xr:uid="{5D7CEBB9-48D8-4959-A490-065574EE0242}"/>
    <cellStyle name="_7% CADR" xfId="30" xr:uid="{ECE0111D-2F31-4885-88E6-1635006D5550}"/>
    <cellStyle name="_7% CDR" xfId="31" xr:uid="{CAEB6091-3913-42E2-8390-5CBF7EC0269D}"/>
    <cellStyle name="_8% CADR" xfId="32" xr:uid="{96AB497B-6E41-4FEC-938D-0BA033BA6C8C}"/>
    <cellStyle name="_8.0% CDR BB Break In Yield" xfId="33" xr:uid="{E0FF5C36-54AC-4708-93D1-1344B381A915}"/>
    <cellStyle name="_8.1% CDR BB Break In Yield" xfId="34" xr:uid="{1F918204-7F96-4525-9E19-1674E5C089A5}"/>
    <cellStyle name="_9% CADR" xfId="35" xr:uid="{C34E903F-3387-4961-907A-1E709EFD5F9F}"/>
    <cellStyle name="_Assets" xfId="36" xr:uid="{96EAE119-52A5-4E96-94A9-7893C801BBCB}"/>
    <cellStyle name="_Assets_1" xfId="37" xr:uid="{DAB57584-B2EC-46F5-A96F-5FB8A09BB1CD}"/>
    <cellStyle name="_Assets_1_COMPS - B2B Publishers" xfId="38" xr:uid="{23922048-3F64-4E90-8899-2FB81E80E54A}"/>
    <cellStyle name="_Assets_1_COMPS - Directories" xfId="39" xr:uid="{425206A6-7872-4EC6-88A8-E3D72BA31C69}"/>
    <cellStyle name="_Assets_1_F&amp;W Servicing Model" xfId="40" xr:uid="{AE2BC96B-60AB-4613-88FB-3A34807F8612}"/>
    <cellStyle name="_Assets_1_F&amp;W Servicing Model v2" xfId="41" xr:uid="{258CB8D3-AFF8-45CF-82F5-F71800A41659}"/>
    <cellStyle name="_Assets_1_S&amp;P Analysis" xfId="42" xr:uid="{E04C1822-53B4-47FF-822F-1FB16743A75C}"/>
    <cellStyle name="_Assets_1_Univision Annual Model" xfId="43" xr:uid="{603FF46E-E19E-4030-9F88-2DCBE25D75D6}"/>
    <cellStyle name="_Assets_1_Yell Servicing Model" xfId="44" xr:uid="{75C70C9C-18A0-40AD-ABAB-96BFB1E03564}"/>
    <cellStyle name="_Assets_S&amp;P Analysis" xfId="45" xr:uid="{3073CDD7-0E01-4A7B-BCF2-7252D0F83513}"/>
    <cellStyle name="_Assets_S&amp;P Analysis_COMPS - B2B Publishers" xfId="46" xr:uid="{B5415296-1422-4008-89AC-8C2863C867D8}"/>
    <cellStyle name="_Assets_S&amp;P Analysis_COMPS - Directories" xfId="47" xr:uid="{5DC8C414-2C48-42E2-92BD-A058BBE27189}"/>
    <cellStyle name="_Assets_S&amp;P Analysis_F&amp;W Servicing Model" xfId="48" xr:uid="{3D09CC7F-6D99-4112-A215-A9556864C4A8}"/>
    <cellStyle name="_Assets_S&amp;P Analysis_F&amp;W Servicing Model v2" xfId="49" xr:uid="{70620F0F-0E94-4E85-A00D-82CB8EE58442}"/>
    <cellStyle name="_Assets_S&amp;P Analysis_Univision Annual Model" xfId="50" xr:uid="{5776B0AD-660A-4E2B-9D95-4C727E4A0BAD}"/>
    <cellStyle name="_Assets_S&amp;P Analysis_Yell Servicing Model" xfId="51" xr:uid="{BA4CB81D-6A59-4807-9035-2C66CADCFEF1}"/>
    <cellStyle name="_Assumptions" xfId="52" xr:uid="{C16C1623-206B-4DEB-85A6-170304416401}"/>
    <cellStyle name="_Assumptions_1" xfId="53" xr:uid="{2146E048-946D-4365-9CCC-3DD0736DD3A1}"/>
    <cellStyle name="_Assumptions_1_COMPS - B2B Publishers" xfId="54" xr:uid="{056FA04F-D651-400C-A7D6-45C297792E8B}"/>
    <cellStyle name="_Assumptions_1_COMPS - Directories" xfId="55" xr:uid="{145CFC7B-D72F-4A7F-87E1-11F2E7A3679C}"/>
    <cellStyle name="_Assumptions_1_F&amp;W Servicing Model" xfId="56" xr:uid="{BA49BE33-4B0D-418C-A356-6FAC42B3F3D5}"/>
    <cellStyle name="_Assumptions_1_F&amp;W Servicing Model v2" xfId="57" xr:uid="{0A14B750-7DDE-4103-BDA0-584A8705A54F}"/>
    <cellStyle name="_Assumptions_1_Univision Annual Model" xfId="58" xr:uid="{BD9AD468-C3F8-430C-8554-B4AA115FE79C}"/>
    <cellStyle name="_Assumptions_1_Yell Servicing Model" xfId="59" xr:uid="{BD0FC6F4-A824-4713-BFA7-9867160597E9}"/>
    <cellStyle name="_Blue Mountain TRS (7-5-05)" xfId="60" xr:uid="{9B763C4A-4D74-4CB4-AD24-4C1A3D8EC32D}"/>
    <cellStyle name="_Book2" xfId="61" xr:uid="{A837427D-1B58-4A2B-B637-21D01ECA0100}"/>
    <cellStyle name="_CDO of CDO" xfId="62" xr:uid="{909998A2-7643-4ADC-B22D-C531B6852E8F}"/>
    <cellStyle name="_CLO Portfolio 10_07_2005" xfId="63" xr:uid="{80D8085B-584A-4A01-89CA-1966A95D0C73}"/>
    <cellStyle name="_Comma" xfId="64" xr:uid="{973B57B3-8901-4D07-ABFE-02892376F693}"/>
    <cellStyle name="_Comma_dcf" xfId="65" xr:uid="{ADC59BF5-45FC-4CA5-9FB1-29E0216D0A80}"/>
    <cellStyle name="_Currency" xfId="66" xr:uid="{FAC26543-243B-494E-AFC3-0A45CA51561B}"/>
    <cellStyle name="_Currency_dcf" xfId="67" xr:uid="{2F6F9B3E-660B-45F2-9E47-95351CEAF6D5}"/>
    <cellStyle name="_CurrencySpace" xfId="68" xr:uid="{54DE9477-0A18-4C35-8525-B9526B54B9E5}"/>
    <cellStyle name="_CurrencySpace_dcf" xfId="69" xr:uid="{C4E3B525-68C2-46CF-A623-1F86F7A60C1D}"/>
    <cellStyle name="_Euro" xfId="70" xr:uid="{8C389905-0AAD-4495-B24F-1EE3C383CF13}"/>
    <cellStyle name="_EV8 Assumption List" xfId="71" xr:uid="{E02E7A90-4F8A-412F-BB99-7838943AA5AC}"/>
    <cellStyle name="_Exhibit I Babson Warehouse 2006-II CLO 8 18 06" xfId="72" xr:uid="{E3726A3C-E5CB-43F3-897F-25C3480E0CC5}"/>
    <cellStyle name="_First PIK" xfId="73" xr:uid="{C5F5908F-B74D-43E1-91A4-E8AA2364B40F}"/>
    <cellStyle name="_Galaxy VI CLO - WestLB Request" xfId="74" xr:uid="{A3AB2D4D-B267-4369-8C54-C0A5675B36F2}"/>
    <cellStyle name="_Heading" xfId="75" xr:uid="{1EEA6BA0-68D0-4D16-834C-EC820F25C4B9}"/>
    <cellStyle name="_Heading_prestemp" xfId="76" xr:uid="{0D746C38-A984-4D74-A62D-EC032A4EE589}"/>
    <cellStyle name="_Highlight" xfId="77" xr:uid="{7BEF17B5-9DD1-4EC0-B041-BFEC27D566C3}"/>
    <cellStyle name="_Model FINAL (2)" xfId="78" xr:uid="{C0C30D6E-059F-42FB-ACD7-64144026F2A2}"/>
    <cellStyle name="_Multiple" xfId="79" xr:uid="{BA9909BD-EEC9-48F7-82C7-35B67A8112B2}"/>
    <cellStyle name="_Multiple_dcf" xfId="80" xr:uid="{8DAE36FC-021B-4784-ABA1-236F56A71F46}"/>
    <cellStyle name="_MultipleSpace" xfId="81" xr:uid="{85DE6E3E-75CB-4D41-B16E-51EDF4721134}"/>
    <cellStyle name="_MultipleSpace_dcf" xfId="82" xr:uid="{F6E2F655-9064-49E0-9C3E-FA8C179AC440}"/>
    <cellStyle name="_Other Defafult Scenario 1" xfId="83" xr:uid="{3C459D42-BFD5-49F7-8E8C-3EE6F8009224}"/>
    <cellStyle name="_Other Default Scenario 2" xfId="84" xr:uid="{3FE1B837-540A-4940-819E-5BB09D0BF86E}"/>
    <cellStyle name="_Percent" xfId="85" xr:uid="{A8091EE2-D71F-47B2-9F2A-51E94FED6AA0}"/>
    <cellStyle name="_PercentSpace" xfId="86" xr:uid="{B5361EF0-FAB1-4E95-8007-87A2114FE95E}"/>
    <cellStyle name="_Port" xfId="87" xr:uid="{A13A9AF2-DD35-4BAB-8B46-BE8CD51AE674}"/>
    <cellStyle name="_Port For S&amp;P" xfId="88" xr:uid="{1CCB2615-7157-44D0-98D8-D30EEA5E0A00}"/>
    <cellStyle name="_Port_COMPS - B2B Publishers" xfId="89" xr:uid="{A187BD67-3ED9-44FF-AE1C-AAB4A926CF1F}"/>
    <cellStyle name="_Port_COMPS - Directories" xfId="90" xr:uid="{62B7BB96-C463-4D83-AD6F-F7B0DC9B9521}"/>
    <cellStyle name="_Port_F&amp;W Servicing Model" xfId="91" xr:uid="{D8A0595D-8770-414A-B2C4-E0C8A559B374}"/>
    <cellStyle name="_Port_F&amp;W Servicing Model v2" xfId="92" xr:uid="{D17F9919-DC40-41BC-AA9F-FF8796619484}"/>
    <cellStyle name="_Port_Univision Annual Model" xfId="93" xr:uid="{45976E5D-522A-48B2-A70A-928EB1A4A18E}"/>
    <cellStyle name="_Port_Yell Servicing Model" xfId="94" xr:uid="{01CFA311-ED0F-4EB4-A923-F1CC5B83BC09}"/>
    <cellStyle name="_Pro Forma TTM 9.30.07 (CW NEIRB Acquisition)" xfId="95" xr:uid="{6C141FF1-6DC6-4270-8253-8A61E8969EEC}"/>
    <cellStyle name="_S&amp;P Analysis" xfId="96" xr:uid="{F9AD77C3-E459-46BA-B353-46A11044B0F4}"/>
    <cellStyle name="_S&amp;P Analysis_COMPS - B2B Publishers" xfId="97" xr:uid="{60E6C9FA-327A-443A-8861-C4E84ABC709D}"/>
    <cellStyle name="_S&amp;P Analysis_COMPS - Directories" xfId="98" xr:uid="{D61E0283-47C1-4236-943F-A239B30B880E}"/>
    <cellStyle name="_S&amp;P Analysis_F&amp;W Servicing Model" xfId="99" xr:uid="{7500F7A0-4DF5-4C4C-8A12-A46F6129533A}"/>
    <cellStyle name="_S&amp;P Analysis_F&amp;W Servicing Model v2" xfId="100" xr:uid="{4458F74C-8F6D-48FA-B9DF-CF14A114F8A8}"/>
    <cellStyle name="_S&amp;P Analysis_Univision Annual Model" xfId="101" xr:uid="{CD2B88E1-948B-483A-9F4C-03883CAEADDD}"/>
    <cellStyle name="_S&amp;P Analysis_Yell Servicing Model" xfId="102" xr:uid="{A27F9826-CE4E-434C-A7DA-912AA7DBDAA2}"/>
    <cellStyle name="_S&amp;P Hypothetical Port Summary" xfId="103" xr:uid="{A72C804E-526F-4D0C-9CF0-2B82A7FE84B2}"/>
    <cellStyle name="_S&amp;P Port 80Div_2099WARF" xfId="104" xr:uid="{652CC652-DE27-4375-8469-198C59B34CEB}"/>
    <cellStyle name="_S&amp;P Stress Scenarios" xfId="105" xr:uid="{F89B2ECB-C984-4B8E-88E0-36A36C6F96CC}"/>
    <cellStyle name="_Sources and Uses" xfId="106" xr:uid="{DD820B06-6040-4518-AFDD-08130FBC76B1}"/>
    <cellStyle name="_SubHeading" xfId="107" xr:uid="{6D389DE1-5EB6-475E-9450-53D9A0090B6C}"/>
    <cellStyle name="_SubHeading_prestemp" xfId="108" xr:uid="{9AF9D1E8-578A-49E7-B736-3C143856D34C}"/>
    <cellStyle name="_Table" xfId="109" xr:uid="{DE55EF09-4EC5-48CD-B6AD-CD56FDE2F40E}"/>
    <cellStyle name="_TableHead" xfId="110" xr:uid="{66CC3EF9-BDF4-4921-92C0-36B2780B8085}"/>
    <cellStyle name="_TableRowHead" xfId="111" xr:uid="{074C9CCC-BCF1-46FB-820B-C52F5955B971}"/>
    <cellStyle name="_TableSuperHead" xfId="112" xr:uid="{52FB487F-D96F-462B-9729-C2468D59DFFC}"/>
    <cellStyle name="£Currency [0]" xfId="113" xr:uid="{2263360F-1B16-459E-B47B-BD422BF796B4}"/>
    <cellStyle name="£Currency [1]" xfId="114" xr:uid="{D9928BDE-320E-4219-AFC3-44E32EBC749C}"/>
    <cellStyle name="£Currency [2]" xfId="115" xr:uid="{49D482E2-85E8-4AF7-84D5-071CA6D84E29}"/>
    <cellStyle name="£Currency [p]" xfId="116" xr:uid="{32993B51-D3BE-44CD-9A0C-75F9A2F385C3}"/>
    <cellStyle name="£Currency [p2]" xfId="117" xr:uid="{B3D170D6-28EE-4BC7-9702-4E0D1D60F3A5}"/>
    <cellStyle name="£Pounds" xfId="118" xr:uid="{F188FF48-F5E5-4032-888B-6DFADD71DC5A}"/>
    <cellStyle name="Accounting $" xfId="119" xr:uid="{BCAE3D7F-0405-47CB-A6BB-B03D39ECF9B2}"/>
    <cellStyle name="Across" xfId="120" xr:uid="{7E8D5C80-8CAB-4587-BB30-1F1142F3C74A}"/>
    <cellStyle name="Adjustable" xfId="121" xr:uid="{EC068383-F1ED-426D-B2E2-9B7291CB321F}"/>
    <cellStyle name="AFE" xfId="122" xr:uid="{842473ED-77D1-473E-A807-14C553B018B7}"/>
    <cellStyle name="Andre's Title" xfId="123" xr:uid="{862F6785-6F7E-4083-B3B2-5B4803B1FF58}"/>
    <cellStyle name="args.style" xfId="124" xr:uid="{0722CD54-B0AF-4213-A078-7D59D98CC4C7}"/>
    <cellStyle name="Arial 10" xfId="125" xr:uid="{3BED212E-C023-4BB4-B79F-0940B52FF14E}"/>
    <cellStyle name="Arial 12" xfId="126" xr:uid="{E579F244-1DF9-4EA7-891E-50D73BD8357E}"/>
    <cellStyle name="Best" xfId="127" xr:uid="{50B40237-C071-4E90-98BB-833B4B5C4F09}"/>
    <cellStyle name="Blank [$]" xfId="128" xr:uid="{63701457-1E7E-4702-8D34-A4E3BAB1DB07}"/>
    <cellStyle name="Blank [,]" xfId="129" xr:uid="{19A82CCA-9FF4-4CBE-A975-22DF581B6CF7}"/>
    <cellStyle name="BlankedZeros" xfId="130" xr:uid="{01352FFB-EF15-46B1-8EE0-3BBF9CEF41C4}"/>
    <cellStyle name="blp_column_header" xfId="131" xr:uid="{F4DAF9BA-5F9A-49ED-8402-4F805E03492C}"/>
    <cellStyle name="Blue" xfId="132" xr:uid="{7952CCA4-8C9C-4BE0-85C7-77560062DCFC}"/>
    <cellStyle name="bluepercent" xfId="133" xr:uid="{B85D4B36-121E-4FBE-B414-74DF76F38505}"/>
    <cellStyle name="Body" xfId="134" xr:uid="{72CED893-F865-45A2-A4A5-AE3CD556D7BA}"/>
    <cellStyle name="Bold" xfId="135" xr:uid="{204C25F3-19F9-4CAA-B199-F1F8115A8DC6}"/>
    <cellStyle name="BoldItalic" xfId="136" xr:uid="{311021DE-F85F-4052-B520-F241DA11ECA4}"/>
    <cellStyle name="Bottom" xfId="137" xr:uid="{47CDD94D-4348-4C45-81C3-814739C7A455}"/>
    <cellStyle name="Bottom Edge" xfId="138" xr:uid="{D6FEFFB5-5DB9-4B25-99C9-F4AC40EAAD42}"/>
    <cellStyle name="British Pound" xfId="139" xr:uid="{A81F26B5-7015-44F3-B7F2-16FB974794E3}"/>
    <cellStyle name="Business Description" xfId="140" xr:uid="{2521D941-1C7D-4534-9AA9-28080575CCC9}"/>
    <cellStyle name="c" xfId="141" xr:uid="{681EC716-AE05-4FBD-B866-5F7B76FDD1E6}"/>
    <cellStyle name="Calc Currency (0)" xfId="142" xr:uid="{9D87E08E-52A9-4935-8458-ABD58B34870D}"/>
    <cellStyle name="Calc Currency (2)" xfId="143" xr:uid="{05915DFF-5214-491A-9C17-5B541285108E}"/>
    <cellStyle name="Calc Percent (0)" xfId="144" xr:uid="{0B132A4C-4D9B-4421-9347-F354F96930DF}"/>
    <cellStyle name="Calc Percent (1)" xfId="145" xr:uid="{80F48E8F-524C-4E84-A6A2-31C02F3CB65B}"/>
    <cellStyle name="Calc Percent (2)" xfId="146" xr:uid="{74E0AB8E-5FBE-490C-89BA-381F0A60AC20}"/>
    <cellStyle name="Calc Units (0)" xfId="147" xr:uid="{082B4314-5016-49CE-87A0-3B8B0B665B99}"/>
    <cellStyle name="Calc Units (1)" xfId="148" xr:uid="{BDC17E73-9C33-48C3-9467-7E2D81900B40}"/>
    <cellStyle name="Calc Units (2)" xfId="149" xr:uid="{A69EAB80-8C3E-4F0B-852F-5372A680A912}"/>
    <cellStyle name="Case" xfId="150" xr:uid="{65231827-12E5-45C8-8380-3F550900272B}"/>
    <cellStyle name="cc" xfId="151" xr:uid="{BE1C3C1C-D636-4AF7-8E77-F6A824192CA8}"/>
    <cellStyle name="Center" xfId="152" xr:uid="{5FB63344-C2C2-4227-8178-924D5522C8D9}"/>
    <cellStyle name="CenterBold" xfId="153" xr:uid="{45DA1FED-8C0D-41F5-A133-9D9641BE7DE3}"/>
    <cellStyle name="CenterItalic" xfId="154" xr:uid="{377048A5-87C0-477D-99AC-FC85CF36184C}"/>
    <cellStyle name="Cents" xfId="155" xr:uid="{BADCCBC8-26EA-47EC-BDE4-62C0A8903A7D}"/>
    <cellStyle name="ChartingText" xfId="156" xr:uid="{D3221DDC-E428-4030-A6E7-E8F58F04C6E2}"/>
    <cellStyle name="Co. Names" xfId="157" xr:uid="{85BFAE99-71CE-49F5-8CEC-231A113D759D}"/>
    <cellStyle name="Co. Names - Bold" xfId="158" xr:uid="{F23FB071-94C7-41E3-9567-686CA49F0EE8}"/>
    <cellStyle name="Co. Names_Break-Up" xfId="159" xr:uid="{F9340384-EB7D-4514-A887-FB5E68AF3A53}"/>
    <cellStyle name="COL HEADINGS" xfId="160" xr:uid="{74E9CDAC-129B-4D7B-8F15-5B1FE41F8B09}"/>
    <cellStyle name="ColumnHeaderNormal" xfId="161" xr:uid="{7E8383C9-D19D-463F-85C0-3BB1260B2380}"/>
    <cellStyle name="Comma" xfId="162" builtinId="3"/>
    <cellStyle name="Comma  - Style1" xfId="163" xr:uid="{0C5666BC-F405-49A4-938C-38E4E9EE3EBB}"/>
    <cellStyle name="Comma  - Style2" xfId="164" xr:uid="{690478A7-436E-4DD9-B92D-1A6D0045F6D5}"/>
    <cellStyle name="Comma  - Style3" xfId="165" xr:uid="{AAC3CB38-5992-4565-95DA-3E69CEB92599}"/>
    <cellStyle name="Comma  - Style4" xfId="166" xr:uid="{B95804CA-1F75-48BC-B2A0-4452E13B0F8F}"/>
    <cellStyle name="Comma  - Style5" xfId="167" xr:uid="{C82469B3-B9B6-4F2E-AA35-5C65CF8C232E}"/>
    <cellStyle name="Comma  - Style6" xfId="168" xr:uid="{E4F5620E-86E7-42DE-86D7-12585D05B59B}"/>
    <cellStyle name="Comma  - Style7" xfId="169" xr:uid="{9B5667C3-D908-40AD-9CC4-8A27EADC75F6}"/>
    <cellStyle name="Comma  - Style8" xfId="170" xr:uid="{44D0D767-10C3-4E0F-981D-E5290C2BD5FB}"/>
    <cellStyle name="Comma [0]; --" xfId="171" xr:uid="{7345AD3C-442E-4389-B808-237308803640}"/>
    <cellStyle name="Comma [00]" xfId="172" xr:uid="{705A416E-44F8-4C88-9F3E-9474DF09F850}"/>
    <cellStyle name="Comma [1]" xfId="173" xr:uid="{E8F909DD-7838-4EAB-A021-B02C5518552D}"/>
    <cellStyle name="Comma 2" xfId="174" xr:uid="{F2ACC8D7-8E16-4466-8AAF-7F9FFB107DDE}"/>
    <cellStyle name="Comma Cents" xfId="175" xr:uid="{72D2C423-2F7D-413F-974C-A2680757AA84}"/>
    <cellStyle name="Comma0" xfId="176" xr:uid="{8FF80FB2-3836-4F30-8D99-6B6343A7B569}"/>
    <cellStyle name="Commas" xfId="177" xr:uid="{312EC4A2-FB23-4182-921B-A85910E8DD42}"/>
    <cellStyle name="CommasBold" xfId="178" xr:uid="{5F0E9E92-6534-48D0-8C40-0AD75A43C8FC}"/>
    <cellStyle name="CompanyTitle" xfId="179" xr:uid="{3BAE55FB-805B-4CB9-8091-10EF29AF5CF4}"/>
    <cellStyle name="Copied" xfId="180" xr:uid="{8A2881BA-D0A7-4D26-AB82-BAAFC4E403FF}"/>
    <cellStyle name="Currency $" xfId="181" xr:uid="{DA7A7BC7-F28E-4A3D-98D1-5C06B7123E8B}"/>
    <cellStyle name="Currency [0]; --" xfId="182" xr:uid="{ADBD606F-F718-4A6F-AE8F-82945FAA7B3D}"/>
    <cellStyle name="Currency [00]" xfId="183" xr:uid="{421BA1B1-11C6-43D8-81E0-75F3821DF1B9}"/>
    <cellStyle name="Currency [1]" xfId="184" xr:uid="{8BD6C9FD-FE63-4181-A1F3-0CCC5F7F77DE}"/>
    <cellStyle name="Currency [2]" xfId="185" xr:uid="{B8E9617A-26B7-4A26-97B1-CB18F8D41E0F}"/>
    <cellStyle name="data" xfId="186" xr:uid="{B1E162CD-CA48-489F-94A4-499C17021055}"/>
    <cellStyle name="Date" xfId="187" xr:uid="{F0356170-B703-44B7-91BD-C79DAE57CAE2}"/>
    <cellStyle name="Date Short" xfId="188" xr:uid="{5F98DCEF-ABF8-4637-A902-9A51E5CFE363}"/>
    <cellStyle name="Date_COMPS - Directories" xfId="189" xr:uid="{4DE80183-BB37-46DD-AA5F-A4F6C020E8DD}"/>
    <cellStyle name="DateLeftBold" xfId="190" xr:uid="{114AC04D-CD90-4072-A7B1-8642FB6EF8AD}"/>
    <cellStyle name="Default" xfId="191" xr:uid="{7C839CFE-5A40-4DA5-BB39-D5AA237C97C3}"/>
    <cellStyle name="DELTA" xfId="192" xr:uid="{517FA79F-9D7A-4F73-A48E-D3ADF7561B6C}"/>
    <cellStyle name="Dollars" xfId="193" xr:uid="{A574511C-E4CB-46AD-ADAF-6531ECB51574}"/>
    <cellStyle name="Dollars []" xfId="194" xr:uid="{8F0B7852-9A85-4727-BEE6-793DDD4BC98F}"/>
    <cellStyle name="Dollars_Pro Forma TTM 9.30.07 (CW NEIRB Acquisition)" xfId="195" xr:uid="{A3A2F07C-E155-47C5-9489-3744E413E22B}"/>
    <cellStyle name="Double" xfId="196" xr:uid="{A0E3791A-238F-43AA-9933-B276AB33AD87}"/>
    <cellStyle name="Double Accounting" xfId="197" xr:uid="{98AE1D23-3219-4897-8E1D-7D800C39DB60}"/>
    <cellStyle name="Enter Currency (0)" xfId="198" xr:uid="{BA99FAC8-FD7A-4AF6-B4C9-B85174DBD18A}"/>
    <cellStyle name="Enter Currency (2)" xfId="199" xr:uid="{072982AD-2C1D-4408-ADB8-5891803302FF}"/>
    <cellStyle name="Enter Units (0)" xfId="200" xr:uid="{1BD257A5-D79D-42EB-B908-C0F2C443EFF6}"/>
    <cellStyle name="Enter Units (1)" xfId="201" xr:uid="{54ABB978-1F17-43A4-8307-DBC9DD796406}"/>
    <cellStyle name="Enter Units (2)" xfId="202" xr:uid="{9174CE57-5C08-4B70-8252-4B8F3A6D638C}"/>
    <cellStyle name="Entered" xfId="203" xr:uid="{683E0A2C-BBAA-4066-8F6E-EC3CE456459C}"/>
    <cellStyle name="Euro" xfId="204" xr:uid="{910ECF0E-FBE4-4F1D-9D47-651DB0A291A0}"/>
    <cellStyle name="Fit" xfId="205" xr:uid="{362B4386-7BE2-4461-9ABE-54E63E655268}"/>
    <cellStyle name="Footer" xfId="206" xr:uid="{8882C8BB-2142-4C55-84C0-E8660DF2DE15}"/>
    <cellStyle name="Footnotes" xfId="207" xr:uid="{B2376288-05C6-4EDC-893D-CF344276B2EC}"/>
    <cellStyle name="Grey" xfId="208" xr:uid="{75014985-4C15-462D-8531-70E35EED6285}"/>
    <cellStyle name="GreybarHeader" xfId="209" xr:uid="{C3D520CC-D410-428E-97F9-F0C8B054C5B2}"/>
    <cellStyle name="Grouped Head" xfId="210" xr:uid="{D6618233-8F0B-4B29-A1AC-3CEF60208C2D}"/>
    <cellStyle name="h" xfId="211" xr:uid="{EB90E19A-604A-48B6-8F3C-E386E403090B}"/>
    <cellStyle name="HAlignCenter" xfId="212" xr:uid="{8EFE2624-566A-4DEE-B140-DCE2E4DA745B}"/>
    <cellStyle name="HAlignLeft" xfId="213" xr:uid="{D38CD56B-75DC-431D-BFF3-005F89ED75C7}"/>
    <cellStyle name="HAlignRight" xfId="214" xr:uid="{3991F07C-A457-4708-BA53-0FE1E078CFE7}"/>
    <cellStyle name="Head 1" xfId="215" xr:uid="{96E0D348-EF23-49E9-B160-DEB41D2088D7}"/>
    <cellStyle name="Header" xfId="216" xr:uid="{F3796941-C932-45C2-B031-5DB966F7FBCF}"/>
    <cellStyle name="Header1" xfId="217" xr:uid="{6D1B8A83-2B5D-4CE2-AF01-3055CA2848FD}"/>
    <cellStyle name="Header2" xfId="218" xr:uid="{B11AB1B7-6DA6-4AC0-BB35-8A0AC34BBF81}"/>
    <cellStyle name="headers" xfId="219" xr:uid="{AB359104-551C-4321-A633-A9C5E16E21DA}"/>
    <cellStyle name="Heading" xfId="220" xr:uid="{743D4098-94F4-4C81-8F22-B1130EB4417E}"/>
    <cellStyle name="HEADINGS" xfId="221" xr:uid="{EB37D4CD-1271-4BDC-A16B-5D97B15A982D}"/>
    <cellStyle name="HEADINGSTOP" xfId="222" xr:uid="{E70E5917-AF77-44C1-B3B3-DC8A959D84FC}"/>
    <cellStyle name="imput" xfId="223" xr:uid="{78934337-8AB8-4792-BDF0-266773DCC72E}"/>
    <cellStyle name="Input [yellow]" xfId="224" xr:uid="{A7738583-9A53-419B-A999-70F3736334BE}"/>
    <cellStyle name="Invisible" xfId="225" xr:uid="{01F858EC-5D4B-4C89-9B63-1DD8DDC3E905}"/>
    <cellStyle name="ItalicHeader" xfId="226" xr:uid="{2A469285-F271-4F3D-8A14-C39F76CC53D7}"/>
    <cellStyle name="Item Descriptions" xfId="227" xr:uid="{766F0142-D66F-4CE9-9554-5E5F60A9B8BF}"/>
    <cellStyle name="Item Descriptions - Bold" xfId="228" xr:uid="{AEBBD928-954A-42CC-B740-A3B07E74D2AD}"/>
    <cellStyle name="Item Descriptions_6079BX" xfId="229" xr:uid="{23C34EC0-60C3-40BD-8806-EECE67B2790E}"/>
    <cellStyle name="Left" xfId="230" xr:uid="{BDC3D91C-89EE-4CF7-A468-3D0871084867}"/>
    <cellStyle name="LeftBold" xfId="231" xr:uid="{1566A885-5822-4B43-8607-BA0CCC23CB40}"/>
    <cellStyle name="LeftBoldBottomRule" xfId="232" xr:uid="{EA9DBA0C-86BF-46C7-B6D9-1EAFB7D5D106}"/>
    <cellStyle name="LeftBoldCenterRule" xfId="233" xr:uid="{1C04A941-C6BB-4296-828D-C7502C623A33}"/>
    <cellStyle name="Line" xfId="234" xr:uid="{62A0536C-F9A8-4CD5-8032-BAE6DF9C7A5C}"/>
    <cellStyle name="Link Currency (0)" xfId="235" xr:uid="{D2CF7676-8BA4-4FFD-A674-AE3FB8BC048C}"/>
    <cellStyle name="Link Currency (2)" xfId="236" xr:uid="{75E011D5-2300-436E-949B-BDDD45DFCB6C}"/>
    <cellStyle name="Link Units (0)" xfId="237" xr:uid="{55418DAD-36E9-4CA8-92DB-F83D2EEAE12A}"/>
    <cellStyle name="Link Units (1)" xfId="238" xr:uid="{8FAAE824-06CC-4098-B192-3D8115AAA02F}"/>
    <cellStyle name="Link Units (2)" xfId="239" xr:uid="{FBB1E013-2267-42C4-9E0B-E239991EE201}"/>
    <cellStyle name="locked" xfId="240" xr:uid="{BE18F122-D9A0-4606-BA77-2E2FA17375C8}"/>
    <cellStyle name="m&amp;a" xfId="241" xr:uid="{E741B4C7-22C9-4252-84B6-0D6737FA51F5}"/>
    <cellStyle name="Map Labels" xfId="242" xr:uid="{CAF63CA0-E34C-49F6-A7B2-327A9DA22C47}"/>
    <cellStyle name="Map Legend" xfId="243" xr:uid="{121D21F2-DC2C-469F-B9AF-F836C5E6C82B}"/>
    <cellStyle name="Merrill" xfId="244" xr:uid="{6B66CAA5-1791-4172-9373-DB288AF24DF1}"/>
    <cellStyle name="Millares_Inv Detail A7" xfId="245" xr:uid="{F327F7C2-AF47-465A-A6DB-73A04A570855}"/>
    <cellStyle name="Milliers [0]_r00SC" xfId="246" xr:uid="{5BCEAB9C-AB34-44B1-8C67-284ED9906EC7}"/>
    <cellStyle name="Milliers_r00SC" xfId="247" xr:uid="{18438C3C-5222-404B-B340-FDFC2F4A3AD4}"/>
    <cellStyle name="Mix" xfId="248" xr:uid="{9DD01D99-1D42-4D4C-B8BD-BBB179ED6B7A}"/>
    <cellStyle name="mon" xfId="249" xr:uid="{A68F3634-9EA5-4511-BA2C-0F548AB80865}"/>
    <cellStyle name="Monétaire [0]_r00SC" xfId="250" xr:uid="{1CF33387-198C-4F19-910C-78CD1027394F}"/>
    <cellStyle name="Monétaire_r00SC" xfId="251" xr:uid="{F9E8EAB5-AF9A-4032-AB20-B9CC9171C740}"/>
    <cellStyle name="Money" xfId="252" xr:uid="{AFA6A1F8-B66F-4A95-AB07-A067A67407E7}"/>
    <cellStyle name="Multiple" xfId="253" xr:uid="{A9943A4E-CAE6-45FE-A30E-CCBA5327627F}"/>
    <cellStyle name="Multiple []" xfId="254" xr:uid="{C5E7AA4F-CD37-4E32-BA49-F1561905BD34}"/>
    <cellStyle name="Multiple [0]" xfId="255" xr:uid="{E358E9DC-7DBE-4A4E-9917-162C6055EDBB}"/>
    <cellStyle name="Multiple [0] []" xfId="256" xr:uid="{9BA9E5B8-E3A3-4DE4-87EE-C52AA0CDE90E}"/>
    <cellStyle name="Multiple [0]_New MA Public Comps and WACC Model" xfId="257" xr:uid="{9221E706-53E8-45C7-B10E-1B24264B4972}"/>
    <cellStyle name="Multiple [1]" xfId="258" xr:uid="{B43CE361-200B-4E16-BB8A-AE372AC34784}"/>
    <cellStyle name="Multiple [1] []" xfId="259" xr:uid="{ABFC3983-0FBB-460B-A739-D8A45AB03C5A}"/>
    <cellStyle name="Multiple [1]_New MA Public Comps and WACC Model" xfId="260" xr:uid="{40D3CE5C-9446-4082-9FA0-7B2392020841}"/>
    <cellStyle name="Multiple_CapitalSum" xfId="261" xr:uid="{DE123169-90B7-482D-8D39-D993D42D40D9}"/>
    <cellStyle name="N2Style" xfId="262" xr:uid="{45B684CD-F9F5-4AE1-BDC3-F7C672CB55C7}"/>
    <cellStyle name="NewColumnHeaderNormal" xfId="263" xr:uid="{B938B529-1C59-4F70-9253-0448E1865638}"/>
    <cellStyle name="NewSectionHeaderNormal" xfId="264" xr:uid="{C5B71DC7-A6BD-4C3D-BE5F-69E91479A226}"/>
    <cellStyle name="NewTitleNormal" xfId="265" xr:uid="{573AED45-5001-4A2F-B325-8DA47CD9EED8}"/>
    <cellStyle name="Normal" xfId="0" builtinId="0"/>
    <cellStyle name="Normal - Style1" xfId="266" xr:uid="{1B1D73A8-01B0-4B58-8504-27080FF90057}"/>
    <cellStyle name="Normal 101" xfId="267" xr:uid="{A270354F-5BF4-4C24-8AB1-4FF41E70B576}"/>
    <cellStyle name="Normal 103 2" xfId="268" xr:uid="{DCAA91FC-4969-4638-9E84-BC9C535A6A5B}"/>
    <cellStyle name="Normal 2" xfId="269" xr:uid="{BB9F3073-F3D8-49D3-A579-7169E3E62EDC}"/>
    <cellStyle name="Normal 2 2" xfId="270" xr:uid="{F69E6077-48B1-4714-8CEA-F54956214FA5}"/>
    <cellStyle name="Normal 3 3" xfId="271" xr:uid="{BF7F68C3-034F-49EE-8D05-080C95EF7D5B}"/>
    <cellStyle name="Normal_Balanço (2)" xfId="272" xr:uid="{29102721-3FE3-4B4B-B3AC-D1927E461193}"/>
    <cellStyle name="Normal1" xfId="273" xr:uid="{FDB7E52D-42E4-40FD-B603-75A0BD7AB387}"/>
    <cellStyle name="Normal10" xfId="274" xr:uid="{84EE5C18-4228-49B7-AA97-252F1D7B15E5}"/>
    <cellStyle name="Normal100" xfId="275" xr:uid="{393CA8F8-1402-4D1E-B743-A1B918BABB9D}"/>
    <cellStyle name="Normal101" xfId="276" xr:uid="{285B3494-D4CC-44CE-92EC-FE2EB107C5F5}"/>
    <cellStyle name="Normal102" xfId="277" xr:uid="{857BC2EF-39E9-49C6-A6BE-D1707964D816}"/>
    <cellStyle name="Normal103" xfId="278" xr:uid="{D7011BDE-4CEE-4088-A833-EAA878C31990}"/>
    <cellStyle name="Normal104" xfId="279" xr:uid="{F0BA042A-1243-45FC-AAF4-2D2739A6B7F9}"/>
    <cellStyle name="Normal105" xfId="280" xr:uid="{8964D81B-D2C4-4089-9859-2339CE078D48}"/>
    <cellStyle name="Normal106" xfId="281" xr:uid="{341EC31F-1441-496B-B3CF-ACA829128E57}"/>
    <cellStyle name="Normal107" xfId="282" xr:uid="{34F5A781-5162-4E64-8B51-7C3AD00A803E}"/>
    <cellStyle name="Normal108" xfId="283" xr:uid="{64D561DA-4C9A-47AE-9688-EF1CB78CE642}"/>
    <cellStyle name="Normal109" xfId="284" xr:uid="{850467CE-021A-4B3B-81AB-DA24483B6241}"/>
    <cellStyle name="Normal11" xfId="285" xr:uid="{7F1FA59E-5B63-4762-9259-8E897BC0AD79}"/>
    <cellStyle name="Normal110" xfId="286" xr:uid="{168DFBCE-D9E1-4EBD-920B-61B225D018CE}"/>
    <cellStyle name="Normal111" xfId="287" xr:uid="{DC56850F-583D-42F2-8C63-3F046F109105}"/>
    <cellStyle name="Normal112" xfId="288" xr:uid="{7CC8080C-B01B-4CBE-92C4-11F4D559F683}"/>
    <cellStyle name="Normal113" xfId="289" xr:uid="{1862DD2F-35EC-431B-9332-F580DF4ADDCD}"/>
    <cellStyle name="Normal114" xfId="290" xr:uid="{C76E0871-1876-485C-BC43-8183F96BD2DE}"/>
    <cellStyle name="Normal115" xfId="291" xr:uid="{C867D1E4-D1AE-4DC7-9855-C8B03B639C2C}"/>
    <cellStyle name="Normal116" xfId="292" xr:uid="{863FD82B-4F9C-4098-805C-A53B4A42FE68}"/>
    <cellStyle name="Normal117" xfId="293" xr:uid="{ED13231F-6D48-4FF8-83EB-F9E86DAD8DEC}"/>
    <cellStyle name="Normal118" xfId="294" xr:uid="{7006B302-432E-4348-9351-4F910D597F04}"/>
    <cellStyle name="Normal119" xfId="295" xr:uid="{C27D1D49-4739-4921-997E-1EFEDE1DB55D}"/>
    <cellStyle name="Normal12" xfId="296" xr:uid="{825754D6-372A-4115-8E9F-BB7CC8810822}"/>
    <cellStyle name="Normal120" xfId="297" xr:uid="{AF0F9EE8-1440-4DBF-B2E5-4707EB670E8C}"/>
    <cellStyle name="Normal121" xfId="298" xr:uid="{CA5BEE30-8117-4E53-A272-46BF8FEBD919}"/>
    <cellStyle name="Normal122" xfId="299" xr:uid="{15BAE533-9C0A-40FC-9DB6-0968020E2D5B}"/>
    <cellStyle name="Normal123" xfId="300" xr:uid="{CFB2879C-A1AE-40E7-99E4-33880A3AFF5B}"/>
    <cellStyle name="Normal124" xfId="301" xr:uid="{547B621B-04EB-4210-B6A8-82BAE05D2528}"/>
    <cellStyle name="Normal125" xfId="302" xr:uid="{066EB4AE-D65A-4B8E-BB73-335D54DF5C92}"/>
    <cellStyle name="Normal126" xfId="303" xr:uid="{2BED064D-6F81-4F94-A428-7658335B6580}"/>
    <cellStyle name="Normal127" xfId="304" xr:uid="{7192EE8F-4285-4A14-BAC4-9738D296C504}"/>
    <cellStyle name="Normal128" xfId="305" xr:uid="{5D70595F-B95C-4445-B3E5-E27B6829C65A}"/>
    <cellStyle name="Normal129" xfId="306" xr:uid="{E47A8760-0CCC-411A-A2C7-C36AB28D2121}"/>
    <cellStyle name="Normal13" xfId="307" xr:uid="{B8BF66B3-FA5F-4693-B10A-F29F0C2E0043}"/>
    <cellStyle name="Normal130" xfId="308" xr:uid="{62E9FFF7-1C12-423C-8E52-C5EC4BA03573}"/>
    <cellStyle name="Normal131" xfId="309" xr:uid="{8F5340DE-50AE-4F2A-A10A-4C758C18E152}"/>
    <cellStyle name="Normal132" xfId="310" xr:uid="{94A36B11-5BCD-403B-A799-1A196A0809D7}"/>
    <cellStyle name="Normal133" xfId="311" xr:uid="{7B539390-1039-4E54-9855-D47BE4401F0A}"/>
    <cellStyle name="Normal134" xfId="312" xr:uid="{0948A482-2BD3-4733-A4FA-3D8060415758}"/>
    <cellStyle name="Normal135" xfId="313" xr:uid="{73A661A5-2F70-4B91-9190-6DADBF1C3A32}"/>
    <cellStyle name="Normal136" xfId="314" xr:uid="{902878C1-6B08-45FA-B79F-197634DDBC97}"/>
    <cellStyle name="Normal137" xfId="315" xr:uid="{1AAA041A-1A4D-4FE9-9D7B-990F9589974A}"/>
    <cellStyle name="Normal138" xfId="316" xr:uid="{695AC500-08F0-45B3-9DFE-A8C0BBB47525}"/>
    <cellStyle name="Normal139" xfId="317" xr:uid="{43C7AE2D-4F25-4AD6-8AA5-25D71C79B31D}"/>
    <cellStyle name="Normal14" xfId="318" xr:uid="{2625B05B-F9E1-455C-B86F-47FD451E23DD}"/>
    <cellStyle name="Normal140" xfId="319" xr:uid="{88267A52-3804-4CE5-9FBF-2BB4DAB663CA}"/>
    <cellStyle name="Normal141" xfId="320" xr:uid="{2A920C15-30E7-4F1F-A098-23E3DA124599}"/>
    <cellStyle name="Normal142" xfId="321" xr:uid="{C26F5E26-DABC-4F50-B01F-D1489F09C419}"/>
    <cellStyle name="Normal143" xfId="322" xr:uid="{B91A40CF-54D8-4D2C-BD04-24DF5A349CB5}"/>
    <cellStyle name="Normal144" xfId="323" xr:uid="{27910F9A-43DF-4FB8-9934-97BBD4DCA459}"/>
    <cellStyle name="Normal145" xfId="324" xr:uid="{19620D44-E31F-405C-A610-775503066AF7}"/>
    <cellStyle name="Normal146" xfId="325" xr:uid="{8CEFF8BB-16A3-4F2F-9E77-9B2F530716C7}"/>
    <cellStyle name="Normal147" xfId="326" xr:uid="{5570CCEB-204F-4439-9229-48607F3391AB}"/>
    <cellStyle name="Normal148" xfId="327" xr:uid="{BC126018-2F33-4BFE-9962-0FA90417000D}"/>
    <cellStyle name="Normal149" xfId="328" xr:uid="{A47A4956-E659-420B-9154-83B71E629893}"/>
    <cellStyle name="Normal15" xfId="329" xr:uid="{A53CF85E-FAAF-44EE-BADC-7257AEDC9D3C}"/>
    <cellStyle name="Normal150" xfId="330" xr:uid="{2F9CC53A-9622-40B8-8881-E553F5D49667}"/>
    <cellStyle name="Normal151" xfId="331" xr:uid="{BF71C478-5FB1-4AFD-B92A-C8F0B94862D0}"/>
    <cellStyle name="Normal152" xfId="332" xr:uid="{D0C4AE18-21D1-4D0A-B136-50B0CB0EEAC7}"/>
    <cellStyle name="Normal153" xfId="333" xr:uid="{5357F4B7-0E0F-49EC-8727-3FEC7C1056A5}"/>
    <cellStyle name="Normal154" xfId="334" xr:uid="{BE8D08D7-7980-4F9E-8D2D-D861F0207F57}"/>
    <cellStyle name="Normal155" xfId="335" xr:uid="{1279ADBC-36D8-4CC9-80A4-A14ED959FFFC}"/>
    <cellStyle name="Normal156" xfId="336" xr:uid="{E7A3E8E4-13E7-448E-8344-3AD622BE404E}"/>
    <cellStyle name="Normal157" xfId="337" xr:uid="{86852BA9-C495-4851-AA95-4242B36598B1}"/>
    <cellStyle name="Normal158" xfId="338" xr:uid="{A79A0273-C8A7-47D1-A08C-A3464D779ACF}"/>
    <cellStyle name="Normal159" xfId="339" xr:uid="{2273DAA7-881E-415E-9737-E6B3BDFEADE9}"/>
    <cellStyle name="Normal16" xfId="340" xr:uid="{EDF4D263-D8DC-4A47-A2BE-AF69CEB69CC2}"/>
    <cellStyle name="Normal160" xfId="341" xr:uid="{2059C564-F81F-44EC-A208-97472E7C62E8}"/>
    <cellStyle name="Normal161" xfId="342" xr:uid="{C59A0146-5CE1-4C08-8714-C82EAFDA9323}"/>
    <cellStyle name="Normal162" xfId="343" xr:uid="{F02B3334-17B2-4216-AFD2-1639CBA836C5}"/>
    <cellStyle name="Normal163" xfId="344" xr:uid="{A29885AD-39D0-4B99-AD67-60842A710D05}"/>
    <cellStyle name="Normal164" xfId="345" xr:uid="{2442512F-E674-42FE-96C4-2F71029A5D2E}"/>
    <cellStyle name="Normal165" xfId="346" xr:uid="{3484C767-BD78-43F6-8452-6FE108971025}"/>
    <cellStyle name="Normal166" xfId="347" xr:uid="{FF37C2E8-6762-4DBA-890F-B0DBE89961DC}"/>
    <cellStyle name="Normal167" xfId="348" xr:uid="{2CC7BFCF-01E1-4610-8BF8-5CEF72139CEF}"/>
    <cellStyle name="Normal168" xfId="349" xr:uid="{89008E84-CC5A-432E-81CF-BE0E11EA8654}"/>
    <cellStyle name="Normal169" xfId="350" xr:uid="{2930B388-9955-49B6-8442-FB40707398FA}"/>
    <cellStyle name="Normal17" xfId="351" xr:uid="{930E53CF-531B-4C3A-9113-B1E2E6D1A0E6}"/>
    <cellStyle name="Normal170" xfId="352" xr:uid="{344DC062-A93D-4B0C-AE87-397DE1ED7D75}"/>
    <cellStyle name="Normal171" xfId="353" xr:uid="{B703C030-5842-4088-A5E6-2B15BDB96021}"/>
    <cellStyle name="Normal172" xfId="354" xr:uid="{2FD4C083-FF01-49CA-9041-47788C0969F8}"/>
    <cellStyle name="Normal173" xfId="355" xr:uid="{26A9B07F-42B3-4248-8728-E437A7A11564}"/>
    <cellStyle name="Normal174" xfId="356" xr:uid="{C6C69659-EE09-4FE7-A867-C4056403B5F4}"/>
    <cellStyle name="Normal175" xfId="357" xr:uid="{428F4F06-4DF0-4A88-9681-F4231D932130}"/>
    <cellStyle name="Normal176" xfId="358" xr:uid="{F6830825-474D-4F4D-BB28-521DDF97DDF3}"/>
    <cellStyle name="Normal177" xfId="359" xr:uid="{31650A82-F1D1-47A5-ADC2-2C429212062F}"/>
    <cellStyle name="Normal178" xfId="360" xr:uid="{7A3757DA-A6A6-4D8E-A525-114984D4F0A8}"/>
    <cellStyle name="Normal179" xfId="361" xr:uid="{19945697-F706-49C5-B294-74A38095B39F}"/>
    <cellStyle name="Normal18" xfId="362" xr:uid="{EA44B7B1-67FE-452F-BAEB-B9B35574DE64}"/>
    <cellStyle name="Normal180" xfId="363" xr:uid="{4856A7C6-045D-4EB6-8027-1C2CAF279BC5}"/>
    <cellStyle name="Normal181" xfId="364" xr:uid="{FFD804F6-960D-4604-A6F3-722C1BED5B7D}"/>
    <cellStyle name="Normal182" xfId="365" xr:uid="{19C6A3AB-6DB7-46B1-B434-C784A4D023B3}"/>
    <cellStyle name="Normal183" xfId="366" xr:uid="{552CE637-55A3-4E70-954C-E26233305311}"/>
    <cellStyle name="Normal184" xfId="367" xr:uid="{C94075C1-B6E4-4F5B-8C8A-843282A97089}"/>
    <cellStyle name="Normal185" xfId="368" xr:uid="{D548E30D-554B-4643-AA14-1543B06622B6}"/>
    <cellStyle name="Normal186" xfId="369" xr:uid="{820377FB-4370-40B2-9FB0-B7DED40A330C}"/>
    <cellStyle name="Normal187" xfId="370" xr:uid="{D3F7B512-E985-4DAF-998E-88E1E84FA542}"/>
    <cellStyle name="Normal188" xfId="371" xr:uid="{4E80CEE9-B00E-4D20-89F2-0A75560B33AB}"/>
    <cellStyle name="Normal189" xfId="372" xr:uid="{E521441C-58F6-4D5C-98A3-B2460A47F3E9}"/>
    <cellStyle name="Normal19" xfId="373" xr:uid="{C1F348C7-4A6D-48FE-A9EA-7B9E2E02EF75}"/>
    <cellStyle name="Normal190" xfId="374" xr:uid="{3A13B0AF-D289-4385-8FC8-1EF91AC411E6}"/>
    <cellStyle name="Normal191" xfId="375" xr:uid="{C9E677D4-EBD4-484F-8F3E-84F7E6B12D68}"/>
    <cellStyle name="Normal192" xfId="376" xr:uid="{C3C651F3-AEFF-4D70-B21F-7EDADB732345}"/>
    <cellStyle name="Normal193" xfId="377" xr:uid="{97F0372E-D888-4DBA-9AEB-74F5AD7D64F8}"/>
    <cellStyle name="Normal194" xfId="378" xr:uid="{62BD12BF-BC4E-45EB-B6A7-C0C5DED969F9}"/>
    <cellStyle name="Normal195" xfId="379" xr:uid="{8B6F65F9-1ED5-418B-9109-89986A1FFA9B}"/>
    <cellStyle name="Normal196" xfId="380" xr:uid="{EAAC8CCC-D74B-43A4-97FD-F2E16F2415D1}"/>
    <cellStyle name="Normal197" xfId="381" xr:uid="{E9A2556C-1B09-4C78-B4B4-76DF779D678C}"/>
    <cellStyle name="Normal198" xfId="382" xr:uid="{6E8BE20B-9F68-424D-834B-BB6B27FAC99A}"/>
    <cellStyle name="Normal199" xfId="383" xr:uid="{4E34512B-A2EB-4284-B26F-22971D6D453E}"/>
    <cellStyle name="Normal2" xfId="384" xr:uid="{01A50DCC-2B85-4233-8115-77C2F4B2861E}"/>
    <cellStyle name="Normal20" xfId="385" xr:uid="{4474EC2F-E0E0-4623-8C44-7C27CDF56F1D}"/>
    <cellStyle name="Normal200" xfId="386" xr:uid="{C0080F50-8D43-4EC2-99D1-338CDABED6CD}"/>
    <cellStyle name="Normal201" xfId="387" xr:uid="{FD6A0310-9C72-4D75-B814-EC7CD3195D7B}"/>
    <cellStyle name="Normal202" xfId="388" xr:uid="{EE12AC8F-EFAE-483D-B224-CF128A53281D}"/>
    <cellStyle name="Normal203" xfId="389" xr:uid="{36FCDB32-50D6-47BA-AA0F-B035BA226EBC}"/>
    <cellStyle name="Normal204" xfId="390" xr:uid="{AB0307C2-8100-4F4F-8FBF-1E3468D6A5A0}"/>
    <cellStyle name="Normal205" xfId="391" xr:uid="{7BAE3F49-C38B-473B-B2F4-B2DB76620EA4}"/>
    <cellStyle name="Normal206" xfId="392" xr:uid="{E0F75718-F6B4-406A-917F-B412722C0D65}"/>
    <cellStyle name="Normal207" xfId="393" xr:uid="{0B948543-496D-4216-A1FB-762D543A126E}"/>
    <cellStyle name="Normal208" xfId="394" xr:uid="{62745902-5719-42A9-832D-E8C3E9D2BBD1}"/>
    <cellStyle name="Normal209" xfId="395" xr:uid="{22594C90-84D5-427F-B003-FC46484D39C8}"/>
    <cellStyle name="Normal21" xfId="396" xr:uid="{D78654B8-16F4-447D-A194-FB657E0B7E1E}"/>
    <cellStyle name="Normal210" xfId="397" xr:uid="{CDB1599E-D9F0-4E7D-8103-4CD6ED95935C}"/>
    <cellStyle name="Normal211" xfId="398" xr:uid="{5E497FCF-D852-4D6A-8E0A-F86097356D52}"/>
    <cellStyle name="Normal212" xfId="399" xr:uid="{B87385AC-C234-44B2-9F4E-232220E8E3D6}"/>
    <cellStyle name="Normal213" xfId="400" xr:uid="{6902E2C5-D988-402B-8CBE-DC173A5FB5EA}"/>
    <cellStyle name="Normal214" xfId="401" xr:uid="{ED6CDFFE-0091-4246-AC4F-3FE8F941611C}"/>
    <cellStyle name="Normal215" xfId="402" xr:uid="{1855CFCC-24D4-440E-9073-1AD9FEB312FD}"/>
    <cellStyle name="Normal216" xfId="403" xr:uid="{C9C1C0F3-BFC8-4591-86A9-6CD355A1142F}"/>
    <cellStyle name="Normal217" xfId="404" xr:uid="{2D4C4103-C404-4160-BF90-2F0C0A56EA7C}"/>
    <cellStyle name="Normal218" xfId="405" xr:uid="{B1C600EF-D24B-4FC2-941D-2F955C9BDBBF}"/>
    <cellStyle name="Normal219" xfId="406" xr:uid="{42C25553-1779-48D7-8821-F6B037424E57}"/>
    <cellStyle name="Normal22" xfId="407" xr:uid="{ED2A33B4-6025-4E07-BBCF-FC9351B5FDE1}"/>
    <cellStyle name="Normal220" xfId="408" xr:uid="{357834E2-8488-48BB-ACDF-94BF8AB54130}"/>
    <cellStyle name="Normal221" xfId="409" xr:uid="{2F678293-563D-4F2E-8E7E-25BC950AE655}"/>
    <cellStyle name="Normal222" xfId="410" xr:uid="{36E8452D-3717-481B-9F1B-587336942781}"/>
    <cellStyle name="Normal223" xfId="411" xr:uid="{9DBFD43D-D513-4E63-A1ED-697532441046}"/>
    <cellStyle name="Normal224" xfId="412" xr:uid="{D5BD8013-6A03-4B2E-82CD-6C2F761088C1}"/>
    <cellStyle name="Normal225" xfId="413" xr:uid="{06D95959-F060-42AA-9815-51DC6F467C86}"/>
    <cellStyle name="Normal226" xfId="414" xr:uid="{00811FB7-3590-4462-8964-F08E6E376549}"/>
    <cellStyle name="Normal227" xfId="415" xr:uid="{974E78FB-E84D-4396-872F-94502A1E114F}"/>
    <cellStyle name="Normal228" xfId="416" xr:uid="{DB51C721-410E-4715-9EA4-B4522758A6A0}"/>
    <cellStyle name="Normal229" xfId="417" xr:uid="{4022D5F5-A61B-4A76-A07D-EFBF78BC8434}"/>
    <cellStyle name="Normal23" xfId="418" xr:uid="{6055CD9B-C24A-4526-B30A-19B6B7B099BE}"/>
    <cellStyle name="Normal230" xfId="419" xr:uid="{C38901EB-D87B-42AB-B3DD-5394B32B057A}"/>
    <cellStyle name="Normal231" xfId="420" xr:uid="{88B877A3-D504-4A25-9632-88A8437603BA}"/>
    <cellStyle name="Normal232" xfId="421" xr:uid="{7D677C53-C545-4364-B3F4-CC69343017E5}"/>
    <cellStyle name="Normal233" xfId="422" xr:uid="{3BBA919D-6728-4075-9DBE-FC5424CBD445}"/>
    <cellStyle name="Normal234" xfId="423" xr:uid="{4FDD57E1-71B8-4608-9F14-216CD9FA8FFE}"/>
    <cellStyle name="Normal235" xfId="424" xr:uid="{CFD99E51-59C6-4BE6-BA43-37DA90C0D281}"/>
    <cellStyle name="Normal236" xfId="425" xr:uid="{EA42C2EF-0064-4B71-8119-343D3882E6B2}"/>
    <cellStyle name="Normal237" xfId="426" xr:uid="{9B1EB534-750C-486E-AE50-48184609F561}"/>
    <cellStyle name="Normal238" xfId="427" xr:uid="{464E19F8-D2E2-4CA9-BE0B-FECBBCE21AEA}"/>
    <cellStyle name="Normal239" xfId="428" xr:uid="{7CED8F96-2C17-4A8D-A153-71E442CB3C50}"/>
    <cellStyle name="Normal24" xfId="429" xr:uid="{A9AF72F1-09C8-4074-8BF8-F0C1CF60AA19}"/>
    <cellStyle name="Normal240" xfId="430" xr:uid="{867D4726-08A4-4DA3-BB0F-041047FE8124}"/>
    <cellStyle name="Normal241" xfId="431" xr:uid="{E74788D3-5D6D-49CB-BF9B-3E6F79195355}"/>
    <cellStyle name="Normal242" xfId="432" xr:uid="{4DD80B52-58A4-4C54-96F5-8C19E7C34BA8}"/>
    <cellStyle name="Normal243" xfId="433" xr:uid="{BDA0E413-87E4-4121-9D79-6DFD30B3572B}"/>
    <cellStyle name="Normal244" xfId="434" xr:uid="{890C2811-BECE-4800-A26F-88A3B66EA63C}"/>
    <cellStyle name="Normal245" xfId="435" xr:uid="{179E0B5E-74C1-4E0F-87C4-BC20B216BB01}"/>
    <cellStyle name="Normal246" xfId="436" xr:uid="{A6904D19-2AA3-4C79-B7AB-B2F3241F4A2B}"/>
    <cellStyle name="Normal247" xfId="437" xr:uid="{EA1888D8-BF04-4935-B8A2-6A970FAFFFF6}"/>
    <cellStyle name="Normal248" xfId="438" xr:uid="{F0A1B215-F97F-4926-B3BB-7A18F857F787}"/>
    <cellStyle name="Normal249" xfId="439" xr:uid="{138E87B0-4DB1-48C4-BBB0-0AE1A0E0D8B1}"/>
    <cellStyle name="Normal25" xfId="440" xr:uid="{A3D5AA17-7765-45C7-8AA3-6ACA8B126AD0}"/>
    <cellStyle name="Normal250" xfId="441" xr:uid="{D9DB9262-8009-4587-B9D0-835AD167FD22}"/>
    <cellStyle name="Normal251" xfId="442" xr:uid="{F342996E-265E-4CE0-B62F-27DC4EA74845}"/>
    <cellStyle name="Normal252" xfId="443" xr:uid="{5C0BEA12-8DF3-463A-B96F-01C4B5C5B2DE}"/>
    <cellStyle name="Normal253" xfId="444" xr:uid="{77DDA17C-BAEE-47BC-9936-CA37D425D3DF}"/>
    <cellStyle name="Normal26" xfId="445" xr:uid="{D51B9938-E9EC-44B9-A032-7C71DB3D7401}"/>
    <cellStyle name="Normal27" xfId="446" xr:uid="{885E3ECF-2E0B-4A92-9A61-550B9112DD79}"/>
    <cellStyle name="Normal28" xfId="447" xr:uid="{02C6E55E-3E08-46AE-978C-FBB99F45E025}"/>
    <cellStyle name="Normal29" xfId="448" xr:uid="{65BC6666-0A63-4C33-8365-EE8B731283B5}"/>
    <cellStyle name="Normal3" xfId="449" xr:uid="{18F759C3-8CB8-465F-B865-1BE7E1A0A6C5}"/>
    <cellStyle name="Normal30" xfId="450" xr:uid="{885EAF22-7322-4DF1-A548-C4E3E20AE7D1}"/>
    <cellStyle name="Normal31" xfId="451" xr:uid="{2D079CC7-C7C8-4282-955C-0F3F9EFE2856}"/>
    <cellStyle name="Normal32" xfId="452" xr:uid="{2D731952-30CA-43E5-B3E1-D2AF751E258C}"/>
    <cellStyle name="Normal33" xfId="453" xr:uid="{548E249C-B347-4CAE-BA76-2FFCA488A3C7}"/>
    <cellStyle name="Normal34" xfId="454" xr:uid="{ECEAC94B-FFA3-4F64-83ED-767197984D6C}"/>
    <cellStyle name="Normal35" xfId="455" xr:uid="{159D7A3F-18B3-4C47-8528-D16A5CBAAB2C}"/>
    <cellStyle name="Normal36" xfId="456" xr:uid="{C62CD9F9-2D33-42A4-AE5B-2B2836FC00C5}"/>
    <cellStyle name="Normal37" xfId="457" xr:uid="{771EA323-6657-43A8-9972-22887F8BFC66}"/>
    <cellStyle name="Normal38" xfId="458" xr:uid="{BEE882AB-A897-41B6-BD7A-227F6A2299D5}"/>
    <cellStyle name="Normal39" xfId="459" xr:uid="{9C515E71-B835-49F1-91CA-94421B3BDF64}"/>
    <cellStyle name="Normal4" xfId="460" xr:uid="{D6934ED8-AC88-4281-A71D-B856E25500A6}"/>
    <cellStyle name="Normal40" xfId="461" xr:uid="{A4B987BC-3EEF-42E1-A65B-112BAEE99836}"/>
    <cellStyle name="Normal41" xfId="462" xr:uid="{A2856E91-E1A3-46CF-8BE5-8344BAEAEB57}"/>
    <cellStyle name="Normal42" xfId="463" xr:uid="{84CB97F8-CEA8-4C47-BE21-6FD10305EDA8}"/>
    <cellStyle name="Normal43" xfId="464" xr:uid="{F83076BE-9E48-4C57-B4F0-DA3E28E81DE4}"/>
    <cellStyle name="Normal44" xfId="465" xr:uid="{4EE106C3-9B26-4A3D-A28E-25F3685D079F}"/>
    <cellStyle name="Normal45" xfId="466" xr:uid="{F97E3756-E598-437A-B3EB-BE430AF6B77E}"/>
    <cellStyle name="Normal46" xfId="467" xr:uid="{01FB5E38-058F-4618-9A7A-8BD248901C44}"/>
    <cellStyle name="Normal47" xfId="468" xr:uid="{A0604DF1-703C-4102-891F-7EFE67F423B3}"/>
    <cellStyle name="Normal48" xfId="469" xr:uid="{DDCD8C51-5848-4D82-AC45-31AA0CA6E1D2}"/>
    <cellStyle name="Normal49" xfId="470" xr:uid="{F3DEE7ED-C594-467D-86BC-CEFEF7C0AE6D}"/>
    <cellStyle name="Normal5" xfId="471" xr:uid="{552157AE-916E-4C9D-A712-AF3BF2188A23}"/>
    <cellStyle name="Normal50" xfId="472" xr:uid="{9CBB3CA9-9472-4B3D-997C-6D68849E45A1}"/>
    <cellStyle name="Normal51" xfId="473" xr:uid="{99F99C02-5752-4F02-AF88-DD3884B4CCEC}"/>
    <cellStyle name="Normal52" xfId="474" xr:uid="{121900E0-9EC0-49E1-8AAE-6ED39D42673A}"/>
    <cellStyle name="Normal53" xfId="475" xr:uid="{4361ABED-D6B9-4A8A-AA32-45C63D498BAA}"/>
    <cellStyle name="Normal54" xfId="476" xr:uid="{CBF41E34-4EA7-4773-8476-9A29E6CDD5F6}"/>
    <cellStyle name="Normal55" xfId="477" xr:uid="{03A6F84B-41C3-4D52-806A-D85C0C393C17}"/>
    <cellStyle name="Normal56" xfId="478" xr:uid="{C2090A44-6CB9-45FE-8D94-56B7025B8083}"/>
    <cellStyle name="Normal57" xfId="479" xr:uid="{F620C0A0-68F5-4F19-AF0F-43EEDD60D4A6}"/>
    <cellStyle name="Normal58" xfId="480" xr:uid="{18644C9E-5BD8-4B64-A299-D625210BF257}"/>
    <cellStyle name="Normal59" xfId="481" xr:uid="{11B0E4A6-D30D-4B65-A05D-08978FB9F928}"/>
    <cellStyle name="Normal6" xfId="482" xr:uid="{2B81C484-1060-462C-A9E2-149ACD00C8B6}"/>
    <cellStyle name="Normal60" xfId="483" xr:uid="{E71298D6-9EF7-46A1-9748-2D1218D2E5A6}"/>
    <cellStyle name="Normal61" xfId="484" xr:uid="{96B8369F-140D-45BA-840C-A990F1DFC83F}"/>
    <cellStyle name="Normal62" xfId="485" xr:uid="{399C43B2-6541-463C-A647-B193DA373E1D}"/>
    <cellStyle name="Normal63" xfId="486" xr:uid="{9299E180-54E4-4CDE-A4D6-81100E1A481E}"/>
    <cellStyle name="Normal64" xfId="487" xr:uid="{5ECF2D1F-C493-4ABB-AAE5-C222A1214ECE}"/>
    <cellStyle name="Normal65" xfId="488" xr:uid="{264C0BCE-5519-416B-84E1-85872E42D829}"/>
    <cellStyle name="Normal66" xfId="489" xr:uid="{E5464181-19CE-4EC8-949A-74ACC7D8CE86}"/>
    <cellStyle name="Normal67" xfId="490" xr:uid="{08130084-3680-4F78-9F59-783789649DF5}"/>
    <cellStyle name="Normal68" xfId="491" xr:uid="{5A5488B4-5C75-456F-AEAB-9B7E8787FABD}"/>
    <cellStyle name="Normal69" xfId="492" xr:uid="{D38CB88C-345E-4085-AD6C-A3EC49FAE6B2}"/>
    <cellStyle name="Normal7" xfId="493" xr:uid="{40A508ED-F7A2-4F78-84EA-520430949B64}"/>
    <cellStyle name="Normal70" xfId="494" xr:uid="{9F50E892-AD6A-4186-B0E1-EC2FE9DC7C68}"/>
    <cellStyle name="Normal71" xfId="495" xr:uid="{F24D32FE-A941-4623-9F85-BFAE26532B69}"/>
    <cellStyle name="Normal72" xfId="496" xr:uid="{97351AA6-30B8-466E-8A12-2A43C576013D}"/>
    <cellStyle name="Normal73" xfId="497" xr:uid="{1766E407-92B6-4AB1-807B-5E55DEF5AC65}"/>
    <cellStyle name="Normal74" xfId="498" xr:uid="{97A64DC7-D11C-431B-A237-D6BFBE23C5CF}"/>
    <cellStyle name="Normal75" xfId="499" xr:uid="{570FE2E3-1E06-47ED-8ECE-75592E830604}"/>
    <cellStyle name="Normal76" xfId="500" xr:uid="{0204D034-ED34-4FD4-8A0E-246000194D07}"/>
    <cellStyle name="Normal77" xfId="501" xr:uid="{8547D3EB-88DC-49B4-8DDE-6F44BCAB5C4C}"/>
    <cellStyle name="Normal78" xfId="502" xr:uid="{1A74E845-F39D-4D13-A49B-87BF924E91DF}"/>
    <cellStyle name="Normal79" xfId="503" xr:uid="{40C04B22-0C16-4CDD-A732-9B26E83D3C21}"/>
    <cellStyle name="Normal8" xfId="504" xr:uid="{7DD189F5-22E4-45A7-808A-91EF463CECEB}"/>
    <cellStyle name="Normal80" xfId="505" xr:uid="{A75F949A-B66E-40E9-8468-84F758BB92DE}"/>
    <cellStyle name="Normal81" xfId="506" xr:uid="{8EE33302-1DCF-4CF1-B081-D13DD06B0649}"/>
    <cellStyle name="Normal82" xfId="507" xr:uid="{3BCE4FA1-922B-44FA-AA32-7BE4665028BD}"/>
    <cellStyle name="Normal83" xfId="508" xr:uid="{559FCBFE-662B-47F1-8BB9-62B97C2AAF46}"/>
    <cellStyle name="Normal84" xfId="509" xr:uid="{5D892608-BBA2-4799-AA57-E8FD06EE69FB}"/>
    <cellStyle name="Normal85" xfId="510" xr:uid="{F15708E6-15B4-41D4-81ED-A8BE2B405C1F}"/>
    <cellStyle name="Normal86" xfId="511" xr:uid="{A5B643F4-30D7-4809-BB7B-9552399A2FCB}"/>
    <cellStyle name="Normal87" xfId="512" xr:uid="{732BA4F0-6DE6-420D-95D8-13F52C54D75D}"/>
    <cellStyle name="Normal88" xfId="513" xr:uid="{AE95D4B4-4213-4091-B665-F1E34920A419}"/>
    <cellStyle name="Normal89" xfId="514" xr:uid="{A5D9B73B-A4A2-4084-A9AE-C06DAF838DAD}"/>
    <cellStyle name="Normal9" xfId="515" xr:uid="{30A4AAAD-F409-4BC9-9C5E-04668CE30DEB}"/>
    <cellStyle name="Normal90" xfId="516" xr:uid="{7099646A-ADCE-4DAD-BEE5-E39D34F12AFA}"/>
    <cellStyle name="Normal91" xfId="517" xr:uid="{4B57CB9C-028E-41AC-83FD-684DFF085864}"/>
    <cellStyle name="Normal92" xfId="518" xr:uid="{047D6FE2-DB66-4ED2-AC9D-B75295360458}"/>
    <cellStyle name="Normal93" xfId="519" xr:uid="{4BB103E5-744C-4AED-A7F1-1AD6629ECA48}"/>
    <cellStyle name="Normal94" xfId="520" xr:uid="{A5638C86-E230-4BD0-83C0-652F7A2103D4}"/>
    <cellStyle name="Normal95" xfId="521" xr:uid="{D06A2423-3C63-4328-9576-C2BE36D2C4CB}"/>
    <cellStyle name="Normal96" xfId="522" xr:uid="{F35A620A-56B8-4DBF-9499-D99DE15647A0}"/>
    <cellStyle name="Normal97" xfId="523" xr:uid="{6A560530-4967-47B1-B431-ADE655A009F8}"/>
    <cellStyle name="Normal98" xfId="524" xr:uid="{A841CA53-1F76-4A9B-98C4-8C4BCC22D859}"/>
    <cellStyle name="Normal99" xfId="525" xr:uid="{081A66CB-B4F6-41DF-9361-E440C911438C}"/>
    <cellStyle name="NotDeclared_1" xfId="526" xr:uid="{558A1F80-E57C-4BCF-89DF-D165E05B2A06}"/>
    <cellStyle name="Numbers" xfId="527" xr:uid="{A5A8BF4E-8833-4B0C-956F-DB8D26457BDE}"/>
    <cellStyle name="Numbers - Bold" xfId="528" xr:uid="{357CDDFF-8AC8-4BAD-956C-82BD2C0BE64B}"/>
    <cellStyle name="Numbers - Bold - Italic" xfId="529" xr:uid="{5ACEACB1-2B59-4CC3-A547-512B68A22FAD}"/>
    <cellStyle name="Numbers - Bold_6079BX" xfId="530" xr:uid="{9BE1584B-AF6B-4589-B31D-902F76D946E3}"/>
    <cellStyle name="Numbers - Large" xfId="531" xr:uid="{F7BB705A-9653-4407-9E2B-635D46862178}"/>
    <cellStyle name="Numbers_6079BX" xfId="532" xr:uid="{7884B394-F153-4D1C-BB04-197556ED881C}"/>
    <cellStyle name="OSW_RowLabels" xfId="533" xr:uid="{49B3430B-B9F4-4334-A919-140D3D7E0CA5}"/>
    <cellStyle name="Outline" xfId="534" xr:uid="{ABA448BF-A4AB-4B8D-A02E-2013470EB6BB}"/>
    <cellStyle name="Output Amounts" xfId="535" xr:uid="{75533BA2-2944-4A12-8630-9CBA050C97FC}"/>
    <cellStyle name="Output Column Headings" xfId="536" xr:uid="{D1F569F0-EA73-48F3-B7FC-C2070CCD45E0}"/>
    <cellStyle name="Output Line Items" xfId="537" xr:uid="{4FB4E210-3A2B-47C8-B6D0-1939B5EE5B59}"/>
    <cellStyle name="Output Report Heading" xfId="538" xr:uid="{F587022B-0CE0-4568-BA9E-A4F5298B91A4}"/>
    <cellStyle name="Page" xfId="539" xr:uid="{35C0AFA0-D4F1-4238-AA97-5BD1E29B3BD3}"/>
    <cellStyle name="PB Table Heading" xfId="540" xr:uid="{F138054A-532B-4F75-9DEA-E83886DC3FE8}"/>
    <cellStyle name="PB Table Highlight1" xfId="541" xr:uid="{D8372CDD-FB52-4829-81C2-B59BE7BA016D}"/>
    <cellStyle name="PB Table Highlight2" xfId="542" xr:uid="{BB6D69B1-FAD2-462B-B367-847CB71277E9}"/>
    <cellStyle name="PB Table Highlight3" xfId="543" xr:uid="{E54C55AA-99C4-4279-8891-73F656B1DBA9}"/>
    <cellStyle name="PB Table Standard Row" xfId="544" xr:uid="{5C29A163-D197-4D4C-B812-BCA1572162D0}"/>
    <cellStyle name="PB Table Subtotal Row" xfId="545" xr:uid="{3DF80BD3-2639-48BA-A7C2-57AEFF1D6F9C}"/>
    <cellStyle name="PB Table Total Row" xfId="546" xr:uid="{A075784B-D336-4731-A279-9D5AED56A8C1}"/>
    <cellStyle name="Per cent" xfId="548" builtinId="5"/>
    <cellStyle name="per.style" xfId="547" xr:uid="{22BE1BA6-D384-4B76-94BF-128E072892DF}"/>
    <cellStyle name="Percent [0]" xfId="549" xr:uid="{520DA151-516E-412C-B339-AD99B66649C9}"/>
    <cellStyle name="Percent [00]" xfId="550" xr:uid="{337D2111-D690-4C0D-AC20-C22146FA54D6}"/>
    <cellStyle name="Percent [1]" xfId="551" xr:uid="{48BEFAEE-3331-4064-84B0-AC1CF259E785}"/>
    <cellStyle name="Percent [1][]" xfId="552" xr:uid="{C71A2E1E-0429-4E2B-98DC-B50D17C3CA44}"/>
    <cellStyle name="Percent [1]_New MA Public Comps and WACC Model" xfId="553" xr:uid="{98AC602B-1ABA-4C2F-9D64-9BC701AC994B}"/>
    <cellStyle name="Percent [2]" xfId="554" xr:uid="{6D508820-8783-417F-9B14-060BD3ABEB33}"/>
    <cellStyle name="Percent 2" xfId="555" xr:uid="{1F68CCE4-468D-482B-8AB2-B3FEECB3F5C7}"/>
    <cellStyle name="Percent Comma" xfId="556" xr:uid="{7B9579CB-27B9-46AF-8BFF-79F21D08D5FC}"/>
    <cellStyle name="Percent1" xfId="557" xr:uid="{6DEEC2AC-6375-448B-819E-CAD0B137D505}"/>
    <cellStyle name="Percent10" xfId="558" xr:uid="{36AED659-F266-43A6-A1FB-D5E7DAEF5D5D}"/>
    <cellStyle name="Percent100" xfId="559" xr:uid="{315B13FC-AB4B-4CD7-9D9E-910C20BB6066}"/>
    <cellStyle name="Percent101" xfId="560" xr:uid="{29FBEC0C-66A5-4393-AB76-6E801C00B161}"/>
    <cellStyle name="Percent102" xfId="561" xr:uid="{34D7FC7D-6D6B-44FF-BE4D-DCDC704DC4D5}"/>
    <cellStyle name="Percent103" xfId="562" xr:uid="{469921ED-0DAD-4E15-8BE1-EA71C6EC278E}"/>
    <cellStyle name="Percent104" xfId="563" xr:uid="{6693D92D-E593-4BD1-B06A-E1572D8D594A}"/>
    <cellStyle name="Percent105" xfId="564" xr:uid="{858E7454-BAFF-4E2F-83CC-9A505C8C717C}"/>
    <cellStyle name="Percent106" xfId="565" xr:uid="{50052CA2-02BE-4E1E-B0D0-FADF7D39CAFB}"/>
    <cellStyle name="Percent107" xfId="566" xr:uid="{AA8A7374-9704-42B7-8807-EA6815629B90}"/>
    <cellStyle name="Percent108" xfId="567" xr:uid="{5B97B785-407B-481A-8BC6-22DC1EE0DDB5}"/>
    <cellStyle name="Percent109" xfId="568" xr:uid="{CB3E9303-B045-46DE-A873-48758E3B8F93}"/>
    <cellStyle name="Percent11" xfId="569" xr:uid="{ACD17A7C-B406-4276-9050-DCA28C759C05}"/>
    <cellStyle name="Percent110" xfId="570" xr:uid="{3E5D8BE3-A2FB-4F3C-A29F-C3DDF093FB1E}"/>
    <cellStyle name="Percent111" xfId="571" xr:uid="{B6823F29-6324-4944-B39B-EFA30402C8CC}"/>
    <cellStyle name="Percent112" xfId="572" xr:uid="{A1430FEA-CF7E-4E5A-9BD2-E0F99A158E31}"/>
    <cellStyle name="Percent113" xfId="573" xr:uid="{528A4443-790E-4AC8-8B00-0A57DB69FA9C}"/>
    <cellStyle name="Percent114" xfId="574" xr:uid="{59D8B763-9746-4224-87B4-F9BE15078E40}"/>
    <cellStyle name="Percent115" xfId="575" xr:uid="{441F9BF7-B934-4346-A108-305F2466DDAB}"/>
    <cellStyle name="Percent116" xfId="576" xr:uid="{8C050F0C-40A6-4E53-BE5A-6B10BB1636CC}"/>
    <cellStyle name="Percent117" xfId="577" xr:uid="{0253BB5F-C7B8-4C5C-AF62-ED8BB8646E25}"/>
    <cellStyle name="Percent118" xfId="578" xr:uid="{0E7D416E-5A06-461D-8125-F3380A105CF4}"/>
    <cellStyle name="Percent119" xfId="579" xr:uid="{2472C9DD-F247-4168-A138-E7103A3C3C8D}"/>
    <cellStyle name="Percent12" xfId="580" xr:uid="{8C10D822-1A64-494B-A43B-2858A33E7513}"/>
    <cellStyle name="Percent120" xfId="581" xr:uid="{F180E75C-4ED7-4FF4-96D6-0A617BC1071F}"/>
    <cellStyle name="Percent121" xfId="582" xr:uid="{EC394974-4823-4FA3-9F8B-6F34375AD140}"/>
    <cellStyle name="Percent122" xfId="583" xr:uid="{01E0570A-0BB4-485B-BAF8-3A88640B8ADB}"/>
    <cellStyle name="Percent123" xfId="584" xr:uid="{40D45D8B-654D-4945-B9D7-732EBAC57B10}"/>
    <cellStyle name="Percent124" xfId="585" xr:uid="{6E918487-FF0E-4DDC-85ED-840C22A95BD2}"/>
    <cellStyle name="Percent125" xfId="586" xr:uid="{B9BA3298-4321-4A1A-A9A4-42C17D3008EA}"/>
    <cellStyle name="Percent126" xfId="587" xr:uid="{42463390-589C-467A-9F81-E57C18A6441B}"/>
    <cellStyle name="Percent127" xfId="588" xr:uid="{75ED246A-02EA-488B-BBE4-77D1810F6A12}"/>
    <cellStyle name="Percent128" xfId="589" xr:uid="{80754E99-3AAA-4376-878F-26F92E70B60B}"/>
    <cellStyle name="Percent129" xfId="590" xr:uid="{43DA2F10-F93A-48A4-AC2C-2021A4EF5A20}"/>
    <cellStyle name="Percent13" xfId="591" xr:uid="{4A7B10DA-8E8A-4C94-8266-7CBFC4B38758}"/>
    <cellStyle name="Percent130" xfId="592" xr:uid="{595BD78F-1A6A-454A-A9E2-31246682EA43}"/>
    <cellStyle name="Percent131" xfId="593" xr:uid="{837210CA-4AD7-4331-A7A2-E4FA7A392728}"/>
    <cellStyle name="Percent132" xfId="594" xr:uid="{522F16C5-23C4-40D2-AD58-E0A0FB1D69A0}"/>
    <cellStyle name="Percent133" xfId="595" xr:uid="{8DA1E8BB-667F-404C-B486-9D6FF4DDE5DD}"/>
    <cellStyle name="Percent134" xfId="596" xr:uid="{2C175140-525A-4DF6-9BB5-787B0F8A4496}"/>
    <cellStyle name="Percent135" xfId="597" xr:uid="{D7ED8FD9-ADF8-4037-AABC-7C6AEB09B747}"/>
    <cellStyle name="Percent136" xfId="598" xr:uid="{AF874E9B-3B72-489A-B99F-3BD3417DD398}"/>
    <cellStyle name="Percent137" xfId="599" xr:uid="{E7B165E0-511D-4B50-BBD5-7F24AA7D5D43}"/>
    <cellStyle name="Percent138" xfId="600" xr:uid="{8EEDBC9B-835F-4EE4-A161-751B252D8E28}"/>
    <cellStyle name="Percent139" xfId="601" xr:uid="{EB921213-C71B-4728-8FEA-C7BE72B421F9}"/>
    <cellStyle name="Percent14" xfId="602" xr:uid="{A2057A4D-1118-46A5-AA4F-813C75987A64}"/>
    <cellStyle name="Percent140" xfId="603" xr:uid="{BC89FB2A-C0AE-400D-B13E-E8ACC8E67D7A}"/>
    <cellStyle name="Percent141" xfId="604" xr:uid="{E26B8984-B564-467C-AD84-8435D2200968}"/>
    <cellStyle name="Percent142" xfId="605" xr:uid="{5B46CE29-15F5-4C3B-BD8F-BB5060E3E07E}"/>
    <cellStyle name="Percent143" xfId="606" xr:uid="{E1762FC5-AF0C-4474-BE15-30E38FE75345}"/>
    <cellStyle name="Percent144" xfId="607" xr:uid="{D106F779-4515-4F86-A579-2949E766644C}"/>
    <cellStyle name="Percent145" xfId="608" xr:uid="{7B86940E-5249-48AD-BF15-4534F19019FD}"/>
    <cellStyle name="Percent146" xfId="609" xr:uid="{27BCE1CD-F83C-4E50-AE76-055B9A70DD75}"/>
    <cellStyle name="Percent147" xfId="610" xr:uid="{FEF987EB-18E5-426C-9A40-84CDC5FBC55B}"/>
    <cellStyle name="Percent148" xfId="611" xr:uid="{53581801-C67A-46BD-AA51-5DCC6FA766C2}"/>
    <cellStyle name="Percent149" xfId="612" xr:uid="{FE448A82-7227-4FD2-8266-C6D3E815DE1D}"/>
    <cellStyle name="Percent15" xfId="613" xr:uid="{C262DF2A-9E76-4BF5-B162-A674DEB9C6CC}"/>
    <cellStyle name="Percent150" xfId="614" xr:uid="{5F6A125D-7478-44DC-8B59-CC512FC79FFB}"/>
    <cellStyle name="Percent151" xfId="615" xr:uid="{28A7896F-DD88-4770-9F62-EDACA9736776}"/>
    <cellStyle name="Percent152" xfId="616" xr:uid="{6AFBA791-8BF1-47B4-A2BD-93AA0D1F9143}"/>
    <cellStyle name="Percent153" xfId="617" xr:uid="{90F88A52-7D16-40F7-A713-F56D8E752313}"/>
    <cellStyle name="Percent154" xfId="618" xr:uid="{DB3BEAFD-8F92-490B-A786-83368ADB5B7B}"/>
    <cellStyle name="Percent155" xfId="619" xr:uid="{CCD860D3-6291-4351-83BF-4772F5D10932}"/>
    <cellStyle name="Percent156" xfId="620" xr:uid="{7E148480-6DF9-4B3E-B97C-0CC4B164CD50}"/>
    <cellStyle name="Percent157" xfId="621" xr:uid="{3532D446-AED5-47BE-B79F-57016808BA96}"/>
    <cellStyle name="Percent158" xfId="622" xr:uid="{7ED91E1D-1635-4C71-B1BD-0C2004E329D0}"/>
    <cellStyle name="Percent159" xfId="623" xr:uid="{9BE89BB7-183A-469E-8F73-C7B4EC459244}"/>
    <cellStyle name="Percent16" xfId="624" xr:uid="{E2138155-B02C-490C-87CD-F6CB5DECBA95}"/>
    <cellStyle name="Percent160" xfId="625" xr:uid="{A274116A-7811-4181-AE07-4E839A22F166}"/>
    <cellStyle name="Percent161" xfId="626" xr:uid="{51CDE838-0E09-470F-A835-8AD248C65773}"/>
    <cellStyle name="Percent162" xfId="627" xr:uid="{2BEE03EC-7DB2-4A3B-BD14-9CBC929D20A8}"/>
    <cellStyle name="Percent163" xfId="628" xr:uid="{199F9657-8B4A-47B0-86B2-487254AACEEA}"/>
    <cellStyle name="Percent164" xfId="629" xr:uid="{69085D92-09DC-4ECB-BD4D-35288BE6CFFD}"/>
    <cellStyle name="Percent165" xfId="630" xr:uid="{0EF7DDA9-1DCB-4F64-B5C9-D44931968687}"/>
    <cellStyle name="Percent166" xfId="631" xr:uid="{F1E2EA38-4FF5-4013-8A24-5827189A45B7}"/>
    <cellStyle name="Percent167" xfId="632" xr:uid="{775EB6CA-1791-4C59-9304-D2BFC361B204}"/>
    <cellStyle name="Percent168" xfId="633" xr:uid="{70AE5E2B-0FFD-4F9D-8558-EF0929C1CCE1}"/>
    <cellStyle name="Percent169" xfId="634" xr:uid="{E0C6D666-8AF0-44C8-8979-286A2F35CDA9}"/>
    <cellStyle name="Percent17" xfId="635" xr:uid="{9B84BE57-FDC4-4A30-8B5F-3DE98AC34C61}"/>
    <cellStyle name="Percent170" xfId="636" xr:uid="{3439D3A7-D5CF-43A8-94A8-CFDAA5C5B392}"/>
    <cellStyle name="Percent171" xfId="637" xr:uid="{7A03A058-AEC9-4FDF-997B-3587ED036953}"/>
    <cellStyle name="Percent172" xfId="638" xr:uid="{A5085462-07C7-4E6D-9405-D565F8CEC90A}"/>
    <cellStyle name="Percent173" xfId="639" xr:uid="{35EBD980-8409-4306-BCC2-0C81D10CAE7F}"/>
    <cellStyle name="Percent174" xfId="640" xr:uid="{1FFF1748-F309-468A-A1F5-5721728DF9DE}"/>
    <cellStyle name="Percent175" xfId="641" xr:uid="{20F2E00C-CB01-4C37-B57D-82475AC5DC4F}"/>
    <cellStyle name="Percent176" xfId="642" xr:uid="{0A71FACE-6726-4C0C-9044-079DE230A1F7}"/>
    <cellStyle name="Percent177" xfId="643" xr:uid="{3709CE4F-DFC4-463F-9E90-EF50F37130B2}"/>
    <cellStyle name="Percent178" xfId="644" xr:uid="{F8A6E3C5-59CD-4DF7-822D-938B24AD9EC5}"/>
    <cellStyle name="Percent179" xfId="645" xr:uid="{30CD61C4-6967-4DB1-BB53-83E7DD50C1CC}"/>
    <cellStyle name="Percent18" xfId="646" xr:uid="{C6C51A33-0223-4207-9466-11E36E7ED4E7}"/>
    <cellStyle name="Percent180" xfId="647" xr:uid="{15337536-67A1-4E1E-B403-EFB298F700CB}"/>
    <cellStyle name="Percent181" xfId="648" xr:uid="{4BF3EA99-699B-4C01-B486-E3A16879C3E0}"/>
    <cellStyle name="Percent182" xfId="649" xr:uid="{29BF8344-7EAB-4CE0-96EC-108481417A14}"/>
    <cellStyle name="Percent183" xfId="650" xr:uid="{507B1CAC-960D-459F-8375-440E10039CF9}"/>
    <cellStyle name="Percent184" xfId="651" xr:uid="{3F7A7EA5-F613-41FC-A003-525687AEF40A}"/>
    <cellStyle name="Percent185" xfId="652" xr:uid="{A0F6E42C-CDD3-405F-843F-987377EEFEF4}"/>
    <cellStyle name="Percent186" xfId="653" xr:uid="{7CAA271F-2E56-40ED-BFEA-E1C0662E475B}"/>
    <cellStyle name="Percent187" xfId="654" xr:uid="{A3A8D972-FCDB-4F6A-846B-459876CE19D7}"/>
    <cellStyle name="Percent188" xfId="655" xr:uid="{4AE39CCC-EFBF-4B8A-80E4-A0EF352D4A47}"/>
    <cellStyle name="Percent189" xfId="656" xr:uid="{CD77C61C-BDA2-43EB-8933-32EA866FDED1}"/>
    <cellStyle name="Percent19" xfId="657" xr:uid="{F7AC712F-D112-408E-9E9C-34307600DC71}"/>
    <cellStyle name="Percent190" xfId="658" xr:uid="{DC6C7BB4-510F-4678-8B9B-D98F744B0CB1}"/>
    <cellStyle name="Percent191" xfId="659" xr:uid="{C4E66E73-D85F-4A44-B0F5-9B9536D5825C}"/>
    <cellStyle name="Percent192" xfId="660" xr:uid="{C574A037-8A7A-4DF8-9D4F-CFF3B20C197A}"/>
    <cellStyle name="Percent193" xfId="661" xr:uid="{726C9037-F22E-42EB-BAD2-4E87F8364167}"/>
    <cellStyle name="Percent194" xfId="662" xr:uid="{85441727-03EF-4DB5-A54F-E34C9F6D3E62}"/>
    <cellStyle name="Percent195" xfId="663" xr:uid="{F457098D-FF45-4EC0-BA45-69E93D5AAFB3}"/>
    <cellStyle name="Percent196" xfId="664" xr:uid="{789A55C9-1CAE-4BA5-85A0-B3C8A30F26B3}"/>
    <cellStyle name="Percent197" xfId="665" xr:uid="{B04AC018-F72C-4C44-AD3A-EF11920C20BF}"/>
    <cellStyle name="Percent198" xfId="666" xr:uid="{FDAAC3B7-4613-4E12-A20A-732E329BA633}"/>
    <cellStyle name="Percent199" xfId="667" xr:uid="{A43B0AC5-C0F7-43C9-8AF5-1065237925CB}"/>
    <cellStyle name="Percent1Bold" xfId="668" xr:uid="{1A8648F4-023A-45A6-B43C-9520B8BEA441}"/>
    <cellStyle name="Percent2" xfId="669" xr:uid="{1C15B1E7-07F3-4D29-80CF-405F7F28E10E}"/>
    <cellStyle name="Percent20" xfId="670" xr:uid="{E15F0AD7-50A9-4947-A0F8-091409CF7052}"/>
    <cellStyle name="Percent200" xfId="671" xr:uid="{389D3B74-01FB-47B0-BD27-ECB71D3C7E00}"/>
    <cellStyle name="Percent201" xfId="672" xr:uid="{F3538EA7-8F07-4400-9D69-59A4F6086D0A}"/>
    <cellStyle name="Percent202" xfId="673" xr:uid="{C5D2E91C-6BE8-486A-B8F5-0575B29BC4A8}"/>
    <cellStyle name="Percent203" xfId="674" xr:uid="{3111B707-0430-458C-9571-2F43BA2B244B}"/>
    <cellStyle name="Percent204" xfId="675" xr:uid="{745DABF9-4235-4D7E-A2E9-BAFBC4071B53}"/>
    <cellStyle name="Percent205" xfId="676" xr:uid="{747A1EBC-31B0-4C9A-81A8-2E746301D90B}"/>
    <cellStyle name="Percent206" xfId="677" xr:uid="{DEC903FF-B496-4EAE-9E51-0565D59A5642}"/>
    <cellStyle name="Percent207" xfId="678" xr:uid="{517932B1-590C-431B-9017-D1CEB7F48377}"/>
    <cellStyle name="Percent208" xfId="679" xr:uid="{0A8D352B-C472-4B3F-922D-0835690A13F8}"/>
    <cellStyle name="Percent209" xfId="680" xr:uid="{B4B60328-FCDB-43A5-87F7-9411F31A2161}"/>
    <cellStyle name="Percent21" xfId="681" xr:uid="{B0BFB451-C3A3-4F5D-9F09-BC123660C32F}"/>
    <cellStyle name="Percent210" xfId="682" xr:uid="{43163E40-9EAA-4D77-B461-2934FDD94BD0}"/>
    <cellStyle name="Percent211" xfId="683" xr:uid="{A6863AF1-40AD-434C-B6A0-5DF045A64A3E}"/>
    <cellStyle name="Percent212" xfId="684" xr:uid="{3D9BAA41-D5DB-4E07-AC9D-C09A8424BB88}"/>
    <cellStyle name="Percent213" xfId="685" xr:uid="{9E78D82B-9037-47DB-89D9-45086261D1C8}"/>
    <cellStyle name="Percent214" xfId="686" xr:uid="{31A4E97E-4F3D-4C38-8EFD-11755588D3FD}"/>
    <cellStyle name="Percent215" xfId="687" xr:uid="{4861B9B1-BEBF-499A-AD0C-21DFE7E44972}"/>
    <cellStyle name="Percent216" xfId="688" xr:uid="{374124C3-8DD2-4C0B-A95B-E7AA4C756C76}"/>
    <cellStyle name="Percent217" xfId="689" xr:uid="{202325A9-BD71-4BEE-9088-26EEA6E26656}"/>
    <cellStyle name="Percent218" xfId="690" xr:uid="{594FB1A9-D869-4F03-A202-D72E4E6890BC}"/>
    <cellStyle name="Percent219" xfId="691" xr:uid="{F5A810FF-8CCA-4E97-9658-4AECB81D2107}"/>
    <cellStyle name="Percent22" xfId="692" xr:uid="{A0959FA2-B0EF-47AD-9D6F-2CA24191AD94}"/>
    <cellStyle name="Percent220" xfId="693" xr:uid="{74745664-20CF-494E-9BC6-04B50DC74990}"/>
    <cellStyle name="Percent221" xfId="694" xr:uid="{E75DA736-6382-45FD-A96E-55151AC8E216}"/>
    <cellStyle name="Percent222" xfId="695" xr:uid="{638FA309-CCA0-4042-8152-D011D9F31E23}"/>
    <cellStyle name="Percent223" xfId="696" xr:uid="{D8DFE109-9DEA-4C4A-8C67-57E5B5398069}"/>
    <cellStyle name="Percent224" xfId="697" xr:uid="{224E0EB1-A7D4-493F-9A62-6A355B2B0B46}"/>
    <cellStyle name="Percent225" xfId="698" xr:uid="{A934D37E-2318-463A-AD6F-0EAE411E76E9}"/>
    <cellStyle name="Percent226" xfId="699" xr:uid="{2057F74C-7637-4CAC-916B-716634CDB5F8}"/>
    <cellStyle name="Percent227" xfId="700" xr:uid="{93409EB9-75AA-45EB-B9A7-B1165E04ED04}"/>
    <cellStyle name="Percent228" xfId="701" xr:uid="{F227C1EE-09CF-4895-9F01-FA0922C6C303}"/>
    <cellStyle name="Percent229" xfId="702" xr:uid="{D97C8A0E-4B66-4F23-8763-2F6C29598A21}"/>
    <cellStyle name="Percent23" xfId="703" xr:uid="{3737B44E-D7AC-4AA5-85E4-716B8D087D4D}"/>
    <cellStyle name="Percent230" xfId="704" xr:uid="{FA2344F2-5408-4732-8E8A-931DB8BE32EC}"/>
    <cellStyle name="Percent231" xfId="705" xr:uid="{46AA4954-1935-41AB-BF06-0F6F26674384}"/>
    <cellStyle name="Percent232" xfId="706" xr:uid="{857DA4E5-9171-4F94-BE47-10680FEA694F}"/>
    <cellStyle name="Percent233" xfId="707" xr:uid="{956A35ED-A5E6-42B8-904E-A67A71185649}"/>
    <cellStyle name="Percent234" xfId="708" xr:uid="{E9A0DD13-F771-4833-BB1E-E64CAEC9CDC8}"/>
    <cellStyle name="Percent235" xfId="709" xr:uid="{5996DAEB-873A-4E7B-83A5-BA77F47F2262}"/>
    <cellStyle name="Percent236" xfId="710" xr:uid="{B6045B0D-CEBE-45DA-8667-4DB4E099568D}"/>
    <cellStyle name="Percent24" xfId="711" xr:uid="{FF693E44-B2F7-4E7D-9A79-F298FAF30BC1}"/>
    <cellStyle name="Percent25" xfId="712" xr:uid="{95C65F19-4FAF-4F8B-B9AD-501B31EADC8C}"/>
    <cellStyle name="Percent26" xfId="713" xr:uid="{3692720E-A278-4C16-99D0-E904BAE1817A}"/>
    <cellStyle name="Percent27" xfId="714" xr:uid="{E56A9D53-C72D-468D-900F-CE2C637EF1FE}"/>
    <cellStyle name="Percent28" xfId="715" xr:uid="{D5A0F9BB-FB72-4027-939E-3C1EF5D8D4C7}"/>
    <cellStyle name="Percent29" xfId="716" xr:uid="{C8BF6030-3913-4519-993D-BC8CA5CC92FE}"/>
    <cellStyle name="Percent3" xfId="717" xr:uid="{0BD290B2-1F46-4821-88F2-42D1A057772B}"/>
    <cellStyle name="Percent30" xfId="718" xr:uid="{B16EA933-82E3-4EBD-8798-AB28B257D4FF}"/>
    <cellStyle name="Percent31" xfId="719" xr:uid="{717E84A0-559F-4B71-84C1-253FCBCDE424}"/>
    <cellStyle name="Percent32" xfId="720" xr:uid="{B94E96C4-9FAD-417B-8DDE-F865E2AD61C6}"/>
    <cellStyle name="Percent33" xfId="721" xr:uid="{8501BE13-2AB9-471A-AA2B-D3058FA4E6D3}"/>
    <cellStyle name="Percent34" xfId="722" xr:uid="{ABB4E5B2-8D42-470D-AE46-021A0A7A6F5E}"/>
    <cellStyle name="Percent35" xfId="723" xr:uid="{73E5B9F6-B8B8-47AB-A2EA-CF6ECE375592}"/>
    <cellStyle name="Percent36" xfId="724" xr:uid="{791FF354-C296-473C-BBF1-5FB8BD8B63C3}"/>
    <cellStyle name="Percent37" xfId="725" xr:uid="{50B46C03-7F4B-4A1E-84DB-7295B3040119}"/>
    <cellStyle name="Percent38" xfId="726" xr:uid="{85311383-59FA-4B19-8840-31C0A0A7A92D}"/>
    <cellStyle name="Percent39" xfId="727" xr:uid="{4650C89B-A24B-4768-A835-272403BB216C}"/>
    <cellStyle name="Percent4" xfId="728" xr:uid="{7A61D5AF-BB7E-4E99-B4C8-7D4E6CC71F0A}"/>
    <cellStyle name="Percent40" xfId="729" xr:uid="{29E93E9A-324C-4926-9675-2C8A777235A4}"/>
    <cellStyle name="Percent41" xfId="730" xr:uid="{37FB3CEC-3A3E-447C-850A-365FBCCB2C8D}"/>
    <cellStyle name="Percent42" xfId="731" xr:uid="{AA56FDDA-6E20-42A2-A368-6AD7F75A1647}"/>
    <cellStyle name="Percent43" xfId="732" xr:uid="{5D51B980-A4A2-4420-A62E-9F459D6030E2}"/>
    <cellStyle name="Percent44" xfId="733" xr:uid="{E9F100C7-E1BA-42EE-B6FE-E77BE39A352B}"/>
    <cellStyle name="Percent45" xfId="734" xr:uid="{48DB9CD0-11F8-4223-8375-AA521A2F71C5}"/>
    <cellStyle name="Percent46" xfId="735" xr:uid="{2B5BE050-43F2-456B-B6F9-DB87D00F9F7F}"/>
    <cellStyle name="Percent47" xfId="736" xr:uid="{C66C479F-23C4-49BD-9BCB-E4AF664F86FB}"/>
    <cellStyle name="Percent48" xfId="737" xr:uid="{81C12E0C-41CC-4437-83A5-7C2F3D20021F}"/>
    <cellStyle name="Percent49" xfId="738" xr:uid="{5F1EF6AB-6D9A-4704-B8A9-B9E2CDAA6230}"/>
    <cellStyle name="Percent5" xfId="739" xr:uid="{F120E757-D8A4-4743-A91E-59955EC5F899}"/>
    <cellStyle name="Percent50" xfId="740" xr:uid="{1D66B4B1-FFAB-433D-9583-210960024AC7}"/>
    <cellStyle name="Percent51" xfId="741" xr:uid="{0AA6D207-E371-41FD-9467-99FC1A1F6F8E}"/>
    <cellStyle name="Percent52" xfId="742" xr:uid="{BEA44993-81D7-441E-95DA-80492FE568AF}"/>
    <cellStyle name="Percent53" xfId="743" xr:uid="{EEB690AC-07A0-4D54-A8FC-09829373EBC0}"/>
    <cellStyle name="Percent54" xfId="744" xr:uid="{DE995B07-DD82-4255-8336-8F4B5674C6C4}"/>
    <cellStyle name="Percent55" xfId="745" xr:uid="{9EE4A9FB-23C5-40A2-B893-A66A3097AAA0}"/>
    <cellStyle name="Percent56" xfId="746" xr:uid="{A46B4FC4-5571-4AA8-B03B-3A5C0109E73E}"/>
    <cellStyle name="Percent57" xfId="747" xr:uid="{0B79EE56-9FA9-48B7-9266-B905EAE70F13}"/>
    <cellStyle name="Percent58" xfId="748" xr:uid="{C14FBC25-649C-4D19-AE0C-5040CA35F2BF}"/>
    <cellStyle name="Percent59" xfId="749" xr:uid="{69BE0BD6-9FA4-452B-B19F-64E7E7F23F3E}"/>
    <cellStyle name="Percent6" xfId="750" xr:uid="{FA6647E9-B6BD-4F4C-AAE4-46C5053EFFF7}"/>
    <cellStyle name="Percent60" xfId="751" xr:uid="{C66CC025-39AF-48B6-B96C-32A095BA8A04}"/>
    <cellStyle name="Percent61" xfId="752" xr:uid="{86917A8F-2CD1-4E2D-9060-A0AE4D3E17C7}"/>
    <cellStyle name="Percent62" xfId="753" xr:uid="{DBAADE79-25C5-4638-8A0E-842DB9203A31}"/>
    <cellStyle name="Percent63" xfId="754" xr:uid="{0E85F2E5-5D6A-44F0-9D06-3E6D4D54D64B}"/>
    <cellStyle name="Percent64" xfId="755" xr:uid="{A07EF1A7-9DA1-4164-AD34-3E673792DE7B}"/>
    <cellStyle name="Percent65" xfId="756" xr:uid="{B9A992D8-3DD6-49D1-9787-858501D35BD4}"/>
    <cellStyle name="Percent66" xfId="757" xr:uid="{995686D1-63B7-4780-A4E6-5BB4D89D05FD}"/>
    <cellStyle name="Percent67" xfId="758" xr:uid="{C5F14AC7-EFF5-47ED-88A9-D224FB13CD33}"/>
    <cellStyle name="Percent68" xfId="759" xr:uid="{951C4EBA-D17B-450E-95FB-20C5B11F46BA}"/>
    <cellStyle name="Percent69" xfId="760" xr:uid="{A09B1CC8-6DFC-485B-B88D-7FDC7309AAA7}"/>
    <cellStyle name="Percent7" xfId="761" xr:uid="{5CDDF46A-E9E0-4AC6-A548-561B886A6074}"/>
    <cellStyle name="Percent70" xfId="762" xr:uid="{7D232766-56A7-4645-9372-7861CC3028C7}"/>
    <cellStyle name="Percent71" xfId="763" xr:uid="{6CD703D6-FA95-4E7F-95A6-48CFE068936F}"/>
    <cellStyle name="Percent72" xfId="764" xr:uid="{ADF82CA5-B88B-4132-A76E-1053B06F0CC0}"/>
    <cellStyle name="Percent73" xfId="765" xr:uid="{F7B6A1F1-8716-438F-8EA2-963E0F8FD59C}"/>
    <cellStyle name="Percent74" xfId="766" xr:uid="{6D6083A4-3CD8-4083-89E0-BF0CB2E1B2C6}"/>
    <cellStyle name="Percent75" xfId="767" xr:uid="{1A2AB634-46C1-42CA-AFD6-9FDB6E35A1B2}"/>
    <cellStyle name="Percent76" xfId="768" xr:uid="{6E944762-5343-488C-AF08-AB4D93D71B14}"/>
    <cellStyle name="Percent77" xfId="769" xr:uid="{0257EB2E-0EC3-4F3B-9B28-8BCBD09F47E3}"/>
    <cellStyle name="Percent78" xfId="770" xr:uid="{BD95696B-7574-4E2B-9CDF-170B738F584B}"/>
    <cellStyle name="Percent79" xfId="771" xr:uid="{77D2ADDE-9432-49F7-B0EE-66E26D17D766}"/>
    <cellStyle name="Percent8" xfId="772" xr:uid="{9F5D3F36-8523-49D3-85C4-1DF7258E976B}"/>
    <cellStyle name="Percent80" xfId="773" xr:uid="{0BB89B4A-211C-43BF-96F9-63F617A0EA7D}"/>
    <cellStyle name="Percent81" xfId="774" xr:uid="{78974688-787D-450D-A386-3EB9CBE4B72D}"/>
    <cellStyle name="Percent82" xfId="775" xr:uid="{B927B566-B386-4240-8816-C324475F5CAB}"/>
    <cellStyle name="Percent83" xfId="776" xr:uid="{C27801AB-D8E5-4789-9FB6-D73F32CECA33}"/>
    <cellStyle name="Percent84" xfId="777" xr:uid="{4AAD90DE-797F-431E-AA84-773F3D36C19B}"/>
    <cellStyle name="Percent85" xfId="778" xr:uid="{2EDDA014-D93D-4F4F-A2EB-930A26B8F526}"/>
    <cellStyle name="Percent86" xfId="779" xr:uid="{BCBC494B-C966-40F5-B374-52B4528E7747}"/>
    <cellStyle name="Percent87" xfId="780" xr:uid="{A49B7E68-172F-4E33-B99D-DEF023BD464A}"/>
    <cellStyle name="Percent88" xfId="781" xr:uid="{F4308F99-5B2A-4283-B443-AFBB4E7F013F}"/>
    <cellStyle name="Percent89" xfId="782" xr:uid="{84C5D13C-0D41-42F9-8630-0BC5833C51D3}"/>
    <cellStyle name="Percent9" xfId="783" xr:uid="{B9B34A6F-6C13-4751-83F0-36551E5775AB}"/>
    <cellStyle name="Percent90" xfId="784" xr:uid="{FDAE232C-5EF0-491B-87DD-598B3AFDC207}"/>
    <cellStyle name="Percent91" xfId="785" xr:uid="{9E048A64-DF24-42C6-8CF0-C729EF75BB59}"/>
    <cellStyle name="Percent92" xfId="786" xr:uid="{ED6BFACC-3F94-44A0-8672-26A6071E8843}"/>
    <cellStyle name="Percent93" xfId="787" xr:uid="{CCF90473-8717-4B57-BE11-030B37003F94}"/>
    <cellStyle name="Percent94" xfId="788" xr:uid="{57F70B7C-1ADE-483E-A2B4-DD995ED2DBE1}"/>
    <cellStyle name="Percent95" xfId="789" xr:uid="{013453A3-A3C1-4848-AB78-20A16C898420}"/>
    <cellStyle name="Percent96" xfId="790" xr:uid="{1CB7D475-5C8F-4E08-B98E-1EB659180BA3}"/>
    <cellStyle name="Percent97" xfId="791" xr:uid="{ADA12E0F-EC41-4322-A421-9AB935226B03}"/>
    <cellStyle name="Percent98" xfId="792" xr:uid="{D58F6CEB-6898-4CD3-9484-DB3E4986E514}"/>
    <cellStyle name="Percent99" xfId="793" xr:uid="{B76FDBAC-1186-4EC5-9D35-B70CE1C8484E}"/>
    <cellStyle name="Percentage" xfId="794" xr:uid="{DCCF4A4D-39A5-4A07-B8C5-1D539253FE58}"/>
    <cellStyle name="PercentStyle" xfId="795" xr:uid="{F2B1CEDE-4D3C-4321-AA61-93932B9CBB3C}"/>
    <cellStyle name="PrePop Currency (0)" xfId="796" xr:uid="{49AC33C0-69DD-45AB-80E4-43054E0DE20A}"/>
    <cellStyle name="PrePop Currency (2)" xfId="797" xr:uid="{86B15CCB-2C7A-450F-B6D6-FA81066C48CA}"/>
    <cellStyle name="PrePop Units (0)" xfId="798" xr:uid="{21F5C119-2AB6-4C82-9E5D-E98B23CC9BBF}"/>
    <cellStyle name="PrePop Units (1)" xfId="799" xr:uid="{71001639-7EFF-47D6-815E-9520708A470B}"/>
    <cellStyle name="PrePop Units (2)" xfId="800" xr:uid="{69F527D2-CF65-4485-999A-34F204553685}"/>
    <cellStyle name="Price" xfId="801" xr:uid="{032A3565-59C9-4B0B-8CE4-3CB0023FF379}"/>
    <cellStyle name="Product Header" xfId="802" xr:uid="{D923E028-0375-449C-AD8E-22536C4B9B28}"/>
    <cellStyle name="PSChar" xfId="803" xr:uid="{A402B4AF-7A28-4FED-AA53-B01A9755C4A3}"/>
    <cellStyle name="PSDate" xfId="804" xr:uid="{52B7A05D-C620-4EB4-A446-1619DE8C3D1A}"/>
    <cellStyle name="PSDec" xfId="805" xr:uid="{7C0D8AD8-C563-421F-97F2-D3D5A695058F}"/>
    <cellStyle name="PSHeading" xfId="806" xr:uid="{EE2C36F4-AE4F-4BAF-A53B-6F379ECBAFF4}"/>
    <cellStyle name="PSInt" xfId="807" xr:uid="{D6307E6B-8683-4F14-AC35-86056DE92B3E}"/>
    <cellStyle name="PSSpacer" xfId="808" xr:uid="{425E2FDA-AEA2-4EE4-AFB8-65DE03F49D74}"/>
    <cellStyle name="r" xfId="809" xr:uid="{7ECBB0A8-B7B9-4E88-A40B-BF58054598B0}"/>
    <cellStyle name="r_F&amp;W Servicing Model" xfId="810" xr:uid="{34F06608-5B3D-49B3-9D56-AB706D6B7A86}"/>
    <cellStyle name="r_F&amp;W Servicing Model v2" xfId="811" xr:uid="{AC6CD169-F937-4C15-8DEA-4DA278A1024E}"/>
    <cellStyle name="r_Yell Servicing Model" xfId="812" xr:uid="{2BB58A06-8196-4BA2-8B8B-036307E42282}"/>
    <cellStyle name="rate" xfId="813" xr:uid="{AC3B391F-CCB8-4D7D-B858-98A5AF8E4A63}"/>
    <cellStyle name="Ratio" xfId="814" xr:uid="{DB355882-DC32-4424-9BF6-37A700C170E4}"/>
    <cellStyle name="Ratio Comma" xfId="815" xr:uid="{88E2E200-7C72-4C0C-9754-CA7F2DBA20A6}"/>
    <cellStyle name="Ratio_Private" xfId="816" xr:uid="{9F814BE5-81F3-487A-ACF2-8AF50B7E33D6}"/>
    <cellStyle name="regstoresfromspecstores" xfId="817" xr:uid="{F0C50C83-65E0-4E36-BFDA-6FDDAA48C0F4}"/>
    <cellStyle name="RevList" xfId="818" xr:uid="{0D51B1C3-BA3A-4D6B-8B33-B3098543AD4C}"/>
    <cellStyle name="Right" xfId="819" xr:uid="{DB985A39-4A79-4C65-9FC7-088AE16A76F2}"/>
    <cellStyle name="RightBold" xfId="820" xr:uid="{B1E42D0A-D35E-4AB1-8BCE-648292EAFB8F}"/>
    <cellStyle name="RightBoldBottomRule" xfId="821" xr:uid="{7AA100C6-5B2D-4043-BFE1-16C426899D1A}"/>
    <cellStyle name="RightBoldCenterRule" xfId="822" xr:uid="{BF101773-68CE-42D1-A00E-064D1BBD9229}"/>
    <cellStyle name="Section" xfId="823" xr:uid="{1DABF4BD-690C-49D8-8938-517E000D7465}"/>
    <cellStyle name="SectionHeaderNormal" xfId="824" xr:uid="{D1DAC8E4-3161-403F-B3D2-C5EB5D264566}"/>
    <cellStyle name="Separador de milhares 10" xfId="825" xr:uid="{58AA45D0-C9A4-461D-916B-44499217CD86}"/>
    <cellStyle name="SHADEDSTORES" xfId="826" xr:uid="{B1062336-6327-4623-9F04-BCE921C63A70}"/>
    <cellStyle name="Short $" xfId="827" xr:uid="{7A35EA0B-D3F4-4FC6-871A-FEAAE670E114}"/>
    <cellStyle name="ShOut" xfId="828" xr:uid="{3C4D95B0-C07B-4F41-925F-D9FBA49324D5}"/>
    <cellStyle name="Simple" xfId="829" xr:uid="{E391CBB2-6A34-4D13-889D-9E02D5EB8B11}"/>
    <cellStyle name="SimpleBold" xfId="830" xr:uid="{416B4F75-C727-4F8D-B6DF-65ACE9BC092B}"/>
    <cellStyle name="Single Accounting" xfId="831" xr:uid="{B2D9C679-E1D6-4443-9DAB-2923CA769DBA}"/>
    <cellStyle name="specstores" xfId="832" xr:uid="{C83896F4-1DE3-402E-9C61-CDB489FD953E}"/>
    <cellStyle name="Stock Comma" xfId="833" xr:uid="{C6F51C44-CF2B-42BB-8353-6F5C1B9AE825}"/>
    <cellStyle name="Stock Price" xfId="834" xr:uid="{D17DC99E-264B-45EE-AD9B-88F067A80BCD}"/>
    <cellStyle name="Style 1" xfId="835" xr:uid="{764DB1D7-A470-4305-970D-7F108FE7E351}"/>
    <cellStyle name="Style 21" xfId="836" xr:uid="{64508575-2D4B-42DF-9216-1824EBD35BDE}"/>
    <cellStyle name="Style 22" xfId="837" xr:uid="{0CE4363E-DA49-4DFB-9255-C60C8DBCA990}"/>
    <cellStyle name="Style 23" xfId="838" xr:uid="{E1C3A792-9711-4F37-90A3-33CB441BDE71}"/>
    <cellStyle name="Style 24" xfId="839" xr:uid="{1B0B9D85-774A-471D-B5B5-F56FAEF621E9}"/>
    <cellStyle name="Style 25" xfId="840" xr:uid="{864307BC-FD59-45F3-B71E-3C92C0B29B09}"/>
    <cellStyle name="Style 26" xfId="841" xr:uid="{C73F3071-D8F5-40A1-94BF-E0AEC52ED146}"/>
    <cellStyle name="Style 27" xfId="842" xr:uid="{62593D48-AD0A-4316-A62D-A8DC091807F1}"/>
    <cellStyle name="Style 28" xfId="843" xr:uid="{13ABBBF2-DB9E-4F1F-8ACA-A1034249CB4F}"/>
    <cellStyle name="Style 29" xfId="844" xr:uid="{9C6D5FAA-E8DF-408A-88DC-C3BF20FED36A}"/>
    <cellStyle name="Style 30" xfId="845" xr:uid="{25BE46A9-DD89-4805-A5EC-385B67BA4973}"/>
    <cellStyle name="Style 31" xfId="846" xr:uid="{1684F8D1-D4B4-4E61-BE5B-16EC9B15D43E}"/>
    <cellStyle name="Style 32" xfId="847" xr:uid="{7D7E5578-E4F5-463D-8DC1-4F13101CA7EE}"/>
    <cellStyle name="Style 33" xfId="848" xr:uid="{DB31C86F-C865-421A-AAF8-BC4FD83E7589}"/>
    <cellStyle name="Style 34" xfId="849" xr:uid="{C4E185A3-BC90-47F6-B84C-4772D480AE0E}"/>
    <cellStyle name="Style 35" xfId="850" xr:uid="{A883839D-6C95-43F1-88BC-4F32B171AE6A}"/>
    <cellStyle name="Style 36" xfId="851" xr:uid="{73BE8C3F-F91D-4538-88AE-797FFF725E3E}"/>
    <cellStyle name="Style 37" xfId="852" xr:uid="{207A170C-A2D5-4824-A785-3C2AF5EBF3E7}"/>
    <cellStyle name="Style 38" xfId="853" xr:uid="{B98D4C3F-FEEF-42DE-B068-3CB8AF0D4893}"/>
    <cellStyle name="Style 39" xfId="854" xr:uid="{B498BAB6-5CD5-4A2A-B689-9D42E71143D5}"/>
    <cellStyle name="Style 40" xfId="855" xr:uid="{74DA61D0-3F00-41C7-8037-6EB7A3200832}"/>
    <cellStyle name="Style 41" xfId="856" xr:uid="{4F86B103-F525-49A2-8F00-0AB8D8BD8569}"/>
    <cellStyle name="Style 42" xfId="857" xr:uid="{C1E6F212-E9B0-4E15-95A2-D685CAD78504}"/>
    <cellStyle name="Style 43" xfId="858" xr:uid="{40D49016-1A23-4F97-B70D-70CA033925EB}"/>
    <cellStyle name="Style 44" xfId="859" xr:uid="{4DA1B3C4-77FD-4065-BA0E-01A59BAE561E}"/>
    <cellStyle name="Style 45" xfId="860" xr:uid="{10BFEDCB-1C94-444C-B45E-261D844A55FB}"/>
    <cellStyle name="Style 46" xfId="861" xr:uid="{E46FBB93-7CA5-4292-911D-92C24532CA7E}"/>
    <cellStyle name="Style 47" xfId="862" xr:uid="{904DFAEA-407C-44F5-9E33-2BBC26EE0112}"/>
    <cellStyle name="Style 48" xfId="863" xr:uid="{E51EF69C-81F7-4961-90B5-8C95C23EEC41}"/>
    <cellStyle name="STYLE1" xfId="864" xr:uid="{F58BEBA1-4AF0-4158-AD22-370C8CD775E4}"/>
    <cellStyle name="SubScript" xfId="865" xr:uid="{FB7C4F91-80AA-41C7-8A38-8EE02B4B9D82}"/>
    <cellStyle name="Subtotal" xfId="866" xr:uid="{E52823AE-A256-445E-9FB2-BC2CAE8D42A5}"/>
    <cellStyle name="Sum" xfId="867" xr:uid="{D99025BF-3064-4DA9-89CF-334FB4FBFECD}"/>
    <cellStyle name="SuperScript" xfId="868" xr:uid="{7E173156-28D7-4C85-A0B2-D7D4E0BFCFAD}"/>
    <cellStyle name="Table_Title" xfId="869" xr:uid="{8B67E389-A24F-47BE-92E9-E1E06D6A92F7}"/>
    <cellStyle name="Test" xfId="870" xr:uid="{A5829833-B25E-4208-878D-8454E6EE04CA}"/>
    <cellStyle name="Text Indent A" xfId="871" xr:uid="{FDEA631E-3B3D-48F9-8B7D-435ED5B73B6B}"/>
    <cellStyle name="Text Indent B" xfId="872" xr:uid="{18FFBC2A-97DD-44D0-85BD-6E96C996EB1F}"/>
    <cellStyle name="Text Indent C" xfId="873" xr:uid="{73843AAF-DBE3-484E-B213-CDDC466FE3BE}"/>
    <cellStyle name="TextBold" xfId="874" xr:uid="{6700ACFE-9C02-4E93-A8D8-65687DAB1CD5}"/>
    <cellStyle name="TextItalic" xfId="875" xr:uid="{7C70B497-BB9E-4093-ACF8-9DF0C9BC1969}"/>
    <cellStyle name="TextNormal" xfId="876" xr:uid="{42BB04CF-83C7-4B30-AC8A-EDFAAA9CB8FC}"/>
    <cellStyle name="Time" xfId="877" xr:uid="{0F3F1F31-7158-4D41-B934-B4F61E7578EE}"/>
    <cellStyle name="Times 10" xfId="878" xr:uid="{1C94360E-5E68-4FDA-9C44-571EAFAF2DBC}"/>
    <cellStyle name="Times 12" xfId="879" xr:uid="{8893C42A-CC4C-4473-8FF3-03252399FFFD}"/>
    <cellStyle name="Title - PROJECT" xfId="880" xr:uid="{ADF14320-58DF-46F9-9FB1-74B5E14823A6}"/>
    <cellStyle name="Title - Underline" xfId="881" xr:uid="{78D18416-58E1-4BEF-BAD8-9F2BE0A3A1F6}"/>
    <cellStyle name="Title1" xfId="882" xr:uid="{DD236CFF-0F16-495E-9C4D-828773F4E8C1}"/>
    <cellStyle name="Title2" xfId="883" xr:uid="{34FE793A-9055-4DDA-81C5-69BAB63F3819}"/>
    <cellStyle name="TitleNormal" xfId="884" xr:uid="{FD7E8BFF-DEC6-42AB-ADB7-D8A2D45A3E00}"/>
    <cellStyle name="Titles - Col. Headings" xfId="885" xr:uid="{86EE3F46-861D-48A1-A2EC-03D56E5384D3}"/>
    <cellStyle name="Titles - Other" xfId="886" xr:uid="{142C95EB-806E-4D25-B57A-0951FAF759F5}"/>
    <cellStyle name="Top Edge" xfId="887" xr:uid="{F40A9997-846A-4596-80A7-DD5DBC3C2477}"/>
    <cellStyle name="Total" xfId="888" builtinId="25" customBuiltin="1"/>
    <cellStyle name="ubordinated Debt" xfId="889" xr:uid="{78F698CE-F314-4623-9497-C1FE480AD9F9}"/>
    <cellStyle name="Vírgula 2" xfId="890" xr:uid="{544B451C-3319-4911-A8AE-F9F4EB6F39E5}"/>
    <cellStyle name="wheat merger's and acquisitions" xfId="891" xr:uid="{AA1C0275-9FF0-464A-9B0D-564C5747C547}"/>
    <cellStyle name="x" xfId="892" xr:uid="{9CCE4B21-F86D-43A3-B5DA-E2F7F3A7C949}"/>
    <cellStyle name="x_TSA Model - 1 8 06 - v2" xfId="893" xr:uid="{11C6A0E1-47C5-4017-92B1-6A78046433A7}"/>
    <cellStyle name="Y2K Compliant Date Fmt" xfId="894" xr:uid="{AF335D9D-C334-441F-8489-B983A2E3877B}"/>
    <cellStyle name="Years" xfId="895" xr:uid="{02DFD84D-F9CD-4406-B759-EC72111564B8}"/>
    <cellStyle name="yellow" xfId="896" xr:uid="{3D36059D-0D02-4415-A7F8-132E7A693779}"/>
    <cellStyle name="Yen" xfId="897" xr:uid="{0DFF0EF4-75CA-4B5F-945F-ED3AD9AAC208}"/>
    <cellStyle name="YYYY" xfId="898" xr:uid="{725636BC-CD94-4BAE-9D31-30FF76EB379C}"/>
    <cellStyle name="桁区切り [0.00]_Appendix" xfId="899" xr:uid="{68B49A1B-ECC3-46E9-88F6-B4252B2B7104}"/>
    <cellStyle name="桁区切り_Appendix" xfId="900" xr:uid="{47F86885-A4DE-4E7B-8D59-ECD1992218B3}"/>
    <cellStyle name="標準_Appendix" xfId="901" xr:uid="{FDFE3F74-E64C-4D4B-A1B4-EA3B0B0230C2}"/>
    <cellStyle name="通貨 [0.00]_Appendix" xfId="902" xr:uid="{04A690D5-F2FD-4493-ADA1-7D3B49A0D597}"/>
    <cellStyle name="通貨_Appendix" xfId="903" xr:uid="{BE1531AF-5883-4B1B-8CD6-31F78FE0E392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EAEAEA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0.xml"/><Relationship Id="rId18" Type="http://schemas.openxmlformats.org/officeDocument/2006/relationships/externalLink" Target="externalLinks/externalLink15.xml"/><Relationship Id="rId26" Type="http://schemas.openxmlformats.org/officeDocument/2006/relationships/externalLink" Target="externalLinks/externalLink23.xml"/><Relationship Id="rId39" Type="http://schemas.openxmlformats.org/officeDocument/2006/relationships/calcChain" Target="calcChain.xml"/><Relationship Id="rId21" Type="http://schemas.openxmlformats.org/officeDocument/2006/relationships/externalLink" Target="externalLinks/externalLink18.xml"/><Relationship Id="rId34" Type="http://schemas.openxmlformats.org/officeDocument/2006/relationships/externalLink" Target="externalLinks/externalLink31.xml"/><Relationship Id="rId7" Type="http://schemas.openxmlformats.org/officeDocument/2006/relationships/externalLink" Target="externalLinks/externalLink4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3.xml"/><Relationship Id="rId20" Type="http://schemas.openxmlformats.org/officeDocument/2006/relationships/externalLink" Target="externalLinks/externalLink17.xml"/><Relationship Id="rId29" Type="http://schemas.openxmlformats.org/officeDocument/2006/relationships/externalLink" Target="externalLinks/externalLink26.xml"/><Relationship Id="rId41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externalLink" Target="externalLinks/externalLink8.xml"/><Relationship Id="rId24" Type="http://schemas.openxmlformats.org/officeDocument/2006/relationships/externalLink" Target="externalLinks/externalLink21.xml"/><Relationship Id="rId32" Type="http://schemas.openxmlformats.org/officeDocument/2006/relationships/externalLink" Target="externalLinks/externalLink29.xml"/><Relationship Id="rId37" Type="http://schemas.openxmlformats.org/officeDocument/2006/relationships/styles" Target="styles.xml"/><Relationship Id="rId40" Type="http://schemas.openxmlformats.org/officeDocument/2006/relationships/customXml" Target="../customXml/item1.xml"/><Relationship Id="rId5" Type="http://schemas.openxmlformats.org/officeDocument/2006/relationships/externalLink" Target="externalLinks/externalLink2.xml"/><Relationship Id="rId15" Type="http://schemas.openxmlformats.org/officeDocument/2006/relationships/externalLink" Target="externalLinks/externalLink12.xml"/><Relationship Id="rId23" Type="http://schemas.openxmlformats.org/officeDocument/2006/relationships/externalLink" Target="externalLinks/externalLink20.xml"/><Relationship Id="rId28" Type="http://schemas.openxmlformats.org/officeDocument/2006/relationships/externalLink" Target="externalLinks/externalLink25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7.xml"/><Relationship Id="rId19" Type="http://schemas.openxmlformats.org/officeDocument/2006/relationships/externalLink" Target="externalLinks/externalLink16.xml"/><Relationship Id="rId31" Type="http://schemas.openxmlformats.org/officeDocument/2006/relationships/externalLink" Target="externalLinks/externalLink28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externalLink" Target="externalLinks/externalLink11.xml"/><Relationship Id="rId22" Type="http://schemas.openxmlformats.org/officeDocument/2006/relationships/externalLink" Target="externalLinks/externalLink19.xml"/><Relationship Id="rId27" Type="http://schemas.openxmlformats.org/officeDocument/2006/relationships/externalLink" Target="externalLinks/externalLink24.xml"/><Relationship Id="rId30" Type="http://schemas.openxmlformats.org/officeDocument/2006/relationships/externalLink" Target="externalLinks/externalLink27.xml"/><Relationship Id="rId35" Type="http://schemas.openxmlformats.org/officeDocument/2006/relationships/externalLink" Target="externalLinks/externalLink32.xml"/><Relationship Id="rId8" Type="http://schemas.openxmlformats.org/officeDocument/2006/relationships/externalLink" Target="externalLinks/externalLink5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9.xml"/><Relationship Id="rId17" Type="http://schemas.openxmlformats.org/officeDocument/2006/relationships/externalLink" Target="externalLinks/externalLink14.xml"/><Relationship Id="rId25" Type="http://schemas.openxmlformats.org/officeDocument/2006/relationships/externalLink" Target="externalLinks/externalLink22.xml"/><Relationship Id="rId33" Type="http://schemas.openxmlformats.org/officeDocument/2006/relationships/externalLink" Target="externalLinks/externalLink30.xml"/><Relationship Id="rId38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Office\Media\COMPS%20-%20B2B%20Publisher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p_sfnt01\GBlank$\My%20Documents\TPG\LBO\Bally\BFT%20Forecast%20Model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p_sfnt01\GBlank$\Documents%20and%20Settings\GBlank\Local%20Settings\Temporary%20Internet%20Files\OLK39\TSA%20Model%20-%201%208%2006%20-%20v2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METG%20Template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Bank%20Loan%20Team\APPROVAL%20MEMOS\Endurance%20Media\BLT%20Work\EBM%20Quarterly%20Model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Bank%20Loan%20Team\ELK%20TEAM\Models\Presentation\Draft%20Presentation%20Files\Presentation%20Info%2022%20(Adam%20Silver)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Bank%20Loan%20Team\ELK%20TEAM\Models\Presentation\Draft%20Presentation%20Files\PresentationChartData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ojects5\Barracuda\WCMP%20II\PORTFOLIO%20COMPANIES\Jobson%20Medical%20Information\Bank%20Correspondence\JMI%20Model%20(Wx%20Model%20-%20BMO%20Adjusted%205-18)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WCMP%20II\INACTIVE%20DEALS\Facts%20on%20File\Transaction%20Models\FOF%20Model%20v3%20(Asset%20Purchase)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ojects5\Barracuda\Documents%20and%20Settings\nbk7h1e\Local%20Settings\Temporary%20Internet%20Files\OLK61\Bank%20Austria\Returns@@@2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ojects5\Barracuda\Deals%20-%20In%20Process\TruCom\BridgeCom%20Budget%202001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y-fil01\data\Wicks\Wicks%20Model\JMI%20Model%20(Wx%20Model%20-%20BMO%20Adjusted%205-18)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ojects5\Barracuda\Deals%20-%20In%20Process\Crescent%20Publishing%20Company,%20LLC\R0%20-%20Aug%202,%202001\CrescentPublishing%20Model%208-01%20R0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ojects5\Barracuda\Credit%20Derivatives%20Group\Emerging\CBO\MFS\Jersey%20Street%20CLO\Warehouse\Warehouse%20Report\versions\August\Jersey%20Street%20CLO%208.7.06%20Committed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mail.wicksgroup.com/PORTFOLIO%20COMPANIES/Bressler%20Outdoor/Financial%20Models/SubDebt%20Model%20-%20IRR%20-$30MM%20Equity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minous.studioholdings.net\temp\unzipped\7xbb01_\7b7k01_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ojects5\Barracuda\Falabella\Final\Falabella_New%20Model_1H17_v3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minous.studioholdings.net\temp\TEMP\Consolidated%2012-4-00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tc-neptune\accounting\Invoices\Invoice%2099\z.December%201999\DEC99Invoice%20Summary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ojects5\Barracuda\Rosetta%20Stone%20Model%20(91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ojects5\Barracuda\Documents%20and%20Settings\smarimow\My%20Documents\Companies\Univision\Model\Bank%20Model%20-%20Financing\Company%20Materials\Company%20Materials\Bank%20Model_9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Bank%20Loan%20Team%20Research\_RAs\Takacs_G\PORTFOLIO%20-%20Takacs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Kim\Local%20Settings\Temporary%20Internet%20Files\Content.IE5\YTHBT5P6\Spring%202002\Modeling\Problem%204%20worksheet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ojects5\Barracuda\Documents%20and%20Settings\smarimow\My%20Documents\Companies\Univision\Model\Bank%20Model%20-%20Financing\Bank%20Model_21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MNT14\USERS$\mm93223\My%20Documents\Templates\Servicing%20Template%20-%20MAB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ojects5\Barracuda\Documents%20and%20Settings\EMcKee\Local%20Settings\Temporary%20Internet%20Files\OLK12\65%20UVN%207-Year%20Model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Kim\Local%20Settings\Temporary%20Internet%20Files\Content.IE5\YTHBT5P6\windows\TEMP\financial%20forecast%207.27.98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ojects5\Barracuda\Beckett\Deals%20in%20process\UniFocus%20R6\Unifocus%20Model%204-02%20R6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ojects5\Barracuda\Documents%20and%20Settings\CRothbard\Local%20Settings\Temporary%20Internet%20Files\OLK146\JMI_WMI%20Financing%20Model%20(02-09-06)_vTD4%2006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ojects5\Barracuda\Documents%20and%20Settings\jorr\Local%20Settings\Temporary%20Internet%20Files\OLK27\MC-DW-JOB%20Merger%20Model%20for%20Syndicate%20-%203.31.05%20rjf%205.03.05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ojects5\Barracuda\WCMP%20II\PORTFOLIO%20COMPANIES\Jobson%20Medical%20Information\Corporate%20Development\JMI_WMI%20Combination\2005.11\Oct%202005\MEDCON%20Projection%20Model%20September%202005%20(09-13-05)%20v2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minous.studioholdings.net\temp\M&amp;A_Deal\New%20Models\dcf.short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d Page"/>
      <sheetName val="Deal Multiples"/>
      <sheetName val="Asset Coverage"/>
      <sheetName val="Status"/>
      <sheetName val="Output"/>
      <sheetName val="Graphs"/>
      <sheetName val="Inputs"/>
      <sheetName val="WARF"/>
      <sheetName val="Comps"/>
      <sheetName val="Magazines"/>
      <sheetName val="2"/>
      <sheetName val="4"/>
      <sheetName val="5"/>
      <sheetName val="6"/>
      <sheetName val="7"/>
      <sheetName val="8"/>
      <sheetName val="10"/>
      <sheetName val="11"/>
      <sheetName val="12"/>
      <sheetName val="14"/>
      <sheetName val="16"/>
      <sheetName val="1"/>
      <sheetName val="3"/>
      <sheetName val="9"/>
      <sheetName val="13"/>
      <sheetName val="15"/>
      <sheetName val="ARP"/>
      <sheetName val="CNG"/>
      <sheetName val="F&amp;W"/>
      <sheetName val="HNW"/>
      <sheetName val="IMO"/>
      <sheetName val="JMI"/>
      <sheetName val="MMH"/>
      <sheetName val="PRM"/>
      <sheetName val="RDA"/>
      <sheetName val="SRCE"/>
      <sheetName val="SPRG"/>
      <sheetName val="WNM"/>
      <sheetName val="RVDP"/>
      <sheetName val="SMTB"/>
      <sheetName val="TMN"/>
      <sheetName val="Portfolio"/>
      <sheetName val="LBO Summary"/>
      <sheetName val="Char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"/>
      <sheetName val="attrition"/>
      <sheetName val="Sheet1"/>
      <sheetName val="IncStmt"/>
      <sheetName val="CashFlow"/>
      <sheetName val="BalSht"/>
      <sheetName val="Allowance"/>
      <sheetName val="CashEBITDA"/>
      <sheetName val="FxdChg"/>
      <sheetName val="Ratio"/>
      <sheetName val="Module1"/>
      <sheetName val="LBO Summary"/>
      <sheetName val="Charts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el"/>
      <sheetName val="Returns Summary"/>
      <sheetName val="Case Logic"/>
      <sheetName val="Option Summary"/>
      <sheetName val="TRANSACTION"/>
    </sheetNames>
    <sheetDataSet>
      <sheetData sheetId="0"/>
      <sheetData sheetId="1"/>
      <sheetData sheetId="2"/>
      <sheetData sheetId="3"/>
      <sheetData sheetId="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Tanning Assumptions"/>
      <sheetName val="Tanning P&amp;L"/>
      <sheetName val="Tanning Balance Sheets"/>
      <sheetName val="Tanning Cash Flows"/>
      <sheetName val="Meta P&amp;L"/>
      <sheetName val="Meta Balance Sheet"/>
      <sheetName val="Meta Cash Flow"/>
      <sheetName val="Combined Balance Sheet"/>
      <sheetName val="Combined P&amp;L"/>
      <sheetName val="Combined Cash Flow"/>
      <sheetName val="Shares"/>
      <sheetName val="EssRet"/>
      <sheetName val="Meta Segments"/>
      <sheetName val="Capex"/>
      <sheetName val="Sheet5"/>
      <sheetName val="D"/>
      <sheetName val="TRANSAC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"/>
      <sheetName val="Qual. Analysis"/>
      <sheetName val="Inputs"/>
      <sheetName val="Base"/>
      <sheetName val="EV_DCF Analysis"/>
      <sheetName val="VeCTOR Import"/>
      <sheetName val="Annual Summary"/>
    </sheetNames>
    <sheetDataSet>
      <sheetData sheetId="0" refreshError="1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lections"/>
      <sheetName val="Calcs"/>
      <sheetName val="Account"/>
      <sheetName val="OCTrends"/>
      <sheetName val="ICTrends"/>
      <sheetName val="DivTrends"/>
      <sheetName val="WARFTrends"/>
      <sheetName val="WARFFitchTrends"/>
      <sheetName val="WASTrends"/>
      <sheetName val="WACTrends"/>
      <sheetName val="WALTrends"/>
      <sheetName val="Debt Structure"/>
      <sheetName val="Fund Schedule"/>
      <sheetName val="Principal"/>
      <sheetName val="Ineligible"/>
      <sheetName val="S&amp;P Industry"/>
      <sheetName val="Trade Activity Summary"/>
      <sheetName val="Sale Activity Bond"/>
      <sheetName val="Sale Activity"/>
      <sheetName val="Buy Activity Bond"/>
      <sheetName val="Buy Activity"/>
      <sheetName val="Default"/>
      <sheetName val="CCC"/>
      <sheetName val="CCCBond"/>
      <sheetName val="Presentation Info 22 (Adam Silv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/>
      <sheetData sheetId="12"/>
      <sheetData sheetId="13" refreshError="1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M YTD 2000"/>
      <sheetName val="AUM_Chart"/>
      <sheetName val="Cap Structure"/>
      <sheetName val="TOP10"/>
      <sheetName val="DefaultHistory"/>
      <sheetName val="DefaultedSecuritySummary"/>
      <sheetName val="DefaultedSecuritySummary2"/>
      <sheetName val="DefaultedSecurityData"/>
      <sheetName val="Actual vs Covenant"/>
      <sheetName val="APEX"/>
      <sheetName val="APEX_MR"/>
      <sheetName val="APEX_SR"/>
      <sheetName val="APEX_MI"/>
      <sheetName val="APEX_SI"/>
      <sheetName val="ELC1"/>
      <sheetName val="ELC1_SR"/>
      <sheetName val="ELC1_MR"/>
      <sheetName val="ELC1_FR"/>
      <sheetName val="ELC1_SI"/>
      <sheetName val="ELC1_MI"/>
      <sheetName val="ELC2"/>
      <sheetName val="ELC2_SR"/>
      <sheetName val="ELC2_FR"/>
      <sheetName val="ELC2_SI"/>
      <sheetName val="ELC2_MI"/>
      <sheetName val="ELC3"/>
      <sheetName val="ELC3_MR"/>
      <sheetName val="ELC3_SR"/>
      <sheetName val="ELC3_FR"/>
      <sheetName val="ELC3_MI"/>
      <sheetName val="ELC3_SI"/>
      <sheetName val="ELC4"/>
      <sheetName val="ELC4_MR"/>
      <sheetName val="ELC4_SR"/>
      <sheetName val="ELC4_MI"/>
      <sheetName val="ELC4_SI"/>
      <sheetName val="ELC5"/>
      <sheetName val="ELC5_MR"/>
      <sheetName val="ELC5_SR"/>
      <sheetName val="ELC5_MI"/>
      <sheetName val="ELC5_SI"/>
      <sheetName val="TRYN"/>
      <sheetName val="TRYN_MR"/>
      <sheetName val="TRYN_SR"/>
      <sheetName val="TRYN_SI"/>
      <sheetName val="TRYN_MI"/>
      <sheetName val="SaleData"/>
      <sheetName val="SH_Results"/>
      <sheetName val="SH_APEX"/>
      <sheetName val="SH_ELC1"/>
      <sheetName val="SH_ELC2"/>
      <sheetName val="SH_ELC3"/>
      <sheetName val="SH_ELC4"/>
      <sheetName val="SH_ELC5"/>
      <sheetName val="SH_TRY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"/>
      <sheetName val="EBITDA SUM"/>
      <sheetName val="RIF SUM"/>
      <sheetName val="OBS"/>
      <sheetName val="AFS"/>
      <sheetName val="MIS"/>
      <sheetName val="MBS"/>
      <sheetName val="MCF"/>
      <sheetName val="MC-MIS"/>
      <sheetName val="ED-MIS"/>
      <sheetName val="MED PUB-MIS"/>
      <sheetName val="OPT-MIS"/>
      <sheetName val="REV"/>
      <sheetName val="EXP"/>
      <sheetName val="MODR"/>
      <sheetName val="D&amp;A"/>
      <sheetName val="DEBT"/>
      <sheetName val="COVS"/>
      <sheetName val="DISPLAY"/>
      <sheetName val="CONTRO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&amp;U"/>
      <sheetName val="BS"/>
      <sheetName val="IS"/>
      <sheetName val="CFS"/>
      <sheetName val="REV"/>
      <sheetName val="RATIO"/>
      <sheetName val="RETURN"/>
      <sheetName val="CONTROL"/>
      <sheetName val="D&amp;A"/>
    </sheetNames>
    <sheetDataSet>
      <sheetData sheetId="0" refreshError="1"/>
      <sheetData sheetId="1"/>
      <sheetData sheetId="2"/>
      <sheetData sheetId="3" refreshError="1"/>
      <sheetData sheetId="4" refreshError="1"/>
      <sheetData sheetId="5"/>
      <sheetData sheetId="6" refreshError="1"/>
      <sheetData sheetId="7" refreshError="1"/>
      <sheetData sheetId="8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shflows"/>
      <sheetName val="OC-IC"/>
      <sheetName val="Sources and Uses"/>
      <sheetName val="After Tax"/>
      <sheetName val="Tax Report"/>
      <sheetName val="Price Yield"/>
      <sheetName val="LIBOR"/>
      <sheetName val="Revolver"/>
      <sheetName val="PV Calc"/>
      <sheetName val="Module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STER DRIVER"/>
      <sheetName val="Sheet1"/>
      <sheetName val="Bcom IS-Mnthly"/>
      <sheetName val="Conversion Balance Sheet"/>
      <sheetName val="Bcom BS-Mnthly"/>
      <sheetName val="Bcom FAS95-Mnthly"/>
      <sheetName val="Bcom Rollup-Income"/>
      <sheetName val="Bcom Rollup- Balance"/>
      <sheetName val="Bcom Conversion Charge Adj"/>
      <sheetName val="Bcom Debt"/>
      <sheetName val="Bcom Fixed Assets"/>
      <sheetName val="Bcom Lines"/>
      <sheetName val="Bcom New AE Efficiency"/>
      <sheetName val="Bcom Rev"/>
      <sheetName val="Bcom COGS"/>
      <sheetName val="Bcom-SG&amp;A,Taxes"/>
      <sheetName val="Bcom HEADCOUNT"/>
      <sheetName val="MasterDriverTrucom"/>
      <sheetName val="TruCom IS"/>
      <sheetName val="TruCom BS"/>
      <sheetName val="TruCom FAS95-Mnthly"/>
      <sheetName val="TruCom Rev"/>
      <sheetName val="TruCom COGS"/>
      <sheetName val="TruCom Lines"/>
      <sheetName val="TruCom-SG&amp;A,Taxes"/>
      <sheetName val="TruCom HEADCOUNT"/>
      <sheetName val="TruCom Amort."/>
      <sheetName val="TruCom Fixed Assets"/>
      <sheetName val="TruCom Debt"/>
      <sheetName val="TruCom Debt worksheet"/>
      <sheetName val="Cap Tables"/>
      <sheetName val="TruCom Cash Acct. Recon."/>
      <sheetName val="MASTER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"/>
      <sheetName val="EBITDA SUM"/>
      <sheetName val="RIF SUM"/>
      <sheetName val="OBS"/>
      <sheetName val="AFS"/>
      <sheetName val="MIS"/>
      <sheetName val="MBS"/>
      <sheetName val="MCF"/>
      <sheetName val="MC-MIS"/>
      <sheetName val="ED-MIS"/>
      <sheetName val="MED PUB-MIS"/>
      <sheetName val="DISPLAY"/>
      <sheetName val="OPT-MIS"/>
      <sheetName val="REV"/>
      <sheetName val="EXP"/>
      <sheetName val="MODR"/>
      <sheetName val="D&amp;A"/>
      <sheetName val="DEBT"/>
      <sheetName val="COVS"/>
      <sheetName val="CONTRO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CM 2000 Rev Chart"/>
      <sheetName val="MCM 2001 Rev Chart"/>
      <sheetName val="MCM 1999 P&amp;L"/>
      <sheetName val="MCM 2000 P&amp;L"/>
      <sheetName val="MCM 2001 Plan"/>
      <sheetName val="MCM 2000 and 2001 Plan"/>
      <sheetName val="GSN Hist IS"/>
      <sheetName val="GSN Hist BS"/>
      <sheetName val="CC 2000 Detail"/>
      <sheetName val="CC 2000 IS"/>
      <sheetName val="CC 2000 BS"/>
      <sheetName val="CC 2000 CF"/>
      <sheetName val="Crescent Mo IS 9-00 to 6-01"/>
      <sheetName val="Crescent Qtr IS Sep00-Jun01"/>
      <sheetName val="Target P&amp;L RollUp"/>
      <sheetName val="Target P&amp;L RollUp June"/>
      <sheetName val="Target P&amp;L Pct Sales"/>
      <sheetName val="MASTER DRIVERS"/>
      <sheetName val="Summary"/>
      <sheetName val="IS Sum"/>
      <sheetName val="BS Sum"/>
      <sheetName val="CF Sum"/>
      <sheetName val="Covenants and Capitalization"/>
      <sheetName val="Ret Earn Reconcile"/>
      <sheetName val="GSN IS Sum"/>
      <sheetName val="Maine IS Sum"/>
      <sheetName val="Conversion BS"/>
      <sheetName val="Key Ratios"/>
      <sheetName val="MCG vs Vaxa"/>
      <sheetName val="Exhibits1"/>
      <sheetName val="Exhibits2"/>
      <sheetName val="IS"/>
      <sheetName val="BS"/>
      <sheetName val="CF"/>
      <sheetName val="Debt"/>
      <sheetName val="Fixed Assets"/>
      <sheetName val="Intangibles"/>
      <sheetName val="DCF"/>
      <sheetName val="Initial TTM EBITDA by Cluster"/>
      <sheetName val="Geographic Concentration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anX"/>
      <sheetName val="Portfolio Input"/>
      <sheetName val="Warehouse Summary"/>
      <sheetName val="Investor Summary"/>
      <sheetName val="Industry"/>
      <sheetName val="Rating"/>
      <sheetName val="Broad Loan Category"/>
      <sheetName val="Diversity Calc"/>
      <sheetName val="Vlookup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s"/>
      <sheetName val="Pipeline"/>
      <sheetName val="Monthly Financials"/>
      <sheetName val="Quarterly Financials"/>
      <sheetName val="Yearly Financials"/>
      <sheetName val="Distributions"/>
      <sheetName val="Returns"/>
      <sheetName val="Operations"/>
      <sheetName val="Payroll"/>
      <sheetName val="Depreciation"/>
      <sheetName val="Debt"/>
      <sheetName val="Equit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s"/>
      <sheetName val="Model"/>
      <sheetName val="Portfolio Input"/>
    </sheetNames>
    <sheetDataSet>
      <sheetData sheetId="0"/>
      <sheetData sheetId="1" refreshError="1"/>
      <sheetData sheetId="2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pitalisation"/>
      <sheetName val="Model"/>
      <sheetName val="KPIS"/>
      <sheetName val="RV"/>
      <sheetName val="Sheet1"/>
      <sheetName val="Sheet3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_FDSCACHE__"/>
      <sheetName val="TransSum"/>
      <sheetName val="Consolidated"/>
      <sheetName val="JDPC Proj."/>
      <sheetName val="EG Proj."/>
      <sheetName val="KBB Proj. 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liminary"/>
      <sheetName val="Final"/>
    </sheetNames>
    <sheetDataSet>
      <sheetData sheetId="0" refreshError="1"/>
      <sheetData sheetId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01_05_v_Wicks_xls__01_05_v_Wic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BO Summary"/>
      <sheetName val="Financials"/>
      <sheetName val="Debt"/>
      <sheetName val="Cap"/>
      <sheetName val="Consolidated"/>
      <sheetName val="Television"/>
      <sheetName val="Corporate"/>
      <sheetName val="Capex"/>
      <sheetName val="Tax"/>
      <sheetName val="Adj 2006"/>
      <sheetName val="Credit"/>
      <sheetName val="For Banks"/>
      <sheetName val="_01_05_v_Wicks_xls__01_05_v_Wi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M Yields"/>
      <sheetName val="Vector Output"/>
      <sheetName val="Portfolio"/>
      <sheetName val="Action Items"/>
      <sheetName val="Defense Comps"/>
      <sheetName val="Telecom"/>
      <sheetName val="WARF"/>
      <sheetName val="Template"/>
      <sheetName val="1"/>
      <sheetName val="2"/>
      <sheetName val="3"/>
      <sheetName val="4"/>
      <sheetName val="Credit Breakdown"/>
      <sheetName val="Auto EVs"/>
      <sheetName val="WARF Tracker"/>
      <sheetName val="Deal Multiples"/>
      <sheetName val="Status"/>
      <sheetName val="Output"/>
      <sheetName val="Graphs"/>
      <sheetName val="Inputs"/>
      <sheetName val="LBO Summary"/>
      <sheetName val="Tanning Assumptions"/>
      <sheetName val="IncStmt"/>
      <sheetName val="BS"/>
      <sheetName val="DCF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ly-by-night - Base"/>
      <sheetName val="Fly-by-night - problem 5"/>
      <sheetName val="Fly-by-night - problem 6"/>
      <sheetName val="Fly-by-night - Base with ltd"/>
      <sheetName val="Portfolio"/>
      <sheetName val="MASTER DRIVER"/>
      <sheetName val="LBO Summary"/>
      <sheetName val="IncStmt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BO Summary"/>
      <sheetName val="Financials"/>
      <sheetName val="Debt"/>
      <sheetName val="Cap"/>
      <sheetName val="Consolidated"/>
      <sheetName val="Television"/>
      <sheetName val="Corporate"/>
      <sheetName val="Capex"/>
      <sheetName val="Tax"/>
      <sheetName val="Credit"/>
      <sheetName val="Summary"/>
      <sheetName val="Segments"/>
      <sheetName val="Adjustments"/>
      <sheetName val="Fly-by-night - problem 5"/>
      <sheetName val="Inputs"/>
      <sheetName val="IncStm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al Info"/>
      <sheetName val="Qualitative Analysis"/>
      <sheetName val="Base"/>
      <sheetName val="EV_DCF Analysis"/>
      <sheetName val="VeCTOR Import"/>
      <sheetName val="Annual Summary"/>
      <sheetName val="LBO Summary"/>
      <sheetName val="Fly-by-night - problem 5"/>
      <sheetName val="Segment Info"/>
    </sheetNames>
    <sheetDataSet>
      <sheetData sheetId="0" refreshError="1"/>
      <sheetData sheetId="1"/>
      <sheetData sheetId="2"/>
      <sheetData sheetId="3" refreshError="1"/>
      <sheetData sheetId="4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SUMMARY"/>
      <sheetName val="TRANSACTION"/>
      <sheetName val="Capital Structure"/>
      <sheetName val="DEBT DETAIL"/>
      <sheetName val="Sheet2"/>
      <sheetName val="Flat EBITDA"/>
      <sheetName val="Scenario Fan"/>
      <sheetName val="Sheet1"/>
      <sheetName val="Sheet1 (2)"/>
      <sheetName val="Case Comparison"/>
      <sheetName val="INCOME STATEMENT"/>
      <sheetName val="BALANCE SHEET"/>
      <sheetName val="CASH FLOW"/>
      <sheetName val="World Cup"/>
      <sheetName val="Taxes"/>
      <sheetName val="CAPEX &amp; INTANG"/>
      <sheetName val="Drivers"/>
      <sheetName val="WORKING CAPITAL"/>
      <sheetName val="Buildup"/>
      <sheetName val="S&amp;U"/>
      <sheetName val="TV Build"/>
      <sheetName val="TV Group"/>
      <sheetName val="UVN"/>
      <sheetName val="TLF"/>
      <sheetName val="Gala"/>
      <sheetName val="TV Station Group"/>
      <sheetName val="UTG"/>
      <sheetName val="TTG"/>
      <sheetName val="Radio Operating Build"/>
      <sheetName val="Radio Drivers"/>
      <sheetName val="Consolidated"/>
      <sheetName val="Market Build"/>
      <sheetName val="Other"/>
      <sheetName val="Overview"/>
      <sheetName val="Margin Bridge"/>
      <sheetName val="Projections Detail"/>
      <sheetName val="VeCTOR Import"/>
      <sheetName val="LBO Summary"/>
      <sheetName val="Fly-by-night - problem 5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preciation"/>
      <sheetName val="S&amp;U"/>
      <sheetName val="Sheet1"/>
      <sheetName val="1998 assump"/>
      <sheetName val="1997 assump"/>
      <sheetName val="******"/>
      <sheetName val="1998 P &amp; L"/>
      <sheetName val="1999 P &amp; L"/>
      <sheetName val="summ people"/>
      <sheetName val="people"/>
      <sheetName val="Sheet2"/>
      <sheetName val="B"/>
      <sheetName val="Sheet5"/>
      <sheetName val="Employees"/>
      <sheetName val="Reconcile"/>
      <sheetName val="D"/>
      <sheetName val="TRANSACTION"/>
      <sheetName val="VeCTOR Impor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CovCalcs Table"/>
      <sheetName val="IS Table"/>
      <sheetName val="BS Table"/>
      <sheetName val="SoCF Table"/>
      <sheetName val="RE &amp; DIVS Table"/>
      <sheetName val="Debt Table"/>
      <sheetName val="RE &amp; DIVS"/>
      <sheetName val="Debt"/>
      <sheetName val="BalSh Comb"/>
      <sheetName val="SoCF Comb"/>
      <sheetName val="IS Comb"/>
      <sheetName val="Covenant Summary"/>
      <sheetName val="UF P&amp;L-Mth"/>
      <sheetName val="Sheet1"/>
      <sheetName val="MASTER"/>
      <sheetName val="FC P&amp;L-Mth"/>
      <sheetName val="Headcount"/>
      <sheetName val="New FC Contracts"/>
      <sheetName val="UF Bal-Mth"/>
      <sheetName val="FC Bal-Mth"/>
      <sheetName val="Fixed Assets"/>
      <sheetName val="G&amp;A"/>
      <sheetName val="FC Contracts 2001"/>
      <sheetName val="End Model"/>
      <sheetName val="Combnd Hist BS"/>
      <sheetName val="UF Bal Sheet"/>
      <sheetName val="FC Bal Sheet"/>
      <sheetName val="UF P&amp;L Hist"/>
      <sheetName val="FC P&amp;L Hist"/>
      <sheetName val="UF2000"/>
      <sheetName val="UF2001"/>
      <sheetName val="FC2000"/>
      <sheetName val="FC2001"/>
      <sheetName val="vs. 2001 actuals"/>
      <sheetName val="Sheet3"/>
      <sheetName val="Equity Table"/>
      <sheetName val="Card Count Table"/>
      <sheetName val="BS Tables"/>
      <sheetName val="Concentr Table"/>
      <sheetName val="BS Analysis"/>
      <sheetName val="Table 5"/>
      <sheetName val="Table 4"/>
      <sheetName val="Table 3"/>
      <sheetName val="Table 2"/>
      <sheetName val="Table 1"/>
      <sheetName val="DCF"/>
      <sheetName val="top50hotels"/>
      <sheetName val="Sheet5"/>
      <sheetName val="D"/>
      <sheetName val="MASTER DRIVERS"/>
      <sheetName val="TRANSACTION"/>
      <sheetName val="VeCTOR Impor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SUM"/>
      <sheetName val="OBS - MEDCON"/>
      <sheetName val="OBS - REFI"/>
      <sheetName val="AFS"/>
      <sheetName val="MBS"/>
      <sheetName val="MMIS (2)"/>
      <sheetName val="WHEC"/>
      <sheetName val="MIS"/>
      <sheetName val="MCF"/>
      <sheetName val="PACING06"/>
      <sheetName val="D&amp;A"/>
      <sheetName val="D&amp;A (2)"/>
      <sheetName val="DEBT"/>
      <sheetName val="CHARTS&gt;&gt;&gt;"/>
      <sheetName val="S&amp;U_CAP_MERGER"/>
      <sheetName val="S&amp;U_CAP_REFI"/>
      <sheetName val="MEDCON IS"/>
      <sheetName val="SUM IS"/>
      <sheetName val="PF IS"/>
      <sheetName val="PF BS"/>
      <sheetName val="COVS"/>
      <sheetName val="ECF"/>
      <sheetName val="Bridge"/>
      <sheetName val="HoldCo INT"/>
      <sheetName val="PACING05"/>
      <sheetName val="MASTER"/>
      <sheetName val="Sheet5"/>
      <sheetName val="D"/>
    </sheetNames>
    <sheetDataSet>
      <sheetData sheetId="0"/>
      <sheetData sheetId="1" refreshError="1"/>
      <sheetData sheetId="2"/>
      <sheetData sheetId="3" refreshError="1"/>
      <sheetData sheetId="4"/>
      <sheetData sheetId="5"/>
      <sheetData sheetId="6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"/>
      <sheetName val="EBITDA SUM"/>
      <sheetName val="RIF SUM"/>
      <sheetName val="OBS"/>
      <sheetName val="AFS"/>
      <sheetName val="MIS"/>
      <sheetName val="MBS"/>
      <sheetName val="MCF"/>
      <sheetName val="MC-MIS"/>
      <sheetName val="ED-MIS"/>
      <sheetName val="MED PUB-MIS"/>
      <sheetName val="OPT-MIS"/>
      <sheetName val="REV"/>
      <sheetName val="EXP"/>
      <sheetName val="MODR"/>
      <sheetName val="D&amp;A"/>
      <sheetName val="DEBT"/>
      <sheetName val="COVS"/>
      <sheetName val="CONTROL"/>
      <sheetName val="OBS - REFI"/>
      <sheetName val="WHEC"/>
      <sheetName val="MAST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SUM"/>
      <sheetName val="AFS"/>
      <sheetName val="MIS"/>
      <sheetName val="MBS"/>
      <sheetName val="MCF"/>
      <sheetName val="DEBT"/>
      <sheetName val="D&amp;A"/>
      <sheetName val="COVS_ACTUAL"/>
      <sheetName val="COVS"/>
      <sheetName val="PACING05"/>
      <sheetName val="PACING06"/>
      <sheetName val="OBS - REFI"/>
      <sheetName val="WHEC"/>
    </sheetNames>
    <sheetDataSet>
      <sheetData sheetId="0" refreshError="1"/>
      <sheetData sheetId="1"/>
      <sheetData sheetId="2" refreshError="1"/>
      <sheetData sheetId="3"/>
      <sheetData sheetId="4" refreshError="1"/>
      <sheetData sheetId="5" refreshError="1"/>
      <sheetData sheetId="6"/>
      <sheetData sheetId="7" refreshError="1"/>
      <sheetData sheetId="8"/>
      <sheetData sheetId="9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SCF"/>
      <sheetName val="DCFnew"/>
      <sheetName val="COVS_ACTUAL"/>
      <sheetName val="D&amp;A"/>
    </sheetNames>
    <sheetDataSet>
      <sheetData sheetId="0"/>
      <sheetData sheetId="1" refreshError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2CB27-7D6F-4C35-AD4B-C91640368EF0}">
  <sheetPr codeName="Sheet5"/>
  <dimension ref="B3:L1683"/>
  <sheetViews>
    <sheetView showGridLines="0" tabSelected="1" zoomScaleNormal="100" workbookViewId="0">
      <selection activeCell="N3" sqref="N3"/>
    </sheetView>
  </sheetViews>
  <sheetFormatPr defaultColWidth="11.42578125" defaultRowHeight="12.75"/>
  <cols>
    <col min="1" max="1" width="4.28515625" style="29" customWidth="1"/>
    <col min="2" max="2" width="7.28515625" style="29" bestFit="1" customWidth="1"/>
    <col min="3" max="3" width="39.140625" style="29" bestFit="1" customWidth="1"/>
    <col min="4" max="5" width="16.7109375" style="29" bestFit="1" customWidth="1"/>
    <col min="6" max="7" width="16.28515625" style="29" customWidth="1"/>
    <col min="8" max="8" width="10.5703125" style="29" customWidth="1"/>
    <col min="9" max="9" width="43.42578125" style="29" bestFit="1" customWidth="1"/>
    <col min="10" max="10" width="15.7109375" style="29" customWidth="1"/>
    <col min="11" max="11" width="20.7109375" style="29" customWidth="1"/>
    <col min="12" max="16384" width="11.42578125" style="29"/>
  </cols>
  <sheetData>
    <row r="3" spans="2:11">
      <c r="B3" s="52" t="s">
        <v>0</v>
      </c>
      <c r="I3" s="29" t="s">
        <v>1</v>
      </c>
      <c r="J3" s="392">
        <f>Model!$O$208</f>
        <v>1.0795988210780874E-3</v>
      </c>
      <c r="K3" s="179"/>
    </row>
    <row r="4" spans="2:11">
      <c r="B4" s="52"/>
      <c r="I4" s="29" t="s">
        <v>2</v>
      </c>
      <c r="J4" s="392">
        <f>Model!$O$207</f>
        <v>1.0741487663717712E-3</v>
      </c>
      <c r="K4" s="179"/>
    </row>
    <row r="5" spans="2:11" ht="13.5" thickBot="1">
      <c r="B5" s="52"/>
      <c r="I5" s="52"/>
      <c r="J5" s="179"/>
      <c r="K5" s="179"/>
    </row>
    <row r="6" spans="2:11">
      <c r="C6" s="383" t="s">
        <v>3</v>
      </c>
      <c r="D6" s="296" t="s">
        <v>4</v>
      </c>
      <c r="E6" s="296" t="s">
        <v>5</v>
      </c>
      <c r="F6" s="296" t="s">
        <v>6</v>
      </c>
      <c r="G6" s="296" t="s">
        <v>7</v>
      </c>
      <c r="I6" s="380" t="s">
        <v>8</v>
      </c>
      <c r="J6" s="299" t="s">
        <v>4</v>
      </c>
      <c r="K6" s="179"/>
    </row>
    <row r="7" spans="2:11">
      <c r="C7" s="276"/>
      <c r="D7" s="209"/>
      <c r="E7" s="209"/>
      <c r="F7" s="204"/>
      <c r="G7" s="204"/>
      <c r="I7" s="381" t="s">
        <v>9</v>
      </c>
      <c r="J7" s="301">
        <f>1335.7*1000</f>
        <v>1335700</v>
      </c>
      <c r="K7" s="179"/>
    </row>
    <row r="8" spans="2:11" ht="13.5" thickBot="1">
      <c r="C8" s="276" t="s">
        <v>10</v>
      </c>
      <c r="D8" s="162"/>
      <c r="E8" s="162"/>
      <c r="F8" s="204"/>
      <c r="G8" s="204"/>
      <c r="I8" s="382" t="s">
        <v>11</v>
      </c>
      <c r="J8" s="303">
        <v>2.34</v>
      </c>
      <c r="K8" s="179"/>
    </row>
    <row r="9" spans="2:11" ht="12.75" customHeight="1">
      <c r="C9" s="384" t="s">
        <v>12</v>
      </c>
      <c r="D9" s="162">
        <f>Model!$BE$107</f>
        <v>14561.932000000001</v>
      </c>
      <c r="E9" s="162">
        <f>+D9*$J3</f>
        <v>15.721044619819276</v>
      </c>
      <c r="F9" s="204"/>
      <c r="G9" s="204"/>
      <c r="I9" s="68"/>
      <c r="J9" s="68"/>
      <c r="K9" s="179"/>
    </row>
    <row r="10" spans="2:11">
      <c r="C10" s="384" t="s">
        <v>13</v>
      </c>
      <c r="D10" s="162">
        <f>Model!$BE$108</f>
        <v>8921.7219999999998</v>
      </c>
      <c r="E10" s="162">
        <f>+D10*$J3</f>
        <v>9.631880553186436</v>
      </c>
      <c r="F10" s="204"/>
      <c r="G10" s="204"/>
      <c r="K10" s="179"/>
    </row>
    <row r="11" spans="2:11">
      <c r="C11" s="384" t="s">
        <v>14</v>
      </c>
      <c r="D11" s="162">
        <f>Model!$BE$110</f>
        <v>148848.49100000001</v>
      </c>
      <c r="E11" s="162">
        <f>+D11*$J3</f>
        <v>160.69665540285231</v>
      </c>
      <c r="F11" s="204"/>
      <c r="G11" s="204"/>
      <c r="K11" s="179"/>
    </row>
    <row r="12" spans="2:11">
      <c r="C12" s="276" t="s">
        <v>15</v>
      </c>
      <c r="D12" s="162"/>
      <c r="E12" s="162"/>
      <c r="F12" s="204"/>
      <c r="G12" s="204"/>
      <c r="K12" s="179"/>
    </row>
    <row r="13" spans="2:11">
      <c r="C13" s="384" t="s">
        <v>12</v>
      </c>
      <c r="D13" s="162">
        <f>Model!$BE$112</f>
        <v>170467.76500000001</v>
      </c>
      <c r="E13" s="162">
        <f>+D13*$J3</f>
        <v>184.03679812581646</v>
      </c>
      <c r="F13" s="204"/>
      <c r="G13" s="204"/>
      <c r="I13" s="191"/>
      <c r="K13" s="179"/>
    </row>
    <row r="14" spans="2:11">
      <c r="C14" s="384" t="s">
        <v>13</v>
      </c>
      <c r="D14" s="162">
        <f>Model!$BE$113</f>
        <v>1403972.4680000001</v>
      </c>
      <c r="E14" s="162">
        <f>+D14*$J3</f>
        <v>1515.7270212788931</v>
      </c>
      <c r="F14" s="204"/>
      <c r="G14" s="204"/>
      <c r="K14" s="179"/>
    </row>
    <row r="15" spans="2:11">
      <c r="C15" s="384" t="s">
        <v>16</v>
      </c>
      <c r="D15" s="162">
        <f>Model!$BE$115</f>
        <v>522425.65299999999</v>
      </c>
      <c r="E15" s="162">
        <f>+D15*$J3</f>
        <v>564.01011907974998</v>
      </c>
      <c r="F15" s="204"/>
      <c r="G15" s="204"/>
      <c r="K15" s="179"/>
    </row>
    <row r="16" spans="2:11">
      <c r="C16" s="385" t="s">
        <v>17</v>
      </c>
      <c r="D16" s="107">
        <f>SUM(D9:D15)</f>
        <v>2269198.031</v>
      </c>
      <c r="E16" s="107">
        <f>SUM(E9:E15)</f>
        <v>2449.8235190603173</v>
      </c>
      <c r="F16" s="379">
        <f>+D16/D21</f>
        <v>2.6528388707831061</v>
      </c>
      <c r="G16" s="379">
        <f>+E16/E21</f>
        <v>2.6662989402124522</v>
      </c>
      <c r="K16" s="179"/>
    </row>
    <row r="17" spans="3:11">
      <c r="C17" s="386" t="s">
        <v>18</v>
      </c>
      <c r="D17" s="162">
        <f>Model!$BE$118</f>
        <v>215586.375</v>
      </c>
      <c r="E17" s="162">
        <f>+D17*$J3</f>
        <v>232.74679629049845</v>
      </c>
      <c r="F17" s="206"/>
      <c r="G17" s="206"/>
      <c r="K17" s="179"/>
    </row>
    <row r="18" spans="3:11">
      <c r="C18" s="385" t="s">
        <v>9</v>
      </c>
      <c r="D18" s="107">
        <f>+D16-D17</f>
        <v>2053611.656</v>
      </c>
      <c r="E18" s="107">
        <f>+E16-E17</f>
        <v>2217.0767227698188</v>
      </c>
      <c r="F18" s="379">
        <f>+D18/D21</f>
        <v>2.4008044922061123</v>
      </c>
      <c r="G18" s="379">
        <f>+E18/E21</f>
        <v>2.4129857805260624</v>
      </c>
      <c r="J18" s="196"/>
    </row>
    <row r="19" spans="3:11">
      <c r="C19" s="386" t="s">
        <v>19</v>
      </c>
      <c r="D19" s="68">
        <f>Model!$BE$125</f>
        <v>1969186.767</v>
      </c>
      <c r="E19" s="162">
        <f>+D19*$J3</f>
        <v>2125.9317121357703</v>
      </c>
    </row>
    <row r="20" spans="3:11">
      <c r="C20" s="385" t="s">
        <v>20</v>
      </c>
      <c r="D20" s="107">
        <f>D16+D19</f>
        <v>4238384.7980000004</v>
      </c>
      <c r="E20" s="107">
        <f>E16+E19</f>
        <v>4575.7552311960881</v>
      </c>
      <c r="F20" s="379">
        <f>D20/D21</f>
        <v>4.9549452219979493</v>
      </c>
      <c r="G20" s="379">
        <f>E20/E21</f>
        <v>4.9800858015639484</v>
      </c>
    </row>
    <row r="21" spans="3:11" s="52" customFormat="1">
      <c r="C21" s="387" t="s">
        <v>21</v>
      </c>
      <c r="D21" s="388">
        <f>Model!$BE$84</f>
        <v>855384.79399999999</v>
      </c>
      <c r="E21" s="389">
        <f>+D21*J4</f>
        <v>918.81052124827158</v>
      </c>
      <c r="F21" s="390"/>
      <c r="G21" s="391"/>
    </row>
    <row r="22" spans="3:11">
      <c r="C22" s="136" t="s">
        <v>22</v>
      </c>
      <c r="D22" s="137">
        <f>D16-Model!$BE$121</f>
        <v>0</v>
      </c>
      <c r="E22" s="138"/>
    </row>
    <row r="23" spans="3:11">
      <c r="C23" s="136"/>
      <c r="D23" s="137"/>
      <c r="E23" s="138"/>
    </row>
    <row r="24" spans="3:11" ht="13.5" thickBot="1">
      <c r="D24" s="395"/>
      <c r="E24" s="395"/>
      <c r="G24" s="280"/>
      <c r="H24" s="191"/>
    </row>
    <row r="25" spans="3:11">
      <c r="C25" s="298" t="s">
        <v>23</v>
      </c>
      <c r="D25" s="299" t="str">
        <f>D6</f>
        <v>Ch$ (mn)</v>
      </c>
      <c r="E25" s="299" t="str">
        <f>E6</f>
        <v>USD (mn)</v>
      </c>
    </row>
    <row r="26" spans="3:11">
      <c r="C26" s="62" t="s">
        <v>24</v>
      </c>
      <c r="D26" s="184">
        <f>D17</f>
        <v>215586.375</v>
      </c>
      <c r="E26" s="184">
        <f>D26*$J3</f>
        <v>232.74679629049845</v>
      </c>
    </row>
    <row r="27" spans="3:11" ht="13.5" thickBot="1">
      <c r="C27" s="334" t="s">
        <v>25</v>
      </c>
      <c r="D27" s="333">
        <f>SUM(D26:D26)</f>
        <v>215586.375</v>
      </c>
      <c r="E27" s="333">
        <f>SUM(E26:E26)</f>
        <v>232.74679629049845</v>
      </c>
      <c r="G27" s="273"/>
    </row>
    <row r="28" spans="3:11">
      <c r="C28" s="52"/>
      <c r="D28" s="335"/>
      <c r="E28" s="335"/>
      <c r="G28" s="273"/>
    </row>
    <row r="29" spans="3:11" ht="13.5" thickBot="1"/>
    <row r="30" spans="3:11">
      <c r="C30" s="298" t="s">
        <v>26</v>
      </c>
      <c r="D30" s="299" t="str">
        <f>D25</f>
        <v>Ch$ (mn)</v>
      </c>
      <c r="E30" s="299" t="str">
        <f>E25</f>
        <v>USD (mn)</v>
      </c>
      <c r="K30" s="276"/>
    </row>
    <row r="31" spans="3:11">
      <c r="C31" s="54" t="s">
        <v>27</v>
      </c>
      <c r="D31" s="181">
        <f>14561.932+7915.943+1005.779</f>
        <v>23483.653999999999</v>
      </c>
      <c r="E31" s="184">
        <f>D31*$J3</f>
        <v>25.352925173005712</v>
      </c>
      <c r="K31" s="279"/>
    </row>
    <row r="32" spans="3:11">
      <c r="C32" s="54" t="s">
        <v>28</v>
      </c>
      <c r="D32" s="181">
        <v>0</v>
      </c>
      <c r="E32" s="184">
        <f>D32*$J3</f>
        <v>0</v>
      </c>
      <c r="K32" s="279"/>
    </row>
    <row r="33" spans="3:11">
      <c r="C33" s="54" t="s">
        <v>29</v>
      </c>
      <c r="D33" s="181">
        <v>248006.15</v>
      </c>
      <c r="E33" s="184">
        <f>D33*$J3</f>
        <v>267.74714716011533</v>
      </c>
      <c r="K33" s="279"/>
    </row>
    <row r="34" spans="3:11">
      <c r="C34" s="54" t="s">
        <v>30</v>
      </c>
      <c r="D34" s="181">
        <v>0</v>
      </c>
      <c r="E34" s="184">
        <f>D34*$J3</f>
        <v>0</v>
      </c>
      <c r="K34" s="279"/>
    </row>
    <row r="35" spans="3:11">
      <c r="C35" s="54" t="s">
        <v>31</v>
      </c>
      <c r="D35" s="181">
        <f>170467.765+39692.799</f>
        <v>210160.56400000001</v>
      </c>
      <c r="E35" s="184">
        <f>D35*$J3</f>
        <v>226.88909713150596</v>
      </c>
      <c r="K35" s="279"/>
    </row>
    <row r="36" spans="3:11" ht="13.5" thickBot="1">
      <c r="C36" s="54" t="s">
        <v>32</v>
      </c>
      <c r="D36" s="181">
        <v>1116273.5190000001</v>
      </c>
      <c r="E36" s="184">
        <f>D36*$J3</f>
        <v>1205.1275751130881</v>
      </c>
      <c r="K36" s="279"/>
    </row>
    <row r="37" spans="3:11" ht="13.5" thickBot="1">
      <c r="C37" s="186" t="s">
        <v>33</v>
      </c>
      <c r="D37" s="187">
        <f>SUM(D31:D36)</f>
        <v>1597923.8870000001</v>
      </c>
      <c r="E37" s="193">
        <f>SUM(E31:E36)</f>
        <v>1725.1167445777151</v>
      </c>
      <c r="G37" s="52"/>
      <c r="K37" s="236"/>
    </row>
    <row r="38" spans="3:11">
      <c r="C38" s="393" t="s">
        <v>22</v>
      </c>
      <c r="D38" s="394">
        <f>D37-D9-D10-D13-D14</f>
        <v>0</v>
      </c>
      <c r="E38" s="280"/>
      <c r="K38" s="280"/>
    </row>
    <row r="39" spans="3:11">
      <c r="C39" s="234"/>
      <c r="D39" s="235"/>
      <c r="E39" s="236"/>
      <c r="G39" s="52"/>
      <c r="K39" s="236"/>
    </row>
    <row r="40" spans="3:11" ht="13.5" thickBot="1"/>
    <row r="41" spans="3:11">
      <c r="C41" s="298" t="s">
        <v>34</v>
      </c>
      <c r="D41" s="299" t="s">
        <v>35</v>
      </c>
      <c r="E41" s="299" t="s">
        <v>36</v>
      </c>
      <c r="K41" s="276"/>
    </row>
    <row r="42" spans="3:11">
      <c r="C42" s="54" t="s">
        <v>27</v>
      </c>
      <c r="D42" s="181">
        <v>148848.49100000001</v>
      </c>
      <c r="E42" s="184">
        <f>D42*$J3</f>
        <v>160.69665540285231</v>
      </c>
      <c r="K42" s="279"/>
    </row>
    <row r="43" spans="3:11">
      <c r="C43" s="54" t="s">
        <v>28</v>
      </c>
      <c r="D43" s="181">
        <v>129322.58100000001</v>
      </c>
      <c r="E43" s="184">
        <f>D43*$J3</f>
        <v>139.61650598637547</v>
      </c>
      <c r="K43" s="279"/>
    </row>
    <row r="44" spans="3:11">
      <c r="C44" s="54" t="s">
        <v>29</v>
      </c>
      <c r="D44" s="181">
        <v>115938.548</v>
      </c>
      <c r="E44" s="184">
        <f>D44*$J3</f>
        <v>125.16711973830525</v>
      </c>
      <c r="K44" s="279"/>
    </row>
    <row r="45" spans="3:11">
      <c r="C45" s="54" t="s">
        <v>30</v>
      </c>
      <c r="D45" s="181">
        <v>95222.316000000006</v>
      </c>
      <c r="E45" s="184">
        <f>D45*$J3</f>
        <v>102.80190009392511</v>
      </c>
      <c r="K45" s="279"/>
    </row>
    <row r="46" spans="3:11">
      <c r="C46" s="54" t="s">
        <v>31</v>
      </c>
      <c r="D46" s="181">
        <v>52805.087</v>
      </c>
      <c r="E46" s="184">
        <f>D46*$J3</f>
        <v>57.00830967212584</v>
      </c>
      <c r="K46" s="279"/>
    </row>
    <row r="47" spans="3:11" ht="13.5" thickBot="1">
      <c r="C47" s="54" t="s">
        <v>32</v>
      </c>
      <c r="D47" s="181">
        <v>129137.121</v>
      </c>
      <c r="E47" s="184">
        <f>D47*$J3</f>
        <v>139.41628358901832</v>
      </c>
      <c r="K47" s="279"/>
    </row>
    <row r="48" spans="3:11" ht="13.5" thickBot="1">
      <c r="C48" s="186" t="s">
        <v>37</v>
      </c>
      <c r="D48" s="187">
        <f>SUM(D42:D47)</f>
        <v>671274.14400000009</v>
      </c>
      <c r="E48" s="187">
        <f>SUM(E42:E47)</f>
        <v>724.70677448260233</v>
      </c>
      <c r="F48" s="245"/>
      <c r="G48" s="52"/>
      <c r="I48" s="234"/>
      <c r="J48" s="235"/>
      <c r="K48" s="235"/>
    </row>
    <row r="49" spans="3:11">
      <c r="C49" s="393" t="s">
        <v>22</v>
      </c>
      <c r="D49" s="394">
        <f>D48-D11-D15</f>
        <v>0</v>
      </c>
      <c r="E49" s="273"/>
      <c r="F49" s="245"/>
      <c r="I49" s="277"/>
      <c r="J49" s="273"/>
      <c r="K49" s="273"/>
    </row>
    <row r="50" spans="3:11">
      <c r="C50" s="234"/>
      <c r="D50" s="235"/>
      <c r="E50" s="235"/>
      <c r="F50" s="245"/>
      <c r="G50" s="52"/>
      <c r="I50" s="234"/>
      <c r="J50" s="235"/>
      <c r="K50" s="235"/>
    </row>
    <row r="51" spans="3:11" ht="13.5" thickBot="1">
      <c r="D51" s="191"/>
      <c r="G51" s="273"/>
      <c r="J51" s="191"/>
    </row>
    <row r="52" spans="3:11">
      <c r="C52" s="298" t="s">
        <v>26</v>
      </c>
      <c r="D52" s="299" t="s">
        <v>35</v>
      </c>
      <c r="E52" s="299" t="s">
        <v>36</v>
      </c>
      <c r="I52" s="276"/>
      <c r="J52" s="276"/>
      <c r="K52" s="276"/>
    </row>
    <row r="53" spans="3:11">
      <c r="C53" s="54" t="s">
        <v>27</v>
      </c>
      <c r="D53" s="104">
        <f t="shared" ref="D53:D58" si="0">+D31+D42</f>
        <v>172332.14500000002</v>
      </c>
      <c r="E53" s="184">
        <f>D53*$J3</f>
        <v>186.04958057585804</v>
      </c>
      <c r="G53" s="191"/>
      <c r="I53" s="277"/>
      <c r="J53" s="280"/>
      <c r="K53" s="279"/>
    </row>
    <row r="54" spans="3:11">
      <c r="C54" s="54" t="s">
        <v>28</v>
      </c>
      <c r="D54" s="104">
        <f t="shared" si="0"/>
        <v>129322.58100000001</v>
      </c>
      <c r="E54" s="184">
        <f>D54*$J3</f>
        <v>139.61650598637547</v>
      </c>
      <c r="I54" s="277"/>
      <c r="J54" s="280"/>
      <c r="K54" s="279"/>
    </row>
    <row r="55" spans="3:11">
      <c r="C55" s="54" t="s">
        <v>29</v>
      </c>
      <c r="D55" s="104">
        <f t="shared" si="0"/>
        <v>363944.69799999997</v>
      </c>
      <c r="E55" s="184">
        <f>D55*$J3</f>
        <v>392.91426689842052</v>
      </c>
      <c r="I55" s="277"/>
      <c r="J55" s="280"/>
      <c r="K55" s="279"/>
    </row>
    <row r="56" spans="3:11">
      <c r="C56" s="54" t="s">
        <v>30</v>
      </c>
      <c r="D56" s="104">
        <f t="shared" si="0"/>
        <v>95222.316000000006</v>
      </c>
      <c r="E56" s="184">
        <f>D56*$J3</f>
        <v>102.80190009392511</v>
      </c>
      <c r="G56" s="237"/>
      <c r="I56" s="277"/>
      <c r="J56" s="280"/>
      <c r="K56" s="279"/>
    </row>
    <row r="57" spans="3:11">
      <c r="C57" s="54" t="s">
        <v>31</v>
      </c>
      <c r="D57" s="104">
        <f t="shared" si="0"/>
        <v>262965.65100000001</v>
      </c>
      <c r="E57" s="184">
        <f>D57*$J3</f>
        <v>283.89740680363178</v>
      </c>
      <c r="I57" s="277"/>
      <c r="J57" s="280"/>
      <c r="K57" s="279"/>
    </row>
    <row r="58" spans="3:11" ht="13.5" thickBot="1">
      <c r="C58" s="54" t="s">
        <v>32</v>
      </c>
      <c r="D58" s="104">
        <f t="shared" si="0"/>
        <v>1245410.6400000001</v>
      </c>
      <c r="E58" s="184">
        <f>D58*$J3</f>
        <v>1344.5438587021065</v>
      </c>
      <c r="I58" s="277"/>
      <c r="J58" s="280"/>
      <c r="K58" s="279"/>
    </row>
    <row r="59" spans="3:11" ht="13.5" thickBot="1">
      <c r="C59" s="186" t="s">
        <v>38</v>
      </c>
      <c r="D59" s="187">
        <f>SUM(D53:D58)</f>
        <v>2269198.0310000004</v>
      </c>
      <c r="E59" s="193">
        <f>SUM(E53:E58)</f>
        <v>2449.8235190603173</v>
      </c>
      <c r="I59" s="234"/>
      <c r="J59" s="235"/>
      <c r="K59" s="236"/>
    </row>
    <row r="60" spans="3:11">
      <c r="C60" s="136" t="s">
        <v>22</v>
      </c>
      <c r="D60" s="274">
        <f>D59-Model!$BE$121</f>
        <v>0</v>
      </c>
    </row>
    <row r="65" spans="2:11">
      <c r="B65" s="52" t="s">
        <v>39</v>
      </c>
      <c r="I65" s="52" t="s">
        <v>40</v>
      </c>
      <c r="J65" s="179">
        <f>Model!$O$208</f>
        <v>1.0795988210780874E-3</v>
      </c>
      <c r="K65" s="179"/>
    </row>
    <row r="66" spans="2:11">
      <c r="B66" s="52"/>
      <c r="I66" s="52" t="s">
        <v>41</v>
      </c>
      <c r="J66" s="179">
        <f>Model!$O$207</f>
        <v>1.0741487663717712E-3</v>
      </c>
      <c r="K66" s="179"/>
    </row>
    <row r="67" spans="2:11" ht="13.5" thickBot="1">
      <c r="B67" s="52"/>
      <c r="I67" s="52"/>
      <c r="J67" s="179"/>
      <c r="K67" s="179"/>
    </row>
    <row r="68" spans="2:11">
      <c r="C68" s="294" t="s">
        <v>42</v>
      </c>
      <c r="D68" s="295" t="s">
        <v>4</v>
      </c>
      <c r="E68" s="296" t="s">
        <v>5</v>
      </c>
      <c r="F68" s="297" t="s">
        <v>6</v>
      </c>
      <c r="G68" s="297" t="s">
        <v>7</v>
      </c>
      <c r="I68" s="336" t="s">
        <v>8</v>
      </c>
      <c r="J68" s="299" t="s">
        <v>4</v>
      </c>
      <c r="K68" s="179"/>
    </row>
    <row r="69" spans="2:11">
      <c r="C69" s="207"/>
      <c r="D69" s="208"/>
      <c r="E69" s="209"/>
      <c r="F69" s="210"/>
      <c r="G69" s="210"/>
      <c r="I69" s="300" t="s">
        <v>9</v>
      </c>
      <c r="J69" s="301">
        <v>1369000</v>
      </c>
      <c r="K69" s="179"/>
    </row>
    <row r="70" spans="2:11" ht="13.5" thickBot="1">
      <c r="C70" s="207" t="s">
        <v>10</v>
      </c>
      <c r="D70" s="211"/>
      <c r="E70" s="162"/>
      <c r="F70" s="210"/>
      <c r="G70" s="210"/>
      <c r="I70" s="302" t="s">
        <v>11</v>
      </c>
      <c r="J70" s="303">
        <v>2.4700000000000002</v>
      </c>
      <c r="K70" s="179"/>
    </row>
    <row r="71" spans="2:11" ht="12.75" customHeight="1">
      <c r="C71" s="213" t="s">
        <v>12</v>
      </c>
      <c r="D71" s="162">
        <f>Model!$BD$107</f>
        <v>14630.288</v>
      </c>
      <c r="E71" s="162">
        <f>+D71*$J65</f>
        <v>15.79484167683289</v>
      </c>
      <c r="F71" s="210"/>
      <c r="G71" s="210"/>
      <c r="I71" s="68"/>
      <c r="J71" s="68"/>
      <c r="K71" s="179"/>
    </row>
    <row r="72" spans="2:11">
      <c r="C72" s="213" t="s">
        <v>13</v>
      </c>
      <c r="D72" s="162">
        <f>Model!$BD$108</f>
        <v>9337.5669999999991</v>
      </c>
      <c r="E72" s="162">
        <f>+D72*$J65</f>
        <v>10.080826324937652</v>
      </c>
      <c r="F72" s="210"/>
      <c r="G72" s="210"/>
      <c r="K72" s="179"/>
    </row>
    <row r="73" spans="2:11">
      <c r="C73" s="213" t="s">
        <v>14</v>
      </c>
      <c r="D73" s="162">
        <f>Model!$BD$110</f>
        <v>148627.24400000001</v>
      </c>
      <c r="E73" s="162">
        <f>+D73*$J65</f>
        <v>160.45779740248526</v>
      </c>
      <c r="F73" s="210"/>
      <c r="G73" s="210"/>
      <c r="K73" s="179"/>
    </row>
    <row r="74" spans="2:11">
      <c r="C74" s="207" t="s">
        <v>15</v>
      </c>
      <c r="D74" s="162"/>
      <c r="E74" s="162"/>
      <c r="F74" s="210"/>
      <c r="G74" s="210"/>
      <c r="K74" s="179"/>
    </row>
    <row r="75" spans="2:11">
      <c r="C75" s="213" t="s">
        <v>12</v>
      </c>
      <c r="D75" s="162">
        <f>Model!$BD$112</f>
        <v>168379.24299999999</v>
      </c>
      <c r="E75" s="162">
        <f>+D75*$J65</f>
        <v>181.78203223682078</v>
      </c>
      <c r="F75" s="210"/>
      <c r="G75" s="210"/>
      <c r="I75" s="191"/>
      <c r="K75" s="179"/>
    </row>
    <row r="76" spans="2:11">
      <c r="C76" s="213" t="s">
        <v>13</v>
      </c>
      <c r="D76" s="162">
        <f>Model!$BD$113</f>
        <v>1386290.236</v>
      </c>
      <c r="E76" s="162">
        <f>+D76*$J65</f>
        <v>1496.6373044576637</v>
      </c>
      <c r="F76" s="210"/>
      <c r="G76" s="210"/>
      <c r="K76" s="179"/>
    </row>
    <row r="77" spans="2:11">
      <c r="C77" s="213" t="s">
        <v>16</v>
      </c>
      <c r="D77" s="162">
        <f>Model!$BD$115</f>
        <v>543261.77899999998</v>
      </c>
      <c r="E77" s="162">
        <f>+D77*$J65</f>
        <v>586.50477614518445</v>
      </c>
      <c r="F77" s="210"/>
      <c r="G77" s="210"/>
      <c r="K77" s="179"/>
    </row>
    <row r="78" spans="2:11">
      <c r="C78" s="214" t="s">
        <v>17</v>
      </c>
      <c r="D78" s="215">
        <f>SUM(D71:D77)</f>
        <v>2270526.3569999998</v>
      </c>
      <c r="E78" s="107">
        <f>SUM(E71:E77)</f>
        <v>2451.2575782439244</v>
      </c>
      <c r="F78" s="216">
        <f>+D78/D83</f>
        <v>2.7176534682811613</v>
      </c>
      <c r="G78" s="216">
        <f>+E78/E83</f>
        <v>2.7314423963501953</v>
      </c>
      <c r="K78" s="179"/>
    </row>
    <row r="79" spans="2:11">
      <c r="C79" s="217" t="s">
        <v>18</v>
      </c>
      <c r="D79" s="162">
        <f>Model!$BD$118</f>
        <v>233650.19099999999</v>
      </c>
      <c r="E79" s="162">
        <f>+D79*$J65</f>
        <v>252.24847074826994</v>
      </c>
      <c r="F79" s="219"/>
      <c r="G79" s="219"/>
      <c r="K79" s="179"/>
    </row>
    <row r="80" spans="2:11">
      <c r="C80" s="214" t="s">
        <v>9</v>
      </c>
      <c r="D80" s="215">
        <f>+D78-D79</f>
        <v>2036876.1659999997</v>
      </c>
      <c r="E80" s="107">
        <f>+E78-E79</f>
        <v>2199.0091074956545</v>
      </c>
      <c r="F80" s="216">
        <f>+D80/D83</f>
        <v>2.4379913317998687</v>
      </c>
      <c r="G80" s="216">
        <f>+E80/E83</f>
        <v>2.4503613000461808</v>
      </c>
      <c r="J80" s="196"/>
    </row>
    <row r="81" spans="3:11">
      <c r="C81" s="220" t="s">
        <v>19</v>
      </c>
      <c r="D81" s="221">
        <f>Model!$BD$125</f>
        <v>1943296.8810000001</v>
      </c>
      <c r="E81" s="162">
        <f>+D81*$J65</f>
        <v>2097.9810217323243</v>
      </c>
      <c r="F81" s="125"/>
      <c r="G81" s="125"/>
    </row>
    <row r="82" spans="3:11">
      <c r="C82" s="214" t="s">
        <v>20</v>
      </c>
      <c r="D82" s="215">
        <f>D78+D81</f>
        <v>4213823.2379999999</v>
      </c>
      <c r="E82" s="107">
        <f>E78+E81</f>
        <v>4549.2385999762482</v>
      </c>
      <c r="F82" s="216">
        <f>D82/D83</f>
        <v>5.0436372615402556</v>
      </c>
      <c r="G82" s="216">
        <f>E82/E83</f>
        <v>5.069227849971556</v>
      </c>
    </row>
    <row r="83" spans="3:11">
      <c r="C83" s="222" t="s">
        <v>21</v>
      </c>
      <c r="D83" s="126">
        <f>Model!$BD$84</f>
        <v>835473.09600000014</v>
      </c>
      <c r="E83" s="241">
        <f>+D83*J66</f>
        <v>897.4223954052045</v>
      </c>
      <c r="F83" s="128"/>
      <c r="G83" s="128"/>
    </row>
    <row r="85" spans="3:11">
      <c r="C85" s="136" t="s">
        <v>22</v>
      </c>
      <c r="D85" s="137">
        <f>D78-Model!$BD$121</f>
        <v>0</v>
      </c>
      <c r="E85" s="138"/>
    </row>
    <row r="86" spans="3:11" ht="13.5" thickBot="1">
      <c r="D86" s="395"/>
      <c r="E86" s="395"/>
      <c r="G86" s="280"/>
      <c r="H86" s="191"/>
    </row>
    <row r="87" spans="3:11">
      <c r="C87" s="298" t="s">
        <v>43</v>
      </c>
      <c r="D87" s="299" t="str">
        <f>D68</f>
        <v>Ch$ (mn)</v>
      </c>
      <c r="E87" s="299" t="str">
        <f>E68</f>
        <v>USD (mn)</v>
      </c>
    </row>
    <row r="88" spans="3:11">
      <c r="C88" s="62" t="s">
        <v>24</v>
      </c>
      <c r="D88" s="184">
        <f>D79</f>
        <v>233650.19099999999</v>
      </c>
      <c r="E88" s="184">
        <f>D88*$J65</f>
        <v>252.24847074826994</v>
      </c>
    </row>
    <row r="89" spans="3:11" ht="13.5" thickBot="1">
      <c r="C89" s="334" t="s">
        <v>25</v>
      </c>
      <c r="D89" s="333">
        <f>SUM(D88:D88)</f>
        <v>233650.19099999999</v>
      </c>
      <c r="E89" s="333">
        <f>SUM(E88:E88)</f>
        <v>252.24847074826994</v>
      </c>
      <c r="G89" s="273"/>
    </row>
    <row r="90" spans="3:11">
      <c r="C90" s="52"/>
      <c r="D90" s="335"/>
      <c r="E90" s="335"/>
      <c r="G90" s="273"/>
    </row>
    <row r="91" spans="3:11" ht="13.5" thickBot="1"/>
    <row r="92" spans="3:11">
      <c r="C92" s="298" t="s">
        <v>44</v>
      </c>
      <c r="D92" s="299" t="str">
        <f>D87</f>
        <v>Ch$ (mn)</v>
      </c>
      <c r="E92" s="299" t="str">
        <f>E87</f>
        <v>USD (mn)</v>
      </c>
      <c r="K92" s="276"/>
    </row>
    <row r="93" spans="3:11">
      <c r="C93" s="54" t="s">
        <v>27</v>
      </c>
      <c r="D93" s="181">
        <f>1030.652+6517.225+13599.636+2820.342</f>
        <v>23967.855</v>
      </c>
      <c r="E93" s="184">
        <f>D93*$J65</f>
        <v>25.875668001770542</v>
      </c>
      <c r="K93" s="279"/>
    </row>
    <row r="94" spans="3:11">
      <c r="C94" s="54" t="s">
        <v>28</v>
      </c>
      <c r="D94" s="181">
        <v>0</v>
      </c>
      <c r="E94" s="184">
        <f>D94*$J65</f>
        <v>0</v>
      </c>
      <c r="K94" s="279"/>
    </row>
    <row r="95" spans="3:11">
      <c r="C95" s="54" t="s">
        <v>29</v>
      </c>
      <c r="D95" s="181">
        <v>0</v>
      </c>
      <c r="E95" s="184">
        <f>D95*$J65</f>
        <v>0</v>
      </c>
      <c r="K95" s="279"/>
    </row>
    <row r="96" spans="3:11">
      <c r="C96" s="54" t="s">
        <v>30</v>
      </c>
      <c r="D96" s="181">
        <v>248145.99299999999</v>
      </c>
      <c r="E96" s="184">
        <f>D96*$J65</f>
        <v>267.89812149805135</v>
      </c>
      <c r="K96" s="279"/>
    </row>
    <row r="97" spans="3:11">
      <c r="C97" s="54" t="s">
        <v>31</v>
      </c>
      <c r="D97" s="181">
        <f>168379.243+39571.039</f>
        <v>207950.28199999998</v>
      </c>
      <c r="E97" s="184">
        <f>D97*$J65</f>
        <v>224.5028792900558</v>
      </c>
      <c r="K97" s="279"/>
    </row>
    <row r="98" spans="3:11" ht="13.5" thickBot="1">
      <c r="C98" s="54" t="s">
        <v>32</v>
      </c>
      <c r="D98" s="181">
        <v>1098573.2039999999</v>
      </c>
      <c r="E98" s="184">
        <f>D98*$J65</f>
        <v>1186.0183359063772</v>
      </c>
      <c r="K98" s="279"/>
    </row>
    <row r="99" spans="3:11" ht="13.5" thickBot="1">
      <c r="C99" s="186" t="s">
        <v>33</v>
      </c>
      <c r="D99" s="187">
        <f>SUM(D93:D98)</f>
        <v>1578637.3339999998</v>
      </c>
      <c r="E99" s="193">
        <f>SUM(E93:E98)</f>
        <v>1704.2950046962549</v>
      </c>
      <c r="G99" s="52"/>
      <c r="K99" s="236"/>
    </row>
    <row r="100" spans="3:11">
      <c r="C100" s="341" t="s">
        <v>22</v>
      </c>
      <c r="D100" s="342">
        <f>D99-D71-D72-D75-D76</f>
        <v>0</v>
      </c>
      <c r="E100" s="236"/>
      <c r="G100" s="52"/>
      <c r="K100" s="236"/>
    </row>
    <row r="101" spans="3:11">
      <c r="C101" s="234"/>
      <c r="D101" s="235"/>
      <c r="E101" s="236"/>
      <c r="G101" s="52"/>
      <c r="K101" s="236"/>
    </row>
    <row r="102" spans="3:11" ht="13.5" thickBot="1"/>
    <row r="103" spans="3:11">
      <c r="C103" s="298" t="s">
        <v>45</v>
      </c>
      <c r="D103" s="299" t="s">
        <v>35</v>
      </c>
      <c r="E103" s="299" t="s">
        <v>36</v>
      </c>
      <c r="K103" s="276"/>
    </row>
    <row r="104" spans="3:11">
      <c r="C104" s="54" t="s">
        <v>27</v>
      </c>
      <c r="D104" s="181">
        <v>148627.24400000001</v>
      </c>
      <c r="E104" s="184">
        <f>D104*$J65</f>
        <v>160.45779740248526</v>
      </c>
      <c r="K104" s="279"/>
    </row>
    <row r="105" spans="3:11">
      <c r="C105" s="54" t="s">
        <v>28</v>
      </c>
      <c r="D105" s="181">
        <v>132191.13800000001</v>
      </c>
      <c r="E105" s="184">
        <f>D105*$J65</f>
        <v>142.71339674177077</v>
      </c>
      <c r="K105" s="279"/>
    </row>
    <row r="106" spans="3:11">
      <c r="C106" s="54" t="s">
        <v>29</v>
      </c>
      <c r="D106" s="181">
        <v>116416.143</v>
      </c>
      <c r="E106" s="184">
        <f>D106*$J65</f>
        <v>125.68273073725804</v>
      </c>
      <c r="K106" s="279"/>
    </row>
    <row r="107" spans="3:11">
      <c r="C107" s="54" t="s">
        <v>30</v>
      </c>
      <c r="D107" s="181">
        <v>102783.202</v>
      </c>
      <c r="E107" s="184">
        <f>D107*$J65</f>
        <v>110.96462370583093</v>
      </c>
      <c r="K107" s="279"/>
    </row>
    <row r="108" spans="3:11">
      <c r="C108" s="54" t="s">
        <v>31</v>
      </c>
      <c r="D108" s="181">
        <v>57488.076999999997</v>
      </c>
      <c r="E108" s="184">
        <f>D108*$J65</f>
        <v>62.06406015524631</v>
      </c>
      <c r="K108" s="279"/>
    </row>
    <row r="109" spans="3:11" ht="13.5" thickBot="1">
      <c r="C109" s="54" t="s">
        <v>32</v>
      </c>
      <c r="D109" s="181">
        <v>134383.21900000001</v>
      </c>
      <c r="E109" s="184">
        <f>D109*$J65</f>
        <v>145.07996480507845</v>
      </c>
      <c r="K109" s="279"/>
    </row>
    <row r="110" spans="3:11" ht="13.5" thickBot="1">
      <c r="C110" s="186" t="s">
        <v>37</v>
      </c>
      <c r="D110" s="187">
        <f>SUM(D104:D109)</f>
        <v>691889.02300000004</v>
      </c>
      <c r="E110" s="187">
        <f>SUM(E104:E109)</f>
        <v>746.96257354766976</v>
      </c>
      <c r="F110" s="245"/>
      <c r="G110" s="52"/>
      <c r="I110" s="234"/>
      <c r="J110" s="235"/>
      <c r="K110" s="235"/>
    </row>
    <row r="111" spans="3:11">
      <c r="C111" s="341" t="s">
        <v>22</v>
      </c>
      <c r="D111" s="342">
        <f>D110-D73-D77</f>
        <v>0</v>
      </c>
      <c r="E111" s="235"/>
      <c r="F111" s="245"/>
      <c r="G111" s="52"/>
      <c r="I111" s="234"/>
      <c r="J111" s="235"/>
      <c r="K111" s="235"/>
    </row>
    <row r="112" spans="3:11">
      <c r="C112" s="234"/>
      <c r="D112" s="235"/>
      <c r="E112" s="235"/>
      <c r="F112" s="245"/>
      <c r="G112" s="52"/>
      <c r="I112" s="234"/>
      <c r="J112" s="235"/>
      <c r="K112" s="235"/>
    </row>
    <row r="113" spans="3:11" ht="13.5" thickBot="1">
      <c r="D113" s="191"/>
      <c r="G113" s="273"/>
      <c r="J113" s="191"/>
    </row>
    <row r="114" spans="3:11">
      <c r="C114" s="298" t="s">
        <v>46</v>
      </c>
      <c r="D114" s="299" t="s">
        <v>35</v>
      </c>
      <c r="E114" s="299" t="s">
        <v>36</v>
      </c>
      <c r="I114" s="276"/>
      <c r="J114" s="276"/>
      <c r="K114" s="276"/>
    </row>
    <row r="115" spans="3:11">
      <c r="C115" s="54" t="s">
        <v>27</v>
      </c>
      <c r="D115" s="104">
        <f t="shared" ref="D115:D120" si="1">+D93+D104</f>
        <v>172595.09900000002</v>
      </c>
      <c r="E115" s="184">
        <f>D115*$J65</f>
        <v>186.3334654042558</v>
      </c>
      <c r="G115" s="191"/>
      <c r="I115" s="277"/>
      <c r="J115" s="280"/>
      <c r="K115" s="279"/>
    </row>
    <row r="116" spans="3:11">
      <c r="C116" s="54" t="s">
        <v>28</v>
      </c>
      <c r="D116" s="104">
        <f t="shared" si="1"/>
        <v>132191.13800000001</v>
      </c>
      <c r="E116" s="184">
        <f>D116*$J65</f>
        <v>142.71339674177077</v>
      </c>
      <c r="I116" s="277"/>
      <c r="J116" s="280"/>
      <c r="K116" s="279"/>
    </row>
    <row r="117" spans="3:11">
      <c r="C117" s="54" t="s">
        <v>29</v>
      </c>
      <c r="D117" s="104">
        <f t="shared" si="1"/>
        <v>116416.143</v>
      </c>
      <c r="E117" s="184">
        <f>D117*$J65</f>
        <v>125.68273073725804</v>
      </c>
      <c r="I117" s="277"/>
      <c r="J117" s="280"/>
      <c r="K117" s="279"/>
    </row>
    <row r="118" spans="3:11">
      <c r="C118" s="54" t="s">
        <v>30</v>
      </c>
      <c r="D118" s="104">
        <f t="shared" si="1"/>
        <v>350929.19500000001</v>
      </c>
      <c r="E118" s="184">
        <f>D118*$J65</f>
        <v>378.86274520388224</v>
      </c>
      <c r="G118" s="237"/>
      <c r="I118" s="277"/>
      <c r="J118" s="280"/>
      <c r="K118" s="279"/>
    </row>
    <row r="119" spans="3:11">
      <c r="C119" s="54" t="s">
        <v>31</v>
      </c>
      <c r="D119" s="104">
        <f t="shared" si="1"/>
        <v>265438.359</v>
      </c>
      <c r="E119" s="184">
        <f>D119*$J65</f>
        <v>286.56693944530213</v>
      </c>
      <c r="I119" s="277"/>
      <c r="J119" s="280"/>
      <c r="K119" s="279"/>
    </row>
    <row r="120" spans="3:11" ht="13.5" thickBot="1">
      <c r="C120" s="54" t="s">
        <v>32</v>
      </c>
      <c r="D120" s="104">
        <f t="shared" si="1"/>
        <v>1232956.423</v>
      </c>
      <c r="E120" s="184">
        <f>D120*$J65</f>
        <v>1331.0983007114557</v>
      </c>
      <c r="I120" s="277"/>
      <c r="J120" s="280"/>
      <c r="K120" s="279"/>
    </row>
    <row r="121" spans="3:11" ht="13.5" thickBot="1">
      <c r="C121" s="186" t="s">
        <v>38</v>
      </c>
      <c r="D121" s="187">
        <f>SUM(D115:D120)</f>
        <v>2270526.3569999998</v>
      </c>
      <c r="E121" s="193">
        <f>SUM(E115:E120)</f>
        <v>2451.2575782439244</v>
      </c>
      <c r="I121" s="234"/>
      <c r="J121" s="235"/>
      <c r="K121" s="236"/>
    </row>
    <row r="122" spans="3:11">
      <c r="C122" s="136" t="s">
        <v>22</v>
      </c>
      <c r="D122" s="274">
        <f>D121-Model!$BD$121</f>
        <v>0</v>
      </c>
    </row>
    <row r="123" spans="3:11">
      <c r="C123" s="136"/>
      <c r="D123" s="274"/>
    </row>
    <row r="124" spans="3:11">
      <c r="C124" s="136"/>
      <c r="D124" s="274"/>
    </row>
    <row r="125" spans="3:11">
      <c r="C125" s="136"/>
      <c r="D125" s="274"/>
    </row>
    <row r="126" spans="3:11">
      <c r="C126" s="136"/>
      <c r="D126" s="274"/>
    </row>
    <row r="127" spans="3:11">
      <c r="C127" s="136"/>
      <c r="D127" s="274"/>
    </row>
    <row r="128" spans="3:11">
      <c r="C128" s="136"/>
      <c r="D128" s="274"/>
    </row>
    <row r="131" spans="2:11">
      <c r="B131" s="52" t="s">
        <v>47</v>
      </c>
      <c r="I131" s="52" t="s">
        <v>48</v>
      </c>
      <c r="J131" s="179">
        <f>Model!$O$208</f>
        <v>1.0795988210780874E-3</v>
      </c>
      <c r="K131" s="179"/>
    </row>
    <row r="132" spans="2:11">
      <c r="B132" s="52"/>
      <c r="I132" s="52" t="s">
        <v>49</v>
      </c>
      <c r="J132" s="179">
        <f>Model!$O$207</f>
        <v>1.0741487663717712E-3</v>
      </c>
      <c r="K132" s="179"/>
    </row>
    <row r="133" spans="2:11" ht="13.5" thickBot="1">
      <c r="B133" s="52"/>
      <c r="I133" s="52"/>
      <c r="J133" s="179"/>
      <c r="K133" s="179"/>
    </row>
    <row r="134" spans="2:11">
      <c r="C134" s="294" t="s">
        <v>50</v>
      </c>
      <c r="D134" s="295" t="s">
        <v>4</v>
      </c>
      <c r="E134" s="296" t="s">
        <v>5</v>
      </c>
      <c r="F134" s="297" t="s">
        <v>6</v>
      </c>
      <c r="G134" s="297" t="s">
        <v>7</v>
      </c>
      <c r="I134" s="336" t="s">
        <v>8</v>
      </c>
      <c r="J134" s="299" t="s">
        <v>4</v>
      </c>
      <c r="K134" s="179"/>
    </row>
    <row r="135" spans="2:11">
      <c r="C135" s="207"/>
      <c r="D135" s="208"/>
      <c r="E135" s="209"/>
      <c r="F135" s="210"/>
      <c r="G135" s="210"/>
      <c r="I135" s="300" t="s">
        <v>9</v>
      </c>
      <c r="J135" s="301">
        <v>1358000</v>
      </c>
      <c r="K135" s="179"/>
    </row>
    <row r="136" spans="2:11" ht="13.5" thickBot="1">
      <c r="C136" s="207" t="s">
        <v>10</v>
      </c>
      <c r="D136" s="211"/>
      <c r="E136" s="162"/>
      <c r="F136" s="210"/>
      <c r="G136" s="210"/>
      <c r="I136" s="302" t="s">
        <v>11</v>
      </c>
      <c r="J136" s="303">
        <v>2.5</v>
      </c>
      <c r="K136" s="179"/>
    </row>
    <row r="137" spans="2:11" ht="12.75" customHeight="1">
      <c r="C137" s="212" t="s">
        <v>51</v>
      </c>
      <c r="D137" s="162">
        <f>Model!$BC$107</f>
        <v>31868.848000000002</v>
      </c>
      <c r="E137" s="162">
        <f>+D137*$J131</f>
        <v>34.405570729916768</v>
      </c>
      <c r="F137" s="210"/>
      <c r="G137" s="210"/>
      <c r="I137" s="68"/>
      <c r="J137" s="68"/>
      <c r="K137" s="179"/>
    </row>
    <row r="138" spans="2:11">
      <c r="C138" s="212" t="s">
        <v>52</v>
      </c>
      <c r="D138" s="162">
        <f>Model!$BC$108</f>
        <v>8877.9709999999995</v>
      </c>
      <c r="E138" s="162">
        <f>+D138*$J131</f>
        <v>9.5846470251654488</v>
      </c>
      <c r="F138" s="210"/>
      <c r="G138" s="210"/>
      <c r="K138" s="179"/>
    </row>
    <row r="139" spans="2:11">
      <c r="C139" s="213" t="s">
        <v>53</v>
      </c>
      <c r="D139" s="162">
        <f>Model!$BC$110</f>
        <v>147439.53599999999</v>
      </c>
      <c r="E139" s="162">
        <f>+D139*$J131</f>
        <v>159.17554924590021</v>
      </c>
      <c r="F139" s="210"/>
      <c r="G139" s="210"/>
      <c r="K139" s="179"/>
    </row>
    <row r="140" spans="2:11">
      <c r="C140" s="207" t="s">
        <v>15</v>
      </c>
      <c r="D140" s="162"/>
      <c r="E140" s="162"/>
      <c r="F140" s="210"/>
      <c r="G140" s="210"/>
      <c r="K140" s="179"/>
    </row>
    <row r="141" spans="2:11">
      <c r="C141" s="212" t="s">
        <v>51</v>
      </c>
      <c r="D141" s="162">
        <f>Model!$BC$112</f>
        <v>173046.13200000001</v>
      </c>
      <c r="E141" s="162">
        <f>+D141*$J131</f>
        <v>186.82040009932311</v>
      </c>
      <c r="F141" s="210"/>
      <c r="G141" s="210"/>
      <c r="K141" s="179"/>
    </row>
    <row r="142" spans="2:11">
      <c r="C142" s="212" t="s">
        <v>52</v>
      </c>
      <c r="D142" s="162">
        <f>Model!$BC$113</f>
        <v>1423842.0290000001</v>
      </c>
      <c r="E142" s="162">
        <f>+D142*$J131</f>
        <v>1537.1781759098321</v>
      </c>
      <c r="F142" s="210"/>
      <c r="G142" s="210"/>
      <c r="K142" s="179"/>
    </row>
    <row r="143" spans="2:11">
      <c r="C143" s="213" t="s">
        <v>54</v>
      </c>
      <c r="D143" s="162">
        <f>Model!$BC$115</f>
        <v>544554.73</v>
      </c>
      <c r="E143" s="162">
        <f>+D143*$J131</f>
        <v>587.90064452049614</v>
      </c>
      <c r="F143" s="210"/>
      <c r="G143" s="210"/>
      <c r="K143" s="179"/>
    </row>
    <row r="144" spans="2:11">
      <c r="C144" s="214" t="s">
        <v>17</v>
      </c>
      <c r="D144" s="215">
        <f>SUM(D137:D143)</f>
        <v>2329629.2460000003</v>
      </c>
      <c r="E144" s="107">
        <f>SUM(E137:E143)</f>
        <v>2515.0649875306335</v>
      </c>
      <c r="F144" s="216">
        <f>+D144/D149</f>
        <v>2.8548087018432522</v>
      </c>
      <c r="G144" s="216">
        <f>+E144/E149</f>
        <v>2.86929353307726</v>
      </c>
      <c r="K144" s="179"/>
    </row>
    <row r="145" spans="3:11">
      <c r="C145" s="217" t="s">
        <v>18</v>
      </c>
      <c r="D145" s="162">
        <f>Model!$BC$118</f>
        <v>239893.33300000001</v>
      </c>
      <c r="E145" s="162">
        <f>+D145*$J131</f>
        <v>258.98855949129307</v>
      </c>
      <c r="F145" s="219"/>
      <c r="G145" s="219"/>
      <c r="K145" s="179"/>
    </row>
    <row r="146" spans="3:11">
      <c r="C146" s="214" t="s">
        <v>9</v>
      </c>
      <c r="D146" s="215">
        <f>+D144-D145</f>
        <v>2089735.9130000002</v>
      </c>
      <c r="E146" s="107">
        <f>+E144-E145</f>
        <v>2256.0764280393405</v>
      </c>
      <c r="F146" s="216">
        <f>+D146/D149</f>
        <v>2.5608350681680756</v>
      </c>
      <c r="G146" s="216">
        <f>+E146/E149</f>
        <v>2.573828325389337</v>
      </c>
      <c r="J146" s="196"/>
    </row>
    <row r="147" spans="3:11">
      <c r="C147" s="220" t="s">
        <v>19</v>
      </c>
      <c r="D147" s="221">
        <f>Model!$BC$125</f>
        <v>1960812.6880000001</v>
      </c>
      <c r="E147" s="162">
        <f>+D147*$J131</f>
        <v>2116.8910663197557</v>
      </c>
      <c r="F147" s="125"/>
      <c r="G147" s="125"/>
    </row>
    <row r="148" spans="3:11">
      <c r="C148" s="214" t="s">
        <v>20</v>
      </c>
      <c r="D148" s="215">
        <f>D144+D147</f>
        <v>4290441.9340000004</v>
      </c>
      <c r="E148" s="107">
        <f>E144+E147</f>
        <v>4631.9560538503893</v>
      </c>
      <c r="F148" s="216">
        <f>D148/D149</f>
        <v>5.257656766185872</v>
      </c>
      <c r="G148" s="216">
        <f>E148/E149</f>
        <v>5.2843332544897548</v>
      </c>
    </row>
    <row r="149" spans="3:11">
      <c r="C149" s="222" t="s">
        <v>21</v>
      </c>
      <c r="D149" s="126">
        <f>Model!$BC$84</f>
        <v>816036.90099999995</v>
      </c>
      <c r="E149" s="241">
        <f>+D149*J132</f>
        <v>876.5450305229931</v>
      </c>
      <c r="F149" s="128"/>
      <c r="G149" s="128"/>
    </row>
    <row r="151" spans="3:11">
      <c r="C151" s="136" t="s">
        <v>22</v>
      </c>
      <c r="D151" s="137">
        <f>D144-Model!$BC$121</f>
        <v>0</v>
      </c>
      <c r="E151" s="138"/>
    </row>
    <row r="152" spans="3:11" ht="13.5" thickBot="1">
      <c r="D152" s="395"/>
      <c r="E152" s="395"/>
      <c r="G152" s="280"/>
      <c r="H152" s="191"/>
    </row>
    <row r="153" spans="3:11">
      <c r="C153" s="298" t="s">
        <v>55</v>
      </c>
      <c r="D153" s="299" t="s">
        <v>35</v>
      </c>
      <c r="E153" s="299" t="s">
        <v>36</v>
      </c>
    </row>
    <row r="154" spans="3:11">
      <c r="C154" s="62"/>
      <c r="D154" s="84"/>
      <c r="E154" s="84"/>
    </row>
    <row r="155" spans="3:11">
      <c r="C155" s="62" t="s">
        <v>24</v>
      </c>
      <c r="D155" s="184">
        <f>D145</f>
        <v>239893.33300000001</v>
      </c>
      <c r="E155" s="184">
        <f>D155*$J$255</f>
        <v>253.08407498839514</v>
      </c>
    </row>
    <row r="156" spans="3:11" ht="13.5" thickBot="1">
      <c r="C156" s="334" t="s">
        <v>25</v>
      </c>
      <c r="D156" s="333">
        <f>SUM(D154:D155)</f>
        <v>239893.33300000001</v>
      </c>
      <c r="E156" s="333">
        <f>SUM(E154:E155)</f>
        <v>253.08407498839514</v>
      </c>
      <c r="G156" s="273"/>
    </row>
    <row r="157" spans="3:11">
      <c r="C157" s="52"/>
      <c r="D157" s="335"/>
      <c r="E157" s="335"/>
      <c r="G157" s="273"/>
    </row>
    <row r="158" spans="3:11" ht="13.5" thickBot="1"/>
    <row r="159" spans="3:11">
      <c r="C159" s="298" t="s">
        <v>46</v>
      </c>
      <c r="D159" s="299" t="s">
        <v>35</v>
      </c>
      <c r="E159" s="299" t="s">
        <v>36</v>
      </c>
      <c r="K159" s="276"/>
    </row>
    <row r="160" spans="3:11">
      <c r="C160" s="54" t="s">
        <v>27</v>
      </c>
      <c r="D160" s="181">
        <f>31868.848+7834.312+ 1043.659</f>
        <v>40746.819000000003</v>
      </c>
      <c r="E160" s="184">
        <f>D160*$J131</f>
        <v>43.99021775508222</v>
      </c>
      <c r="K160" s="279"/>
    </row>
    <row r="161" spans="3:11">
      <c r="C161" s="54" t="s">
        <v>28</v>
      </c>
      <c r="D161" s="181">
        <v>0</v>
      </c>
      <c r="E161" s="184">
        <f>D161*$J131</f>
        <v>0</v>
      </c>
      <c r="K161" s="279"/>
    </row>
    <row r="162" spans="3:11">
      <c r="C162" s="54" t="s">
        <v>29</v>
      </c>
      <c r="D162" s="181">
        <v>0</v>
      </c>
      <c r="E162" s="184">
        <f>D162*$J131</f>
        <v>0</v>
      </c>
      <c r="K162" s="279"/>
    </row>
    <row r="163" spans="3:11">
      <c r="C163" s="54" t="s">
        <v>30</v>
      </c>
      <c r="D163" s="181">
        <v>247488.886</v>
      </c>
      <c r="E163" s="184">
        <f>D163*$J131</f>
        <v>267.18870955552916</v>
      </c>
      <c r="K163" s="279"/>
    </row>
    <row r="164" spans="3:11">
      <c r="C164" s="54" t="s">
        <v>31</v>
      </c>
      <c r="D164" s="181">
        <f xml:space="preserve"> 173046.132+ 39321.331</f>
        <v>212367.46300000002</v>
      </c>
      <c r="E164" s="184">
        <f>D164*$J131</f>
        <v>229.27166269014438</v>
      </c>
      <c r="K164" s="279"/>
    </row>
    <row r="165" spans="3:11" ht="13.5" thickBot="1">
      <c r="C165" s="54" t="s">
        <v>32</v>
      </c>
      <c r="D165" s="181">
        <v>1137031.8119999999</v>
      </c>
      <c r="E165" s="184">
        <f>D165*$J131</f>
        <v>1227.5382037634815</v>
      </c>
      <c r="K165" s="279"/>
    </row>
    <row r="166" spans="3:11" ht="13.5" thickBot="1">
      <c r="C166" s="186" t="s">
        <v>33</v>
      </c>
      <c r="D166" s="187">
        <f>SUM(D160:D165)</f>
        <v>1637634.98</v>
      </c>
      <c r="E166" s="193">
        <f>SUM(E160:E165)</f>
        <v>1767.9887937642372</v>
      </c>
      <c r="G166" s="52"/>
      <c r="K166" s="236"/>
    </row>
    <row r="167" spans="3:11">
      <c r="C167" s="234"/>
      <c r="D167" s="235"/>
      <c r="E167" s="236"/>
      <c r="G167" s="52"/>
      <c r="K167" s="236"/>
    </row>
    <row r="168" spans="3:11" ht="13.5" thickBot="1"/>
    <row r="169" spans="3:11">
      <c r="C169" s="298" t="s">
        <v>45</v>
      </c>
      <c r="D169" s="299" t="s">
        <v>35</v>
      </c>
      <c r="E169" s="299" t="s">
        <v>36</v>
      </c>
      <c r="K169" s="276"/>
    </row>
    <row r="170" spans="3:11">
      <c r="C170" s="54" t="s">
        <v>27</v>
      </c>
      <c r="D170" s="181">
        <v>147439.53599999999</v>
      </c>
      <c r="E170" s="184">
        <f>D170*$J131</f>
        <v>159.17554924590021</v>
      </c>
      <c r="K170" s="279"/>
    </row>
    <row r="171" spans="3:11">
      <c r="C171" s="54" t="s">
        <v>28</v>
      </c>
      <c r="D171" s="181">
        <v>135155.929</v>
      </c>
      <c r="E171" s="184">
        <f>D171*$J131</f>
        <v>145.9141816101137</v>
      </c>
      <c r="K171" s="279"/>
    </row>
    <row r="172" spans="3:11">
      <c r="C172" s="54" t="s">
        <v>29</v>
      </c>
      <c r="D172" s="181">
        <v>114522.61199999999</v>
      </c>
      <c r="E172" s="184">
        <f>D172*$J131</f>
        <v>123.63847690198322</v>
      </c>
      <c r="K172" s="279"/>
    </row>
    <row r="173" spans="3:11">
      <c r="C173" s="54" t="s">
        <v>30</v>
      </c>
      <c r="D173" s="181">
        <v>103027.485</v>
      </c>
      <c r="E173" s="184">
        <f>D173*$J131</f>
        <v>111.22835134464034</v>
      </c>
      <c r="K173" s="279"/>
    </row>
    <row r="174" spans="3:11">
      <c r="C174" s="54" t="s">
        <v>31</v>
      </c>
      <c r="D174" s="181">
        <v>65888.054999999993</v>
      </c>
      <c r="E174" s="184">
        <f>D174*$J131</f>
        <v>71.13266650112817</v>
      </c>
      <c r="K174" s="279"/>
    </row>
    <row r="175" spans="3:11" ht="13.5" thickBot="1">
      <c r="C175" s="54" t="s">
        <v>32</v>
      </c>
      <c r="D175" s="181">
        <v>125960.649</v>
      </c>
      <c r="E175" s="184">
        <f>D175*$J131</f>
        <v>135.98696816263077</v>
      </c>
      <c r="K175" s="279"/>
    </row>
    <row r="176" spans="3:11" ht="13.5" thickBot="1">
      <c r="C176" s="186" t="s">
        <v>37</v>
      </c>
      <c r="D176" s="187">
        <f>SUM(D170:D175)</f>
        <v>691994.26599999983</v>
      </c>
      <c r="E176" s="187">
        <f>SUM(E170:E175)</f>
        <v>747.07619376639639</v>
      </c>
      <c r="F176" s="245"/>
      <c r="G176" s="52"/>
      <c r="I176" s="234"/>
      <c r="J176" s="235"/>
      <c r="K176" s="235"/>
    </row>
    <row r="177" spans="3:11">
      <c r="C177" s="234"/>
      <c r="D177" s="235"/>
      <c r="E177" s="235"/>
      <c r="F177" s="245"/>
      <c r="G177" s="52"/>
      <c r="I177" s="234"/>
      <c r="J177" s="235"/>
      <c r="K177" s="235"/>
    </row>
    <row r="178" spans="3:11" ht="13.5" thickBot="1">
      <c r="D178" s="191"/>
      <c r="G178" s="273"/>
      <c r="J178" s="191"/>
    </row>
    <row r="179" spans="3:11">
      <c r="C179" s="298" t="s">
        <v>46</v>
      </c>
      <c r="D179" s="299" t="s">
        <v>35</v>
      </c>
      <c r="E179" s="299" t="s">
        <v>36</v>
      </c>
      <c r="I179" s="276"/>
      <c r="J179" s="276"/>
      <c r="K179" s="276"/>
    </row>
    <row r="180" spans="3:11">
      <c r="C180" s="54" t="s">
        <v>27</v>
      </c>
      <c r="D180" s="104">
        <f t="shared" ref="D180:D185" si="2">+D160+D170</f>
        <v>188186.35499999998</v>
      </c>
      <c r="E180" s="184">
        <f>D180*$J131</f>
        <v>203.16576700098241</v>
      </c>
      <c r="G180" s="191"/>
      <c r="I180" s="277"/>
      <c r="J180" s="280"/>
      <c r="K180" s="279"/>
    </row>
    <row r="181" spans="3:11">
      <c r="C181" s="54" t="s">
        <v>28</v>
      </c>
      <c r="D181" s="104">
        <f t="shared" si="2"/>
        <v>135155.929</v>
      </c>
      <c r="E181" s="184">
        <f>D181*$J131</f>
        <v>145.9141816101137</v>
      </c>
      <c r="I181" s="277"/>
      <c r="J181" s="280"/>
      <c r="K181" s="279"/>
    </row>
    <row r="182" spans="3:11">
      <c r="C182" s="54" t="s">
        <v>29</v>
      </c>
      <c r="D182" s="104">
        <f t="shared" si="2"/>
        <v>114522.61199999999</v>
      </c>
      <c r="E182" s="184">
        <f>D182*$J131</f>
        <v>123.63847690198322</v>
      </c>
      <c r="I182" s="277"/>
      <c r="J182" s="280"/>
      <c r="K182" s="279"/>
    </row>
    <row r="183" spans="3:11">
      <c r="C183" s="54" t="s">
        <v>30</v>
      </c>
      <c r="D183" s="104">
        <f t="shared" si="2"/>
        <v>350516.37099999998</v>
      </c>
      <c r="E183" s="184">
        <f>D183*$J131</f>
        <v>378.41706090016947</v>
      </c>
      <c r="G183" s="237"/>
      <c r="I183" s="277"/>
      <c r="J183" s="280"/>
      <c r="K183" s="279"/>
    </row>
    <row r="184" spans="3:11">
      <c r="C184" s="54" t="s">
        <v>31</v>
      </c>
      <c r="D184" s="104">
        <f t="shared" si="2"/>
        <v>278255.51800000004</v>
      </c>
      <c r="E184" s="184">
        <f>D184*$J131</f>
        <v>300.40432919127261</v>
      </c>
      <c r="I184" s="277"/>
      <c r="J184" s="280"/>
      <c r="K184" s="279"/>
    </row>
    <row r="185" spans="3:11" ht="13.5" thickBot="1">
      <c r="C185" s="54" t="s">
        <v>32</v>
      </c>
      <c r="D185" s="104">
        <f t="shared" si="2"/>
        <v>1262992.4609999999</v>
      </c>
      <c r="E185" s="184">
        <f>D185*$J131</f>
        <v>1363.5251719261123</v>
      </c>
      <c r="I185" s="277"/>
      <c r="J185" s="280"/>
      <c r="K185" s="279"/>
    </row>
    <row r="186" spans="3:11" ht="13.5" thickBot="1">
      <c r="C186" s="186" t="s">
        <v>38</v>
      </c>
      <c r="D186" s="187">
        <f>SUM(D180:D185)</f>
        <v>2329629.2460000003</v>
      </c>
      <c r="E186" s="193">
        <f>SUM(E180:E185)</f>
        <v>2515.0649875306335</v>
      </c>
      <c r="I186" s="234"/>
      <c r="J186" s="235"/>
      <c r="K186" s="236"/>
    </row>
    <row r="187" spans="3:11">
      <c r="C187" s="234"/>
      <c r="D187" s="235"/>
      <c r="E187" s="236"/>
    </row>
    <row r="188" spans="3:11">
      <c r="C188" s="136" t="s">
        <v>22</v>
      </c>
      <c r="D188" s="274">
        <f>D186-Model!$BC$121</f>
        <v>0</v>
      </c>
    </row>
    <row r="189" spans="3:11">
      <c r="C189" s="136"/>
      <c r="D189" s="274"/>
    </row>
    <row r="190" spans="3:11">
      <c r="C190" s="136"/>
      <c r="D190" s="274"/>
    </row>
    <row r="191" spans="3:11">
      <c r="C191" s="136"/>
      <c r="D191" s="274"/>
    </row>
    <row r="192" spans="3:11">
      <c r="C192" s="136"/>
      <c r="D192" s="274"/>
    </row>
    <row r="193" spans="2:11">
      <c r="C193" s="136"/>
      <c r="D193" s="274"/>
    </row>
    <row r="194" spans="2:11">
      <c r="C194" s="136"/>
      <c r="D194" s="274"/>
    </row>
    <row r="196" spans="2:11">
      <c r="B196" s="52" t="s">
        <v>56</v>
      </c>
      <c r="I196" s="52" t="s">
        <v>57</v>
      </c>
      <c r="J196" s="179">
        <f>Model!$O$208</f>
        <v>1.0795988210780874E-3</v>
      </c>
      <c r="K196" s="179"/>
    </row>
    <row r="197" spans="2:11">
      <c r="B197" s="52"/>
      <c r="I197" s="52" t="s">
        <v>58</v>
      </c>
      <c r="J197" s="179">
        <f>Model!$O$207</f>
        <v>1.0741487663717712E-3</v>
      </c>
      <c r="K197" s="179"/>
    </row>
    <row r="198" spans="2:11" ht="13.5" thickBot="1">
      <c r="B198" s="52"/>
      <c r="I198" s="52"/>
      <c r="J198" s="179"/>
      <c r="K198" s="179"/>
    </row>
    <row r="199" spans="2:11">
      <c r="C199" s="294" t="s">
        <v>59</v>
      </c>
      <c r="D199" s="295" t="s">
        <v>4</v>
      </c>
      <c r="E199" s="296" t="s">
        <v>5</v>
      </c>
      <c r="F199" s="297" t="s">
        <v>6</v>
      </c>
      <c r="G199" s="297" t="s">
        <v>7</v>
      </c>
      <c r="I199" s="298" t="s">
        <v>8</v>
      </c>
      <c r="J199" s="299" t="s">
        <v>4</v>
      </c>
      <c r="K199" s="179"/>
    </row>
    <row r="200" spans="2:11">
      <c r="C200" s="207"/>
      <c r="D200" s="208"/>
      <c r="E200" s="209"/>
      <c r="F200" s="210"/>
      <c r="G200" s="210"/>
      <c r="I200" s="300" t="s">
        <v>9</v>
      </c>
      <c r="J200" s="301">
        <v>1423000</v>
      </c>
      <c r="K200" s="179"/>
    </row>
    <row r="201" spans="2:11" ht="13.5" thickBot="1">
      <c r="C201" s="207" t="s">
        <v>10</v>
      </c>
      <c r="D201" s="211"/>
      <c r="E201" s="162"/>
      <c r="F201" s="210"/>
      <c r="G201" s="210"/>
      <c r="I201" s="302" t="s">
        <v>11</v>
      </c>
      <c r="J201" s="303">
        <v>2.63</v>
      </c>
      <c r="K201" s="179"/>
    </row>
    <row r="202" spans="2:11" ht="12.75" customHeight="1">
      <c r="C202" s="212" t="s">
        <v>51</v>
      </c>
      <c r="D202" s="162">
        <f>Model!$BB$107</f>
        <v>28955.56</v>
      </c>
      <c r="E202" s="162">
        <f>+D202*$J196</f>
        <v>31.260388439655827</v>
      </c>
      <c r="F202" s="210"/>
      <c r="G202" s="210"/>
      <c r="I202" s="68"/>
      <c r="J202" s="68"/>
      <c r="K202" s="179"/>
    </row>
    <row r="203" spans="2:11">
      <c r="C203" s="212" t="s">
        <v>52</v>
      </c>
      <c r="D203" s="162">
        <f>Model!$BB$108</f>
        <v>282006.76799999998</v>
      </c>
      <c r="E203" s="162">
        <f>+D203*$J196</f>
        <v>304.45417426884171</v>
      </c>
      <c r="F203" s="210"/>
      <c r="G203" s="210"/>
      <c r="K203" s="179"/>
    </row>
    <row r="204" spans="2:11">
      <c r="C204" s="213" t="s">
        <v>53</v>
      </c>
      <c r="D204" s="162">
        <f>Model!$BB$110</f>
        <v>139559.90599999999</v>
      </c>
      <c r="E204" s="162">
        <f>+D204*$J196</f>
        <v>150.66870998736869</v>
      </c>
      <c r="F204" s="210"/>
      <c r="G204" s="210"/>
      <c r="K204" s="179"/>
    </row>
    <row r="205" spans="2:11">
      <c r="C205" s="207" t="s">
        <v>15</v>
      </c>
      <c r="D205" s="162"/>
      <c r="E205" s="162"/>
      <c r="F205" s="210"/>
      <c r="G205" s="210"/>
      <c r="K205" s="179"/>
    </row>
    <row r="206" spans="2:11">
      <c r="C206" s="212" t="s">
        <v>51</v>
      </c>
      <c r="D206" s="162">
        <f>Model!$BB$112</f>
        <v>0</v>
      </c>
      <c r="E206" s="162">
        <f>+D206*$J196</f>
        <v>0</v>
      </c>
      <c r="F206" s="210"/>
      <c r="G206" s="210"/>
      <c r="K206" s="179"/>
    </row>
    <row r="207" spans="2:11">
      <c r="C207" s="212" t="s">
        <v>52</v>
      </c>
      <c r="D207" s="162">
        <f>Model!$BB$113</f>
        <v>1659653.932</v>
      </c>
      <c r="E207" s="162">
        <f>+D207*$J196</f>
        <v>1791.7604283848123</v>
      </c>
      <c r="F207" s="210"/>
      <c r="G207" s="210"/>
      <c r="K207" s="179"/>
    </row>
    <row r="208" spans="2:11">
      <c r="C208" s="213" t="s">
        <v>54</v>
      </c>
      <c r="D208" s="162">
        <f>Model!$BB$115</f>
        <v>538907.67599999998</v>
      </c>
      <c r="E208" s="162">
        <f>+D208*$J196</f>
        <v>581.80409167953189</v>
      </c>
      <c r="F208" s="210"/>
      <c r="G208" s="210"/>
      <c r="K208" s="179"/>
    </row>
    <row r="209" spans="3:11">
      <c r="C209" s="214" t="s">
        <v>17</v>
      </c>
      <c r="D209" s="215">
        <f>SUM(D202:D208)</f>
        <v>2649083.8420000002</v>
      </c>
      <c r="E209" s="107">
        <f>SUM(E202:E208)</f>
        <v>2859.9477927602102</v>
      </c>
      <c r="F209" s="216">
        <f>+D209/D214</f>
        <v>3.3233191627466345</v>
      </c>
      <c r="G209" s="216">
        <f>+E209/E214</f>
        <v>3.3401811392349536</v>
      </c>
      <c r="K209" s="179"/>
    </row>
    <row r="210" spans="3:11">
      <c r="C210" s="217" t="s">
        <v>18</v>
      </c>
      <c r="D210" s="162">
        <f>Model!$BB$118</f>
        <v>272786.95199999999</v>
      </c>
      <c r="E210" s="162">
        <f>+D210*$J196</f>
        <v>294.50047178468481</v>
      </c>
      <c r="F210" s="219"/>
      <c r="G210" s="219"/>
      <c r="K210" s="179"/>
    </row>
    <row r="211" spans="3:11">
      <c r="C211" s="214" t="s">
        <v>9</v>
      </c>
      <c r="D211" s="215">
        <f>+D209-D210</f>
        <v>2376296.89</v>
      </c>
      <c r="E211" s="107">
        <f>+E209-E210</f>
        <v>2565.4473209755251</v>
      </c>
      <c r="F211" s="216">
        <f>+D211/D214</f>
        <v>2.981103453845396</v>
      </c>
      <c r="G211" s="216">
        <f>+E211/E214</f>
        <v>2.9962290839417971</v>
      </c>
      <c r="J211" s="196"/>
    </row>
    <row r="212" spans="3:11">
      <c r="C212" s="220" t="s">
        <v>19</v>
      </c>
      <c r="D212" s="221">
        <f>Model!$BB$125</f>
        <v>1849131.602</v>
      </c>
      <c r="E212" s="162">
        <f>+D212*$J196</f>
        <v>1996.3202975374352</v>
      </c>
      <c r="F212" s="125"/>
      <c r="G212" s="125"/>
    </row>
    <row r="213" spans="3:11">
      <c r="C213" s="214" t="s">
        <v>20</v>
      </c>
      <c r="D213" s="215">
        <f>D209+D212</f>
        <v>4498215.4440000001</v>
      </c>
      <c r="E213" s="107">
        <f>E209+E212</f>
        <v>4856.2680902976454</v>
      </c>
      <c r="F213" s="216">
        <f>D213/D214</f>
        <v>5.6430851097267993</v>
      </c>
      <c r="G213" s="216">
        <f>E213/E214</f>
        <v>5.6717171982449406</v>
      </c>
    </row>
    <row r="214" spans="3:11">
      <c r="C214" s="222" t="s">
        <v>21</v>
      </c>
      <c r="D214" s="126">
        <f>Model!$BB$84</f>
        <v>797119.90099999995</v>
      </c>
      <c r="E214" s="241">
        <f>+D214*J197</f>
        <v>856.22535830953836</v>
      </c>
      <c r="F214" s="128"/>
      <c r="G214" s="128"/>
    </row>
    <row r="216" spans="3:11">
      <c r="C216" s="136" t="s">
        <v>22</v>
      </c>
      <c r="D216" s="137">
        <f>D209-Model!$BB$121</f>
        <v>0</v>
      </c>
      <c r="E216" s="138"/>
    </row>
    <row r="217" spans="3:11" ht="13.5" thickBot="1">
      <c r="D217" s="395"/>
      <c r="E217" s="395"/>
      <c r="G217" s="280"/>
      <c r="H217" s="191"/>
    </row>
    <row r="218" spans="3:11">
      <c r="C218" s="298" t="s">
        <v>60</v>
      </c>
      <c r="D218" s="299" t="s">
        <v>35</v>
      </c>
      <c r="E218" s="299" t="s">
        <v>36</v>
      </c>
    </row>
    <row r="219" spans="3:11">
      <c r="C219" s="62"/>
      <c r="D219" s="84"/>
      <c r="E219" s="84"/>
    </row>
    <row r="220" spans="3:11">
      <c r="C220" s="62" t="s">
        <v>24</v>
      </c>
      <c r="D220" s="184">
        <f>D210</f>
        <v>272786.95199999999</v>
      </c>
      <c r="E220" s="184">
        <f>D220*$J$255</f>
        <v>287.78637802253445</v>
      </c>
    </row>
    <row r="221" spans="3:11" ht="13.5" thickBot="1">
      <c r="C221" s="63"/>
      <c r="D221" s="185">
        <f>SUM(D219:D220)</f>
        <v>272786.95199999999</v>
      </c>
      <c r="E221" s="185">
        <f>SUM(E219:E220)</f>
        <v>287.78637802253445</v>
      </c>
      <c r="G221" s="273"/>
    </row>
    <row r="222" spans="3:11" ht="13.5" thickBot="1"/>
    <row r="223" spans="3:11">
      <c r="C223" s="298" t="s">
        <v>61</v>
      </c>
      <c r="D223" s="299" t="s">
        <v>35</v>
      </c>
      <c r="E223" s="299" t="s">
        <v>36</v>
      </c>
      <c r="K223" s="276"/>
    </row>
    <row r="224" spans="3:11">
      <c r="C224" s="54" t="s">
        <v>27</v>
      </c>
      <c r="D224" s="181">
        <f>28955.56+279265.398+2741.37</f>
        <v>310962.32799999998</v>
      </c>
      <c r="E224" s="184">
        <f>D224*$J196</f>
        <v>335.71456270849751</v>
      </c>
      <c r="K224" s="279"/>
    </row>
    <row r="225" spans="3:11">
      <c r="C225" s="54" t="s">
        <v>28</v>
      </c>
      <c r="D225" s="181">
        <v>261867.32399999999</v>
      </c>
      <c r="E225" s="184">
        <f>D225*$J196</f>
        <v>282.71165426927354</v>
      </c>
      <c r="K225" s="279"/>
    </row>
    <row r="226" spans="3:11">
      <c r="C226" s="54" t="s">
        <v>29</v>
      </c>
      <c r="D226" s="181">
        <v>0</v>
      </c>
      <c r="E226" s="184">
        <f>D226*$J196</f>
        <v>0</v>
      </c>
      <c r="K226" s="279"/>
    </row>
    <row r="227" spans="3:11">
      <c r="C227" s="54" t="s">
        <v>30</v>
      </c>
      <c r="D227" s="181">
        <v>246958.11900000001</v>
      </c>
      <c r="E227" s="184">
        <f>D227*$J196</f>
        <v>266.61569412806205</v>
      </c>
      <c r="K227" s="279"/>
    </row>
    <row r="228" spans="3:11">
      <c r="C228" s="54" t="s">
        <v>31</v>
      </c>
      <c r="D228" s="181">
        <v>39095.497000000003</v>
      </c>
      <c r="E228" s="184">
        <f>D228*$J196</f>
        <v>42.207452470661906</v>
      </c>
      <c r="K228" s="279"/>
    </row>
    <row r="229" spans="3:11" ht="13.5" thickBot="1">
      <c r="C229" s="54" t="s">
        <v>32</v>
      </c>
      <c r="D229" s="181">
        <v>1111732.9920000001</v>
      </c>
      <c r="E229" s="184">
        <f>D229*$J196</f>
        <v>1200.2256275168149</v>
      </c>
      <c r="K229" s="279"/>
    </row>
    <row r="230" spans="3:11" ht="13.5" thickBot="1">
      <c r="C230" s="186" t="s">
        <v>33</v>
      </c>
      <c r="D230" s="187">
        <f>SUM(D224:D229)</f>
        <v>1970616.26</v>
      </c>
      <c r="E230" s="193">
        <f>SUM(E224:E229)</f>
        <v>2127.4749910933097</v>
      </c>
      <c r="G230" s="52"/>
      <c r="K230" s="236"/>
    </row>
    <row r="231" spans="3:11" ht="13.5" thickBot="1">
      <c r="D231" s="191"/>
    </row>
    <row r="232" spans="3:11">
      <c r="C232" s="298" t="s">
        <v>62</v>
      </c>
      <c r="D232" s="299" t="s">
        <v>35</v>
      </c>
      <c r="E232" s="299" t="s">
        <v>36</v>
      </c>
      <c r="K232" s="276"/>
    </row>
    <row r="233" spans="3:11">
      <c r="C233" s="54" t="s">
        <v>27</v>
      </c>
      <c r="D233" s="181">
        <v>139559.90599999999</v>
      </c>
      <c r="E233" s="184">
        <f>D233*$J196</f>
        <v>150.66870998736869</v>
      </c>
      <c r="K233" s="279"/>
    </row>
    <row r="234" spans="3:11">
      <c r="C234" s="54" t="s">
        <v>28</v>
      </c>
      <c r="D234" s="181">
        <v>128333.281</v>
      </c>
      <c r="E234" s="184">
        <f>D234*$J196</f>
        <v>138.54845887268291</v>
      </c>
      <c r="K234" s="279"/>
    </row>
    <row r="235" spans="3:11">
      <c r="C235" s="54" t="s">
        <v>29</v>
      </c>
      <c r="D235" s="181">
        <v>107592.935</v>
      </c>
      <c r="E235" s="184">
        <f>D235*$J196</f>
        <v>116.15720578233129</v>
      </c>
      <c r="K235" s="279"/>
    </row>
    <row r="236" spans="3:11">
      <c r="C236" s="54" t="s">
        <v>30</v>
      </c>
      <c r="D236" s="181">
        <v>96581.236999999994</v>
      </c>
      <c r="E236" s="184">
        <f>D236*$J196</f>
        <v>104.26898960346335</v>
      </c>
      <c r="K236" s="279"/>
    </row>
    <row r="237" spans="3:11">
      <c r="C237" s="54" t="s">
        <v>31</v>
      </c>
      <c r="D237" s="181">
        <v>68583.13</v>
      </c>
      <c r="E237" s="184">
        <f>D237*$J196</f>
        <v>74.042266293845216</v>
      </c>
      <c r="K237" s="279"/>
    </row>
    <row r="238" spans="3:11" ht="13.5" thickBot="1">
      <c r="C238" s="54" t="s">
        <v>32</v>
      </c>
      <c r="D238" s="181">
        <v>137817.09299999999</v>
      </c>
      <c r="E238" s="184">
        <f>D238*$J196</f>
        <v>148.78717112720912</v>
      </c>
      <c r="K238" s="279"/>
    </row>
    <row r="239" spans="3:11" ht="13.5" thickBot="1">
      <c r="C239" s="186" t="s">
        <v>37</v>
      </c>
      <c r="D239" s="187">
        <f>SUM(D233:D238)</f>
        <v>678467.58199999994</v>
      </c>
      <c r="E239" s="187">
        <f>SUM(E233:E238)</f>
        <v>732.47280166690064</v>
      </c>
      <c r="F239" s="245"/>
      <c r="G239" s="52"/>
      <c r="I239" s="234"/>
      <c r="J239" s="235"/>
      <c r="K239" s="235"/>
    </row>
    <row r="240" spans="3:11" ht="13.5" thickBot="1">
      <c r="D240" s="191"/>
      <c r="G240" s="273"/>
      <c r="J240" s="191"/>
    </row>
    <row r="241" spans="2:11">
      <c r="C241" s="298" t="s">
        <v>61</v>
      </c>
      <c r="D241" s="299" t="s">
        <v>35</v>
      </c>
      <c r="E241" s="299" t="s">
        <v>36</v>
      </c>
      <c r="I241" s="276"/>
      <c r="J241" s="276"/>
      <c r="K241" s="276"/>
    </row>
    <row r="242" spans="2:11">
      <c r="C242" s="54" t="s">
        <v>27</v>
      </c>
      <c r="D242" s="104">
        <f t="shared" ref="D242:D247" si="3">+D224+D233</f>
        <v>450522.23399999994</v>
      </c>
      <c r="E242" s="184">
        <f>D242*$J196</f>
        <v>486.3832726958662</v>
      </c>
      <c r="G242" s="191"/>
      <c r="I242" s="277"/>
      <c r="J242" s="280"/>
      <c r="K242" s="279"/>
    </row>
    <row r="243" spans="2:11">
      <c r="C243" s="54" t="s">
        <v>28</v>
      </c>
      <c r="D243" s="104">
        <f t="shared" si="3"/>
        <v>390200.60499999998</v>
      </c>
      <c r="E243" s="184">
        <f>D243*$J196</f>
        <v>421.26011314195642</v>
      </c>
      <c r="I243" s="277"/>
      <c r="J243" s="280"/>
      <c r="K243" s="279"/>
    </row>
    <row r="244" spans="2:11">
      <c r="C244" s="54" t="s">
        <v>29</v>
      </c>
      <c r="D244" s="104">
        <f t="shared" si="3"/>
        <v>107592.935</v>
      </c>
      <c r="E244" s="184">
        <f>D244*$J196</f>
        <v>116.15720578233129</v>
      </c>
      <c r="I244" s="277"/>
      <c r="J244" s="280"/>
      <c r="K244" s="279"/>
    </row>
    <row r="245" spans="2:11">
      <c r="C245" s="54" t="s">
        <v>30</v>
      </c>
      <c r="D245" s="104">
        <f t="shared" si="3"/>
        <v>343539.35600000003</v>
      </c>
      <c r="E245" s="184">
        <f>D245*$J196</f>
        <v>370.8846837315254</v>
      </c>
      <c r="G245" s="237"/>
      <c r="I245" s="277"/>
      <c r="J245" s="280"/>
      <c r="K245" s="279"/>
    </row>
    <row r="246" spans="2:11">
      <c r="C246" s="54" t="s">
        <v>31</v>
      </c>
      <c r="D246" s="104">
        <f t="shared" si="3"/>
        <v>107678.62700000001</v>
      </c>
      <c r="E246" s="184">
        <f>D246*$J196</f>
        <v>116.24971876450712</v>
      </c>
      <c r="I246" s="277"/>
      <c r="J246" s="280"/>
      <c r="K246" s="279"/>
    </row>
    <row r="247" spans="2:11" ht="13.5" thickBot="1">
      <c r="C247" s="54" t="s">
        <v>32</v>
      </c>
      <c r="D247" s="104">
        <f t="shared" si="3"/>
        <v>1249550.085</v>
      </c>
      <c r="E247" s="184">
        <f>D247*$J196</f>
        <v>1349.0127986440239</v>
      </c>
      <c r="I247" s="277"/>
      <c r="J247" s="280"/>
      <c r="K247" s="279"/>
    </row>
    <row r="248" spans="2:11" ht="13.5" thickBot="1">
      <c r="C248" s="186" t="s">
        <v>38</v>
      </c>
      <c r="D248" s="187">
        <f>SUM(D242:D247)</f>
        <v>2649083.8420000002</v>
      </c>
      <c r="E248" s="193">
        <f>SUM(E242:E247)</f>
        <v>2859.9477927602102</v>
      </c>
      <c r="I248" s="234"/>
      <c r="J248" s="235"/>
      <c r="K248" s="236"/>
    </row>
    <row r="249" spans="2:11">
      <c r="C249" s="234"/>
      <c r="D249" s="235"/>
      <c r="E249" s="236"/>
    </row>
    <row r="250" spans="2:11">
      <c r="C250" s="136" t="s">
        <v>22</v>
      </c>
      <c r="D250" s="274">
        <f>D248-Model!$BB$121</f>
        <v>0</v>
      </c>
    </row>
    <row r="251" spans="2:11">
      <c r="C251" s="136"/>
      <c r="D251" s="274"/>
    </row>
    <row r="252" spans="2:11">
      <c r="C252" s="136"/>
      <c r="D252" s="274"/>
    </row>
    <row r="253" spans="2:11">
      <c r="C253" s="136"/>
      <c r="D253" s="274"/>
    </row>
    <row r="254" spans="2:11">
      <c r="C254" s="136"/>
      <c r="D254" s="274"/>
    </row>
    <row r="255" spans="2:11">
      <c r="B255" s="52" t="s">
        <v>63</v>
      </c>
      <c r="I255" s="52" t="s">
        <v>64</v>
      </c>
      <c r="J255" s="179">
        <f>Model!$BA$208</f>
        <v>1.0549858631894332E-3</v>
      </c>
      <c r="K255" s="179"/>
    </row>
    <row r="256" spans="2:11">
      <c r="C256" s="129"/>
      <c r="D256" s="396" t="s">
        <v>65</v>
      </c>
      <c r="E256" s="397"/>
      <c r="F256" s="115" t="s">
        <v>6</v>
      </c>
      <c r="G256" s="115" t="s">
        <v>7</v>
      </c>
      <c r="I256" s="52" t="s">
        <v>66</v>
      </c>
      <c r="J256" s="179">
        <f>AVERAGE(Model!$AX$207:$BA$207)</f>
        <v>1.0555272889540899E-3</v>
      </c>
      <c r="K256" s="179"/>
    </row>
    <row r="257" spans="3:12">
      <c r="C257" s="207"/>
      <c r="D257" s="208" t="s">
        <v>4</v>
      </c>
      <c r="E257" s="209" t="s">
        <v>5</v>
      </c>
      <c r="F257" s="210"/>
      <c r="G257" s="210"/>
      <c r="I257" s="52"/>
    </row>
    <row r="258" spans="3:12">
      <c r="C258" s="207" t="s">
        <v>10</v>
      </c>
      <c r="D258" s="211"/>
      <c r="E258" s="162"/>
      <c r="F258" s="210"/>
      <c r="G258" s="210"/>
      <c r="I258" s="52" t="s">
        <v>8</v>
      </c>
    </row>
    <row r="259" spans="3:12">
      <c r="C259" s="212" t="s">
        <v>51</v>
      </c>
      <c r="D259" s="162">
        <f>Model!$BA$107</f>
        <v>74953.774999999994</v>
      </c>
      <c r="E259" s="162">
        <f>+D259*$J255</f>
        <v>79.07517301768155</v>
      </c>
      <c r="F259" s="210"/>
      <c r="G259" s="210"/>
      <c r="I259" s="129"/>
      <c r="J259" s="396" t="str">
        <f>D256</f>
        <v>Amount outstanding as on 31-Mar-2025</v>
      </c>
      <c r="K259" s="397"/>
      <c r="L259" s="115" t="s">
        <v>67</v>
      </c>
    </row>
    <row r="260" spans="3:12">
      <c r="C260" s="212" t="s">
        <v>52</v>
      </c>
      <c r="D260" s="162">
        <f>Model!$BA$108</f>
        <v>279327.40100000001</v>
      </c>
      <c r="E260" s="162">
        <f>+D260*$J255</f>
        <v>294.68645925644597</v>
      </c>
      <c r="F260" s="210"/>
      <c r="G260" s="210"/>
      <c r="I260" s="223"/>
      <c r="J260" s="224" t="s">
        <v>4</v>
      </c>
      <c r="K260" s="224" t="s">
        <v>5</v>
      </c>
      <c r="L260" s="225"/>
    </row>
    <row r="261" spans="3:12">
      <c r="C261" s="213" t="s">
        <v>53</v>
      </c>
      <c r="D261" s="162">
        <f>Model!$BA$110</f>
        <v>145493.66200000001</v>
      </c>
      <c r="E261" s="162">
        <f>+D261*$J255</f>
        <v>153.49375659366163</v>
      </c>
      <c r="F261" s="210"/>
      <c r="G261" s="210"/>
      <c r="I261" s="214" t="s">
        <v>17</v>
      </c>
      <c r="J261" s="171">
        <f>+J263+J262</f>
        <v>1543679.9709999999</v>
      </c>
      <c r="K261" s="171">
        <f>J261*J255</f>
        <v>1628.560546693674</v>
      </c>
      <c r="L261" s="216">
        <f>+J261/J266</f>
        <v>1.9431820802264808</v>
      </c>
    </row>
    <row r="262" spans="3:12">
      <c r="C262" s="207" t="s">
        <v>15</v>
      </c>
      <c r="D262" s="162"/>
      <c r="E262" s="162"/>
      <c r="F262" s="210"/>
      <c r="G262" s="210"/>
      <c r="I262" s="217" t="s">
        <v>18</v>
      </c>
      <c r="J262" s="226">
        <f>D267</f>
        <v>180279.97099999999</v>
      </c>
      <c r="K262" s="226">
        <f>K261-K263</f>
        <v>190.19282082120094</v>
      </c>
      <c r="L262" s="219"/>
    </row>
    <row r="263" spans="3:12">
      <c r="C263" s="212" t="s">
        <v>51</v>
      </c>
      <c r="D263" s="162">
        <f>Model!$BA$112</f>
        <v>0</v>
      </c>
      <c r="E263" s="162">
        <f>+D263*$J255</f>
        <v>0</v>
      </c>
      <c r="F263" s="210"/>
      <c r="G263" s="210"/>
      <c r="I263" s="214" t="s">
        <v>9</v>
      </c>
      <c r="J263" s="227">
        <v>1363400</v>
      </c>
      <c r="K263" s="171">
        <f>J263*J255</f>
        <v>1438.3677258724731</v>
      </c>
      <c r="L263" s="216">
        <f>+J263/J266</f>
        <v>1.7162459175165292</v>
      </c>
    </row>
    <row r="264" spans="3:12">
      <c r="C264" s="212" t="s">
        <v>52</v>
      </c>
      <c r="D264" s="162">
        <f>Model!$BA$113</f>
        <v>1596195.3629999999</v>
      </c>
      <c r="E264" s="162">
        <f>+D264*$J255</f>
        <v>1683.9635428535255</v>
      </c>
      <c r="F264" s="210"/>
      <c r="G264" s="210"/>
      <c r="I264" s="220" t="s">
        <v>19</v>
      </c>
      <c r="J264" s="228">
        <f>D269</f>
        <v>1836843.7930000001</v>
      </c>
      <c r="K264" s="172">
        <f>+J264*J255</f>
        <v>1937.8442345022575</v>
      </c>
      <c r="L264" s="125"/>
    </row>
    <row r="265" spans="3:12">
      <c r="C265" s="213" t="s">
        <v>54</v>
      </c>
      <c r="D265" s="162">
        <f>Model!$BA$115</f>
        <v>530568.321</v>
      </c>
      <c r="E265" s="162">
        <f>+D265*$J255</f>
        <v>559.74207811115321</v>
      </c>
      <c r="F265" s="210"/>
      <c r="G265" s="210"/>
      <c r="I265" s="220" t="s">
        <v>20</v>
      </c>
      <c r="J265" s="228">
        <f>J261+J264</f>
        <v>3380523.764</v>
      </c>
      <c r="K265" s="228">
        <f>K261+K264</f>
        <v>3566.4047811959317</v>
      </c>
      <c r="L265" s="125"/>
    </row>
    <row r="266" spans="3:12">
      <c r="C266" s="214" t="s">
        <v>17</v>
      </c>
      <c r="D266" s="215">
        <f>SUM(D259:D265)</f>
        <v>2626538.5219999999</v>
      </c>
      <c r="E266" s="107">
        <f>SUM(E259:E265)</f>
        <v>2770.9610098324679</v>
      </c>
      <c r="F266" s="216">
        <f>+D266/D271</f>
        <v>3.3062828337849481</v>
      </c>
      <c r="G266" s="216">
        <f>+E266/E271</f>
        <v>3.3045868978009265</v>
      </c>
      <c r="I266" s="222" t="s">
        <v>68</v>
      </c>
      <c r="J266" s="170">
        <f>D271</f>
        <v>794408.29899999988</v>
      </c>
      <c r="K266" s="170"/>
      <c r="L266" s="128"/>
    </row>
    <row r="267" spans="3:12">
      <c r="C267" s="217" t="s">
        <v>18</v>
      </c>
      <c r="D267" s="162">
        <f>Model!$BA$118</f>
        <v>180279.97099999999</v>
      </c>
      <c r="E267" s="162">
        <f>+D267*$J255</f>
        <v>190.19282082120097</v>
      </c>
      <c r="F267" s="219"/>
      <c r="G267" s="219"/>
    </row>
    <row r="268" spans="3:12">
      <c r="C268" s="214" t="s">
        <v>9</v>
      </c>
      <c r="D268" s="215">
        <f>+D266-D267</f>
        <v>2446258.551</v>
      </c>
      <c r="E268" s="107">
        <f>+E266-E267</f>
        <v>2580.7681890112667</v>
      </c>
      <c r="F268" s="216">
        <f>+D268/D271</f>
        <v>3.0793466710749962</v>
      </c>
      <c r="G268" s="216">
        <f>+E268/E271</f>
        <v>3.0777671404996356</v>
      </c>
      <c r="J268" s="196"/>
    </row>
    <row r="269" spans="3:12">
      <c r="C269" s="220" t="s">
        <v>19</v>
      </c>
      <c r="D269" s="221">
        <f>Model!$BA$125</f>
        <v>1836843.7930000001</v>
      </c>
      <c r="E269" s="162">
        <f>+D269*$J255</f>
        <v>1937.8442345022575</v>
      </c>
      <c r="F269" s="125"/>
      <c r="G269" s="125"/>
    </row>
    <row r="270" spans="3:12">
      <c r="C270" s="214" t="s">
        <v>20</v>
      </c>
      <c r="D270" s="215">
        <f>D266+D269</f>
        <v>4463382.3149999995</v>
      </c>
      <c r="E270" s="107">
        <f>E266+E269</f>
        <v>4708.8052443347251</v>
      </c>
      <c r="F270" s="216">
        <f>D270/D271</f>
        <v>5.6184991025628754</v>
      </c>
      <c r="G270" s="216">
        <f>E270/E271</f>
        <v>5.6156171304863003</v>
      </c>
    </row>
    <row r="271" spans="3:12">
      <c r="C271" s="222" t="s">
        <v>21</v>
      </c>
      <c r="D271" s="126">
        <f>Model!$BA$84</f>
        <v>794408.29899999988</v>
      </c>
      <c r="E271" s="241">
        <f>+D271*J256</f>
        <v>838.51963816609998</v>
      </c>
      <c r="F271" s="128"/>
      <c r="G271" s="128"/>
    </row>
    <row r="273" spans="3:11">
      <c r="C273" s="136" t="s">
        <v>22</v>
      </c>
      <c r="D273" s="137">
        <f>D266-Model!$BA$121</f>
        <v>0</v>
      </c>
      <c r="E273" s="138"/>
    </row>
    <row r="274" spans="3:11" ht="13.5" thickBot="1">
      <c r="D274" s="395"/>
      <c r="E274" s="395"/>
    </row>
    <row r="275" spans="3:11">
      <c r="C275" s="60" t="s">
        <v>69</v>
      </c>
      <c r="D275" s="61" t="s">
        <v>35</v>
      </c>
      <c r="E275" s="61" t="s">
        <v>36</v>
      </c>
    </row>
    <row r="276" spans="3:11">
      <c r="C276" s="62"/>
      <c r="D276" s="84"/>
      <c r="E276" s="84"/>
    </row>
    <row r="277" spans="3:11">
      <c r="C277" s="62" t="s">
        <v>24</v>
      </c>
      <c r="D277" s="184">
        <f>D267</f>
        <v>180279.97099999999</v>
      </c>
      <c r="E277" s="184">
        <f>D277*$J$255</f>
        <v>190.19282082120097</v>
      </c>
    </row>
    <row r="278" spans="3:11" ht="13.5" thickBot="1">
      <c r="C278" s="63"/>
      <c r="D278" s="185">
        <f>SUM(D276:D277)</f>
        <v>180279.97099999999</v>
      </c>
      <c r="E278" s="185">
        <f>SUM(E276:E277)</f>
        <v>190.19282082120097</v>
      </c>
      <c r="G278" s="273"/>
    </row>
    <row r="279" spans="3:11" ht="13.5" thickBot="1"/>
    <row r="280" spans="3:11">
      <c r="C280" s="60" t="s">
        <v>70</v>
      </c>
      <c r="D280" s="61" t="s">
        <v>35</v>
      </c>
      <c r="E280" s="61" t="s">
        <v>36</v>
      </c>
      <c r="I280" s="276"/>
      <c r="J280" s="276"/>
      <c r="K280" s="276"/>
    </row>
    <row r="281" spans="3:11">
      <c r="C281" s="54" t="s">
        <v>27</v>
      </c>
      <c r="D281" s="181">
        <f>74953.775+6434.187+272893.214</f>
        <v>354281.17599999998</v>
      </c>
      <c r="E281" s="184">
        <f>D281*$J255</f>
        <v>373.76163227412746</v>
      </c>
      <c r="I281" s="277"/>
      <c r="J281" s="278"/>
      <c r="K281" s="279"/>
    </row>
    <row r="282" spans="3:11">
      <c r="C282" s="54" t="s">
        <v>28</v>
      </c>
      <c r="D282" s="181">
        <v>267301.10200000001</v>
      </c>
      <c r="E282" s="184">
        <f>D282*$J255</f>
        <v>281.99888382495675</v>
      </c>
      <c r="I282" s="277"/>
      <c r="J282" s="278"/>
      <c r="K282" s="279"/>
    </row>
    <row r="283" spans="3:11">
      <c r="C283" s="54" t="s">
        <v>29</v>
      </c>
      <c r="D283" s="181">
        <v>0</v>
      </c>
      <c r="E283" s="184">
        <f>D283*$J255</f>
        <v>0</v>
      </c>
      <c r="I283" s="277"/>
      <c r="J283" s="278"/>
      <c r="K283" s="279"/>
    </row>
    <row r="284" spans="3:11">
      <c r="C284" s="54" t="s">
        <v>30</v>
      </c>
      <c r="D284" s="181">
        <v>245437.696</v>
      </c>
      <c r="E284" s="184">
        <f>D284*$J255</f>
        <v>258.93329957378569</v>
      </c>
      <c r="I284" s="277"/>
      <c r="J284" s="278"/>
      <c r="K284" s="279"/>
    </row>
    <row r="285" spans="3:11">
      <c r="C285" s="54" t="s">
        <v>31</v>
      </c>
      <c r="D285" s="181">
        <v>0</v>
      </c>
      <c r="E285" s="184">
        <f>D285*$J255</f>
        <v>0</v>
      </c>
      <c r="I285" s="277"/>
      <c r="J285" s="278"/>
      <c r="K285" s="279"/>
    </row>
    <row r="286" spans="3:11" ht="13.5" thickBot="1">
      <c r="C286" s="54" t="s">
        <v>32</v>
      </c>
      <c r="D286" s="181">
        <v>1083456.5649999999</v>
      </c>
      <c r="E286" s="184">
        <f>D286*$J255</f>
        <v>1143.0313594547831</v>
      </c>
      <c r="I286" s="277"/>
      <c r="J286" s="278"/>
      <c r="K286" s="279"/>
    </row>
    <row r="287" spans="3:11" ht="13.5" thickBot="1">
      <c r="C287" s="186" t="s">
        <v>33</v>
      </c>
      <c r="D287" s="187">
        <f>SUM(D281:D286)</f>
        <v>1950476.5389999999</v>
      </c>
      <c r="E287" s="193">
        <f>SUM(E281:E286)</f>
        <v>2057.7251751276531</v>
      </c>
      <c r="G287" s="52"/>
      <c r="I287" s="234"/>
      <c r="J287" s="235"/>
      <c r="K287" s="236"/>
    </row>
    <row r="288" spans="3:11" ht="13.5" thickBot="1">
      <c r="D288" s="191"/>
      <c r="J288" s="191"/>
    </row>
    <row r="289" spans="3:11">
      <c r="C289" s="60" t="s">
        <v>71</v>
      </c>
      <c r="D289" s="61" t="s">
        <v>35</v>
      </c>
      <c r="E289" s="61" t="s">
        <v>36</v>
      </c>
      <c r="I289" s="276"/>
      <c r="J289" s="276"/>
      <c r="K289" s="276"/>
    </row>
    <row r="290" spans="3:11">
      <c r="C290" s="54" t="s">
        <v>27</v>
      </c>
      <c r="D290" s="181">
        <v>145493.66200000001</v>
      </c>
      <c r="E290" s="184">
        <f>D290*$J255</f>
        <v>153.49375659366163</v>
      </c>
      <c r="I290" s="277"/>
      <c r="J290" s="278"/>
      <c r="K290" s="279"/>
    </row>
    <row r="291" spans="3:11">
      <c r="C291" s="54" t="s">
        <v>28</v>
      </c>
      <c r="D291" s="181">
        <v>130518.04700000001</v>
      </c>
      <c r="E291" s="184">
        <f>D291*$J255</f>
        <v>137.69469447609401</v>
      </c>
      <c r="I291" s="277"/>
      <c r="J291" s="278"/>
      <c r="K291" s="279"/>
    </row>
    <row r="292" spans="3:11">
      <c r="C292" s="54" t="s">
        <v>29</v>
      </c>
      <c r="D292" s="181">
        <v>108829.507</v>
      </c>
      <c r="E292" s="184">
        <f>D292*$J255</f>
        <v>114.81359138287546</v>
      </c>
      <c r="I292" s="277"/>
      <c r="J292" s="278"/>
      <c r="K292" s="279"/>
    </row>
    <row r="293" spans="3:11">
      <c r="C293" s="54" t="s">
        <v>30</v>
      </c>
      <c r="D293" s="181">
        <v>95528.425000000003</v>
      </c>
      <c r="E293" s="184">
        <f>D293*$J255</f>
        <v>100.78113790775203</v>
      </c>
      <c r="I293" s="277"/>
      <c r="J293" s="278"/>
      <c r="K293" s="279"/>
    </row>
    <row r="294" spans="3:11">
      <c r="C294" s="54" t="s">
        <v>31</v>
      </c>
      <c r="D294" s="181">
        <v>78031.706999999995</v>
      </c>
      <c r="E294" s="184">
        <f>D294*$J255</f>
        <v>82.322347765539931</v>
      </c>
      <c r="I294" s="277"/>
      <c r="J294" s="278"/>
      <c r="K294" s="279"/>
    </row>
    <row r="295" spans="3:11" ht="13.5" thickBot="1">
      <c r="C295" s="54" t="s">
        <v>32</v>
      </c>
      <c r="D295" s="181">
        <v>117660.63499999999</v>
      </c>
      <c r="E295" s="184">
        <f>D295*$J255</f>
        <v>124.13030657889182</v>
      </c>
      <c r="I295" s="277"/>
      <c r="J295" s="278"/>
      <c r="K295" s="279"/>
    </row>
    <row r="296" spans="3:11" ht="13.5" thickBot="1">
      <c r="C296" s="186" t="s">
        <v>37</v>
      </c>
      <c r="D296" s="187">
        <f>SUM(D290:D295)</f>
        <v>676061.98300000001</v>
      </c>
      <c r="E296" s="187">
        <f>SUM(E290:E295)</f>
        <v>713.23583470481481</v>
      </c>
      <c r="F296" s="245"/>
      <c r="G296" s="52"/>
      <c r="I296" s="234"/>
      <c r="J296" s="235"/>
      <c r="K296" s="235"/>
    </row>
    <row r="297" spans="3:11" ht="13.5" thickBot="1">
      <c r="D297" s="191"/>
      <c r="G297" s="273"/>
      <c r="J297" s="191"/>
    </row>
    <row r="298" spans="3:11">
      <c r="C298" s="60" t="s">
        <v>70</v>
      </c>
      <c r="D298" s="61" t="s">
        <v>35</v>
      </c>
      <c r="E298" s="61" t="s">
        <v>36</v>
      </c>
      <c r="I298" s="276"/>
      <c r="J298" s="276"/>
      <c r="K298" s="276"/>
    </row>
    <row r="299" spans="3:11">
      <c r="C299" s="54" t="s">
        <v>27</v>
      </c>
      <c r="D299" s="104">
        <f t="shared" ref="D299:D304" si="4">+D281+D290</f>
        <v>499774.83799999999</v>
      </c>
      <c r="E299" s="184">
        <f>D299*$J255</f>
        <v>527.25538886778907</v>
      </c>
      <c r="G299" s="191"/>
      <c r="I299" s="277"/>
      <c r="J299" s="280"/>
      <c r="K299" s="279"/>
    </row>
    <row r="300" spans="3:11">
      <c r="C300" s="54" t="s">
        <v>28</v>
      </c>
      <c r="D300" s="104">
        <f t="shared" si="4"/>
        <v>397819.14900000003</v>
      </c>
      <c r="E300" s="184">
        <f>D300*$J255</f>
        <v>419.69357830105076</v>
      </c>
      <c r="I300" s="277"/>
      <c r="J300" s="280"/>
      <c r="K300" s="279"/>
    </row>
    <row r="301" spans="3:11">
      <c r="C301" s="54" t="s">
        <v>29</v>
      </c>
      <c r="D301" s="104">
        <f t="shared" si="4"/>
        <v>108829.507</v>
      </c>
      <c r="E301" s="184">
        <f>D301*$J255</f>
        <v>114.81359138287546</v>
      </c>
      <c r="I301" s="277"/>
      <c r="J301" s="280"/>
      <c r="K301" s="279"/>
    </row>
    <row r="302" spans="3:11">
      <c r="C302" s="54" t="s">
        <v>30</v>
      </c>
      <c r="D302" s="104">
        <f t="shared" si="4"/>
        <v>340966.12099999998</v>
      </c>
      <c r="E302" s="184">
        <f>D302*$J255</f>
        <v>359.71443748153769</v>
      </c>
      <c r="G302" s="237"/>
      <c r="I302" s="277"/>
      <c r="J302" s="280"/>
      <c r="K302" s="279"/>
    </row>
    <row r="303" spans="3:11">
      <c r="C303" s="54" t="s">
        <v>31</v>
      </c>
      <c r="D303" s="104">
        <f t="shared" si="4"/>
        <v>78031.706999999995</v>
      </c>
      <c r="E303" s="184">
        <f>D303*$J255</f>
        <v>82.322347765539931</v>
      </c>
      <c r="I303" s="277"/>
      <c r="J303" s="280"/>
      <c r="K303" s="279"/>
    </row>
    <row r="304" spans="3:11" ht="13.5" thickBot="1">
      <c r="C304" s="54" t="s">
        <v>32</v>
      </c>
      <c r="D304" s="104">
        <f t="shared" si="4"/>
        <v>1201117.2</v>
      </c>
      <c r="E304" s="184">
        <f>D304*$J255</f>
        <v>1267.1616660336749</v>
      </c>
      <c r="I304" s="277"/>
      <c r="J304" s="280"/>
      <c r="K304" s="279"/>
    </row>
    <row r="305" spans="2:12" ht="13.5" thickBot="1">
      <c r="C305" s="186" t="s">
        <v>38</v>
      </c>
      <c r="D305" s="187">
        <f>SUM(D299:D304)</f>
        <v>2626538.5219999999</v>
      </c>
      <c r="E305" s="193">
        <f>SUM(E299:E304)</f>
        <v>2770.9610098324679</v>
      </c>
      <c r="I305" s="234"/>
      <c r="J305" s="235"/>
      <c r="K305" s="236"/>
    </row>
    <row r="306" spans="2:12">
      <c r="C306" s="234"/>
      <c r="D306" s="235"/>
      <c r="E306" s="236"/>
    </row>
    <row r="307" spans="2:12">
      <c r="C307" s="136" t="s">
        <v>22</v>
      </c>
      <c r="D307" s="274">
        <f>D305-Model!$BA$121</f>
        <v>0</v>
      </c>
    </row>
    <row r="308" spans="2:12">
      <c r="B308" s="52" t="s">
        <v>72</v>
      </c>
      <c r="I308" s="52" t="s">
        <v>73</v>
      </c>
      <c r="J308" s="179">
        <f>Model!$AZ$208</f>
        <v>1.005E-3</v>
      </c>
      <c r="K308" s="179"/>
    </row>
    <row r="309" spans="2:12">
      <c r="C309" s="129"/>
      <c r="D309" s="396" t="s">
        <v>74</v>
      </c>
      <c r="E309" s="397"/>
      <c r="F309" s="115" t="s">
        <v>6</v>
      </c>
      <c r="G309" s="115" t="s">
        <v>7</v>
      </c>
      <c r="I309" s="52" t="s">
        <v>75</v>
      </c>
      <c r="J309" s="179">
        <f>AVERAGE(Model!$AW$207:$AZ$207)</f>
        <v>1.0600634197149138E-3</v>
      </c>
      <c r="K309" s="179"/>
    </row>
    <row r="310" spans="2:12">
      <c r="C310" s="207"/>
      <c r="D310" s="208" t="s">
        <v>4</v>
      </c>
      <c r="E310" s="209" t="s">
        <v>5</v>
      </c>
      <c r="F310" s="210"/>
      <c r="G310" s="210"/>
      <c r="I310" s="52"/>
    </row>
    <row r="311" spans="2:12">
      <c r="C311" s="207" t="s">
        <v>10</v>
      </c>
      <c r="D311" s="211"/>
      <c r="E311" s="162"/>
      <c r="F311" s="210"/>
      <c r="G311" s="210"/>
      <c r="I311" s="52" t="s">
        <v>8</v>
      </c>
    </row>
    <row r="312" spans="2:12">
      <c r="C312" s="212" t="s">
        <v>51</v>
      </c>
      <c r="D312" s="162">
        <f>Model!$AZ$107</f>
        <v>77024.649999999994</v>
      </c>
      <c r="E312" s="162">
        <f>+D312*$J308</f>
        <v>77.409773250000001</v>
      </c>
      <c r="F312" s="210"/>
      <c r="G312" s="210"/>
      <c r="I312" s="129"/>
      <c r="J312" s="396" t="str">
        <f>D309</f>
        <v>Amount outstanding as on 31-Dec-2024</v>
      </c>
      <c r="K312" s="397"/>
      <c r="L312" s="115" t="s">
        <v>67</v>
      </c>
    </row>
    <row r="313" spans="2:12">
      <c r="C313" s="212" t="s">
        <v>52</v>
      </c>
      <c r="D313" s="162">
        <f>Model!$AZ$108</f>
        <v>299932.55699999997</v>
      </c>
      <c r="E313" s="162">
        <f>+D313*$J308</f>
        <v>301.43221978499997</v>
      </c>
      <c r="F313" s="210"/>
      <c r="G313" s="210"/>
      <c r="I313" s="223"/>
      <c r="J313" s="224" t="s">
        <v>4</v>
      </c>
      <c r="K313" s="224" t="s">
        <v>5</v>
      </c>
      <c r="L313" s="225"/>
    </row>
    <row r="314" spans="2:12">
      <c r="C314" s="213" t="s">
        <v>53</v>
      </c>
      <c r="D314" s="162">
        <f>Model!$AZ$110</f>
        <v>143981.54999999999</v>
      </c>
      <c r="E314" s="162">
        <f>+D314*$J308</f>
        <v>144.70145775</v>
      </c>
      <c r="F314" s="210"/>
      <c r="G314" s="210"/>
      <c r="I314" s="214" t="s">
        <v>17</v>
      </c>
      <c r="J314" s="171">
        <f>+J316+J315</f>
        <v>1402618.872</v>
      </c>
      <c r="K314" s="171">
        <f>J314*J308</f>
        <v>1409.63196636</v>
      </c>
      <c r="L314" s="216">
        <f>+J314/J319</f>
        <v>1.7785898128491306</v>
      </c>
    </row>
    <row r="315" spans="2:12">
      <c r="C315" s="207" t="s">
        <v>15</v>
      </c>
      <c r="D315" s="162"/>
      <c r="E315" s="162"/>
      <c r="F315" s="210"/>
      <c r="G315" s="210"/>
      <c r="I315" s="217" t="s">
        <v>18</v>
      </c>
      <c r="J315" s="226">
        <f>D320</f>
        <v>79918.872000000003</v>
      </c>
      <c r="K315" s="226">
        <f>K314-K316</f>
        <v>80.318466360000002</v>
      </c>
      <c r="L315" s="219"/>
    </row>
    <row r="316" spans="2:12">
      <c r="C316" s="212" t="s">
        <v>51</v>
      </c>
      <c r="D316" s="162">
        <f>Model!$AZ$112</f>
        <v>0</v>
      </c>
      <c r="E316" s="162">
        <f>+D316*$J308</f>
        <v>0</v>
      </c>
      <c r="F316" s="210"/>
      <c r="G316" s="210"/>
      <c r="I316" s="214" t="s">
        <v>9</v>
      </c>
      <c r="J316" s="227">
        <v>1322700</v>
      </c>
      <c r="K316" s="171">
        <f>J316*J308</f>
        <v>1329.3135</v>
      </c>
      <c r="L316" s="216">
        <f>+J316/J319</f>
        <v>1.6772487469108752</v>
      </c>
    </row>
    <row r="317" spans="2:12">
      <c r="C317" s="212" t="s">
        <v>52</v>
      </c>
      <c r="D317" s="162">
        <f>Model!$AZ$113</f>
        <v>1633380.9920000001</v>
      </c>
      <c r="E317" s="162">
        <f>+D317*$J308</f>
        <v>1641.5478969600001</v>
      </c>
      <c r="F317" s="210"/>
      <c r="G317" s="210"/>
      <c r="I317" s="220" t="s">
        <v>19</v>
      </c>
      <c r="J317" s="228">
        <f>D322</f>
        <v>1836019.6370000001</v>
      </c>
      <c r="K317" s="172">
        <f>+J317*J308</f>
        <v>1845.1997351850002</v>
      </c>
      <c r="L317" s="125"/>
    </row>
    <row r="318" spans="2:12">
      <c r="C318" s="213" t="s">
        <v>54</v>
      </c>
      <c r="D318" s="162">
        <f>Model!$AZ$115</f>
        <v>538029.076</v>
      </c>
      <c r="E318" s="162">
        <f>+D318*$J308</f>
        <v>540.71922138000002</v>
      </c>
      <c r="F318" s="210"/>
      <c r="G318" s="210"/>
      <c r="I318" s="220" t="s">
        <v>20</v>
      </c>
      <c r="J318" s="228">
        <f>J314+J317</f>
        <v>3238638.5090000001</v>
      </c>
      <c r="K318" s="228">
        <f>K314+K317</f>
        <v>3254.8317015450002</v>
      </c>
      <c r="L318" s="125"/>
    </row>
    <row r="319" spans="2:12">
      <c r="C319" s="214" t="s">
        <v>17</v>
      </c>
      <c r="D319" s="215">
        <f>SUM(D312:D318)</f>
        <v>2692348.8249999997</v>
      </c>
      <c r="E319" s="107">
        <f>SUM(E312:E318)</f>
        <v>2705.8105691250003</v>
      </c>
      <c r="F319" s="216">
        <f>+D319/D324</f>
        <v>3.4140309162910838</v>
      </c>
      <c r="G319" s="216">
        <f>+E319/E324</f>
        <v>3.2366941515586651</v>
      </c>
      <c r="I319" s="222" t="s">
        <v>68</v>
      </c>
      <c r="J319" s="170">
        <f>D324</f>
        <v>788612.90099999995</v>
      </c>
      <c r="K319" s="170"/>
      <c r="L319" s="128"/>
    </row>
    <row r="320" spans="2:12">
      <c r="C320" s="217" t="s">
        <v>18</v>
      </c>
      <c r="D320" s="162">
        <f>Model!$AZ$118</f>
        <v>79918.872000000003</v>
      </c>
      <c r="E320" s="162">
        <f>+D320*$J308</f>
        <v>80.318466360000002</v>
      </c>
      <c r="F320" s="219"/>
      <c r="G320" s="219"/>
    </row>
    <row r="321" spans="3:11">
      <c r="C321" s="214" t="s">
        <v>9</v>
      </c>
      <c r="D321" s="215">
        <f>+D319-D320</f>
        <v>2612429.9529999997</v>
      </c>
      <c r="E321" s="107">
        <f>+E319-E320</f>
        <v>2625.4921027650003</v>
      </c>
      <c r="F321" s="275">
        <f>+D321/D324</f>
        <v>3.3126898503528284</v>
      </c>
      <c r="G321" s="216">
        <f>+E321/E324</f>
        <v>3.1406170967581732</v>
      </c>
      <c r="J321" s="196"/>
    </row>
    <row r="322" spans="3:11">
      <c r="C322" s="220" t="s">
        <v>19</v>
      </c>
      <c r="D322" s="221">
        <f>Model!$AZ$125</f>
        <v>1836019.6370000001</v>
      </c>
      <c r="E322" s="162">
        <f>+D322*$J308</f>
        <v>1845.1997351850002</v>
      </c>
      <c r="F322" s="125"/>
      <c r="G322" s="125"/>
    </row>
    <row r="323" spans="3:11">
      <c r="C323" s="214" t="s">
        <v>20</v>
      </c>
      <c r="D323" s="215">
        <f>D319+D322</f>
        <v>4528368.4619999994</v>
      </c>
      <c r="E323" s="107">
        <f>E319+E322</f>
        <v>4551.0103043100007</v>
      </c>
      <c r="F323" s="216">
        <f>D323/D324</f>
        <v>5.7421942454375339</v>
      </c>
      <c r="G323" s="216">
        <f>E323/E324</f>
        <v>5.44392449483514</v>
      </c>
    </row>
    <row r="324" spans="3:11">
      <c r="C324" s="222" t="s">
        <v>21</v>
      </c>
      <c r="D324" s="126">
        <f>Model!$AZ$84</f>
        <v>788612.90099999995</v>
      </c>
      <c r="E324" s="241">
        <f>+D324*J309</f>
        <v>835.97968866535871</v>
      </c>
      <c r="F324" s="128"/>
      <c r="G324" s="128"/>
    </row>
    <row r="326" spans="3:11">
      <c r="C326" s="136" t="s">
        <v>22</v>
      </c>
      <c r="D326" s="137">
        <f>D319-Model!$AZ$121</f>
        <v>0</v>
      </c>
      <c r="E326" s="138"/>
    </row>
    <row r="327" spans="3:11" ht="13.5" thickBot="1">
      <c r="D327" s="395"/>
      <c r="E327" s="395"/>
    </row>
    <row r="328" spans="3:11">
      <c r="C328" s="60" t="s">
        <v>76</v>
      </c>
      <c r="D328" s="61" t="s">
        <v>35</v>
      </c>
      <c r="E328" s="61" t="s">
        <v>36</v>
      </c>
    </row>
    <row r="329" spans="3:11">
      <c r="C329" s="62"/>
      <c r="D329" s="84"/>
      <c r="E329" s="84"/>
    </row>
    <row r="330" spans="3:11">
      <c r="C330" s="62" t="s">
        <v>24</v>
      </c>
      <c r="D330" s="184">
        <f>D320</f>
        <v>79918.872000000003</v>
      </c>
      <c r="E330" s="184">
        <f>D330*$J$361</f>
        <v>88.937093256176269</v>
      </c>
    </row>
    <row r="331" spans="3:11" ht="13.5" thickBot="1">
      <c r="C331" s="63"/>
      <c r="D331" s="185">
        <f>SUM(D329:D330)</f>
        <v>79918.872000000003</v>
      </c>
      <c r="E331" s="185">
        <f>SUM(E329:E330)</f>
        <v>88.937093256176269</v>
      </c>
      <c r="G331" s="273"/>
    </row>
    <row r="332" spans="3:11" ht="13.5" thickBot="1"/>
    <row r="333" spans="3:11">
      <c r="C333" s="60" t="s">
        <v>77</v>
      </c>
      <c r="D333" s="61" t="s">
        <v>35</v>
      </c>
      <c r="E333" s="61" t="s">
        <v>36</v>
      </c>
      <c r="I333" s="276"/>
      <c r="J333" s="276"/>
      <c r="K333" s="276"/>
    </row>
    <row r="334" spans="3:11">
      <c r="C334" s="54" t="s">
        <v>27</v>
      </c>
      <c r="D334" s="181">
        <f>99.65+72.271+76852.729+18105.524+281827.033</f>
        <v>376957.20699999999</v>
      </c>
      <c r="E334" s="184">
        <f>D334*$J308</f>
        <v>378.84199303500003</v>
      </c>
      <c r="I334" s="277"/>
      <c r="J334" s="278"/>
      <c r="K334" s="279"/>
    </row>
    <row r="335" spans="3:11">
      <c r="C335" s="54" t="s">
        <v>28</v>
      </c>
      <c r="D335" s="181">
        <f>279388.507</f>
        <v>279388.50699999998</v>
      </c>
      <c r="E335" s="184">
        <f>D335*$J308</f>
        <v>280.785449535</v>
      </c>
      <c r="I335" s="277"/>
      <c r="J335" s="278"/>
      <c r="K335" s="279"/>
    </row>
    <row r="336" spans="3:11">
      <c r="C336" s="54" t="s">
        <v>29</v>
      </c>
      <c r="D336" s="181">
        <v>0</v>
      </c>
      <c r="E336" s="184">
        <f>D336*$J308</f>
        <v>0</v>
      </c>
      <c r="I336" s="277"/>
      <c r="J336" s="278"/>
      <c r="K336" s="279"/>
    </row>
    <row r="337" spans="3:11">
      <c r="C337" s="54" t="s">
        <v>30</v>
      </c>
      <c r="D337" s="181">
        <v>243237.514</v>
      </c>
      <c r="E337" s="184">
        <f>D337*$J308</f>
        <v>244.45370156999999</v>
      </c>
      <c r="I337" s="277"/>
      <c r="J337" s="278"/>
      <c r="K337" s="279"/>
    </row>
    <row r="338" spans="3:11">
      <c r="C338" s="54" t="s">
        <v>31</v>
      </c>
      <c r="D338" s="181">
        <v>0</v>
      </c>
      <c r="E338" s="184">
        <f>D338*$J308</f>
        <v>0</v>
      </c>
      <c r="I338" s="277"/>
      <c r="J338" s="278"/>
      <c r="K338" s="279"/>
    </row>
    <row r="339" spans="3:11" ht="13.5" thickBot="1">
      <c r="C339" s="54" t="s">
        <v>32</v>
      </c>
      <c r="D339" s="181">
        <v>1110754.9709999999</v>
      </c>
      <c r="E339" s="184">
        <f>D339*$J308</f>
        <v>1116.3087458549999</v>
      </c>
      <c r="I339" s="277"/>
      <c r="J339" s="278"/>
      <c r="K339" s="279"/>
    </row>
    <row r="340" spans="3:11" ht="13.5" thickBot="1">
      <c r="C340" s="186" t="s">
        <v>33</v>
      </c>
      <c r="D340" s="187">
        <f>SUM(D334:D339)</f>
        <v>2010338.1989999998</v>
      </c>
      <c r="E340" s="193">
        <f>SUM(E334:E339)</f>
        <v>2020.389889995</v>
      </c>
      <c r="G340" s="52"/>
      <c r="I340" s="234"/>
      <c r="J340" s="235"/>
      <c r="K340" s="236"/>
    </row>
    <row r="341" spans="3:11" ht="13.5" thickBot="1">
      <c r="D341" s="191"/>
      <c r="J341" s="191"/>
    </row>
    <row r="342" spans="3:11">
      <c r="C342" s="60" t="s">
        <v>78</v>
      </c>
      <c r="D342" s="61" t="s">
        <v>35</v>
      </c>
      <c r="E342" s="61" t="s">
        <v>36</v>
      </c>
      <c r="I342" s="276"/>
      <c r="J342" s="276"/>
      <c r="K342" s="276"/>
    </row>
    <row r="343" spans="3:11">
      <c r="C343" s="54" t="s">
        <v>27</v>
      </c>
      <c r="D343" s="181">
        <v>143981.54999999999</v>
      </c>
      <c r="E343" s="184">
        <f>D343*$J308</f>
        <v>144.70145775</v>
      </c>
      <c r="I343" s="277"/>
      <c r="J343" s="278"/>
      <c r="K343" s="279"/>
    </row>
    <row r="344" spans="3:11">
      <c r="C344" s="54" t="s">
        <v>28</v>
      </c>
      <c r="D344" s="181">
        <v>130503.7</v>
      </c>
      <c r="E344" s="184">
        <f>D344*$J308</f>
        <v>131.15621849999999</v>
      </c>
      <c r="I344" s="277"/>
      <c r="J344" s="278"/>
      <c r="K344" s="279"/>
    </row>
    <row r="345" spans="3:11">
      <c r="C345" s="54" t="s">
        <v>29</v>
      </c>
      <c r="D345" s="181">
        <v>111233.107</v>
      </c>
      <c r="E345" s="184">
        <f>D345*$J308</f>
        <v>111.78927253500001</v>
      </c>
      <c r="I345" s="277"/>
      <c r="J345" s="278"/>
      <c r="K345" s="279"/>
    </row>
    <row r="346" spans="3:11">
      <c r="C346" s="54" t="s">
        <v>30</v>
      </c>
      <c r="D346" s="181">
        <v>95010.546000000002</v>
      </c>
      <c r="E346" s="184">
        <f>D346*$J308</f>
        <v>95.485598730000007</v>
      </c>
      <c r="I346" s="277"/>
      <c r="J346" s="278"/>
      <c r="K346" s="279"/>
    </row>
    <row r="347" spans="3:11">
      <c r="C347" s="54" t="s">
        <v>31</v>
      </c>
      <c r="D347" s="181">
        <v>63594.588000000003</v>
      </c>
      <c r="E347" s="184">
        <f>D347*$J308</f>
        <v>63.912560940000006</v>
      </c>
      <c r="I347" s="277"/>
      <c r="J347" s="278"/>
      <c r="K347" s="279"/>
    </row>
    <row r="348" spans="3:11" ht="13.5" thickBot="1">
      <c r="C348" s="54" t="s">
        <v>32</v>
      </c>
      <c r="D348" s="181">
        <v>137687.13500000001</v>
      </c>
      <c r="E348" s="184">
        <f>D348*$J308</f>
        <v>138.37557067500001</v>
      </c>
      <c r="I348" s="277"/>
      <c r="J348" s="278"/>
      <c r="K348" s="279"/>
    </row>
    <row r="349" spans="3:11" ht="13.5" thickBot="1">
      <c r="C349" s="186" t="s">
        <v>37</v>
      </c>
      <c r="D349" s="187">
        <f>SUM(D343:D348)</f>
        <v>682010.62600000005</v>
      </c>
      <c r="E349" s="187">
        <f>SUM(E343:E348)</f>
        <v>685.42067913000005</v>
      </c>
      <c r="F349" s="245"/>
      <c r="G349" s="52"/>
      <c r="I349" s="234"/>
      <c r="J349" s="235"/>
      <c r="K349" s="235"/>
    </row>
    <row r="350" spans="3:11" ht="13.5" thickBot="1">
      <c r="D350" s="191"/>
      <c r="G350" s="273"/>
      <c r="J350" s="191"/>
    </row>
    <row r="351" spans="3:11">
      <c r="C351" s="60" t="s">
        <v>77</v>
      </c>
      <c r="D351" s="61" t="s">
        <v>35</v>
      </c>
      <c r="E351" s="61" t="s">
        <v>36</v>
      </c>
      <c r="I351" s="276"/>
      <c r="J351" s="276"/>
      <c r="K351" s="276"/>
    </row>
    <row r="352" spans="3:11">
      <c r="C352" s="54" t="s">
        <v>27</v>
      </c>
      <c r="D352" s="104">
        <f t="shared" ref="D352:D357" si="5">+D334+D343</f>
        <v>520938.75699999998</v>
      </c>
      <c r="E352" s="184">
        <f>D352*$J308</f>
        <v>523.543450785</v>
      </c>
      <c r="G352" s="191"/>
      <c r="I352" s="277"/>
      <c r="J352" s="280"/>
      <c r="K352" s="279"/>
    </row>
    <row r="353" spans="2:12">
      <c r="C353" s="54" t="s">
        <v>28</v>
      </c>
      <c r="D353" s="104">
        <f t="shared" si="5"/>
        <v>409892.20699999999</v>
      </c>
      <c r="E353" s="184">
        <f>D353*$J308</f>
        <v>411.94166803500002</v>
      </c>
      <c r="I353" s="277"/>
      <c r="J353" s="280"/>
      <c r="K353" s="279"/>
    </row>
    <row r="354" spans="2:12">
      <c r="C354" s="54" t="s">
        <v>29</v>
      </c>
      <c r="D354" s="104">
        <f t="shared" si="5"/>
        <v>111233.107</v>
      </c>
      <c r="E354" s="184">
        <f>D354*$J308</f>
        <v>111.78927253500001</v>
      </c>
      <c r="I354" s="277"/>
      <c r="J354" s="280"/>
      <c r="K354" s="279"/>
    </row>
    <row r="355" spans="2:12">
      <c r="C355" s="54" t="s">
        <v>30</v>
      </c>
      <c r="D355" s="104">
        <f t="shared" si="5"/>
        <v>338248.06</v>
      </c>
      <c r="E355" s="184">
        <f>D355*$J308</f>
        <v>339.93930030000001</v>
      </c>
      <c r="G355" s="237"/>
      <c r="I355" s="277"/>
      <c r="J355" s="280"/>
      <c r="K355" s="279"/>
    </row>
    <row r="356" spans="2:12">
      <c r="C356" s="54" t="s">
        <v>31</v>
      </c>
      <c r="D356" s="104">
        <f t="shared" si="5"/>
        <v>63594.588000000003</v>
      </c>
      <c r="E356" s="184">
        <f>D356*$J308</f>
        <v>63.912560940000006</v>
      </c>
      <c r="I356" s="277"/>
      <c r="J356" s="280"/>
      <c r="K356" s="279"/>
    </row>
    <row r="357" spans="2:12" ht="13.5" thickBot="1">
      <c r="C357" s="54" t="s">
        <v>32</v>
      </c>
      <c r="D357" s="104">
        <f t="shared" si="5"/>
        <v>1248442.1059999999</v>
      </c>
      <c r="E357" s="184">
        <f>D357*$J308</f>
        <v>1254.6843165299999</v>
      </c>
      <c r="I357" s="277"/>
      <c r="J357" s="280"/>
      <c r="K357" s="279"/>
    </row>
    <row r="358" spans="2:12" ht="13.5" thickBot="1">
      <c r="C358" s="186" t="s">
        <v>38</v>
      </c>
      <c r="D358" s="187">
        <f>SUM(D352:D357)</f>
        <v>2692348.8249999997</v>
      </c>
      <c r="E358" s="193">
        <f>SUM(E352:E357)</f>
        <v>2705.8105691250003</v>
      </c>
      <c r="I358" s="234"/>
      <c r="J358" s="235"/>
      <c r="K358" s="236"/>
    </row>
    <row r="359" spans="2:12">
      <c r="C359" s="234"/>
      <c r="D359" s="235"/>
      <c r="E359" s="236"/>
    </row>
    <row r="360" spans="2:12">
      <c r="C360" s="136" t="s">
        <v>22</v>
      </c>
      <c r="D360" s="274">
        <f>D358-Model!$AZ$121</f>
        <v>0</v>
      </c>
    </row>
    <row r="361" spans="2:12">
      <c r="B361" s="52" t="s">
        <v>79</v>
      </c>
      <c r="I361" s="52" t="s">
        <v>80</v>
      </c>
      <c r="J361" s="179">
        <f>Model!$AY$208</f>
        <v>1.1128421989761851E-3</v>
      </c>
      <c r="K361" s="179"/>
    </row>
    <row r="362" spans="2:12">
      <c r="C362" s="129"/>
      <c r="D362" s="396" t="s">
        <v>81</v>
      </c>
      <c r="E362" s="397"/>
      <c r="F362" s="115" t="s">
        <v>6</v>
      </c>
      <c r="G362" s="115" t="s">
        <v>7</v>
      </c>
      <c r="I362" s="52" t="s">
        <v>82</v>
      </c>
      <c r="J362" s="179">
        <f>AVERAGE(Model!$AU$207:$AY$207)</f>
        <v>1.1030932304390468E-3</v>
      </c>
      <c r="K362" s="179"/>
    </row>
    <row r="363" spans="2:12">
      <c r="C363" s="207"/>
      <c r="D363" s="208" t="s">
        <v>4</v>
      </c>
      <c r="E363" s="209" t="s">
        <v>5</v>
      </c>
      <c r="F363" s="210"/>
      <c r="G363" s="210"/>
      <c r="I363" s="52"/>
    </row>
    <row r="364" spans="2:12">
      <c r="C364" s="207" t="s">
        <v>10</v>
      </c>
      <c r="D364" s="211"/>
      <c r="E364" s="162"/>
      <c r="F364" s="210"/>
      <c r="G364" s="210"/>
      <c r="I364" s="52" t="s">
        <v>8</v>
      </c>
    </row>
    <row r="365" spans="2:12">
      <c r="C365" s="212" t="s">
        <v>51</v>
      </c>
      <c r="D365" s="162">
        <f>Model!$AY$107</f>
        <v>112612.27499999999</v>
      </c>
      <c r="E365" s="162">
        <f>+D365*$J361</f>
        <v>125.31969174271087</v>
      </c>
      <c r="F365" s="210"/>
      <c r="G365" s="210"/>
      <c r="I365" s="129"/>
      <c r="J365" s="396" t="s">
        <v>81</v>
      </c>
      <c r="K365" s="397"/>
      <c r="L365" s="115" t="s">
        <v>67</v>
      </c>
    </row>
    <row r="366" spans="2:12">
      <c r="C366" s="212" t="s">
        <v>52</v>
      </c>
      <c r="D366" s="162">
        <f>Model!$AY$108</f>
        <v>396771.23800000001</v>
      </c>
      <c r="E366" s="162">
        <f>+D366*$J361</f>
        <v>441.54377698642332</v>
      </c>
      <c r="F366" s="210"/>
      <c r="G366" s="210"/>
      <c r="I366" s="223"/>
      <c r="J366" s="224" t="s">
        <v>4</v>
      </c>
      <c r="K366" s="224" t="s">
        <v>5</v>
      </c>
      <c r="L366" s="225"/>
    </row>
    <row r="367" spans="2:12">
      <c r="C367" s="213" t="s">
        <v>53</v>
      </c>
      <c r="D367" s="162">
        <f>Model!$AY$110</f>
        <v>136880.68299999999</v>
      </c>
      <c r="E367" s="162">
        <f>+D367*$J361</f>
        <v>152.32660026708211</v>
      </c>
      <c r="F367" s="210"/>
      <c r="G367" s="210"/>
      <c r="I367" s="214" t="s">
        <v>17</v>
      </c>
      <c r="J367" s="171">
        <f>+J369+J368</f>
        <v>1572067.0970000001</v>
      </c>
      <c r="K367" s="171">
        <f>J367*J361</f>
        <v>1749.4626051635878</v>
      </c>
      <c r="L367" s="216">
        <f>+J367/J372</f>
        <v>1.8952688682868482</v>
      </c>
    </row>
    <row r="368" spans="2:12">
      <c r="C368" s="207" t="s">
        <v>15</v>
      </c>
      <c r="D368" s="162"/>
      <c r="E368" s="162"/>
      <c r="F368" s="210"/>
      <c r="G368" s="210"/>
      <c r="I368" s="217" t="s">
        <v>18</v>
      </c>
      <c r="J368" s="226">
        <f>D373</f>
        <v>219167.09700000001</v>
      </c>
      <c r="K368" s="226">
        <f>K367-K369</f>
        <v>243.898394168707</v>
      </c>
      <c r="L368" s="219"/>
    </row>
    <row r="369" spans="3:12">
      <c r="C369" s="212" t="s">
        <v>51</v>
      </c>
      <c r="D369" s="162">
        <f>Model!$AY$112</f>
        <v>0</v>
      </c>
      <c r="E369" s="162">
        <f>+D369*$J361</f>
        <v>0</v>
      </c>
      <c r="F369" s="210"/>
      <c r="G369" s="210"/>
      <c r="I369" s="214" t="s">
        <v>9</v>
      </c>
      <c r="J369" s="227">
        <v>1352900</v>
      </c>
      <c r="K369" s="171">
        <f>J369*J361</f>
        <v>1505.5642109948808</v>
      </c>
      <c r="L369" s="216">
        <f>+J369/J372</f>
        <v>1.6310431385520416</v>
      </c>
    </row>
    <row r="370" spans="3:12">
      <c r="C370" s="212" t="s">
        <v>52</v>
      </c>
      <c r="D370" s="162">
        <f>Model!$AY$113</f>
        <v>1522911.5919999999</v>
      </c>
      <c r="E370" s="162">
        <f>+D370*$J361</f>
        <v>1694.7602848876027</v>
      </c>
      <c r="F370" s="210"/>
      <c r="G370" s="210"/>
      <c r="I370" s="220" t="s">
        <v>19</v>
      </c>
      <c r="J370" s="228">
        <f>D375</f>
        <v>1735812.2139999999</v>
      </c>
      <c r="K370" s="172">
        <f>+J370*J361</f>
        <v>1931.6850812374803</v>
      </c>
      <c r="L370" s="125"/>
    </row>
    <row r="371" spans="3:12">
      <c r="C371" s="213" t="s">
        <v>54</v>
      </c>
      <c r="D371" s="162">
        <f>Model!$AY$115</f>
        <v>522847.79100000003</v>
      </c>
      <c r="E371" s="162">
        <f>+D371*$J361</f>
        <v>581.84708546628087</v>
      </c>
      <c r="F371" s="210"/>
      <c r="G371" s="210"/>
      <c r="I371" s="220" t="s">
        <v>20</v>
      </c>
      <c r="J371" s="228">
        <f>J367+J370</f>
        <v>3307879.3109999998</v>
      </c>
      <c r="K371" s="228">
        <f>K367+K370</f>
        <v>3681.1476864010683</v>
      </c>
      <c r="L371" s="125"/>
    </row>
    <row r="372" spans="3:12">
      <c r="C372" s="214" t="s">
        <v>17</v>
      </c>
      <c r="D372" s="215">
        <f>SUM(D365:D371)</f>
        <v>2692023.5789999999</v>
      </c>
      <c r="E372" s="107">
        <f>SUM(E365:E371)</f>
        <v>2995.7974393500999</v>
      </c>
      <c r="F372" s="216">
        <f>+D372/D377</f>
        <v>3.2454775573569812</v>
      </c>
      <c r="G372" s="216">
        <f>+E372/E377</f>
        <v>3.274160589508369</v>
      </c>
      <c r="I372" s="222" t="s">
        <v>68</v>
      </c>
      <c r="J372" s="170">
        <f>D377</f>
        <v>829469.17099999997</v>
      </c>
      <c r="K372" s="170"/>
      <c r="L372" s="128"/>
    </row>
    <row r="373" spans="3:12">
      <c r="C373" s="217" t="s">
        <v>18</v>
      </c>
      <c r="D373" s="162">
        <f>Model!$AY$118</f>
        <v>219167.09700000001</v>
      </c>
      <c r="E373" s="162">
        <f>+D373*$J361</f>
        <v>243.89839416870686</v>
      </c>
      <c r="F373" s="219"/>
      <c r="G373" s="219"/>
    </row>
    <row r="374" spans="3:12">
      <c r="C374" s="214" t="s">
        <v>9</v>
      </c>
      <c r="D374" s="215">
        <f>+D372-D373</f>
        <v>2472856.4819999998</v>
      </c>
      <c r="E374" s="107">
        <f>+E372-E373</f>
        <v>2751.8990451813929</v>
      </c>
      <c r="F374" s="275">
        <f>+D374/D377</f>
        <v>2.9812518276221742</v>
      </c>
      <c r="G374" s="216">
        <f>+E374/E377</f>
        <v>3.0075996733588459</v>
      </c>
      <c r="J374" s="196"/>
    </row>
    <row r="375" spans="3:12">
      <c r="C375" s="220" t="s">
        <v>19</v>
      </c>
      <c r="D375" s="221">
        <f>Model!$AY$125</f>
        <v>1735812.2139999999</v>
      </c>
      <c r="E375" s="162">
        <f>+D375*$J361</f>
        <v>1931.6850812374803</v>
      </c>
      <c r="F375" s="125"/>
      <c r="G375" s="125"/>
    </row>
    <row r="376" spans="3:12">
      <c r="C376" s="214" t="s">
        <v>20</v>
      </c>
      <c r="D376" s="215">
        <f>D372+D375</f>
        <v>4427835.7929999996</v>
      </c>
      <c r="E376" s="107">
        <f>E372+E375</f>
        <v>4927.4825205875804</v>
      </c>
      <c r="F376" s="216">
        <f>D376/D377</f>
        <v>5.3381559529956295</v>
      </c>
      <c r="G376" s="216">
        <f>E376/E377</f>
        <v>5.3853337553753784</v>
      </c>
    </row>
    <row r="377" spans="3:12">
      <c r="C377" s="222" t="s">
        <v>21</v>
      </c>
      <c r="D377" s="126">
        <f>Model!$AY$84</f>
        <v>829469.17099999997</v>
      </c>
      <c r="E377" s="241">
        <f>+D377*J362</f>
        <v>914.98182738798812</v>
      </c>
      <c r="F377" s="128"/>
      <c r="G377" s="128"/>
    </row>
    <row r="379" spans="3:12">
      <c r="C379" s="136" t="s">
        <v>22</v>
      </c>
      <c r="D379" s="137">
        <f>D372-Model!$AY$121</f>
        <v>0</v>
      </c>
      <c r="E379" s="138"/>
    </row>
    <row r="380" spans="3:12" ht="13.5" thickBot="1">
      <c r="D380" s="395"/>
      <c r="E380" s="395"/>
    </row>
    <row r="381" spans="3:12">
      <c r="C381" s="60" t="s">
        <v>83</v>
      </c>
      <c r="D381" s="61" t="s">
        <v>35</v>
      </c>
      <c r="E381" s="61" t="s">
        <v>36</v>
      </c>
    </row>
    <row r="382" spans="3:12">
      <c r="C382" s="62"/>
      <c r="D382" s="84"/>
      <c r="E382" s="84"/>
    </row>
    <row r="383" spans="3:12">
      <c r="C383" s="62" t="s">
        <v>24</v>
      </c>
      <c r="D383" s="184">
        <f>D373</f>
        <v>219167.09700000001</v>
      </c>
      <c r="E383" s="184">
        <f>D383*$J$361</f>
        <v>243.89839416870686</v>
      </c>
    </row>
    <row r="384" spans="3:12" ht="13.5" thickBot="1">
      <c r="C384" s="63"/>
      <c r="D384" s="185">
        <f>SUM(D382:D383)</f>
        <v>219167.09700000001</v>
      </c>
      <c r="E384" s="185">
        <f>SUM(E382:E383)</f>
        <v>243.89839416870686</v>
      </c>
      <c r="G384" s="273"/>
    </row>
    <row r="385" spans="3:5" ht="13.5" thickBot="1"/>
    <row r="386" spans="3:5">
      <c r="C386" s="60" t="s">
        <v>84</v>
      </c>
      <c r="D386" s="61" t="s">
        <v>35</v>
      </c>
      <c r="E386" s="61" t="s">
        <v>36</v>
      </c>
    </row>
    <row r="387" spans="3:5">
      <c r="C387" s="54" t="s">
        <v>27</v>
      </c>
      <c r="D387" s="181">
        <f>76776.877+35835.398+140029.247+256741.991</f>
        <v>509383.51300000004</v>
      </c>
      <c r="E387" s="184">
        <f>D387*$J361</f>
        <v>566.86346872913418</v>
      </c>
    </row>
    <row r="388" spans="3:5">
      <c r="C388" s="54" t="s">
        <v>28</v>
      </c>
      <c r="D388" s="181">
        <f>0+251619.872</f>
        <v>251619.872</v>
      </c>
      <c r="E388" s="184">
        <f>D388*$J361</f>
        <v>280.01321166258623</v>
      </c>
    </row>
    <row r="389" spans="3:5">
      <c r="C389" s="54" t="s">
        <v>29</v>
      </c>
      <c r="D389" s="181">
        <v>0</v>
      </c>
      <c r="E389" s="184">
        <f>D389*$J361</f>
        <v>0</v>
      </c>
    </row>
    <row r="390" spans="3:5">
      <c r="C390" s="54" t="s">
        <v>30</v>
      </c>
      <c r="D390" s="181">
        <v>0</v>
      </c>
      <c r="E390" s="184">
        <f>D390*$J361</f>
        <v>0</v>
      </c>
    </row>
    <row r="391" spans="3:5">
      <c r="C391" s="54" t="s">
        <v>31</v>
      </c>
      <c r="D391" s="181">
        <v>240846.802</v>
      </c>
      <c r="E391" s="184">
        <f>D391*$J361</f>
        <v>268.02448475406186</v>
      </c>
    </row>
    <row r="392" spans="3:5" ht="13.5" thickBot="1">
      <c r="C392" s="54" t="s">
        <v>32</v>
      </c>
      <c r="D392" s="181">
        <v>1030444.9179999999</v>
      </c>
      <c r="E392" s="184">
        <f>D392*$J361</f>
        <v>1146.7225884709546</v>
      </c>
    </row>
    <row r="393" spans="3:5" ht="13.5" thickBot="1">
      <c r="C393" s="186" t="s">
        <v>33</v>
      </c>
      <c r="D393" s="187">
        <f>SUM(D387:D392)</f>
        <v>2032295.105</v>
      </c>
      <c r="E393" s="193">
        <f>SUM(E387:E392)</f>
        <v>2261.6237536167368</v>
      </c>
    </row>
    <row r="394" spans="3:5" ht="13.5" thickBot="1">
      <c r="D394" s="191"/>
    </row>
    <row r="395" spans="3:5">
      <c r="C395" s="60" t="s">
        <v>85</v>
      </c>
      <c r="D395" s="61" t="s">
        <v>35</v>
      </c>
      <c r="E395" s="61" t="s">
        <v>36</v>
      </c>
    </row>
    <row r="396" spans="3:5">
      <c r="C396" s="54" t="s">
        <v>27</v>
      </c>
      <c r="D396" s="181">
        <v>136880.68299999999</v>
      </c>
      <c r="E396" s="184">
        <f>D396*$J361</f>
        <v>152.32660026708211</v>
      </c>
    </row>
    <row r="397" spans="3:5">
      <c r="C397" s="54" t="s">
        <v>28</v>
      </c>
      <c r="D397" s="181">
        <v>123742.46</v>
      </c>
      <c r="E397" s="184">
        <f>D397*$J361</f>
        <v>137.70583129312263</v>
      </c>
    </row>
    <row r="398" spans="3:5">
      <c r="C398" s="54" t="s">
        <v>29</v>
      </c>
      <c r="D398" s="181">
        <v>110896.00199999999</v>
      </c>
      <c r="E398" s="184">
        <f>D398*$J361</f>
        <v>123.40975072334741</v>
      </c>
    </row>
    <row r="399" spans="3:5">
      <c r="C399" s="54" t="s">
        <v>30</v>
      </c>
      <c r="D399" s="181">
        <v>90009.157999999996</v>
      </c>
      <c r="E399" s="184">
        <f>D399*$J361</f>
        <v>100.16598931671487</v>
      </c>
    </row>
    <row r="400" spans="3:5">
      <c r="C400" s="54" t="s">
        <v>31</v>
      </c>
      <c r="D400" s="181">
        <v>63101.737999999998</v>
      </c>
      <c r="E400" s="184">
        <f>D400*$J361</f>
        <v>70.222276875139102</v>
      </c>
    </row>
    <row r="401" spans="2:11" ht="13.5" thickBot="1">
      <c r="C401" s="54" t="s">
        <v>32</v>
      </c>
      <c r="D401" s="181">
        <f>135008.433+90</f>
        <v>135098.43299999999</v>
      </c>
      <c r="E401" s="184">
        <f>D401*$J361</f>
        <v>150.34323725795679</v>
      </c>
    </row>
    <row r="402" spans="2:11" ht="13.5" thickBot="1">
      <c r="C402" s="186" t="s">
        <v>37</v>
      </c>
      <c r="D402" s="187">
        <f>SUM(D396:D401)</f>
        <v>659728.47399999993</v>
      </c>
      <c r="E402" s="187">
        <f>SUM(E396:E401)</f>
        <v>734.17368573336284</v>
      </c>
      <c r="F402" s="245"/>
    </row>
    <row r="403" spans="2:11" ht="13.5" thickBot="1">
      <c r="D403" s="191"/>
      <c r="G403" s="273"/>
    </row>
    <row r="404" spans="2:11">
      <c r="C404" s="60" t="s">
        <v>84</v>
      </c>
      <c r="D404" s="61" t="s">
        <v>35</v>
      </c>
      <c r="E404" s="61" t="s">
        <v>36</v>
      </c>
    </row>
    <row r="405" spans="2:11">
      <c r="C405" s="54" t="s">
        <v>27</v>
      </c>
      <c r="D405" s="104">
        <f t="shared" ref="D405:D410" si="6">+D387+D396</f>
        <v>646264.196</v>
      </c>
      <c r="E405" s="184">
        <f>D405*$J361</f>
        <v>719.19006899621627</v>
      </c>
    </row>
    <row r="406" spans="2:11">
      <c r="C406" s="54" t="s">
        <v>28</v>
      </c>
      <c r="D406" s="104">
        <f t="shared" si="6"/>
        <v>375362.33199999999</v>
      </c>
      <c r="E406" s="184">
        <f>D406*$J361</f>
        <v>417.71904295570886</v>
      </c>
    </row>
    <row r="407" spans="2:11">
      <c r="C407" s="54" t="s">
        <v>29</v>
      </c>
      <c r="D407" s="104">
        <f t="shared" si="6"/>
        <v>110896.00199999999</v>
      </c>
      <c r="E407" s="184">
        <f>D407*$J361</f>
        <v>123.40975072334741</v>
      </c>
    </row>
    <row r="408" spans="2:11">
      <c r="C408" s="54" t="s">
        <v>30</v>
      </c>
      <c r="D408" s="104">
        <f t="shared" si="6"/>
        <v>90009.157999999996</v>
      </c>
      <c r="E408" s="184">
        <f>D408*$J361</f>
        <v>100.16598931671487</v>
      </c>
      <c r="G408" s="237"/>
    </row>
    <row r="409" spans="2:11">
      <c r="C409" s="54" t="s">
        <v>31</v>
      </c>
      <c r="D409" s="104">
        <f t="shared" si="6"/>
        <v>303948.53999999998</v>
      </c>
      <c r="E409" s="184">
        <f>D409*$J361</f>
        <v>338.24676162920093</v>
      </c>
    </row>
    <row r="410" spans="2:11" ht="13.5" thickBot="1">
      <c r="C410" s="54" t="s">
        <v>32</v>
      </c>
      <c r="D410" s="104">
        <f t="shared" si="6"/>
        <v>1165543.351</v>
      </c>
      <c r="E410" s="184">
        <f>D410*$J361</f>
        <v>1297.0658257289115</v>
      </c>
    </row>
    <row r="411" spans="2:11" ht="13.5" thickBot="1">
      <c r="C411" s="186" t="s">
        <v>38</v>
      </c>
      <c r="D411" s="187">
        <f>SUM(D405:D410)</f>
        <v>2692023.5789999999</v>
      </c>
      <c r="E411" s="193">
        <f>SUM(E405:E410)</f>
        <v>2995.7974393500995</v>
      </c>
    </row>
    <row r="412" spans="2:11">
      <c r="C412" s="234"/>
      <c r="D412" s="235"/>
      <c r="E412" s="236"/>
    </row>
    <row r="413" spans="2:11">
      <c r="C413" s="136" t="s">
        <v>22</v>
      </c>
      <c r="D413" s="274">
        <f>D411-Model!$AY$121</f>
        <v>0</v>
      </c>
    </row>
    <row r="415" spans="2:11">
      <c r="B415" s="52" t="s">
        <v>86</v>
      </c>
      <c r="I415" s="52" t="s">
        <v>87</v>
      </c>
      <c r="J415" s="179">
        <f>Model!$AX$208</f>
        <v>1.06332075070445E-3</v>
      </c>
      <c r="K415" s="179"/>
    </row>
    <row r="416" spans="2:11">
      <c r="C416" s="129"/>
      <c r="D416" s="396" t="s">
        <v>88</v>
      </c>
      <c r="E416" s="397"/>
      <c r="F416" s="115" t="s">
        <v>6</v>
      </c>
      <c r="G416" s="115" t="s">
        <v>7</v>
      </c>
      <c r="I416" s="52" t="s">
        <v>89</v>
      </c>
      <c r="J416" s="179">
        <f>AVERAGE(Model!$AT$207:$AX$207)</f>
        <v>1.1381649004565716E-3</v>
      </c>
      <c r="K416" s="179"/>
    </row>
    <row r="417" spans="3:12">
      <c r="C417" s="207"/>
      <c r="D417" s="208" t="s">
        <v>4</v>
      </c>
      <c r="E417" s="209" t="s">
        <v>5</v>
      </c>
      <c r="F417" s="210"/>
      <c r="G417" s="210"/>
      <c r="I417" s="52"/>
    </row>
    <row r="418" spans="3:12">
      <c r="C418" s="207" t="s">
        <v>10</v>
      </c>
      <c r="D418" s="211"/>
      <c r="E418" s="162"/>
      <c r="F418" s="210"/>
      <c r="G418" s="210"/>
      <c r="I418" s="52" t="s">
        <v>8</v>
      </c>
    </row>
    <row r="419" spans="3:12">
      <c r="C419" s="212" t="s">
        <v>51</v>
      </c>
      <c r="D419" s="162">
        <f>Model!$AX$107</f>
        <v>122030.213</v>
      </c>
      <c r="E419" s="162">
        <f>+D419*$J415</f>
        <v>129.75725769578392</v>
      </c>
      <c r="F419" s="210"/>
      <c r="G419" s="210"/>
      <c r="I419" s="129"/>
      <c r="J419" s="396" t="s">
        <v>88</v>
      </c>
      <c r="K419" s="397"/>
      <c r="L419" s="115" t="s">
        <v>67</v>
      </c>
    </row>
    <row r="420" spans="3:12">
      <c r="C420" s="212" t="s">
        <v>52</v>
      </c>
      <c r="D420" s="162">
        <f>Model!$AX$108</f>
        <v>158205.64600000001</v>
      </c>
      <c r="E420" s="162">
        <f>+D420*$J415</f>
        <v>168.22334627040246</v>
      </c>
      <c r="F420" s="210"/>
      <c r="G420" s="210"/>
      <c r="I420" s="223"/>
      <c r="J420" s="224" t="s">
        <v>4</v>
      </c>
      <c r="K420" s="224" t="s">
        <v>5</v>
      </c>
      <c r="L420" s="225"/>
    </row>
    <row r="421" spans="3:12">
      <c r="C421" s="213" t="s">
        <v>53</v>
      </c>
      <c r="D421" s="162">
        <f>Model!$AX$110</f>
        <v>132432.212</v>
      </c>
      <c r="E421" s="162">
        <f>+D421*$J415</f>
        <v>140.81791908129085</v>
      </c>
      <c r="F421" s="210"/>
      <c r="G421" s="210"/>
      <c r="I421" s="214" t="s">
        <v>17</v>
      </c>
      <c r="J421" s="171">
        <f>+J423+J422</f>
        <v>1425263.977</v>
      </c>
      <c r="K421" s="171">
        <f>J421*J415</f>
        <v>1515.5127619756499</v>
      </c>
      <c r="L421" s="216">
        <f>+J421/J426</f>
        <v>1.7277745429524727</v>
      </c>
    </row>
    <row r="422" spans="3:12">
      <c r="C422" s="207" t="s">
        <v>15</v>
      </c>
      <c r="D422" s="162"/>
      <c r="E422" s="162"/>
      <c r="F422" s="210"/>
      <c r="G422" s="210"/>
      <c r="I422" s="217" t="s">
        <v>18</v>
      </c>
      <c r="J422" s="226">
        <f>D427</f>
        <v>87463.976999999999</v>
      </c>
      <c r="K422" s="226">
        <f>K421-K423</f>
        <v>93.002261683236839</v>
      </c>
      <c r="L422" s="219"/>
    </row>
    <row r="423" spans="3:12">
      <c r="C423" s="212" t="s">
        <v>51</v>
      </c>
      <c r="D423" s="162">
        <f>Model!$AX$112</f>
        <v>0</v>
      </c>
      <c r="E423" s="162">
        <f>+D423*$J415</f>
        <v>0</v>
      </c>
      <c r="F423" s="210"/>
      <c r="G423" s="210"/>
      <c r="I423" s="214" t="s">
        <v>9</v>
      </c>
      <c r="J423" s="227">
        <v>1337800</v>
      </c>
      <c r="K423" s="171">
        <f>J423*J415</f>
        <v>1422.5105002924131</v>
      </c>
      <c r="L423" s="216">
        <f>+J423/J426</f>
        <v>1.6217464419658296</v>
      </c>
    </row>
    <row r="424" spans="3:12">
      <c r="C424" s="212" t="s">
        <v>52</v>
      </c>
      <c r="D424" s="162">
        <f>Model!$AX$113</f>
        <v>1830526.5889999999</v>
      </c>
      <c r="E424" s="162">
        <f>+D424*$J415</f>
        <v>1946.436906799936</v>
      </c>
      <c r="F424" s="210"/>
      <c r="G424" s="210"/>
      <c r="I424" s="220" t="s">
        <v>19</v>
      </c>
      <c r="J424" s="228">
        <f>D429</f>
        <v>1703658.8289999999</v>
      </c>
      <c r="K424" s="172">
        <f>+J424*J415</f>
        <v>1811.535784996544</v>
      </c>
      <c r="L424" s="125"/>
    </row>
    <row r="425" spans="3:12">
      <c r="C425" s="213" t="s">
        <v>54</v>
      </c>
      <c r="D425" s="162">
        <f>Model!$AX$115</f>
        <v>517023.26799999998</v>
      </c>
      <c r="E425" s="162">
        <f>+D425*$J415</f>
        <v>549.76156946142805</v>
      </c>
      <c r="F425" s="210"/>
      <c r="G425" s="210"/>
      <c r="I425" s="220" t="s">
        <v>20</v>
      </c>
      <c r="J425" s="228">
        <f>J421+J424</f>
        <v>3128922.8059999999</v>
      </c>
      <c r="K425" s="228">
        <f>K421+K424</f>
        <v>3327.0485469721939</v>
      </c>
      <c r="L425" s="125"/>
    </row>
    <row r="426" spans="3:12">
      <c r="C426" s="214" t="s">
        <v>17</v>
      </c>
      <c r="D426" s="215">
        <f>SUM(D419:D425)</f>
        <v>2760217.9280000003</v>
      </c>
      <c r="E426" s="107">
        <f>SUM(E419:E425)</f>
        <v>2934.9969993088416</v>
      </c>
      <c r="F426" s="216">
        <f>+D426/D431</f>
        <v>3.3460708654390006</v>
      </c>
      <c r="G426" s="216">
        <f>+E426/E431</f>
        <v>3.1260378730020815</v>
      </c>
      <c r="I426" s="222" t="s">
        <v>68</v>
      </c>
      <c r="J426" s="170">
        <f>D431</f>
        <v>824913.17099999997</v>
      </c>
      <c r="K426" s="170"/>
      <c r="L426" s="128"/>
    </row>
    <row r="427" spans="3:12">
      <c r="C427" s="217" t="s">
        <v>18</v>
      </c>
      <c r="D427" s="162">
        <f>Model!$AX$118</f>
        <v>87463.976999999999</v>
      </c>
      <c r="E427" s="162">
        <f>+D427*$J415</f>
        <v>93.002261683236739</v>
      </c>
      <c r="F427" s="219"/>
      <c r="G427" s="219"/>
    </row>
    <row r="428" spans="3:12">
      <c r="C428" s="214" t="s">
        <v>9</v>
      </c>
      <c r="D428" s="215">
        <f>+D426-D427</f>
        <v>2672753.9510000004</v>
      </c>
      <c r="E428" s="107">
        <f>+E426-E427</f>
        <v>2841.994737625605</v>
      </c>
      <c r="F428" s="216">
        <f>+D428/D431</f>
        <v>3.2400427644523577</v>
      </c>
      <c r="G428" s="216">
        <f>+E428/E431</f>
        <v>3.0269820332976076</v>
      </c>
      <c r="J428" s="196"/>
    </row>
    <row r="429" spans="3:12">
      <c r="C429" s="220" t="s">
        <v>19</v>
      </c>
      <c r="D429" s="221">
        <f>Model!$AX$125</f>
        <v>1703658.8289999999</v>
      </c>
      <c r="E429" s="162">
        <f>+D429*$J415</f>
        <v>1811.535784996544</v>
      </c>
      <c r="F429" s="125"/>
      <c r="G429" s="125"/>
    </row>
    <row r="430" spans="3:12">
      <c r="C430" s="214" t="s">
        <v>20</v>
      </c>
      <c r="D430" s="215">
        <f>D426+D429</f>
        <v>4463876.7570000002</v>
      </c>
      <c r="E430" s="107">
        <f>E426+E429</f>
        <v>4746.5327843053856</v>
      </c>
      <c r="F430" s="216">
        <f>D430/D431</f>
        <v>5.4113292330981588</v>
      </c>
      <c r="G430" s="216">
        <f>E430/E431</f>
        <v>5.0554877066923058</v>
      </c>
    </row>
    <row r="431" spans="3:12">
      <c r="C431" s="222" t="s">
        <v>21</v>
      </c>
      <c r="D431" s="126">
        <f>Model!$AX$84</f>
        <v>824913.17099999997</v>
      </c>
      <c r="E431" s="241">
        <f>+D431*J416</f>
        <v>938.8872171565298</v>
      </c>
      <c r="F431" s="128"/>
      <c r="G431" s="128"/>
    </row>
    <row r="433" spans="3:7">
      <c r="C433" s="136" t="s">
        <v>22</v>
      </c>
      <c r="D433" s="137">
        <f>D426-Model!$AX$121</f>
        <v>0</v>
      </c>
      <c r="E433" s="138"/>
    </row>
    <row r="434" spans="3:7" ht="13.5" thickBot="1">
      <c r="D434" s="395"/>
      <c r="E434" s="395"/>
    </row>
    <row r="435" spans="3:7">
      <c r="C435" s="60" t="s">
        <v>90</v>
      </c>
      <c r="D435" s="61" t="s">
        <v>35</v>
      </c>
      <c r="E435" s="61" t="s">
        <v>36</v>
      </c>
    </row>
    <row r="436" spans="3:7">
      <c r="C436" s="62"/>
      <c r="D436" s="84"/>
      <c r="E436" s="84"/>
    </row>
    <row r="437" spans="3:7">
      <c r="C437" s="62" t="s">
        <v>24</v>
      </c>
      <c r="D437" s="184">
        <f>D427</f>
        <v>87463.976999999999</v>
      </c>
      <c r="E437" s="184">
        <f>D437*$J$471</f>
        <v>89.342857288783108</v>
      </c>
    </row>
    <row r="438" spans="3:7" ht="13.5" thickBot="1">
      <c r="C438" s="63"/>
      <c r="D438" s="185">
        <f>SUM(D436:D437)</f>
        <v>87463.976999999999</v>
      </c>
      <c r="E438" s="185">
        <f>SUM(E436:E437)</f>
        <v>89.342857288783108</v>
      </c>
      <c r="G438" s="273"/>
    </row>
    <row r="439" spans="3:7" ht="13.5" thickBot="1"/>
    <row r="440" spans="3:7">
      <c r="C440" s="60" t="s">
        <v>91</v>
      </c>
      <c r="D440" s="61" t="s">
        <v>35</v>
      </c>
      <c r="E440" s="61" t="s">
        <v>36</v>
      </c>
    </row>
    <row r="441" spans="3:7">
      <c r="C441" s="54" t="s">
        <v>27</v>
      </c>
      <c r="D441" s="181">
        <f>497.581+121532.632+17214.969+140990.677</f>
        <v>280235.859</v>
      </c>
      <c r="E441" s="184">
        <f>D441*$J415</f>
        <v>297.98060396618638</v>
      </c>
    </row>
    <row r="442" spans="3:7">
      <c r="C442" s="54" t="s">
        <v>28</v>
      </c>
      <c r="D442" s="181">
        <f>0+264926.521</f>
        <v>264926.52100000001</v>
      </c>
      <c r="E442" s="184">
        <f>D442*$J415</f>
        <v>281.70186719123825</v>
      </c>
    </row>
    <row r="443" spans="3:7">
      <c r="C443" s="54" t="s">
        <v>29</v>
      </c>
      <c r="D443" s="181">
        <v>264635.946</v>
      </c>
      <c r="E443" s="184">
        <f>D443*$J415</f>
        <v>281.39289276410227</v>
      </c>
    </row>
    <row r="444" spans="3:7">
      <c r="C444" s="54" t="s">
        <v>30</v>
      </c>
      <c r="D444" s="181">
        <v>0</v>
      </c>
      <c r="E444" s="184">
        <f>D444*$J415</f>
        <v>0</v>
      </c>
    </row>
    <row r="445" spans="3:7">
      <c r="C445" s="54" t="s">
        <v>31</v>
      </c>
      <c r="D445" s="181">
        <v>239491.64</v>
      </c>
      <c r="E445" s="184">
        <f>D445*$J415</f>
        <v>254.65643043223989</v>
      </c>
    </row>
    <row r="446" spans="3:7" ht="13.5" thickBot="1">
      <c r="C446" s="54" t="s">
        <v>32</v>
      </c>
      <c r="D446" s="181">
        <v>1061472.4820000001</v>
      </c>
      <c r="E446" s="184">
        <f>D446*$J415</f>
        <v>1128.6857164123558</v>
      </c>
    </row>
    <row r="447" spans="3:7" ht="13.5" thickBot="1">
      <c r="C447" s="186" t="s">
        <v>33</v>
      </c>
      <c r="D447" s="187">
        <f>SUM(D441:D446)</f>
        <v>2110762.4479999999</v>
      </c>
      <c r="E447" s="193">
        <f>SUM(E441:E446)</f>
        <v>2244.4175107661226</v>
      </c>
    </row>
    <row r="448" spans="3:7" ht="13.5" thickBot="1">
      <c r="D448" s="191"/>
    </row>
    <row r="449" spans="3:7">
      <c r="C449" s="60" t="s">
        <v>92</v>
      </c>
      <c r="D449" s="61" t="s">
        <v>35</v>
      </c>
      <c r="E449" s="61" t="s">
        <v>36</v>
      </c>
    </row>
    <row r="450" spans="3:7">
      <c r="C450" s="54" t="s">
        <v>27</v>
      </c>
      <c r="D450" s="181">
        <v>132432.212</v>
      </c>
      <c r="E450" s="184">
        <f>D450*$J415</f>
        <v>140.81791908129085</v>
      </c>
    </row>
    <row r="451" spans="3:7">
      <c r="C451" s="54" t="s">
        <v>28</v>
      </c>
      <c r="D451" s="181">
        <v>119392.66099999999</v>
      </c>
      <c r="E451" s="184">
        <f>D451*$J415</f>
        <v>126.9526939231219</v>
      </c>
    </row>
    <row r="452" spans="3:7">
      <c r="C452" s="54" t="s">
        <v>29</v>
      </c>
      <c r="D452" s="181">
        <v>106578.68399999999</v>
      </c>
      <c r="E452" s="184">
        <f>D452*$J415</f>
        <v>113.32732627997234</v>
      </c>
    </row>
    <row r="453" spans="3:7">
      <c r="C453" s="54" t="s">
        <v>30</v>
      </c>
      <c r="D453" s="181">
        <v>88661.846000000005</v>
      </c>
      <c r="E453" s="184">
        <f>D453*$J415</f>
        <v>94.275980647562335</v>
      </c>
    </row>
    <row r="454" spans="3:7">
      <c r="C454" s="54" t="s">
        <v>31</v>
      </c>
      <c r="D454" s="181">
        <v>64085.093999999997</v>
      </c>
      <c r="E454" s="184">
        <f>D454*$J415</f>
        <v>68.143010261045234</v>
      </c>
    </row>
    <row r="455" spans="3:7" ht="13.5" thickBot="1">
      <c r="C455" s="54" t="s">
        <v>32</v>
      </c>
      <c r="D455" s="181">
        <v>138304.98300000001</v>
      </c>
      <c r="E455" s="184">
        <f>D455*$J415</f>
        <v>147.0625583497262</v>
      </c>
    </row>
    <row r="456" spans="3:7" ht="13.5" thickBot="1">
      <c r="C456" s="186" t="s">
        <v>37</v>
      </c>
      <c r="D456" s="187">
        <f>SUM(D450:D455)</f>
        <v>649455.48</v>
      </c>
      <c r="E456" s="187">
        <f>SUM(E450:E455)</f>
        <v>690.57948854271899</v>
      </c>
      <c r="F456" s="245"/>
    </row>
    <row r="457" spans="3:7" ht="13.5" thickBot="1">
      <c r="D457" s="191"/>
    </row>
    <row r="458" spans="3:7">
      <c r="C458" s="60" t="s">
        <v>91</v>
      </c>
      <c r="D458" s="61" t="s">
        <v>35</v>
      </c>
      <c r="E458" s="61" t="s">
        <v>36</v>
      </c>
    </row>
    <row r="459" spans="3:7">
      <c r="C459" s="54" t="s">
        <v>27</v>
      </c>
      <c r="D459" s="104">
        <f t="shared" ref="D459:D464" si="7">+D441+D450</f>
        <v>412668.071</v>
      </c>
      <c r="E459" s="184">
        <f>D459*$J415</f>
        <v>438.79852304747726</v>
      </c>
    </row>
    <row r="460" spans="3:7">
      <c r="C460" s="54" t="s">
        <v>28</v>
      </c>
      <c r="D460" s="104">
        <f t="shared" si="7"/>
        <v>384319.18200000003</v>
      </c>
      <c r="E460" s="184">
        <f>D460*$J415</f>
        <v>408.65456111436015</v>
      </c>
    </row>
    <row r="461" spans="3:7">
      <c r="C461" s="54" t="s">
        <v>29</v>
      </c>
      <c r="D461" s="104">
        <f t="shared" si="7"/>
        <v>371214.63</v>
      </c>
      <c r="E461" s="184">
        <f>D461*$J415</f>
        <v>394.72021904407467</v>
      </c>
    </row>
    <row r="462" spans="3:7">
      <c r="C462" s="54" t="s">
        <v>30</v>
      </c>
      <c r="D462" s="104">
        <f t="shared" si="7"/>
        <v>88661.846000000005</v>
      </c>
      <c r="E462" s="184">
        <f>D462*$J415</f>
        <v>94.275980647562335</v>
      </c>
      <c r="G462" s="237"/>
    </row>
    <row r="463" spans="3:7">
      <c r="C463" s="54" t="s">
        <v>31</v>
      </c>
      <c r="D463" s="104">
        <f t="shared" si="7"/>
        <v>303576.734</v>
      </c>
      <c r="E463" s="184">
        <f>D463*$J415</f>
        <v>322.79944069328513</v>
      </c>
    </row>
    <row r="464" spans="3:7" ht="13.5" thickBot="1">
      <c r="C464" s="54" t="s">
        <v>32</v>
      </c>
      <c r="D464" s="104">
        <f t="shared" si="7"/>
        <v>1199777.4650000001</v>
      </c>
      <c r="E464" s="184">
        <f>D464*$J415</f>
        <v>1275.748274762082</v>
      </c>
    </row>
    <row r="465" spans="2:12" ht="13.5" thickBot="1">
      <c r="C465" s="186" t="s">
        <v>38</v>
      </c>
      <c r="D465" s="187">
        <f>SUM(D459:D464)</f>
        <v>2760217.9279999998</v>
      </c>
      <c r="E465" s="193">
        <f>SUM(E459:E464)</f>
        <v>2934.9969993088416</v>
      </c>
    </row>
    <row r="466" spans="2:12">
      <c r="C466" s="234"/>
      <c r="D466" s="235"/>
      <c r="E466" s="236"/>
    </row>
    <row r="467" spans="2:12">
      <c r="C467" s="136" t="s">
        <v>22</v>
      </c>
      <c r="D467" s="137">
        <f>D465-Model!$AX$121</f>
        <v>0</v>
      </c>
    </row>
    <row r="471" spans="2:12">
      <c r="B471" s="52" t="s">
        <v>93</v>
      </c>
      <c r="I471" s="52" t="s">
        <v>94</v>
      </c>
      <c r="J471" s="179">
        <f>Model!$AW$208</f>
        <v>1.0214817614431495E-3</v>
      </c>
      <c r="K471" s="179"/>
    </row>
    <row r="472" spans="2:12">
      <c r="C472" s="129"/>
      <c r="D472" s="396" t="s">
        <v>95</v>
      </c>
      <c r="E472" s="397"/>
      <c r="F472" s="115" t="s">
        <v>6</v>
      </c>
      <c r="G472" s="115" t="s">
        <v>7</v>
      </c>
      <c r="I472" s="52" t="s">
        <v>96</v>
      </c>
      <c r="J472" s="179">
        <f>AVERAGE(Model!$AS$207:$AW$207)</f>
        <v>1.1674679249178664E-3</v>
      </c>
      <c r="K472" s="179"/>
    </row>
    <row r="473" spans="2:12">
      <c r="C473" s="207"/>
      <c r="D473" s="208" t="s">
        <v>4</v>
      </c>
      <c r="E473" s="209" t="s">
        <v>5</v>
      </c>
      <c r="F473" s="210"/>
      <c r="G473" s="210"/>
      <c r="I473" s="52"/>
    </row>
    <row r="474" spans="2:12">
      <c r="C474" s="207" t="s">
        <v>10</v>
      </c>
      <c r="D474" s="211"/>
      <c r="E474" s="162"/>
      <c r="F474" s="210"/>
      <c r="G474" s="210"/>
      <c r="I474" s="52" t="s">
        <v>8</v>
      </c>
    </row>
    <row r="475" spans="2:12">
      <c r="C475" s="212" t="s">
        <v>51</v>
      </c>
      <c r="D475" s="162">
        <f>Model!$AW$107</f>
        <v>128906.264</v>
      </c>
      <c r="E475" s="162">
        <f>+D475*$J471</f>
        <v>131.67539761177565</v>
      </c>
      <c r="F475" s="210"/>
      <c r="G475" s="210"/>
      <c r="I475" s="129"/>
      <c r="J475" s="396" t="s">
        <v>95</v>
      </c>
      <c r="K475" s="397"/>
      <c r="L475" s="115" t="s">
        <v>67</v>
      </c>
    </row>
    <row r="476" spans="2:12">
      <c r="C476" s="212" t="s">
        <v>52</v>
      </c>
      <c r="D476" s="162">
        <f>Model!$AW$108</f>
        <v>157633.90400000001</v>
      </c>
      <c r="E476" s="162">
        <f>+D476*$J471</f>
        <v>161.02015792108034</v>
      </c>
      <c r="F476" s="210"/>
      <c r="G476" s="210"/>
      <c r="I476" s="223"/>
      <c r="J476" s="224" t="s">
        <v>4</v>
      </c>
      <c r="K476" s="224" t="s">
        <v>5</v>
      </c>
      <c r="L476" s="225"/>
    </row>
    <row r="477" spans="2:12">
      <c r="C477" s="213" t="s">
        <v>53</v>
      </c>
      <c r="D477" s="162">
        <f>Model!$AW$110</f>
        <v>126171.946</v>
      </c>
      <c r="E477" s="162">
        <f>+D477*$J471</f>
        <v>128.88234164478993</v>
      </c>
      <c r="F477" s="210"/>
      <c r="G477" s="210"/>
      <c r="I477" s="214" t="s">
        <v>17</v>
      </c>
      <c r="J477" s="171">
        <f>+J479+J478</f>
        <v>1492920.8689999999</v>
      </c>
      <c r="K477" s="171">
        <f>J477*J471</f>
        <v>1524.9914389613573</v>
      </c>
      <c r="L477" s="216">
        <f>+J477/J482</f>
        <v>1.8246200628323195</v>
      </c>
    </row>
    <row r="478" spans="2:12">
      <c r="C478" s="207" t="s">
        <v>15</v>
      </c>
      <c r="D478" s="162"/>
      <c r="E478" s="162"/>
      <c r="F478" s="210"/>
      <c r="G478" s="210"/>
      <c r="I478" s="217" t="s">
        <v>18</v>
      </c>
      <c r="J478" s="226">
        <f>D483</f>
        <v>284520.86900000001</v>
      </c>
      <c r="K478" s="226">
        <f>K477-K479</f>
        <v>290.63287843345552</v>
      </c>
      <c r="L478" s="219"/>
    </row>
    <row r="479" spans="2:12">
      <c r="C479" s="212" t="s">
        <v>51</v>
      </c>
      <c r="D479" s="162">
        <f>Model!$AW$112</f>
        <v>39135.815000000002</v>
      </c>
      <c r="E479" s="162">
        <f>+D479*$J471</f>
        <v>39.976521241713236</v>
      </c>
      <c r="F479" s="210"/>
      <c r="G479" s="210"/>
      <c r="I479" s="214" t="s">
        <v>9</v>
      </c>
      <c r="J479" s="171">
        <v>1208400</v>
      </c>
      <c r="K479" s="171">
        <f>J479*J471</f>
        <v>1234.3585605279018</v>
      </c>
      <c r="L479" s="216">
        <f>+J479/J482</f>
        <v>1.4768839592974936</v>
      </c>
    </row>
    <row r="480" spans="2:12">
      <c r="C480" s="212" t="s">
        <v>52</v>
      </c>
      <c r="D480" s="162">
        <f>Model!$AW$113</f>
        <v>1871673.8030000001</v>
      </c>
      <c r="E480" s="162">
        <f>+D480*$J471</f>
        <v>1911.8806531354385</v>
      </c>
      <c r="F480" s="210"/>
      <c r="G480" s="210"/>
      <c r="I480" s="220" t="s">
        <v>19</v>
      </c>
      <c r="J480" s="228">
        <f>D485</f>
        <v>1807589.6270000001</v>
      </c>
      <c r="K480" s="172">
        <f>+J480*J471</f>
        <v>1846.4198361543256</v>
      </c>
      <c r="L480" s="125"/>
    </row>
    <row r="481" spans="3:12">
      <c r="C481" s="213" t="s">
        <v>54</v>
      </c>
      <c r="D481" s="162">
        <f>Model!$AW$115</f>
        <v>487983.37699999998</v>
      </c>
      <c r="E481" s="162">
        <f>+D481*$J471</f>
        <v>498.46611949293646</v>
      </c>
      <c r="F481" s="210"/>
      <c r="G481" s="210"/>
      <c r="I481" s="220" t="s">
        <v>20</v>
      </c>
      <c r="J481" s="228">
        <f>J477+J480</f>
        <v>3300510.4960000003</v>
      </c>
      <c r="K481" s="228">
        <f>K477+K480</f>
        <v>3371.4112751156827</v>
      </c>
      <c r="L481" s="125"/>
    </row>
    <row r="482" spans="3:12">
      <c r="C482" s="214" t="s">
        <v>17</v>
      </c>
      <c r="D482" s="215">
        <f>SUM(D475:D481)</f>
        <v>2811505.1089999997</v>
      </c>
      <c r="E482" s="107">
        <f>SUM(E475:E481)</f>
        <v>2871.9011910477338</v>
      </c>
      <c r="F482" s="216">
        <f>+D482/D487</f>
        <v>3.4361691467767717</v>
      </c>
      <c r="G482" s="216">
        <f>+E482/E487</f>
        <v>3.0064929731693275</v>
      </c>
      <c r="I482" s="222" t="s">
        <v>68</v>
      </c>
      <c r="J482" s="170">
        <f>D487</f>
        <v>818209.17099999997</v>
      </c>
      <c r="K482" s="170"/>
      <c r="L482" s="128"/>
    </row>
    <row r="483" spans="3:12">
      <c r="C483" s="217" t="s">
        <v>18</v>
      </c>
      <c r="D483" s="162">
        <f>Model!$AW$118</f>
        <v>284520.86900000001</v>
      </c>
      <c r="E483" s="162">
        <f>+D483*$J471</f>
        <v>290.63287843345557</v>
      </c>
      <c r="F483" s="219"/>
      <c r="G483" s="219"/>
    </row>
    <row r="484" spans="3:12">
      <c r="C484" s="214" t="s">
        <v>9</v>
      </c>
      <c r="D484" s="215">
        <f>+D482-D483</f>
        <v>2526984.2399999998</v>
      </c>
      <c r="E484" s="107">
        <f>+E482-E483</f>
        <v>2581.2683126142783</v>
      </c>
      <c r="F484" s="216">
        <f>+D484/D487</f>
        <v>3.0884330432419462</v>
      </c>
      <c r="G484" s="216">
        <f>+E484/E487</f>
        <v>2.702239571448573</v>
      </c>
      <c r="J484" s="196"/>
    </row>
    <row r="485" spans="3:12">
      <c r="C485" s="220" t="s">
        <v>19</v>
      </c>
      <c r="D485" s="221">
        <f>Model!$AW$125</f>
        <v>1807589.6270000001</v>
      </c>
      <c r="E485" s="162">
        <f>+D485*$J471</f>
        <v>1846.4198361543256</v>
      </c>
      <c r="F485" s="125"/>
      <c r="G485" s="125"/>
    </row>
    <row r="486" spans="3:12">
      <c r="C486" s="214" t="s">
        <v>20</v>
      </c>
      <c r="D486" s="215">
        <f>D482+D485</f>
        <v>4619094.7359999996</v>
      </c>
      <c r="E486" s="107">
        <f>E482+E485</f>
        <v>4718.3210272020597</v>
      </c>
      <c r="F486" s="216">
        <f>D486/D487</f>
        <v>5.6453715012197039</v>
      </c>
      <c r="G486" s="216">
        <f>E486/E487</f>
        <v>4.9394453603276132</v>
      </c>
    </row>
    <row r="487" spans="3:12">
      <c r="C487" s="222" t="s">
        <v>21</v>
      </c>
      <c r="D487" s="126">
        <f>Model!$AW$84</f>
        <v>818209.17099999997</v>
      </c>
      <c r="E487" s="241">
        <f>+D487*J472</f>
        <v>955.23296301613766</v>
      </c>
      <c r="F487" s="128"/>
      <c r="G487" s="128"/>
    </row>
    <row r="489" spans="3:12">
      <c r="C489" s="136" t="s">
        <v>22</v>
      </c>
      <c r="D489" s="137">
        <f>D482-Model!$AW$121</f>
        <v>0</v>
      </c>
      <c r="E489" s="138"/>
    </row>
    <row r="490" spans="3:12" ht="13.5" thickBot="1">
      <c r="D490" s="395"/>
      <c r="E490" s="395"/>
    </row>
    <row r="491" spans="3:12">
      <c r="C491" s="60" t="s">
        <v>97</v>
      </c>
      <c r="D491" s="61" t="s">
        <v>35</v>
      </c>
      <c r="E491" s="61" t="s">
        <v>36</v>
      </c>
    </row>
    <row r="492" spans="3:12">
      <c r="C492" s="62"/>
      <c r="D492" s="84"/>
      <c r="E492" s="84"/>
    </row>
    <row r="493" spans="3:12">
      <c r="C493" s="62" t="s">
        <v>24</v>
      </c>
      <c r="D493" s="184">
        <f>D483</f>
        <v>284520.86900000001</v>
      </c>
      <c r="E493" s="184">
        <f>D493*$J$471</f>
        <v>290.63287843345557</v>
      </c>
    </row>
    <row r="494" spans="3:12" ht="13.5" thickBot="1">
      <c r="C494" s="63"/>
      <c r="D494" s="185">
        <f>SUM(D492:D493)</f>
        <v>284520.86900000001</v>
      </c>
      <c r="E494" s="185">
        <f>SUM(E492:E493)</f>
        <v>290.63287843345557</v>
      </c>
      <c r="G494" s="273"/>
    </row>
    <row r="495" spans="3:12" ht="13.5" thickBot="1"/>
    <row r="496" spans="3:12">
      <c r="C496" s="60" t="s">
        <v>98</v>
      </c>
      <c r="D496" s="61" t="s">
        <v>35</v>
      </c>
      <c r="E496" s="61" t="s">
        <v>36</v>
      </c>
    </row>
    <row r="497" spans="3:6">
      <c r="C497" s="54" t="s">
        <v>27</v>
      </c>
      <c r="D497" s="181">
        <f>99239.053+29667.211+9066.226+148567.678</f>
        <v>286540.16800000001</v>
      </c>
      <c r="E497" s="184">
        <f>D497*$J471</f>
        <v>292.69555553285596</v>
      </c>
    </row>
    <row r="498" spans="3:6">
      <c r="C498" s="54" t="s">
        <v>28</v>
      </c>
      <c r="D498" s="181">
        <f>39135.815+275332.851</f>
        <v>314468.66600000003</v>
      </c>
      <c r="E498" s="184">
        <f>D498*$J471</f>
        <v>321.22400686435748</v>
      </c>
    </row>
    <row r="499" spans="3:6">
      <c r="C499" s="54" t="s">
        <v>29</v>
      </c>
      <c r="D499" s="181">
        <v>275030.77799999999</v>
      </c>
      <c r="E499" s="184">
        <f>D499*$J471</f>
        <v>280.93892356251979</v>
      </c>
    </row>
    <row r="500" spans="3:6">
      <c r="C500" s="54" t="s">
        <v>30</v>
      </c>
      <c r="D500" s="181">
        <v>0</v>
      </c>
      <c r="E500" s="184">
        <f>D500*$J471</f>
        <v>0</v>
      </c>
    </row>
    <row r="501" spans="3:6">
      <c r="C501" s="54" t="s">
        <v>31</v>
      </c>
      <c r="D501" s="181">
        <v>237220.91099999999</v>
      </c>
      <c r="E501" s="184">
        <f>D501*$J471</f>
        <v>242.3168340194286</v>
      </c>
    </row>
    <row r="502" spans="3:6" ht="13.5" thickBot="1">
      <c r="C502" s="54" t="s">
        <v>32</v>
      </c>
      <c r="D502" s="181">
        <v>1084089.263</v>
      </c>
      <c r="E502" s="184">
        <f>D502*$J471</f>
        <v>1107.3774099308457</v>
      </c>
    </row>
    <row r="503" spans="3:6" ht="13.5" thickBot="1">
      <c r="C503" s="186" t="s">
        <v>33</v>
      </c>
      <c r="D503" s="187">
        <f>SUM(D497:D502)</f>
        <v>2197349.7860000003</v>
      </c>
      <c r="E503" s="193">
        <f>SUM(E497:E502)</f>
        <v>2244.5527299100077</v>
      </c>
    </row>
    <row r="504" spans="3:6" ht="13.5" thickBot="1">
      <c r="D504" s="191"/>
    </row>
    <row r="505" spans="3:6">
      <c r="C505" s="60" t="s">
        <v>99</v>
      </c>
      <c r="D505" s="61" t="s">
        <v>35</v>
      </c>
      <c r="E505" s="61" t="s">
        <v>36</v>
      </c>
    </row>
    <row r="506" spans="3:6">
      <c r="C506" s="54" t="s">
        <v>27</v>
      </c>
      <c r="D506" s="181">
        <v>126171.946</v>
      </c>
      <c r="E506" s="184">
        <f>D506*$J471</f>
        <v>128.88234164478993</v>
      </c>
    </row>
    <row r="507" spans="3:6">
      <c r="C507" s="54" t="s">
        <v>28</v>
      </c>
      <c r="D507" s="181">
        <v>115622.808</v>
      </c>
      <c r="E507" s="184">
        <f>D507*$J471</f>
        <v>118.10658957884309</v>
      </c>
    </row>
    <row r="508" spans="3:6">
      <c r="C508" s="54" t="s">
        <v>29</v>
      </c>
      <c r="D508" s="181">
        <v>103502.829</v>
      </c>
      <c r="E508" s="184">
        <f>D508*$J471</f>
        <v>105.7262520812691</v>
      </c>
    </row>
    <row r="509" spans="3:6">
      <c r="C509" s="54" t="s">
        <v>30</v>
      </c>
      <c r="D509" s="181">
        <v>84491.974000000002</v>
      </c>
      <c r="E509" s="184">
        <f>D509*$J471</f>
        <v>86.307010429328798</v>
      </c>
    </row>
    <row r="510" spans="3:6">
      <c r="C510" s="54" t="s">
        <v>31</v>
      </c>
      <c r="D510" s="181">
        <v>59319.453999999998</v>
      </c>
      <c r="E510" s="184">
        <f>D510*$J471</f>
        <v>60.593740359765881</v>
      </c>
    </row>
    <row r="511" spans="3:6" ht="13.5" thickBot="1">
      <c r="C511" s="54" t="s">
        <v>32</v>
      </c>
      <c r="D511" s="181">
        <v>125046.31200000001</v>
      </c>
      <c r="E511" s="184">
        <f>D511*$J471</f>
        <v>127.73252704372965</v>
      </c>
    </row>
    <row r="512" spans="3:6" ht="13.5" thickBot="1">
      <c r="C512" s="186" t="s">
        <v>37</v>
      </c>
      <c r="D512" s="187">
        <f>SUM(D506:D511)</f>
        <v>614155.32299999997</v>
      </c>
      <c r="E512" s="187">
        <f>SUM(E506:E511)</f>
        <v>627.34846113772642</v>
      </c>
      <c r="F512" s="245"/>
    </row>
    <row r="513" spans="2:11" ht="13.5" thickBot="1">
      <c r="D513" s="191"/>
    </row>
    <row r="514" spans="2:11">
      <c r="C514" s="60" t="s">
        <v>98</v>
      </c>
      <c r="D514" s="61" t="s">
        <v>35</v>
      </c>
      <c r="E514" s="61" t="s">
        <v>36</v>
      </c>
    </row>
    <row r="515" spans="2:11">
      <c r="C515" s="54" t="s">
        <v>27</v>
      </c>
      <c r="D515" s="104">
        <f t="shared" ref="D515:D520" si="8">+D497+D506</f>
        <v>412712.114</v>
      </c>
      <c r="E515" s="184">
        <f>D515*$J471</f>
        <v>421.57789717764592</v>
      </c>
    </row>
    <row r="516" spans="2:11">
      <c r="C516" s="54" t="s">
        <v>28</v>
      </c>
      <c r="D516" s="104">
        <f t="shared" si="8"/>
        <v>430091.47400000005</v>
      </c>
      <c r="E516" s="184">
        <f>D516*$J471</f>
        <v>439.33059644320059</v>
      </c>
    </row>
    <row r="517" spans="2:11">
      <c r="C517" s="54" t="s">
        <v>29</v>
      </c>
      <c r="D517" s="104">
        <f t="shared" si="8"/>
        <v>378533.60699999996</v>
      </c>
      <c r="E517" s="184">
        <f>D517*$J471</f>
        <v>386.66517564378887</v>
      </c>
    </row>
    <row r="518" spans="2:11">
      <c r="C518" s="54" t="s">
        <v>30</v>
      </c>
      <c r="D518" s="104">
        <f t="shared" si="8"/>
        <v>84491.974000000002</v>
      </c>
      <c r="E518" s="184">
        <f>D518*$J471</f>
        <v>86.307010429328798</v>
      </c>
      <c r="G518" s="237"/>
    </row>
    <row r="519" spans="2:11">
      <c r="C519" s="54" t="s">
        <v>31</v>
      </c>
      <c r="D519" s="104">
        <f t="shared" si="8"/>
        <v>296540.36499999999</v>
      </c>
      <c r="E519" s="184">
        <f>D519*$J471</f>
        <v>302.91057437919449</v>
      </c>
    </row>
    <row r="520" spans="2:11" ht="13.5" thickBot="1">
      <c r="C520" s="54" t="s">
        <v>32</v>
      </c>
      <c r="D520" s="104">
        <f t="shared" si="8"/>
        <v>1209135.575</v>
      </c>
      <c r="E520" s="184">
        <f>D520*$J471</f>
        <v>1235.1099369745752</v>
      </c>
    </row>
    <row r="521" spans="2:11" ht="13.5" thickBot="1">
      <c r="C521" s="186" t="s">
        <v>38</v>
      </c>
      <c r="D521" s="187">
        <f>SUM(D515:D520)</f>
        <v>2811505.1089999997</v>
      </c>
      <c r="E521" s="193">
        <f>SUM(E515:E520)</f>
        <v>2871.9011910477338</v>
      </c>
    </row>
    <row r="522" spans="2:11">
      <c r="C522" s="234"/>
      <c r="D522" s="235"/>
      <c r="E522" s="236"/>
    </row>
    <row r="523" spans="2:11">
      <c r="C523" s="136" t="s">
        <v>22</v>
      </c>
      <c r="D523" s="137">
        <f>D521-Model!$AW$121</f>
        <v>0</v>
      </c>
    </row>
    <row r="527" spans="2:11">
      <c r="B527" s="52" t="s">
        <v>100</v>
      </c>
      <c r="I527" s="52" t="s">
        <v>101</v>
      </c>
      <c r="J527" s="179">
        <f>Model!$AV$208</f>
        <v>1.1349999999999999E-3</v>
      </c>
      <c r="K527" s="179"/>
    </row>
    <row r="528" spans="2:11">
      <c r="C528" s="129"/>
      <c r="D528" s="396" t="s">
        <v>102</v>
      </c>
      <c r="E528" s="397"/>
      <c r="F528" s="115" t="s">
        <v>6</v>
      </c>
      <c r="G528" s="115" t="s">
        <v>7</v>
      </c>
      <c r="I528" s="52" t="s">
        <v>103</v>
      </c>
      <c r="J528" s="179">
        <f>AVERAGE(Model!$AS$207:$AV$207)</f>
        <v>1.1950531183338947E-3</v>
      </c>
      <c r="K528" s="179"/>
    </row>
    <row r="529" spans="3:12">
      <c r="C529" s="207"/>
      <c r="D529" s="208" t="s">
        <v>4</v>
      </c>
      <c r="E529" s="209" t="s">
        <v>5</v>
      </c>
      <c r="F529" s="210"/>
      <c r="G529" s="210"/>
      <c r="I529" s="52"/>
    </row>
    <row r="530" spans="3:12">
      <c r="C530" s="207" t="s">
        <v>10</v>
      </c>
      <c r="D530" s="211"/>
      <c r="E530" s="162"/>
      <c r="F530" s="210"/>
      <c r="G530" s="210"/>
      <c r="I530" s="52" t="s">
        <v>8</v>
      </c>
    </row>
    <row r="531" spans="3:12">
      <c r="C531" s="212" t="s">
        <v>51</v>
      </c>
      <c r="D531" s="162">
        <f>Model!$AV$107</f>
        <v>151077.57800000001</v>
      </c>
      <c r="E531" s="162">
        <f>+D531*$J527</f>
        <v>171.47305102999999</v>
      </c>
      <c r="F531" s="210"/>
      <c r="G531" s="210"/>
      <c r="I531" s="129"/>
      <c r="J531" s="396" t="s">
        <v>102</v>
      </c>
      <c r="K531" s="397"/>
      <c r="L531" s="115" t="s">
        <v>67</v>
      </c>
    </row>
    <row r="532" spans="3:12">
      <c r="C532" s="212" t="s">
        <v>52</v>
      </c>
      <c r="D532" s="162">
        <f>Model!$AV$108</f>
        <v>146937.94899999999</v>
      </c>
      <c r="E532" s="162">
        <f>+D532*$J527</f>
        <v>166.77457211499998</v>
      </c>
      <c r="F532" s="210"/>
      <c r="G532" s="210"/>
      <c r="I532" s="223"/>
      <c r="J532" s="224" t="s">
        <v>4</v>
      </c>
      <c r="K532" s="224" t="s">
        <v>5</v>
      </c>
      <c r="L532" s="225"/>
    </row>
    <row r="533" spans="3:12">
      <c r="C533" s="213" t="s">
        <v>53</v>
      </c>
      <c r="D533" s="162">
        <f>Model!$AV$110</f>
        <v>120979.89200000001</v>
      </c>
      <c r="E533" s="162">
        <f>+D533*$J527</f>
        <v>137.31217742000001</v>
      </c>
      <c r="F533" s="210"/>
      <c r="G533" s="210"/>
      <c r="I533" s="214" t="s">
        <v>17</v>
      </c>
      <c r="J533" s="171">
        <f>+J535+J534</f>
        <v>1678562.3870000001</v>
      </c>
      <c r="K533" s="171">
        <f>J533*J527</f>
        <v>1905.168309245</v>
      </c>
      <c r="L533" s="216">
        <f>+J533/J538</f>
        <v>2.2012138168338278</v>
      </c>
    </row>
    <row r="534" spans="3:12">
      <c r="C534" s="207" t="s">
        <v>15</v>
      </c>
      <c r="D534" s="162"/>
      <c r="E534" s="162"/>
      <c r="F534" s="210"/>
      <c r="G534" s="210"/>
      <c r="I534" s="217" t="s">
        <v>18</v>
      </c>
      <c r="J534" s="226">
        <f>D539</f>
        <v>530862.38699999999</v>
      </c>
      <c r="K534" s="226">
        <f>K533-K535</f>
        <v>602.52880924500005</v>
      </c>
      <c r="L534" s="219"/>
    </row>
    <row r="535" spans="3:12">
      <c r="C535" s="212" t="s">
        <v>51</v>
      </c>
      <c r="D535" s="162">
        <f>Model!$AV$112</f>
        <v>35038.659</v>
      </c>
      <c r="E535" s="162">
        <f>+D535*$J527</f>
        <v>39.768877964999994</v>
      </c>
      <c r="F535" s="210"/>
      <c r="G535" s="210"/>
      <c r="I535" s="214" t="s">
        <v>9</v>
      </c>
      <c r="J535" s="171">
        <v>1147700</v>
      </c>
      <c r="K535" s="171">
        <f>J535*J527</f>
        <v>1302.6395</v>
      </c>
      <c r="L535" s="216">
        <f>+J535/J538</f>
        <v>1.5050576118861789</v>
      </c>
    </row>
    <row r="536" spans="3:12">
      <c r="C536" s="212" t="s">
        <v>52</v>
      </c>
      <c r="D536" s="162">
        <f>Model!$AV$113</f>
        <v>1729378.7150000001</v>
      </c>
      <c r="E536" s="162">
        <f>+D536*$J527</f>
        <v>1962.844841525</v>
      </c>
      <c r="F536" s="210"/>
      <c r="G536" s="210"/>
      <c r="I536" s="220" t="s">
        <v>19</v>
      </c>
      <c r="J536" s="228">
        <f>D541</f>
        <v>1675452.96</v>
      </c>
      <c r="K536" s="172">
        <f>+J536*J527</f>
        <v>1901.6391095999998</v>
      </c>
      <c r="L536" s="125"/>
    </row>
    <row r="537" spans="3:12">
      <c r="C537" s="213" t="s">
        <v>54</v>
      </c>
      <c r="D537" s="162">
        <f>Model!$AV$115</f>
        <v>471903.07900000003</v>
      </c>
      <c r="E537" s="162">
        <f>+D537*$J527</f>
        <v>535.60999466500004</v>
      </c>
      <c r="F537" s="210"/>
      <c r="G537" s="210"/>
      <c r="I537" s="220" t="s">
        <v>20</v>
      </c>
      <c r="J537" s="228">
        <f>J533+J536</f>
        <v>3354015.3470000001</v>
      </c>
      <c r="K537" s="228">
        <f>K533+K536</f>
        <v>3806.807418845</v>
      </c>
      <c r="L537" s="125"/>
    </row>
    <row r="538" spans="3:12">
      <c r="C538" s="214" t="s">
        <v>17</v>
      </c>
      <c r="D538" s="215">
        <f>SUM(D531:D537)</f>
        <v>2655315.872</v>
      </c>
      <c r="E538" s="107">
        <f>SUM(E531:E537)</f>
        <v>3013.7835147200003</v>
      </c>
      <c r="F538" s="216">
        <f>+D538/D543</f>
        <v>3.4820975560824143</v>
      </c>
      <c r="G538" s="216">
        <f>+E538/E543</f>
        <v>3.3071172030106464</v>
      </c>
      <c r="I538" s="222" t="s">
        <v>68</v>
      </c>
      <c r="J538" s="170">
        <f>D543</f>
        <v>762562.17099999997</v>
      </c>
      <c r="K538" s="170"/>
      <c r="L538" s="128"/>
    </row>
    <row r="539" spans="3:12">
      <c r="C539" s="217" t="s">
        <v>18</v>
      </c>
      <c r="D539" s="162">
        <f>Model!$AV$118</f>
        <v>530862.38699999999</v>
      </c>
      <c r="E539" s="162">
        <f>+D539*$J527</f>
        <v>602.52880924499993</v>
      </c>
      <c r="F539" s="219"/>
      <c r="G539" s="219"/>
    </row>
    <row r="540" spans="3:12">
      <c r="C540" s="214" t="s">
        <v>9</v>
      </c>
      <c r="D540" s="215">
        <f>+D538-D539</f>
        <v>2124453.4849999999</v>
      </c>
      <c r="E540" s="107">
        <f>+E538-E539</f>
        <v>2411.2547054750003</v>
      </c>
      <c r="F540" s="216">
        <f>+D540/D543</f>
        <v>2.7859413511347655</v>
      </c>
      <c r="G540" s="216">
        <f>+E540/E543</f>
        <v>2.6459438371629709</v>
      </c>
      <c r="J540" s="196"/>
    </row>
    <row r="541" spans="3:12">
      <c r="C541" s="220" t="s">
        <v>19</v>
      </c>
      <c r="D541" s="221">
        <f>Model!$AV$125</f>
        <v>1675452.96</v>
      </c>
      <c r="E541" s="162">
        <f>+D541*$J527</f>
        <v>1901.6391095999998</v>
      </c>
      <c r="F541" s="125"/>
      <c r="G541" s="125"/>
    </row>
    <row r="542" spans="3:12">
      <c r="C542" s="214" t="s">
        <v>20</v>
      </c>
      <c r="D542" s="215">
        <f>D538+D541</f>
        <v>4330768.8320000004</v>
      </c>
      <c r="E542" s="107">
        <f>E538+E541</f>
        <v>4915.4226243200001</v>
      </c>
      <c r="F542" s="216">
        <f>D542/D543</f>
        <v>5.6792337683375598</v>
      </c>
      <c r="G542" s="216">
        <f>E542/E543</f>
        <v>5.3938441966913091</v>
      </c>
    </row>
    <row r="543" spans="3:12">
      <c r="C543" s="222" t="s">
        <v>21</v>
      </c>
      <c r="D543" s="126">
        <f>Model!$AV$84</f>
        <v>762562.17099999997</v>
      </c>
      <c r="E543" s="241">
        <f>+D543*J528</f>
        <v>911.3023003770146</v>
      </c>
      <c r="F543" s="128"/>
      <c r="G543" s="128"/>
    </row>
    <row r="545" spans="3:7">
      <c r="C545" s="136" t="s">
        <v>22</v>
      </c>
      <c r="D545" s="137">
        <f>D538-Model!$AV$121</f>
        <v>0</v>
      </c>
      <c r="E545" s="138"/>
    </row>
    <row r="546" spans="3:7" ht="13.5" thickBot="1">
      <c r="D546" s="395"/>
      <c r="E546" s="395"/>
    </row>
    <row r="547" spans="3:7">
      <c r="C547" s="60" t="s">
        <v>104</v>
      </c>
      <c r="D547" s="61" t="s">
        <v>35</v>
      </c>
      <c r="E547" s="61" t="s">
        <v>36</v>
      </c>
    </row>
    <row r="548" spans="3:7">
      <c r="C548" s="62"/>
      <c r="D548" s="84"/>
      <c r="E548" s="84"/>
    </row>
    <row r="549" spans="3:7">
      <c r="C549" s="62" t="s">
        <v>24</v>
      </c>
      <c r="D549" s="184">
        <f>D539</f>
        <v>530862.38699999999</v>
      </c>
      <c r="E549" s="184">
        <f>D549*$J$581</f>
        <v>596.00582350959917</v>
      </c>
    </row>
    <row r="550" spans="3:7" ht="13.5" thickBot="1">
      <c r="C550" s="63"/>
      <c r="D550" s="185">
        <f>SUM(D548:D549)</f>
        <v>530862.38699999999</v>
      </c>
      <c r="E550" s="185">
        <f>SUM(E548:E549)</f>
        <v>596.00582350959917</v>
      </c>
      <c r="G550" s="273"/>
    </row>
    <row r="551" spans="3:7" ht="13.5" thickBot="1"/>
    <row r="552" spans="3:7">
      <c r="C552" s="60" t="s">
        <v>105</v>
      </c>
      <c r="D552" s="61" t="s">
        <v>35</v>
      </c>
      <c r="E552" s="61" t="s">
        <v>36</v>
      </c>
    </row>
    <row r="553" spans="3:7">
      <c r="C553" s="54" t="s">
        <v>27</v>
      </c>
      <c r="D553" s="181">
        <f>719.776+150357.802+15989.573+130948.376</f>
        <v>298015.527</v>
      </c>
      <c r="E553" s="184">
        <f>D553*$J527</f>
        <v>338.24762314499998</v>
      </c>
    </row>
    <row r="554" spans="3:7">
      <c r="C554" s="54" t="s">
        <v>28</v>
      </c>
      <c r="D554" s="181">
        <f>35038.659+245930.582</f>
        <v>280969.24099999998</v>
      </c>
      <c r="E554" s="184">
        <f>D554*$J527</f>
        <v>318.90008853499995</v>
      </c>
    </row>
    <row r="555" spans="3:7">
      <c r="C555" s="54" t="s">
        <v>29</v>
      </c>
      <c r="D555" s="181">
        <v>245660.69</v>
      </c>
      <c r="E555" s="184">
        <f>D555*$J527</f>
        <v>278.82488315000001</v>
      </c>
    </row>
    <row r="556" spans="3:7">
      <c r="C556" s="54" t="s">
        <v>30</v>
      </c>
      <c r="D556" s="181">
        <v>0</v>
      </c>
      <c r="E556" s="184">
        <f>D556*$J527</f>
        <v>0</v>
      </c>
    </row>
    <row r="557" spans="3:7">
      <c r="C557" s="54" t="s">
        <v>31</v>
      </c>
      <c r="D557" s="181">
        <v>236051.35</v>
      </c>
      <c r="E557" s="184">
        <f>D557*$J527</f>
        <v>267.91828225</v>
      </c>
    </row>
    <row r="558" spans="3:7" ht="13.5" thickBot="1">
      <c r="C558" s="54" t="s">
        <v>32</v>
      </c>
      <c r="D558" s="181">
        <v>1001736.093</v>
      </c>
      <c r="E558" s="184">
        <f>D558*$J527</f>
        <v>1136.9704655549999</v>
      </c>
    </row>
    <row r="559" spans="3:7" ht="13.5" thickBot="1">
      <c r="C559" s="186" t="s">
        <v>33</v>
      </c>
      <c r="D559" s="187">
        <f>SUM(D553:D558)</f>
        <v>2062432.9010000001</v>
      </c>
      <c r="E559" s="193">
        <f>SUM(E553:E558)</f>
        <v>2340.8613426349998</v>
      </c>
    </row>
    <row r="560" spans="3:7" ht="13.5" thickBot="1">
      <c r="D560" s="191"/>
    </row>
    <row r="561" spans="3:7">
      <c r="C561" s="60" t="s">
        <v>106</v>
      </c>
      <c r="D561" s="61" t="s">
        <v>35</v>
      </c>
      <c r="E561" s="61" t="s">
        <v>36</v>
      </c>
    </row>
    <row r="562" spans="3:7">
      <c r="C562" s="54" t="s">
        <v>27</v>
      </c>
      <c r="D562" s="181">
        <v>120979.89200000001</v>
      </c>
      <c r="E562" s="184">
        <f>D562*$J527</f>
        <v>137.31217742000001</v>
      </c>
    </row>
    <row r="563" spans="3:7">
      <c r="C563" s="54" t="s">
        <v>28</v>
      </c>
      <c r="D563" s="181">
        <v>107771.72100000001</v>
      </c>
      <c r="E563" s="184">
        <f>D563*$J527</f>
        <v>122.320903335</v>
      </c>
    </row>
    <row r="564" spans="3:7">
      <c r="C564" s="54" t="s">
        <v>29</v>
      </c>
      <c r="D564" s="181">
        <v>98217.020999999993</v>
      </c>
      <c r="E564" s="184">
        <f>D564*$J527</f>
        <v>111.47631883499999</v>
      </c>
    </row>
    <row r="565" spans="3:7">
      <c r="C565" s="54" t="s">
        <v>30</v>
      </c>
      <c r="D565" s="181">
        <v>81607.762000000002</v>
      </c>
      <c r="E565" s="184">
        <f>D565*$J527</f>
        <v>92.624809869999993</v>
      </c>
    </row>
    <row r="566" spans="3:7">
      <c r="C566" s="54" t="s">
        <v>31</v>
      </c>
      <c r="D566" s="181">
        <v>58196.767999999996</v>
      </c>
      <c r="E566" s="184">
        <f>D566*$J527</f>
        <v>66.053331679999999</v>
      </c>
    </row>
    <row r="567" spans="3:7" ht="13.5" thickBot="1">
      <c r="C567" s="54" t="s">
        <v>32</v>
      </c>
      <c r="D567" s="181">
        <v>126109.807</v>
      </c>
      <c r="E567" s="184">
        <f>D567*$J527</f>
        <v>143.134630945</v>
      </c>
    </row>
    <row r="568" spans="3:7" ht="13.5" thickBot="1">
      <c r="C568" s="186" t="s">
        <v>37</v>
      </c>
      <c r="D568" s="187">
        <f>SUM(D562:D567)</f>
        <v>592882.97100000002</v>
      </c>
      <c r="E568" s="187">
        <f>SUM(E562:E567)</f>
        <v>672.92217208500006</v>
      </c>
      <c r="F568" s="245"/>
    </row>
    <row r="569" spans="3:7" ht="13.5" thickBot="1">
      <c r="D569" s="191"/>
    </row>
    <row r="570" spans="3:7">
      <c r="C570" s="60" t="s">
        <v>105</v>
      </c>
      <c r="D570" s="61" t="s">
        <v>35</v>
      </c>
      <c r="E570" s="61" t="s">
        <v>36</v>
      </c>
    </row>
    <row r="571" spans="3:7">
      <c r="C571" s="54" t="s">
        <v>27</v>
      </c>
      <c r="D571" s="104">
        <f t="shared" ref="D571:D576" si="9">+D553+D562</f>
        <v>418995.41899999999</v>
      </c>
      <c r="E571" s="184">
        <f>D571*$J527</f>
        <v>475.55980056499999</v>
      </c>
    </row>
    <row r="572" spans="3:7">
      <c r="C572" s="54" t="s">
        <v>28</v>
      </c>
      <c r="D572" s="104">
        <f t="shared" si="9"/>
        <v>388740.962</v>
      </c>
      <c r="E572" s="184">
        <f>D572*$J527</f>
        <v>441.22099186999998</v>
      </c>
    </row>
    <row r="573" spans="3:7">
      <c r="C573" s="54" t="s">
        <v>29</v>
      </c>
      <c r="D573" s="104">
        <f t="shared" si="9"/>
        <v>343877.71100000001</v>
      </c>
      <c r="E573" s="184">
        <f>D573*$J527</f>
        <v>390.30120198499998</v>
      </c>
    </row>
    <row r="574" spans="3:7">
      <c r="C574" s="54" t="s">
        <v>30</v>
      </c>
      <c r="D574" s="104">
        <f t="shared" si="9"/>
        <v>81607.762000000002</v>
      </c>
      <c r="E574" s="184">
        <f>D574*$J527</f>
        <v>92.624809869999993</v>
      </c>
      <c r="G574" s="237"/>
    </row>
    <row r="575" spans="3:7">
      <c r="C575" s="54" t="s">
        <v>31</v>
      </c>
      <c r="D575" s="104">
        <f t="shared" si="9"/>
        <v>294248.11800000002</v>
      </c>
      <c r="E575" s="184">
        <f>D575*$J527</f>
        <v>333.97161392999999</v>
      </c>
    </row>
    <row r="576" spans="3:7" ht="13.5" thickBot="1">
      <c r="C576" s="54" t="s">
        <v>32</v>
      </c>
      <c r="D576" s="104">
        <f t="shared" si="9"/>
        <v>1127845.8999999999</v>
      </c>
      <c r="E576" s="184">
        <f>D576*$J527</f>
        <v>1280.1050964999997</v>
      </c>
    </row>
    <row r="577" spans="2:12" ht="13.5" thickBot="1">
      <c r="C577" s="186" t="s">
        <v>38</v>
      </c>
      <c r="D577" s="187">
        <f>SUM(D571:D576)</f>
        <v>2655315.8720000004</v>
      </c>
      <c r="E577" s="193">
        <f>SUM(E571:E576)</f>
        <v>3013.7835147199994</v>
      </c>
    </row>
    <row r="578" spans="2:12">
      <c r="C578" s="234"/>
      <c r="D578" s="235"/>
      <c r="E578" s="236"/>
    </row>
    <row r="579" spans="2:12">
      <c r="C579" s="136" t="s">
        <v>22</v>
      </c>
      <c r="D579" s="137">
        <f>D577-Model!$AV$121</f>
        <v>0</v>
      </c>
    </row>
    <row r="581" spans="2:12">
      <c r="B581" s="52" t="s">
        <v>107</v>
      </c>
      <c r="I581" s="52" t="s">
        <v>108</v>
      </c>
      <c r="J581" s="179">
        <f>Model!$AU$208</f>
        <v>1.1227124733355787E-3</v>
      </c>
      <c r="K581" s="179"/>
    </row>
    <row r="582" spans="2:12">
      <c r="C582" s="129"/>
      <c r="D582" s="396" t="s">
        <v>109</v>
      </c>
      <c r="E582" s="397"/>
      <c r="F582" s="115" t="s">
        <v>6</v>
      </c>
      <c r="G582" s="115" t="s">
        <v>7</v>
      </c>
      <c r="I582" s="52" t="s">
        <v>110</v>
      </c>
      <c r="J582" s="179">
        <f>AVERAGE(Model!$AR$207:$AU$207)</f>
        <v>1.1890890591669473E-3</v>
      </c>
      <c r="K582" s="179"/>
    </row>
    <row r="583" spans="2:12">
      <c r="C583" s="207"/>
      <c r="D583" s="208" t="s">
        <v>4</v>
      </c>
      <c r="E583" s="209" t="s">
        <v>5</v>
      </c>
      <c r="F583" s="210"/>
      <c r="G583" s="210"/>
      <c r="I583" s="52"/>
    </row>
    <row r="584" spans="2:12">
      <c r="C584" s="207" t="s">
        <v>10</v>
      </c>
      <c r="D584" s="211"/>
      <c r="E584" s="162"/>
      <c r="F584" s="210"/>
      <c r="G584" s="210"/>
      <c r="I584" s="52" t="s">
        <v>8</v>
      </c>
    </row>
    <row r="585" spans="2:12">
      <c r="C585" s="212" t="s">
        <v>51</v>
      </c>
      <c r="D585" s="162">
        <f>Model!$AU$107</f>
        <v>128875.257</v>
      </c>
      <c r="E585" s="162">
        <f>+D585*$J581</f>
        <v>144.68985853822835</v>
      </c>
      <c r="F585" s="210"/>
      <c r="G585" s="210"/>
      <c r="I585" s="129"/>
      <c r="J585" s="396" t="s">
        <v>109</v>
      </c>
      <c r="K585" s="397"/>
      <c r="L585" s="115" t="s">
        <v>67</v>
      </c>
    </row>
    <row r="586" spans="2:12">
      <c r="C586" s="212" t="s">
        <v>52</v>
      </c>
      <c r="D586" s="162">
        <f>Model!$AU$108</f>
        <v>146969.99900000001</v>
      </c>
      <c r="E586" s="162">
        <f>+D586*$J581</f>
        <v>165.00505108341756</v>
      </c>
      <c r="F586" s="210"/>
      <c r="G586" s="210"/>
      <c r="I586" s="223"/>
      <c r="J586" s="224" t="s">
        <v>4</v>
      </c>
      <c r="K586" s="224" t="s">
        <v>5</v>
      </c>
      <c r="L586" s="225"/>
    </row>
    <row r="587" spans="2:12">
      <c r="C587" s="213" t="s">
        <v>53</v>
      </c>
      <c r="D587" s="162">
        <f>Model!$AU$110</f>
        <v>127357.469</v>
      </c>
      <c r="E587" s="162">
        <f>+D587*$J581</f>
        <v>142.98581901874928</v>
      </c>
      <c r="F587" s="210"/>
      <c r="G587" s="210"/>
      <c r="I587" s="214" t="s">
        <v>17</v>
      </c>
      <c r="J587" s="171">
        <f>+J589+J588</f>
        <v>1798689.544</v>
      </c>
      <c r="K587" s="171">
        <f>J587*J581</f>
        <v>2019.4111867070842</v>
      </c>
      <c r="L587" s="216">
        <f>+J587/J592</f>
        <v>2.6145263445549158</v>
      </c>
    </row>
    <row r="588" spans="2:12">
      <c r="C588" s="207" t="s">
        <v>15</v>
      </c>
      <c r="D588" s="162"/>
      <c r="E588" s="162"/>
      <c r="F588" s="210"/>
      <c r="G588" s="210"/>
      <c r="I588" s="217" t="s">
        <v>18</v>
      </c>
      <c r="J588" s="226">
        <f>D593</f>
        <v>206689.54399999999</v>
      </c>
      <c r="K588" s="226">
        <f>K587-K589</f>
        <v>232.05292915684277</v>
      </c>
      <c r="L588" s="219"/>
    </row>
    <row r="589" spans="2:12">
      <c r="C589" s="212" t="s">
        <v>51</v>
      </c>
      <c r="D589" s="162">
        <f>Model!$AU$112</f>
        <v>65367.786999999997</v>
      </c>
      <c r="E589" s="162">
        <f>+D589*$J581</f>
        <v>73.389229819243283</v>
      </c>
      <c r="F589" s="210"/>
      <c r="G589" s="210"/>
      <c r="I589" s="214" t="s">
        <v>9</v>
      </c>
      <c r="J589" s="171">
        <v>1592000</v>
      </c>
      <c r="K589" s="171">
        <f>J589*J581</f>
        <v>1787.3582575502414</v>
      </c>
      <c r="L589" s="216">
        <f>+J589/J592</f>
        <v>2.3140880283737428</v>
      </c>
    </row>
    <row r="590" spans="2:12">
      <c r="C590" s="212" t="s">
        <v>52</v>
      </c>
      <c r="D590" s="162">
        <f>Model!$AU$113</f>
        <v>1874491.361</v>
      </c>
      <c r="E590" s="162">
        <f>+D590*$J581</f>
        <v>2104.5148321544852</v>
      </c>
      <c r="F590" s="210"/>
      <c r="G590" s="210"/>
      <c r="I590" s="220" t="s">
        <v>19</v>
      </c>
      <c r="J590" s="228">
        <f>D595</f>
        <v>1611812.977</v>
      </c>
      <c r="K590" s="172">
        <f>+J590*J581</f>
        <v>1809.6025339620521</v>
      </c>
      <c r="L590" s="125"/>
    </row>
    <row r="591" spans="2:12">
      <c r="C591" s="213" t="s">
        <v>54</v>
      </c>
      <c r="D591" s="162">
        <f>Model!$AU$115</f>
        <v>474697.80200000003</v>
      </c>
      <c r="E591" s="162">
        <f>+D591*$J581</f>
        <v>532.9491433703829</v>
      </c>
      <c r="F591" s="210"/>
      <c r="G591" s="210"/>
      <c r="I591" s="220" t="s">
        <v>20</v>
      </c>
      <c r="J591" s="228">
        <f>J587+J590</f>
        <v>3410502.5209999997</v>
      </c>
      <c r="K591" s="228">
        <f>K587+K590</f>
        <v>3829.0137206691361</v>
      </c>
      <c r="L591" s="125"/>
    </row>
    <row r="592" spans="2:12">
      <c r="C592" s="214" t="s">
        <v>17</v>
      </c>
      <c r="D592" s="215">
        <f>SUM(D585:D591)</f>
        <v>2817759.6750000003</v>
      </c>
      <c r="E592" s="107">
        <f>SUM(E585:E591)</f>
        <v>3163.5339339845068</v>
      </c>
      <c r="F592" s="216">
        <f>+D592/D597</f>
        <v>4.0958190519797668</v>
      </c>
      <c r="G592" s="216">
        <f>+E592/E597</f>
        <v>3.8671848022929063</v>
      </c>
      <c r="I592" s="222" t="s">
        <v>68</v>
      </c>
      <c r="J592" s="170">
        <f>D597</f>
        <v>687960</v>
      </c>
      <c r="K592" s="170"/>
      <c r="L592" s="128"/>
    </row>
    <row r="593" spans="3:10">
      <c r="C593" s="217" t="s">
        <v>18</v>
      </c>
      <c r="D593" s="162">
        <f>Model!$AU$118</f>
        <v>206689.54399999999</v>
      </c>
      <c r="E593" s="162">
        <f>+D593*$J581</f>
        <v>232.05292915684291</v>
      </c>
      <c r="F593" s="219"/>
      <c r="G593" s="219"/>
    </row>
    <row r="594" spans="3:10">
      <c r="C594" s="214" t="s">
        <v>9</v>
      </c>
      <c r="D594" s="215">
        <f>+D592-D593</f>
        <v>2611070.1310000001</v>
      </c>
      <c r="E594" s="107">
        <f>+E592-E593</f>
        <v>2931.481004827664</v>
      </c>
      <c r="F594" s="216">
        <f>+D594/D597</f>
        <v>3.7953807357985929</v>
      </c>
      <c r="G594" s="216">
        <f>+E594/E597</f>
        <v>3.583517365910259</v>
      </c>
      <c r="J594" s="196"/>
    </row>
    <row r="595" spans="3:10">
      <c r="C595" s="220" t="s">
        <v>19</v>
      </c>
      <c r="D595" s="221">
        <f>Model!$AU$125</f>
        <v>1611812.977</v>
      </c>
      <c r="E595" s="162">
        <f>+D595*$J581</f>
        <v>1809.6025339620521</v>
      </c>
      <c r="F595" s="125"/>
      <c r="G595" s="125"/>
    </row>
    <row r="596" spans="3:10">
      <c r="C596" s="214" t="s">
        <v>20</v>
      </c>
      <c r="D596" s="215">
        <f>D592+D595</f>
        <v>4429572.6520000007</v>
      </c>
      <c r="E596" s="107">
        <f>E592+E595</f>
        <v>4973.1364679465587</v>
      </c>
      <c r="F596" s="216">
        <f>D596/D597</f>
        <v>6.4387066864352587</v>
      </c>
      <c r="G596" s="216">
        <f>E596/E597</f>
        <v>6.0792892284068483</v>
      </c>
    </row>
    <row r="597" spans="3:10">
      <c r="C597" s="222" t="s">
        <v>21</v>
      </c>
      <c r="D597" s="126">
        <f>Model!$AU$84</f>
        <v>687960</v>
      </c>
      <c r="E597" s="241">
        <f>+D597*J582</f>
        <v>818.04570914449312</v>
      </c>
      <c r="F597" s="128"/>
      <c r="G597" s="128"/>
    </row>
    <row r="599" spans="3:10">
      <c r="C599" s="136" t="s">
        <v>22</v>
      </c>
      <c r="D599" s="137">
        <f>D592-Model!$AU$121</f>
        <v>0</v>
      </c>
      <c r="E599" s="138"/>
    </row>
    <row r="600" spans="3:10" ht="13.5" thickBot="1">
      <c r="D600" s="395"/>
      <c r="E600" s="395"/>
    </row>
    <row r="601" spans="3:10">
      <c r="C601" s="60" t="s">
        <v>111</v>
      </c>
      <c r="D601" s="61" t="s">
        <v>35</v>
      </c>
      <c r="E601" s="61" t="s">
        <v>36</v>
      </c>
    </row>
    <row r="602" spans="3:10">
      <c r="C602" s="62"/>
      <c r="D602" s="84"/>
      <c r="E602" s="84"/>
    </row>
    <row r="603" spans="3:10">
      <c r="C603" s="62" t="s">
        <v>24</v>
      </c>
      <c r="D603" s="184">
        <f>D593</f>
        <v>206689.54399999999</v>
      </c>
      <c r="E603" s="184">
        <f>D603*$J$581</f>
        <v>232.05292915684291</v>
      </c>
    </row>
    <row r="604" spans="3:10" ht="13.5" thickBot="1">
      <c r="C604" s="63"/>
      <c r="D604" s="185">
        <f>SUM(D602:D603)</f>
        <v>206689.54399999999</v>
      </c>
      <c r="E604" s="185">
        <f>SUM(E602:E603)</f>
        <v>232.05292915684291</v>
      </c>
    </row>
    <row r="605" spans="3:10" ht="13.5" thickBot="1"/>
    <row r="606" spans="3:10">
      <c r="C606" s="60" t="s">
        <v>112</v>
      </c>
      <c r="D606" s="61" t="s">
        <v>35</v>
      </c>
      <c r="E606" s="61" t="s">
        <v>36</v>
      </c>
    </row>
    <row r="607" spans="3:10">
      <c r="C607" s="54" t="s">
        <v>27</v>
      </c>
      <c r="D607" s="181">
        <f>93194.778+35680.479+142081.777+4888.222</f>
        <v>275845.25599999999</v>
      </c>
      <c r="E607" s="184">
        <f>D607*$J581</f>
        <v>309.69490962164588</v>
      </c>
    </row>
    <row r="608" spans="3:10">
      <c r="C608" s="54" t="s">
        <v>28</v>
      </c>
      <c r="D608" s="181">
        <f>65367.787+381552.691</f>
        <v>446920.478</v>
      </c>
      <c r="E608" s="184">
        <f>D608*$J581</f>
        <v>501.76319523969909</v>
      </c>
    </row>
    <row r="609" spans="3:6">
      <c r="C609" s="54" t="s">
        <v>29</v>
      </c>
      <c r="D609" s="181">
        <v>250767.48</v>
      </c>
      <c r="E609" s="184">
        <f>D609*$J581</f>
        <v>281.53977770293028</v>
      </c>
    </row>
    <row r="610" spans="3:6">
      <c r="C610" s="54" t="s">
        <v>30</v>
      </c>
      <c r="D610" s="181">
        <v>0</v>
      </c>
      <c r="E610" s="184">
        <f>D610*$J581</f>
        <v>0</v>
      </c>
    </row>
    <row r="611" spans="3:6">
      <c r="C611" s="54" t="s">
        <v>31</v>
      </c>
      <c r="D611" s="181">
        <v>0</v>
      </c>
      <c r="E611" s="184">
        <f>D611*$J581</f>
        <v>0</v>
      </c>
    </row>
    <row r="612" spans="3:6" ht="13.5" thickBot="1">
      <c r="C612" s="54" t="s">
        <v>32</v>
      </c>
      <c r="D612" s="181">
        <v>1242171.19</v>
      </c>
      <c r="E612" s="184">
        <f>D612*$J581</f>
        <v>1394.601089031099</v>
      </c>
    </row>
    <row r="613" spans="3:6" ht="13.5" thickBot="1">
      <c r="C613" s="186" t="s">
        <v>33</v>
      </c>
      <c r="D613" s="187">
        <f>SUM(D607:D612)</f>
        <v>2215704.4040000001</v>
      </c>
      <c r="E613" s="193">
        <f>SUM(E607:E612)</f>
        <v>2487.5989715953742</v>
      </c>
    </row>
    <row r="614" spans="3:6" ht="13.5" thickBot="1">
      <c r="D614" s="191"/>
    </row>
    <row r="615" spans="3:6">
      <c r="C615" s="60" t="s">
        <v>113</v>
      </c>
      <c r="D615" s="61" t="s">
        <v>35</v>
      </c>
      <c r="E615" s="61" t="s">
        <v>36</v>
      </c>
    </row>
    <row r="616" spans="3:6">
      <c r="C616" s="54" t="s">
        <v>27</v>
      </c>
      <c r="D616" s="181">
        <v>127357.469</v>
      </c>
      <c r="E616" s="184">
        <f>D616*$J581</f>
        <v>142.98581901874928</v>
      </c>
    </row>
    <row r="617" spans="3:6">
      <c r="C617" s="54" t="s">
        <v>28</v>
      </c>
      <c r="D617" s="181">
        <v>106504.406</v>
      </c>
      <c r="E617" s="184">
        <f>D617*$J581</f>
        <v>119.57382508139665</v>
      </c>
    </row>
    <row r="618" spans="3:6">
      <c r="C618" s="54" t="s">
        <v>29</v>
      </c>
      <c r="D618" s="181">
        <v>96982.877999999997</v>
      </c>
      <c r="E618" s="184">
        <f>D618*$J581</f>
        <v>108.88388683058268</v>
      </c>
    </row>
    <row r="619" spans="3:6">
      <c r="C619" s="54" t="s">
        <v>30</v>
      </c>
      <c r="D619" s="181">
        <v>83053.221000000005</v>
      </c>
      <c r="E619" s="184">
        <f>D619*$J581</f>
        <v>93.244887167396428</v>
      </c>
    </row>
    <row r="620" spans="3:6">
      <c r="C620" s="54" t="s">
        <v>31</v>
      </c>
      <c r="D620" s="181">
        <v>57645.599000000002</v>
      </c>
      <c r="E620" s="184">
        <f>D620*$J581</f>
        <v>64.71943303020096</v>
      </c>
    </row>
    <row r="621" spans="3:6" ht="13.5" thickBot="1">
      <c r="C621" s="54" t="s">
        <v>32</v>
      </c>
      <c r="D621" s="181">
        <v>130511.698</v>
      </c>
      <c r="E621" s="184">
        <f>D621*$J581</f>
        <v>146.52711126080612</v>
      </c>
    </row>
    <row r="622" spans="3:6" ht="13.5" thickBot="1">
      <c r="C622" s="186" t="s">
        <v>37</v>
      </c>
      <c r="D622" s="187">
        <f>SUM(D616:D621)</f>
        <v>602055.27100000007</v>
      </c>
      <c r="E622" s="187">
        <f>SUM(E616:E621)</f>
        <v>675.93496238913212</v>
      </c>
      <c r="F622" s="245"/>
    </row>
    <row r="623" spans="3:6" ht="13.5" thickBot="1">
      <c r="D623" s="191"/>
    </row>
    <row r="624" spans="3:6">
      <c r="C624" s="60" t="s">
        <v>112</v>
      </c>
      <c r="D624" s="61" t="s">
        <v>35</v>
      </c>
      <c r="E624" s="61" t="s">
        <v>36</v>
      </c>
    </row>
    <row r="625" spans="2:12">
      <c r="C625" s="54" t="s">
        <v>27</v>
      </c>
      <c r="D625" s="104">
        <f t="shared" ref="D625:D630" si="10">+D607+D616</f>
        <v>403202.72499999998</v>
      </c>
      <c r="E625" s="184">
        <f>D625*$J581</f>
        <v>452.68072864039516</v>
      </c>
    </row>
    <row r="626" spans="2:12">
      <c r="C626" s="54" t="s">
        <v>28</v>
      </c>
      <c r="D626" s="104">
        <f t="shared" si="10"/>
        <v>553424.88399999996</v>
      </c>
      <c r="E626" s="184">
        <f>D626*$J581</f>
        <v>621.33702032109568</v>
      </c>
    </row>
    <row r="627" spans="2:12">
      <c r="C627" s="54" t="s">
        <v>29</v>
      </c>
      <c r="D627" s="104">
        <f t="shared" si="10"/>
        <v>347750.35800000001</v>
      </c>
      <c r="E627" s="184">
        <f>D627*$J581</f>
        <v>390.42366453351298</v>
      </c>
    </row>
    <row r="628" spans="2:12">
      <c r="C628" s="54" t="s">
        <v>30</v>
      </c>
      <c r="D628" s="104">
        <f t="shared" si="10"/>
        <v>83053.221000000005</v>
      </c>
      <c r="E628" s="184">
        <f>D628*$J581</f>
        <v>93.244887167396428</v>
      </c>
      <c r="G628" s="237"/>
    </row>
    <row r="629" spans="2:12">
      <c r="C629" s="54" t="s">
        <v>31</v>
      </c>
      <c r="D629" s="104">
        <f t="shared" si="10"/>
        <v>57645.599000000002</v>
      </c>
      <c r="E629" s="184">
        <f>D629*$J581</f>
        <v>64.71943303020096</v>
      </c>
    </row>
    <row r="630" spans="2:12" ht="13.5" thickBot="1">
      <c r="C630" s="54" t="s">
        <v>32</v>
      </c>
      <c r="D630" s="104">
        <f t="shared" si="10"/>
        <v>1372682.888</v>
      </c>
      <c r="E630" s="184">
        <f>D630*$J581</f>
        <v>1541.1282002919052</v>
      </c>
    </row>
    <row r="631" spans="2:12" ht="13.5" thickBot="1">
      <c r="C631" s="186" t="s">
        <v>38</v>
      </c>
      <c r="D631" s="187">
        <f>SUM(D625:D630)</f>
        <v>2817759.6749999998</v>
      </c>
      <c r="E631" s="193">
        <f>SUM(E625:E630)</f>
        <v>3163.5339339845059</v>
      </c>
    </row>
    <row r="632" spans="2:12">
      <c r="C632" s="234"/>
      <c r="D632" s="235"/>
      <c r="E632" s="236"/>
    </row>
    <row r="635" spans="2:12">
      <c r="B635" s="52" t="s">
        <v>114</v>
      </c>
      <c r="I635" s="52" t="s">
        <v>115</v>
      </c>
      <c r="J635" s="179">
        <f>Model!$AT$208</f>
        <v>1.2440000000000001E-3</v>
      </c>
      <c r="K635" s="179"/>
    </row>
    <row r="636" spans="2:12">
      <c r="C636" s="129"/>
      <c r="D636" s="396" t="s">
        <v>116</v>
      </c>
      <c r="E636" s="397"/>
      <c r="F636" s="115" t="s">
        <v>6</v>
      </c>
      <c r="G636" s="115" t="s">
        <v>7</v>
      </c>
      <c r="I636" s="52" t="s">
        <v>117</v>
      </c>
      <c r="J636" s="179">
        <f>AVERAGE(Model!$AQ$207:$AT$207)</f>
        <v>1.157239200863931E-3</v>
      </c>
      <c r="K636" s="179"/>
    </row>
    <row r="637" spans="2:12">
      <c r="C637" s="207"/>
      <c r="D637" s="208" t="s">
        <v>4</v>
      </c>
      <c r="E637" s="209" t="s">
        <v>5</v>
      </c>
      <c r="F637" s="210"/>
      <c r="G637" s="210"/>
      <c r="I637" s="52"/>
    </row>
    <row r="638" spans="2:12">
      <c r="C638" s="207" t="s">
        <v>10</v>
      </c>
      <c r="D638" s="211"/>
      <c r="E638" s="162"/>
      <c r="F638" s="210"/>
      <c r="G638" s="210"/>
      <c r="I638" s="52" t="s">
        <v>8</v>
      </c>
    </row>
    <row r="639" spans="2:12">
      <c r="C639" s="212" t="s">
        <v>51</v>
      </c>
      <c r="D639" s="162">
        <f>Model!$AT$107</f>
        <v>116285.109</v>
      </c>
      <c r="E639" s="162">
        <f>+D639*$J$635</f>
        <v>144.65867559599999</v>
      </c>
      <c r="F639" s="210"/>
      <c r="G639" s="210"/>
      <c r="I639" s="129"/>
      <c r="J639" s="396" t="s">
        <v>116</v>
      </c>
      <c r="K639" s="397"/>
      <c r="L639" s="115" t="s">
        <v>67</v>
      </c>
    </row>
    <row r="640" spans="2:12">
      <c r="C640" s="212" t="s">
        <v>52</v>
      </c>
      <c r="D640" s="162">
        <f>Model!$AT$108</f>
        <v>135483.34899999999</v>
      </c>
      <c r="E640" s="162">
        <f>+D640*$J$635</f>
        <v>168.54128615599998</v>
      </c>
      <c r="F640" s="210"/>
      <c r="G640" s="210"/>
      <c r="I640" s="223"/>
      <c r="J640" s="224" t="s">
        <v>4</v>
      </c>
      <c r="K640" s="224" t="s">
        <v>5</v>
      </c>
      <c r="L640" s="225"/>
    </row>
    <row r="641" spans="3:12">
      <c r="C641" s="213" t="s">
        <v>53</v>
      </c>
      <c r="D641" s="162">
        <f>Model!$AT$110</f>
        <v>113149.861</v>
      </c>
      <c r="E641" s="162">
        <f>+D641*$J$635</f>
        <v>140.758427084</v>
      </c>
      <c r="F641" s="210"/>
      <c r="G641" s="210"/>
      <c r="I641" s="214" t="s">
        <v>17</v>
      </c>
      <c r="J641" s="171">
        <f>+J643+J642</f>
        <v>1834735.115</v>
      </c>
      <c r="K641" s="171">
        <f>J641*J635</f>
        <v>2282.4104830600004</v>
      </c>
      <c r="L641" s="216">
        <f>+J641/J646</f>
        <v>2.5099421945944318</v>
      </c>
    </row>
    <row r="642" spans="3:12">
      <c r="C642" s="207" t="s">
        <v>15</v>
      </c>
      <c r="D642" s="162"/>
      <c r="E642" s="162"/>
      <c r="F642" s="210"/>
      <c r="G642" s="210"/>
      <c r="I642" s="217" t="s">
        <v>18</v>
      </c>
      <c r="J642" s="226">
        <f>D647</f>
        <v>85735.115000000005</v>
      </c>
      <c r="K642" s="226">
        <f>K641-K643</f>
        <v>106.65448306000008</v>
      </c>
      <c r="L642" s="219"/>
    </row>
    <row r="643" spans="3:12">
      <c r="C643" s="212" t="s">
        <v>51</v>
      </c>
      <c r="D643" s="162">
        <f>Model!$AT$112</f>
        <v>61606.932999999997</v>
      </c>
      <c r="E643" s="162">
        <f>+D643*$J$635</f>
        <v>76.639024652000003</v>
      </c>
      <c r="F643" s="210"/>
      <c r="G643" s="210"/>
      <c r="I643" s="214" t="s">
        <v>9</v>
      </c>
      <c r="J643" s="171">
        <v>1749000</v>
      </c>
      <c r="K643" s="171">
        <f>J643*J635</f>
        <v>2175.7560000000003</v>
      </c>
      <c r="L643" s="216">
        <f>+J643/J646</f>
        <v>2.392655409740529</v>
      </c>
    </row>
    <row r="644" spans="3:12">
      <c r="C644" s="212" t="s">
        <v>52</v>
      </c>
      <c r="D644" s="162">
        <f>Model!$AT$113</f>
        <v>1735876.473</v>
      </c>
      <c r="E644" s="162">
        <f>+D644*$J$635</f>
        <v>2159.4303324120001</v>
      </c>
      <c r="F644" s="210"/>
      <c r="G644" s="210"/>
      <c r="I644" s="220" t="s">
        <v>19</v>
      </c>
      <c r="J644" s="228">
        <f>D649</f>
        <v>1529804.2830000001</v>
      </c>
      <c r="K644" s="172">
        <f>+J644*J635</f>
        <v>1903.0765280520002</v>
      </c>
      <c r="L644" s="125"/>
    </row>
    <row r="645" spans="3:12">
      <c r="C645" s="213" t="s">
        <v>54</v>
      </c>
      <c r="D645" s="162">
        <f>Model!$AT$115</f>
        <v>467032.08</v>
      </c>
      <c r="E645" s="162">
        <f>+D645*$J$635</f>
        <v>580.98790752000002</v>
      </c>
      <c r="F645" s="210"/>
      <c r="G645" s="210"/>
      <c r="I645" s="220" t="s">
        <v>20</v>
      </c>
      <c r="J645" s="228">
        <f>J641+J644</f>
        <v>3364539.398</v>
      </c>
      <c r="K645" s="228">
        <f>K641+K644</f>
        <v>4185.4870111120008</v>
      </c>
      <c r="L645" s="125"/>
    </row>
    <row r="646" spans="3:12">
      <c r="C646" s="214" t="s">
        <v>17</v>
      </c>
      <c r="D646" s="215">
        <f>SUM(D639:D645)</f>
        <v>2629433.8050000002</v>
      </c>
      <c r="E646" s="107">
        <f>SUM(E639:E645)</f>
        <v>3271.01565342</v>
      </c>
      <c r="F646" s="216">
        <f>+D646/D651</f>
        <v>3.597100639272655</v>
      </c>
      <c r="G646" s="216">
        <f>+E646/E651</f>
        <v>3.8667832820686932</v>
      </c>
      <c r="I646" s="222" t="s">
        <v>68</v>
      </c>
      <c r="J646" s="170">
        <f>D651</f>
        <v>730987</v>
      </c>
      <c r="K646" s="170"/>
      <c r="L646" s="128"/>
    </row>
    <row r="647" spans="3:12">
      <c r="C647" s="217" t="s">
        <v>18</v>
      </c>
      <c r="D647" s="162">
        <f>Model!$AT$118</f>
        <v>85735.115000000005</v>
      </c>
      <c r="E647" s="162">
        <f>+D647*$J$635</f>
        <v>106.65448306000002</v>
      </c>
      <c r="F647" s="219"/>
      <c r="G647" s="219"/>
    </row>
    <row r="648" spans="3:12">
      <c r="C648" s="214" t="s">
        <v>9</v>
      </c>
      <c r="D648" s="215">
        <f>+D646-D647</f>
        <v>2543698.69</v>
      </c>
      <c r="E648" s="107">
        <f>+E646-E647</f>
        <v>3164.36117036</v>
      </c>
      <c r="F648" s="216">
        <f>+D648/D651</f>
        <v>3.4798138544187514</v>
      </c>
      <c r="G648" s="216">
        <f>+E648/E651</f>
        <v>3.7407032458503116</v>
      </c>
      <c r="J648" s="196"/>
    </row>
    <row r="649" spans="3:12">
      <c r="C649" s="220" t="s">
        <v>19</v>
      </c>
      <c r="D649" s="221">
        <f>Model!$AT$125</f>
        <v>1529804.2830000001</v>
      </c>
      <c r="E649" s="162">
        <f>+D649*$J$635</f>
        <v>1903.0765280520002</v>
      </c>
      <c r="F649" s="125"/>
      <c r="G649" s="125"/>
    </row>
    <row r="650" spans="3:12">
      <c r="C650" s="214" t="s">
        <v>20</v>
      </c>
      <c r="D650" s="215">
        <f>D646+D649</f>
        <v>4159238.0880000005</v>
      </c>
      <c r="E650" s="107">
        <f>E646+E649</f>
        <v>5174.0921814720004</v>
      </c>
      <c r="F650" s="216">
        <f>D650/D651</f>
        <v>5.6898933743007749</v>
      </c>
      <c r="G650" s="216">
        <f>E650/E651</f>
        <v>6.1164773474195737</v>
      </c>
    </row>
    <row r="651" spans="3:12">
      <c r="C651" s="222" t="s">
        <v>21</v>
      </c>
      <c r="D651" s="126">
        <f>Model!$AT$84</f>
        <v>730987</v>
      </c>
      <c r="E651" s="241">
        <f>+D651*J636</f>
        <v>845.92681172192226</v>
      </c>
      <c r="F651" s="128"/>
      <c r="G651" s="128"/>
    </row>
    <row r="653" spans="3:12">
      <c r="C653" s="136" t="s">
        <v>22</v>
      </c>
      <c r="D653" s="137">
        <f>D646-Model!$AT$121</f>
        <v>0</v>
      </c>
      <c r="E653" s="138"/>
    </row>
    <row r="654" spans="3:12" ht="13.5" thickBot="1">
      <c r="D654" s="395"/>
      <c r="E654" s="395"/>
    </row>
    <row r="655" spans="3:12">
      <c r="C655" s="60" t="s">
        <v>118</v>
      </c>
      <c r="D655" s="61" t="s">
        <v>35</v>
      </c>
      <c r="E655" s="61" t="s">
        <v>36</v>
      </c>
    </row>
    <row r="656" spans="3:12">
      <c r="C656" s="62"/>
      <c r="D656" s="84"/>
      <c r="E656" s="84"/>
    </row>
    <row r="657" spans="3:5">
      <c r="C657" s="62" t="s">
        <v>24</v>
      </c>
      <c r="D657" s="184">
        <f>D647</f>
        <v>85735.115000000005</v>
      </c>
      <c r="E657" s="184">
        <f>D657*$J$635</f>
        <v>106.65448306000002</v>
      </c>
    </row>
    <row r="658" spans="3:5" ht="13.5" thickBot="1">
      <c r="C658" s="63"/>
      <c r="D658" s="185">
        <f>SUM(D656:D657)</f>
        <v>85735.115000000005</v>
      </c>
      <c r="E658" s="185">
        <f>SUM(E656:E657)</f>
        <v>106.65448306000002</v>
      </c>
    </row>
    <row r="659" spans="3:5" ht="13.5" thickBot="1"/>
    <row r="660" spans="3:5">
      <c r="C660" s="60" t="s">
        <v>119</v>
      </c>
      <c r="D660" s="61" t="s">
        <v>35</v>
      </c>
      <c r="E660" s="61" t="s">
        <v>36</v>
      </c>
    </row>
    <row r="661" spans="3:5">
      <c r="C661" s="54" t="s">
        <v>27</v>
      </c>
      <c r="D661" s="181">
        <f>30935.964+85349.146+14613.966+120869.383</f>
        <v>251768.45899999997</v>
      </c>
      <c r="E661" s="184">
        <f t="shared" ref="E661:E666" si="11">D661*$J$635</f>
        <v>313.19996299600001</v>
      </c>
    </row>
    <row r="662" spans="3:5">
      <c r="C662" s="54" t="s">
        <v>28</v>
      </c>
      <c r="D662" s="181">
        <f>61606.932+116758.486</f>
        <v>178365.41800000001</v>
      </c>
      <c r="E662" s="184">
        <f t="shared" si="11"/>
        <v>221.88657999200004</v>
      </c>
    </row>
    <row r="663" spans="3:5">
      <c r="C663" s="54" t="s">
        <v>29</v>
      </c>
      <c r="D663" s="181">
        <v>224649.71299999999</v>
      </c>
      <c r="E663" s="184">
        <f t="shared" si="11"/>
        <v>279.46424297200002</v>
      </c>
    </row>
    <row r="664" spans="3:5">
      <c r="C664" s="54" t="s">
        <v>30</v>
      </c>
      <c r="D664" s="181">
        <v>224403.04199999999</v>
      </c>
      <c r="E664" s="184">
        <f t="shared" si="11"/>
        <v>279.15738424800003</v>
      </c>
    </row>
    <row r="665" spans="3:5">
      <c r="C665" s="54" t="s">
        <v>31</v>
      </c>
      <c r="D665" s="181">
        <v>0</v>
      </c>
      <c r="E665" s="184">
        <f t="shared" si="11"/>
        <v>0</v>
      </c>
    </row>
    <row r="666" spans="3:5" ht="13.5" thickBot="1">
      <c r="C666" s="54" t="s">
        <v>32</v>
      </c>
      <c r="D666" s="181">
        <v>1170065.2320000001</v>
      </c>
      <c r="E666" s="184">
        <f t="shared" si="11"/>
        <v>1455.5611486080002</v>
      </c>
    </row>
    <row r="667" spans="3:5" ht="13.5" thickBot="1">
      <c r="C667" s="186" t="s">
        <v>33</v>
      </c>
      <c r="D667" s="187">
        <f>SUM(D661:D666)</f>
        <v>2049251.8640000001</v>
      </c>
      <c r="E667" s="193">
        <f>SUM(E661:E666)</f>
        <v>2549.2693188160001</v>
      </c>
    </row>
    <row r="668" spans="3:5" ht="13.5" thickBot="1">
      <c r="D668" s="191"/>
    </row>
    <row r="669" spans="3:5">
      <c r="C669" s="60" t="s">
        <v>120</v>
      </c>
      <c r="D669" s="61" t="s">
        <v>35</v>
      </c>
      <c r="E669" s="61" t="s">
        <v>36</v>
      </c>
    </row>
    <row r="670" spans="3:5">
      <c r="C670" s="54" t="s">
        <v>27</v>
      </c>
      <c r="D670" s="181">
        <v>113149.861</v>
      </c>
      <c r="E670" s="184">
        <f t="shared" ref="E670:E675" si="12">D670*$J$635</f>
        <v>140.758427084</v>
      </c>
    </row>
    <row r="671" spans="3:5">
      <c r="C671" s="54" t="s">
        <v>28</v>
      </c>
      <c r="D671" s="181">
        <v>97892.601999999999</v>
      </c>
      <c r="E671" s="184">
        <f t="shared" si="12"/>
        <v>121.778396888</v>
      </c>
    </row>
    <row r="672" spans="3:5">
      <c r="C672" s="54" t="s">
        <v>29</v>
      </c>
      <c r="D672" s="181">
        <v>92979.240999999995</v>
      </c>
      <c r="E672" s="184">
        <f t="shared" si="12"/>
        <v>115.66617580400001</v>
      </c>
    </row>
    <row r="673" spans="2:11">
      <c r="C673" s="54" t="s">
        <v>30</v>
      </c>
      <c r="D673" s="181">
        <v>82078.251999999993</v>
      </c>
      <c r="E673" s="184">
        <f t="shared" si="12"/>
        <v>102.105345488</v>
      </c>
    </row>
    <row r="674" spans="2:11">
      <c r="C674" s="54" t="s">
        <v>31</v>
      </c>
      <c r="D674" s="181">
        <v>57915.334999999999</v>
      </c>
      <c r="E674" s="184">
        <f t="shared" si="12"/>
        <v>72.046676740000009</v>
      </c>
    </row>
    <row r="675" spans="2:11" ht="13.5" thickBot="1">
      <c r="C675" s="54" t="s">
        <v>32</v>
      </c>
      <c r="D675" s="181">
        <v>136166.65</v>
      </c>
      <c r="E675" s="184">
        <f t="shared" si="12"/>
        <v>169.39131259999999</v>
      </c>
    </row>
    <row r="676" spans="2:11" ht="13.5" thickBot="1">
      <c r="C676" s="186" t="s">
        <v>37</v>
      </c>
      <c r="D676" s="187">
        <f>SUM(D670:D675)</f>
        <v>580181.94099999999</v>
      </c>
      <c r="E676" s="187">
        <f>SUM(E670:E675)</f>
        <v>721.74633460399991</v>
      </c>
      <c r="F676" s="245"/>
    </row>
    <row r="677" spans="2:11" ht="13.5" thickBot="1">
      <c r="D677" s="191"/>
    </row>
    <row r="678" spans="2:11">
      <c r="C678" s="60" t="s">
        <v>119</v>
      </c>
      <c r="D678" s="61" t="s">
        <v>35</v>
      </c>
      <c r="E678" s="61" t="s">
        <v>36</v>
      </c>
    </row>
    <row r="679" spans="2:11">
      <c r="C679" s="54" t="s">
        <v>27</v>
      </c>
      <c r="D679" s="104">
        <f t="shared" ref="D679:D684" si="13">+D661+D670</f>
        <v>364918.31999999995</v>
      </c>
      <c r="E679" s="184">
        <f t="shared" ref="E679:E684" si="14">D679*$J$635</f>
        <v>453.95839007999996</v>
      </c>
    </row>
    <row r="680" spans="2:11">
      <c r="C680" s="54" t="s">
        <v>28</v>
      </c>
      <c r="D680" s="104">
        <f t="shared" si="13"/>
        <v>276258.02</v>
      </c>
      <c r="E680" s="184">
        <f t="shared" si="14"/>
        <v>343.66497688000004</v>
      </c>
    </row>
    <row r="681" spans="2:11">
      <c r="C681" s="54" t="s">
        <v>29</v>
      </c>
      <c r="D681" s="104">
        <f t="shared" si="13"/>
        <v>317628.95399999997</v>
      </c>
      <c r="E681" s="184">
        <f t="shared" si="14"/>
        <v>395.130418776</v>
      </c>
    </row>
    <row r="682" spans="2:11">
      <c r="C682" s="54" t="s">
        <v>30</v>
      </c>
      <c r="D682" s="104">
        <f t="shared" si="13"/>
        <v>306481.29399999999</v>
      </c>
      <c r="E682" s="184">
        <f t="shared" si="14"/>
        <v>381.26272973600004</v>
      </c>
      <c r="G682" s="237"/>
    </row>
    <row r="683" spans="2:11">
      <c r="C683" s="54" t="s">
        <v>31</v>
      </c>
      <c r="D683" s="104">
        <f t="shared" si="13"/>
        <v>57915.334999999999</v>
      </c>
      <c r="E683" s="184">
        <f t="shared" si="14"/>
        <v>72.046676740000009</v>
      </c>
    </row>
    <row r="684" spans="2:11" ht="13.5" thickBot="1">
      <c r="C684" s="54" t="s">
        <v>32</v>
      </c>
      <c r="D684" s="104">
        <f t="shared" si="13"/>
        <v>1306231.882</v>
      </c>
      <c r="E684" s="184">
        <f t="shared" si="14"/>
        <v>1624.9524612080002</v>
      </c>
    </row>
    <row r="685" spans="2:11" ht="13.5" thickBot="1">
      <c r="C685" s="186" t="s">
        <v>38</v>
      </c>
      <c r="D685" s="187">
        <f>SUM(D679:D684)</f>
        <v>2629433.8049999997</v>
      </c>
      <c r="E685" s="193">
        <f>SUM(E679:E684)</f>
        <v>3271.0156534200005</v>
      </c>
    </row>
    <row r="686" spans="2:11">
      <c r="C686" s="234"/>
      <c r="D686" s="235"/>
      <c r="E686" s="236"/>
    </row>
    <row r="688" spans="2:11">
      <c r="B688" s="52" t="s">
        <v>121</v>
      </c>
      <c r="I688" s="52" t="s">
        <v>122</v>
      </c>
      <c r="J688" s="179">
        <f>Model!AS208</f>
        <v>1.2570000000000001E-3</v>
      </c>
      <c r="K688" s="179"/>
    </row>
    <row r="689" spans="3:12">
      <c r="C689" s="129"/>
      <c r="D689" s="396" t="s">
        <v>123</v>
      </c>
      <c r="E689" s="397"/>
      <c r="F689" s="115" t="s">
        <v>6</v>
      </c>
      <c r="G689" s="115" t="s">
        <v>7</v>
      </c>
      <c r="I689" s="52" t="s">
        <v>124</v>
      </c>
      <c r="J689" s="179">
        <f>AVERAGE(Model!AP207:AS207)</f>
        <v>1.1379976640541033E-3</v>
      </c>
      <c r="K689" s="179"/>
    </row>
    <row r="690" spans="3:12">
      <c r="C690" s="207"/>
      <c r="D690" s="208" t="s">
        <v>4</v>
      </c>
      <c r="E690" s="209" t="s">
        <v>5</v>
      </c>
      <c r="F690" s="210"/>
      <c r="G690" s="210"/>
      <c r="I690" s="52"/>
    </row>
    <row r="691" spans="3:12">
      <c r="C691" s="207" t="s">
        <v>10</v>
      </c>
      <c r="D691" s="211"/>
      <c r="E691" s="162"/>
      <c r="F691" s="210"/>
      <c r="G691" s="210"/>
      <c r="I691" s="52" t="s">
        <v>8</v>
      </c>
    </row>
    <row r="692" spans="3:12">
      <c r="C692" s="212" t="s">
        <v>51</v>
      </c>
      <c r="D692" s="162">
        <f>Model!$AS$107</f>
        <v>83043.452000000005</v>
      </c>
      <c r="E692" s="162">
        <f>+D692*$J$688</f>
        <v>104.38561916400002</v>
      </c>
      <c r="F692" s="210"/>
      <c r="G692" s="210"/>
      <c r="I692" s="129"/>
      <c r="J692" s="396" t="s">
        <v>123</v>
      </c>
      <c r="K692" s="397"/>
      <c r="L692" s="115" t="s">
        <v>67</v>
      </c>
    </row>
    <row r="693" spans="3:12">
      <c r="C693" s="212" t="s">
        <v>52</v>
      </c>
      <c r="D693" s="162">
        <f>Model!$AS$108</f>
        <v>130198.644</v>
      </c>
      <c r="E693" s="162">
        <f>+D693*$J$688</f>
        <v>163.659695508</v>
      </c>
      <c r="F693" s="210"/>
      <c r="G693" s="210"/>
      <c r="I693" s="223"/>
      <c r="J693" s="224" t="s">
        <v>4</v>
      </c>
      <c r="K693" s="224" t="s">
        <v>5</v>
      </c>
      <c r="L693" s="225"/>
    </row>
    <row r="694" spans="3:12">
      <c r="C694" s="213" t="s">
        <v>53</v>
      </c>
      <c r="D694" s="162">
        <f>Model!$AS$110</f>
        <v>108335.931</v>
      </c>
      <c r="E694" s="162">
        <f>+D694*$J$688</f>
        <v>136.178265267</v>
      </c>
      <c r="F694" s="210"/>
      <c r="G694" s="210"/>
      <c r="I694" s="214" t="s">
        <v>17</v>
      </c>
      <c r="J694" s="171">
        <f>+J696+J695</f>
        <v>2328560.4169999999</v>
      </c>
      <c r="K694" s="171">
        <f>J694*J688</f>
        <v>2927.0004441690003</v>
      </c>
      <c r="L694" s="216">
        <f>+J694/J699</f>
        <v>1.9015657331801339</v>
      </c>
    </row>
    <row r="695" spans="3:12">
      <c r="C695" s="207" t="s">
        <v>15</v>
      </c>
      <c r="D695" s="162"/>
      <c r="E695" s="162"/>
      <c r="F695" s="210"/>
      <c r="G695" s="210"/>
      <c r="I695" s="217" t="s">
        <v>18</v>
      </c>
      <c r="J695" s="226">
        <f>D700</f>
        <v>101060.417</v>
      </c>
      <c r="K695" s="226">
        <f>K694-K696</f>
        <v>127.03294416900007</v>
      </c>
      <c r="L695" s="219"/>
    </row>
    <row r="696" spans="3:12">
      <c r="C696" s="212" t="s">
        <v>51</v>
      </c>
      <c r="D696" s="162">
        <f>Model!$AS$112</f>
        <v>92550.369000000006</v>
      </c>
      <c r="E696" s="162">
        <f>+D696*$J$688</f>
        <v>116.33581383300002</v>
      </c>
      <c r="F696" s="210"/>
      <c r="G696" s="210"/>
      <c r="I696" s="214" t="s">
        <v>9</v>
      </c>
      <c r="J696" s="265">
        <v>2227500</v>
      </c>
      <c r="K696" s="171">
        <f>J696*J688</f>
        <v>2799.9675000000002</v>
      </c>
      <c r="L696" s="216">
        <f>+J696/J699</f>
        <v>1.8190370495586539</v>
      </c>
    </row>
    <row r="697" spans="3:12">
      <c r="C697" s="212" t="s">
        <v>52</v>
      </c>
      <c r="D697" s="162">
        <f>Model!$AS$113</f>
        <v>1711182.281</v>
      </c>
      <c r="E697" s="162">
        <f>+D697*$J$688</f>
        <v>2150.9561272169999</v>
      </c>
      <c r="F697" s="210"/>
      <c r="G697" s="210"/>
      <c r="I697" s="220" t="s">
        <v>19</v>
      </c>
      <c r="J697" s="228">
        <f>D702</f>
        <v>1495361.7649999999</v>
      </c>
      <c r="K697" s="172">
        <f>+J697*J688</f>
        <v>1879.669738605</v>
      </c>
      <c r="L697" s="125"/>
    </row>
    <row r="698" spans="3:12">
      <c r="C698" s="213" t="s">
        <v>54</v>
      </c>
      <c r="D698" s="162">
        <f>Model!$AS$115</f>
        <v>469876.00699999998</v>
      </c>
      <c r="E698" s="162">
        <f>+D698*$J$688</f>
        <v>590.63414079899997</v>
      </c>
      <c r="F698" s="210"/>
      <c r="G698" s="210"/>
      <c r="I698" s="220" t="s">
        <v>20</v>
      </c>
      <c r="J698" s="228">
        <f>J694+J697</f>
        <v>3823922.182</v>
      </c>
      <c r="K698" s="228">
        <f>K694+K697</f>
        <v>4806.6701827739998</v>
      </c>
      <c r="L698" s="125"/>
    </row>
    <row r="699" spans="3:12">
      <c r="C699" s="214" t="s">
        <v>17</v>
      </c>
      <c r="D699" s="215">
        <f>SUM(D692:D698)</f>
        <v>2595186.6840000004</v>
      </c>
      <c r="E699" s="107">
        <f>SUM(E692:E698)</f>
        <v>3262.1496617879998</v>
      </c>
      <c r="F699" s="216">
        <f>+D699/D704</f>
        <v>2.1192999904454624</v>
      </c>
      <c r="G699" s="216">
        <f>+E699/E704</f>
        <v>2.3409187664758631</v>
      </c>
      <c r="I699" s="222" t="s">
        <v>68</v>
      </c>
      <c r="J699" s="170">
        <f>D704</f>
        <v>1224549</v>
      </c>
      <c r="K699" s="170"/>
      <c r="L699" s="128"/>
    </row>
    <row r="700" spans="3:12">
      <c r="C700" s="217" t="s">
        <v>18</v>
      </c>
      <c r="D700" s="162">
        <f>Model!$AS$118</f>
        <v>101060.417</v>
      </c>
      <c r="E700" s="162">
        <f>+D700*$J$688</f>
        <v>127.032944169</v>
      </c>
      <c r="F700" s="219"/>
      <c r="G700" s="219"/>
    </row>
    <row r="701" spans="3:12">
      <c r="C701" s="214" t="s">
        <v>9</v>
      </c>
      <c r="D701" s="215">
        <f>+D699-D700</f>
        <v>2494126.2670000005</v>
      </c>
      <c r="E701" s="107">
        <f>+E699-E700</f>
        <v>3135.1167176189997</v>
      </c>
      <c r="F701" s="216">
        <f>+D701/D704</f>
        <v>2.0367713068239821</v>
      </c>
      <c r="G701" s="216">
        <f>+E701/E704</f>
        <v>2.2497599191521935</v>
      </c>
      <c r="J701" s="196"/>
    </row>
    <row r="702" spans="3:12">
      <c r="C702" s="220" t="s">
        <v>19</v>
      </c>
      <c r="D702" s="221">
        <f>Model!$AS$125</f>
        <v>1495361.7649999999</v>
      </c>
      <c r="E702" s="162">
        <f>+D702*$J$688</f>
        <v>1879.669738605</v>
      </c>
      <c r="F702" s="125"/>
      <c r="G702" s="125"/>
    </row>
    <row r="703" spans="3:12">
      <c r="C703" s="214" t="s">
        <v>20</v>
      </c>
      <c r="D703" s="215">
        <f>D699+D702</f>
        <v>4090548.449</v>
      </c>
      <c r="E703" s="107">
        <f>E699+E702</f>
        <v>5141.8194003930003</v>
      </c>
      <c r="F703" s="216">
        <f>D703/D704</f>
        <v>3.3404530557780863</v>
      </c>
      <c r="G703" s="216">
        <f>E703/E704</f>
        <v>3.6897698683794711</v>
      </c>
    </row>
    <row r="704" spans="3:12">
      <c r="C704" s="222" t="s">
        <v>21</v>
      </c>
      <c r="D704" s="126">
        <f>Model!$AS$84</f>
        <v>1224549</v>
      </c>
      <c r="E704" s="241">
        <f>+D704*J689</f>
        <v>1393.5339015197883</v>
      </c>
      <c r="F704" s="128"/>
      <c r="G704" s="128"/>
    </row>
    <row r="706" spans="3:5">
      <c r="C706" s="136" t="s">
        <v>22</v>
      </c>
      <c r="D706" s="137">
        <f>D699-Model!AS121</f>
        <v>0</v>
      </c>
      <c r="E706" s="138"/>
    </row>
    <row r="707" spans="3:5" ht="13.5" thickBot="1">
      <c r="D707" s="395"/>
      <c r="E707" s="395"/>
    </row>
    <row r="708" spans="3:5">
      <c r="C708" s="60" t="s">
        <v>125</v>
      </c>
      <c r="D708" s="61" t="s">
        <v>35</v>
      </c>
      <c r="E708" s="61" t="s">
        <v>36</v>
      </c>
    </row>
    <row r="709" spans="3:5">
      <c r="C709" s="62"/>
      <c r="D709" s="84"/>
      <c r="E709" s="84"/>
    </row>
    <row r="710" spans="3:5">
      <c r="C710" s="62" t="s">
        <v>24</v>
      </c>
      <c r="D710" s="184">
        <f>D700</f>
        <v>101060.417</v>
      </c>
      <c r="E710" s="184">
        <f>D710*$J$688</f>
        <v>127.032944169</v>
      </c>
    </row>
    <row r="711" spans="3:5" ht="13.5" thickBot="1">
      <c r="C711" s="63"/>
      <c r="D711" s="185">
        <f>SUM(D709:D710)</f>
        <v>101060.417</v>
      </c>
      <c r="E711" s="185">
        <f>SUM(E709:E710)</f>
        <v>127.032944169</v>
      </c>
    </row>
    <row r="712" spans="3:5" ht="13.5" thickBot="1"/>
    <row r="713" spans="3:5">
      <c r="C713" s="60" t="s">
        <v>126</v>
      </c>
      <c r="D713" s="61" t="s">
        <v>35</v>
      </c>
      <c r="E713" s="61" t="s">
        <v>36</v>
      </c>
    </row>
    <row r="714" spans="3:5">
      <c r="C714" s="54" t="s">
        <v>27</v>
      </c>
      <c r="D714" s="181">
        <f>53792.883+29250.569+10575.289+119623.355</f>
        <v>213242.09600000002</v>
      </c>
      <c r="E714" s="184">
        <f t="shared" ref="E714:E719" si="15">D714*$J$688</f>
        <v>268.04531467200002</v>
      </c>
    </row>
    <row r="715" spans="3:5">
      <c r="C715" s="54" t="s">
        <v>28</v>
      </c>
      <c r="D715" s="181">
        <f>61081.914+115062.032</f>
        <v>176143.946</v>
      </c>
      <c r="E715" s="184">
        <f t="shared" si="15"/>
        <v>221.41294012200001</v>
      </c>
    </row>
    <row r="716" spans="3:5">
      <c r="C716" s="54" t="s">
        <v>29</v>
      </c>
      <c r="D716" s="181">
        <f>31468.455+221437.651</f>
        <v>252906.10600000003</v>
      </c>
      <c r="E716" s="184">
        <f t="shared" si="15"/>
        <v>317.90297524200008</v>
      </c>
    </row>
    <row r="717" spans="3:5">
      <c r="C717" s="54" t="s">
        <v>30</v>
      </c>
      <c r="D717" s="181">
        <v>221194.44099999999</v>
      </c>
      <c r="E717" s="184">
        <f t="shared" si="15"/>
        <v>278.041412337</v>
      </c>
    </row>
    <row r="718" spans="3:5">
      <c r="C718" s="54" t="s">
        <v>31</v>
      </c>
      <c r="D718" s="181">
        <v>0</v>
      </c>
      <c r="E718" s="184">
        <f t="shared" si="15"/>
        <v>0</v>
      </c>
    </row>
    <row r="719" spans="3:5" ht="13.5" thickBot="1">
      <c r="C719" s="54" t="s">
        <v>32</v>
      </c>
      <c r="D719" s="181">
        <v>1153488.1569999999</v>
      </c>
      <c r="E719" s="184">
        <f t="shared" si="15"/>
        <v>1449.9346133490001</v>
      </c>
    </row>
    <row r="720" spans="3:5" ht="13.5" thickBot="1">
      <c r="C720" s="186" t="s">
        <v>33</v>
      </c>
      <c r="D720" s="187">
        <f>SUM(D714:D719)</f>
        <v>2016974.7459999998</v>
      </c>
      <c r="E720" s="193">
        <f>SUM(E714:E719)</f>
        <v>2535.337255722</v>
      </c>
    </row>
    <row r="721" spans="3:7" ht="13.5" thickBot="1">
      <c r="D721" s="191"/>
    </row>
    <row r="722" spans="3:7">
      <c r="C722" s="60" t="s">
        <v>127</v>
      </c>
      <c r="D722" s="61" t="s">
        <v>35</v>
      </c>
      <c r="E722" s="61" t="s">
        <v>36</v>
      </c>
    </row>
    <row r="723" spans="3:7">
      <c r="C723" s="54" t="s">
        <v>27</v>
      </c>
      <c r="D723" s="181">
        <v>108335.931</v>
      </c>
      <c r="E723" s="184">
        <f t="shared" ref="E723:E728" si="16">D723*$J$688</f>
        <v>136.178265267</v>
      </c>
    </row>
    <row r="724" spans="3:7">
      <c r="C724" s="54" t="s">
        <v>28</v>
      </c>
      <c r="D724" s="181">
        <v>94605.607000000004</v>
      </c>
      <c r="E724" s="184">
        <f t="shared" si="16"/>
        <v>118.91924799900001</v>
      </c>
    </row>
    <row r="725" spans="3:7">
      <c r="C725" s="54" t="s">
        <v>29</v>
      </c>
      <c r="D725" s="181">
        <v>87279.478000000003</v>
      </c>
      <c r="E725" s="184">
        <f t="shared" si="16"/>
        <v>109.71030384600002</v>
      </c>
    </row>
    <row r="726" spans="3:7">
      <c r="C726" s="54" t="s">
        <v>30</v>
      </c>
      <c r="D726" s="181">
        <v>79205.237999999998</v>
      </c>
      <c r="E726" s="184">
        <f t="shared" si="16"/>
        <v>99.560984165999997</v>
      </c>
    </row>
    <row r="727" spans="3:7">
      <c r="C727" s="54" t="s">
        <v>31</v>
      </c>
      <c r="D727" s="181">
        <v>56760.034</v>
      </c>
      <c r="E727" s="184">
        <f t="shared" si="16"/>
        <v>71.347362738000001</v>
      </c>
    </row>
    <row r="728" spans="3:7" ht="13.5" thickBot="1">
      <c r="C728" s="54" t="s">
        <v>32</v>
      </c>
      <c r="D728" s="181">
        <v>152025.65</v>
      </c>
      <c r="E728" s="184">
        <f t="shared" si="16"/>
        <v>191.09624205</v>
      </c>
    </row>
    <row r="729" spans="3:7" ht="13.5" thickBot="1">
      <c r="C729" s="186" t="s">
        <v>37</v>
      </c>
      <c r="D729" s="187">
        <f>SUM(D723:D728)</f>
        <v>578211.93799999997</v>
      </c>
      <c r="E729" s="187">
        <f>SUM(E723:E728)</f>
        <v>726.81240606600011</v>
      </c>
      <c r="F729" s="245"/>
    </row>
    <row r="730" spans="3:7" ht="13.5" thickBot="1">
      <c r="D730" s="191"/>
    </row>
    <row r="731" spans="3:7">
      <c r="C731" s="60" t="s">
        <v>126</v>
      </c>
      <c r="D731" s="61" t="s">
        <v>35</v>
      </c>
      <c r="E731" s="61" t="s">
        <v>36</v>
      </c>
    </row>
    <row r="732" spans="3:7">
      <c r="C732" s="54" t="s">
        <v>27</v>
      </c>
      <c r="D732" s="104">
        <f t="shared" ref="D732:D737" si="17">+D714+D723</f>
        <v>321578.027</v>
      </c>
      <c r="E732" s="184">
        <f t="shared" ref="E732:E737" si="18">D732*$J$688</f>
        <v>404.22357993900005</v>
      </c>
    </row>
    <row r="733" spans="3:7">
      <c r="C733" s="54" t="s">
        <v>28</v>
      </c>
      <c r="D733" s="104">
        <f t="shared" si="17"/>
        <v>270749.55300000001</v>
      </c>
      <c r="E733" s="184">
        <f t="shared" si="18"/>
        <v>340.33218812100006</v>
      </c>
    </row>
    <row r="734" spans="3:7">
      <c r="C734" s="54" t="s">
        <v>29</v>
      </c>
      <c r="D734" s="104">
        <f t="shared" si="17"/>
        <v>340185.58400000003</v>
      </c>
      <c r="E734" s="184">
        <f t="shared" si="18"/>
        <v>427.61327908800007</v>
      </c>
    </row>
    <row r="735" spans="3:7">
      <c r="C735" s="54" t="s">
        <v>30</v>
      </c>
      <c r="D735" s="104">
        <f t="shared" si="17"/>
        <v>300399.679</v>
      </c>
      <c r="E735" s="184">
        <f t="shared" si="18"/>
        <v>377.60239650300002</v>
      </c>
      <c r="G735" s="237"/>
    </row>
    <row r="736" spans="3:7">
      <c r="C736" s="54" t="s">
        <v>31</v>
      </c>
      <c r="D736" s="104">
        <f t="shared" si="17"/>
        <v>56760.034</v>
      </c>
      <c r="E736" s="184">
        <f t="shared" si="18"/>
        <v>71.347362738000001</v>
      </c>
    </row>
    <row r="737" spans="2:12" ht="13.5" thickBot="1">
      <c r="C737" s="54" t="s">
        <v>32</v>
      </c>
      <c r="D737" s="104">
        <f t="shared" si="17"/>
        <v>1305513.8069999998</v>
      </c>
      <c r="E737" s="184">
        <f t="shared" si="18"/>
        <v>1641.0308553989998</v>
      </c>
    </row>
    <row r="738" spans="2:12" ht="13.5" thickBot="1">
      <c r="C738" s="186" t="s">
        <v>38</v>
      </c>
      <c r="D738" s="187">
        <f>SUM(D732:D737)</f>
        <v>2595186.6839999999</v>
      </c>
      <c r="E738" s="193">
        <f>SUM(E732:E737)</f>
        <v>3262.1496617879998</v>
      </c>
    </row>
    <row r="739" spans="2:12">
      <c r="C739" s="234"/>
      <c r="D739" s="235"/>
      <c r="E739" s="236"/>
    </row>
    <row r="740" spans="2:12">
      <c r="C740" s="234"/>
      <c r="D740" s="235"/>
      <c r="E740" s="236"/>
    </row>
    <row r="741" spans="2:12">
      <c r="C741" s="234"/>
      <c r="D741" s="235"/>
      <c r="E741" s="236"/>
    </row>
    <row r="742" spans="2:12">
      <c r="B742" s="52" t="s">
        <v>128</v>
      </c>
      <c r="I742" s="52" t="s">
        <v>129</v>
      </c>
      <c r="J742" s="179">
        <f>Model!AR208</f>
        <v>1.178E-3</v>
      </c>
      <c r="K742" s="179"/>
    </row>
    <row r="743" spans="2:12">
      <c r="C743" s="129"/>
      <c r="D743" s="396" t="s">
        <v>130</v>
      </c>
      <c r="E743" s="397"/>
      <c r="F743" s="115" t="s">
        <v>6</v>
      </c>
      <c r="G743" s="115" t="s">
        <v>7</v>
      </c>
      <c r="I743" s="52" t="s">
        <v>131</v>
      </c>
      <c r="J743" s="179">
        <f>AVERAGE(Model!AO207:AR207)</f>
        <v>1.138730541403819E-3</v>
      </c>
      <c r="K743" s="179"/>
    </row>
    <row r="744" spans="2:12">
      <c r="C744" s="207"/>
      <c r="D744" s="208" t="s">
        <v>4</v>
      </c>
      <c r="E744" s="209" t="s">
        <v>5</v>
      </c>
      <c r="F744" s="210"/>
      <c r="G744" s="210"/>
      <c r="I744" s="52"/>
    </row>
    <row r="745" spans="2:12">
      <c r="C745" s="207" t="s">
        <v>10</v>
      </c>
      <c r="D745" s="211"/>
      <c r="E745" s="162"/>
      <c r="F745" s="210"/>
      <c r="G745" s="210"/>
      <c r="I745" s="52" t="s">
        <v>8</v>
      </c>
    </row>
    <row r="746" spans="2:12">
      <c r="C746" s="212" t="s">
        <v>51</v>
      </c>
      <c r="D746" s="162">
        <f>Model!$AR$107</f>
        <v>90137.673999999999</v>
      </c>
      <c r="E746" s="162">
        <f>+D746*$J$742</f>
        <v>106.182179972</v>
      </c>
      <c r="F746" s="210"/>
      <c r="G746" s="210"/>
      <c r="I746" s="129"/>
      <c r="J746" s="396" t="s">
        <v>130</v>
      </c>
      <c r="K746" s="397"/>
      <c r="L746" s="115" t="s">
        <v>67</v>
      </c>
    </row>
    <row r="747" spans="2:12">
      <c r="C747" s="212" t="s">
        <v>52</v>
      </c>
      <c r="D747" s="162">
        <f>Model!$AR$108</f>
        <v>144370.75599999999</v>
      </c>
      <c r="E747" s="162">
        <f>+D747*$J$742</f>
        <v>170.06875056799998</v>
      </c>
      <c r="F747" s="210"/>
      <c r="G747" s="210"/>
      <c r="I747" s="223"/>
      <c r="J747" s="224" t="s">
        <v>4</v>
      </c>
      <c r="K747" s="224" t="s">
        <v>5</v>
      </c>
      <c r="L747" s="225"/>
    </row>
    <row r="748" spans="2:12">
      <c r="C748" s="213" t="s">
        <v>53</v>
      </c>
      <c r="D748" s="162">
        <f>Model!$AR$110</f>
        <v>109048.285</v>
      </c>
      <c r="E748" s="162">
        <f>+D748*$J$742</f>
        <v>128.45887973000001</v>
      </c>
      <c r="F748" s="210"/>
      <c r="G748" s="210"/>
      <c r="I748" s="214" t="s">
        <v>17</v>
      </c>
      <c r="J748" s="171">
        <f>+J750+J749</f>
        <v>2097742.3960000002</v>
      </c>
      <c r="K748" s="171">
        <f>J748*J742</f>
        <v>2471.1405424880004</v>
      </c>
      <c r="L748" s="216">
        <f>+J748/J753</f>
        <v>1.6362879284375433</v>
      </c>
    </row>
    <row r="749" spans="2:12">
      <c r="C749" s="207" t="s">
        <v>15</v>
      </c>
      <c r="D749" s="162"/>
      <c r="E749" s="162"/>
      <c r="F749" s="210"/>
      <c r="G749" s="210"/>
      <c r="I749" s="217" t="s">
        <v>18</v>
      </c>
      <c r="J749" s="226">
        <f>D754</f>
        <v>186542.39600000001</v>
      </c>
      <c r="K749" s="226">
        <f>K748-K750</f>
        <v>219.74694248800051</v>
      </c>
      <c r="L749" s="219"/>
    </row>
    <row r="750" spans="2:12">
      <c r="C750" s="212" t="s">
        <v>51</v>
      </c>
      <c r="D750" s="162">
        <f>Model!$AR$112</f>
        <v>97704.797999999995</v>
      </c>
      <c r="E750" s="162">
        <f>+D750*$J$742</f>
        <v>115.096252044</v>
      </c>
      <c r="F750" s="210"/>
      <c r="G750" s="210"/>
      <c r="I750" s="214" t="s">
        <v>9</v>
      </c>
      <c r="J750" s="227">
        <v>1911200</v>
      </c>
      <c r="K750" s="171">
        <f>J750*J742</f>
        <v>2251.3935999999999</v>
      </c>
      <c r="L750" s="216">
        <f>+J750/J753</f>
        <v>1.4907805147061692</v>
      </c>
    </row>
    <row r="751" spans="2:12">
      <c r="C751" s="212" t="s">
        <v>52</v>
      </c>
      <c r="D751" s="162">
        <f>Model!$AR$113</f>
        <v>1798566.5049999999</v>
      </c>
      <c r="E751" s="162">
        <f>+D751*$J$742</f>
        <v>2118.7113428899997</v>
      </c>
      <c r="F751" s="210"/>
      <c r="G751" s="210"/>
      <c r="I751" s="220" t="s">
        <v>19</v>
      </c>
      <c r="J751" s="228">
        <f>D756</f>
        <v>1554515.7760000001</v>
      </c>
      <c r="K751" s="172">
        <f>+J751*J742</f>
        <v>1831.2195841280002</v>
      </c>
      <c r="L751" s="125"/>
    </row>
    <row r="752" spans="2:12">
      <c r="C752" s="213" t="s">
        <v>54</v>
      </c>
      <c r="D752" s="162">
        <f>Model!$AR$115</f>
        <v>500043.08199999999</v>
      </c>
      <c r="E752" s="162">
        <f>+D752*$J$742</f>
        <v>589.05075059599994</v>
      </c>
      <c r="F752" s="210"/>
      <c r="G752" s="210"/>
      <c r="I752" s="220" t="s">
        <v>20</v>
      </c>
      <c r="J752" s="228">
        <f>J748+J751</f>
        <v>3652258.1720000003</v>
      </c>
      <c r="K752" s="228">
        <f>K748+K751</f>
        <v>4302.3601266160003</v>
      </c>
      <c r="L752" s="125"/>
    </row>
    <row r="753" spans="3:12">
      <c r="C753" s="214" t="s">
        <v>17</v>
      </c>
      <c r="D753" s="215">
        <f>SUM(D746:D752)</f>
        <v>2739871.0999999996</v>
      </c>
      <c r="E753" s="107">
        <f>SUM(E746:E752)</f>
        <v>3227.5681557999997</v>
      </c>
      <c r="F753" s="216">
        <f>+D753/D758</f>
        <v>2.1371632736953523</v>
      </c>
      <c r="G753" s="216">
        <f>+E753/E758</f>
        <v>2.2108639795587393</v>
      </c>
      <c r="I753" s="222" t="s">
        <v>68</v>
      </c>
      <c r="J753" s="170">
        <f>D758</f>
        <v>1282013</v>
      </c>
      <c r="K753" s="170"/>
      <c r="L753" s="128"/>
    </row>
    <row r="754" spans="3:12">
      <c r="C754" s="217" t="s">
        <v>18</v>
      </c>
      <c r="D754" s="162">
        <f>Model!$AR$118</f>
        <v>186542.39600000001</v>
      </c>
      <c r="E754" s="162">
        <f>+D754*$J$742</f>
        <v>219.746942488</v>
      </c>
      <c r="F754" s="219"/>
      <c r="G754" s="219"/>
    </row>
    <row r="755" spans="3:12">
      <c r="C755" s="214" t="s">
        <v>9</v>
      </c>
      <c r="D755" s="215">
        <f>+D753-D754</f>
        <v>2553328.7039999994</v>
      </c>
      <c r="E755" s="107">
        <f>+E753-E754</f>
        <v>3007.8212133119996</v>
      </c>
      <c r="F755" s="216">
        <f>+D755/D758</f>
        <v>1.991655859963978</v>
      </c>
      <c r="G755" s="216">
        <f>+E755/E758</f>
        <v>2.0603386997464948</v>
      </c>
      <c r="J755" s="196"/>
    </row>
    <row r="756" spans="3:12">
      <c r="C756" s="220" t="s">
        <v>19</v>
      </c>
      <c r="D756" s="221">
        <f>Model!$AR$125</f>
        <v>1554515.7760000001</v>
      </c>
      <c r="E756" s="162">
        <f>+D756*$J$742</f>
        <v>1831.2195841280002</v>
      </c>
      <c r="F756" s="125"/>
      <c r="G756" s="125"/>
    </row>
    <row r="757" spans="3:12">
      <c r="C757" s="214" t="s">
        <v>20</v>
      </c>
      <c r="D757" s="215">
        <f>D753+D756</f>
        <v>4294386.8760000002</v>
      </c>
      <c r="E757" s="107">
        <f>E753+E756</f>
        <v>5058.7877399279996</v>
      </c>
      <c r="F757" s="216">
        <f>D757/D758</f>
        <v>3.3497217859725295</v>
      </c>
      <c r="G757" s="216">
        <f>E757/E758</f>
        <v>3.4652379297836973</v>
      </c>
    </row>
    <row r="758" spans="3:12">
      <c r="C758" s="222" t="s">
        <v>21</v>
      </c>
      <c r="D758" s="126">
        <f>Model!$AR$84</f>
        <v>1282013</v>
      </c>
      <c r="E758" s="241">
        <f>+D758*J743</f>
        <v>1459.8673575767343</v>
      </c>
      <c r="F758" s="128"/>
      <c r="G758" s="128"/>
    </row>
    <row r="760" spans="3:12">
      <c r="C760" s="136" t="s">
        <v>22</v>
      </c>
      <c r="D760" s="137">
        <f>D753-Model!AR121</f>
        <v>0</v>
      </c>
      <c r="E760" s="138"/>
    </row>
    <row r="761" spans="3:12" ht="13.5" thickBot="1">
      <c r="D761" s="395"/>
      <c r="E761" s="395"/>
    </row>
    <row r="762" spans="3:12">
      <c r="C762" s="60" t="s">
        <v>132</v>
      </c>
      <c r="D762" s="61" t="s">
        <v>35</v>
      </c>
      <c r="E762" s="61" t="s">
        <v>36</v>
      </c>
    </row>
    <row r="763" spans="3:12">
      <c r="C763" s="62"/>
      <c r="D763" s="84"/>
      <c r="E763" s="84"/>
    </row>
    <row r="764" spans="3:12">
      <c r="C764" s="62" t="s">
        <v>24</v>
      </c>
      <c r="D764" s="184">
        <f>D754</f>
        <v>186542.39600000001</v>
      </c>
      <c r="E764" s="184">
        <f>D764*$J$742</f>
        <v>219.746942488</v>
      </c>
    </row>
    <row r="765" spans="3:12" ht="13.5" thickBot="1">
      <c r="C765" s="63"/>
      <c r="D765" s="185">
        <f>SUM(D763:D764)</f>
        <v>186542.39600000001</v>
      </c>
      <c r="E765" s="185">
        <f>SUM(E763:E764)</f>
        <v>219.746942488</v>
      </c>
    </row>
    <row r="766" spans="3:12" ht="13.5" thickBot="1"/>
    <row r="767" spans="3:12">
      <c r="C767" s="60" t="s">
        <v>133</v>
      </c>
      <c r="D767" s="61" t="s">
        <v>35</v>
      </c>
      <c r="E767" s="61" t="s">
        <v>36</v>
      </c>
    </row>
    <row r="768" spans="3:12">
      <c r="C768" s="54" t="s">
        <v>27</v>
      </c>
      <c r="D768" s="181">
        <f>90137.674+0+15602.012+128768.744</f>
        <v>234508.43</v>
      </c>
      <c r="E768" s="184">
        <f t="shared" ref="E768:E773" si="19">D768*$J$742</f>
        <v>276.25093054000001</v>
      </c>
    </row>
    <row r="769" spans="3:6">
      <c r="C769" s="54" t="s">
        <v>28</v>
      </c>
      <c r="D769" s="181">
        <f>63652.647+124533.757</f>
        <v>188186.40399999998</v>
      </c>
      <c r="E769" s="184">
        <f t="shared" si="19"/>
        <v>221.68358391199999</v>
      </c>
    </row>
    <row r="770" spans="3:6">
      <c r="C770" s="54" t="s">
        <v>29</v>
      </c>
      <c r="D770" s="181">
        <f>34052.151+239709.943</f>
        <v>273762.09399999998</v>
      </c>
      <c r="E770" s="184">
        <f t="shared" si="19"/>
        <v>322.49174673199997</v>
      </c>
    </row>
    <row r="771" spans="3:6">
      <c r="C771" s="54" t="s">
        <v>30</v>
      </c>
      <c r="D771" s="181">
        <v>239446.595</v>
      </c>
      <c r="E771" s="184">
        <f t="shared" si="19"/>
        <v>282.06808891000003</v>
      </c>
    </row>
    <row r="772" spans="3:6">
      <c r="C772" s="54" t="s">
        <v>31</v>
      </c>
      <c r="D772" s="181">
        <v>0</v>
      </c>
      <c r="E772" s="184">
        <f t="shared" si="19"/>
        <v>0</v>
      </c>
    </row>
    <row r="773" spans="3:6" ht="13.5" thickBot="1">
      <c r="C773" s="54" t="s">
        <v>32</v>
      </c>
      <c r="D773" s="181">
        <v>1194876.21</v>
      </c>
      <c r="E773" s="184">
        <f t="shared" si="19"/>
        <v>1407.5641753800001</v>
      </c>
    </row>
    <row r="774" spans="3:6" ht="13.5" thickBot="1">
      <c r="C774" s="186" t="s">
        <v>33</v>
      </c>
      <c r="D774" s="187">
        <f>SUM(D768:D773)</f>
        <v>2130779.733</v>
      </c>
      <c r="E774" s="193">
        <f>SUM(E768:E773)</f>
        <v>2510.0585254739999</v>
      </c>
    </row>
    <row r="775" spans="3:6" ht="13.5" thickBot="1">
      <c r="D775" s="191"/>
    </row>
    <row r="776" spans="3:6">
      <c r="C776" s="60" t="s">
        <v>134</v>
      </c>
      <c r="D776" s="61" t="s">
        <v>35</v>
      </c>
      <c r="E776" s="61" t="s">
        <v>36</v>
      </c>
    </row>
    <row r="777" spans="3:6">
      <c r="C777" s="54" t="s">
        <v>27</v>
      </c>
      <c r="D777" s="181">
        <v>109048.285</v>
      </c>
      <c r="E777" s="184">
        <f t="shared" ref="E777:E782" si="20">D777*$J$742</f>
        <v>128.45887973000001</v>
      </c>
    </row>
    <row r="778" spans="3:6">
      <c r="C778" s="54" t="s">
        <v>28</v>
      </c>
      <c r="D778" s="181">
        <v>106439.77499999999</v>
      </c>
      <c r="E778" s="184">
        <f t="shared" si="20"/>
        <v>125.38605494999999</v>
      </c>
    </row>
    <row r="779" spans="3:6">
      <c r="C779" s="54" t="s">
        <v>29</v>
      </c>
      <c r="D779" s="181">
        <v>92951.067999999999</v>
      </c>
      <c r="E779" s="184">
        <f t="shared" si="20"/>
        <v>109.496358104</v>
      </c>
    </row>
    <row r="780" spans="3:6">
      <c r="C780" s="54" t="s">
        <v>30</v>
      </c>
      <c r="D780" s="181">
        <v>85512.361000000004</v>
      </c>
      <c r="E780" s="184">
        <f t="shared" si="20"/>
        <v>100.73356125800001</v>
      </c>
    </row>
    <row r="781" spans="3:6">
      <c r="C781" s="54" t="s">
        <v>31</v>
      </c>
      <c r="D781" s="181">
        <v>59439.472999999998</v>
      </c>
      <c r="E781" s="184">
        <f t="shared" si="20"/>
        <v>70.019699193999998</v>
      </c>
    </row>
    <row r="782" spans="3:6" ht="13.5" thickBot="1">
      <c r="C782" s="54" t="s">
        <v>32</v>
      </c>
      <c r="D782" s="181">
        <v>155700.405</v>
      </c>
      <c r="E782" s="184">
        <f t="shared" si="20"/>
        <v>183.41507709000001</v>
      </c>
    </row>
    <row r="783" spans="3:6" ht="13.5" thickBot="1">
      <c r="C783" s="186" t="s">
        <v>37</v>
      </c>
      <c r="D783" s="187">
        <f>SUM(D777:D782)</f>
        <v>609091.36700000009</v>
      </c>
      <c r="E783" s="187">
        <f>SUM(E777:E782)</f>
        <v>717.50963032599998</v>
      </c>
      <c r="F783" s="245"/>
    </row>
    <row r="784" spans="3:6" ht="13.5" thickBot="1">
      <c r="D784" s="191"/>
    </row>
    <row r="785" spans="2:12">
      <c r="C785" s="60" t="s">
        <v>133</v>
      </c>
      <c r="D785" s="61" t="s">
        <v>35</v>
      </c>
      <c r="E785" s="61" t="s">
        <v>36</v>
      </c>
    </row>
    <row r="786" spans="2:12">
      <c r="C786" s="54" t="s">
        <v>27</v>
      </c>
      <c r="D786" s="104">
        <f t="shared" ref="D786:D791" si="21">+D768+D777</f>
        <v>343556.71499999997</v>
      </c>
      <c r="E786" s="184">
        <f t="shared" ref="E786:E791" si="22">D786*$J$742</f>
        <v>404.70981026999999</v>
      </c>
    </row>
    <row r="787" spans="2:12">
      <c r="C787" s="54" t="s">
        <v>28</v>
      </c>
      <c r="D787" s="104">
        <f t="shared" si="21"/>
        <v>294626.179</v>
      </c>
      <c r="E787" s="184">
        <f t="shared" si="22"/>
        <v>347.06963886200003</v>
      </c>
    </row>
    <row r="788" spans="2:12">
      <c r="C788" s="54" t="s">
        <v>29</v>
      </c>
      <c r="D788" s="104">
        <f t="shared" si="21"/>
        <v>366713.16200000001</v>
      </c>
      <c r="E788" s="184">
        <f t="shared" si="22"/>
        <v>431.98810483599999</v>
      </c>
    </row>
    <row r="789" spans="2:12">
      <c r="C789" s="54" t="s">
        <v>30</v>
      </c>
      <c r="D789" s="104">
        <f t="shared" si="21"/>
        <v>324958.95600000001</v>
      </c>
      <c r="E789" s="184">
        <f t="shared" si="22"/>
        <v>382.80165016800004</v>
      </c>
      <c r="G789" s="237"/>
    </row>
    <row r="790" spans="2:12">
      <c r="C790" s="54" t="s">
        <v>31</v>
      </c>
      <c r="D790" s="104">
        <f t="shared" si="21"/>
        <v>59439.472999999998</v>
      </c>
      <c r="E790" s="184">
        <f t="shared" si="22"/>
        <v>70.019699193999998</v>
      </c>
    </row>
    <row r="791" spans="2:12" ht="13.5" thickBot="1">
      <c r="C791" s="54" t="s">
        <v>32</v>
      </c>
      <c r="D791" s="104">
        <f t="shared" si="21"/>
        <v>1350576.615</v>
      </c>
      <c r="E791" s="184">
        <f t="shared" si="22"/>
        <v>1590.9792524699999</v>
      </c>
    </row>
    <row r="792" spans="2:12" ht="13.5" thickBot="1">
      <c r="C792" s="186" t="s">
        <v>38</v>
      </c>
      <c r="D792" s="187">
        <f>SUM(D786:D791)</f>
        <v>2739871.1</v>
      </c>
      <c r="E792" s="193">
        <f>SUM(E786:E791)</f>
        <v>3227.5681558000001</v>
      </c>
    </row>
    <row r="793" spans="2:12">
      <c r="C793" s="234"/>
      <c r="D793" s="235"/>
      <c r="E793" s="236"/>
    </row>
    <row r="794" spans="2:12">
      <c r="C794" s="234"/>
      <c r="D794" s="235"/>
      <c r="E794" s="236"/>
    </row>
    <row r="795" spans="2:12">
      <c r="C795" s="234"/>
      <c r="D795" s="235"/>
      <c r="E795" s="236"/>
    </row>
    <row r="796" spans="2:12">
      <c r="B796" s="52" t="s">
        <v>135</v>
      </c>
      <c r="I796" s="52" t="s">
        <v>136</v>
      </c>
      <c r="J796" s="179">
        <f>Model!AQ208</f>
        <v>1.0319999999999999E-3</v>
      </c>
      <c r="K796" s="179"/>
    </row>
    <row r="797" spans="2:12">
      <c r="C797" s="129"/>
      <c r="D797" s="396" t="s">
        <v>137</v>
      </c>
      <c r="E797" s="397"/>
      <c r="F797" s="115" t="s">
        <v>6</v>
      </c>
      <c r="G797" s="115" t="s">
        <v>7</v>
      </c>
      <c r="I797" s="52" t="s">
        <v>138</v>
      </c>
      <c r="J797" s="179">
        <f>AVERAGE(Model!AN207:AQ207)</f>
        <v>1.1635723211796704E-3</v>
      </c>
      <c r="K797" s="179"/>
    </row>
    <row r="798" spans="2:12">
      <c r="C798" s="207"/>
      <c r="D798" s="208" t="s">
        <v>4</v>
      </c>
      <c r="E798" s="209" t="s">
        <v>5</v>
      </c>
      <c r="F798" s="210"/>
      <c r="G798" s="210"/>
      <c r="I798" s="52"/>
    </row>
    <row r="799" spans="2:12">
      <c r="C799" s="207" t="s">
        <v>10</v>
      </c>
      <c r="D799" s="211"/>
      <c r="E799" s="162"/>
      <c r="F799" s="210"/>
      <c r="G799" s="210"/>
      <c r="I799" s="52" t="s">
        <v>8</v>
      </c>
    </row>
    <row r="800" spans="2:12">
      <c r="C800" s="212" t="s">
        <v>51</v>
      </c>
      <c r="D800" s="162">
        <f>Model!AQ107</f>
        <v>125892.923</v>
      </c>
      <c r="E800" s="162">
        <f>+D800*$J$796</f>
        <v>129.92149653599998</v>
      </c>
      <c r="F800" s="210"/>
      <c r="G800" s="210"/>
      <c r="I800" s="129"/>
      <c r="J800" s="396" t="s">
        <v>137</v>
      </c>
      <c r="K800" s="397"/>
      <c r="L800" s="115" t="s">
        <v>67</v>
      </c>
    </row>
    <row r="801" spans="3:12">
      <c r="C801" s="212" t="s">
        <v>52</v>
      </c>
      <c r="D801" s="162">
        <f>Model!AQ108</f>
        <v>159675.32999999999</v>
      </c>
      <c r="E801" s="162">
        <f>+D801*$J$796</f>
        <v>164.78494055999997</v>
      </c>
      <c r="F801" s="210"/>
      <c r="G801" s="210"/>
      <c r="I801" s="223"/>
      <c r="J801" s="224" t="s">
        <v>4</v>
      </c>
      <c r="K801" s="224" t="s">
        <v>5</v>
      </c>
      <c r="L801" s="225"/>
    </row>
    <row r="802" spans="3:12">
      <c r="C802" s="213" t="s">
        <v>53</v>
      </c>
      <c r="D802" s="162">
        <f>Model!AQ110</f>
        <v>118733.641</v>
      </c>
      <c r="E802" s="162">
        <f>+D802*$J$796</f>
        <v>122.53311751199999</v>
      </c>
      <c r="F802" s="210"/>
      <c r="G802" s="210"/>
      <c r="I802" s="214" t="s">
        <v>17</v>
      </c>
      <c r="J802" s="171">
        <f>+J804+J803</f>
        <v>1801998.9939999999</v>
      </c>
      <c r="K802" s="171">
        <f>J802*J796</f>
        <v>1859.6629618079999</v>
      </c>
      <c r="L802" s="216">
        <f>+J802/J807</f>
        <v>1.390246537740665</v>
      </c>
    </row>
    <row r="803" spans="3:12">
      <c r="C803" s="207" t="s">
        <v>15</v>
      </c>
      <c r="D803" s="162"/>
      <c r="E803" s="162"/>
      <c r="F803" s="210"/>
      <c r="G803" s="210"/>
      <c r="I803" s="217" t="s">
        <v>18</v>
      </c>
      <c r="J803" s="226">
        <f>D808</f>
        <v>273598.99400000001</v>
      </c>
      <c r="K803" s="226">
        <f>K802-K804</f>
        <v>282.35416180800007</v>
      </c>
      <c r="L803" s="219"/>
    </row>
    <row r="804" spans="3:12">
      <c r="C804" s="212" t="s">
        <v>51</v>
      </c>
      <c r="D804" s="162">
        <f>Model!AQ112</f>
        <v>105948.598</v>
      </c>
      <c r="E804" s="162">
        <f>+D804*$J$796</f>
        <v>109.33895313599999</v>
      </c>
      <c r="F804" s="210"/>
      <c r="G804" s="210"/>
      <c r="I804" s="214" t="s">
        <v>9</v>
      </c>
      <c r="J804" s="227">
        <v>1528400</v>
      </c>
      <c r="K804" s="171">
        <f>J804*J796</f>
        <v>1577.3087999999998</v>
      </c>
      <c r="L804" s="216">
        <f>+J804/J807</f>
        <v>1.1791642588912747</v>
      </c>
    </row>
    <row r="805" spans="3:12">
      <c r="C805" s="212" t="s">
        <v>52</v>
      </c>
      <c r="D805" s="162">
        <f>Model!AQ113</f>
        <v>2075960.6470000001</v>
      </c>
      <c r="E805" s="162">
        <f>+D805*$J$796</f>
        <v>2142.391387704</v>
      </c>
      <c r="F805" s="210"/>
      <c r="G805" s="210"/>
      <c r="I805" s="220" t="s">
        <v>19</v>
      </c>
      <c r="J805" s="228">
        <f>D810</f>
        <v>1666264.8810000001</v>
      </c>
      <c r="K805" s="172">
        <f>+J805*J796</f>
        <v>1719.5853571919999</v>
      </c>
      <c r="L805" s="125"/>
    </row>
    <row r="806" spans="3:12">
      <c r="C806" s="213" t="s">
        <v>54</v>
      </c>
      <c r="D806" s="162">
        <f>Model!AQ115</f>
        <v>495372.71100000001</v>
      </c>
      <c r="E806" s="162">
        <f>+D806*$J$796</f>
        <v>511.22463775199998</v>
      </c>
      <c r="F806" s="210"/>
      <c r="G806" s="210"/>
      <c r="I806" s="220" t="s">
        <v>20</v>
      </c>
      <c r="J806" s="228">
        <f>J802+J805</f>
        <v>3468263.875</v>
      </c>
      <c r="K806" s="228">
        <f>K802+K805</f>
        <v>3579.2483189999998</v>
      </c>
      <c r="L806" s="125"/>
    </row>
    <row r="807" spans="3:12">
      <c r="C807" s="214" t="s">
        <v>17</v>
      </c>
      <c r="D807" s="215">
        <f>SUM(D800:D806)</f>
        <v>3081583.85</v>
      </c>
      <c r="E807" s="107">
        <f>SUM(E800:E806)</f>
        <v>3180.1945332</v>
      </c>
      <c r="F807" s="216">
        <f>+D807/D812</f>
        <v>2.3774493173884919</v>
      </c>
      <c r="G807" s="216">
        <f>+E807/E812</f>
        <v>2.1086164141971437</v>
      </c>
      <c r="I807" s="222" t="s">
        <v>68</v>
      </c>
      <c r="J807" s="170">
        <f>D812</f>
        <v>1296172.2579999999</v>
      </c>
      <c r="K807" s="170"/>
      <c r="L807" s="128"/>
    </row>
    <row r="808" spans="3:12">
      <c r="C808" s="217" t="s">
        <v>18</v>
      </c>
      <c r="D808" s="162">
        <f>Model!AQ118</f>
        <v>273598.99400000001</v>
      </c>
      <c r="E808" s="162">
        <f>+D808*$J$796</f>
        <v>282.35416180800001</v>
      </c>
      <c r="F808" s="219"/>
      <c r="G808" s="219"/>
    </row>
    <row r="809" spans="3:12">
      <c r="C809" s="214" t="s">
        <v>9</v>
      </c>
      <c r="D809" s="215">
        <f>+D807-D808</f>
        <v>2807984.8560000001</v>
      </c>
      <c r="E809" s="107">
        <f>+E807-E808</f>
        <v>2897.8403713920002</v>
      </c>
      <c r="F809" s="216">
        <f>+D809/D812</f>
        <v>2.1663670385391014</v>
      </c>
      <c r="G809" s="216">
        <f>+E809/E812</f>
        <v>1.9214025145473823</v>
      </c>
      <c r="J809" s="196"/>
    </row>
    <row r="810" spans="3:12">
      <c r="C810" s="220" t="s">
        <v>19</v>
      </c>
      <c r="D810" s="221">
        <f>Model!AQ125</f>
        <v>1666264.8810000001</v>
      </c>
      <c r="E810" s="162">
        <f>+D810*$J$796</f>
        <v>1719.5853571919999</v>
      </c>
      <c r="F810" s="125"/>
      <c r="G810" s="125"/>
    </row>
    <row r="811" spans="3:12">
      <c r="C811" s="214" t="s">
        <v>20</v>
      </c>
      <c r="D811" s="215">
        <f>D807+D810</f>
        <v>4747848.7310000006</v>
      </c>
      <c r="E811" s="107">
        <f>E807+E810</f>
        <v>4899.7798903920002</v>
      </c>
      <c r="F811" s="216">
        <f>D811/D812</f>
        <v>3.662976662010923</v>
      </c>
      <c r="G811" s="216">
        <f>E811/E812</f>
        <v>3.2487812286242606</v>
      </c>
    </row>
    <row r="812" spans="3:12">
      <c r="C812" s="222" t="s">
        <v>21</v>
      </c>
      <c r="D812" s="126">
        <f>Model!AQ84</f>
        <v>1296172.2579999999</v>
      </c>
      <c r="E812" s="241">
        <f>+D812*J797</f>
        <v>1508.1901628897544</v>
      </c>
      <c r="F812" s="128"/>
      <c r="G812" s="128"/>
    </row>
    <row r="814" spans="3:12">
      <c r="C814" s="136" t="s">
        <v>22</v>
      </c>
      <c r="D814" s="137">
        <f>D807-Model!AQ121</f>
        <v>0</v>
      </c>
      <c r="E814" s="138"/>
    </row>
    <row r="815" spans="3:12" ht="13.5" thickBot="1">
      <c r="D815" s="395"/>
      <c r="E815" s="395"/>
    </row>
    <row r="816" spans="3:12">
      <c r="C816" s="60" t="s">
        <v>139</v>
      </c>
      <c r="D816" s="61" t="s">
        <v>35</v>
      </c>
      <c r="E816" s="61" t="s">
        <v>36</v>
      </c>
    </row>
    <row r="817" spans="3:5">
      <c r="C817" s="62"/>
      <c r="D817" s="84"/>
      <c r="E817" s="84"/>
    </row>
    <row r="818" spans="3:5">
      <c r="C818" s="62" t="s">
        <v>24</v>
      </c>
      <c r="D818" s="184">
        <f>D808</f>
        <v>273598.99400000001</v>
      </c>
      <c r="E818" s="184">
        <f>D818*$J$796</f>
        <v>282.35416180800001</v>
      </c>
    </row>
    <row r="819" spans="3:5" ht="13.5" thickBot="1">
      <c r="C819" s="63"/>
      <c r="D819" s="185">
        <f>SUM(D817:D818)</f>
        <v>273598.99400000001</v>
      </c>
      <c r="E819" s="185">
        <f>SUM(E817:E818)</f>
        <v>282.35416180800001</v>
      </c>
    </row>
    <row r="820" spans="3:5" ht="13.5" thickBot="1"/>
    <row r="821" spans="3:5">
      <c r="C821" s="60" t="s">
        <v>140</v>
      </c>
      <c r="D821" s="61" t="s">
        <v>35</v>
      </c>
      <c r="E821" s="61" t="s">
        <v>36</v>
      </c>
    </row>
    <row r="822" spans="3:5">
      <c r="C822" s="54" t="s">
        <v>27</v>
      </c>
      <c r="D822" s="181">
        <f>69557.81+154434.3+56335.113+5241.03</f>
        <v>285568.25300000003</v>
      </c>
      <c r="E822" s="184">
        <f t="shared" ref="E822:E827" si="23">D822*$J$796</f>
        <v>294.706437096</v>
      </c>
    </row>
    <row r="823" spans="3:5">
      <c r="C823" s="54" t="s">
        <v>28</v>
      </c>
      <c r="D823" s="181">
        <f>38180.463+139956.091</f>
        <v>178136.554</v>
      </c>
      <c r="E823" s="184">
        <f t="shared" si="23"/>
        <v>183.83692372799999</v>
      </c>
    </row>
    <row r="824" spans="3:5">
      <c r="C824" s="54" t="s">
        <v>29</v>
      </c>
      <c r="D824" s="181">
        <f>67768.135+408529.984</f>
        <v>476298.11900000001</v>
      </c>
      <c r="E824" s="184">
        <f t="shared" si="23"/>
        <v>491.53965880799996</v>
      </c>
    </row>
    <row r="825" spans="3:5">
      <c r="C825" s="54" t="s">
        <v>30</v>
      </c>
      <c r="D825" s="181">
        <v>268578.78399999999</v>
      </c>
      <c r="E825" s="184">
        <f t="shared" si="23"/>
        <v>277.17330508799995</v>
      </c>
    </row>
    <row r="826" spans="3:5">
      <c r="C826" s="54" t="s">
        <v>31</v>
      </c>
      <c r="D826" s="181">
        <v>0</v>
      </c>
      <c r="E826" s="184">
        <f t="shared" si="23"/>
        <v>0</v>
      </c>
    </row>
    <row r="827" spans="3:5" ht="13.5" thickBot="1">
      <c r="C827" s="54" t="s">
        <v>32</v>
      </c>
      <c r="D827" s="181">
        <v>1258895.7879999999</v>
      </c>
      <c r="E827" s="184">
        <f t="shared" si="23"/>
        <v>1299.1804532159999</v>
      </c>
    </row>
    <row r="828" spans="3:5" ht="13.5" thickBot="1">
      <c r="C828" s="186" t="s">
        <v>33</v>
      </c>
      <c r="D828" s="187">
        <f>SUM(D822:D827)</f>
        <v>2467477.4979999997</v>
      </c>
      <c r="E828" s="193">
        <f>SUM(E822:E827)</f>
        <v>2546.436777936</v>
      </c>
    </row>
    <row r="829" spans="3:5" ht="13.5" thickBot="1">
      <c r="D829" s="191"/>
    </row>
    <row r="830" spans="3:5">
      <c r="C830" s="60" t="s">
        <v>141</v>
      </c>
      <c r="D830" s="61" t="s">
        <v>35</v>
      </c>
      <c r="E830" s="61" t="s">
        <v>36</v>
      </c>
    </row>
    <row r="831" spans="3:5">
      <c r="C831" s="54" t="s">
        <v>27</v>
      </c>
      <c r="D831" s="181">
        <v>118733.641</v>
      </c>
      <c r="E831" s="184">
        <f t="shared" ref="E831:E836" si="24">D831*$J$796</f>
        <v>122.53311751199999</v>
      </c>
    </row>
    <row r="832" spans="3:5">
      <c r="C832" s="54" t="s">
        <v>28</v>
      </c>
      <c r="D832" s="181">
        <v>106901.942</v>
      </c>
      <c r="E832" s="184">
        <f t="shared" si="24"/>
        <v>110.32280414399999</v>
      </c>
    </row>
    <row r="833" spans="3:7">
      <c r="C833" s="54" t="s">
        <v>29</v>
      </c>
      <c r="D833" s="181">
        <v>94490.582999999999</v>
      </c>
      <c r="E833" s="184">
        <f t="shared" si="24"/>
        <v>97.514281655999994</v>
      </c>
    </row>
    <row r="834" spans="3:7">
      <c r="C834" s="54" t="s">
        <v>30</v>
      </c>
      <c r="D834" s="181">
        <v>86390.422000000006</v>
      </c>
      <c r="E834" s="184">
        <f t="shared" si="24"/>
        <v>89.154915504000002</v>
      </c>
    </row>
    <row r="835" spans="3:7">
      <c r="C835" s="54" t="s">
        <v>31</v>
      </c>
      <c r="D835" s="181">
        <v>38829.925000000003</v>
      </c>
      <c r="E835" s="184">
        <f t="shared" si="24"/>
        <v>40.072482600000001</v>
      </c>
    </row>
    <row r="836" spans="3:7" ht="13.5" thickBot="1">
      <c r="C836" s="54" t="s">
        <v>32</v>
      </c>
      <c r="D836" s="181">
        <v>168759.83900000001</v>
      </c>
      <c r="E836" s="184">
        <f t="shared" si="24"/>
        <v>174.16015384799999</v>
      </c>
    </row>
    <row r="837" spans="3:7" ht="13.5" thickBot="1">
      <c r="C837" s="186" t="s">
        <v>37</v>
      </c>
      <c r="D837" s="187">
        <f>SUM(D831:D836)</f>
        <v>614106.35199999996</v>
      </c>
      <c r="E837" s="187">
        <f>SUM(E831:E836)</f>
        <v>633.75775526399991</v>
      </c>
      <c r="F837" s="245"/>
    </row>
    <row r="838" spans="3:7" ht="13.5" thickBot="1">
      <c r="D838" s="191"/>
    </row>
    <row r="839" spans="3:7">
      <c r="C839" s="60" t="s">
        <v>140</v>
      </c>
      <c r="D839" s="61" t="s">
        <v>35</v>
      </c>
      <c r="E839" s="61" t="s">
        <v>36</v>
      </c>
    </row>
    <row r="840" spans="3:7">
      <c r="C840" s="54" t="s">
        <v>27</v>
      </c>
      <c r="D840" s="104">
        <f t="shared" ref="D840:D845" si="25">+D822+D831</f>
        <v>404301.89400000003</v>
      </c>
      <c r="E840" s="184">
        <f t="shared" ref="E840:E845" si="26">D840*$J$796</f>
        <v>417.23955460799999</v>
      </c>
    </row>
    <row r="841" spans="3:7">
      <c r="C841" s="54" t="s">
        <v>28</v>
      </c>
      <c r="D841" s="104">
        <f t="shared" si="25"/>
        <v>285038.49599999998</v>
      </c>
      <c r="E841" s="184">
        <f t="shared" si="26"/>
        <v>294.15972787199996</v>
      </c>
    </row>
    <row r="842" spans="3:7">
      <c r="C842" s="54" t="s">
        <v>29</v>
      </c>
      <c r="D842" s="104">
        <f t="shared" si="25"/>
        <v>570788.70200000005</v>
      </c>
      <c r="E842" s="184">
        <f t="shared" si="26"/>
        <v>589.05394046399999</v>
      </c>
    </row>
    <row r="843" spans="3:7">
      <c r="C843" s="54" t="s">
        <v>30</v>
      </c>
      <c r="D843" s="104">
        <f t="shared" si="25"/>
        <v>354969.20600000001</v>
      </c>
      <c r="E843" s="184">
        <f t="shared" si="26"/>
        <v>366.32822059199998</v>
      </c>
      <c r="G843" s="237"/>
    </row>
    <row r="844" spans="3:7">
      <c r="C844" s="54" t="s">
        <v>31</v>
      </c>
      <c r="D844" s="104">
        <f t="shared" si="25"/>
        <v>38829.925000000003</v>
      </c>
      <c r="E844" s="184">
        <f t="shared" si="26"/>
        <v>40.072482600000001</v>
      </c>
    </row>
    <row r="845" spans="3:7" ht="13.5" thickBot="1">
      <c r="C845" s="54" t="s">
        <v>32</v>
      </c>
      <c r="D845" s="104">
        <f t="shared" si="25"/>
        <v>1427655.6269999999</v>
      </c>
      <c r="E845" s="184">
        <f t="shared" si="26"/>
        <v>1473.3406070639999</v>
      </c>
    </row>
    <row r="846" spans="3:7" ht="13.5" thickBot="1">
      <c r="C846" s="186" t="s">
        <v>38</v>
      </c>
      <c r="D846" s="187">
        <f>SUM(D840:D845)</f>
        <v>3081583.85</v>
      </c>
      <c r="E846" s="193">
        <f>SUM(E840:E845)</f>
        <v>3180.1945332</v>
      </c>
    </row>
    <row r="847" spans="3:7">
      <c r="C847" s="234"/>
      <c r="D847" s="235"/>
      <c r="E847" s="236"/>
    </row>
    <row r="848" spans="3:7">
      <c r="C848" s="234"/>
      <c r="D848" s="235"/>
      <c r="E848" s="236"/>
    </row>
    <row r="850" spans="2:12">
      <c r="B850" s="52" t="s">
        <v>142</v>
      </c>
      <c r="I850" s="52" t="s">
        <v>143</v>
      </c>
      <c r="J850" s="179">
        <f>Model!AP208</f>
        <v>1.0799136069114472E-3</v>
      </c>
      <c r="K850" s="179"/>
    </row>
    <row r="851" spans="2:12">
      <c r="C851" s="129"/>
      <c r="D851" s="396" t="s">
        <v>144</v>
      </c>
      <c r="E851" s="397"/>
      <c r="F851" s="115" t="s">
        <v>6</v>
      </c>
      <c r="G851" s="115" t="s">
        <v>7</v>
      </c>
      <c r="I851" s="52" t="s">
        <v>145</v>
      </c>
      <c r="J851" s="179">
        <f>AVERAGE(Model!AM207:AP207)</f>
        <v>1.2257212059211455E-3</v>
      </c>
      <c r="K851" s="179"/>
    </row>
    <row r="852" spans="2:12">
      <c r="C852" s="207"/>
      <c r="D852" s="208" t="s">
        <v>4</v>
      </c>
      <c r="E852" s="209" t="s">
        <v>5</v>
      </c>
      <c r="F852" s="210"/>
      <c r="G852" s="210"/>
      <c r="I852" s="52"/>
    </row>
    <row r="853" spans="2:12">
      <c r="C853" s="207" t="s">
        <v>10</v>
      </c>
      <c r="D853" s="211"/>
      <c r="E853" s="162"/>
      <c r="F853" s="210"/>
      <c r="G853" s="210"/>
      <c r="I853" s="52" t="s">
        <v>8</v>
      </c>
    </row>
    <row r="854" spans="2:12">
      <c r="C854" s="212" t="s">
        <v>51</v>
      </c>
      <c r="D854" s="162">
        <f>Model!AP107</f>
        <v>99872.456000000006</v>
      </c>
      <c r="E854" s="162">
        <f>+D854*$J$850</f>
        <v>107.85362419006481</v>
      </c>
      <c r="F854" s="210"/>
      <c r="G854" s="210"/>
      <c r="I854" s="129"/>
      <c r="J854" s="396" t="s">
        <v>144</v>
      </c>
      <c r="K854" s="397"/>
      <c r="L854" s="115" t="s">
        <v>67</v>
      </c>
    </row>
    <row r="855" spans="2:12">
      <c r="C855" s="212" t="s">
        <v>52</v>
      </c>
      <c r="D855" s="162">
        <f>Model!AP108</f>
        <v>158151.764</v>
      </c>
      <c r="E855" s="162">
        <f>+D855*$J$850</f>
        <v>170.79024190064794</v>
      </c>
      <c r="F855" s="210"/>
      <c r="G855" s="210"/>
      <c r="I855" s="223"/>
      <c r="J855" s="224" t="s">
        <v>4</v>
      </c>
      <c r="K855" s="224" t="s">
        <v>5</v>
      </c>
      <c r="L855" s="225"/>
    </row>
    <row r="856" spans="2:12">
      <c r="C856" s="213" t="s">
        <v>53</v>
      </c>
      <c r="D856" s="162">
        <f>Model!AP110</f>
        <v>115751.15399999999</v>
      </c>
      <c r="E856" s="162">
        <f>+D856*$J$850</f>
        <v>125.00124622030238</v>
      </c>
      <c r="F856" s="210"/>
      <c r="G856" s="210"/>
      <c r="I856" s="214" t="s">
        <v>17</v>
      </c>
      <c r="J856" s="171">
        <f>+J858+J857</f>
        <v>1637923.3189999999</v>
      </c>
      <c r="K856" s="171">
        <f>J856*J850</f>
        <v>1768.8156792656587</v>
      </c>
      <c r="L856" s="216">
        <f>+J856/J861</f>
        <v>1.2928242398193956</v>
      </c>
    </row>
    <row r="857" spans="2:12">
      <c r="C857" s="207" t="s">
        <v>15</v>
      </c>
      <c r="D857" s="162"/>
      <c r="E857" s="162"/>
      <c r="F857" s="210"/>
      <c r="G857" s="210"/>
      <c r="I857" s="217" t="s">
        <v>18</v>
      </c>
      <c r="J857" s="226">
        <f>D862</f>
        <v>211823.31899999999</v>
      </c>
      <c r="K857" s="226">
        <f>K856-K858</f>
        <v>228.75088444924381</v>
      </c>
      <c r="L857" s="219"/>
    </row>
    <row r="858" spans="2:12">
      <c r="C858" s="212" t="s">
        <v>51</v>
      </c>
      <c r="D858" s="162">
        <f>Model!AP112</f>
        <v>103648.666</v>
      </c>
      <c r="E858" s="162">
        <f>+D858*$J$850</f>
        <v>111.93160475161987</v>
      </c>
      <c r="F858" s="210"/>
      <c r="G858" s="210"/>
      <c r="I858" s="214" t="s">
        <v>9</v>
      </c>
      <c r="J858" s="227">
        <v>1426100</v>
      </c>
      <c r="K858" s="171">
        <f>J858*J850</f>
        <v>1540.0647948164149</v>
      </c>
      <c r="L858" s="216">
        <f>+J858/J861</f>
        <v>1.1256306244739656</v>
      </c>
    </row>
    <row r="859" spans="2:12">
      <c r="C859" s="212" t="s">
        <v>52</v>
      </c>
      <c r="D859" s="162">
        <f>Model!AP113</f>
        <v>2011913.6669999999</v>
      </c>
      <c r="E859" s="162">
        <f>+D859*$J$850</f>
        <v>2172.6929449244062</v>
      </c>
      <c r="F859" s="210"/>
      <c r="G859" s="210"/>
      <c r="I859" s="220" t="s">
        <v>19</v>
      </c>
      <c r="J859" s="228">
        <f>D864</f>
        <v>1678314.706</v>
      </c>
      <c r="K859" s="172">
        <f>+J859*J850</f>
        <v>1812.4348876889851</v>
      </c>
      <c r="L859" s="125"/>
    </row>
    <row r="860" spans="2:12">
      <c r="C860" s="213" t="s">
        <v>54</v>
      </c>
      <c r="D860" s="162">
        <f>Model!AP115</f>
        <v>494228.11099999998</v>
      </c>
      <c r="E860" s="162">
        <f>+D860*$J$850</f>
        <v>533.72366198704105</v>
      </c>
      <c r="F860" s="210"/>
      <c r="G860" s="210"/>
      <c r="I860" s="220" t="s">
        <v>20</v>
      </c>
      <c r="J860" s="228">
        <f>J856+J859</f>
        <v>3316238.0249999999</v>
      </c>
      <c r="K860" s="228">
        <f>K856+K859</f>
        <v>3581.2505669546435</v>
      </c>
      <c r="L860" s="125"/>
    </row>
    <row r="861" spans="2:12">
      <c r="C861" s="214" t="s">
        <v>17</v>
      </c>
      <c r="D861" s="215">
        <f>SUM(D854:D860)</f>
        <v>2983565.818</v>
      </c>
      <c r="E861" s="107">
        <f>SUM(E854:E860)</f>
        <v>3221.9933239740822</v>
      </c>
      <c r="F861" s="216">
        <f>+D861/D866</f>
        <v>2.3549492005290777</v>
      </c>
      <c r="G861" s="216">
        <f>+E861/E866</f>
        <v>2.0748125046310029</v>
      </c>
      <c r="I861" s="222" t="s">
        <v>68</v>
      </c>
      <c r="J861" s="170">
        <f>D866</f>
        <v>1266934.2579999999</v>
      </c>
      <c r="K861" s="170"/>
      <c r="L861" s="128"/>
    </row>
    <row r="862" spans="2:12">
      <c r="C862" s="217" t="s">
        <v>18</v>
      </c>
      <c r="D862" s="162">
        <f>Model!AP118</f>
        <v>211823.31899999999</v>
      </c>
      <c r="E862" s="162">
        <f>+D862*$J$850</f>
        <v>228.75088444924407</v>
      </c>
      <c r="F862" s="219"/>
      <c r="G862" s="219"/>
    </row>
    <row r="863" spans="2:12">
      <c r="C863" s="214" t="s">
        <v>9</v>
      </c>
      <c r="D863" s="215">
        <f>+D861-D862</f>
        <v>2771742.4989999998</v>
      </c>
      <c r="E863" s="107">
        <f>+E861-E862</f>
        <v>2993.2424395248381</v>
      </c>
      <c r="F863" s="216">
        <f>+D863/D866</f>
        <v>2.1877555851836474</v>
      </c>
      <c r="G863" s="216">
        <f>+E863/E866</f>
        <v>1.9275076694629114</v>
      </c>
      <c r="J863" s="196"/>
    </row>
    <row r="864" spans="2:12">
      <c r="C864" s="220" t="s">
        <v>19</v>
      </c>
      <c r="D864" s="221">
        <f>Model!AP125</f>
        <v>1678314.706</v>
      </c>
      <c r="E864" s="162">
        <f>+D864*$J$850</f>
        <v>1812.4348876889851</v>
      </c>
      <c r="F864" s="125"/>
      <c r="G864" s="125"/>
    </row>
    <row r="865" spans="3:7">
      <c r="C865" s="214" t="s">
        <v>20</v>
      </c>
      <c r="D865" s="215">
        <f>D861+D864</f>
        <v>4661880.5240000002</v>
      </c>
      <c r="E865" s="107">
        <f>E861+E864</f>
        <v>5034.4282116630675</v>
      </c>
      <c r="F865" s="216">
        <f>D865/D866</f>
        <v>3.6796546423484591</v>
      </c>
      <c r="G865" s="216">
        <f>E865/E866</f>
        <v>3.2419355215615133</v>
      </c>
    </row>
    <row r="866" spans="3:7">
      <c r="C866" s="222" t="s">
        <v>21</v>
      </c>
      <c r="D866" s="126">
        <f>Model!AP84</f>
        <v>1266934.2579999999</v>
      </c>
      <c r="E866" s="241">
        <f>+D866*J851</f>
        <v>1552.9081865385715</v>
      </c>
      <c r="F866" s="128"/>
      <c r="G866" s="128"/>
    </row>
    <row r="868" spans="3:7">
      <c r="C868" s="136" t="s">
        <v>22</v>
      </c>
      <c r="D868" s="137">
        <f>D861-Model!AP121</f>
        <v>0</v>
      </c>
      <c r="E868" s="138"/>
    </row>
    <row r="869" spans="3:7" ht="13.5" thickBot="1">
      <c r="D869" s="395"/>
      <c r="E869" s="395"/>
    </row>
    <row r="870" spans="3:7">
      <c r="C870" s="60" t="s">
        <v>146</v>
      </c>
      <c r="D870" s="61" t="s">
        <v>35</v>
      </c>
      <c r="E870" s="61" t="s">
        <v>36</v>
      </c>
    </row>
    <row r="871" spans="3:7">
      <c r="C871" s="62"/>
      <c r="D871" s="84"/>
      <c r="E871" s="84"/>
    </row>
    <row r="872" spans="3:7">
      <c r="C872" s="62" t="s">
        <v>24</v>
      </c>
      <c r="D872" s="184">
        <f>D862</f>
        <v>211823.31899999999</v>
      </c>
      <c r="E872" s="184">
        <f>D872*$J$850</f>
        <v>228.75088444924407</v>
      </c>
    </row>
    <row r="873" spans="3:7" ht="13.5" thickBot="1">
      <c r="C873" s="63"/>
      <c r="D873" s="185">
        <f>SUM(D871:D872)</f>
        <v>211823.31899999999</v>
      </c>
      <c r="E873" s="185">
        <f>SUM(E871:E872)</f>
        <v>228.75088444924407</v>
      </c>
    </row>
    <row r="874" spans="3:7" ht="13.5" thickBot="1"/>
    <row r="875" spans="3:7">
      <c r="C875" s="60" t="s">
        <v>147</v>
      </c>
      <c r="D875" s="61" t="s">
        <v>35</v>
      </c>
      <c r="E875" s="61" t="s">
        <v>36</v>
      </c>
    </row>
    <row r="876" spans="3:7">
      <c r="C876" s="54" t="s">
        <v>27</v>
      </c>
      <c r="D876" s="181">
        <f>11450.612+16991.63+88421.844+141160.134</f>
        <v>258024.21999999997</v>
      </c>
      <c r="E876" s="184">
        <f t="shared" ref="E876:E881" si="27">D876*$J$850</f>
        <v>278.64386609071272</v>
      </c>
    </row>
    <row r="877" spans="3:7">
      <c r="C877" s="54" t="s">
        <v>28</v>
      </c>
      <c r="D877" s="181">
        <f>37036.84+135781.344</f>
        <v>172818.18400000001</v>
      </c>
      <c r="E877" s="184">
        <f t="shared" si="27"/>
        <v>186.62870842332615</v>
      </c>
    </row>
    <row r="878" spans="3:7">
      <c r="C878" s="54" t="s">
        <v>29</v>
      </c>
      <c r="D878" s="181">
        <f>66611.826+135489.796</f>
        <v>202101.622</v>
      </c>
      <c r="E878" s="184">
        <f t="shared" si="27"/>
        <v>218.25229157667388</v>
      </c>
    </row>
    <row r="879" spans="3:7">
      <c r="C879" s="54" t="s">
        <v>30</v>
      </c>
      <c r="D879" s="181">
        <v>260921.329</v>
      </c>
      <c r="E879" s="184">
        <f t="shared" si="27"/>
        <v>281.77249352051837</v>
      </c>
    </row>
    <row r="880" spans="3:7">
      <c r="C880" s="54" t="s">
        <v>31</v>
      </c>
      <c r="D880" s="181">
        <v>260634.52799999999</v>
      </c>
      <c r="E880" s="184">
        <f t="shared" si="27"/>
        <v>281.46277321814256</v>
      </c>
    </row>
    <row r="881" spans="3:6" ht="13.5" thickBot="1">
      <c r="C881" s="54" t="s">
        <v>32</v>
      </c>
      <c r="D881" s="181">
        <v>1219086.67</v>
      </c>
      <c r="E881" s="184">
        <f t="shared" si="27"/>
        <v>1316.508282937365</v>
      </c>
    </row>
    <row r="882" spans="3:6" ht="13.5" thickBot="1">
      <c r="C882" s="186" t="s">
        <v>33</v>
      </c>
      <c r="D882" s="187">
        <f>SUM(D876:D881)</f>
        <v>2373586.5529999998</v>
      </c>
      <c r="E882" s="193">
        <f>SUM(E876:E881)</f>
        <v>2563.2684157667386</v>
      </c>
    </row>
    <row r="883" spans="3:6" ht="13.5" thickBot="1">
      <c r="D883" s="191"/>
    </row>
    <row r="884" spans="3:6">
      <c r="C884" s="60" t="s">
        <v>148</v>
      </c>
      <c r="D884" s="61" t="s">
        <v>35</v>
      </c>
      <c r="E884" s="61" t="s">
        <v>36</v>
      </c>
    </row>
    <row r="885" spans="3:6">
      <c r="C885" s="54" t="s">
        <v>27</v>
      </c>
      <c r="D885" s="181">
        <v>115751.15399999999</v>
      </c>
      <c r="E885" s="184">
        <f t="shared" ref="E885:E890" si="28">D885*$J$850</f>
        <v>125.00124622030238</v>
      </c>
    </row>
    <row r="886" spans="3:6">
      <c r="C886" s="54" t="s">
        <v>28</v>
      </c>
      <c r="D886" s="181">
        <v>105636.701</v>
      </c>
      <c r="E886" s="184">
        <f t="shared" si="28"/>
        <v>114.07851079913608</v>
      </c>
    </row>
    <row r="887" spans="3:6">
      <c r="C887" s="54" t="s">
        <v>29</v>
      </c>
      <c r="D887" s="181">
        <v>89570.797999999995</v>
      </c>
      <c r="E887" s="184">
        <f t="shared" si="28"/>
        <v>96.728723542116626</v>
      </c>
    </row>
    <row r="888" spans="3:6">
      <c r="C888" s="54" t="s">
        <v>30</v>
      </c>
      <c r="D888" s="181">
        <v>81050.452000000005</v>
      </c>
      <c r="E888" s="184">
        <f t="shared" si="28"/>
        <v>87.527485961123119</v>
      </c>
    </row>
    <row r="889" spans="3:6">
      <c r="C889" s="54" t="s">
        <v>31</v>
      </c>
      <c r="D889" s="181">
        <v>64464.815999999999</v>
      </c>
      <c r="E889" s="184">
        <f t="shared" si="28"/>
        <v>69.616431965442771</v>
      </c>
    </row>
    <row r="890" spans="3:6" ht="13.5" thickBot="1">
      <c r="C890" s="54" t="s">
        <v>32</v>
      </c>
      <c r="D890" s="181">
        <v>153505.34400000001</v>
      </c>
      <c r="E890" s="184">
        <f t="shared" si="28"/>
        <v>165.77250971922248</v>
      </c>
    </row>
    <row r="891" spans="3:6" ht="13.5" thickBot="1">
      <c r="C891" s="186" t="s">
        <v>37</v>
      </c>
      <c r="D891" s="187">
        <f>SUM(D885:D890)</f>
        <v>609979.26500000001</v>
      </c>
      <c r="E891" s="187">
        <f>SUM(E885:E890)</f>
        <v>658.72490820734345</v>
      </c>
      <c r="F891" s="245"/>
    </row>
    <row r="892" spans="3:6" ht="13.5" thickBot="1">
      <c r="D892" s="191"/>
    </row>
    <row r="893" spans="3:6">
      <c r="C893" s="60" t="s">
        <v>147</v>
      </c>
      <c r="D893" s="61" t="s">
        <v>35</v>
      </c>
      <c r="E893" s="61" t="s">
        <v>36</v>
      </c>
    </row>
    <row r="894" spans="3:6">
      <c r="C894" s="54" t="s">
        <v>27</v>
      </c>
      <c r="D894" s="104">
        <f t="shared" ref="D894:D899" si="29">+D876+D885</f>
        <v>373775.37399999995</v>
      </c>
      <c r="E894" s="184">
        <f t="shared" ref="E894:E899" si="30">D894*$J$850</f>
        <v>403.64511231101511</v>
      </c>
    </row>
    <row r="895" spans="3:6">
      <c r="C895" s="54" t="s">
        <v>28</v>
      </c>
      <c r="D895" s="104">
        <f t="shared" si="29"/>
        <v>278454.88500000001</v>
      </c>
      <c r="E895" s="184">
        <f t="shared" si="30"/>
        <v>300.70721922246224</v>
      </c>
    </row>
    <row r="896" spans="3:6">
      <c r="C896" s="54" t="s">
        <v>29</v>
      </c>
      <c r="D896" s="104">
        <f t="shared" si="29"/>
        <v>291672.42</v>
      </c>
      <c r="E896" s="184">
        <f t="shared" si="30"/>
        <v>314.98101511879048</v>
      </c>
    </row>
    <row r="897" spans="2:12">
      <c r="C897" s="54" t="s">
        <v>30</v>
      </c>
      <c r="D897" s="104">
        <f t="shared" si="29"/>
        <v>341971.78100000002</v>
      </c>
      <c r="E897" s="184">
        <f t="shared" si="30"/>
        <v>369.29997948164151</v>
      </c>
      <c r="G897" s="237"/>
    </row>
    <row r="898" spans="2:12">
      <c r="C898" s="54" t="s">
        <v>31</v>
      </c>
      <c r="D898" s="104">
        <f t="shared" si="29"/>
        <v>325099.34399999998</v>
      </c>
      <c r="E898" s="184">
        <f t="shared" si="30"/>
        <v>351.07920518358532</v>
      </c>
    </row>
    <row r="899" spans="2:12" ht="13.5" thickBot="1">
      <c r="C899" s="54" t="s">
        <v>32</v>
      </c>
      <c r="D899" s="104">
        <f t="shared" si="29"/>
        <v>1372592.014</v>
      </c>
      <c r="E899" s="184">
        <f t="shared" si="30"/>
        <v>1482.2807926565874</v>
      </c>
    </row>
    <row r="900" spans="2:12" ht="13.5" thickBot="1">
      <c r="C900" s="186" t="s">
        <v>38</v>
      </c>
      <c r="D900" s="187">
        <f>SUM(D894:D899)</f>
        <v>2983565.818</v>
      </c>
      <c r="E900" s="193">
        <f>SUM(E894:E899)</f>
        <v>3221.9933239740822</v>
      </c>
    </row>
    <row r="901" spans="2:12">
      <c r="C901" s="234"/>
      <c r="D901" s="235"/>
      <c r="E901" s="236"/>
    </row>
    <row r="902" spans="2:12">
      <c r="C902" s="234"/>
      <c r="D902" s="235"/>
      <c r="E902" s="236"/>
    </row>
    <row r="904" spans="2:12">
      <c r="B904" s="52" t="s">
        <v>149</v>
      </c>
      <c r="I904" s="52" t="s">
        <v>150</v>
      </c>
      <c r="J904" s="179">
        <f>Model!AN208</f>
        <v>1.1737089201877935E-3</v>
      </c>
      <c r="K904" s="179"/>
    </row>
    <row r="905" spans="2:12">
      <c r="C905" s="129"/>
      <c r="D905" s="396" t="s">
        <v>151</v>
      </c>
      <c r="E905" s="397"/>
      <c r="F905" s="115" t="s">
        <v>6</v>
      </c>
      <c r="G905" s="115" t="s">
        <v>7</v>
      </c>
      <c r="I905" s="52" t="s">
        <v>152</v>
      </c>
      <c r="J905" s="179">
        <f>AVERAGE(Model!AL207:AO207)</f>
        <v>1.2772710309054945E-3</v>
      </c>
      <c r="K905" s="179"/>
    </row>
    <row r="906" spans="2:12">
      <c r="C906" s="207"/>
      <c r="D906" s="208" t="s">
        <v>4</v>
      </c>
      <c r="E906" s="209" t="s">
        <v>5</v>
      </c>
      <c r="F906" s="210"/>
      <c r="G906" s="210"/>
      <c r="I906" s="52"/>
    </row>
    <row r="907" spans="2:12">
      <c r="C907" s="207" t="s">
        <v>10</v>
      </c>
      <c r="D907" s="211"/>
      <c r="E907" s="162"/>
      <c r="F907" s="210"/>
      <c r="G907" s="210"/>
      <c r="I907" s="52" t="s">
        <v>8</v>
      </c>
    </row>
    <row r="908" spans="2:12">
      <c r="C908" s="212" t="s">
        <v>51</v>
      </c>
      <c r="D908" s="162">
        <f>Model!AO107</f>
        <v>75441.069000000003</v>
      </c>
      <c r="E908" s="162">
        <f>+D908*$J$904</f>
        <v>88.545855633802816</v>
      </c>
      <c r="F908" s="210"/>
      <c r="G908" s="210"/>
      <c r="I908" s="129"/>
      <c r="J908" s="396" t="s">
        <v>151</v>
      </c>
      <c r="K908" s="397"/>
      <c r="L908" s="115" t="s">
        <v>67</v>
      </c>
    </row>
    <row r="909" spans="2:12">
      <c r="C909" s="212" t="s">
        <v>52</v>
      </c>
      <c r="D909" s="162">
        <f>Model!AO108</f>
        <v>131521.073</v>
      </c>
      <c r="E909" s="162">
        <f>+D909*$J$904</f>
        <v>154.36745657276995</v>
      </c>
      <c r="F909" s="210"/>
      <c r="G909" s="210"/>
      <c r="I909" s="223"/>
      <c r="J909" s="224" t="s">
        <v>4</v>
      </c>
      <c r="K909" s="224" t="s">
        <v>5</v>
      </c>
      <c r="L909" s="225"/>
    </row>
    <row r="910" spans="2:12">
      <c r="C910" s="213" t="s">
        <v>53</v>
      </c>
      <c r="D910" s="162">
        <f>Model!AO110</f>
        <v>106538.963</v>
      </c>
      <c r="E910" s="162">
        <f>+D910*$J$904</f>
        <v>125.04573122065729</v>
      </c>
      <c r="F910" s="210"/>
      <c r="G910" s="210"/>
      <c r="I910" s="214" t="s">
        <v>17</v>
      </c>
      <c r="J910" s="171">
        <f>+J912+J911</f>
        <v>1540955.436</v>
      </c>
      <c r="K910" s="171">
        <f>J910*J904</f>
        <v>1808.6331408450706</v>
      </c>
      <c r="L910" s="216">
        <f>+J910/J915</f>
        <v>1.9643962577039034</v>
      </c>
    </row>
    <row r="911" spans="2:12">
      <c r="C911" s="207" t="s">
        <v>15</v>
      </c>
      <c r="D911" s="162"/>
      <c r="E911" s="162"/>
      <c r="F911" s="210"/>
      <c r="G911" s="210"/>
      <c r="I911" s="217" t="s">
        <v>18</v>
      </c>
      <c r="J911" s="226">
        <f>D916</f>
        <v>111155.436</v>
      </c>
      <c r="K911" s="226">
        <f>K910-K912</f>
        <v>130.46412676056343</v>
      </c>
      <c r="L911" s="219"/>
    </row>
    <row r="912" spans="2:12">
      <c r="C912" s="212" t="s">
        <v>51</v>
      </c>
      <c r="D912" s="162">
        <f>Model!AO112</f>
        <v>92327.005999999994</v>
      </c>
      <c r="E912" s="162">
        <f>+D912*$J$904</f>
        <v>108.36503051643191</v>
      </c>
      <c r="F912" s="210"/>
      <c r="G912" s="210"/>
      <c r="I912" s="214" t="s">
        <v>9</v>
      </c>
      <c r="J912" s="227">
        <v>1429800</v>
      </c>
      <c r="K912" s="171">
        <f>J912*J904</f>
        <v>1678.1690140845071</v>
      </c>
      <c r="L912" s="216">
        <f>+J912/J915</f>
        <v>1.8226962984444419</v>
      </c>
    </row>
    <row r="913" spans="3:12">
      <c r="C913" s="212" t="s">
        <v>52</v>
      </c>
      <c r="D913" s="162">
        <f>Model!AO113</f>
        <v>1760325.773</v>
      </c>
      <c r="E913" s="162">
        <f>+D913*$J$904</f>
        <v>2066.1100622065728</v>
      </c>
      <c r="F913" s="210"/>
      <c r="G913" s="210"/>
      <c r="I913" s="220" t="s">
        <v>19</v>
      </c>
      <c r="J913" s="228">
        <f>D918</f>
        <v>1548008.23</v>
      </c>
      <c r="K913" s="172">
        <f>+J913*J904</f>
        <v>1816.9110680751173</v>
      </c>
      <c r="L913" s="125"/>
    </row>
    <row r="914" spans="3:12">
      <c r="C914" s="213" t="s">
        <v>54</v>
      </c>
      <c r="D914" s="162">
        <f>Model!AO115</f>
        <v>465348.85200000001</v>
      </c>
      <c r="E914" s="162">
        <f>+D914*$J$904</f>
        <v>546.18409859154929</v>
      </c>
      <c r="F914" s="210"/>
      <c r="G914" s="210"/>
      <c r="I914" s="220" t="s">
        <v>20</v>
      </c>
      <c r="J914" s="228">
        <f>J910+J913</f>
        <v>3088963.6660000002</v>
      </c>
      <c r="K914" s="228">
        <f>K910+K913</f>
        <v>3625.5442089201879</v>
      </c>
      <c r="L914" s="125"/>
    </row>
    <row r="915" spans="3:12">
      <c r="C915" s="214" t="s">
        <v>17</v>
      </c>
      <c r="D915" s="215">
        <f>SUM(D908:D914)</f>
        <v>2631502.736</v>
      </c>
      <c r="E915" s="107">
        <f>SUM(E908:E914)</f>
        <v>3088.6182347417839</v>
      </c>
      <c r="F915" s="216">
        <f>+D915/D920</f>
        <v>3.3546162374133597</v>
      </c>
      <c r="G915" s="216">
        <f>+E915/E920</f>
        <v>3.0826213907533595</v>
      </c>
      <c r="I915" s="222" t="s">
        <v>68</v>
      </c>
      <c r="J915" s="170">
        <f>D920</f>
        <v>784442.25800000003</v>
      </c>
      <c r="K915" s="170"/>
      <c r="L915" s="128"/>
    </row>
    <row r="916" spans="3:12">
      <c r="C916" s="217" t="s">
        <v>18</v>
      </c>
      <c r="D916" s="218">
        <f>Model!AO118</f>
        <v>111155.436</v>
      </c>
      <c r="E916" s="162">
        <f>+D916*$J$904</f>
        <v>130.46412676056337</v>
      </c>
      <c r="F916" s="219"/>
      <c r="G916" s="219"/>
    </row>
    <row r="917" spans="3:12">
      <c r="C917" s="214" t="s">
        <v>9</v>
      </c>
      <c r="D917" s="215">
        <f>+D915-D916</f>
        <v>2520347.2999999998</v>
      </c>
      <c r="E917" s="107">
        <f>+E915-E916</f>
        <v>2958.1541079812205</v>
      </c>
      <c r="F917" s="216">
        <f>+D917/D920</f>
        <v>3.212916278153898</v>
      </c>
      <c r="G917" s="216">
        <f>+E917/E920</f>
        <v>2.9524105724157885</v>
      </c>
      <c r="J917" s="196"/>
    </row>
    <row r="918" spans="3:12">
      <c r="C918" s="220" t="s">
        <v>19</v>
      </c>
      <c r="D918" s="221">
        <f>Model!AO125</f>
        <v>1548008.23</v>
      </c>
      <c r="E918" s="162">
        <f>+D918*$J$904</f>
        <v>1816.9110680751173</v>
      </c>
      <c r="F918" s="125"/>
      <c r="G918" s="125"/>
    </row>
    <row r="919" spans="3:12">
      <c r="C919" s="214" t="s">
        <v>20</v>
      </c>
      <c r="D919" s="215">
        <f>D915+D918</f>
        <v>4179510.966</v>
      </c>
      <c r="E919" s="107">
        <f>E915+E918</f>
        <v>4905.5293028169017</v>
      </c>
      <c r="F919" s="216">
        <f>D919/D920</f>
        <v>5.3280033340580175</v>
      </c>
      <c r="G919" s="216">
        <f>E919/E920</f>
        <v>4.896004754402747</v>
      </c>
    </row>
    <row r="920" spans="3:12">
      <c r="C920" s="222" t="s">
        <v>21</v>
      </c>
      <c r="D920" s="126">
        <f>Model!AO84</f>
        <v>784442.25800000003</v>
      </c>
      <c r="E920" s="241">
        <f>+D920*J905</f>
        <v>1001.945371561494</v>
      </c>
      <c r="F920" s="128"/>
      <c r="G920" s="128"/>
    </row>
    <row r="922" spans="3:12">
      <c r="C922" s="136" t="s">
        <v>22</v>
      </c>
      <c r="D922" s="137">
        <f>D915-Model!AO121</f>
        <v>0</v>
      </c>
      <c r="E922" s="138"/>
    </row>
    <row r="923" spans="3:12" ht="13.5" thickBot="1">
      <c r="D923" s="395"/>
      <c r="E923" s="395"/>
    </row>
    <row r="924" spans="3:12">
      <c r="C924" s="60" t="s">
        <v>153</v>
      </c>
      <c r="D924" s="61" t="s">
        <v>35</v>
      </c>
      <c r="E924" s="61" t="s">
        <v>36</v>
      </c>
    </row>
    <row r="925" spans="3:12">
      <c r="C925" s="62"/>
      <c r="D925" s="84"/>
      <c r="E925" s="84"/>
    </row>
    <row r="926" spans="3:12">
      <c r="C926" s="62" t="s">
        <v>24</v>
      </c>
      <c r="D926" s="184">
        <f>D916</f>
        <v>111155.436</v>
      </c>
      <c r="E926" s="184">
        <f>D926*$J$904</f>
        <v>130.46412676056337</v>
      </c>
    </row>
    <row r="927" spans="3:12" ht="13.5" thickBot="1">
      <c r="C927" s="63"/>
      <c r="D927" s="185">
        <f>SUM(D925:D926)</f>
        <v>111155.436</v>
      </c>
      <c r="E927" s="185">
        <f>SUM(E925:E926)</f>
        <v>130.46412676056337</v>
      </c>
    </row>
    <row r="928" spans="3:12" ht="13.5" thickBot="1"/>
    <row r="929" spans="3:5">
      <c r="C929" s="60" t="s">
        <v>154</v>
      </c>
      <c r="D929" s="61" t="s">
        <v>35</v>
      </c>
      <c r="E929" s="61" t="s">
        <v>36</v>
      </c>
    </row>
    <row r="930" spans="3:5">
      <c r="C930" s="54" t="s">
        <v>27</v>
      </c>
      <c r="D930" s="181">
        <f>22533.809+12262.342+52907.26+119258.731</f>
        <v>206962.14199999999</v>
      </c>
      <c r="E930" s="184">
        <f t="shared" ref="E930:E935" si="31">D930*$J$904</f>
        <v>242.91331220657275</v>
      </c>
    </row>
    <row r="931" spans="3:5">
      <c r="C931" s="54" t="s">
        <v>28</v>
      </c>
      <c r="D931" s="181">
        <f>82.632+114733.063</f>
        <v>114815.69499999999</v>
      </c>
      <c r="E931" s="184">
        <f t="shared" si="31"/>
        <v>134.76020539906102</v>
      </c>
    </row>
    <row r="932" spans="3:5">
      <c r="C932" s="54" t="s">
        <v>29</v>
      </c>
      <c r="D932" s="181">
        <f>60853.495+114486.589</f>
        <v>175340.084</v>
      </c>
      <c r="E932" s="184">
        <f t="shared" si="31"/>
        <v>205.798220657277</v>
      </c>
    </row>
    <row r="933" spans="3:5">
      <c r="C933" s="54" t="s">
        <v>30</v>
      </c>
      <c r="D933" s="181">
        <f>31290.879+220526.274</f>
        <v>251817.15299999999</v>
      </c>
      <c r="E933" s="184">
        <f t="shared" si="31"/>
        <v>295.56003873239439</v>
      </c>
    </row>
    <row r="934" spans="3:5">
      <c r="C934" s="54" t="s">
        <v>31</v>
      </c>
      <c r="D934" s="181">
        <v>220283.81200000001</v>
      </c>
      <c r="E934" s="184">
        <f t="shared" si="31"/>
        <v>258.54907511737088</v>
      </c>
    </row>
    <row r="935" spans="3:5" ht="13.5" thickBot="1">
      <c r="C935" s="54" t="s">
        <v>32</v>
      </c>
      <c r="D935" s="181">
        <v>1090296.0349999999</v>
      </c>
      <c r="E935" s="184">
        <f t="shared" si="31"/>
        <v>1279.6901819248826</v>
      </c>
    </row>
    <row r="936" spans="3:5" ht="13.5" thickBot="1">
      <c r="C936" s="186" t="s">
        <v>33</v>
      </c>
      <c r="D936" s="187">
        <f>SUM(D930:D935)</f>
        <v>2059514.9210000001</v>
      </c>
      <c r="E936" s="193">
        <f>SUM(E930:E935)</f>
        <v>2417.2710340375588</v>
      </c>
    </row>
    <row r="937" spans="3:5" ht="13.5" thickBot="1">
      <c r="D937" s="191"/>
    </row>
    <row r="938" spans="3:5">
      <c r="C938" s="60" t="s">
        <v>155</v>
      </c>
      <c r="D938" s="61" t="s">
        <v>35</v>
      </c>
      <c r="E938" s="61" t="s">
        <v>36</v>
      </c>
    </row>
    <row r="939" spans="3:5">
      <c r="C939" s="54" t="s">
        <v>27</v>
      </c>
      <c r="D939" s="181">
        <v>106538.963</v>
      </c>
      <c r="E939" s="184">
        <f t="shared" ref="E939:E944" si="32">D939*$J$904</f>
        <v>125.04573122065729</v>
      </c>
    </row>
    <row r="940" spans="3:5">
      <c r="C940" s="54" t="s">
        <v>28</v>
      </c>
      <c r="D940" s="181">
        <v>96126.095000000001</v>
      </c>
      <c r="E940" s="184">
        <f t="shared" si="32"/>
        <v>112.82405516431925</v>
      </c>
    </row>
    <row r="941" spans="3:5">
      <c r="C941" s="54" t="s">
        <v>29</v>
      </c>
      <c r="D941" s="181">
        <v>81936.817999999999</v>
      </c>
      <c r="E941" s="184">
        <f t="shared" si="32"/>
        <v>96.169974178403763</v>
      </c>
    </row>
    <row r="942" spans="3:5">
      <c r="C942" s="54" t="s">
        <v>30</v>
      </c>
      <c r="D942" s="181">
        <v>73749.521999999997</v>
      </c>
      <c r="E942" s="184">
        <f t="shared" si="32"/>
        <v>86.560471830985918</v>
      </c>
    </row>
    <row r="943" spans="3:5">
      <c r="C943" s="54" t="s">
        <v>31</v>
      </c>
      <c r="D943" s="181">
        <v>62564.303999999996</v>
      </c>
      <c r="E943" s="184">
        <f t="shared" si="32"/>
        <v>73.43228169014084</v>
      </c>
    </row>
    <row r="944" spans="3:5" ht="13.5" thickBot="1">
      <c r="C944" s="54" t="s">
        <v>32</v>
      </c>
      <c r="D944" s="181">
        <v>150972.11300000001</v>
      </c>
      <c r="E944" s="184">
        <f t="shared" si="32"/>
        <v>177.19731572769956</v>
      </c>
    </row>
    <row r="945" spans="2:12" ht="13.5" thickBot="1">
      <c r="C945" s="186" t="s">
        <v>37</v>
      </c>
      <c r="D945" s="187">
        <f>SUM(D939:D944)</f>
        <v>571887.81500000006</v>
      </c>
      <c r="E945" s="187">
        <f>SUM(E939:E944)</f>
        <v>671.22982981220662</v>
      </c>
    </row>
    <row r="946" spans="2:12" ht="13.5" thickBot="1">
      <c r="D946" s="191"/>
    </row>
    <row r="947" spans="2:12">
      <c r="C947" s="60" t="s">
        <v>154</v>
      </c>
      <c r="D947" s="61" t="s">
        <v>35</v>
      </c>
      <c r="E947" s="61" t="s">
        <v>36</v>
      </c>
    </row>
    <row r="948" spans="2:12">
      <c r="C948" s="54" t="s">
        <v>27</v>
      </c>
      <c r="D948" s="104">
        <f t="shared" ref="D948:D953" si="33">+D930+D939</f>
        <v>313501.10499999998</v>
      </c>
      <c r="E948" s="184">
        <f t="shared" ref="E948:E953" si="34">D948*$J$904</f>
        <v>367.95904342723003</v>
      </c>
    </row>
    <row r="949" spans="2:12">
      <c r="C949" s="54" t="s">
        <v>28</v>
      </c>
      <c r="D949" s="104">
        <f t="shared" si="33"/>
        <v>210941.78999999998</v>
      </c>
      <c r="E949" s="184">
        <f t="shared" si="34"/>
        <v>247.58426056338027</v>
      </c>
    </row>
    <row r="950" spans="2:12">
      <c r="C950" s="54" t="s">
        <v>29</v>
      </c>
      <c r="D950" s="104">
        <f t="shared" si="33"/>
        <v>257276.902</v>
      </c>
      <c r="E950" s="184">
        <f t="shared" si="34"/>
        <v>301.96819483568078</v>
      </c>
    </row>
    <row r="951" spans="2:12">
      <c r="C951" s="54" t="s">
        <v>30</v>
      </c>
      <c r="D951" s="104">
        <f t="shared" si="33"/>
        <v>325566.67499999999</v>
      </c>
      <c r="E951" s="184">
        <f t="shared" si="34"/>
        <v>382.12051056338026</v>
      </c>
      <c r="G951" s="237"/>
    </row>
    <row r="952" spans="2:12">
      <c r="C952" s="54" t="s">
        <v>31</v>
      </c>
      <c r="D952" s="104">
        <f t="shared" si="33"/>
        <v>282848.11599999998</v>
      </c>
      <c r="E952" s="184">
        <f t="shared" si="34"/>
        <v>331.9813568075117</v>
      </c>
    </row>
    <row r="953" spans="2:12" ht="13.5" thickBot="1">
      <c r="C953" s="54" t="s">
        <v>32</v>
      </c>
      <c r="D953" s="104">
        <f t="shared" si="33"/>
        <v>1241268.148</v>
      </c>
      <c r="E953" s="184">
        <f t="shared" si="34"/>
        <v>1456.8874976525822</v>
      </c>
    </row>
    <row r="954" spans="2:12" ht="13.5" thickBot="1">
      <c r="C954" s="186" t="s">
        <v>38</v>
      </c>
      <c r="D954" s="187">
        <f>SUM(D948:D953)</f>
        <v>2631402.736</v>
      </c>
      <c r="E954" s="193">
        <f>SUM(E948:E953)</f>
        <v>3088.5008638497652</v>
      </c>
    </row>
    <row r="956" spans="2:12">
      <c r="B956" s="52" t="s">
        <v>156</v>
      </c>
      <c r="I956" s="52" t="s">
        <v>157</v>
      </c>
      <c r="J956" s="179">
        <f>Model!AN208</f>
        <v>1.1737089201877935E-3</v>
      </c>
      <c r="K956" s="179"/>
    </row>
    <row r="957" spans="2:12">
      <c r="C957" s="129"/>
      <c r="D957" s="396" t="s">
        <v>158</v>
      </c>
      <c r="E957" s="397"/>
      <c r="F957" s="115" t="s">
        <v>6</v>
      </c>
      <c r="G957" s="115" t="s">
        <v>7</v>
      </c>
      <c r="I957" s="52" t="s">
        <v>159</v>
      </c>
      <c r="J957" s="179">
        <f>AVERAGE(Model!AK207:AN207)</f>
        <v>1.3211576053417206E-3</v>
      </c>
      <c r="K957" s="179"/>
    </row>
    <row r="958" spans="2:12">
      <c r="C958" s="207"/>
      <c r="D958" s="208" t="s">
        <v>4</v>
      </c>
      <c r="E958" s="209" t="s">
        <v>5</v>
      </c>
      <c r="F958" s="210"/>
      <c r="G958" s="210"/>
      <c r="I958" s="52"/>
    </row>
    <row r="959" spans="2:12">
      <c r="C959" s="207" t="s">
        <v>10</v>
      </c>
      <c r="D959" s="211"/>
      <c r="E959" s="162"/>
      <c r="F959" s="210"/>
      <c r="G959" s="210"/>
      <c r="I959" s="52" t="s">
        <v>8</v>
      </c>
    </row>
    <row r="960" spans="2:12">
      <c r="C960" s="212" t="s">
        <v>51</v>
      </c>
      <c r="D960" s="162">
        <f>Model!AN107</f>
        <v>47784.171000000002</v>
      </c>
      <c r="E960" s="162">
        <f>+D960*$J$956</f>
        <v>56.084707746478877</v>
      </c>
      <c r="F960" s="210"/>
      <c r="G960" s="210"/>
      <c r="I960" s="129"/>
      <c r="J960" s="396" t="s">
        <v>158</v>
      </c>
      <c r="K960" s="397"/>
      <c r="L960" s="115" t="s">
        <v>67</v>
      </c>
    </row>
    <row r="961" spans="3:12">
      <c r="C961" s="212" t="s">
        <v>52</v>
      </c>
      <c r="D961" s="162">
        <f>Model!AN108</f>
        <v>143291.9</v>
      </c>
      <c r="E961" s="162">
        <f>+D961*$J$956</f>
        <v>168.18298122065727</v>
      </c>
      <c r="F961" s="210"/>
      <c r="G961" s="210"/>
      <c r="I961" s="223"/>
      <c r="J961" s="224" t="s">
        <v>4</v>
      </c>
      <c r="K961" s="224" t="s">
        <v>5</v>
      </c>
      <c r="L961" s="225"/>
    </row>
    <row r="962" spans="3:12">
      <c r="C962" s="213" t="s">
        <v>53</v>
      </c>
      <c r="D962" s="162">
        <f>Model!AN110</f>
        <v>105314.13400000001</v>
      </c>
      <c r="E962" s="162">
        <f>+D962*$J$956</f>
        <v>123.60813849765259</v>
      </c>
      <c r="F962" s="210"/>
      <c r="G962" s="210"/>
      <c r="I962" s="214" t="s">
        <v>17</v>
      </c>
      <c r="J962" s="171">
        <f>+J964+J963</f>
        <v>1408404.7679999999</v>
      </c>
      <c r="K962" s="171">
        <f>J962*J956</f>
        <v>1653.0572394366197</v>
      </c>
      <c r="L962" s="216">
        <f>+J962/J967</f>
        <v>1.8232903760894954</v>
      </c>
    </row>
    <row r="963" spans="3:12">
      <c r="C963" s="207" t="s">
        <v>15</v>
      </c>
      <c r="D963" s="162"/>
      <c r="E963" s="162"/>
      <c r="F963" s="210"/>
      <c r="G963" s="210"/>
      <c r="I963" s="217" t="s">
        <v>18</v>
      </c>
      <c r="J963" s="226">
        <f>D968</f>
        <v>108604.768</v>
      </c>
      <c r="K963" s="226">
        <f>K962-K964</f>
        <v>127.47038497652579</v>
      </c>
      <c r="L963" s="219"/>
    </row>
    <row r="964" spans="3:12">
      <c r="C964" s="212" t="s">
        <v>51</v>
      </c>
      <c r="D964" s="162">
        <f>Model!AN112</f>
        <v>97044.861999999994</v>
      </c>
      <c r="E964" s="162">
        <f>+D964*$J$956</f>
        <v>113.90242018779342</v>
      </c>
      <c r="F964" s="210"/>
      <c r="G964" s="210"/>
      <c r="I964" s="214" t="s">
        <v>9</v>
      </c>
      <c r="J964" s="227">
        <v>1299800</v>
      </c>
      <c r="K964" s="171">
        <f>J964*J956</f>
        <v>1525.5868544600939</v>
      </c>
      <c r="L964" s="216">
        <f>+J964/J967</f>
        <v>1.6826929904579293</v>
      </c>
    </row>
    <row r="965" spans="3:12">
      <c r="C965" s="212" t="s">
        <v>52</v>
      </c>
      <c r="D965" s="162">
        <f>Model!AN113</f>
        <v>1838465.7439999999</v>
      </c>
      <c r="E965" s="162">
        <f>+D965*$J$956</f>
        <v>2157.8236431924884</v>
      </c>
      <c r="F965" s="210"/>
      <c r="G965" s="210"/>
      <c r="I965" s="220" t="s">
        <v>19</v>
      </c>
      <c r="J965" s="228">
        <f>D970</f>
        <v>1503045.3670000001</v>
      </c>
      <c r="K965" s="172">
        <f>+J965*J956</f>
        <v>1764.1377546948358</v>
      </c>
      <c r="L965" s="125"/>
    </row>
    <row r="966" spans="3:12">
      <c r="C966" s="213" t="s">
        <v>54</v>
      </c>
      <c r="D966" s="162">
        <f>Model!AN115</f>
        <v>486102.565</v>
      </c>
      <c r="E966" s="162">
        <f>+D966*$J$956</f>
        <v>570.54291666666666</v>
      </c>
      <c r="F966" s="210"/>
      <c r="G966" s="210"/>
      <c r="I966" s="220" t="s">
        <v>20</v>
      </c>
      <c r="J966" s="228">
        <f>J962+J965</f>
        <v>2911450.1349999998</v>
      </c>
      <c r="K966" s="228">
        <f>K962+K965</f>
        <v>3417.1949941314556</v>
      </c>
      <c r="L966" s="125"/>
    </row>
    <row r="967" spans="3:12">
      <c r="C967" s="214" t="s">
        <v>17</v>
      </c>
      <c r="D967" s="215">
        <f>SUM(D960:D966)</f>
        <v>2718003.3759999997</v>
      </c>
      <c r="E967" s="107">
        <f>SUM(E960:E966)</f>
        <v>3190.1448075117373</v>
      </c>
      <c r="F967" s="216">
        <f>+D967/D972</f>
        <v>3.5186684327097915</v>
      </c>
      <c r="G967" s="216">
        <f>+E967/E972</f>
        <v>3.1259650702964232</v>
      </c>
      <c r="I967" s="222" t="s">
        <v>68</v>
      </c>
      <c r="J967" s="170">
        <f>D972</f>
        <v>772452.25800000003</v>
      </c>
      <c r="K967" s="170"/>
      <c r="L967" s="128"/>
    </row>
    <row r="968" spans="3:12">
      <c r="C968" s="217" t="s">
        <v>18</v>
      </c>
      <c r="D968" s="218">
        <f>Model!AN118</f>
        <v>108604.768</v>
      </c>
      <c r="E968" s="162">
        <f>+D968*$J$956</f>
        <v>127.47038497652582</v>
      </c>
      <c r="F968" s="219"/>
      <c r="G968" s="219"/>
    </row>
    <row r="969" spans="3:12">
      <c r="C969" s="214" t="s">
        <v>9</v>
      </c>
      <c r="D969" s="215">
        <f>+D967-D968</f>
        <v>2609398.6079999995</v>
      </c>
      <c r="E969" s="107">
        <f>+E967-E968</f>
        <v>3062.6744225352113</v>
      </c>
      <c r="F969" s="216">
        <f>+D969/D972</f>
        <v>3.3780710470782251</v>
      </c>
      <c r="G969" s="216">
        <f>+E969/E972</f>
        <v>3.0010591506668196</v>
      </c>
      <c r="J969" s="196"/>
    </row>
    <row r="970" spans="3:12">
      <c r="C970" s="220" t="s">
        <v>19</v>
      </c>
      <c r="D970" s="221">
        <f>Model!AN125</f>
        <v>1503045.3670000001</v>
      </c>
      <c r="E970" s="162">
        <f>+D970*$J$956</f>
        <v>1764.1377546948358</v>
      </c>
      <c r="F970" s="125"/>
      <c r="G970" s="125"/>
    </row>
    <row r="971" spans="3:12">
      <c r="C971" s="214" t="s">
        <v>20</v>
      </c>
      <c r="D971" s="215">
        <f>D967+D970</f>
        <v>4221048.7429999998</v>
      </c>
      <c r="E971" s="107">
        <f>E967+E970</f>
        <v>4954.2825622065729</v>
      </c>
      <c r="F971" s="216">
        <f>D971/D972</f>
        <v>5.4644784830184285</v>
      </c>
      <c r="G971" s="216">
        <f>E971/E972</f>
        <v>4.8546116782441491</v>
      </c>
    </row>
    <row r="972" spans="3:12">
      <c r="C972" s="222" t="s">
        <v>21</v>
      </c>
      <c r="D972" s="126">
        <f>Model!AN84</f>
        <v>772452.25800000003</v>
      </c>
      <c r="E972" s="241">
        <f>+D972*J957</f>
        <v>1020.531175420085</v>
      </c>
      <c r="F972" s="128"/>
      <c r="G972" s="128"/>
    </row>
    <row r="974" spans="3:12">
      <c r="C974" s="136" t="s">
        <v>22</v>
      </c>
      <c r="D974" s="137">
        <f>D967-Model!AN121</f>
        <v>0</v>
      </c>
      <c r="E974" s="138"/>
    </row>
    <row r="975" spans="3:12" ht="13.5" thickBot="1">
      <c r="D975" s="395"/>
      <c r="E975" s="395"/>
    </row>
    <row r="976" spans="3:12">
      <c r="C976" s="60" t="s">
        <v>160</v>
      </c>
      <c r="D976" s="61" t="s">
        <v>35</v>
      </c>
      <c r="E976" s="61" t="s">
        <v>36</v>
      </c>
    </row>
    <row r="977" spans="3:5">
      <c r="C977" s="62"/>
      <c r="D977" s="84"/>
      <c r="E977" s="84"/>
    </row>
    <row r="978" spans="3:5">
      <c r="C978" s="62" t="s">
        <v>24</v>
      </c>
      <c r="D978" s="184">
        <f>D968</f>
        <v>108604.768</v>
      </c>
      <c r="E978" s="184">
        <f>D978*$J$956</f>
        <v>127.47038497652582</v>
      </c>
    </row>
    <row r="979" spans="3:5" ht="13.5" thickBot="1">
      <c r="C979" s="63"/>
      <c r="D979" s="185">
        <f>SUM(D977:D978)</f>
        <v>108604.768</v>
      </c>
      <c r="E979" s="185">
        <f>SUM(E977:E978)</f>
        <v>127.47038497652582</v>
      </c>
    </row>
    <row r="980" spans="3:5" ht="13.5" thickBot="1"/>
    <row r="981" spans="3:5">
      <c r="C981" s="60" t="s">
        <v>161</v>
      </c>
      <c r="D981" s="61" t="s">
        <v>35</v>
      </c>
      <c r="E981" s="61" t="s">
        <v>36</v>
      </c>
    </row>
    <row r="982" spans="3:5">
      <c r="C982" s="54" t="s">
        <v>27</v>
      </c>
      <c r="D982" s="181">
        <f>17418.628+15398.386+30365.543+127893.514</f>
        <v>191076.071</v>
      </c>
      <c r="E982" s="184">
        <f t="shared" ref="E982:E987" si="35">D982*$J$956</f>
        <v>224.26768896713614</v>
      </c>
    </row>
    <row r="983" spans="3:5">
      <c r="C983" s="54" t="s">
        <v>28</v>
      </c>
      <c r="D983" s="181">
        <f>450.455+122936.405</f>
        <v>123386.86</v>
      </c>
      <c r="E983" s="184">
        <f t="shared" si="35"/>
        <v>144.82025821596244</v>
      </c>
    </row>
    <row r="984" spans="3:5">
      <c r="C984" s="54" t="s">
        <v>29</v>
      </c>
      <c r="D984" s="181">
        <f>63072.415+122672.193</f>
        <v>185744.60800000001</v>
      </c>
      <c r="E984" s="184">
        <f t="shared" si="35"/>
        <v>218.010103286385</v>
      </c>
    </row>
    <row r="985" spans="3:5">
      <c r="C985" s="54" t="s">
        <v>30</v>
      </c>
      <c r="D985" s="181">
        <f>33521.992+236337.209</f>
        <v>269859.201</v>
      </c>
      <c r="E985" s="184">
        <f t="shared" si="35"/>
        <v>316.73615140845072</v>
      </c>
    </row>
    <row r="986" spans="3:5">
      <c r="C986" s="54" t="s">
        <v>31</v>
      </c>
      <c r="D986" s="181">
        <v>236077.29800000001</v>
      </c>
      <c r="E986" s="184">
        <f t="shared" si="35"/>
        <v>277.08603051643195</v>
      </c>
    </row>
    <row r="987" spans="3:5" ht="13.5" thickBot="1">
      <c r="C987" s="54" t="s">
        <v>32</v>
      </c>
      <c r="D987" s="181">
        <v>1120442.639</v>
      </c>
      <c r="E987" s="184">
        <f t="shared" si="35"/>
        <v>1315.0735199530516</v>
      </c>
    </row>
    <row r="988" spans="3:5" ht="13.5" thickBot="1">
      <c r="C988" s="186" t="s">
        <v>33</v>
      </c>
      <c r="D988" s="187">
        <f>SUM(D982:D987)</f>
        <v>2126586.6770000001</v>
      </c>
      <c r="E988" s="193">
        <f>SUM(E982:E987)</f>
        <v>2495.9937523474177</v>
      </c>
    </row>
    <row r="989" spans="3:5" ht="13.5" thickBot="1">
      <c r="D989" s="191"/>
    </row>
    <row r="990" spans="3:5">
      <c r="C990" s="60" t="s">
        <v>162</v>
      </c>
      <c r="D990" s="61" t="s">
        <v>35</v>
      </c>
      <c r="E990" s="61" t="s">
        <v>36</v>
      </c>
    </row>
    <row r="991" spans="3:5">
      <c r="C991" s="54" t="s">
        <v>27</v>
      </c>
      <c r="D991" s="181">
        <v>105314.13400000001</v>
      </c>
      <c r="E991" s="184">
        <f t="shared" ref="E991:E996" si="36">D991*$J$956</f>
        <v>123.60813849765259</v>
      </c>
    </row>
    <row r="992" spans="3:5">
      <c r="C992" s="54" t="s">
        <v>28</v>
      </c>
      <c r="D992" s="181">
        <v>96257.260999999999</v>
      </c>
      <c r="E992" s="184">
        <f t="shared" si="36"/>
        <v>112.9780058685446</v>
      </c>
    </row>
    <row r="993" spans="3:7">
      <c r="C993" s="54" t="s">
        <v>29</v>
      </c>
      <c r="D993" s="181">
        <v>87243.092000000004</v>
      </c>
      <c r="E993" s="184">
        <f t="shared" si="36"/>
        <v>102.39799530516433</v>
      </c>
    </row>
    <row r="994" spans="3:7">
      <c r="C994" s="54" t="s">
        <v>30</v>
      </c>
      <c r="D994" s="181">
        <v>75048.410999999993</v>
      </c>
      <c r="E994" s="184">
        <f t="shared" si="36"/>
        <v>88.084989436619708</v>
      </c>
    </row>
    <row r="995" spans="3:7">
      <c r="C995" s="54" t="s">
        <v>31</v>
      </c>
      <c r="D995" s="181">
        <v>62897.26</v>
      </c>
      <c r="E995" s="184">
        <f t="shared" si="36"/>
        <v>73.823075117370891</v>
      </c>
    </row>
    <row r="996" spans="3:7" ht="13.5" thickBot="1">
      <c r="C996" s="54" t="s">
        <v>32</v>
      </c>
      <c r="D996" s="181">
        <v>164656.541</v>
      </c>
      <c r="E996" s="184">
        <f t="shared" si="36"/>
        <v>193.25885093896713</v>
      </c>
    </row>
    <row r="997" spans="3:7" ht="13.5" thickBot="1">
      <c r="C997" s="186" t="s">
        <v>37</v>
      </c>
      <c r="D997" s="187">
        <f>SUM(D991:D996)</f>
        <v>591416.69900000002</v>
      </c>
      <c r="E997" s="187">
        <f>SUM(E991:E996)</f>
        <v>694.15105516431925</v>
      </c>
    </row>
    <row r="998" spans="3:7" ht="13.5" thickBot="1">
      <c r="D998" s="191"/>
    </row>
    <row r="999" spans="3:7">
      <c r="C999" s="60" t="s">
        <v>161</v>
      </c>
      <c r="D999" s="61" t="s">
        <v>35</v>
      </c>
      <c r="E999" s="61" t="s">
        <v>36</v>
      </c>
    </row>
    <row r="1000" spans="3:7">
      <c r="C1000" s="54" t="s">
        <v>27</v>
      </c>
      <c r="D1000" s="104">
        <f t="shared" ref="D1000:D1005" si="37">+D982+D991</f>
        <v>296390.20500000002</v>
      </c>
      <c r="E1000" s="184">
        <f t="shared" ref="E1000:E1005" si="38">D1000*$J$956</f>
        <v>347.87582746478876</v>
      </c>
    </row>
    <row r="1001" spans="3:7">
      <c r="C1001" s="54" t="s">
        <v>28</v>
      </c>
      <c r="D1001" s="104">
        <f t="shared" si="37"/>
        <v>219644.12099999998</v>
      </c>
      <c r="E1001" s="184">
        <f t="shared" si="38"/>
        <v>257.79826408450703</v>
      </c>
    </row>
    <row r="1002" spans="3:7">
      <c r="C1002" s="54" t="s">
        <v>29</v>
      </c>
      <c r="D1002" s="104">
        <f t="shared" si="37"/>
        <v>272987.7</v>
      </c>
      <c r="E1002" s="184">
        <f t="shared" si="38"/>
        <v>320.40809859154933</v>
      </c>
    </row>
    <row r="1003" spans="3:7">
      <c r="C1003" s="54" t="s">
        <v>30</v>
      </c>
      <c r="D1003" s="104">
        <f t="shared" si="37"/>
        <v>344907.61199999996</v>
      </c>
      <c r="E1003" s="184">
        <f t="shared" si="38"/>
        <v>404.82114084507037</v>
      </c>
      <c r="G1003" s="237"/>
    </row>
    <row r="1004" spans="3:7">
      <c r="C1004" s="54" t="s">
        <v>31</v>
      </c>
      <c r="D1004" s="104">
        <f t="shared" si="37"/>
        <v>298974.55800000002</v>
      </c>
      <c r="E1004" s="184">
        <f t="shared" si="38"/>
        <v>350.90910563380282</v>
      </c>
    </row>
    <row r="1005" spans="3:7" ht="13.5" thickBot="1">
      <c r="C1005" s="54" t="s">
        <v>32</v>
      </c>
      <c r="D1005" s="104">
        <f t="shared" si="37"/>
        <v>1285099.18</v>
      </c>
      <c r="E1005" s="184">
        <f t="shared" si="38"/>
        <v>1508.3323708920188</v>
      </c>
    </row>
    <row r="1006" spans="3:7" ht="13.5" thickBot="1">
      <c r="C1006" s="186" t="s">
        <v>38</v>
      </c>
      <c r="D1006" s="187">
        <f>SUM(D1000:D1005)</f>
        <v>2718003.3760000002</v>
      </c>
      <c r="E1006" s="193">
        <f>SUM(E1000:E1005)</f>
        <v>3190.1448075117373</v>
      </c>
    </row>
    <row r="1009" spans="2:12">
      <c r="B1009" s="52" t="s">
        <v>163</v>
      </c>
      <c r="I1009" s="52" t="s">
        <v>164</v>
      </c>
      <c r="J1009" s="179">
        <f>Model!AM208</f>
        <v>1.2350253180190194E-3</v>
      </c>
      <c r="K1009" s="179"/>
    </row>
    <row r="1010" spans="2:12">
      <c r="C1010" s="129"/>
      <c r="D1010" s="396" t="s">
        <v>165</v>
      </c>
      <c r="E1010" s="397"/>
      <c r="F1010" s="115" t="s">
        <v>6</v>
      </c>
      <c r="G1010" s="115" t="s">
        <v>7</v>
      </c>
      <c r="I1010" s="52" t="s">
        <v>166</v>
      </c>
      <c r="J1010" s="179">
        <f>AVERAGE(Model!AJ208:AM208)</f>
        <v>1.3502650747826955E-3</v>
      </c>
      <c r="K1010" s="179"/>
    </row>
    <row r="1011" spans="2:12">
      <c r="C1011" s="207"/>
      <c r="D1011" s="208" t="s">
        <v>4</v>
      </c>
      <c r="E1011" s="209" t="s">
        <v>5</v>
      </c>
      <c r="F1011" s="210"/>
      <c r="G1011" s="210"/>
      <c r="I1011" s="52"/>
    </row>
    <row r="1012" spans="2:12">
      <c r="C1012" s="207" t="s">
        <v>10</v>
      </c>
      <c r="D1012" s="211"/>
      <c r="E1012" s="162"/>
      <c r="F1012" s="210"/>
      <c r="G1012" s="210"/>
      <c r="I1012" s="52" t="s">
        <v>8</v>
      </c>
    </row>
    <row r="1013" spans="2:12">
      <c r="C1013" s="212" t="s">
        <v>51</v>
      </c>
      <c r="D1013" s="162">
        <f>Model!AM107</f>
        <v>40755.654000000002</v>
      </c>
      <c r="E1013" s="162">
        <f>+D1013*$J$1009</f>
        <v>50.334264542423121</v>
      </c>
      <c r="F1013" s="210"/>
      <c r="G1013" s="210"/>
      <c r="I1013" s="129"/>
      <c r="J1013" s="396" t="s">
        <v>165</v>
      </c>
      <c r="K1013" s="397"/>
      <c r="L1013" s="115" t="s">
        <v>67</v>
      </c>
    </row>
    <row r="1014" spans="2:12">
      <c r="C1014" s="212" t="s">
        <v>52</v>
      </c>
      <c r="D1014" s="162">
        <f>Model!AM108</f>
        <v>16626.663</v>
      </c>
      <c r="E1014" s="162">
        <f>+D1014*$J$1009</f>
        <v>20.534349759170063</v>
      </c>
      <c r="F1014" s="210"/>
      <c r="G1014" s="210"/>
      <c r="I1014" s="223"/>
      <c r="J1014" s="224" t="s">
        <v>4</v>
      </c>
      <c r="K1014" s="224" t="s">
        <v>5</v>
      </c>
      <c r="L1014" s="225"/>
    </row>
    <row r="1015" spans="2:12">
      <c r="C1015" s="213" t="s">
        <v>53</v>
      </c>
      <c r="D1015" s="162">
        <f>Model!AM110</f>
        <v>93476.001000000004</v>
      </c>
      <c r="E1015" s="162">
        <f>+D1015*$J$1009</f>
        <v>115.44522786217118</v>
      </c>
      <c r="F1015" s="210"/>
      <c r="G1015" s="210"/>
      <c r="I1015" s="214" t="s">
        <v>17</v>
      </c>
      <c r="J1015" s="171">
        <f>+J1017+J1016</f>
        <v>1730546.3530000001</v>
      </c>
      <c r="K1015" s="171">
        <f>J1015*J1009</f>
        <v>2137.2685599604793</v>
      </c>
      <c r="L1015" s="216">
        <f>+J1015/J1020</f>
        <v>2.2501135789333766</v>
      </c>
    </row>
    <row r="1016" spans="2:12">
      <c r="C1016" s="207" t="s">
        <v>15</v>
      </c>
      <c r="D1016" s="162"/>
      <c r="E1016" s="162"/>
      <c r="F1016" s="210"/>
      <c r="G1016" s="210"/>
      <c r="I1016" s="217" t="s">
        <v>18</v>
      </c>
      <c r="J1016" s="226">
        <f>D1021</f>
        <v>115646.353</v>
      </c>
      <c r="K1016" s="226">
        <f>K1015-K1017</f>
        <v>142.82617389156485</v>
      </c>
      <c r="L1016" s="219"/>
    </row>
    <row r="1017" spans="2:12">
      <c r="C1017" s="212" t="s">
        <v>51</v>
      </c>
      <c r="D1017" s="162">
        <f>Model!AM112</f>
        <v>93949.43</v>
      </c>
      <c r="E1017" s="162">
        <f>+D1017*$J$1009</f>
        <v>116.02992466345559</v>
      </c>
      <c r="F1017" s="210"/>
      <c r="G1017" s="210"/>
      <c r="I1017" s="214" t="s">
        <v>9</v>
      </c>
      <c r="J1017" s="227">
        <v>1614900</v>
      </c>
      <c r="K1017" s="171">
        <f>J1017*J1009</f>
        <v>1994.4423860689144</v>
      </c>
      <c r="L1017" s="216">
        <f>+J1017/J1020</f>
        <v>2.0997463675678323</v>
      </c>
    </row>
    <row r="1018" spans="2:12">
      <c r="C1018" s="212" t="s">
        <v>52</v>
      </c>
      <c r="D1018" s="162">
        <f>Model!AM113</f>
        <v>1889335.906</v>
      </c>
      <c r="E1018" s="162">
        <f>+D1018*$J$1009</f>
        <v>2333.377678152402</v>
      </c>
      <c r="F1018" s="210"/>
      <c r="G1018" s="210"/>
      <c r="I1018" s="220" t="s">
        <v>19</v>
      </c>
      <c r="J1018" s="228">
        <f>D1023</f>
        <v>1624197.0279999999</v>
      </c>
      <c r="K1018" s="172">
        <f>+J1018*J1009</f>
        <v>2005.924451031246</v>
      </c>
      <c r="L1018" s="125"/>
    </row>
    <row r="1019" spans="2:12">
      <c r="C1019" s="213" t="s">
        <v>54</v>
      </c>
      <c r="D1019" s="162">
        <f>Model!AM115</f>
        <v>438374.52299999999</v>
      </c>
      <c r="E1019" s="162">
        <f>+D1019*$J$1009</f>
        <v>541.4036346795109</v>
      </c>
      <c r="F1019" s="210"/>
      <c r="G1019" s="210"/>
      <c r="I1019" s="220" t="s">
        <v>20</v>
      </c>
      <c r="J1019" s="228">
        <f>J1015+J1018</f>
        <v>3354743.3810000001</v>
      </c>
      <c r="K1019" s="228">
        <f>K1015+K1018</f>
        <v>4143.1930109917248</v>
      </c>
      <c r="L1019" s="125"/>
    </row>
    <row r="1020" spans="2:12">
      <c r="C1020" s="214" t="s">
        <v>17</v>
      </c>
      <c r="D1020" s="215">
        <f>SUM(D1013:D1019)</f>
        <v>2572518.1770000001</v>
      </c>
      <c r="E1020" s="107">
        <f>SUM(E1013:E1019)</f>
        <v>3177.125079659133</v>
      </c>
      <c r="F1020" s="216">
        <f>+D1020/D1025</f>
        <v>3.3448731795516577</v>
      </c>
      <c r="G1020" s="216">
        <f>+E1020/E1025</f>
        <v>3.0594015497097091</v>
      </c>
      <c r="I1020" s="222" t="s">
        <v>68</v>
      </c>
      <c r="J1020" s="170">
        <f>D1025</f>
        <v>769092.88899999997</v>
      </c>
      <c r="K1020" s="170"/>
      <c r="L1020" s="128"/>
    </row>
    <row r="1021" spans="2:12">
      <c r="C1021" s="217" t="s">
        <v>18</v>
      </c>
      <c r="D1021" s="218">
        <f>Model!AM118</f>
        <v>115646.353</v>
      </c>
      <c r="E1021" s="162">
        <f>+D1021*$J$1009</f>
        <v>142.82617389156479</v>
      </c>
      <c r="F1021" s="219"/>
      <c r="G1021" s="219"/>
    </row>
    <row r="1022" spans="2:12">
      <c r="C1022" s="214" t="s">
        <v>9</v>
      </c>
      <c r="D1022" s="215">
        <f>+D1020-D1021</f>
        <v>2456871.824</v>
      </c>
      <c r="E1022" s="107">
        <f>+E1020-E1021</f>
        <v>3034.2989057675682</v>
      </c>
      <c r="F1022" s="216">
        <f>+D1022/D1025</f>
        <v>3.1945059681861134</v>
      </c>
      <c r="G1022" s="216">
        <f>+E1022/E1025</f>
        <v>2.921867582117271</v>
      </c>
      <c r="J1022" s="196"/>
    </row>
    <row r="1023" spans="2:12">
      <c r="C1023" s="220" t="s">
        <v>19</v>
      </c>
      <c r="D1023" s="221">
        <f>Model!AM125</f>
        <v>1624197.0279999999</v>
      </c>
      <c r="E1023" s="162">
        <f>+D1023*$J$1009</f>
        <v>2005.924451031246</v>
      </c>
      <c r="F1023" s="125"/>
      <c r="G1023" s="125"/>
    </row>
    <row r="1024" spans="2:12">
      <c r="C1024" s="214" t="s">
        <v>20</v>
      </c>
      <c r="D1024" s="215">
        <f>D1020+D1023</f>
        <v>4196715.2050000001</v>
      </c>
      <c r="E1024" s="107">
        <f>E1020+E1023</f>
        <v>5183.0495306903795</v>
      </c>
      <c r="F1024" s="216">
        <f>D1024/D1025</f>
        <v>5.4567078502789279</v>
      </c>
      <c r="G1024" s="216">
        <f>E1024/E1025</f>
        <v>4.9909995259354396</v>
      </c>
    </row>
    <row r="1025" spans="3:7">
      <c r="C1025" s="222" t="s">
        <v>21</v>
      </c>
      <c r="D1025" s="126">
        <f>Model!AM84</f>
        <v>769092.88899999997</v>
      </c>
      <c r="E1025" s="241">
        <f>+D1025*J1010</f>
        <v>1038.4792672804242</v>
      </c>
      <c r="F1025" s="128"/>
      <c r="G1025" s="128"/>
    </row>
    <row r="1027" spans="3:7">
      <c r="C1027" s="136" t="s">
        <v>22</v>
      </c>
      <c r="D1027" s="137">
        <f>D1020-Model!AM121</f>
        <v>0</v>
      </c>
      <c r="E1027" s="138"/>
    </row>
    <row r="1028" spans="3:7" ht="13.5" thickBot="1">
      <c r="D1028" s="395"/>
      <c r="E1028" s="395"/>
    </row>
    <row r="1029" spans="3:7">
      <c r="C1029" s="60" t="s">
        <v>167</v>
      </c>
      <c r="D1029" s="61" t="s">
        <v>35</v>
      </c>
      <c r="E1029" s="61" t="s">
        <v>36</v>
      </c>
    </row>
    <row r="1030" spans="3:7">
      <c r="C1030" s="62"/>
      <c r="D1030" s="84"/>
      <c r="E1030" s="84"/>
    </row>
    <row r="1031" spans="3:7">
      <c r="C1031" s="62" t="s">
        <v>24</v>
      </c>
      <c r="D1031" s="184">
        <f>D1021</f>
        <v>115646.353</v>
      </c>
      <c r="E1031" s="184">
        <f>D1031*$J$1009</f>
        <v>142.82617389156479</v>
      </c>
    </row>
    <row r="1032" spans="3:7" ht="13.5" thickBot="1">
      <c r="C1032" s="63"/>
      <c r="D1032" s="185">
        <f>SUM(D1030:D1031)</f>
        <v>115646.353</v>
      </c>
      <c r="E1032" s="185">
        <f>SUM(E1030:E1031)</f>
        <v>142.82617389156479</v>
      </c>
    </row>
    <row r="1033" spans="3:7" ht="13.5" thickBot="1"/>
    <row r="1034" spans="3:7">
      <c r="C1034" s="60" t="s">
        <v>168</v>
      </c>
      <c r="D1034" s="61" t="s">
        <v>35</v>
      </c>
      <c r="E1034" s="61" t="s">
        <v>36</v>
      </c>
    </row>
    <row r="1035" spans="3:7">
      <c r="C1035" s="54" t="s">
        <v>27</v>
      </c>
      <c r="D1035" s="181">
        <f>162.66+15746.203+40592.994+880.46</f>
        <v>57382.316999999995</v>
      </c>
      <c r="E1035" s="184">
        <f t="shared" ref="E1035:E1040" si="39">D1035*$J$1009</f>
        <v>70.868614301593183</v>
      </c>
    </row>
    <row r="1036" spans="3:7">
      <c r="C1036" s="54" t="s">
        <v>28</v>
      </c>
      <c r="D1036" s="181">
        <v>118341.791</v>
      </c>
      <c r="E1036" s="184">
        <f t="shared" si="39"/>
        <v>146.15510806471534</v>
      </c>
    </row>
    <row r="1037" spans="3:7">
      <c r="C1037" s="54" t="s">
        <v>29</v>
      </c>
      <c r="D1037" s="181">
        <f>32200.724+118110.124</f>
        <v>150310.848</v>
      </c>
      <c r="E1037" s="184">
        <f t="shared" si="39"/>
        <v>185.63770285290849</v>
      </c>
    </row>
    <row r="1038" spans="3:7">
      <c r="C1038" s="54" t="s">
        <v>30</v>
      </c>
      <c r="D1038" s="181">
        <f>61748.706+117856.167</f>
        <v>179604.87299999999</v>
      </c>
      <c r="E1038" s="184">
        <f t="shared" si="39"/>
        <v>221.81656539459058</v>
      </c>
    </row>
    <row r="1039" spans="3:7">
      <c r="C1039" s="54" t="s">
        <v>31</v>
      </c>
      <c r="D1039" s="181">
        <v>227117.22</v>
      </c>
      <c r="E1039" s="184">
        <f t="shared" si="39"/>
        <v>280.49551685809558</v>
      </c>
    </row>
    <row r="1040" spans="3:7" ht="13.5" thickBot="1">
      <c r="C1040" s="54" t="s">
        <v>32</v>
      </c>
      <c r="D1040" s="181">
        <v>1307930.6040000001</v>
      </c>
      <c r="E1040" s="184">
        <f t="shared" si="39"/>
        <v>1615.3274101519082</v>
      </c>
    </row>
    <row r="1041" spans="3:7" ht="13.5" thickBot="1">
      <c r="C1041" s="186" t="s">
        <v>33</v>
      </c>
      <c r="D1041" s="187">
        <f>SUM(D1035:D1040)</f>
        <v>2040687.6529999999</v>
      </c>
      <c r="E1041" s="193">
        <f>SUM(E1035:E1040)</f>
        <v>2520.3009176238115</v>
      </c>
    </row>
    <row r="1042" spans="3:7" ht="13.5" thickBot="1">
      <c r="D1042" s="191"/>
    </row>
    <row r="1043" spans="3:7">
      <c r="C1043" s="60" t="s">
        <v>169</v>
      </c>
      <c r="D1043" s="61" t="s">
        <v>35</v>
      </c>
      <c r="E1043" s="61" t="s">
        <v>36</v>
      </c>
    </row>
    <row r="1044" spans="3:7">
      <c r="C1044" s="54" t="s">
        <v>27</v>
      </c>
      <c r="D1044" s="181">
        <v>93476.001000000004</v>
      </c>
      <c r="E1044" s="184">
        <f t="shared" ref="E1044:E1049" si="40">D1044*$J$1009</f>
        <v>115.44522786217118</v>
      </c>
    </row>
    <row r="1045" spans="3:7">
      <c r="C1045" s="54" t="s">
        <v>28</v>
      </c>
      <c r="D1045" s="181">
        <v>74094.849000000002</v>
      </c>
      <c r="E1045" s="184">
        <f t="shared" si="40"/>
        <v>91.509014449796226</v>
      </c>
    </row>
    <row r="1046" spans="3:7">
      <c r="C1046" s="54" t="s">
        <v>29</v>
      </c>
      <c r="D1046" s="181">
        <v>66647.028999999995</v>
      </c>
      <c r="E1046" s="184">
        <f t="shared" si="40"/>
        <v>82.310768185747804</v>
      </c>
    </row>
    <row r="1047" spans="3:7">
      <c r="C1047" s="54" t="s">
        <v>30</v>
      </c>
      <c r="D1047" s="181">
        <v>64674.813000000002</v>
      </c>
      <c r="E1047" s="184">
        <f t="shared" si="40"/>
        <v>79.875031493145613</v>
      </c>
    </row>
    <row r="1048" spans="3:7">
      <c r="C1048" s="54" t="s">
        <v>31</v>
      </c>
      <c r="D1048" s="181">
        <v>59421.527000000002</v>
      </c>
      <c r="E1048" s="184">
        <f t="shared" si="40"/>
        <v>73.387090280350748</v>
      </c>
    </row>
    <row r="1049" spans="3:7" ht="13.5" thickBot="1">
      <c r="C1049" s="54" t="s">
        <v>32</v>
      </c>
      <c r="D1049" s="181">
        <v>173536.30499999999</v>
      </c>
      <c r="E1049" s="184">
        <f t="shared" si="40"/>
        <v>214.32173027047054</v>
      </c>
    </row>
    <row r="1050" spans="3:7" ht="13.5" thickBot="1">
      <c r="C1050" s="186" t="s">
        <v>37</v>
      </c>
      <c r="D1050" s="187">
        <f>SUM(D1044:D1049)</f>
        <v>531850.52399999998</v>
      </c>
      <c r="E1050" s="187">
        <f>SUM(E1044:E1049)</f>
        <v>656.84886254168214</v>
      </c>
    </row>
    <row r="1051" spans="3:7" ht="13.5" thickBot="1">
      <c r="D1051" s="191"/>
    </row>
    <row r="1052" spans="3:7">
      <c r="C1052" s="60" t="s">
        <v>168</v>
      </c>
      <c r="D1052" s="61" t="s">
        <v>35</v>
      </c>
      <c r="E1052" s="61" t="s">
        <v>36</v>
      </c>
    </row>
    <row r="1053" spans="3:7">
      <c r="C1053" s="54" t="s">
        <v>27</v>
      </c>
      <c r="D1053" s="104">
        <f t="shared" ref="D1053:D1058" si="41">+D1035+D1044</f>
        <v>150858.318</v>
      </c>
      <c r="E1053" s="184">
        <f t="shared" ref="E1053:E1058" si="42">D1053*$J$1009</f>
        <v>186.31384216376435</v>
      </c>
    </row>
    <row r="1054" spans="3:7">
      <c r="C1054" s="54" t="s">
        <v>28</v>
      </c>
      <c r="D1054" s="104">
        <f t="shared" si="41"/>
        <v>192436.64</v>
      </c>
      <c r="E1054" s="184">
        <f t="shared" si="42"/>
        <v>237.66412251451158</v>
      </c>
    </row>
    <row r="1055" spans="3:7">
      <c r="C1055" s="54" t="s">
        <v>29</v>
      </c>
      <c r="D1055" s="104">
        <f t="shared" si="41"/>
        <v>216957.87699999998</v>
      </c>
      <c r="E1055" s="184">
        <f t="shared" si="42"/>
        <v>267.94847103865624</v>
      </c>
    </row>
    <row r="1056" spans="3:7">
      <c r="C1056" s="54" t="s">
        <v>30</v>
      </c>
      <c r="D1056" s="104">
        <f t="shared" si="41"/>
        <v>244279.68599999999</v>
      </c>
      <c r="E1056" s="184">
        <f t="shared" si="42"/>
        <v>301.69159688773618</v>
      </c>
      <c r="G1056" s="237"/>
    </row>
    <row r="1057" spans="2:12">
      <c r="C1057" s="54" t="s">
        <v>31</v>
      </c>
      <c r="D1057" s="104">
        <f t="shared" si="41"/>
        <v>286538.74699999997</v>
      </c>
      <c r="E1057" s="184">
        <f t="shared" si="42"/>
        <v>353.8826071384463</v>
      </c>
    </row>
    <row r="1058" spans="2:12" ht="13.5" thickBot="1">
      <c r="C1058" s="54" t="s">
        <v>32</v>
      </c>
      <c r="D1058" s="104">
        <f t="shared" si="41"/>
        <v>1481466.909</v>
      </c>
      <c r="E1058" s="184">
        <f t="shared" si="42"/>
        <v>1829.6491404223787</v>
      </c>
    </row>
    <row r="1059" spans="2:12" ht="13.5" thickBot="1">
      <c r="C1059" s="186" t="s">
        <v>38</v>
      </c>
      <c r="D1059" s="187">
        <f>SUM(D1053:D1058)</f>
        <v>2572538.1770000001</v>
      </c>
      <c r="E1059" s="193">
        <f>SUM(E1053:E1058)</f>
        <v>3177.1497801654932</v>
      </c>
    </row>
    <row r="1061" spans="2:12" ht="12.75" customHeight="1"/>
    <row r="1062" spans="2:12">
      <c r="B1062" s="52" t="s">
        <v>170</v>
      </c>
      <c r="I1062" s="52" t="s">
        <v>171</v>
      </c>
      <c r="J1062" s="179">
        <f>Model!AL208</f>
        <v>1.3740793668242277E-3</v>
      </c>
      <c r="K1062" s="179"/>
    </row>
    <row r="1063" spans="2:12">
      <c r="C1063" s="129"/>
      <c r="D1063" s="396" t="s">
        <v>172</v>
      </c>
      <c r="E1063" s="397"/>
      <c r="F1063" s="115" t="s">
        <v>6</v>
      </c>
      <c r="G1063" s="115" t="s">
        <v>7</v>
      </c>
      <c r="I1063" s="52" t="s">
        <v>173</v>
      </c>
      <c r="J1063" s="179">
        <f>AVERAGE(Model!AI207:AL207)</f>
        <v>1.339158035575731E-3</v>
      </c>
      <c r="K1063" s="179"/>
    </row>
    <row r="1064" spans="2:12">
      <c r="C1064" s="207"/>
      <c r="D1064" s="208" t="s">
        <v>4</v>
      </c>
      <c r="E1064" s="209" t="s">
        <v>5</v>
      </c>
      <c r="F1064" s="210"/>
      <c r="G1064" s="210"/>
      <c r="I1064" s="52"/>
    </row>
    <row r="1065" spans="2:12">
      <c r="C1065" s="207" t="s">
        <v>10</v>
      </c>
      <c r="D1065" s="211"/>
      <c r="E1065" s="162"/>
      <c r="F1065" s="210"/>
      <c r="G1065" s="210"/>
      <c r="I1065" s="52" t="s">
        <v>8</v>
      </c>
    </row>
    <row r="1066" spans="2:12">
      <c r="C1066" s="212" t="s">
        <v>51</v>
      </c>
      <c r="D1066" s="162">
        <f>Model!AL107</f>
        <v>23982.593000000001</v>
      </c>
      <c r="E1066" s="162">
        <f>+D1066*$J$1062</f>
        <v>32.953986204243158</v>
      </c>
      <c r="F1066" s="210"/>
      <c r="G1066" s="210"/>
      <c r="I1066" s="129"/>
      <c r="J1066" s="396" t="s">
        <v>174</v>
      </c>
      <c r="K1066" s="397"/>
      <c r="L1066" s="115" t="s">
        <v>67</v>
      </c>
    </row>
    <row r="1067" spans="2:12">
      <c r="C1067" s="212" t="s">
        <v>52</v>
      </c>
      <c r="D1067" s="162">
        <f>Model!AL108</f>
        <v>19047.305</v>
      </c>
      <c r="E1067" s="162">
        <f>+D1067*$J$1062</f>
        <v>26.172508794107948</v>
      </c>
      <c r="F1067" s="210"/>
      <c r="G1067" s="210"/>
      <c r="I1067" s="223"/>
      <c r="J1067" s="224" t="s">
        <v>4</v>
      </c>
      <c r="K1067" s="224" t="s">
        <v>5</v>
      </c>
      <c r="L1067" s="225"/>
    </row>
    <row r="1068" spans="2:12">
      <c r="C1068" s="213" t="s">
        <v>53</v>
      </c>
      <c r="D1068" s="162">
        <f>Model!AL110</f>
        <v>79945.016000000003</v>
      </c>
      <c r="E1068" s="162">
        <f>+D1068*$J$1062</f>
        <v>109.85079696603276</v>
      </c>
      <c r="F1068" s="210"/>
      <c r="G1068" s="210"/>
      <c r="I1068" s="214" t="s">
        <v>17</v>
      </c>
      <c r="J1068" s="171">
        <f>+J1070+J1069</f>
        <v>1776677.794</v>
      </c>
      <c r="K1068" s="171">
        <f>J1068*J1062</f>
        <v>2441.2962982301856</v>
      </c>
      <c r="L1068" s="216">
        <f>+J1068/J1073</f>
        <v>2.434425845792584</v>
      </c>
    </row>
    <row r="1069" spans="2:12">
      <c r="C1069" s="207" t="s">
        <v>15</v>
      </c>
      <c r="D1069" s="162"/>
      <c r="E1069" s="162"/>
      <c r="F1069" s="210"/>
      <c r="G1069" s="210"/>
      <c r="I1069" s="217" t="s">
        <v>18</v>
      </c>
      <c r="J1069" s="226">
        <f>D1074</f>
        <v>106677.79399999999</v>
      </c>
      <c r="K1069" s="226">
        <f>K1068-K1070</f>
        <v>146.5837556337251</v>
      </c>
      <c r="L1069" s="219"/>
    </row>
    <row r="1070" spans="2:12">
      <c r="C1070" s="212" t="s">
        <v>51</v>
      </c>
      <c r="D1070" s="162">
        <f>Model!AL112</f>
        <v>88175.346999999994</v>
      </c>
      <c r="E1070" s="162">
        <f>+D1070*$J$1062</f>
        <v>121.15992497526656</v>
      </c>
      <c r="F1070" s="210"/>
      <c r="G1070" s="210"/>
      <c r="I1070" s="214" t="s">
        <v>9</v>
      </c>
      <c r="J1070" s="227">
        <v>1670000</v>
      </c>
      <c r="K1070" s="171">
        <f>J1070*J1062</f>
        <v>2294.7125425964605</v>
      </c>
      <c r="L1070" s="216">
        <f>+J1070/J1073</f>
        <v>2.2882546155544596</v>
      </c>
    </row>
    <row r="1071" spans="2:12">
      <c r="C1071" s="212" t="s">
        <v>52</v>
      </c>
      <c r="D1071" s="162">
        <f>Model!AL113</f>
        <v>1779756.85</v>
      </c>
      <c r="E1071" s="162">
        <f>+D1071*$J$1062</f>
        <v>2445.5271655490824</v>
      </c>
      <c r="F1071" s="210"/>
      <c r="G1071" s="210"/>
      <c r="I1071" s="220" t="s">
        <v>19</v>
      </c>
      <c r="J1071" s="228">
        <f>D1076</f>
        <v>1528900.5149999999</v>
      </c>
      <c r="K1071" s="172">
        <f>+J1071*J1062</f>
        <v>2100.8306515884356</v>
      </c>
      <c r="L1071" s="125"/>
    </row>
    <row r="1072" spans="2:12">
      <c r="C1072" s="213" t="s">
        <v>54</v>
      </c>
      <c r="D1072" s="162">
        <f>Model!AL115</f>
        <v>403539.48</v>
      </c>
      <c r="E1072" s="162">
        <f>+D1072*$J$1062</f>
        <v>554.49527316697811</v>
      </c>
      <c r="F1072" s="210"/>
      <c r="G1072" s="210"/>
      <c r="I1072" s="220" t="s">
        <v>20</v>
      </c>
      <c r="J1072" s="228">
        <f>J1068+J1071</f>
        <v>3305578.3089999999</v>
      </c>
      <c r="K1072" s="228">
        <f>K1068+K1071</f>
        <v>4542.1269498186211</v>
      </c>
      <c r="L1072" s="125"/>
    </row>
    <row r="1073" spans="3:12">
      <c r="C1073" s="214" t="s">
        <v>17</v>
      </c>
      <c r="D1073" s="215">
        <f>SUM(D1066:D1072)</f>
        <v>2394446.591</v>
      </c>
      <c r="E1073" s="107">
        <f>SUM(E1066:E1072)</f>
        <v>3290.159655655711</v>
      </c>
      <c r="F1073" s="216">
        <f>+D1073/D1078</f>
        <v>3.28090027757748</v>
      </c>
      <c r="G1073" s="216">
        <f>+E1073/E1078</f>
        <v>3.3664565766421464</v>
      </c>
      <c r="I1073" s="222" t="s">
        <v>68</v>
      </c>
      <c r="J1073" s="170">
        <f>D1078</f>
        <v>729813.88899999997</v>
      </c>
      <c r="K1073" s="170"/>
      <c r="L1073" s="128"/>
    </row>
    <row r="1074" spans="3:12">
      <c r="C1074" s="217" t="s">
        <v>18</v>
      </c>
      <c r="D1074" s="218">
        <f>Model!AL118</f>
        <v>106677.79399999999</v>
      </c>
      <c r="E1074" s="162">
        <f>+D1074*$J$1062</f>
        <v>146.58375563372539</v>
      </c>
      <c r="F1074" s="219"/>
      <c r="G1074" s="219"/>
    </row>
    <row r="1075" spans="3:12">
      <c r="C1075" s="214" t="s">
        <v>9</v>
      </c>
      <c r="D1075" s="215">
        <f>+D1073-D1074</f>
        <v>2287768.7970000003</v>
      </c>
      <c r="E1075" s="107">
        <f>+E1073-E1074</f>
        <v>3143.5759000219855</v>
      </c>
      <c r="F1075" s="216">
        <f>+D1075/D1078</f>
        <v>3.1347290473393556</v>
      </c>
      <c r="G1075" s="216">
        <f>+E1075/E1078</f>
        <v>3.2164736275369865</v>
      </c>
      <c r="J1075" s="196"/>
    </row>
    <row r="1076" spans="3:12">
      <c r="C1076" s="220" t="s">
        <v>19</v>
      </c>
      <c r="D1076" s="221">
        <f>Model!AL125</f>
        <v>1528900.5149999999</v>
      </c>
      <c r="E1076" s="162">
        <f>+D1076*$J$1062</f>
        <v>2100.8306515884356</v>
      </c>
      <c r="F1076" s="125"/>
      <c r="G1076" s="125"/>
    </row>
    <row r="1077" spans="3:12">
      <c r="C1077" s="214" t="s">
        <v>20</v>
      </c>
      <c r="D1077" s="215">
        <f>D1073+D1076</f>
        <v>3923347.1059999997</v>
      </c>
      <c r="E1077" s="107">
        <f>E1073+E1076</f>
        <v>5390.9903072441466</v>
      </c>
      <c r="F1077" s="216">
        <f>D1077/D1078</f>
        <v>5.3758186369621148</v>
      </c>
      <c r="G1077" s="216">
        <f>E1077/E1078</f>
        <v>5.5160042897125665</v>
      </c>
    </row>
    <row r="1078" spans="3:12">
      <c r="C1078" s="222" t="s">
        <v>21</v>
      </c>
      <c r="D1078" s="126">
        <f>Model!AL84</f>
        <v>729813.88899999997</v>
      </c>
      <c r="E1078" s="241">
        <f>+D1078*J1063</f>
        <v>977.33613392912457</v>
      </c>
      <c r="F1078" s="128"/>
      <c r="G1078" s="128"/>
    </row>
    <row r="1080" spans="3:12">
      <c r="C1080" s="136" t="s">
        <v>22</v>
      </c>
      <c r="D1080" s="137">
        <f>D1073-Model!AL121</f>
        <v>0</v>
      </c>
      <c r="E1080" s="138"/>
    </row>
    <row r="1081" spans="3:12" ht="13.5" thickBot="1">
      <c r="D1081" s="395"/>
      <c r="E1081" s="395"/>
    </row>
    <row r="1082" spans="3:12">
      <c r="C1082" s="60" t="s">
        <v>175</v>
      </c>
      <c r="D1082" s="61" t="s">
        <v>35</v>
      </c>
      <c r="E1082" s="61" t="s">
        <v>36</v>
      </c>
    </row>
    <row r="1083" spans="3:12">
      <c r="C1083" s="62"/>
      <c r="D1083" s="84"/>
      <c r="E1083" s="84"/>
    </row>
    <row r="1084" spans="3:12">
      <c r="C1084" s="62" t="s">
        <v>24</v>
      </c>
      <c r="D1084" s="184">
        <f>D1074</f>
        <v>106677.79399999999</v>
      </c>
      <c r="E1084" s="184">
        <f>D1084*$J$1062</f>
        <v>146.58375563372539</v>
      </c>
    </row>
    <row r="1085" spans="3:12" ht="13.5" thickBot="1">
      <c r="C1085" s="63"/>
      <c r="D1085" s="185">
        <f>SUM(D1083:D1084)</f>
        <v>106677.79399999999</v>
      </c>
      <c r="E1085" s="185">
        <f>SUM(E1083:E1084)</f>
        <v>146.58375563372539</v>
      </c>
    </row>
    <row r="1086" spans="3:12" ht="13.5" thickBot="1"/>
    <row r="1087" spans="3:12">
      <c r="C1087" s="60" t="s">
        <v>176</v>
      </c>
      <c r="D1087" s="61" t="s">
        <v>35</v>
      </c>
      <c r="E1087" s="61" t="s">
        <v>36</v>
      </c>
    </row>
    <row r="1088" spans="3:12">
      <c r="C1088" s="54" t="s">
        <v>27</v>
      </c>
      <c r="D1088" s="181">
        <f>72.325+11522.866+23909.094+7524.439</f>
        <v>43028.724000000002</v>
      </c>
      <c r="E1088" s="184">
        <f t="shared" ref="E1088:E1093" si="43">D1088*$J$1062</f>
        <v>59.124881829174456</v>
      </c>
    </row>
    <row r="1089" spans="3:5">
      <c r="C1089" s="54" t="s">
        <v>28</v>
      </c>
      <c r="D1089" s="181">
        <f>957.615+241964.417</f>
        <v>242922.03199999998</v>
      </c>
      <c r="E1089" s="184">
        <f t="shared" si="43"/>
        <v>333.79415191821477</v>
      </c>
    </row>
    <row r="1090" spans="3:5">
      <c r="C1090" s="54" t="s">
        <v>29</v>
      </c>
      <c r="D1090" s="181">
        <v>241490.514</v>
      </c>
      <c r="E1090" s="184">
        <f t="shared" si="43"/>
        <v>331.82713257117729</v>
      </c>
    </row>
    <row r="1091" spans="3:5">
      <c r="C1091" s="54" t="s">
        <v>30</v>
      </c>
      <c r="D1091" s="181">
        <f>58371.992+240971.014</f>
        <v>299343.00599999999</v>
      </c>
      <c r="E1091" s="184">
        <f t="shared" si="43"/>
        <v>411.32104814774101</v>
      </c>
    </row>
    <row r="1092" spans="3:5">
      <c r="C1092" s="54" t="s">
        <v>31</v>
      </c>
      <c r="D1092" s="181">
        <f>289815.911+28845.74</f>
        <v>318661.65100000001</v>
      </c>
      <c r="E1092" s="184">
        <f t="shared" si="43"/>
        <v>437.86639963724303</v>
      </c>
    </row>
    <row r="1093" spans="3:5" ht="13.5" thickBot="1">
      <c r="C1093" s="54" t="s">
        <v>32</v>
      </c>
      <c r="D1093" s="181">
        <v>765514.99399999995</v>
      </c>
      <c r="E1093" s="184">
        <f t="shared" si="43"/>
        <v>1051.8783582499725</v>
      </c>
    </row>
    <row r="1094" spans="3:5" ht="13.5" thickBot="1">
      <c r="C1094" s="186" t="s">
        <v>33</v>
      </c>
      <c r="D1094" s="187">
        <f>SUM(D1088:D1093)</f>
        <v>1910960.9210000001</v>
      </c>
      <c r="E1094" s="193">
        <f>SUM(E1088:E1093)</f>
        <v>2625.8119723535228</v>
      </c>
    </row>
    <row r="1095" spans="3:5" ht="13.5" thickBot="1">
      <c r="D1095" s="191"/>
    </row>
    <row r="1096" spans="3:5">
      <c r="C1096" s="60" t="s">
        <v>177</v>
      </c>
      <c r="D1096" s="61" t="s">
        <v>35</v>
      </c>
      <c r="E1096" s="61" t="s">
        <v>36</v>
      </c>
    </row>
    <row r="1097" spans="3:5">
      <c r="C1097" s="54" t="s">
        <v>27</v>
      </c>
      <c r="D1097" s="181">
        <v>79945.016000000003</v>
      </c>
      <c r="E1097" s="184">
        <f t="shared" ref="E1097:E1102" si="44">D1097*$J$1062</f>
        <v>109.85079696603276</v>
      </c>
    </row>
    <row r="1098" spans="3:5">
      <c r="C1098" s="54" t="s">
        <v>28</v>
      </c>
      <c r="D1098" s="181">
        <v>72781.491999999998</v>
      </c>
      <c r="E1098" s="184">
        <f t="shared" si="44"/>
        <v>100.00754644388259</v>
      </c>
    </row>
    <row r="1099" spans="3:5">
      <c r="C1099" s="54" t="s">
        <v>29</v>
      </c>
      <c r="D1099" s="181">
        <v>64421.228000000003</v>
      </c>
      <c r="E1099" s="184">
        <f t="shared" si="44"/>
        <v>88.519880180279216</v>
      </c>
    </row>
    <row r="1100" spans="3:5">
      <c r="C1100" s="54" t="s">
        <v>30</v>
      </c>
      <c r="D1100" s="181">
        <v>61300.563999999998</v>
      </c>
      <c r="E1100" s="184">
        <f t="shared" si="44"/>
        <v>84.231840167088052</v>
      </c>
    </row>
    <row r="1101" spans="3:5">
      <c r="C1101" s="54" t="s">
        <v>31</v>
      </c>
      <c r="D1101" s="181">
        <v>58343.425999999999</v>
      </c>
      <c r="E1101" s="184">
        <f t="shared" si="44"/>
        <v>80.16849785643619</v>
      </c>
    </row>
    <row r="1102" spans="3:5" ht="13.5" thickBot="1">
      <c r="C1102" s="54" t="s">
        <v>32</v>
      </c>
      <c r="D1102" s="181">
        <v>146692.76999999999</v>
      </c>
      <c r="E1102" s="184">
        <f t="shared" si="44"/>
        <v>201.56750851929206</v>
      </c>
    </row>
    <row r="1103" spans="3:5" ht="13.5" thickBot="1">
      <c r="C1103" s="186" t="s">
        <v>37</v>
      </c>
      <c r="D1103" s="187">
        <f>SUM(D1097:D1102)</f>
        <v>483484.49599999993</v>
      </c>
      <c r="E1103" s="187">
        <f>SUM(E1097:E1102)</f>
        <v>664.34607013301093</v>
      </c>
    </row>
    <row r="1104" spans="3:5" ht="13.5" thickBot="1">
      <c r="D1104" s="191"/>
    </row>
    <row r="1105" spans="2:12">
      <c r="C1105" s="60" t="s">
        <v>176</v>
      </c>
      <c r="D1105" s="61" t="s">
        <v>35</v>
      </c>
      <c r="E1105" s="61" t="s">
        <v>36</v>
      </c>
    </row>
    <row r="1106" spans="2:12">
      <c r="C1106" s="54" t="s">
        <v>27</v>
      </c>
      <c r="D1106" s="104">
        <f t="shared" ref="D1106:D1111" si="45">+D1088+D1097</f>
        <v>122973.74</v>
      </c>
      <c r="E1106" s="184">
        <f t="shared" ref="E1106:E1111" si="46">D1106*$J$1062</f>
        <v>168.97567879520722</v>
      </c>
    </row>
    <row r="1107" spans="2:12">
      <c r="C1107" s="54" t="s">
        <v>28</v>
      </c>
      <c r="D1107" s="104">
        <f t="shared" si="45"/>
        <v>315703.52399999998</v>
      </c>
      <c r="E1107" s="184">
        <f t="shared" si="46"/>
        <v>433.80169836209734</v>
      </c>
    </row>
    <row r="1108" spans="2:12">
      <c r="C1108" s="54" t="s">
        <v>29</v>
      </c>
      <c r="D1108" s="104">
        <f t="shared" si="45"/>
        <v>305911.74199999997</v>
      </c>
      <c r="E1108" s="184">
        <f t="shared" si="46"/>
        <v>420.34701275145648</v>
      </c>
    </row>
    <row r="1109" spans="2:12">
      <c r="C1109" s="54" t="s">
        <v>30</v>
      </c>
      <c r="D1109" s="104">
        <f t="shared" si="45"/>
        <v>360643.57</v>
      </c>
      <c r="E1109" s="184">
        <f t="shared" si="46"/>
        <v>495.55288831482903</v>
      </c>
      <c r="G1109" s="237"/>
    </row>
    <row r="1110" spans="2:12">
      <c r="C1110" s="54" t="s">
        <v>31</v>
      </c>
      <c r="D1110" s="104">
        <f t="shared" si="45"/>
        <v>377005.07699999999</v>
      </c>
      <c r="E1110" s="184">
        <f t="shared" si="46"/>
        <v>518.03489749367918</v>
      </c>
    </row>
    <row r="1111" spans="2:12" ht="13.5" thickBot="1">
      <c r="C1111" s="54" t="s">
        <v>32</v>
      </c>
      <c r="D1111" s="104">
        <f t="shared" si="45"/>
        <v>912207.76399999997</v>
      </c>
      <c r="E1111" s="184">
        <f t="shared" si="46"/>
        <v>1253.4458667692645</v>
      </c>
    </row>
    <row r="1112" spans="2:12" ht="13.5" thickBot="1">
      <c r="C1112" s="186" t="s">
        <v>38</v>
      </c>
      <c r="D1112" s="187">
        <f>SUM(D1106:D1111)</f>
        <v>2394445.4169999999</v>
      </c>
      <c r="E1112" s="193">
        <f>SUM(E1106:E1111)</f>
        <v>3290.1580424865338</v>
      </c>
    </row>
    <row r="1113" spans="2:12">
      <c r="D1113" s="191"/>
    </row>
    <row r="1114" spans="2:12">
      <c r="B1114" s="52" t="s">
        <v>178</v>
      </c>
      <c r="I1114" s="52" t="s">
        <v>179</v>
      </c>
      <c r="J1114" s="179">
        <f>Model!AK208</f>
        <v>1.385386938571943E-3</v>
      </c>
    </row>
    <row r="1115" spans="2:12" ht="12.75" customHeight="1">
      <c r="C1115" s="129"/>
      <c r="D1115" s="396" t="s">
        <v>174</v>
      </c>
      <c r="E1115" s="397"/>
      <c r="F1115" s="115" t="s">
        <v>6</v>
      </c>
      <c r="G1115" s="115" t="s">
        <v>7</v>
      </c>
      <c r="I1115" s="52" t="s">
        <v>180</v>
      </c>
      <c r="J1115" s="179">
        <f>AVERAGE(Model!AH207:AK207)</f>
        <v>1.2931439049619702E-3</v>
      </c>
    </row>
    <row r="1116" spans="2:12">
      <c r="C1116" s="207"/>
      <c r="D1116" s="208" t="s">
        <v>4</v>
      </c>
      <c r="E1116" s="209" t="s">
        <v>5</v>
      </c>
      <c r="F1116" s="210"/>
      <c r="G1116" s="210"/>
      <c r="I1116" s="52"/>
    </row>
    <row r="1117" spans="2:12">
      <c r="C1117" s="207" t="s">
        <v>10</v>
      </c>
      <c r="D1117" s="211"/>
      <c r="E1117" s="162"/>
      <c r="F1117" s="210"/>
      <c r="G1117" s="210"/>
      <c r="I1117" s="52" t="s">
        <v>8</v>
      </c>
    </row>
    <row r="1118" spans="2:12">
      <c r="C1118" s="212" t="s">
        <v>51</v>
      </c>
      <c r="D1118" s="162">
        <f>Model!AK107</f>
        <v>880.97500000000002</v>
      </c>
      <c r="E1118" s="162">
        <f>+D1118*$J$1114</f>
        <v>1.2204912582084175</v>
      </c>
      <c r="F1118" s="210"/>
      <c r="G1118" s="210"/>
      <c r="I1118" s="129"/>
      <c r="J1118" s="396" t="s">
        <v>174</v>
      </c>
      <c r="K1118" s="397"/>
      <c r="L1118" s="115" t="s">
        <v>67</v>
      </c>
    </row>
    <row r="1119" spans="2:12">
      <c r="C1119" s="212" t="s">
        <v>52</v>
      </c>
      <c r="D1119" s="162">
        <f>Model!AK108</f>
        <v>24096.222000000002</v>
      </c>
      <c r="E1119" s="162">
        <f t="shared" ref="E1119:E1128" si="47">+D1119*$J$1114</f>
        <v>33.382591227729904</v>
      </c>
      <c r="F1119" s="210"/>
      <c r="G1119" s="210"/>
      <c r="I1119" s="223"/>
      <c r="J1119" s="224" t="s">
        <v>4</v>
      </c>
      <c r="K1119" s="224" t="s">
        <v>5</v>
      </c>
      <c r="L1119" s="225"/>
    </row>
    <row r="1120" spans="2:12">
      <c r="C1120" s="213" t="s">
        <v>53</v>
      </c>
      <c r="D1120" s="162">
        <f>Model!AK110</f>
        <v>79474.096000000005</v>
      </c>
      <c r="E1120" s="162">
        <f t="shared" si="47"/>
        <v>110.10237455321271</v>
      </c>
      <c r="F1120" s="210"/>
      <c r="G1120" s="210"/>
      <c r="I1120" s="214" t="s">
        <v>17</v>
      </c>
      <c r="J1120" s="171">
        <f>D1125-D1124-D1120</f>
        <v>1900219.571</v>
      </c>
      <c r="K1120" s="171">
        <f>J1120*J1114</f>
        <v>2632.539374082181</v>
      </c>
      <c r="L1120" s="216">
        <f>+J1120/J1125</f>
        <v>2.7574105934314121</v>
      </c>
    </row>
    <row r="1121" spans="3:12">
      <c r="C1121" s="207" t="s">
        <v>15</v>
      </c>
      <c r="D1121" s="162"/>
      <c r="E1121" s="162"/>
      <c r="F1121" s="210"/>
      <c r="G1121" s="210"/>
      <c r="I1121" s="217" t="s">
        <v>18</v>
      </c>
      <c r="J1121" s="226">
        <f>J1120-J1122</f>
        <v>617919.571</v>
      </c>
      <c r="K1121" s="226">
        <f>K1120-K1122</f>
        <v>856.05770275137843</v>
      </c>
      <c r="L1121" s="219"/>
    </row>
    <row r="1122" spans="3:12">
      <c r="C1122" s="212" t="s">
        <v>51</v>
      </c>
      <c r="D1122" s="162">
        <f>Model!AK112</f>
        <v>110882.355</v>
      </c>
      <c r="E1122" s="162">
        <f t="shared" si="47"/>
        <v>153.61496633509736</v>
      </c>
      <c r="F1122" s="210"/>
      <c r="G1122" s="210"/>
      <c r="I1122" s="214" t="s">
        <v>9</v>
      </c>
      <c r="J1122" s="227">
        <v>1282300</v>
      </c>
      <c r="K1122" s="171">
        <f>J1122*J1114</f>
        <v>1776.4816713308026</v>
      </c>
      <c r="L1122" s="216">
        <f>+J1122/J1125</f>
        <v>1.8607468620567638</v>
      </c>
    </row>
    <row r="1123" spans="3:12">
      <c r="C1123" s="212" t="s">
        <v>52</v>
      </c>
      <c r="D1123" s="162">
        <f>Model!AK113</f>
        <v>1764360.0190000001</v>
      </c>
      <c r="E1123" s="162">
        <f t="shared" si="47"/>
        <v>2444.3213252611454</v>
      </c>
      <c r="F1123" s="210"/>
      <c r="G1123" s="210"/>
      <c r="I1123" s="220" t="s">
        <v>19</v>
      </c>
      <c r="J1123" s="228">
        <f>D1128</f>
        <v>1499330.567</v>
      </c>
      <c r="K1123" s="172">
        <f>+J1123*J1114</f>
        <v>2077.1529841234656</v>
      </c>
      <c r="L1123" s="125"/>
    </row>
    <row r="1124" spans="3:12">
      <c r="C1124" s="213" t="s">
        <v>54</v>
      </c>
      <c r="D1124" s="162">
        <f>Model!AK115</f>
        <v>417200.04300000001</v>
      </c>
      <c r="E1124" s="162">
        <f t="shared" si="47"/>
        <v>577.98349034385296</v>
      </c>
      <c r="F1124" s="210"/>
      <c r="G1124" s="210"/>
      <c r="I1124" s="220" t="s">
        <v>20</v>
      </c>
      <c r="J1124" s="228">
        <f>J1120+J1123</f>
        <v>3399550.1380000003</v>
      </c>
      <c r="K1124" s="228">
        <f>K1120+K1123</f>
        <v>4709.6923582056461</v>
      </c>
      <c r="L1124" s="125"/>
    </row>
    <row r="1125" spans="3:12">
      <c r="C1125" s="214" t="s">
        <v>17</v>
      </c>
      <c r="D1125" s="215">
        <f>SUM(D1118:D1124)</f>
        <v>2396893.71</v>
      </c>
      <c r="E1125" s="107">
        <f>SUM(E1118:E1124)</f>
        <v>3320.6252389792471</v>
      </c>
      <c r="F1125" s="216">
        <f>+D1125/D1130</f>
        <v>3.4781349524807728</v>
      </c>
      <c r="G1125" s="216">
        <f>+E1125/E1130</f>
        <v>3.4781349524807732</v>
      </c>
      <c r="I1125" s="222" t="s">
        <v>68</v>
      </c>
      <c r="J1125" s="170">
        <f>D1130</f>
        <v>689131.88899999997</v>
      </c>
      <c r="K1125" s="170"/>
      <c r="L1125" s="128"/>
    </row>
    <row r="1126" spans="3:12">
      <c r="C1126" s="217" t="s">
        <v>18</v>
      </c>
      <c r="D1126" s="218">
        <f>Model!AK118</f>
        <v>50590.504999999997</v>
      </c>
      <c r="E1126" s="162">
        <f t="shared" si="47"/>
        <v>70.087424842758566</v>
      </c>
      <c r="F1126" s="219"/>
      <c r="G1126" s="219"/>
    </row>
    <row r="1127" spans="3:12">
      <c r="C1127" s="214" t="s">
        <v>9</v>
      </c>
      <c r="D1127" s="215">
        <f>+D1125-D1126</f>
        <v>2346303.2050000001</v>
      </c>
      <c r="E1127" s="107">
        <f>+E1125-E1126</f>
        <v>3250.5378141364886</v>
      </c>
      <c r="F1127" s="216">
        <f>+D1127/D1130</f>
        <v>3.4047230181217172</v>
      </c>
      <c r="G1127" s="216">
        <f>+E1127/E1130</f>
        <v>3.4047230181217176</v>
      </c>
      <c r="J1127" s="196"/>
    </row>
    <row r="1128" spans="3:12">
      <c r="C1128" s="220" t="s">
        <v>19</v>
      </c>
      <c r="D1128" s="221">
        <f>Model!AK125</f>
        <v>1499330.567</v>
      </c>
      <c r="E1128" s="162">
        <f t="shared" si="47"/>
        <v>2077.1529841234656</v>
      </c>
      <c r="F1128" s="125"/>
      <c r="G1128" s="125"/>
    </row>
    <row r="1129" spans="3:12">
      <c r="C1129" s="214" t="s">
        <v>20</v>
      </c>
      <c r="D1129" s="215">
        <f>D1125+D1128</f>
        <v>3896224.2769999998</v>
      </c>
      <c r="E1129" s="107">
        <f>E1125+E1128</f>
        <v>5397.7782231027122</v>
      </c>
      <c r="F1129" s="216">
        <f>D1129/D1130</f>
        <v>5.6538150957631856</v>
      </c>
      <c r="G1129" s="216">
        <f>E1129/E1130</f>
        <v>5.6538150957631865</v>
      </c>
    </row>
    <row r="1130" spans="3:12">
      <c r="C1130" s="222" t="s">
        <v>21</v>
      </c>
      <c r="D1130" s="126">
        <f>Model!AK84</f>
        <v>689131.88899999997</v>
      </c>
      <c r="E1130" s="241">
        <f>+D1130*$J$1114</f>
        <v>954.71431797400999</v>
      </c>
      <c r="F1130" s="128"/>
      <c r="G1130" s="128"/>
    </row>
    <row r="1132" spans="3:12">
      <c r="C1132" s="136" t="s">
        <v>22</v>
      </c>
      <c r="D1132" s="137">
        <f>D1125-Model!AK121</f>
        <v>0</v>
      </c>
      <c r="E1132" s="138"/>
    </row>
    <row r="1133" spans="3:12" ht="13.5" thickBot="1">
      <c r="D1133" s="395"/>
      <c r="E1133" s="395"/>
    </row>
    <row r="1134" spans="3:12">
      <c r="C1134" s="60" t="s">
        <v>181</v>
      </c>
      <c r="D1134" s="61" t="s">
        <v>35</v>
      </c>
      <c r="E1134" s="61" t="s">
        <v>36</v>
      </c>
    </row>
    <row r="1135" spans="3:12">
      <c r="C1135" s="62"/>
      <c r="D1135" s="84"/>
      <c r="E1135" s="84"/>
    </row>
    <row r="1136" spans="3:12">
      <c r="C1136" s="62" t="s">
        <v>24</v>
      </c>
      <c r="D1136" s="184">
        <f>D1126</f>
        <v>50590.504999999997</v>
      </c>
      <c r="E1136" s="184">
        <f>D1136*$J$1114</f>
        <v>70.087424842758566</v>
      </c>
    </row>
    <row r="1137" spans="3:5" ht="13.5" thickBot="1">
      <c r="C1137" s="63"/>
      <c r="D1137" s="185">
        <f>SUM(D1135:D1136)</f>
        <v>50590.504999999997</v>
      </c>
      <c r="E1137" s="185">
        <f>SUM(E1135:E1136)</f>
        <v>70.087424842758566</v>
      </c>
    </row>
    <row r="1138" spans="3:5" ht="13.5" thickBot="1"/>
    <row r="1139" spans="3:5">
      <c r="C1139" s="60" t="s">
        <v>182</v>
      </c>
      <c r="D1139" s="61" t="s">
        <v>35</v>
      </c>
      <c r="E1139" s="61" t="s">
        <v>36</v>
      </c>
    </row>
    <row r="1140" spans="3:5">
      <c r="C1140" s="54" t="s">
        <v>27</v>
      </c>
      <c r="D1140" s="181">
        <f>94.976+19524.695+785.999+4571.527</f>
        <v>24977.197</v>
      </c>
      <c r="E1140" s="184">
        <f t="shared" ref="E1140:E1145" si="48">D1140*$J$1114</f>
        <v>34.603082485938316</v>
      </c>
    </row>
    <row r="1141" spans="3:5">
      <c r="C1141" s="54" t="s">
        <v>28</v>
      </c>
      <c r="D1141" s="181">
        <f>7512.297+239877.189</f>
        <v>247389.486</v>
      </c>
      <c r="E1141" s="184">
        <f t="shared" si="48"/>
        <v>342.73016264442657</v>
      </c>
    </row>
    <row r="1142" spans="3:5">
      <c r="C1142" s="54" t="s">
        <v>29</v>
      </c>
      <c r="D1142" s="181">
        <f>16670.076+239407.154</f>
        <v>256077.23</v>
      </c>
      <c r="E1142" s="184">
        <f t="shared" si="48"/>
        <v>354.76604970768335</v>
      </c>
    </row>
    <row r="1143" spans="3:5">
      <c r="C1143" s="54" t="s">
        <v>30</v>
      </c>
      <c r="D1143" s="181">
        <f>58107.279+238891.895</f>
        <v>296999.174</v>
      </c>
      <c r="E1143" s="184">
        <f t="shared" si="48"/>
        <v>411.45877642625578</v>
      </c>
    </row>
    <row r="1144" spans="3:5">
      <c r="C1144" s="54" t="s">
        <v>31</v>
      </c>
      <c r="D1144" s="181">
        <f>28592.703+287380.195</f>
        <v>315972.89799999999</v>
      </c>
      <c r="E1144" s="184">
        <f t="shared" si="48"/>
        <v>437.74472583192477</v>
      </c>
    </row>
    <row r="1145" spans="3:5" ht="13.5" thickBot="1">
      <c r="C1145" s="54" t="s">
        <v>32</v>
      </c>
      <c r="D1145" s="181">
        <v>758803.58600000001</v>
      </c>
      <c r="E1145" s="184">
        <f t="shared" si="48"/>
        <v>1051.2365769859521</v>
      </c>
    </row>
    <row r="1146" spans="3:5" ht="13.5" thickBot="1">
      <c r="C1146" s="186" t="s">
        <v>33</v>
      </c>
      <c r="D1146" s="187">
        <f>SUM(D1140:D1145)</f>
        <v>1900219.571</v>
      </c>
      <c r="E1146" s="193">
        <f>SUM(E1140:E1145)</f>
        <v>2632.539374082181</v>
      </c>
    </row>
    <row r="1147" spans="3:5" ht="13.5" thickBot="1">
      <c r="D1147" s="191"/>
    </row>
    <row r="1148" spans="3:5">
      <c r="C1148" s="60" t="s">
        <v>183</v>
      </c>
      <c r="D1148" s="61" t="s">
        <v>35</v>
      </c>
      <c r="E1148" s="61" t="s">
        <v>36</v>
      </c>
    </row>
    <row r="1149" spans="3:5">
      <c r="C1149" s="54" t="s">
        <v>27</v>
      </c>
      <c r="D1149" s="181">
        <v>79474.096000000005</v>
      </c>
      <c r="E1149" s="184">
        <f t="shared" ref="E1149:E1154" si="49">D1149*$J$1114</f>
        <v>110.10237455321271</v>
      </c>
    </row>
    <row r="1150" spans="3:5">
      <c r="C1150" s="54" t="s">
        <v>28</v>
      </c>
      <c r="D1150" s="181">
        <v>75149.585000000006</v>
      </c>
      <c r="E1150" s="184">
        <f t="shared" si="49"/>
        <v>104.11125349810202</v>
      </c>
    </row>
    <row r="1151" spans="3:5">
      <c r="C1151" s="54" t="s">
        <v>29</v>
      </c>
      <c r="D1151" s="181">
        <v>64959.747000000003</v>
      </c>
      <c r="E1151" s="184">
        <f t="shared" si="49"/>
        <v>89.994385026737959</v>
      </c>
    </row>
    <row r="1152" spans="3:5">
      <c r="C1152" s="54" t="s">
        <v>30</v>
      </c>
      <c r="D1152" s="181">
        <v>60656.637999999999</v>
      </c>
      <c r="E1152" s="184">
        <f t="shared" si="49"/>
        <v>84.032914022886587</v>
      </c>
    </row>
    <row r="1153" spans="2:10">
      <c r="C1153" s="54" t="s">
        <v>31</v>
      </c>
      <c r="D1153" s="181">
        <v>57317.038999999997</v>
      </c>
      <c r="E1153" s="184">
        <f t="shared" si="49"/>
        <v>79.406277188218652</v>
      </c>
    </row>
    <row r="1154" spans="2:10" ht="13.5" thickBot="1">
      <c r="C1154" s="54" t="s">
        <v>32</v>
      </c>
      <c r="D1154" s="181">
        <v>159117.03400000001</v>
      </c>
      <c r="E1154" s="184">
        <f t="shared" si="49"/>
        <v>220.43866060790779</v>
      </c>
    </row>
    <row r="1155" spans="2:10" ht="13.5" thickBot="1">
      <c r="C1155" s="186" t="s">
        <v>37</v>
      </c>
      <c r="D1155" s="187">
        <f>SUM(D1149:D1154)</f>
        <v>496674.13899999997</v>
      </c>
      <c r="E1155" s="187">
        <f>SUM(E1149:E1154)</f>
        <v>688.08586489706579</v>
      </c>
    </row>
    <row r="1156" spans="2:10" ht="13.5" thickBot="1">
      <c r="D1156" s="191"/>
    </row>
    <row r="1157" spans="2:10">
      <c r="C1157" s="60" t="s">
        <v>182</v>
      </c>
      <c r="D1157" s="61" t="s">
        <v>35</v>
      </c>
      <c r="E1157" s="61" t="s">
        <v>36</v>
      </c>
    </row>
    <row r="1158" spans="2:10">
      <c r="C1158" s="54" t="s">
        <v>27</v>
      </c>
      <c r="D1158" s="104">
        <f t="shared" ref="D1158:D1163" si="50">+D1140+D1149</f>
        <v>104451.29300000001</v>
      </c>
      <c r="E1158" s="184">
        <f t="shared" ref="E1158:E1163" si="51">D1158*$J$1114</f>
        <v>144.70545703915101</v>
      </c>
    </row>
    <row r="1159" spans="2:10">
      <c r="C1159" s="54" t="s">
        <v>28</v>
      </c>
      <c r="D1159" s="104">
        <f t="shared" si="50"/>
        <v>322539.071</v>
      </c>
      <c r="E1159" s="184">
        <f t="shared" si="51"/>
        <v>446.84141614252854</v>
      </c>
    </row>
    <row r="1160" spans="2:10">
      <c r="C1160" s="54" t="s">
        <v>29</v>
      </c>
      <c r="D1160" s="104">
        <f t="shared" si="50"/>
        <v>321036.97700000001</v>
      </c>
      <c r="E1160" s="184">
        <f t="shared" si="51"/>
        <v>444.76043473442127</v>
      </c>
    </row>
    <row r="1161" spans="2:10">
      <c r="C1161" s="54" t="s">
        <v>30</v>
      </c>
      <c r="D1161" s="104">
        <f t="shared" si="50"/>
        <v>357655.81199999998</v>
      </c>
      <c r="E1161" s="184">
        <f t="shared" si="51"/>
        <v>495.49169044914237</v>
      </c>
      <c r="G1161" s="237"/>
    </row>
    <row r="1162" spans="2:10">
      <c r="C1162" s="54" t="s">
        <v>31</v>
      </c>
      <c r="D1162" s="104">
        <f t="shared" si="50"/>
        <v>373289.93699999998</v>
      </c>
      <c r="E1162" s="184">
        <f t="shared" si="51"/>
        <v>517.15100302014343</v>
      </c>
    </row>
    <row r="1163" spans="2:10" ht="13.5" thickBot="1">
      <c r="C1163" s="54" t="s">
        <v>32</v>
      </c>
      <c r="D1163" s="104">
        <f t="shared" si="50"/>
        <v>917920.62</v>
      </c>
      <c r="E1163" s="184">
        <f t="shared" si="51"/>
        <v>1271.6752375938597</v>
      </c>
    </row>
    <row r="1164" spans="2:10" ht="13.5" thickBot="1">
      <c r="C1164" s="186" t="s">
        <v>38</v>
      </c>
      <c r="D1164" s="187">
        <f>SUM(D1158:D1163)</f>
        <v>2396893.71</v>
      </c>
      <c r="E1164" s="193">
        <f>SUM(E1158:E1163)</f>
        <v>3320.6252389792462</v>
      </c>
    </row>
    <row r="1165" spans="2:10">
      <c r="D1165" s="191"/>
    </row>
    <row r="1166" spans="2:10">
      <c r="B1166" s="52" t="s">
        <v>184</v>
      </c>
      <c r="I1166" s="52" t="s">
        <v>185</v>
      </c>
      <c r="J1166" s="179">
        <f>Model!AJ208</f>
        <v>1.4065686757155917E-3</v>
      </c>
    </row>
    <row r="1167" spans="2:10">
      <c r="C1167" s="129"/>
      <c r="D1167" s="396" t="s">
        <v>186</v>
      </c>
      <c r="E1167" s="397"/>
      <c r="F1167" s="115" t="s">
        <v>6</v>
      </c>
      <c r="G1167" s="115" t="s">
        <v>7</v>
      </c>
      <c r="I1167" s="52" t="s">
        <v>187</v>
      </c>
      <c r="J1167" s="179">
        <f>AVERAGE(Model!AG207:AJ207)</f>
        <v>1.2578050402673052E-3</v>
      </c>
    </row>
    <row r="1168" spans="2:10" ht="12.75" customHeight="1">
      <c r="C1168" s="207"/>
      <c r="D1168" s="208" t="s">
        <v>4</v>
      </c>
      <c r="E1168" s="209" t="s">
        <v>5</v>
      </c>
      <c r="F1168" s="210"/>
      <c r="G1168" s="210"/>
      <c r="I1168" s="52"/>
    </row>
    <row r="1169" spans="3:12">
      <c r="C1169" s="207" t="s">
        <v>10</v>
      </c>
      <c r="D1169" s="211"/>
      <c r="E1169" s="162"/>
      <c r="F1169" s="210"/>
      <c r="G1169" s="210"/>
      <c r="I1169" s="52" t="s">
        <v>8</v>
      </c>
    </row>
    <row r="1170" spans="3:12">
      <c r="C1170" s="212" t="s">
        <v>51</v>
      </c>
      <c r="D1170" s="162">
        <f>Model!AJ107</f>
        <v>641.55799999999999</v>
      </c>
      <c r="E1170" s="162">
        <f>+D1170*$J$1166</f>
        <v>0.9023953864547436</v>
      </c>
      <c r="F1170" s="210"/>
      <c r="G1170" s="210"/>
      <c r="I1170" s="129"/>
      <c r="J1170" s="396" t="s">
        <v>186</v>
      </c>
      <c r="K1170" s="397"/>
      <c r="L1170" s="115" t="s">
        <v>67</v>
      </c>
    </row>
    <row r="1171" spans="3:12">
      <c r="C1171" s="212" t="s">
        <v>52</v>
      </c>
      <c r="D1171" s="162">
        <f>Model!AJ108</f>
        <v>18636.013999999999</v>
      </c>
      <c r="E1171" s="162">
        <f>+D1171*$J$1166</f>
        <v>26.212833532597227</v>
      </c>
      <c r="F1171" s="210"/>
      <c r="G1171" s="210"/>
      <c r="I1171" s="223"/>
      <c r="J1171" s="224" t="s">
        <v>4</v>
      </c>
      <c r="K1171" s="224" t="s">
        <v>5</v>
      </c>
      <c r="L1171" s="225"/>
    </row>
    <row r="1172" spans="3:12">
      <c r="C1172" s="213" t="s">
        <v>53</v>
      </c>
      <c r="D1172" s="162">
        <f>Model!AJ110</f>
        <v>75453.146999999997</v>
      </c>
      <c r="E1172" s="162">
        <f>+D1172*$J$1166</f>
        <v>106.13003305436386</v>
      </c>
      <c r="F1172" s="210"/>
      <c r="G1172" s="210"/>
      <c r="I1172" s="214" t="s">
        <v>17</v>
      </c>
      <c r="J1172" s="171">
        <f>D1177-D1176-D1172</f>
        <v>1869523.318</v>
      </c>
      <c r="K1172" s="171">
        <f>J1172*J1166</f>
        <v>2629.6129376186791</v>
      </c>
      <c r="L1172" s="216">
        <f>+J1172/J1177</f>
        <v>2.7322949252369617</v>
      </c>
    </row>
    <row r="1173" spans="3:12">
      <c r="C1173" s="207" t="s">
        <v>15</v>
      </c>
      <c r="D1173" s="162"/>
      <c r="E1173" s="162"/>
      <c r="F1173" s="210"/>
      <c r="G1173" s="210"/>
      <c r="I1173" s="217" t="s">
        <v>18</v>
      </c>
      <c r="J1173" s="226">
        <f>J1172-J1174</f>
        <v>712623.31799999997</v>
      </c>
      <c r="K1173" s="226">
        <f>K1172-K1174</f>
        <v>1002.3536366833109</v>
      </c>
      <c r="L1173" s="219"/>
    </row>
    <row r="1174" spans="3:12">
      <c r="C1174" s="212" t="s">
        <v>51</v>
      </c>
      <c r="D1174" s="162">
        <f>Model!AJ112</f>
        <v>110230.753</v>
      </c>
      <c r="E1174" s="162">
        <f>+D1174*$J$1166</f>
        <v>155.04712427034249</v>
      </c>
      <c r="F1174" s="210"/>
      <c r="G1174" s="210"/>
      <c r="I1174" s="214" t="s">
        <v>9</v>
      </c>
      <c r="J1174" s="227">
        <v>1156900</v>
      </c>
      <c r="K1174" s="171">
        <f>J1174*J1166</f>
        <v>1627.2593009353682</v>
      </c>
      <c r="L1174" s="216">
        <f>+J1174/J1177</f>
        <v>1.6908010553129891</v>
      </c>
    </row>
    <row r="1175" spans="3:12">
      <c r="C1175" s="212" t="s">
        <v>52</v>
      </c>
      <c r="D1175" s="162">
        <f>Model!AJ113</f>
        <v>1740014.993</v>
      </c>
      <c r="E1175" s="162">
        <f>+D1175*$J$1166</f>
        <v>2447.4505844292848</v>
      </c>
      <c r="F1175" s="210"/>
      <c r="G1175" s="210"/>
      <c r="I1175" s="220" t="s">
        <v>19</v>
      </c>
      <c r="J1175" s="228">
        <f>D1180</f>
        <v>1508490.4269999999</v>
      </c>
      <c r="K1175" s="172">
        <f>+J1175*J1166</f>
        <v>2121.7953822350373</v>
      </c>
      <c r="L1175" s="125"/>
    </row>
    <row r="1176" spans="3:12">
      <c r="C1176" s="213" t="s">
        <v>54</v>
      </c>
      <c r="D1176" s="162">
        <f>Model!AJ115</f>
        <v>428773.70899999997</v>
      </c>
      <c r="E1176" s="162">
        <f>+D1176*$J$1166</f>
        <v>603.09966804979251</v>
      </c>
      <c r="F1176" s="210"/>
      <c r="G1176" s="210"/>
      <c r="I1176" s="220" t="s">
        <v>20</v>
      </c>
      <c r="J1176" s="228">
        <f>J1172+J1175</f>
        <v>3378013.7450000001</v>
      </c>
      <c r="K1176" s="228">
        <f>K1172+K1175</f>
        <v>4751.4083198537164</v>
      </c>
      <c r="L1176" s="125"/>
    </row>
    <row r="1177" spans="3:12">
      <c r="C1177" s="214" t="s">
        <v>17</v>
      </c>
      <c r="D1177" s="215">
        <f>SUM(D1170:D1176)</f>
        <v>2373750.1740000001</v>
      </c>
      <c r="E1177" s="107">
        <f>SUM(E1170:E1176)</f>
        <v>3338.8426387228355</v>
      </c>
      <c r="F1177" s="216">
        <f>+D1177/D1182</f>
        <v>3.4692188600990508</v>
      </c>
      <c r="G1177" s="216">
        <f>+E1177/E1182</f>
        <v>3.4692188600990508</v>
      </c>
      <c r="I1177" s="222" t="s">
        <v>68</v>
      </c>
      <c r="J1177" s="170">
        <f>D1182</f>
        <v>684231.88899999997</v>
      </c>
      <c r="K1177" s="170"/>
      <c r="L1177" s="128"/>
    </row>
    <row r="1178" spans="3:12">
      <c r="C1178" s="217" t="s">
        <v>18</v>
      </c>
      <c r="D1178" s="218">
        <f>Model!AJ118</f>
        <v>202481.23699999999</v>
      </c>
      <c r="E1178" s="162">
        <f>+D1178*$J$1166</f>
        <v>284.80376538434484</v>
      </c>
      <c r="F1178" s="219"/>
      <c r="G1178" s="219"/>
    </row>
    <row r="1179" spans="3:12">
      <c r="C1179" s="214" t="s">
        <v>9</v>
      </c>
      <c r="D1179" s="215">
        <f>+D1177-D1178</f>
        <v>2171268.9369999999</v>
      </c>
      <c r="E1179" s="107">
        <f>+E1177-E1178</f>
        <v>3054.0388733384907</v>
      </c>
      <c r="F1179" s="216">
        <f>+D1179/D1182</f>
        <v>3.173293983963966</v>
      </c>
      <c r="G1179" s="216">
        <f>+E1179/E1182</f>
        <v>3.173293983963966</v>
      </c>
      <c r="J1179" s="196"/>
    </row>
    <row r="1180" spans="3:12">
      <c r="C1180" s="220" t="s">
        <v>19</v>
      </c>
      <c r="D1180" s="221">
        <f>Model!AJ125</f>
        <v>1508490.4269999999</v>
      </c>
      <c r="E1180" s="162">
        <f>+D1180*$J$1166</f>
        <v>2121.7953822350373</v>
      </c>
      <c r="F1180" s="125"/>
      <c r="G1180" s="125"/>
    </row>
    <row r="1181" spans="3:12">
      <c r="C1181" s="214" t="s">
        <v>20</v>
      </c>
      <c r="D1181" s="215">
        <f>D1177+D1180</f>
        <v>3882240.6009999998</v>
      </c>
      <c r="E1181" s="107">
        <f>E1177+E1180</f>
        <v>5460.6380209578729</v>
      </c>
      <c r="F1181" s="216">
        <f>D1181/D1182</f>
        <v>5.6738668036560922</v>
      </c>
      <c r="G1181" s="216">
        <f>E1181/E1182</f>
        <v>5.6738668036560922</v>
      </c>
    </row>
    <row r="1182" spans="3:12">
      <c r="C1182" s="222" t="s">
        <v>21</v>
      </c>
      <c r="D1182" s="126">
        <f>Model!AJ84</f>
        <v>684231.88899999997</v>
      </c>
      <c r="E1182" s="241">
        <f>+D1182*$J$1166</f>
        <v>962.4191419931077</v>
      </c>
      <c r="F1182" s="128"/>
      <c r="G1182" s="128"/>
    </row>
    <row r="1184" spans="3:12">
      <c r="C1184" s="136" t="s">
        <v>22</v>
      </c>
      <c r="D1184" s="137">
        <f>D1177-Model!AJ121</f>
        <v>0</v>
      </c>
      <c r="E1184" s="138"/>
    </row>
    <row r="1185" spans="3:5" ht="13.5" thickBot="1">
      <c r="D1185" s="395"/>
      <c r="E1185" s="395"/>
    </row>
    <row r="1186" spans="3:5">
      <c r="C1186" s="60" t="s">
        <v>188</v>
      </c>
      <c r="D1186" s="61" t="s">
        <v>35</v>
      </c>
      <c r="E1186" s="61" t="s">
        <v>36</v>
      </c>
    </row>
    <row r="1187" spans="3:5">
      <c r="C1187" s="62"/>
      <c r="D1187" s="84"/>
      <c r="E1187" s="84"/>
    </row>
    <row r="1188" spans="3:5">
      <c r="C1188" s="62" t="s">
        <v>24</v>
      </c>
      <c r="D1188" s="184">
        <f>D1178</f>
        <v>202481.23699999999</v>
      </c>
      <c r="E1188" s="184">
        <f>D1188*$J$1166</f>
        <v>284.80376538434484</v>
      </c>
    </row>
    <row r="1189" spans="3:5" ht="13.5" thickBot="1">
      <c r="C1189" s="63"/>
      <c r="D1189" s="185">
        <f>SUM(D1187:D1188)</f>
        <v>202481.23699999999</v>
      </c>
      <c r="E1189" s="185">
        <f>SUM(E1187:E1188)</f>
        <v>284.80376538434484</v>
      </c>
    </row>
    <row r="1190" spans="3:5" ht="13.5" thickBot="1"/>
    <row r="1191" spans="3:5">
      <c r="C1191" s="60" t="s">
        <v>189</v>
      </c>
      <c r="D1191" s="61" t="s">
        <v>35</v>
      </c>
      <c r="E1191" s="61" t="s">
        <v>36</v>
      </c>
    </row>
    <row r="1192" spans="3:5">
      <c r="C1192" s="54" t="s">
        <v>27</v>
      </c>
      <c r="D1192" s="181">
        <f>502.347+11855.05+7624.714</f>
        <v>19982.110999999997</v>
      </c>
      <c r="E1192" s="184">
        <f t="shared" ref="E1192:E1197" si="52">D1192*$J$1166</f>
        <v>28.106211407271953</v>
      </c>
    </row>
    <row r="1193" spans="3:5">
      <c r="C1193" s="54" t="s">
        <v>28</v>
      </c>
      <c r="D1193" s="181">
        <v>16460.550999999999</v>
      </c>
      <c r="E1193" s="184">
        <f t="shared" si="52"/>
        <v>23.152895421618958</v>
      </c>
    </row>
    <row r="1194" spans="3:5">
      <c r="C1194" s="54" t="s">
        <v>29</v>
      </c>
      <c r="D1194" s="181">
        <f>16460.551+248263.487</f>
        <v>264724.038</v>
      </c>
      <c r="E1194" s="184">
        <f t="shared" si="52"/>
        <v>372.352539559744</v>
      </c>
    </row>
    <row r="1195" spans="3:5">
      <c r="C1195" s="54" t="s">
        <v>30</v>
      </c>
      <c r="D1195" s="181">
        <f>49109.413+247775.922</f>
        <v>296885.33499999996</v>
      </c>
      <c r="E1195" s="184">
        <f t="shared" si="52"/>
        <v>417.58961249032978</v>
      </c>
    </row>
    <row r="1196" spans="3:5">
      <c r="C1196" s="54" t="s">
        <v>31</v>
      </c>
      <c r="D1196" s="181">
        <f>59037.058+247241.447</f>
        <v>306278.505</v>
      </c>
      <c r="E1196" s="184">
        <f t="shared" si="52"/>
        <v>430.80175117800127</v>
      </c>
    </row>
    <row r="1197" spans="3:5" ht="13.5" thickBot="1">
      <c r="C1197" s="54" t="s">
        <v>32</v>
      </c>
      <c r="D1197" s="181">
        <f>29571.411+1053189.222</f>
        <v>1082760.6330000001</v>
      </c>
      <c r="E1197" s="184">
        <f t="shared" si="52"/>
        <v>1522.9771896757861</v>
      </c>
    </row>
    <row r="1198" spans="3:5" ht="13.5" thickBot="1">
      <c r="C1198" s="186" t="s">
        <v>33</v>
      </c>
      <c r="D1198" s="187">
        <f>SUM(D1192:D1197)</f>
        <v>1987091.173</v>
      </c>
      <c r="E1198" s="193">
        <f>SUM(E1192:E1197)</f>
        <v>2794.9801997327522</v>
      </c>
    </row>
    <row r="1199" spans="3:5" ht="13.5" thickBot="1">
      <c r="D1199" s="191"/>
    </row>
    <row r="1200" spans="3:5">
      <c r="C1200" s="60" t="s">
        <v>190</v>
      </c>
      <c r="D1200" s="61" t="s">
        <v>35</v>
      </c>
      <c r="E1200" s="61" t="s">
        <v>36</v>
      </c>
    </row>
    <row r="1201" spans="3:7">
      <c r="C1201" s="54" t="s">
        <v>27</v>
      </c>
      <c r="D1201" s="181">
        <v>75453.146999999997</v>
      </c>
      <c r="E1201" s="184">
        <f t="shared" ref="E1201:E1206" si="53">D1201*$J$1166</f>
        <v>106.13003305436386</v>
      </c>
    </row>
    <row r="1202" spans="3:7">
      <c r="C1202" s="54" t="s">
        <v>28</v>
      </c>
      <c r="D1202" s="181">
        <v>74370.923999999999</v>
      </c>
      <c r="E1202" s="184">
        <f t="shared" si="53"/>
        <v>104.60781208242491</v>
      </c>
    </row>
    <row r="1203" spans="3:7">
      <c r="C1203" s="54" t="s">
        <v>29</v>
      </c>
      <c r="D1203" s="181">
        <v>64365.137999999999</v>
      </c>
      <c r="E1203" s="184">
        <f t="shared" si="53"/>
        <v>90.53398691891131</v>
      </c>
    </row>
    <row r="1204" spans="3:7">
      <c r="C1204" s="54" t="s">
        <v>30</v>
      </c>
      <c r="D1204" s="181">
        <v>59902.04</v>
      </c>
      <c r="E1204" s="184">
        <f t="shared" si="53"/>
        <v>84.256333075462408</v>
      </c>
    </row>
    <row r="1205" spans="3:7">
      <c r="C1205" s="54" t="s">
        <v>31</v>
      </c>
      <c r="D1205" s="181">
        <v>55088.055</v>
      </c>
      <c r="E1205" s="184">
        <f t="shared" si="53"/>
        <v>77.485132569097686</v>
      </c>
    </row>
    <row r="1206" spans="3:7" ht="13.5" thickBot="1">
      <c r="C1206" s="54" t="s">
        <v>32</v>
      </c>
      <c r="D1206" s="181">
        <v>175047.552</v>
      </c>
      <c r="E1206" s="184">
        <f t="shared" si="53"/>
        <v>246.21640340389618</v>
      </c>
    </row>
    <row r="1207" spans="3:7" ht="13.5" thickBot="1">
      <c r="C1207" s="186" t="s">
        <v>37</v>
      </c>
      <c r="D1207" s="187">
        <f>SUM(D1201:D1206)</f>
        <v>504226.85600000003</v>
      </c>
      <c r="E1207" s="187">
        <f>SUM(E1201:E1206)</f>
        <v>709.22970110415633</v>
      </c>
    </row>
    <row r="1208" spans="3:7" ht="13.5" thickBot="1">
      <c r="D1208" s="191"/>
    </row>
    <row r="1209" spans="3:7">
      <c r="C1209" s="60" t="s">
        <v>189</v>
      </c>
      <c r="D1209" s="61" t="s">
        <v>35</v>
      </c>
      <c r="E1209" s="61" t="s">
        <v>36</v>
      </c>
    </row>
    <row r="1210" spans="3:7">
      <c r="C1210" s="54" t="s">
        <v>27</v>
      </c>
      <c r="D1210" s="104">
        <f t="shared" ref="D1210:D1215" si="54">+D1192+D1201</f>
        <v>95435.258000000002</v>
      </c>
      <c r="E1210" s="184">
        <f t="shared" ref="E1210:E1215" si="55">D1210*$J$1166</f>
        <v>134.23624446163583</v>
      </c>
    </row>
    <row r="1211" spans="3:7">
      <c r="C1211" s="54" t="s">
        <v>28</v>
      </c>
      <c r="D1211" s="104">
        <f t="shared" si="54"/>
        <v>90831.475000000006</v>
      </c>
      <c r="E1211" s="184">
        <f t="shared" si="55"/>
        <v>127.76070750404389</v>
      </c>
    </row>
    <row r="1212" spans="3:7">
      <c r="C1212" s="54" t="s">
        <v>29</v>
      </c>
      <c r="D1212" s="104">
        <f t="shared" si="54"/>
        <v>329089.17599999998</v>
      </c>
      <c r="E1212" s="184">
        <f t="shared" si="55"/>
        <v>462.88652647865524</v>
      </c>
    </row>
    <row r="1213" spans="3:7">
      <c r="C1213" s="54" t="s">
        <v>30</v>
      </c>
      <c r="D1213" s="104">
        <f t="shared" si="54"/>
        <v>356787.37499999994</v>
      </c>
      <c r="E1213" s="184">
        <f t="shared" si="55"/>
        <v>501.84594556579214</v>
      </c>
      <c r="G1213" s="237"/>
    </row>
    <row r="1214" spans="3:7">
      <c r="C1214" s="54" t="s">
        <v>31</v>
      </c>
      <c r="D1214" s="104">
        <f t="shared" si="54"/>
        <v>361366.56</v>
      </c>
      <c r="E1214" s="184">
        <f t="shared" si="55"/>
        <v>508.2868837470989</v>
      </c>
    </row>
    <row r="1215" spans="3:7" ht="13.5" thickBot="1">
      <c r="C1215" s="54" t="s">
        <v>32</v>
      </c>
      <c r="D1215" s="104">
        <f t="shared" si="54"/>
        <v>1257808.1850000001</v>
      </c>
      <c r="E1215" s="184">
        <f t="shared" si="55"/>
        <v>1769.1935930796822</v>
      </c>
    </row>
    <row r="1216" spans="3:7" ht="13.5" thickBot="1">
      <c r="C1216" s="186" t="s">
        <v>38</v>
      </c>
      <c r="D1216" s="187">
        <f>SUM(D1210:D1215)</f>
        <v>2491318.0290000001</v>
      </c>
      <c r="E1216" s="193">
        <f>SUM(E1210:E1215)</f>
        <v>3504.2099008369082</v>
      </c>
    </row>
    <row r="1217" spans="2:12">
      <c r="D1217" s="191"/>
    </row>
    <row r="1219" spans="2:12">
      <c r="B1219" s="52" t="s">
        <v>191</v>
      </c>
      <c r="I1219" s="52" t="s">
        <v>192</v>
      </c>
      <c r="J1219" s="179">
        <f>Model!AI208</f>
        <v>1.2687940112922668E-3</v>
      </c>
    </row>
    <row r="1220" spans="2:12">
      <c r="C1220" s="129"/>
      <c r="D1220" s="396" t="s">
        <v>193</v>
      </c>
      <c r="E1220" s="397"/>
      <c r="F1220" s="115" t="s">
        <v>6</v>
      </c>
      <c r="G1220" s="115" t="s">
        <v>7</v>
      </c>
      <c r="I1220" s="52" t="s">
        <v>194</v>
      </c>
      <c r="J1220" s="179">
        <f>AVERAGE(Model!AF207:AI207)</f>
        <v>1.2551597043913229E-3</v>
      </c>
    </row>
    <row r="1221" spans="2:12" ht="12.75" customHeight="1">
      <c r="C1221" s="207"/>
      <c r="D1221" s="208" t="s">
        <v>4</v>
      </c>
      <c r="E1221" s="209" t="s">
        <v>5</v>
      </c>
      <c r="F1221" s="210"/>
      <c r="G1221" s="210"/>
      <c r="I1221" s="52"/>
    </row>
    <row r="1222" spans="2:12">
      <c r="C1222" s="207" t="s">
        <v>10</v>
      </c>
      <c r="D1222" s="211"/>
      <c r="E1222" s="162"/>
      <c r="F1222" s="210"/>
      <c r="G1222" s="210"/>
      <c r="I1222" s="52" t="s">
        <v>8</v>
      </c>
    </row>
    <row r="1223" spans="2:12">
      <c r="C1223" s="212" t="s">
        <v>51</v>
      </c>
      <c r="D1223" s="162">
        <f>Model!AI107</f>
        <v>422.23200000000003</v>
      </c>
      <c r="E1223" s="162">
        <f>+D1223*$J$1219</f>
        <v>0.53572543297595643</v>
      </c>
      <c r="F1223" s="210"/>
      <c r="G1223" s="210"/>
      <c r="I1223" s="129"/>
      <c r="J1223" s="396" t="s">
        <v>193</v>
      </c>
      <c r="K1223" s="397"/>
      <c r="L1223" s="115" t="s">
        <v>67</v>
      </c>
    </row>
    <row r="1224" spans="2:12">
      <c r="C1224" s="212" t="s">
        <v>52</v>
      </c>
      <c r="D1224" s="162">
        <f>Model!AI108</f>
        <v>25741.787</v>
      </c>
      <c r="E1224" s="162">
        <f>+D1224*$J$1219</f>
        <v>32.66102518556113</v>
      </c>
      <c r="F1224" s="210"/>
      <c r="G1224" s="210"/>
      <c r="I1224" s="223"/>
      <c r="J1224" s="224" t="s">
        <v>4</v>
      </c>
      <c r="K1224" s="224" t="s">
        <v>5</v>
      </c>
      <c r="L1224" s="225"/>
    </row>
    <row r="1225" spans="2:12">
      <c r="C1225" s="213" t="s">
        <v>53</v>
      </c>
      <c r="D1225" s="162">
        <f>Model!AI110</f>
        <v>78266.733999999997</v>
      </c>
      <c r="E1225" s="162">
        <f>+D1225*$J$1219</f>
        <v>99.304363382604834</v>
      </c>
      <c r="F1225" s="210"/>
      <c r="G1225" s="210"/>
      <c r="I1225" s="214" t="s">
        <v>17</v>
      </c>
      <c r="J1225" s="171">
        <f>D1230-D1229-D1225</f>
        <v>2015540.0719999999</v>
      </c>
      <c r="K1225" s="171">
        <f>J1225*J1219</f>
        <v>2557.3051728731839</v>
      </c>
      <c r="L1225" s="216">
        <f>+J1225/J1230</f>
        <v>2.3753063465556679</v>
      </c>
    </row>
    <row r="1226" spans="2:12">
      <c r="C1226" s="207" t="s">
        <v>15</v>
      </c>
      <c r="D1226" s="162"/>
      <c r="E1226" s="162"/>
      <c r="F1226" s="210"/>
      <c r="G1226" s="210"/>
      <c r="I1226" s="217" t="s">
        <v>18</v>
      </c>
      <c r="J1226" s="226">
        <f>J1225-J1227</f>
        <v>830140.07199999993</v>
      </c>
      <c r="K1226" s="226">
        <f>K1225-K1227</f>
        <v>1053.2767518873309</v>
      </c>
      <c r="L1226" s="219"/>
    </row>
    <row r="1227" spans="2:12">
      <c r="C1227" s="212" t="s">
        <v>51</v>
      </c>
      <c r="D1227" s="162">
        <f>Model!AI112</f>
        <v>116719.048</v>
      </c>
      <c r="E1227" s="162">
        <f>+D1227*$J$1219</f>
        <v>148.09242910613463</v>
      </c>
      <c r="F1227" s="210"/>
      <c r="G1227" s="210"/>
      <c r="I1227" s="214" t="s">
        <v>9</v>
      </c>
      <c r="J1227" s="227">
        <v>1185400</v>
      </c>
      <c r="K1227" s="171">
        <f>J1227*J1219</f>
        <v>1504.028420985853</v>
      </c>
      <c r="L1227" s="216">
        <f>+J1227/J1230</f>
        <v>1.3969894135684984</v>
      </c>
    </row>
    <row r="1228" spans="2:12">
      <c r="C1228" s="212" t="s">
        <v>52</v>
      </c>
      <c r="D1228" s="162">
        <f>Model!AI113</f>
        <v>1872657.0049999999</v>
      </c>
      <c r="E1228" s="162">
        <f>+D1228*$J$1219</f>
        <v>2376.0159931485123</v>
      </c>
      <c r="F1228" s="210"/>
      <c r="G1228" s="210"/>
      <c r="I1228" s="220" t="s">
        <v>19</v>
      </c>
      <c r="J1228" s="228">
        <f>D1233</f>
        <v>1619600.2479999999</v>
      </c>
      <c r="K1228" s="172">
        <f>+J1228*J1219</f>
        <v>2054.9390953498701</v>
      </c>
      <c r="L1228" s="125"/>
    </row>
    <row r="1229" spans="2:12">
      <c r="C1229" s="213" t="s">
        <v>54</v>
      </c>
      <c r="D1229" s="162">
        <f>Model!AI115</f>
        <v>441885.34700000001</v>
      </c>
      <c r="E1229" s="162">
        <f>+D1229*$J$1219</f>
        <v>560.66148195140522</v>
      </c>
      <c r="F1229" s="210"/>
      <c r="G1229" s="210"/>
      <c r="I1229" s="220" t="s">
        <v>20</v>
      </c>
      <c r="J1229" s="228">
        <f>J1225+J1228</f>
        <v>3635140.32</v>
      </c>
      <c r="K1229" s="228">
        <f>K1225+K1228</f>
        <v>4612.244268223054</v>
      </c>
      <c r="L1229" s="125"/>
    </row>
    <row r="1230" spans="2:12">
      <c r="C1230" s="214" t="s">
        <v>17</v>
      </c>
      <c r="D1230" s="215">
        <f>SUM(D1223:D1229)</f>
        <v>2535692.1529999999</v>
      </c>
      <c r="E1230" s="107">
        <f>SUM(E1223:E1229)</f>
        <v>3217.2710182071942</v>
      </c>
      <c r="F1230" s="216">
        <f>+D1230/D1235</f>
        <v>2.9883036053734711</v>
      </c>
      <c r="G1230" s="216">
        <f>+E1230/E1235</f>
        <v>2.9883036053734715</v>
      </c>
      <c r="I1230" s="222" t="s">
        <v>68</v>
      </c>
      <c r="J1230" s="170">
        <f>D1235</f>
        <v>848539</v>
      </c>
      <c r="K1230" s="170"/>
      <c r="L1230" s="128"/>
    </row>
    <row r="1231" spans="2:12">
      <c r="C1231" s="217" t="s">
        <v>18</v>
      </c>
      <c r="D1231" s="218">
        <f>Model!AI118</f>
        <v>302844.25400000002</v>
      </c>
      <c r="E1231" s="162">
        <f>+D1231*$J$1219</f>
        <v>384.24697582947414</v>
      </c>
      <c r="F1231" s="219"/>
      <c r="G1231" s="219"/>
    </row>
    <row r="1232" spans="2:12">
      <c r="C1232" s="214" t="s">
        <v>9</v>
      </c>
      <c r="D1232" s="215">
        <f>+D1230-D1231</f>
        <v>2232847.8989999997</v>
      </c>
      <c r="E1232" s="107">
        <f>+E1230-E1231</f>
        <v>2833.02404237772</v>
      </c>
      <c r="F1232" s="216">
        <f>+D1232/D1235</f>
        <v>2.6314027982214134</v>
      </c>
      <c r="G1232" s="216">
        <f>+E1232/E1235</f>
        <v>2.6314027982214134</v>
      </c>
      <c r="J1232" s="196"/>
    </row>
    <row r="1233" spans="3:7">
      <c r="C1233" s="220" t="s">
        <v>19</v>
      </c>
      <c r="D1233" s="221">
        <f>Model!AI125</f>
        <v>1619600.2479999999</v>
      </c>
      <c r="E1233" s="162">
        <f>+D1233*$J$1219</f>
        <v>2054.9390953498701</v>
      </c>
      <c r="F1233" s="125"/>
      <c r="G1233" s="125"/>
    </row>
    <row r="1234" spans="3:7">
      <c r="C1234" s="214" t="s">
        <v>20</v>
      </c>
      <c r="D1234" s="215">
        <f>D1230+D1233</f>
        <v>4155292.4009999996</v>
      </c>
      <c r="E1234" s="107">
        <f>E1230+E1233</f>
        <v>5272.2101135570647</v>
      </c>
      <c r="F1234" s="216">
        <f>D1234/D1235</f>
        <v>4.8969963678746637</v>
      </c>
      <c r="G1234" s="216">
        <f>E1234/E1235</f>
        <v>4.8969963678746655</v>
      </c>
    </row>
    <row r="1235" spans="3:7">
      <c r="C1235" s="222" t="s">
        <v>21</v>
      </c>
      <c r="D1235" s="126">
        <f>Model!AI84</f>
        <v>848539</v>
      </c>
      <c r="E1235" s="241">
        <f>+D1235*$J$1219</f>
        <v>1076.6212015479286</v>
      </c>
      <c r="F1235" s="128"/>
      <c r="G1235" s="128"/>
    </row>
    <row r="1237" spans="3:7">
      <c r="C1237" s="136" t="s">
        <v>22</v>
      </c>
      <c r="D1237" s="137">
        <f>D1230-Model!AI121</f>
        <v>0</v>
      </c>
      <c r="E1237" s="138"/>
    </row>
    <row r="1238" spans="3:7" ht="13.5" thickBot="1">
      <c r="D1238" s="395"/>
      <c r="E1238" s="395"/>
    </row>
    <row r="1239" spans="3:7">
      <c r="C1239" s="60" t="s">
        <v>195</v>
      </c>
      <c r="D1239" s="61" t="s">
        <v>35</v>
      </c>
      <c r="E1239" s="61" t="s">
        <v>36</v>
      </c>
    </row>
    <row r="1240" spans="3:7">
      <c r="C1240" s="62"/>
      <c r="D1240" s="84"/>
      <c r="E1240" s="84"/>
    </row>
    <row r="1241" spans="3:7">
      <c r="C1241" s="62" t="s">
        <v>24</v>
      </c>
      <c r="D1241" s="184">
        <f>D1231</f>
        <v>302844.25400000002</v>
      </c>
      <c r="E1241" s="184">
        <f>D1241*$J$1219</f>
        <v>384.24697582947414</v>
      </c>
    </row>
    <row r="1242" spans="3:7" ht="13.5" thickBot="1">
      <c r="C1242" s="63"/>
      <c r="D1242" s="185">
        <f>SUM(D1240:D1241)</f>
        <v>302844.25400000002</v>
      </c>
      <c r="E1242" s="185">
        <f>SUM(E1240:E1241)</f>
        <v>384.24697582947414</v>
      </c>
    </row>
    <row r="1243" spans="3:7" ht="13.5" thickBot="1"/>
    <row r="1244" spans="3:7">
      <c r="C1244" s="60" t="s">
        <v>196</v>
      </c>
      <c r="D1244" s="61" t="s">
        <v>35</v>
      </c>
      <c r="E1244" s="61" t="s">
        <v>36</v>
      </c>
    </row>
    <row r="1245" spans="3:7">
      <c r="C1245" s="54" t="s">
        <v>27</v>
      </c>
      <c r="D1245" s="181">
        <f>100.647+25741.787+321.585</f>
        <v>26164.019</v>
      </c>
      <c r="E1245" s="184">
        <f t="shared" ref="E1245:E1250" si="56">D1245*$J$1219</f>
        <v>33.196750618537081</v>
      </c>
    </row>
    <row r="1246" spans="3:7">
      <c r="C1246" s="54" t="s">
        <v>28</v>
      </c>
      <c r="D1246" s="181">
        <v>24117.510999999999</v>
      </c>
      <c r="E1246" s="184">
        <f t="shared" si="56"/>
        <v>30.600153524075367</v>
      </c>
    </row>
    <row r="1247" spans="3:7">
      <c r="C1247" s="54" t="s">
        <v>29</v>
      </c>
      <c r="D1247" s="181">
        <f>744.109+261697.834</f>
        <v>262441.94300000003</v>
      </c>
      <c r="E1247" s="184">
        <f t="shared" si="56"/>
        <v>332.98476559030649</v>
      </c>
    </row>
    <row r="1248" spans="3:7">
      <c r="C1248" s="54" t="s">
        <v>30</v>
      </c>
      <c r="D1248" s="181">
        <f>31182.938+261184.607</f>
        <v>292367.54499999998</v>
      </c>
      <c r="E1248" s="184">
        <f t="shared" si="56"/>
        <v>370.95419019222231</v>
      </c>
    </row>
    <row r="1249" spans="3:5">
      <c r="C1249" s="54" t="s">
        <v>31</v>
      </c>
      <c r="D1249" s="181">
        <f>60674.49+574259.407</f>
        <v>634933.897</v>
      </c>
      <c r="E1249" s="184">
        <f t="shared" si="56"/>
        <v>805.600326080061</v>
      </c>
    </row>
    <row r="1250" spans="3:5" ht="13.5" thickBot="1">
      <c r="C1250" s="54" t="s">
        <v>32</v>
      </c>
      <c r="D1250" s="181">
        <f>313261.098+462254.059+775515.157</f>
        <v>1551030.314</v>
      </c>
      <c r="E1250" s="184">
        <f t="shared" si="56"/>
        <v>1967.9379737359641</v>
      </c>
    </row>
    <row r="1251" spans="3:5" ht="13.5" thickBot="1">
      <c r="C1251" s="186" t="s">
        <v>33</v>
      </c>
      <c r="D1251" s="187">
        <f>SUM(D1245:D1250)</f>
        <v>2791055.2290000003</v>
      </c>
      <c r="E1251" s="193">
        <f>SUM(E1245:E1250)</f>
        <v>3541.2741597411664</v>
      </c>
    </row>
    <row r="1252" spans="3:5" ht="13.5" thickBot="1">
      <c r="D1252" s="191"/>
    </row>
    <row r="1253" spans="3:5">
      <c r="C1253" s="60" t="s">
        <v>197</v>
      </c>
      <c r="D1253" s="61" t="s">
        <v>35</v>
      </c>
      <c r="E1253" s="61" t="s">
        <v>36</v>
      </c>
    </row>
    <row r="1254" spans="3:5">
      <c r="C1254" s="54" t="s">
        <v>27</v>
      </c>
      <c r="D1254" s="181">
        <v>78266.733999999997</v>
      </c>
      <c r="E1254" s="184">
        <f t="shared" ref="E1254:E1259" si="57">D1254*$J$1219</f>
        <v>99.304363382604834</v>
      </c>
    </row>
    <row r="1255" spans="3:5">
      <c r="C1255" s="54" t="s">
        <v>28</v>
      </c>
      <c r="D1255" s="181">
        <v>76559.327999999994</v>
      </c>
      <c r="E1255" s="184">
        <f t="shared" si="57"/>
        <v>97.138016874960343</v>
      </c>
    </row>
    <row r="1256" spans="3:5">
      <c r="C1256" s="54" t="s">
        <v>29</v>
      </c>
      <c r="D1256" s="181">
        <v>68425.058000000005</v>
      </c>
      <c r="E1256" s="184">
        <f t="shared" si="57"/>
        <v>86.81730381272601</v>
      </c>
    </row>
    <row r="1257" spans="3:5">
      <c r="C1257" s="54" t="s">
        <v>30</v>
      </c>
      <c r="D1257" s="181">
        <v>62632.553999999996</v>
      </c>
      <c r="E1257" s="184">
        <f t="shared" si="57"/>
        <v>79.4678094271395</v>
      </c>
    </row>
    <row r="1258" spans="3:5">
      <c r="C1258" s="54" t="s">
        <v>31</v>
      </c>
      <c r="D1258" s="181">
        <v>56991.72</v>
      </c>
      <c r="E1258" s="184">
        <f t="shared" si="57"/>
        <v>72.310753029245703</v>
      </c>
    </row>
    <row r="1259" spans="3:5" ht="13.5" thickBot="1">
      <c r="C1259" s="54" t="s">
        <v>32</v>
      </c>
      <c r="D1259" s="181">
        <v>177276.68700000001</v>
      </c>
      <c r="E1259" s="184">
        <f t="shared" si="57"/>
        <v>224.92759880733365</v>
      </c>
    </row>
    <row r="1260" spans="3:5" ht="13.5" thickBot="1">
      <c r="C1260" s="186" t="s">
        <v>37</v>
      </c>
      <c r="D1260" s="187">
        <f>SUM(D1254:D1259)</f>
        <v>520152.08100000001</v>
      </c>
      <c r="E1260" s="187">
        <f>SUM(E1254:E1259)</f>
        <v>659.96584533401006</v>
      </c>
    </row>
    <row r="1261" spans="3:5" ht="13.5" thickBot="1">
      <c r="D1261" s="191"/>
    </row>
    <row r="1262" spans="3:5">
      <c r="C1262" s="60" t="s">
        <v>196</v>
      </c>
      <c r="D1262" s="61" t="s">
        <v>35</v>
      </c>
      <c r="E1262" s="61" t="s">
        <v>36</v>
      </c>
    </row>
    <row r="1263" spans="3:5">
      <c r="C1263" s="54" t="s">
        <v>27</v>
      </c>
      <c r="D1263" s="104">
        <f t="shared" ref="D1263:D1268" si="58">+D1245+D1254</f>
        <v>104430.753</v>
      </c>
      <c r="E1263" s="184">
        <f t="shared" ref="E1263:E1268" si="59">D1263*$J$1219</f>
        <v>132.50111400114193</v>
      </c>
    </row>
    <row r="1264" spans="3:5">
      <c r="C1264" s="54" t="s">
        <v>28</v>
      </c>
      <c r="D1264" s="104">
        <f t="shared" si="58"/>
        <v>100676.83899999999</v>
      </c>
      <c r="E1264" s="184">
        <f t="shared" si="59"/>
        <v>127.73817039903571</v>
      </c>
    </row>
    <row r="1265" spans="2:12">
      <c r="C1265" s="54" t="s">
        <v>29</v>
      </c>
      <c r="D1265" s="104">
        <f t="shared" si="58"/>
        <v>330867.00100000005</v>
      </c>
      <c r="E1265" s="184">
        <f t="shared" si="59"/>
        <v>419.80206940303248</v>
      </c>
    </row>
    <row r="1266" spans="2:12">
      <c r="C1266" s="54" t="s">
        <v>30</v>
      </c>
      <c r="D1266" s="104">
        <f t="shared" si="58"/>
        <v>355000.09899999999</v>
      </c>
      <c r="E1266" s="184">
        <f t="shared" si="59"/>
        <v>450.42199961936183</v>
      </c>
      <c r="G1266" s="237"/>
    </row>
    <row r="1267" spans="2:12">
      <c r="C1267" s="54" t="s">
        <v>31</v>
      </c>
      <c r="D1267" s="104">
        <f t="shared" si="58"/>
        <v>691925.61699999997</v>
      </c>
      <c r="E1267" s="184">
        <f t="shared" si="59"/>
        <v>877.91107910930657</v>
      </c>
    </row>
    <row r="1268" spans="2:12" ht="13.5" thickBot="1">
      <c r="C1268" s="54" t="s">
        <v>32</v>
      </c>
      <c r="D1268" s="104">
        <f t="shared" si="58"/>
        <v>1728307.0009999999</v>
      </c>
      <c r="E1268" s="184">
        <f t="shared" si="59"/>
        <v>2192.8655725432977</v>
      </c>
    </row>
    <row r="1269" spans="2:12" ht="13.5" thickBot="1">
      <c r="C1269" s="186" t="s">
        <v>38</v>
      </c>
      <c r="D1269" s="187">
        <f>SUM(D1263:D1268)</f>
        <v>3311207.3099999996</v>
      </c>
      <c r="E1269" s="193">
        <f>SUM(E1263:E1268)</f>
        <v>4201.2400050751767</v>
      </c>
    </row>
    <row r="1270" spans="2:12">
      <c r="D1270" s="191"/>
    </row>
    <row r="1272" spans="2:12">
      <c r="B1272" s="52" t="s">
        <v>198</v>
      </c>
      <c r="I1272" s="52" t="s">
        <v>199</v>
      </c>
      <c r="J1272" s="179">
        <f>Model!AH208</f>
        <v>1.2176856666220183E-3</v>
      </c>
    </row>
    <row r="1273" spans="2:12">
      <c r="C1273" s="129"/>
      <c r="D1273" s="396" t="s">
        <v>200</v>
      </c>
      <c r="E1273" s="397"/>
      <c r="F1273" s="115" t="s">
        <v>6</v>
      </c>
      <c r="G1273" s="115" t="s">
        <v>7</v>
      </c>
      <c r="I1273" s="52" t="s">
        <v>201</v>
      </c>
      <c r="J1273" s="179">
        <f>AVERAGE(Model!AE207:AH207)</f>
        <v>1.2985497446520371E-3</v>
      </c>
    </row>
    <row r="1274" spans="2:12">
      <c r="C1274" s="207"/>
      <c r="D1274" s="208" t="s">
        <v>4</v>
      </c>
      <c r="E1274" s="209" t="s">
        <v>5</v>
      </c>
      <c r="F1274" s="210"/>
      <c r="G1274" s="210"/>
      <c r="I1274" s="52"/>
    </row>
    <row r="1275" spans="2:12">
      <c r="C1275" s="207" t="s">
        <v>10</v>
      </c>
      <c r="D1275" s="211"/>
      <c r="E1275" s="162"/>
      <c r="F1275" s="210"/>
      <c r="G1275" s="210"/>
      <c r="I1275" s="52" t="s">
        <v>8</v>
      </c>
    </row>
    <row r="1276" spans="2:12">
      <c r="C1276" s="212" t="s">
        <v>51</v>
      </c>
      <c r="D1276" s="162">
        <f>Model!AH107</f>
        <v>3091.453</v>
      </c>
      <c r="E1276" s="162">
        <f>+D1276*$J$1272</f>
        <v>3.7644180071356383</v>
      </c>
      <c r="F1276" s="210"/>
      <c r="G1276" s="210"/>
      <c r="I1276" s="129"/>
      <c r="J1276" s="396" t="s">
        <v>200</v>
      </c>
      <c r="K1276" s="397"/>
      <c r="L1276" s="115" t="s">
        <v>67</v>
      </c>
    </row>
    <row r="1277" spans="2:12">
      <c r="C1277" s="212" t="s">
        <v>52</v>
      </c>
      <c r="D1277" s="162">
        <f>Model!AH108</f>
        <v>21231.725999999999</v>
      </c>
      <c r="E1277" s="162">
        <f>+D1277*$J$1272</f>
        <v>25.853568427846035</v>
      </c>
      <c r="F1277" s="210"/>
      <c r="G1277" s="210"/>
      <c r="I1277" s="223"/>
      <c r="J1277" s="224" t="s">
        <v>4</v>
      </c>
      <c r="K1277" s="224" t="s">
        <v>5</v>
      </c>
      <c r="L1277" s="225"/>
    </row>
    <row r="1278" spans="2:12">
      <c r="C1278" s="213" t="s">
        <v>53</v>
      </c>
      <c r="D1278" s="162">
        <f>Model!AH110</f>
        <v>80380.433999999994</v>
      </c>
      <c r="E1278" s="162">
        <f>+D1278*$J$1272</f>
        <v>97.878102358657131</v>
      </c>
      <c r="F1278" s="210"/>
      <c r="G1278" s="210"/>
      <c r="I1278" s="214" t="s">
        <v>17</v>
      </c>
      <c r="J1278" s="171">
        <f>D1283-D1282-D1278</f>
        <v>2075873.878</v>
      </c>
      <c r="K1278" s="171">
        <f>J1278*J1272</f>
        <v>2527.7618669556641</v>
      </c>
      <c r="L1278" s="216">
        <f>+J1278/J1283</f>
        <v>2.4972227872191204</v>
      </c>
    </row>
    <row r="1279" spans="2:12">
      <c r="C1279" s="207" t="s">
        <v>15</v>
      </c>
      <c r="D1279" s="162"/>
      <c r="E1279" s="162"/>
      <c r="F1279" s="210"/>
      <c r="G1279" s="210"/>
      <c r="I1279" s="217" t="s">
        <v>18</v>
      </c>
      <c r="J1279" s="226">
        <f>J1278-J1280</f>
        <v>772073.87800000003</v>
      </c>
      <c r="K1279" s="226">
        <f>K1278-K1280</f>
        <v>940.14329481387676</v>
      </c>
      <c r="L1279" s="219"/>
    </row>
    <row r="1280" spans="2:12">
      <c r="C1280" s="212" t="s">
        <v>51</v>
      </c>
      <c r="D1280" s="162">
        <f>Model!AH112</f>
        <v>119672.394</v>
      </c>
      <c r="E1280" s="162">
        <f>+D1280*$J$1272</f>
        <v>145.72335886414282</v>
      </c>
      <c r="F1280" s="210"/>
      <c r="G1280" s="210"/>
      <c r="I1280" s="214" t="s">
        <v>9</v>
      </c>
      <c r="J1280" s="227">
        <v>1303800</v>
      </c>
      <c r="K1280" s="171">
        <f>J1280*J1272</f>
        <v>1587.6185721417874</v>
      </c>
      <c r="L1280" s="216">
        <f>+J1280/J1283</f>
        <v>1.5684378056306412</v>
      </c>
    </row>
    <row r="1281" spans="3:12">
      <c r="C1281" s="212" t="s">
        <v>52</v>
      </c>
      <c r="D1281" s="162">
        <f>Model!AH113</f>
        <v>1931878.3049999999</v>
      </c>
      <c r="E1281" s="162">
        <f>+D1281*$J$1272</f>
        <v>2352.4205216565397</v>
      </c>
      <c r="F1281" s="210"/>
      <c r="G1281" s="210"/>
      <c r="I1281" s="220" t="s">
        <v>19</v>
      </c>
      <c r="J1281" s="228">
        <f>D1286</f>
        <v>1685352.888</v>
      </c>
      <c r="K1281" s="172">
        <f>+J1281*J1272</f>
        <v>2052.2300549176239</v>
      </c>
      <c r="L1281" s="125"/>
    </row>
    <row r="1282" spans="3:12">
      <c r="C1282" s="213" t="s">
        <v>54</v>
      </c>
      <c r="D1282" s="162">
        <f>Model!AH115</f>
        <v>451437.49599999998</v>
      </c>
      <c r="E1282" s="162">
        <f>+D1282*$J$1272</f>
        <v>549.70896825493469</v>
      </c>
      <c r="F1282" s="210"/>
      <c r="G1282" s="210"/>
      <c r="I1282" s="220" t="s">
        <v>20</v>
      </c>
      <c r="J1282" s="228">
        <f>J1278+J1281</f>
        <v>3761226.7659999998</v>
      </c>
      <c r="K1282" s="228">
        <f>K1278+K1281</f>
        <v>4579.9919218732884</v>
      </c>
      <c r="L1282" s="125"/>
    </row>
    <row r="1283" spans="3:12">
      <c r="C1283" s="214" t="s">
        <v>17</v>
      </c>
      <c r="D1283" s="215">
        <f>SUM(D1276:D1282)</f>
        <v>2607691.8079999997</v>
      </c>
      <c r="E1283" s="107">
        <f>SUM(E1276:E1282)</f>
        <v>3175.3489375692561</v>
      </c>
      <c r="F1283" s="216">
        <f>+D1283/D1288</f>
        <v>3.1369860539197107</v>
      </c>
      <c r="G1283" s="216">
        <f>+E1283/E1288</f>
        <v>2.9416377539504883</v>
      </c>
      <c r="I1283" s="222" t="s">
        <v>68</v>
      </c>
      <c r="J1283" s="170">
        <f>D1288</f>
        <v>831273</v>
      </c>
      <c r="K1283" s="170"/>
      <c r="L1283" s="128"/>
    </row>
    <row r="1284" spans="3:12">
      <c r="C1284" s="217" t="s">
        <v>18</v>
      </c>
      <c r="D1284" s="218">
        <f>Model!AH118</f>
        <v>340573.74200000003</v>
      </c>
      <c r="E1284" s="162">
        <f>+D1284*$J$1272</f>
        <v>414.71176406122527</v>
      </c>
      <c r="F1284" s="219"/>
      <c r="G1284" s="219"/>
    </row>
    <row r="1285" spans="3:12">
      <c r="C1285" s="214" t="s">
        <v>9</v>
      </c>
      <c r="D1285" s="215">
        <f>+D1283-D1284</f>
        <v>2267118.0659999996</v>
      </c>
      <c r="E1285" s="107">
        <f>+E1283-E1284</f>
        <v>2760.6371735080311</v>
      </c>
      <c r="F1285" s="216">
        <f>+D1285/D1288</f>
        <v>2.7272846176887735</v>
      </c>
      <c r="G1285" s="216">
        <f>+E1285/E1288</f>
        <v>2.5574494942804282</v>
      </c>
      <c r="J1285" s="196"/>
    </row>
    <row r="1286" spans="3:12">
      <c r="C1286" s="220" t="s">
        <v>19</v>
      </c>
      <c r="D1286" s="221">
        <f>Model!AH125</f>
        <v>1685352.888</v>
      </c>
      <c r="E1286" s="162">
        <f>+D1286*$J$1272</f>
        <v>2052.2300549176239</v>
      </c>
      <c r="F1286" s="125"/>
      <c r="G1286" s="125"/>
    </row>
    <row r="1287" spans="3:12">
      <c r="C1287" s="214" t="s">
        <v>20</v>
      </c>
      <c r="D1287" s="215">
        <f>D1283+D1286</f>
        <v>4293044.6959999995</v>
      </c>
      <c r="E1287" s="107">
        <f>E1283+E1286</f>
        <v>5227.5789924868805</v>
      </c>
      <c r="F1287" s="216">
        <f>D1287/D1288</f>
        <v>5.1644221525299141</v>
      </c>
      <c r="G1287" s="216">
        <f>E1287/E1288</f>
        <v>4.8428201210004715</v>
      </c>
    </row>
    <row r="1288" spans="3:12">
      <c r="C1288" s="222" t="s">
        <v>21</v>
      </c>
      <c r="D1288" s="126">
        <f>Model!AH84</f>
        <v>831273</v>
      </c>
      <c r="E1288" s="127">
        <f>D1288*J1273</f>
        <v>1079.4493418861327</v>
      </c>
      <c r="F1288" s="128"/>
      <c r="G1288" s="128"/>
    </row>
    <row r="1290" spans="3:12">
      <c r="C1290" s="136" t="s">
        <v>22</v>
      </c>
      <c r="D1290" s="137">
        <f>D1283-Model!AH121</f>
        <v>0</v>
      </c>
      <c r="E1290" s="138"/>
    </row>
    <row r="1291" spans="3:12" ht="13.5" thickBot="1">
      <c r="D1291" s="395"/>
      <c r="E1291" s="395"/>
    </row>
    <row r="1292" spans="3:12">
      <c r="C1292" s="60" t="s">
        <v>202</v>
      </c>
      <c r="D1292" s="61" t="s">
        <v>35</v>
      </c>
      <c r="E1292" s="61" t="s">
        <v>36</v>
      </c>
    </row>
    <row r="1293" spans="3:12">
      <c r="C1293" s="62"/>
      <c r="D1293" s="84"/>
      <c r="E1293" s="84"/>
    </row>
    <row r="1294" spans="3:12">
      <c r="C1294" s="62" t="s">
        <v>24</v>
      </c>
      <c r="D1294" s="184">
        <f>D1284</f>
        <v>340573.74200000003</v>
      </c>
      <c r="E1294" s="184">
        <f>D1294*$J$1272</f>
        <v>414.71176406122527</v>
      </c>
    </row>
    <row r="1295" spans="3:12" ht="13.5" thickBot="1">
      <c r="C1295" s="63"/>
      <c r="D1295" s="185">
        <f>SUM(D1293:D1294)</f>
        <v>340573.74200000003</v>
      </c>
      <c r="E1295" s="185">
        <f>SUM(E1293:E1294)</f>
        <v>414.71176406122527</v>
      </c>
    </row>
    <row r="1296" spans="3:12" ht="13.5" thickBot="1"/>
    <row r="1297" spans="3:5">
      <c r="C1297" s="60" t="s">
        <v>203</v>
      </c>
      <c r="D1297" s="61" t="s">
        <v>35</v>
      </c>
      <c r="E1297" s="61" t="s">
        <v>36</v>
      </c>
    </row>
    <row r="1298" spans="3:5">
      <c r="C1298" s="54" t="s">
        <v>27</v>
      </c>
      <c r="D1298" s="181">
        <f>13002.808+8228.918+76.294+2911.777+103.382</f>
        <v>24323.179000000007</v>
      </c>
      <c r="E1298" s="184">
        <f t="shared" ref="E1298:E1303" si="60">D1298*$J$1272</f>
        <v>29.617986434981685</v>
      </c>
    </row>
    <row r="1299" spans="3:5">
      <c r="C1299" s="54" t="s">
        <v>28</v>
      </c>
      <c r="D1299" s="181">
        <v>24165.374</v>
      </c>
      <c r="E1299" s="184">
        <f t="shared" si="60"/>
        <v>29.425829548360387</v>
      </c>
    </row>
    <row r="1300" spans="3:5">
      <c r="C1300" s="54" t="s">
        <v>29</v>
      </c>
      <c r="D1300" s="181">
        <f>1082.028+272552.856</f>
        <v>273634.88400000002</v>
      </c>
      <c r="E1300" s="184">
        <f t="shared" si="60"/>
        <v>333.20127613457868</v>
      </c>
    </row>
    <row r="1301" spans="3:5">
      <c r="C1301" s="54" t="s">
        <v>30</v>
      </c>
      <c r="D1301" s="181">
        <f>272018.087+32472.373</f>
        <v>304490.46000000002</v>
      </c>
      <c r="E1301" s="184">
        <f t="shared" si="60"/>
        <v>370.77366876514503</v>
      </c>
    </row>
    <row r="1302" spans="3:5">
      <c r="C1302" s="54" t="s">
        <v>31</v>
      </c>
      <c r="D1302" s="181">
        <f>61952.619+271431.866</f>
        <v>333384.48499999999</v>
      </c>
      <c r="E1302" s="184">
        <f t="shared" si="60"/>
        <v>405.95750885866323</v>
      </c>
    </row>
    <row r="1303" spans="3:5" ht="13.5" thickBot="1">
      <c r="C1303" s="54" t="s">
        <v>32</v>
      </c>
      <c r="D1303" s="181">
        <v>1115875.496</v>
      </c>
      <c r="E1303" s="184">
        <f t="shared" si="60"/>
        <v>1358.7855972139353</v>
      </c>
    </row>
    <row r="1304" spans="3:5" ht="13.5" thickBot="1">
      <c r="C1304" s="186" t="s">
        <v>33</v>
      </c>
      <c r="D1304" s="187">
        <f>SUM(D1298:D1303)</f>
        <v>2075873.878</v>
      </c>
      <c r="E1304" s="193">
        <f>SUM(E1298:E1303)</f>
        <v>2527.7618669556641</v>
      </c>
    </row>
    <row r="1305" spans="3:5" ht="13.5" thickBot="1">
      <c r="D1305" s="191"/>
    </row>
    <row r="1306" spans="3:5">
      <c r="C1306" s="60" t="s">
        <v>204</v>
      </c>
      <c r="D1306" s="61" t="s">
        <v>35</v>
      </c>
      <c r="E1306" s="61" t="s">
        <v>36</v>
      </c>
    </row>
    <row r="1307" spans="3:5">
      <c r="C1307" s="54" t="s">
        <v>27</v>
      </c>
      <c r="D1307" s="181">
        <v>80380.433999999994</v>
      </c>
      <c r="E1307" s="184">
        <f t="shared" ref="E1307:E1312" si="61">D1307*$J$1272</f>
        <v>97.878102358657131</v>
      </c>
    </row>
    <row r="1308" spans="3:5">
      <c r="C1308" s="54" t="s">
        <v>28</v>
      </c>
      <c r="D1308" s="181">
        <v>77317.763999999996</v>
      </c>
      <c r="E1308" s="184">
        <f t="shared" si="61"/>
        <v>94.148732998063878</v>
      </c>
    </row>
    <row r="1309" spans="3:5">
      <c r="C1309" s="54" t="s">
        <v>29</v>
      </c>
      <c r="D1309" s="181">
        <v>70225.391000000003</v>
      </c>
      <c r="E1309" s="184">
        <f t="shared" si="61"/>
        <v>85.512452053626888</v>
      </c>
    </row>
    <row r="1310" spans="3:5">
      <c r="C1310" s="54" t="s">
        <v>30</v>
      </c>
      <c r="D1310" s="181">
        <v>63151.205000000002</v>
      </c>
      <c r="E1310" s="184">
        <f t="shared" si="61"/>
        <v>76.89831715840873</v>
      </c>
    </row>
    <row r="1311" spans="3:5">
      <c r="C1311" s="54" t="s">
        <v>31</v>
      </c>
      <c r="D1311" s="181">
        <v>55764.345000000001</v>
      </c>
      <c r="E1311" s="184">
        <f t="shared" si="61"/>
        <v>67.903443615065214</v>
      </c>
    </row>
    <row r="1312" spans="3:5" ht="13.5" thickBot="1">
      <c r="C1312" s="54" t="s">
        <v>32</v>
      </c>
      <c r="D1312" s="181">
        <v>184978.791</v>
      </c>
      <c r="E1312" s="184">
        <f t="shared" si="61"/>
        <v>225.24602242976999</v>
      </c>
    </row>
    <row r="1313" spans="2:10" ht="13.5" thickBot="1">
      <c r="C1313" s="186" t="s">
        <v>37</v>
      </c>
      <c r="D1313" s="187">
        <f>SUM(D1307:D1312)</f>
        <v>531817.92999999993</v>
      </c>
      <c r="E1313" s="187">
        <f>SUM(E1307:E1312)</f>
        <v>647.58707061359178</v>
      </c>
    </row>
    <row r="1314" spans="2:10" ht="13.5" thickBot="1">
      <c r="D1314" s="191"/>
    </row>
    <row r="1315" spans="2:10">
      <c r="C1315" s="60" t="s">
        <v>205</v>
      </c>
      <c r="D1315" s="61" t="s">
        <v>35</v>
      </c>
      <c r="E1315" s="61" t="s">
        <v>36</v>
      </c>
    </row>
    <row r="1316" spans="2:10">
      <c r="C1316" s="54" t="s">
        <v>27</v>
      </c>
      <c r="D1316" s="104">
        <f t="shared" ref="D1316:D1321" si="62">+D1298+D1307</f>
        <v>104703.613</v>
      </c>
      <c r="E1316" s="184">
        <f t="shared" ref="E1316:E1321" si="63">D1316*$J$1272</f>
        <v>127.49608879363882</v>
      </c>
    </row>
    <row r="1317" spans="2:10">
      <c r="C1317" s="54" t="s">
        <v>28</v>
      </c>
      <c r="D1317" s="104">
        <f t="shared" si="62"/>
        <v>101483.13799999999</v>
      </c>
      <c r="E1317" s="184">
        <f t="shared" si="63"/>
        <v>123.57456254642426</v>
      </c>
    </row>
    <row r="1318" spans="2:10">
      <c r="C1318" s="54" t="s">
        <v>29</v>
      </c>
      <c r="D1318" s="104">
        <f t="shared" si="62"/>
        <v>343860.27500000002</v>
      </c>
      <c r="E1318" s="184">
        <f t="shared" si="63"/>
        <v>418.71372818820555</v>
      </c>
    </row>
    <row r="1319" spans="2:10">
      <c r="C1319" s="54" t="s">
        <v>30</v>
      </c>
      <c r="D1319" s="104">
        <f t="shared" si="62"/>
        <v>367641.66500000004</v>
      </c>
      <c r="E1319" s="184">
        <f t="shared" si="63"/>
        <v>447.67198592355373</v>
      </c>
      <c r="G1319" s="237"/>
    </row>
    <row r="1320" spans="2:10">
      <c r="C1320" s="54" t="s">
        <v>31</v>
      </c>
      <c r="D1320" s="104">
        <f t="shared" si="62"/>
        <v>389148.82999999996</v>
      </c>
      <c r="E1320" s="184">
        <f t="shared" si="63"/>
        <v>473.86095247372839</v>
      </c>
    </row>
    <row r="1321" spans="2:10" ht="13.5" thickBot="1">
      <c r="C1321" s="54" t="s">
        <v>32</v>
      </c>
      <c r="D1321" s="104">
        <f t="shared" si="62"/>
        <v>1300854.287</v>
      </c>
      <c r="E1321" s="184">
        <f t="shared" si="63"/>
        <v>1584.0316196437052</v>
      </c>
    </row>
    <row r="1322" spans="2:10" ht="13.5" thickBot="1">
      <c r="C1322" s="186" t="s">
        <v>38</v>
      </c>
      <c r="D1322" s="187">
        <f>SUM(D1316:D1321)</f>
        <v>2607691.8080000002</v>
      </c>
      <c r="E1322" s="193">
        <f>SUM(E1316:E1321)</f>
        <v>3175.3489375692561</v>
      </c>
    </row>
    <row r="1323" spans="2:10">
      <c r="D1323" s="191"/>
    </row>
    <row r="1325" spans="2:10">
      <c r="B1325" s="52" t="s">
        <v>206</v>
      </c>
      <c r="I1325" s="52" t="s">
        <v>207</v>
      </c>
      <c r="J1325" s="179">
        <f>Model!AG208</f>
        <v>1.1736675938640658E-3</v>
      </c>
    </row>
    <row r="1326" spans="2:10">
      <c r="C1326" s="129"/>
      <c r="D1326" s="396" t="s">
        <v>208</v>
      </c>
      <c r="E1326" s="397"/>
      <c r="F1326" s="115" t="s">
        <v>6</v>
      </c>
      <c r="G1326" s="115" t="s">
        <v>7</v>
      </c>
      <c r="I1326" s="52" t="s">
        <v>209</v>
      </c>
      <c r="J1326" s="179">
        <f>AVERAGE(Model!AD207:AG207)</f>
        <v>1.3655805870912768E-3</v>
      </c>
    </row>
    <row r="1327" spans="2:10">
      <c r="C1327" s="207"/>
      <c r="D1327" s="208" t="s">
        <v>4</v>
      </c>
      <c r="E1327" s="209" t="s">
        <v>5</v>
      </c>
      <c r="F1327" s="210"/>
      <c r="G1327" s="210"/>
      <c r="I1327" s="52"/>
    </row>
    <row r="1328" spans="2:10">
      <c r="C1328" s="207" t="s">
        <v>10</v>
      </c>
      <c r="D1328" s="211"/>
      <c r="E1328" s="162"/>
      <c r="F1328" s="210"/>
      <c r="G1328" s="210"/>
      <c r="I1328" s="52" t="s">
        <v>8</v>
      </c>
    </row>
    <row r="1329" spans="3:12">
      <c r="C1329" s="212" t="s">
        <v>51</v>
      </c>
      <c r="D1329" s="162">
        <f>Model!AG107</f>
        <v>198.59800000000001</v>
      </c>
      <c r="E1329" s="162">
        <f>+D1329*$J$1325</f>
        <v>0.23308803680621576</v>
      </c>
      <c r="F1329" s="210"/>
      <c r="G1329" s="210"/>
      <c r="I1329" s="129"/>
      <c r="J1329" s="396" t="s">
        <v>208</v>
      </c>
      <c r="K1329" s="397"/>
      <c r="L1329" s="115" t="s">
        <v>67</v>
      </c>
    </row>
    <row r="1330" spans="3:12">
      <c r="C1330" s="212" t="s">
        <v>52</v>
      </c>
      <c r="D1330" s="162">
        <f>Model!AG108</f>
        <v>27431.491000000002</v>
      </c>
      <c r="E1330" s="162">
        <f>+D1330*$J$1325</f>
        <v>32.195452038073775</v>
      </c>
      <c r="F1330" s="210"/>
      <c r="G1330" s="210"/>
      <c r="I1330" s="223"/>
      <c r="J1330" s="224" t="s">
        <v>4</v>
      </c>
      <c r="K1330" s="224" t="s">
        <v>5</v>
      </c>
      <c r="L1330" s="225"/>
    </row>
    <row r="1331" spans="3:12">
      <c r="C1331" s="213" t="s">
        <v>53</v>
      </c>
      <c r="D1331" s="162">
        <f>Model!AG110</f>
        <v>80078.368000000002</v>
      </c>
      <c r="E1331" s="162">
        <f>+D1331*$J$1325</f>
        <v>93.985385491121207</v>
      </c>
      <c r="F1331" s="210"/>
      <c r="G1331" s="210"/>
      <c r="I1331" s="214" t="s">
        <v>17</v>
      </c>
      <c r="J1331" s="171">
        <f>D1336-D1335-D1331</f>
        <v>2132985.858</v>
      </c>
      <c r="K1331" s="171">
        <f>J1331*J1325</f>
        <v>2503.41637970494</v>
      </c>
      <c r="L1331" s="216">
        <f>+J1331/J1336</f>
        <v>2.6486749186331107</v>
      </c>
    </row>
    <row r="1332" spans="3:12">
      <c r="C1332" s="207" t="s">
        <v>15</v>
      </c>
      <c r="D1332" s="162"/>
      <c r="E1332" s="162"/>
      <c r="F1332" s="210"/>
      <c r="G1332" s="210"/>
      <c r="I1332" s="217" t="s">
        <v>18</v>
      </c>
      <c r="J1332" s="226">
        <f>J1331-J1333</f>
        <v>894985.85800000001</v>
      </c>
      <c r="K1332" s="226">
        <f>K1331-K1333</f>
        <v>1050.4158985012266</v>
      </c>
      <c r="L1332" s="219"/>
    </row>
    <row r="1333" spans="3:12">
      <c r="C1333" s="212" t="s">
        <v>51</v>
      </c>
      <c r="D1333" s="162">
        <f>Model!AG112</f>
        <v>119792.549</v>
      </c>
      <c r="E1333" s="162">
        <f>+D1333*$J$1325</f>
        <v>140.5966327476732</v>
      </c>
      <c r="F1333" s="210"/>
      <c r="G1333" s="210"/>
      <c r="I1333" s="214" t="s">
        <v>9</v>
      </c>
      <c r="J1333" s="227">
        <v>1238000</v>
      </c>
      <c r="K1333" s="171">
        <f>J1333*J1325</f>
        <v>1453.0004812037134</v>
      </c>
      <c r="L1333" s="216">
        <f>+J1333/J1336</f>
        <v>1.5373095592590615</v>
      </c>
    </row>
    <row r="1334" spans="3:12">
      <c r="C1334" s="212" t="s">
        <v>52</v>
      </c>
      <c r="D1334" s="162">
        <f>Model!AG113</f>
        <v>1985563.22</v>
      </c>
      <c r="E1334" s="162">
        <f>+D1334*$J$1325</f>
        <v>2330.3912068823865</v>
      </c>
      <c r="F1334" s="210"/>
      <c r="G1334" s="210"/>
      <c r="I1334" s="220" t="s">
        <v>19</v>
      </c>
      <c r="J1334" s="228">
        <f>D1339</f>
        <v>1756674.0460000001</v>
      </c>
      <c r="K1334" s="172">
        <f>+J1334*J1325</f>
        <v>2061.7514007722734</v>
      </c>
      <c r="L1334" s="125"/>
    </row>
    <row r="1335" spans="3:12">
      <c r="C1335" s="213" t="s">
        <v>54</v>
      </c>
      <c r="D1335" s="162">
        <f>Model!AG115</f>
        <v>463234.78700000001</v>
      </c>
      <c r="E1335" s="162">
        <f>+D1335*$J$1325</f>
        <v>543.68365785242304</v>
      </c>
      <c r="F1335" s="210"/>
      <c r="G1335" s="210"/>
      <c r="I1335" s="220" t="s">
        <v>20</v>
      </c>
      <c r="J1335" s="228">
        <f>J1331+J1334</f>
        <v>3889659.9040000001</v>
      </c>
      <c r="K1335" s="228">
        <f>K1331+K1334</f>
        <v>4565.1677804772135</v>
      </c>
      <c r="L1335" s="125"/>
    </row>
    <row r="1336" spans="3:12">
      <c r="C1336" s="214" t="s">
        <v>17</v>
      </c>
      <c r="D1336" s="215">
        <f>SUM(D1329:D1335)</f>
        <v>2676299.0129999998</v>
      </c>
      <c r="E1336" s="107">
        <f>SUM(E1329:E1335)</f>
        <v>3141.0854230484838</v>
      </c>
      <c r="F1336" s="216">
        <f>+D1336/D1341</f>
        <v>3.3233441487241446</v>
      </c>
      <c r="G1336" s="216">
        <f>+E1336/E1341</f>
        <v>2.8562952399048531</v>
      </c>
      <c r="I1336" s="222" t="s">
        <v>68</v>
      </c>
      <c r="J1336" s="170">
        <f>D1341</f>
        <v>805303</v>
      </c>
      <c r="K1336" s="170"/>
      <c r="L1336" s="128"/>
    </row>
    <row r="1337" spans="3:12">
      <c r="C1337" s="217" t="s">
        <v>18</v>
      </c>
      <c r="D1337" s="218">
        <f>Model!AG118</f>
        <v>299895.77899999998</v>
      </c>
      <c r="E1337" s="162">
        <f>+D1337*$J$1325</f>
        <v>351.97795734891957</v>
      </c>
      <c r="F1337" s="219"/>
      <c r="G1337" s="219"/>
    </row>
    <row r="1338" spans="3:12">
      <c r="C1338" s="214" t="s">
        <v>9</v>
      </c>
      <c r="D1338" s="215">
        <f>+D1336-D1337</f>
        <v>2376403.2339999997</v>
      </c>
      <c r="E1338" s="107">
        <f>+E1336-E1337</f>
        <v>2789.1074656995643</v>
      </c>
      <c r="F1338" s="216">
        <f>+D1338/D1341</f>
        <v>2.9509429792264523</v>
      </c>
      <c r="G1338" s="216">
        <f>+E1338/E1341</f>
        <v>2.5362297756706975</v>
      </c>
      <c r="J1338" s="196"/>
    </row>
    <row r="1339" spans="3:12">
      <c r="C1339" s="220" t="s">
        <v>19</v>
      </c>
      <c r="D1339" s="221">
        <f>Model!AG125</f>
        <v>1756674.0460000001</v>
      </c>
      <c r="E1339" s="162">
        <f>+D1339*$J$1325</f>
        <v>2061.7514007722734</v>
      </c>
      <c r="F1339" s="125"/>
      <c r="G1339" s="125"/>
    </row>
    <row r="1340" spans="3:12">
      <c r="C1340" s="214" t="s">
        <v>20</v>
      </c>
      <c r="D1340" s="215">
        <f>D1336+D1339</f>
        <v>4432973.0590000004</v>
      </c>
      <c r="E1340" s="107">
        <f>E1336+E1339</f>
        <v>5202.8368238207568</v>
      </c>
      <c r="F1340" s="216">
        <f>D1340/D1341</f>
        <v>5.5047268655400519</v>
      </c>
      <c r="G1340" s="216">
        <f>E1340/E1341</f>
        <v>4.7311155388630546</v>
      </c>
    </row>
    <row r="1341" spans="3:12">
      <c r="C1341" s="222" t="s">
        <v>21</v>
      </c>
      <c r="D1341" s="126">
        <f>Model!AG84</f>
        <v>805303</v>
      </c>
      <c r="E1341" s="127">
        <f>D1341*J1326</f>
        <v>1099.7061435263665</v>
      </c>
      <c r="F1341" s="128"/>
      <c r="G1341" s="128"/>
    </row>
    <row r="1343" spans="3:12">
      <c r="C1343" s="136" t="s">
        <v>22</v>
      </c>
      <c r="D1343" s="137">
        <f>D1336-Model!AG121</f>
        <v>0</v>
      </c>
      <c r="E1343" s="138"/>
    </row>
    <row r="1344" spans="3:12" ht="13.5" thickBot="1">
      <c r="D1344" s="395"/>
      <c r="E1344" s="395"/>
    </row>
    <row r="1345" spans="3:5">
      <c r="C1345" s="60" t="s">
        <v>210</v>
      </c>
      <c r="D1345" s="61" t="s">
        <v>35</v>
      </c>
      <c r="E1345" s="61" t="s">
        <v>36</v>
      </c>
    </row>
    <row r="1346" spans="3:5">
      <c r="C1346" s="62"/>
      <c r="D1346" s="84"/>
      <c r="E1346" s="84"/>
    </row>
    <row r="1347" spans="3:5">
      <c r="C1347" s="62" t="s">
        <v>24</v>
      </c>
      <c r="D1347" s="184">
        <f>D1337</f>
        <v>299895.77899999998</v>
      </c>
      <c r="E1347" s="184">
        <f>D1347*$J$1379</f>
        <v>400.53393567860667</v>
      </c>
    </row>
    <row r="1348" spans="3:5" ht="13.5" thickBot="1">
      <c r="C1348" s="63"/>
      <c r="D1348" s="185">
        <f>SUM(D1346:D1347)</f>
        <v>299895.77899999998</v>
      </c>
      <c r="E1348" s="185">
        <f>SUM(E1346:E1347)</f>
        <v>400.53393567860667</v>
      </c>
    </row>
    <row r="1349" spans="3:5" ht="13.5" thickBot="1"/>
    <row r="1350" spans="3:5">
      <c r="C1350" s="60" t="s">
        <v>203</v>
      </c>
      <c r="D1350" s="61" t="s">
        <v>35</v>
      </c>
      <c r="E1350" s="61" t="s">
        <v>36</v>
      </c>
    </row>
    <row r="1351" spans="3:5">
      <c r="C1351" s="54" t="s">
        <v>27</v>
      </c>
      <c r="D1351" s="181">
        <f>198.598+22035.301+5396.19</f>
        <v>27630.089</v>
      </c>
      <c r="E1351" s="184">
        <f t="shared" ref="E1351:E1356" si="64">D1351*$J$1325</f>
        <v>32.42854007487999</v>
      </c>
    </row>
    <row r="1352" spans="3:5">
      <c r="C1352" s="54" t="s">
        <v>28</v>
      </c>
      <c r="D1352" s="181">
        <v>6517.7049999999999</v>
      </c>
      <c r="E1352" s="184">
        <f t="shared" si="64"/>
        <v>7.6496191448657909</v>
      </c>
    </row>
    <row r="1353" spans="3:5">
      <c r="C1353" s="54" t="s">
        <v>29</v>
      </c>
      <c r="D1353" s="181">
        <f>16464.983+282642.265</f>
        <v>299107.24800000002</v>
      </c>
      <c r="E1353" s="184">
        <f t="shared" si="64"/>
        <v>351.05248406746244</v>
      </c>
    </row>
    <row r="1354" spans="3:5">
      <c r="C1354" s="54" t="s">
        <v>30</v>
      </c>
      <c r="D1354" s="181">
        <v>282087.44</v>
      </c>
      <c r="E1354" s="184">
        <f t="shared" si="64"/>
        <v>331.07688696407405</v>
      </c>
    </row>
    <row r="1355" spans="3:5">
      <c r="C1355" s="54" t="s">
        <v>31</v>
      </c>
      <c r="D1355" s="181">
        <f>63139.522+281479.233</f>
        <v>344618.755</v>
      </c>
      <c r="E1355" s="184">
        <f t="shared" si="64"/>
        <v>404.46786498128</v>
      </c>
    </row>
    <row r="1356" spans="3:5" ht="13.5" thickBot="1">
      <c r="C1356" s="54" t="s">
        <v>32</v>
      </c>
      <c r="D1356" s="181">
        <f>33670.339+1139354.282</f>
        <v>1173024.6209999998</v>
      </c>
      <c r="E1356" s="184">
        <f t="shared" si="64"/>
        <v>1376.7409844723775</v>
      </c>
    </row>
    <row r="1357" spans="3:5" ht="13.5" thickBot="1">
      <c r="C1357" s="186" t="s">
        <v>33</v>
      </c>
      <c r="D1357" s="187">
        <f>SUM(D1351:D1356)</f>
        <v>2132985.858</v>
      </c>
      <c r="E1357" s="193">
        <f>SUM(E1351:E1356)</f>
        <v>2503.4163797049396</v>
      </c>
    </row>
    <row r="1358" spans="3:5" ht="13.5" thickBot="1">
      <c r="D1358" s="191"/>
    </row>
    <row r="1359" spans="3:5">
      <c r="C1359" s="60" t="s">
        <v>211</v>
      </c>
      <c r="D1359" s="61" t="s">
        <v>35</v>
      </c>
      <c r="E1359" s="61" t="s">
        <v>36</v>
      </c>
    </row>
    <row r="1360" spans="3:5">
      <c r="C1360" s="54" t="s">
        <v>27</v>
      </c>
      <c r="D1360" s="181">
        <v>80078.368000000002</v>
      </c>
      <c r="E1360" s="184">
        <f t="shared" ref="E1360:E1365" si="65">D1360*$J$1325</f>
        <v>93.985385491121207</v>
      </c>
    </row>
    <row r="1361" spans="3:7">
      <c r="C1361" s="54" t="s">
        <v>28</v>
      </c>
      <c r="D1361" s="181">
        <v>77778.84</v>
      </c>
      <c r="E1361" s="184">
        <f t="shared" si="65"/>
        <v>91.286503996338155</v>
      </c>
    </row>
    <row r="1362" spans="3:7">
      <c r="C1362" s="54" t="s">
        <v>29</v>
      </c>
      <c r="D1362" s="181">
        <v>73575.317999999999</v>
      </c>
      <c r="E1362" s="184">
        <f t="shared" si="65"/>
        <v>86.352966444843489</v>
      </c>
    </row>
    <row r="1363" spans="3:7">
      <c r="C1363" s="54" t="s">
        <v>30</v>
      </c>
      <c r="D1363" s="181">
        <v>64899.296999999999</v>
      </c>
      <c r="E1363" s="184">
        <f t="shared" si="65"/>
        <v>76.170201753459381</v>
      </c>
    </row>
    <row r="1364" spans="3:7">
      <c r="C1364" s="54" t="s">
        <v>31</v>
      </c>
      <c r="D1364" s="181">
        <v>55515.599000000002</v>
      </c>
      <c r="E1364" s="184">
        <f t="shared" si="65"/>
        <v>65.156859500252338</v>
      </c>
    </row>
    <row r="1365" spans="3:7" ht="13.5" thickBot="1">
      <c r="C1365" s="54" t="s">
        <v>32</v>
      </c>
      <c r="D1365" s="181">
        <v>191465.73300000001</v>
      </c>
      <c r="E1365" s="184">
        <f t="shared" si="65"/>
        <v>224.71712615752966</v>
      </c>
    </row>
    <row r="1366" spans="3:7" ht="13.5" thickBot="1">
      <c r="C1366" s="186" t="s">
        <v>37</v>
      </c>
      <c r="D1366" s="187">
        <f>SUM(D1360:D1365)</f>
        <v>543313.15500000003</v>
      </c>
      <c r="E1366" s="187">
        <f>SUM(E1360:E1365)</f>
        <v>637.66904334354422</v>
      </c>
    </row>
    <row r="1367" spans="3:7" ht="13.5" thickBot="1">
      <c r="D1367" s="191"/>
    </row>
    <row r="1368" spans="3:7">
      <c r="C1368" s="60" t="s">
        <v>205</v>
      </c>
      <c r="D1368" s="61" t="s">
        <v>35</v>
      </c>
      <c r="E1368" s="61" t="s">
        <v>36</v>
      </c>
    </row>
    <row r="1369" spans="3:7">
      <c r="C1369" s="54" t="s">
        <v>27</v>
      </c>
      <c r="D1369" s="104">
        <f t="shared" ref="D1369:D1374" si="66">+D1351+D1360</f>
        <v>107708.45699999999</v>
      </c>
      <c r="E1369" s="184">
        <f t="shared" ref="E1369:E1374" si="67">D1369*$J$1325</f>
        <v>126.41392556600118</v>
      </c>
    </row>
    <row r="1370" spans="3:7">
      <c r="C1370" s="54" t="s">
        <v>28</v>
      </c>
      <c r="D1370" s="104">
        <f t="shared" si="66"/>
        <v>84296.544999999998</v>
      </c>
      <c r="E1370" s="184">
        <f t="shared" si="67"/>
        <v>98.936123141203936</v>
      </c>
    </row>
    <row r="1371" spans="3:7">
      <c r="C1371" s="54" t="s">
        <v>29</v>
      </c>
      <c r="D1371" s="104">
        <f t="shared" si="66"/>
        <v>372682.56599999999</v>
      </c>
      <c r="E1371" s="184">
        <f t="shared" si="67"/>
        <v>437.40545051230589</v>
      </c>
    </row>
    <row r="1372" spans="3:7">
      <c r="C1372" s="54" t="s">
        <v>30</v>
      </c>
      <c r="D1372" s="104">
        <f t="shared" si="66"/>
        <v>346986.73700000002</v>
      </c>
      <c r="E1372" s="184">
        <f t="shared" si="67"/>
        <v>407.24708871753342</v>
      </c>
      <c r="G1372" s="237"/>
    </row>
    <row r="1373" spans="3:7">
      <c r="C1373" s="54" t="s">
        <v>31</v>
      </c>
      <c r="D1373" s="104">
        <f t="shared" si="66"/>
        <v>400134.35399999999</v>
      </c>
      <c r="E1373" s="184">
        <f t="shared" si="67"/>
        <v>469.62472448153233</v>
      </c>
    </row>
    <row r="1374" spans="3:7" ht="13.5" thickBot="1">
      <c r="C1374" s="54" t="s">
        <v>32</v>
      </c>
      <c r="D1374" s="104">
        <f t="shared" si="66"/>
        <v>1364490.3539999998</v>
      </c>
      <c r="E1374" s="184">
        <f t="shared" si="67"/>
        <v>1601.4581106299072</v>
      </c>
    </row>
    <row r="1375" spans="3:7" ht="13.5" thickBot="1">
      <c r="C1375" s="186" t="s">
        <v>38</v>
      </c>
      <c r="D1375" s="187">
        <f>SUM(D1369:D1374)</f>
        <v>2676299.0129999998</v>
      </c>
      <c r="E1375" s="193">
        <f>SUM(E1369:E1374)</f>
        <v>3141.0854230484838</v>
      </c>
    </row>
    <row r="1376" spans="3:7">
      <c r="C1376" s="234"/>
      <c r="D1376" s="235"/>
      <c r="E1376" s="236"/>
    </row>
    <row r="1377" spans="2:12">
      <c r="C1377" s="234"/>
      <c r="D1377" s="235"/>
      <c r="E1377" s="236"/>
    </row>
    <row r="1378" spans="2:12">
      <c r="D1378" s="191"/>
    </row>
    <row r="1379" spans="2:12">
      <c r="B1379" s="52" t="s">
        <v>212</v>
      </c>
      <c r="I1379" s="52" t="s">
        <v>213</v>
      </c>
      <c r="J1379" s="179">
        <f>Model!AF208</f>
        <v>1.3355771028661484E-3</v>
      </c>
    </row>
    <row r="1380" spans="2:12">
      <c r="C1380" s="129"/>
      <c r="D1380" s="396" t="s">
        <v>186</v>
      </c>
      <c r="E1380" s="397"/>
      <c r="F1380" s="115" t="s">
        <v>6</v>
      </c>
      <c r="G1380" s="115" t="s">
        <v>7</v>
      </c>
      <c r="I1380" s="52" t="s">
        <v>214</v>
      </c>
      <c r="J1380" s="179">
        <f>AVERAGE(Model!AC208:AF208)</f>
        <v>1.4137525779897853E-3</v>
      </c>
    </row>
    <row r="1381" spans="2:12">
      <c r="C1381" s="207"/>
      <c r="D1381" s="208" t="s">
        <v>4</v>
      </c>
      <c r="E1381" s="209" t="s">
        <v>5</v>
      </c>
      <c r="F1381" s="210"/>
      <c r="G1381" s="210"/>
      <c r="I1381" s="52"/>
    </row>
    <row r="1382" spans="2:12">
      <c r="C1382" s="207" t="s">
        <v>10</v>
      </c>
      <c r="D1382" s="211"/>
      <c r="E1382" s="162"/>
      <c r="F1382" s="210"/>
      <c r="G1382" s="210"/>
      <c r="I1382" s="52" t="s">
        <v>8</v>
      </c>
    </row>
    <row r="1383" spans="2:12">
      <c r="C1383" s="212" t="s">
        <v>51</v>
      </c>
      <c r="D1383" s="162">
        <f>Model!AF107</f>
        <v>504.73500000000001</v>
      </c>
      <c r="E1383" s="162">
        <f>+D1383*$J$1379</f>
        <v>0.67411250901514541</v>
      </c>
      <c r="F1383" s="210"/>
      <c r="G1383" s="210"/>
      <c r="I1383" s="129"/>
      <c r="J1383" s="396" t="s">
        <v>215</v>
      </c>
      <c r="K1383" s="397"/>
      <c r="L1383" s="115" t="s">
        <v>67</v>
      </c>
    </row>
    <row r="1384" spans="2:12">
      <c r="C1384" s="212" t="s">
        <v>52</v>
      </c>
      <c r="D1384" s="162">
        <f>Model!AF108</f>
        <v>19479.763999999999</v>
      </c>
      <c r="E1384" s="162">
        <f>+D1384*$J$1379</f>
        <v>26.016726767636293</v>
      </c>
      <c r="F1384" s="210"/>
      <c r="G1384" s="210"/>
      <c r="I1384" s="223"/>
      <c r="J1384" s="224" t="s">
        <v>4</v>
      </c>
      <c r="K1384" s="224" t="s">
        <v>5</v>
      </c>
      <c r="L1384" s="225"/>
    </row>
    <row r="1385" spans="2:12">
      <c r="C1385" s="213" t="s">
        <v>53</v>
      </c>
      <c r="D1385" s="162">
        <f>Model!AF110</f>
        <v>68943.016000000003</v>
      </c>
      <c r="E1385" s="162">
        <f>+D1385*$J$1379</f>
        <v>92.078713572134518</v>
      </c>
      <c r="F1385" s="210"/>
      <c r="G1385" s="210"/>
      <c r="I1385" s="214" t="s">
        <v>17</v>
      </c>
      <c r="J1385" s="171">
        <f>D1390-D1389-D1385</f>
        <v>1987093.561</v>
      </c>
      <c r="K1385" s="171">
        <f>J1385*J1379</f>
        <v>2653.9166613243583</v>
      </c>
      <c r="L1385" s="216">
        <f>+J1385/J1390</f>
        <v>2.8916638449896679</v>
      </c>
    </row>
    <row r="1386" spans="2:12">
      <c r="C1386" s="207" t="s">
        <v>15</v>
      </c>
      <c r="D1386" s="162"/>
      <c r="E1386" s="162"/>
      <c r="F1386" s="210"/>
      <c r="G1386" s="210"/>
      <c r="I1386" s="217" t="s">
        <v>18</v>
      </c>
      <c r="J1386" s="226">
        <f>J1385-J1387</f>
        <v>775193.56099999999</v>
      </c>
      <c r="K1386" s="226">
        <f>K1385-K1387</f>
        <v>1035.330770360873</v>
      </c>
      <c r="L1386" s="219"/>
    </row>
    <row r="1387" spans="2:12">
      <c r="C1387" s="212" t="s">
        <v>51</v>
      </c>
      <c r="D1387" s="162">
        <f>Model!AF112</f>
        <v>170638.984</v>
      </c>
      <c r="E1387" s="162">
        <f>+D1387*$J$1379</f>
        <v>227.90151988674305</v>
      </c>
      <c r="F1387" s="210"/>
      <c r="G1387" s="210"/>
      <c r="I1387" s="214" t="s">
        <v>9</v>
      </c>
      <c r="J1387" s="227">
        <v>1211900</v>
      </c>
      <c r="K1387" s="171">
        <f>J1387*J1379</f>
        <v>1618.5858909634853</v>
      </c>
      <c r="L1387" s="216">
        <f>+J1387/J1390</f>
        <v>1.763584504787683</v>
      </c>
    </row>
    <row r="1388" spans="2:12">
      <c r="C1388" s="212" t="s">
        <v>52</v>
      </c>
      <c r="D1388" s="162">
        <f>Model!AF113</f>
        <v>1796470.078</v>
      </c>
      <c r="E1388" s="162">
        <f>+D1388*$J$1379</f>
        <v>2399.3243021609637</v>
      </c>
      <c r="F1388" s="210"/>
      <c r="G1388" s="210"/>
      <c r="I1388" s="220" t="s">
        <v>19</v>
      </c>
      <c r="J1388" s="228">
        <f>D1393</f>
        <v>1608674</v>
      </c>
      <c r="K1388" s="172">
        <f>+J1388*J1379</f>
        <v>2148.5081603760987</v>
      </c>
      <c r="L1388" s="125"/>
    </row>
    <row r="1389" spans="2:12">
      <c r="C1389" s="213" t="s">
        <v>54</v>
      </c>
      <c r="D1389" s="162">
        <f>Model!AF115</f>
        <v>432945.77</v>
      </c>
      <c r="E1389" s="162">
        <f>+D1389*$J$1379</f>
        <v>578.23245719475392</v>
      </c>
      <c r="F1389" s="210"/>
      <c r="G1389" s="210"/>
      <c r="I1389" s="220" t="s">
        <v>20</v>
      </c>
      <c r="J1389" s="228">
        <f>J1385+J1388</f>
        <v>3595767.5609999998</v>
      </c>
      <c r="K1389" s="228">
        <f>K1385+K1388</f>
        <v>4802.424821700457</v>
      </c>
      <c r="L1389" s="125"/>
    </row>
    <row r="1390" spans="2:12">
      <c r="C1390" s="214" t="s">
        <v>17</v>
      </c>
      <c r="D1390" s="215">
        <f>SUM(D1383:D1389)</f>
        <v>2488982.3470000001</v>
      </c>
      <c r="E1390" s="107">
        <f>SUM(E1383:E1389)</f>
        <v>3324.2278320912465</v>
      </c>
      <c r="F1390" s="216">
        <f>+D1390/D1395</f>
        <v>3.6220238467359356</v>
      </c>
      <c r="G1390" s="216">
        <f>+E1390/E1395</f>
        <v>3.4217388467040766</v>
      </c>
      <c r="I1390" s="222" t="s">
        <v>68</v>
      </c>
      <c r="J1390" s="170">
        <f>D1395</f>
        <v>687180</v>
      </c>
      <c r="K1390" s="170"/>
      <c r="L1390" s="128"/>
    </row>
    <row r="1391" spans="2:12">
      <c r="C1391" s="217" t="s">
        <v>18</v>
      </c>
      <c r="D1391" s="218">
        <f>Model!AF118</f>
        <v>447411.76</v>
      </c>
      <c r="E1391" s="162">
        <f>+D1391*$J$1379</f>
        <v>597.55290220904453</v>
      </c>
      <c r="F1391" s="219"/>
      <c r="G1391" s="219"/>
    </row>
    <row r="1392" spans="2:12">
      <c r="C1392" s="214" t="s">
        <v>9</v>
      </c>
      <c r="D1392" s="215">
        <f>+D1390-D1391</f>
        <v>2041570.5870000001</v>
      </c>
      <c r="E1392" s="107">
        <f>+E1390-E1391</f>
        <v>2726.6749298822019</v>
      </c>
      <c r="F1392" s="216">
        <f>+D1392/D1395</f>
        <v>2.9709400550074219</v>
      </c>
      <c r="G1392" s="216">
        <f>+E1392/E1395</f>
        <v>2.8066576664339613</v>
      </c>
      <c r="J1392" s="196"/>
    </row>
    <row r="1393" spans="3:7">
      <c r="C1393" s="220" t="s">
        <v>19</v>
      </c>
      <c r="D1393" s="221">
        <f>Model!AF125</f>
        <v>1608674</v>
      </c>
      <c r="E1393" s="162">
        <f>+D1393*$J$1379</f>
        <v>2148.5081603760987</v>
      </c>
      <c r="F1393" s="125"/>
      <c r="G1393" s="125"/>
    </row>
    <row r="1394" spans="3:7">
      <c r="C1394" s="214" t="s">
        <v>20</v>
      </c>
      <c r="D1394" s="215">
        <f>D1390+D1393</f>
        <v>4097656.3470000001</v>
      </c>
      <c r="E1394" s="107">
        <f>E1390+E1393</f>
        <v>5472.7359924673456</v>
      </c>
      <c r="F1394" s="216">
        <f>D1394/D1395</f>
        <v>5.9630029206321487</v>
      </c>
      <c r="G1394" s="216">
        <f>E1394/E1395</f>
        <v>5.6332701273969388</v>
      </c>
    </row>
    <row r="1395" spans="3:7">
      <c r="C1395" s="222" t="s">
        <v>216</v>
      </c>
      <c r="D1395" s="126">
        <f>Model!AF85</f>
        <v>687180</v>
      </c>
      <c r="E1395" s="127">
        <f>D1395*J1380</f>
        <v>971.50249654302058</v>
      </c>
      <c r="F1395" s="128"/>
      <c r="G1395" s="128"/>
    </row>
    <row r="1397" spans="3:7">
      <c r="C1397" s="136" t="s">
        <v>22</v>
      </c>
      <c r="D1397" s="137">
        <f>D1390-Model!AF121</f>
        <v>0</v>
      </c>
      <c r="E1397" s="138"/>
    </row>
    <row r="1398" spans="3:7" ht="13.5" thickBot="1">
      <c r="D1398" s="395"/>
      <c r="E1398" s="395"/>
    </row>
    <row r="1399" spans="3:7">
      <c r="C1399" s="60" t="s">
        <v>217</v>
      </c>
      <c r="D1399" s="61" t="s">
        <v>35</v>
      </c>
      <c r="E1399" s="61" t="s">
        <v>36</v>
      </c>
    </row>
    <row r="1400" spans="3:7">
      <c r="C1400" s="62"/>
      <c r="D1400" s="84"/>
      <c r="E1400" s="84"/>
    </row>
    <row r="1401" spans="3:7">
      <c r="C1401" s="62" t="s">
        <v>24</v>
      </c>
      <c r="D1401" s="184">
        <f>D1391</f>
        <v>447411.76</v>
      </c>
      <c r="E1401" s="184">
        <f>D1401*$J$1379</f>
        <v>597.55290220904453</v>
      </c>
    </row>
    <row r="1402" spans="3:7" ht="13.5" thickBot="1">
      <c r="C1402" s="63"/>
      <c r="D1402" s="185">
        <f>SUM(D1400:D1401)</f>
        <v>447411.76</v>
      </c>
      <c r="E1402" s="185">
        <f>SUM(E1400:E1401)</f>
        <v>597.55290220904453</v>
      </c>
    </row>
    <row r="1403" spans="3:7" ht="13.5" thickBot="1"/>
    <row r="1404" spans="3:7">
      <c r="C1404" s="60" t="s">
        <v>218</v>
      </c>
      <c r="D1404" s="61" t="s">
        <v>35</v>
      </c>
      <c r="E1404" s="61" t="s">
        <v>36</v>
      </c>
    </row>
    <row r="1405" spans="3:7">
      <c r="C1405" s="54" t="s">
        <v>27</v>
      </c>
      <c r="D1405" s="181">
        <f>2.388+502.347+11855.05+7624.714</f>
        <v>19984.499</v>
      </c>
      <c r="E1405" s="184">
        <f t="shared" ref="E1405:E1410" si="68">D1405*$J$1379</f>
        <v>26.690839276651442</v>
      </c>
    </row>
    <row r="1406" spans="3:7">
      <c r="C1406" s="54" t="s">
        <v>28</v>
      </c>
      <c r="D1406" s="181">
        <v>16460.550999999999</v>
      </c>
      <c r="E1406" s="184">
        <f t="shared" si="68"/>
        <v>21.984335016160482</v>
      </c>
    </row>
    <row r="1407" spans="3:7">
      <c r="C1407" s="54" t="s">
        <v>29</v>
      </c>
      <c r="D1407" s="181">
        <f>16460.551+248263.487</f>
        <v>264724.038</v>
      </c>
      <c r="E1407" s="184">
        <f t="shared" si="68"/>
        <v>353.55936373106817</v>
      </c>
    </row>
    <row r="1408" spans="3:7">
      <c r="C1408" s="54" t="s">
        <v>30</v>
      </c>
      <c r="D1408" s="181">
        <f>49109.413+247775.922</f>
        <v>296885.33499999996</v>
      </c>
      <c r="E1408" s="184">
        <f t="shared" si="68"/>
        <v>396.51325560274591</v>
      </c>
    </row>
    <row r="1409" spans="3:5">
      <c r="C1409" s="54" t="s">
        <v>31</v>
      </c>
      <c r="D1409" s="181">
        <f>59037.058+247241.447</f>
        <v>306278.505</v>
      </c>
      <c r="E1409" s="184">
        <f t="shared" si="68"/>
        <v>409.05855837807519</v>
      </c>
    </row>
    <row r="1410" spans="3:5" ht="13.5" thickBot="1">
      <c r="C1410" s="54" t="s">
        <v>32</v>
      </c>
      <c r="D1410" s="181">
        <f>29571.411+1053189.222</f>
        <v>1082760.6330000001</v>
      </c>
      <c r="E1410" s="184">
        <f t="shared" si="68"/>
        <v>1446.1103093196573</v>
      </c>
    </row>
    <row r="1411" spans="3:5" ht="13.5" thickBot="1">
      <c r="C1411" s="186" t="s">
        <v>33</v>
      </c>
      <c r="D1411" s="187">
        <f>SUM(D1405:D1410)</f>
        <v>1987093.5610000002</v>
      </c>
      <c r="E1411" s="193">
        <f>SUM(E1405:E1410)</f>
        <v>2653.9166613243588</v>
      </c>
    </row>
    <row r="1412" spans="3:5" ht="13.5" thickBot="1">
      <c r="D1412" s="191"/>
    </row>
    <row r="1413" spans="3:5">
      <c r="C1413" s="60" t="s">
        <v>219</v>
      </c>
      <c r="D1413" s="61" t="s">
        <v>35</v>
      </c>
      <c r="E1413" s="61" t="s">
        <v>36</v>
      </c>
    </row>
    <row r="1414" spans="3:5">
      <c r="C1414" s="54" t="s">
        <v>27</v>
      </c>
      <c r="D1414" s="181">
        <v>68943.016000000003</v>
      </c>
      <c r="E1414" s="184">
        <f t="shared" ref="E1414:E1419" si="69">D1414*$J$1379</f>
        <v>92.078713572134518</v>
      </c>
    </row>
    <row r="1415" spans="3:5">
      <c r="C1415" s="54" t="s">
        <v>28</v>
      </c>
      <c r="D1415" s="181">
        <v>75080.733999999997</v>
      </c>
      <c r="E1415" s="184">
        <f t="shared" si="69"/>
        <v>100.27610919678392</v>
      </c>
    </row>
    <row r="1416" spans="3:5">
      <c r="C1416" s="54" t="s">
        <v>29</v>
      </c>
      <c r="D1416" s="181">
        <v>66998.346999999994</v>
      </c>
      <c r="E1416" s="184">
        <f t="shared" si="69"/>
        <v>89.481458183080903</v>
      </c>
    </row>
    <row r="1417" spans="3:5">
      <c r="C1417" s="54" t="s">
        <v>30</v>
      </c>
      <c r="D1417" s="181">
        <v>59693.203999999998</v>
      </c>
      <c r="E1417" s="184">
        <f t="shared" si="69"/>
        <v>79.724876459117979</v>
      </c>
    </row>
    <row r="1418" spans="3:5">
      <c r="C1418" s="54" t="s">
        <v>31</v>
      </c>
      <c r="D1418" s="181">
        <v>63940.504999999997</v>
      </c>
      <c r="E1418" s="184">
        <f t="shared" si="69"/>
        <v>85.397474423698469</v>
      </c>
    </row>
    <row r="1419" spans="3:5" ht="13.5" thickBot="1">
      <c r="C1419" s="54" t="s">
        <v>32</v>
      </c>
      <c r="D1419" s="181">
        <v>167232.98000000001</v>
      </c>
      <c r="E1419" s="184">
        <f t="shared" si="69"/>
        <v>223.35253893207255</v>
      </c>
    </row>
    <row r="1420" spans="3:5" ht="13.5" thickBot="1">
      <c r="C1420" s="186" t="s">
        <v>37</v>
      </c>
      <c r="D1420" s="187">
        <f>SUM(D1414:D1419)</f>
        <v>501888.78599999996</v>
      </c>
      <c r="E1420" s="187">
        <f>SUM(E1414:E1419)</f>
        <v>670.31117076688838</v>
      </c>
    </row>
    <row r="1421" spans="3:5" ht="13.5" thickBot="1">
      <c r="D1421" s="191"/>
    </row>
    <row r="1422" spans="3:5">
      <c r="C1422" s="60" t="s">
        <v>218</v>
      </c>
      <c r="D1422" s="61" t="s">
        <v>35</v>
      </c>
      <c r="E1422" s="61" t="s">
        <v>36</v>
      </c>
    </row>
    <row r="1423" spans="3:5">
      <c r="C1423" s="54" t="s">
        <v>27</v>
      </c>
      <c r="D1423" s="104">
        <f t="shared" ref="D1423:D1428" si="70">+D1405+D1414</f>
        <v>88927.514999999999</v>
      </c>
      <c r="E1423" s="184">
        <f t="shared" ref="E1423:E1428" si="71">D1423*$J$1379</f>
        <v>118.76955284878596</v>
      </c>
    </row>
    <row r="1424" spans="3:5">
      <c r="C1424" s="54" t="s">
        <v>28</v>
      </c>
      <c r="D1424" s="104">
        <f t="shared" si="70"/>
        <v>91541.285000000003</v>
      </c>
      <c r="E1424" s="184">
        <f t="shared" si="71"/>
        <v>122.26044421294442</v>
      </c>
    </row>
    <row r="1425" spans="2:12">
      <c r="C1425" s="54" t="s">
        <v>29</v>
      </c>
      <c r="D1425" s="104">
        <f t="shared" si="70"/>
        <v>331722.38500000001</v>
      </c>
      <c r="E1425" s="184">
        <f t="shared" si="71"/>
        <v>443.04082191414909</v>
      </c>
    </row>
    <row r="1426" spans="2:12">
      <c r="C1426" s="54" t="s">
        <v>30</v>
      </c>
      <c r="D1426" s="104">
        <f t="shared" si="70"/>
        <v>356578.53899999999</v>
      </c>
      <c r="E1426" s="184">
        <f t="shared" si="71"/>
        <v>476.23813206186389</v>
      </c>
    </row>
    <row r="1427" spans="2:12">
      <c r="C1427" s="54" t="s">
        <v>31</v>
      </c>
      <c r="D1427" s="104">
        <f t="shared" si="70"/>
        <v>370219.01</v>
      </c>
      <c r="E1427" s="184">
        <f t="shared" si="71"/>
        <v>494.45603280177363</v>
      </c>
    </row>
    <row r="1428" spans="2:12" ht="13.5" thickBot="1">
      <c r="C1428" s="54" t="s">
        <v>32</v>
      </c>
      <c r="D1428" s="104">
        <f t="shared" si="70"/>
        <v>1249993.6130000001</v>
      </c>
      <c r="E1428" s="184">
        <f t="shared" si="71"/>
        <v>1669.4628482517296</v>
      </c>
    </row>
    <row r="1429" spans="2:12" ht="13.5" thickBot="1">
      <c r="C1429" s="186" t="s">
        <v>38</v>
      </c>
      <c r="D1429" s="187">
        <f>SUM(D1423:D1428)</f>
        <v>2488982.3470000001</v>
      </c>
      <c r="E1429" s="193">
        <f>SUM(E1423:E1428)</f>
        <v>3324.2278320912469</v>
      </c>
    </row>
    <row r="1430" spans="2:12">
      <c r="D1430" s="191"/>
    </row>
    <row r="1432" spans="2:12">
      <c r="B1432" s="52" t="s">
        <v>220</v>
      </c>
      <c r="I1432" s="52" t="s">
        <v>221</v>
      </c>
      <c r="J1432" s="179">
        <f>Model!AE208</f>
        <v>1.3732302495159364E-3</v>
      </c>
    </row>
    <row r="1433" spans="2:12">
      <c r="C1433" s="129"/>
      <c r="D1433" s="396" t="s">
        <v>222</v>
      </c>
      <c r="E1433" s="397"/>
      <c r="F1433" s="115" t="s">
        <v>6</v>
      </c>
      <c r="G1433" s="115" t="s">
        <v>7</v>
      </c>
      <c r="I1433" s="52" t="s">
        <v>223</v>
      </c>
      <c r="J1433" s="179">
        <f>AVERAGE(Model!AB207:AE207)</f>
        <v>1.4625E-3</v>
      </c>
    </row>
    <row r="1434" spans="2:12">
      <c r="C1434" s="207"/>
      <c r="D1434" s="208" t="s">
        <v>4</v>
      </c>
      <c r="E1434" s="209" t="s">
        <v>5</v>
      </c>
      <c r="F1434" s="210"/>
      <c r="G1434" s="210"/>
      <c r="I1434" s="52"/>
    </row>
    <row r="1435" spans="2:12">
      <c r="C1435" s="207" t="s">
        <v>10</v>
      </c>
      <c r="D1435" s="211"/>
      <c r="E1435" s="162"/>
      <c r="F1435" s="210"/>
      <c r="G1435" s="210"/>
      <c r="I1435" s="52" t="s">
        <v>8</v>
      </c>
    </row>
    <row r="1436" spans="2:12">
      <c r="C1436" s="212" t="s">
        <v>51</v>
      </c>
      <c r="D1436" s="162">
        <f>Model!AE107</f>
        <v>13890.117</v>
      </c>
      <c r="E1436" s="162">
        <f>+D1436*$J$1432</f>
        <v>19.074328833715551</v>
      </c>
      <c r="F1436" s="210"/>
      <c r="G1436" s="210"/>
      <c r="I1436" s="129"/>
      <c r="J1436" s="396" t="s">
        <v>222</v>
      </c>
      <c r="K1436" s="397"/>
      <c r="L1436" s="115" t="s">
        <v>67</v>
      </c>
    </row>
    <row r="1437" spans="2:12">
      <c r="C1437" s="212" t="s">
        <v>52</v>
      </c>
      <c r="D1437" s="162">
        <f>Model!AE108</f>
        <v>21699.311000000002</v>
      </c>
      <c r="E1437" s="162">
        <f>+D1437*$J$1432</f>
        <v>29.798150258853905</v>
      </c>
      <c r="F1437" s="210"/>
      <c r="G1437" s="210"/>
      <c r="I1437" s="223"/>
      <c r="J1437" s="224" t="s">
        <v>4</v>
      </c>
      <c r="K1437" s="224" t="s">
        <v>5</v>
      </c>
      <c r="L1437" s="225"/>
    </row>
    <row r="1438" spans="2:12">
      <c r="C1438" s="213" t="s">
        <v>53</v>
      </c>
      <c r="D1438" s="162">
        <f>Model!AE110</f>
        <v>64844.6</v>
      </c>
      <c r="E1438" s="162">
        <f>+D1438*$J$1432</f>
        <v>89.046566237761084</v>
      </c>
      <c r="F1438" s="210"/>
      <c r="G1438" s="210"/>
      <c r="I1438" s="214" t="s">
        <v>17</v>
      </c>
      <c r="J1438" s="171">
        <f>D1443-D1442-D1438</f>
        <v>1900253.628</v>
      </c>
      <c r="K1438" s="171">
        <f>J1438*J1432</f>
        <v>2609.4857637220034</v>
      </c>
      <c r="L1438" s="216">
        <f>+J1438/J1443</f>
        <v>3.8937788341942903</v>
      </c>
    </row>
    <row r="1439" spans="2:12">
      <c r="C1439" s="207" t="s">
        <v>15</v>
      </c>
      <c r="D1439" s="162"/>
      <c r="E1439" s="162">
        <f>+D1439*$J$1485</f>
        <v>0</v>
      </c>
      <c r="F1439" s="210"/>
      <c r="G1439" s="210"/>
      <c r="I1439" s="217" t="s">
        <v>18</v>
      </c>
      <c r="J1439" s="226">
        <f>J1438-J1440</f>
        <v>161853.62800000003</v>
      </c>
      <c r="K1439" s="226">
        <f>K1438-K1440</f>
        <v>222.2622979634998</v>
      </c>
      <c r="L1439" s="219"/>
    </row>
    <row r="1440" spans="2:12">
      <c r="C1440" s="212" t="s">
        <v>51</v>
      </c>
      <c r="D1440" s="162">
        <f>Model!AE112</f>
        <v>368020.75099999999</v>
      </c>
      <c r="E1440" s="162">
        <f>+D1440*$J$1432</f>
        <v>505.37722772277226</v>
      </c>
      <c r="F1440" s="210"/>
      <c r="G1440" s="210"/>
      <c r="I1440" s="214" t="s">
        <v>9</v>
      </c>
      <c r="J1440" s="227">
        <v>1738400</v>
      </c>
      <c r="K1440" s="171">
        <f>J1440*J1432</f>
        <v>2387.2234657585036</v>
      </c>
      <c r="L1440" s="216">
        <f>+J1440/J1443</f>
        <v>3.5621271948248339</v>
      </c>
    </row>
    <row r="1441" spans="3:12">
      <c r="C1441" s="212" t="s">
        <v>52</v>
      </c>
      <c r="D1441" s="162">
        <f>Model!AE113</f>
        <v>1496643.449</v>
      </c>
      <c r="E1441" s="162">
        <f>+D1441*$J$1432</f>
        <v>2055.2360569066618</v>
      </c>
      <c r="F1441" s="210"/>
      <c r="G1441" s="210"/>
      <c r="I1441" s="220" t="s">
        <v>19</v>
      </c>
      <c r="J1441" s="228">
        <f>D1446</f>
        <v>1413058.483</v>
      </c>
      <c r="K1441" s="172">
        <f>+J1441*J1432</f>
        <v>1940.4546531907006</v>
      </c>
      <c r="L1441" s="125"/>
    </row>
    <row r="1442" spans="3:12">
      <c r="C1442" s="213" t="s">
        <v>54</v>
      </c>
      <c r="D1442" s="162">
        <f>Model!AE115</f>
        <v>280680.185</v>
      </c>
      <c r="E1442" s="162">
        <f>+D1442*$J$1432</f>
        <v>385.4385204817292</v>
      </c>
      <c r="F1442" s="210"/>
      <c r="G1442" s="210"/>
      <c r="I1442" s="220" t="s">
        <v>20</v>
      </c>
      <c r="J1442" s="228">
        <f>J1438+J1441</f>
        <v>3313312.111</v>
      </c>
      <c r="K1442" s="228">
        <f>K1438+K1441</f>
        <v>4549.9404169127038</v>
      </c>
      <c r="L1442" s="125"/>
    </row>
    <row r="1443" spans="3:12">
      <c r="C1443" s="214" t="s">
        <v>17</v>
      </c>
      <c r="D1443" s="215">
        <f>SUM(D1436:D1442)</f>
        <v>2245778.4130000002</v>
      </c>
      <c r="E1443" s="107">
        <f>SUM(E1436:E1442)</f>
        <v>3083.9708504414939</v>
      </c>
      <c r="F1443" s="216">
        <f>+D1443/D1448</f>
        <v>4.6017880571202587</v>
      </c>
      <c r="G1443" s="216">
        <f>+E1443/E1448</f>
        <v>4.3208988457427076</v>
      </c>
      <c r="I1443" s="222" t="s">
        <v>68</v>
      </c>
      <c r="J1443" s="170">
        <f>D1448</f>
        <v>488023</v>
      </c>
      <c r="K1443" s="170"/>
      <c r="L1443" s="128"/>
    </row>
    <row r="1444" spans="3:12">
      <c r="C1444" s="217" t="s">
        <v>18</v>
      </c>
      <c r="D1444" s="218">
        <f>Model!AE118</f>
        <v>34301.08</v>
      </c>
      <c r="E1444" s="162">
        <f>+D1444*$J$1432</f>
        <v>47.1032806470661</v>
      </c>
      <c r="F1444" s="219"/>
      <c r="G1444" s="219"/>
    </row>
    <row r="1445" spans="3:12">
      <c r="C1445" s="214" t="s">
        <v>9</v>
      </c>
      <c r="D1445" s="215">
        <f>+D1443-D1444</f>
        <v>2211477.3330000001</v>
      </c>
      <c r="E1445" s="107">
        <f>+E1443-E1444</f>
        <v>3036.8675697944277</v>
      </c>
      <c r="F1445" s="216">
        <f>+D1445/D1448</f>
        <v>4.5315022714093391</v>
      </c>
      <c r="G1445" s="216">
        <f>+E1445/E1448</f>
        <v>4.2549032443415244</v>
      </c>
      <c r="J1445" s="196"/>
    </row>
    <row r="1446" spans="3:12">
      <c r="C1446" s="220" t="s">
        <v>19</v>
      </c>
      <c r="D1446" s="221">
        <f>Model!AE125</f>
        <v>1413058.483</v>
      </c>
      <c r="E1446" s="162">
        <f>+D1446*$J$1432</f>
        <v>1940.4546531907006</v>
      </c>
      <c r="F1446" s="125"/>
      <c r="G1446" s="125"/>
    </row>
    <row r="1447" spans="3:12">
      <c r="C1447" s="214" t="s">
        <v>20</v>
      </c>
      <c r="D1447" s="215">
        <f>D1443+D1446</f>
        <v>3658836.8960000002</v>
      </c>
      <c r="E1447" s="107">
        <f>E1443+E1446</f>
        <v>5024.4255036321947</v>
      </c>
      <c r="F1447" s="216">
        <f>D1447/D1448</f>
        <v>7.497263235544227</v>
      </c>
      <c r="G1447" s="216">
        <f>E1447/E1448</f>
        <v>7.0396366930824312</v>
      </c>
    </row>
    <row r="1448" spans="3:12">
      <c r="C1448" s="222" t="s">
        <v>216</v>
      </c>
      <c r="D1448" s="126">
        <f>Model!AE85</f>
        <v>488023</v>
      </c>
      <c r="E1448" s="127">
        <f>D1448*J1433</f>
        <v>713.73363749999999</v>
      </c>
      <c r="F1448" s="128"/>
      <c r="G1448" s="128"/>
    </row>
    <row r="1450" spans="3:12">
      <c r="C1450" s="136" t="s">
        <v>22</v>
      </c>
      <c r="D1450" s="137">
        <f>D1443-Model!AE121</f>
        <v>0</v>
      </c>
      <c r="E1450" s="138"/>
    </row>
    <row r="1451" spans="3:12" ht="13.5" thickBot="1">
      <c r="D1451" s="395"/>
      <c r="E1451" s="395"/>
    </row>
    <row r="1452" spans="3:12">
      <c r="C1452" s="60" t="s">
        <v>224</v>
      </c>
      <c r="D1452" s="61" t="s">
        <v>35</v>
      </c>
      <c r="E1452" s="61" t="s">
        <v>36</v>
      </c>
    </row>
    <row r="1453" spans="3:12">
      <c r="C1453" s="62"/>
      <c r="D1453" s="84"/>
      <c r="E1453" s="84"/>
    </row>
    <row r="1454" spans="3:12">
      <c r="C1454" s="62" t="s">
        <v>24</v>
      </c>
      <c r="D1454" s="184">
        <f>D1444</f>
        <v>34301.08</v>
      </c>
      <c r="E1454" s="184">
        <f>D1454*$J$1432</f>
        <v>47.1032806470661</v>
      </c>
    </row>
    <row r="1455" spans="3:12" ht="13.5" thickBot="1">
      <c r="C1455" s="63" t="s">
        <v>225</v>
      </c>
      <c r="D1455" s="185">
        <f>SUM(D1453:D1454)</f>
        <v>34301.08</v>
      </c>
      <c r="E1455" s="185">
        <f>SUM(E1453:E1454)</f>
        <v>47.1032806470661</v>
      </c>
    </row>
    <row r="1456" spans="3:12" ht="13.5" thickBot="1"/>
    <row r="1457" spans="3:5">
      <c r="C1457" s="60" t="s">
        <v>226</v>
      </c>
      <c r="D1457" s="61" t="s">
        <v>35</v>
      </c>
      <c r="E1457" s="61" t="s">
        <v>36</v>
      </c>
    </row>
    <row r="1458" spans="3:5">
      <c r="C1458" s="54" t="s">
        <v>27</v>
      </c>
      <c r="D1458" s="181">
        <f>12910.957+979.16+17087.314+4611.997</f>
        <v>35589.428</v>
      </c>
      <c r="E1458" s="184">
        <f t="shared" ref="E1458:E1463" si="72">D1458*$J$1432</f>
        <v>48.872479092569449</v>
      </c>
    </row>
    <row r="1459" spans="3:5">
      <c r="C1459" s="54" t="s">
        <v>28</v>
      </c>
      <c r="D1459" s="181">
        <v>203940.984</v>
      </c>
      <c r="E1459" s="184">
        <f t="shared" si="72"/>
        <v>280.05792834484561</v>
      </c>
    </row>
    <row r="1460" spans="3:5">
      <c r="C1460" s="54" t="s">
        <v>29</v>
      </c>
      <c r="D1460" s="181">
        <v>8402.4779999999992</v>
      </c>
      <c r="E1460" s="184">
        <f t="shared" si="72"/>
        <v>11.538536960492165</v>
      </c>
    </row>
    <row r="1461" spans="3:5">
      <c r="C1461" s="54" t="s">
        <v>30</v>
      </c>
      <c r="D1461" s="181">
        <f>48381.925+241345.731</f>
        <v>289727.65600000002</v>
      </c>
      <c r="E1461" s="184">
        <f t="shared" si="72"/>
        <v>397.86278134054743</v>
      </c>
    </row>
    <row r="1462" spans="3:5">
      <c r="C1462" s="54" t="s">
        <v>31</v>
      </c>
      <c r="D1462" s="181">
        <f>77838.645+240871.535</f>
        <v>318710.18</v>
      </c>
      <c r="E1462" s="184">
        <f t="shared" si="72"/>
        <v>437.66246000466896</v>
      </c>
    </row>
    <row r="1463" spans="3:5" ht="13.5" thickBot="1">
      <c r="C1463" s="54" t="s">
        <v>32</v>
      </c>
      <c r="D1463" s="181">
        <f>29456.72+1014426.183</f>
        <v>1043882.9029999999</v>
      </c>
      <c r="E1463" s="184">
        <f t="shared" si="72"/>
        <v>1433.49157935211</v>
      </c>
    </row>
    <row r="1464" spans="3:5" ht="13.5" thickBot="1">
      <c r="C1464" s="186" t="s">
        <v>33</v>
      </c>
      <c r="D1464" s="187">
        <f>SUM(D1458:D1463)</f>
        <v>1900253.629</v>
      </c>
      <c r="E1464" s="193">
        <f>SUM(E1458:E1463)</f>
        <v>2609.4857650952335</v>
      </c>
    </row>
    <row r="1465" spans="3:5" ht="13.5" thickBot="1">
      <c r="D1465" s="191"/>
    </row>
    <row r="1466" spans="3:5">
      <c r="C1466" s="60" t="s">
        <v>227</v>
      </c>
      <c r="D1466" s="61" t="s">
        <v>35</v>
      </c>
      <c r="E1466" s="61" t="s">
        <v>36</v>
      </c>
    </row>
    <row r="1467" spans="3:5">
      <c r="C1467" s="54" t="s">
        <v>27</v>
      </c>
      <c r="D1467" s="181">
        <v>64844.6</v>
      </c>
      <c r="E1467" s="184">
        <f t="shared" ref="E1467:E1472" si="73">D1467*$J$1432</f>
        <v>89.046566237761084</v>
      </c>
    </row>
    <row r="1468" spans="3:5">
      <c r="C1468" s="54" t="s">
        <v>28</v>
      </c>
      <c r="D1468" s="181">
        <v>57500.91</v>
      </c>
      <c r="E1468" s="184">
        <f t="shared" si="73"/>
        <v>78.961988986693399</v>
      </c>
    </row>
    <row r="1469" spans="3:5">
      <c r="C1469" s="54" t="s">
        <v>29</v>
      </c>
      <c r="D1469" s="181">
        <v>55788.182000000001</v>
      </c>
      <c r="E1469" s="184">
        <f t="shared" si="73"/>
        <v>76.610019087900469</v>
      </c>
    </row>
    <row r="1470" spans="3:5">
      <c r="C1470" s="54" t="s">
        <v>30</v>
      </c>
      <c r="D1470" s="181">
        <v>47185.150999999998</v>
      </c>
      <c r="E1470" s="184">
        <f t="shared" si="73"/>
        <v>64.796076681177126</v>
      </c>
    </row>
    <row r="1471" spans="3:5">
      <c r="C1471" s="54" t="s">
        <v>31</v>
      </c>
      <c r="D1471" s="181">
        <v>36156.052000000003</v>
      </c>
      <c r="E1471" s="184">
        <f t="shared" si="73"/>
        <v>49.650584309471178</v>
      </c>
    </row>
    <row r="1472" spans="3:5" ht="13.5" thickBot="1">
      <c r="C1472" s="54" t="s">
        <v>32</v>
      </c>
      <c r="D1472" s="181">
        <v>84049.89</v>
      </c>
      <c r="E1472" s="184">
        <f t="shared" si="73"/>
        <v>115.41985141648701</v>
      </c>
    </row>
    <row r="1473" spans="2:10" ht="13.5" thickBot="1">
      <c r="C1473" s="186" t="s">
        <v>37</v>
      </c>
      <c r="D1473" s="187">
        <f>SUM(D1467:D1472)</f>
        <v>345524.78499999997</v>
      </c>
      <c r="E1473" s="187">
        <f>SUM(E1467:E1472)</f>
        <v>474.48508671949025</v>
      </c>
    </row>
    <row r="1474" spans="2:10" ht="13.5" thickBot="1">
      <c r="D1474" s="191"/>
    </row>
    <row r="1475" spans="2:10">
      <c r="C1475" s="60" t="s">
        <v>226</v>
      </c>
      <c r="D1475" s="61" t="s">
        <v>35</v>
      </c>
      <c r="E1475" s="61" t="s">
        <v>36</v>
      </c>
    </row>
    <row r="1476" spans="2:10">
      <c r="C1476" s="54" t="s">
        <v>27</v>
      </c>
      <c r="D1476" s="104">
        <f t="shared" ref="D1476:D1481" si="74">+D1458+D1467</f>
        <v>100434.02799999999</v>
      </c>
      <c r="E1476" s="184">
        <f t="shared" ref="E1476:E1481" si="75">D1476*$J$1432</f>
        <v>137.91904533033053</v>
      </c>
    </row>
    <row r="1477" spans="2:10">
      <c r="C1477" s="54" t="s">
        <v>28</v>
      </c>
      <c r="D1477" s="104">
        <f t="shared" si="74"/>
        <v>261441.894</v>
      </c>
      <c r="E1477" s="184">
        <f t="shared" si="75"/>
        <v>359.01991733153898</v>
      </c>
    </row>
    <row r="1478" spans="2:10">
      <c r="C1478" s="54" t="s">
        <v>29</v>
      </c>
      <c r="D1478" s="104">
        <f t="shared" si="74"/>
        <v>64190.66</v>
      </c>
      <c r="E1478" s="184">
        <f t="shared" si="75"/>
        <v>88.148556048392635</v>
      </c>
    </row>
    <row r="1479" spans="2:10">
      <c r="C1479" s="54" t="s">
        <v>30</v>
      </c>
      <c r="D1479" s="104">
        <f t="shared" si="74"/>
        <v>336912.80700000003</v>
      </c>
      <c r="E1479" s="184">
        <f t="shared" si="75"/>
        <v>462.65885802172454</v>
      </c>
    </row>
    <row r="1480" spans="2:10">
      <c r="C1480" s="54" t="s">
        <v>31</v>
      </c>
      <c r="D1480" s="104">
        <f t="shared" si="74"/>
        <v>354866.23200000002</v>
      </c>
      <c r="E1480" s="184">
        <f t="shared" si="75"/>
        <v>487.3130443141402</v>
      </c>
    </row>
    <row r="1481" spans="2:10" ht="13.5" thickBot="1">
      <c r="C1481" s="54" t="s">
        <v>32</v>
      </c>
      <c r="D1481" s="104">
        <f t="shared" si="74"/>
        <v>1127932.7929999998</v>
      </c>
      <c r="E1481" s="184">
        <f t="shared" si="75"/>
        <v>1548.9114307685968</v>
      </c>
    </row>
    <row r="1482" spans="2:10" ht="13.5" thickBot="1">
      <c r="C1482" s="186" t="s">
        <v>38</v>
      </c>
      <c r="D1482" s="187">
        <f>SUM(D1476:D1481)</f>
        <v>2245778.4139999999</v>
      </c>
      <c r="E1482" s="193">
        <f>SUM(E1476:E1481)</f>
        <v>3083.9708518147236</v>
      </c>
    </row>
    <row r="1483" spans="2:10">
      <c r="D1483" s="191"/>
    </row>
    <row r="1484" spans="2:10">
      <c r="D1484" s="191"/>
    </row>
    <row r="1485" spans="2:10">
      <c r="B1485" s="52" t="s">
        <v>228</v>
      </c>
      <c r="I1485" s="52" t="s">
        <v>229</v>
      </c>
      <c r="J1485" s="179">
        <f>Model!AD208</f>
        <v>1.4724287712581904E-3</v>
      </c>
    </row>
    <row r="1486" spans="2:10">
      <c r="C1486" s="129"/>
      <c r="D1486" s="396" t="s">
        <v>230</v>
      </c>
      <c r="E1486" s="397"/>
      <c r="F1486" s="115" t="s">
        <v>6</v>
      </c>
      <c r="G1486" s="115" t="s">
        <v>7</v>
      </c>
      <c r="I1486" s="52" t="s">
        <v>231</v>
      </c>
      <c r="J1486" s="179">
        <f>AVERAGE(Model!AA207:AD207)</f>
        <v>1.4854999999999998E-3</v>
      </c>
    </row>
    <row r="1487" spans="2:10">
      <c r="C1487" s="130"/>
      <c r="D1487" s="116" t="s">
        <v>4</v>
      </c>
      <c r="E1487" s="91" t="s">
        <v>5</v>
      </c>
      <c r="F1487" s="117"/>
      <c r="G1487" s="117"/>
      <c r="I1487" s="52"/>
    </row>
    <row r="1488" spans="2:10">
      <c r="C1488" s="130" t="s">
        <v>10</v>
      </c>
      <c r="D1488" s="118"/>
      <c r="E1488" s="92"/>
      <c r="F1488" s="117"/>
      <c r="G1488" s="117"/>
      <c r="I1488" s="52" t="s">
        <v>8</v>
      </c>
    </row>
    <row r="1489" spans="3:12">
      <c r="C1489" s="131" t="s">
        <v>51</v>
      </c>
      <c r="D1489" s="92">
        <f>Model!AD107</f>
        <v>36481.927000000003</v>
      </c>
      <c r="E1489" s="92">
        <f t="shared" ref="E1489:E1495" si="76">+D1489*$J$1485</f>
        <v>53.717038945741002</v>
      </c>
      <c r="F1489" s="117"/>
      <c r="G1489" s="117"/>
      <c r="I1489" s="129"/>
      <c r="J1489" s="396" t="s">
        <v>230</v>
      </c>
      <c r="K1489" s="397"/>
      <c r="L1489" s="115" t="s">
        <v>67</v>
      </c>
    </row>
    <row r="1490" spans="3:12">
      <c r="C1490" s="131" t="s">
        <v>52</v>
      </c>
      <c r="D1490" s="92">
        <f>Model!AD108</f>
        <v>16860.633999999998</v>
      </c>
      <c r="E1490" s="92">
        <f t="shared" si="76"/>
        <v>24.826082603254065</v>
      </c>
      <c r="F1490" s="117"/>
      <c r="G1490" s="117"/>
      <c r="I1490" s="164"/>
      <c r="J1490" s="166" t="s">
        <v>4</v>
      </c>
      <c r="K1490" s="166" t="s">
        <v>5</v>
      </c>
      <c r="L1490" s="165"/>
    </row>
    <row r="1491" spans="3:12">
      <c r="C1491" s="183" t="s">
        <v>53</v>
      </c>
      <c r="D1491" s="92">
        <f>Model!AD110</f>
        <v>62175.224999999999</v>
      </c>
      <c r="E1491" s="92">
        <f t="shared" si="76"/>
        <v>91.548590149451513</v>
      </c>
      <c r="F1491" s="117"/>
      <c r="G1491" s="117"/>
      <c r="I1491" s="132" t="s">
        <v>17</v>
      </c>
      <c r="J1491" s="167">
        <f>D1496-D1495-D1491</f>
        <v>1813851.5150000001</v>
      </c>
      <c r="K1491" s="167">
        <f>J1491*J1485</f>
        <v>2670.7671574762571</v>
      </c>
      <c r="L1491" s="120">
        <f>+J1491/J1496</f>
        <v>3.8727803138191006</v>
      </c>
    </row>
    <row r="1492" spans="3:12">
      <c r="C1492" s="130" t="s">
        <v>15</v>
      </c>
      <c r="D1492" s="92"/>
      <c r="E1492" s="92">
        <f t="shared" si="76"/>
        <v>0</v>
      </c>
      <c r="F1492" s="117"/>
      <c r="G1492" s="117"/>
      <c r="I1492" s="133" t="s">
        <v>18</v>
      </c>
      <c r="J1492" s="168">
        <f>J1491-J1493</f>
        <v>84051.51500000013</v>
      </c>
      <c r="K1492" s="168">
        <f>K1491-K1493</f>
        <v>123.75986895383949</v>
      </c>
      <c r="L1492" s="123"/>
    </row>
    <row r="1493" spans="3:12">
      <c r="C1493" s="131" t="s">
        <v>51</v>
      </c>
      <c r="D1493" s="92">
        <f>Model!AD112</f>
        <v>352980.81300000002</v>
      </c>
      <c r="E1493" s="92">
        <f t="shared" si="76"/>
        <v>519.73910476330707</v>
      </c>
      <c r="F1493" s="117"/>
      <c r="G1493" s="117"/>
      <c r="I1493" s="132" t="s">
        <v>9</v>
      </c>
      <c r="J1493" s="180">
        <v>1729800</v>
      </c>
      <c r="K1493" s="171">
        <f>J1493*J1485</f>
        <v>2547.0072885224176</v>
      </c>
      <c r="L1493" s="120">
        <f>+J1493/J1496</f>
        <v>3.6933207219248483</v>
      </c>
    </row>
    <row r="1494" spans="3:12">
      <c r="C1494" s="131" t="s">
        <v>52</v>
      </c>
      <c r="D1494" s="92">
        <f>Model!AD113</f>
        <v>1407528.1410000001</v>
      </c>
      <c r="E1494" s="92">
        <f t="shared" si="76"/>
        <v>2072.484931163955</v>
      </c>
      <c r="F1494" s="117"/>
      <c r="G1494" s="117"/>
      <c r="I1494" s="134" t="s">
        <v>19</v>
      </c>
      <c r="J1494" s="169">
        <f>D1499</f>
        <v>1387616.12</v>
      </c>
      <c r="K1494" s="172">
        <f>+J1494*$J$1485</f>
        <v>2043.1658985496579</v>
      </c>
      <c r="L1494" s="125"/>
    </row>
    <row r="1495" spans="3:12">
      <c r="C1495" s="183" t="s">
        <v>54</v>
      </c>
      <c r="D1495" s="92">
        <f>Model!AD115</f>
        <v>282266.011</v>
      </c>
      <c r="E1495" s="92">
        <f t="shared" si="76"/>
        <v>415.61659574468086</v>
      </c>
      <c r="F1495" s="117"/>
      <c r="G1495" s="117"/>
      <c r="I1495" s="134" t="s">
        <v>20</v>
      </c>
      <c r="J1495" s="169">
        <f>J1491+J1494</f>
        <v>3201467.6350000002</v>
      </c>
      <c r="K1495" s="169">
        <f>K1491+K1494</f>
        <v>4713.933056025915</v>
      </c>
      <c r="L1495" s="125"/>
    </row>
    <row r="1496" spans="3:12">
      <c r="C1496" s="132" t="s">
        <v>17</v>
      </c>
      <c r="D1496" s="119">
        <f>SUM(D1489:D1495)</f>
        <v>2158292.7510000002</v>
      </c>
      <c r="E1496" s="161">
        <f>SUM(E1489:E1495)</f>
        <v>3177.9323433703898</v>
      </c>
      <c r="F1496" s="120">
        <f>+D1496/D1501</f>
        <v>4.6082017234642656</v>
      </c>
      <c r="G1496" s="120">
        <f>+E1496/E1501</f>
        <v>4.5676531816831805</v>
      </c>
      <c r="I1496" s="135" t="s">
        <v>68</v>
      </c>
      <c r="J1496" s="170">
        <f>D1501</f>
        <v>468359</v>
      </c>
      <c r="K1496" s="170"/>
      <c r="L1496" s="128"/>
    </row>
    <row r="1497" spans="3:12">
      <c r="C1497" s="133" t="s">
        <v>18</v>
      </c>
      <c r="D1497" s="121">
        <f>Model!AD118</f>
        <v>25875.342000000001</v>
      </c>
      <c r="E1497" s="162">
        <f>+D1497*$J$1485</f>
        <v>38.099598026945444</v>
      </c>
      <c r="F1497" s="123"/>
      <c r="G1497" s="123"/>
    </row>
    <row r="1498" spans="3:12">
      <c r="C1498" s="132" t="s">
        <v>9</v>
      </c>
      <c r="D1498" s="119">
        <f>+D1496-D1497</f>
        <v>2132417.409</v>
      </c>
      <c r="E1498" s="107">
        <f>+E1496-E1497</f>
        <v>3139.8327453434445</v>
      </c>
      <c r="F1498" s="120">
        <f>+D1498/D1501</f>
        <v>4.5529549106561422</v>
      </c>
      <c r="G1498" s="120">
        <f>+E1498/E1501</f>
        <v>4.5128924972678348</v>
      </c>
      <c r="J1498" s="196"/>
    </row>
    <row r="1499" spans="3:12">
      <c r="C1499" s="134" t="s">
        <v>19</v>
      </c>
      <c r="D1499" s="124">
        <f>Model!AD125</f>
        <v>1387616.12</v>
      </c>
      <c r="E1499" s="162">
        <f>+D1499*$J$1485</f>
        <v>2043.1658985496579</v>
      </c>
      <c r="F1499" s="125"/>
      <c r="G1499" s="125"/>
    </row>
    <row r="1500" spans="3:12">
      <c r="C1500" s="134" t="s">
        <v>20</v>
      </c>
      <c r="D1500" s="124">
        <f>D1496+D1499</f>
        <v>3545908.8710000003</v>
      </c>
      <c r="E1500" s="108">
        <f>E1496+E1499</f>
        <v>5221.0982419200482</v>
      </c>
      <c r="F1500" s="125"/>
      <c r="G1500" s="125"/>
    </row>
    <row r="1501" spans="3:12">
      <c r="C1501" s="202" t="s">
        <v>216</v>
      </c>
      <c r="D1501" s="126">
        <f>Model!AD85</f>
        <v>468359</v>
      </c>
      <c r="E1501" s="127">
        <f>D1501*J1486</f>
        <v>695.74729449999995</v>
      </c>
      <c r="F1501" s="128"/>
      <c r="G1501" s="128"/>
    </row>
    <row r="1503" spans="3:12">
      <c r="C1503" s="136" t="s">
        <v>22</v>
      </c>
      <c r="D1503" s="137">
        <f>D1496-Model!AD121</f>
        <v>0</v>
      </c>
      <c r="E1503" s="138"/>
    </row>
    <row r="1504" spans="3:12" ht="13.5" thickBot="1">
      <c r="D1504" s="395"/>
      <c r="E1504" s="395"/>
    </row>
    <row r="1505" spans="3:5">
      <c r="C1505" s="60" t="s">
        <v>232</v>
      </c>
      <c r="D1505" s="61" t="s">
        <v>35</v>
      </c>
      <c r="E1505" s="61" t="s">
        <v>36</v>
      </c>
    </row>
    <row r="1506" spans="3:5">
      <c r="C1506" s="62"/>
      <c r="D1506" s="84"/>
      <c r="E1506" s="84"/>
    </row>
    <row r="1507" spans="3:5">
      <c r="C1507" s="62" t="s">
        <v>24</v>
      </c>
      <c r="D1507" s="184">
        <f>D1497</f>
        <v>25875.342000000001</v>
      </c>
      <c r="E1507" s="184">
        <f>D1507*$J$1485</f>
        <v>38.099598026945444</v>
      </c>
    </row>
    <row r="1508" spans="3:5" ht="13.5" thickBot="1">
      <c r="C1508" s="63" t="s">
        <v>225</v>
      </c>
      <c r="D1508" s="185">
        <f>SUM(D1506:D1507)</f>
        <v>25875.342000000001</v>
      </c>
      <c r="E1508" s="185">
        <f>SUM(E1506:E1507)</f>
        <v>38.099598026945444</v>
      </c>
    </row>
    <row r="1509" spans="3:5" ht="13.5" thickBot="1"/>
    <row r="1510" spans="3:5">
      <c r="C1510" s="60" t="s">
        <v>233</v>
      </c>
      <c r="D1510" s="61" t="s">
        <v>35</v>
      </c>
      <c r="E1510" s="61" t="s">
        <v>36</v>
      </c>
    </row>
    <row r="1511" spans="3:5">
      <c r="C1511" s="54" t="s">
        <v>27</v>
      </c>
      <c r="D1511" s="181">
        <f>35757.762+724.166+10753.208+6107.426</f>
        <v>53342.561999999998</v>
      </c>
      <c r="E1511" s="104">
        <f t="shared" ref="E1511:E1516" si="77">D1511*$J$1485</f>
        <v>78.543123021423838</v>
      </c>
    </row>
    <row r="1512" spans="3:5">
      <c r="C1512" s="54" t="s">
        <v>28</v>
      </c>
      <c r="D1512" s="181">
        <v>8398.7219999999998</v>
      </c>
      <c r="E1512" s="104">
        <f t="shared" si="77"/>
        <v>12.366519914599131</v>
      </c>
    </row>
    <row r="1513" spans="3:5">
      <c r="C1513" s="54" t="s">
        <v>29</v>
      </c>
      <c r="D1513" s="181">
        <v>192852.31899999999</v>
      </c>
      <c r="E1513" s="104">
        <f t="shared" si="77"/>
        <v>283.96130309946255</v>
      </c>
    </row>
    <row r="1514" spans="3:5">
      <c r="C1514" s="54" t="s">
        <v>30</v>
      </c>
      <c r="D1514" s="181">
        <f>19629.051+224984.753</f>
        <v>244613.804</v>
      </c>
      <c r="E1514" s="104">
        <f t="shared" si="77"/>
        <v>360.1764028565118</v>
      </c>
    </row>
    <row r="1515" spans="3:5">
      <c r="C1515" s="54" t="s">
        <v>31</v>
      </c>
      <c r="D1515" s="181">
        <f>75864.887+224542.504</f>
        <v>300407.391</v>
      </c>
      <c r="E1515" s="104">
        <f t="shared" si="77"/>
        <v>442.32848560700876</v>
      </c>
    </row>
    <row r="1516" spans="3:5" ht="13.5" thickBot="1">
      <c r="C1516" s="54" t="s">
        <v>32</v>
      </c>
      <c r="D1516" s="181">
        <f>56235.833+958000.884</f>
        <v>1014236.7169999999</v>
      </c>
      <c r="E1516" s="104">
        <f t="shared" si="77"/>
        <v>1493.3913229772509</v>
      </c>
    </row>
    <row r="1517" spans="3:5" ht="13.5" thickBot="1">
      <c r="C1517" s="186" t="s">
        <v>33</v>
      </c>
      <c r="D1517" s="187">
        <f>SUM(D1511:D1516)</f>
        <v>1813851.5149999999</v>
      </c>
      <c r="E1517" s="193">
        <f>SUM(E1511:E1516)</f>
        <v>2670.7671574762571</v>
      </c>
    </row>
    <row r="1518" spans="3:5" ht="13.5" thickBot="1">
      <c r="D1518" s="191"/>
    </row>
    <row r="1519" spans="3:5">
      <c r="C1519" s="60" t="s">
        <v>234</v>
      </c>
      <c r="D1519" s="61" t="s">
        <v>35</v>
      </c>
      <c r="E1519" s="61" t="s">
        <v>36</v>
      </c>
    </row>
    <row r="1520" spans="3:5">
      <c r="C1520" s="54" t="s">
        <v>27</v>
      </c>
      <c r="D1520" s="181">
        <v>62175.224999999999</v>
      </c>
      <c r="E1520" s="104">
        <f t="shared" ref="E1520:E1525" si="78">D1520*$J$1485</f>
        <v>91.548590149451513</v>
      </c>
    </row>
    <row r="1521" spans="3:5">
      <c r="C1521" s="54" t="s">
        <v>28</v>
      </c>
      <c r="D1521" s="181">
        <v>56429.341999999997</v>
      </c>
      <c r="E1521" s="104">
        <f t="shared" si="78"/>
        <v>83.088186703968191</v>
      </c>
    </row>
    <row r="1522" spans="3:5">
      <c r="C1522" s="54" t="s">
        <v>29</v>
      </c>
      <c r="D1522" s="181">
        <v>53448.29</v>
      </c>
      <c r="E1522" s="104">
        <f t="shared" si="78"/>
        <v>78.69879997055142</v>
      </c>
    </row>
    <row r="1523" spans="3:5">
      <c r="C1523" s="54" t="s">
        <v>30</v>
      </c>
      <c r="D1523" s="181">
        <v>47496.519</v>
      </c>
      <c r="E1523" s="104">
        <f t="shared" si="78"/>
        <v>69.935241110211294</v>
      </c>
    </row>
    <row r="1524" spans="3:5">
      <c r="C1524" s="54" t="s">
        <v>31</v>
      </c>
      <c r="D1524" s="181">
        <v>36197.409</v>
      </c>
      <c r="E1524" s="104">
        <f t="shared" si="78"/>
        <v>53.298106456600159</v>
      </c>
    </row>
    <row r="1525" spans="3:5" ht="13.5" thickBot="1">
      <c r="C1525" s="54" t="s">
        <v>32</v>
      </c>
      <c r="D1525" s="181">
        <v>88694.451000000001</v>
      </c>
      <c r="E1525" s="104">
        <f t="shared" si="78"/>
        <v>130.59626150334978</v>
      </c>
    </row>
    <row r="1526" spans="3:5" ht="13.5" thickBot="1">
      <c r="C1526" s="186" t="s">
        <v>37</v>
      </c>
      <c r="D1526" s="187">
        <f>SUM(D1520:D1525)</f>
        <v>344441.23599999998</v>
      </c>
      <c r="E1526" s="187">
        <f>SUM(E1520:E1525)</f>
        <v>507.16518589413238</v>
      </c>
    </row>
    <row r="1527" spans="3:5" ht="13.5" thickBot="1">
      <c r="D1527" s="191"/>
    </row>
    <row r="1528" spans="3:5">
      <c r="C1528" s="60" t="s">
        <v>233</v>
      </c>
      <c r="D1528" s="61" t="s">
        <v>35</v>
      </c>
      <c r="E1528" s="61" t="s">
        <v>36</v>
      </c>
    </row>
    <row r="1529" spans="3:5">
      <c r="C1529" s="54" t="s">
        <v>27</v>
      </c>
      <c r="D1529" s="104">
        <f t="shared" ref="D1529:D1534" si="79">+D1511+D1520</f>
        <v>115517.787</v>
      </c>
      <c r="E1529" s="104">
        <f t="shared" ref="E1529:E1534" si="80">D1529*$J$1485</f>
        <v>170.09171317087535</v>
      </c>
    </row>
    <row r="1530" spans="3:5">
      <c r="C1530" s="54" t="s">
        <v>28</v>
      </c>
      <c r="D1530" s="104">
        <f t="shared" si="79"/>
        <v>64828.063999999998</v>
      </c>
      <c r="E1530" s="104">
        <f t="shared" si="80"/>
        <v>95.454706618567329</v>
      </c>
    </row>
    <row r="1531" spans="3:5">
      <c r="C1531" s="54" t="s">
        <v>29</v>
      </c>
      <c r="D1531" s="104">
        <f t="shared" si="79"/>
        <v>246300.609</v>
      </c>
      <c r="E1531" s="104">
        <f t="shared" si="80"/>
        <v>362.66010307001397</v>
      </c>
    </row>
    <row r="1532" spans="3:5">
      <c r="C1532" s="54" t="s">
        <v>30</v>
      </c>
      <c r="D1532" s="104">
        <f t="shared" si="79"/>
        <v>292110.32299999997</v>
      </c>
      <c r="E1532" s="104">
        <f t="shared" si="80"/>
        <v>430.11164396672308</v>
      </c>
    </row>
    <row r="1533" spans="3:5">
      <c r="C1533" s="54" t="s">
        <v>31</v>
      </c>
      <c r="D1533" s="104">
        <f t="shared" si="79"/>
        <v>336604.8</v>
      </c>
      <c r="E1533" s="104">
        <f t="shared" si="80"/>
        <v>495.62659206360888</v>
      </c>
    </row>
    <row r="1534" spans="3:5" ht="13.5" thickBot="1">
      <c r="C1534" s="54" t="s">
        <v>32</v>
      </c>
      <c r="D1534" s="104">
        <f t="shared" si="79"/>
        <v>1102931.1680000001</v>
      </c>
      <c r="E1534" s="104">
        <f t="shared" si="80"/>
        <v>1623.9875844806008</v>
      </c>
    </row>
    <row r="1535" spans="3:5" ht="13.5" thickBot="1">
      <c r="C1535" s="186" t="s">
        <v>38</v>
      </c>
      <c r="D1535" s="187">
        <f>SUM(D1529:D1534)</f>
        <v>2158292.7510000002</v>
      </c>
      <c r="E1535" s="193">
        <f>SUM(E1529:E1534)</f>
        <v>3177.9323433703894</v>
      </c>
    </row>
    <row r="1536" spans="3:5">
      <c r="D1536" s="191"/>
    </row>
    <row r="1537" spans="2:12">
      <c r="D1537" s="191"/>
    </row>
    <row r="1538" spans="2:12">
      <c r="B1538" s="52" t="s">
        <v>235</v>
      </c>
      <c r="I1538" s="52" t="s">
        <v>236</v>
      </c>
      <c r="J1538" s="179">
        <f>Model!AC208</f>
        <v>1.4737741883188659E-3</v>
      </c>
    </row>
    <row r="1539" spans="2:12">
      <c r="C1539" s="129"/>
      <c r="D1539" s="396" t="s">
        <v>237</v>
      </c>
      <c r="E1539" s="397"/>
      <c r="F1539" s="115" t="s">
        <v>6</v>
      </c>
      <c r="G1539" s="115" t="s">
        <v>7</v>
      </c>
      <c r="I1539" s="52" t="s">
        <v>238</v>
      </c>
      <c r="J1539" s="179">
        <f>AVERAGE(Model!Z207:AC207)</f>
        <v>1.5217499999999999E-3</v>
      </c>
    </row>
    <row r="1540" spans="2:12">
      <c r="C1540" s="130"/>
      <c r="D1540" s="116" t="s">
        <v>4</v>
      </c>
      <c r="E1540" s="91" t="s">
        <v>5</v>
      </c>
      <c r="F1540" s="117"/>
      <c r="G1540" s="117"/>
      <c r="I1540" s="52" t="s">
        <v>8</v>
      </c>
    </row>
    <row r="1541" spans="2:12">
      <c r="C1541" s="130" t="s">
        <v>10</v>
      </c>
      <c r="D1541" s="118"/>
      <c r="E1541" s="92"/>
      <c r="F1541" s="117"/>
      <c r="G1541" s="117"/>
    </row>
    <row r="1542" spans="2:12">
      <c r="C1542" s="131" t="s">
        <v>51</v>
      </c>
      <c r="D1542" s="92">
        <f>Model!AC107</f>
        <v>1221.547</v>
      </c>
      <c r="E1542" s="92">
        <f>+D1542*$J$1538</f>
        <v>1.8002844384183456</v>
      </c>
      <c r="F1542" s="117"/>
      <c r="G1542" s="117"/>
      <c r="I1542" s="129"/>
      <c r="J1542" s="396" t="s">
        <v>237</v>
      </c>
      <c r="K1542" s="397"/>
      <c r="L1542" s="115" t="s">
        <v>67</v>
      </c>
    </row>
    <row r="1543" spans="2:12">
      <c r="C1543" s="131" t="s">
        <v>52</v>
      </c>
      <c r="D1543" s="92">
        <f>Model!AC108</f>
        <v>20336.437000000002</v>
      </c>
      <c r="E1543" s="92">
        <f>+D1543*$J$1538</f>
        <v>29.971315932972754</v>
      </c>
      <c r="F1543" s="117"/>
      <c r="G1543" s="117"/>
      <c r="I1543" s="164"/>
      <c r="J1543" s="166" t="s">
        <v>4</v>
      </c>
      <c r="K1543" s="166" t="s">
        <v>5</v>
      </c>
      <c r="L1543" s="165"/>
    </row>
    <row r="1544" spans="2:12">
      <c r="C1544" s="183" t="s">
        <v>53</v>
      </c>
      <c r="D1544" s="92">
        <f>Model!AC110</f>
        <v>5</v>
      </c>
      <c r="E1544" s="92">
        <f>+D1544*$J$1538</f>
        <v>7.3688709415943299E-3</v>
      </c>
      <c r="F1544" s="117"/>
      <c r="G1544" s="117"/>
      <c r="I1544" s="132" t="s">
        <v>17</v>
      </c>
      <c r="J1544" s="167">
        <f>D1549-D1548-D1544</f>
        <v>1777797.7859999998</v>
      </c>
      <c r="K1544" s="167">
        <f>J1544*J1538</f>
        <v>2620.0724890572264</v>
      </c>
      <c r="L1544" s="120">
        <f>+J1544/J1549</f>
        <v>3.9890452262885092</v>
      </c>
    </row>
    <row r="1545" spans="2:12">
      <c r="C1545" s="130" t="s">
        <v>15</v>
      </c>
      <c r="D1545" s="92"/>
      <c r="E1545" s="92"/>
      <c r="F1545" s="117"/>
      <c r="G1545" s="117"/>
      <c r="I1545" s="133" t="s">
        <v>18</v>
      </c>
      <c r="J1545" s="168">
        <f>J1544-J1546</f>
        <v>105507.78599999985</v>
      </c>
      <c r="K1545" s="168">
        <f>K1544-K1546</f>
        <v>155.49465167347034</v>
      </c>
      <c r="L1545" s="123"/>
    </row>
    <row r="1546" spans="2:12">
      <c r="C1546" s="131" t="s">
        <v>51</v>
      </c>
      <c r="D1546" s="92">
        <f>Model!AC112</f>
        <v>352587.37900000002</v>
      </c>
      <c r="E1546" s="92">
        <f>+D1546*$J$1538</f>
        <v>519.6341782972014</v>
      </c>
      <c r="F1546" s="117"/>
      <c r="G1546" s="117"/>
      <c r="I1546" s="132" t="s">
        <v>9</v>
      </c>
      <c r="J1546" s="180">
        <v>1672290</v>
      </c>
      <c r="K1546" s="171">
        <f>J1546*J1538</f>
        <v>2464.5778373837561</v>
      </c>
      <c r="L1546" s="120">
        <f>+J1546/J1549</f>
        <v>3.7523055175353961</v>
      </c>
    </row>
    <row r="1547" spans="2:12">
      <c r="C1547" s="131" t="s">
        <v>52</v>
      </c>
      <c r="D1547" s="92">
        <f>Model!AC113</f>
        <v>1403652.423</v>
      </c>
      <c r="E1547" s="92">
        <f>+D1547*$J$1538</f>
        <v>2068.6667103886343</v>
      </c>
      <c r="F1547" s="117"/>
      <c r="G1547" s="117"/>
      <c r="I1547" s="134" t="s">
        <v>19</v>
      </c>
      <c r="J1547" s="169">
        <f>D1552</f>
        <v>1375941.398</v>
      </c>
      <c r="K1547" s="172">
        <f>+J1547*$J$1538</f>
        <v>2027.8269170117758</v>
      </c>
      <c r="L1547" s="125"/>
    </row>
    <row r="1548" spans="2:12">
      <c r="C1548" s="183" t="s">
        <v>54</v>
      </c>
      <c r="D1548" s="92">
        <f>Model!AC115</f>
        <v>300256.31900000002</v>
      </c>
      <c r="E1548" s="92">
        <f>+D1548*$J$1538</f>
        <v>442.51001282183552</v>
      </c>
      <c r="F1548" s="117"/>
      <c r="G1548" s="117"/>
      <c r="I1548" s="134" t="s">
        <v>20</v>
      </c>
      <c r="J1548" s="169">
        <f>J1544+J1547</f>
        <v>3153739.1839999999</v>
      </c>
      <c r="K1548" s="169">
        <f>K1544+K1547</f>
        <v>4647.899406069002</v>
      </c>
      <c r="L1548" s="125"/>
    </row>
    <row r="1549" spans="2:12">
      <c r="C1549" s="132" t="s">
        <v>17</v>
      </c>
      <c r="D1549" s="119">
        <f>SUM(D1542:D1548)</f>
        <v>2078059.105</v>
      </c>
      <c r="E1549" s="161">
        <f>SUM(E1542:E1548)</f>
        <v>3062.5898707500037</v>
      </c>
      <c r="F1549" s="120">
        <f>+D1549/D1554</f>
        <v>4.6627753831310166</v>
      </c>
      <c r="G1549" s="120">
        <f>+E1549/E1554</f>
        <v>4.5157732910051607</v>
      </c>
      <c r="I1549" s="135" t="s">
        <v>68</v>
      </c>
      <c r="J1549" s="170">
        <f>D1554</f>
        <v>445670</v>
      </c>
      <c r="K1549" s="170"/>
      <c r="L1549" s="128"/>
    </row>
    <row r="1550" spans="2:12">
      <c r="C1550" s="133" t="s">
        <v>18</v>
      </c>
      <c r="D1550" s="121">
        <f>Model!AC118</f>
        <v>34322.866999999998</v>
      </c>
      <c r="E1550" s="162">
        <f>+D1550*$J$1538</f>
        <v>50.584155453701385</v>
      </c>
      <c r="F1550" s="123"/>
      <c r="G1550" s="123"/>
    </row>
    <row r="1551" spans="2:12">
      <c r="C1551" s="132" t="s">
        <v>9</v>
      </c>
      <c r="D1551" s="119">
        <f>+D1549-D1550</f>
        <v>2043736.2379999999</v>
      </c>
      <c r="E1551" s="107">
        <f>+E1549-E1550</f>
        <v>3012.0057152963022</v>
      </c>
      <c r="F1551" s="120">
        <f>+D1551/D1554</f>
        <v>4.5857612987187828</v>
      </c>
      <c r="G1551" s="120">
        <f>+E1551/E1554</f>
        <v>4.4411872093598443</v>
      </c>
      <c r="I1551" s="188" t="s">
        <v>239</v>
      </c>
      <c r="J1551" s="189"/>
      <c r="K1551" s="190" t="s">
        <v>240</v>
      </c>
    </row>
    <row r="1552" spans="2:12">
      <c r="C1552" s="134" t="s">
        <v>19</v>
      </c>
      <c r="D1552" s="124">
        <f>Model!AC125</f>
        <v>1375941.398</v>
      </c>
      <c r="E1552" s="162">
        <f>+D1552*$J$1538</f>
        <v>2027.8269170117758</v>
      </c>
      <c r="F1552" s="125"/>
      <c r="G1552" s="125"/>
    </row>
    <row r="1553" spans="3:7">
      <c r="C1553" s="134" t="s">
        <v>20</v>
      </c>
      <c r="D1553" s="124">
        <f>D1549+D1552</f>
        <v>3454000.503</v>
      </c>
      <c r="E1553" s="108">
        <f>E1549+E1552</f>
        <v>5090.4167877617792</v>
      </c>
      <c r="F1553" s="125"/>
      <c r="G1553" s="125"/>
    </row>
    <row r="1554" spans="3:7">
      <c r="C1554" s="202" t="s">
        <v>216</v>
      </c>
      <c r="D1554" s="126">
        <f>Model!AC85</f>
        <v>445670</v>
      </c>
      <c r="E1554" s="127">
        <f>D1554*J1539</f>
        <v>678.1983224999999</v>
      </c>
      <c r="F1554" s="128"/>
      <c r="G1554" s="128"/>
    </row>
    <row r="1556" spans="3:7">
      <c r="C1556" s="136" t="s">
        <v>22</v>
      </c>
      <c r="D1556" s="137">
        <f>D1549-Model!AC121</f>
        <v>0</v>
      </c>
      <c r="E1556" s="138"/>
    </row>
    <row r="1557" spans="3:7" ht="13.5" thickBot="1">
      <c r="D1557" s="395"/>
      <c r="E1557" s="395"/>
    </row>
    <row r="1558" spans="3:7">
      <c r="C1558" s="60" t="s">
        <v>241</v>
      </c>
      <c r="D1558" s="61" t="s">
        <v>35</v>
      </c>
      <c r="E1558" s="61" t="s">
        <v>36</v>
      </c>
    </row>
    <row r="1559" spans="3:7">
      <c r="C1559" s="62"/>
      <c r="D1559" s="84"/>
      <c r="E1559" s="84"/>
    </row>
    <row r="1560" spans="3:7">
      <c r="C1560" s="62" t="s">
        <v>24</v>
      </c>
      <c r="D1560" s="184">
        <f>D1550</f>
        <v>34322.866999999998</v>
      </c>
      <c r="E1560" s="184">
        <f>D1560*$J$1538</f>
        <v>50.584155453701385</v>
      </c>
    </row>
    <row r="1561" spans="3:7" ht="13.5" thickBot="1">
      <c r="C1561" s="63" t="s">
        <v>225</v>
      </c>
      <c r="D1561" s="185">
        <f>SUM(D1559:D1560)</f>
        <v>34322.866999999998</v>
      </c>
      <c r="E1561" s="185">
        <f>SUM(E1559:E1560)</f>
        <v>50.584155453701385</v>
      </c>
    </row>
    <row r="1563" spans="3:7">
      <c r="G1563" s="192"/>
    </row>
    <row r="1564" spans="3:7" ht="13.5" thickBot="1">
      <c r="D1564" s="398"/>
      <c r="E1564" s="398"/>
    </row>
    <row r="1565" spans="3:7">
      <c r="C1565" s="174" t="s">
        <v>242</v>
      </c>
      <c r="D1565" s="61" t="s">
        <v>35</v>
      </c>
      <c r="E1565" s="61" t="s">
        <v>36</v>
      </c>
    </row>
    <row r="1566" spans="3:7">
      <c r="C1566" s="54" t="s">
        <v>27</v>
      </c>
      <c r="D1566" s="181">
        <f>7.871+1213.676+16039.081+4297.356+D1544</f>
        <v>21562.984</v>
      </c>
      <c r="E1566" s="104">
        <f>D1566*$J$1538</f>
        <v>31.778969242332693</v>
      </c>
    </row>
    <row r="1567" spans="3:7">
      <c r="C1567" s="54" t="s">
        <v>28</v>
      </c>
      <c r="D1567" s="181">
        <v>0</v>
      </c>
      <c r="E1567" s="104">
        <f t="shared" ref="E1567:E1572" si="81">D1567*$J$1538</f>
        <v>0</v>
      </c>
    </row>
    <row r="1568" spans="3:7">
      <c r="C1568" s="54" t="s">
        <v>29</v>
      </c>
      <c r="D1568" s="181">
        <v>100490.05</v>
      </c>
      <c r="E1568" s="104">
        <f t="shared" si="81"/>
        <v>148.09964187287224</v>
      </c>
    </row>
    <row r="1569" spans="2:12">
      <c r="C1569" s="54" t="s">
        <v>30</v>
      </c>
      <c r="D1569" s="181">
        <f>120110.46+224684.014</f>
        <v>344794.47399999999</v>
      </c>
      <c r="E1569" s="104">
        <f t="shared" si="81"/>
        <v>508.1491960561803</v>
      </c>
    </row>
    <row r="1570" spans="2:12">
      <c r="C1570" s="54" t="s">
        <v>31</v>
      </c>
      <c r="D1570" s="181">
        <f>49051.025+224242.169</f>
        <v>273293.19400000002</v>
      </c>
      <c r="E1570" s="104">
        <f t="shared" si="81"/>
        <v>402.77245516042035</v>
      </c>
    </row>
    <row r="1571" spans="2:12">
      <c r="C1571" s="54" t="s">
        <v>32</v>
      </c>
      <c r="D1571" s="181">
        <f>82935.845+954726.24</f>
        <v>1037662.085</v>
      </c>
      <c r="E1571" s="104">
        <f t="shared" si="81"/>
        <v>1529.279597070137</v>
      </c>
    </row>
    <row r="1572" spans="2:12" ht="13.5" thickBot="1">
      <c r="C1572" s="54" t="s">
        <v>243</v>
      </c>
      <c r="D1572" s="104">
        <f>D1548</f>
        <v>300256.31900000002</v>
      </c>
      <c r="E1572" s="104">
        <f t="shared" si="81"/>
        <v>442.51001282183552</v>
      </c>
    </row>
    <row r="1573" spans="2:12" ht="13.5" thickBot="1">
      <c r="C1573" s="186" t="s">
        <v>37</v>
      </c>
      <c r="D1573" s="187">
        <f>SUM(D1566:D1572)</f>
        <v>2078059.1060000001</v>
      </c>
      <c r="E1573" s="193">
        <f>SUM(E1566:E1572)</f>
        <v>3062.589872223778</v>
      </c>
    </row>
    <row r="1574" spans="2:12">
      <c r="D1574" s="191"/>
    </row>
    <row r="1576" spans="2:12">
      <c r="B1576" s="52" t="s">
        <v>244</v>
      </c>
      <c r="I1576" s="52" t="s">
        <v>245</v>
      </c>
      <c r="J1576" s="179">
        <f>Model!G208</f>
        <v>1.4393252443254602E-3</v>
      </c>
    </row>
    <row r="1577" spans="2:12">
      <c r="C1577" s="129"/>
      <c r="D1577" s="396" t="s">
        <v>246</v>
      </c>
      <c r="E1577" s="397"/>
      <c r="F1577" s="115" t="s">
        <v>6</v>
      </c>
      <c r="G1577" s="115" t="s">
        <v>7</v>
      </c>
      <c r="I1577" s="52" t="s">
        <v>247</v>
      </c>
      <c r="J1577" s="179">
        <f>Model!G207</f>
        <v>1.5613000000000001E-3</v>
      </c>
    </row>
    <row r="1578" spans="2:12">
      <c r="C1578" s="130"/>
      <c r="D1578" s="116" t="s">
        <v>4</v>
      </c>
      <c r="E1578" s="91" t="s">
        <v>5</v>
      </c>
      <c r="F1578" s="117"/>
      <c r="G1578" s="117"/>
      <c r="I1578" s="52" t="s">
        <v>8</v>
      </c>
    </row>
    <row r="1579" spans="2:12">
      <c r="C1579" s="130" t="s">
        <v>10</v>
      </c>
      <c r="D1579" s="118"/>
      <c r="E1579" s="92"/>
      <c r="F1579" s="117"/>
      <c r="G1579" s="117"/>
    </row>
    <row r="1580" spans="2:12">
      <c r="C1580" s="131" t="s">
        <v>51</v>
      </c>
      <c r="D1580" s="158">
        <f>Model!AB107</f>
        <v>795.39</v>
      </c>
      <c r="E1580" s="92">
        <f>+D1580*$J$1576</f>
        <v>1.1448249060840279</v>
      </c>
      <c r="F1580" s="117"/>
      <c r="G1580" s="117"/>
      <c r="I1580" s="129"/>
      <c r="J1580" s="396" t="s">
        <v>246</v>
      </c>
      <c r="K1580" s="397"/>
      <c r="L1580" s="115" t="s">
        <v>67</v>
      </c>
    </row>
    <row r="1581" spans="2:12">
      <c r="C1581" s="131" t="s">
        <v>52</v>
      </c>
      <c r="D1581" s="158">
        <f>Model!AB108</f>
        <v>17237.384999999998</v>
      </c>
      <c r="E1581" s="92">
        <f>+D1581*$J$1576</f>
        <v>24.810203376657022</v>
      </c>
      <c r="F1581" s="117"/>
      <c r="G1581" s="117"/>
      <c r="I1581" s="164"/>
      <c r="J1581" s="166" t="s">
        <v>4</v>
      </c>
      <c r="K1581" s="166" t="s">
        <v>5</v>
      </c>
      <c r="L1581" s="165"/>
    </row>
    <row r="1582" spans="2:12">
      <c r="C1582" s="131" t="s">
        <v>248</v>
      </c>
      <c r="D1582" s="158">
        <f>Model!AB109</f>
        <v>0</v>
      </c>
      <c r="E1582" s="92">
        <f>+D1582*$J$1576</f>
        <v>0</v>
      </c>
      <c r="F1582" s="117"/>
      <c r="G1582" s="117"/>
      <c r="I1582" s="132" t="s">
        <v>17</v>
      </c>
      <c r="J1582" s="167">
        <f>D1587</f>
        <v>1807579.7060000002</v>
      </c>
      <c r="K1582" s="167">
        <f>J1582*J1576</f>
        <v>2601.6951019761941</v>
      </c>
      <c r="L1582" s="120">
        <f>+J1582/J1587</f>
        <v>4.2339910803169678</v>
      </c>
    </row>
    <row r="1583" spans="2:12">
      <c r="C1583" s="130" t="s">
        <v>15</v>
      </c>
      <c r="D1583" s="92"/>
      <c r="E1583" s="92"/>
      <c r="F1583" s="117"/>
      <c r="G1583" s="117"/>
      <c r="I1583" s="133" t="s">
        <v>18</v>
      </c>
      <c r="J1583" s="168">
        <f>J1582-J1584</f>
        <v>169479.70600000024</v>
      </c>
      <c r="K1583" s="168">
        <f>K1582-K1584</f>
        <v>243.93641924665781</v>
      </c>
      <c r="L1583" s="123"/>
    </row>
    <row r="1584" spans="2:12">
      <c r="C1584" s="131" t="s">
        <v>51</v>
      </c>
      <c r="D1584" s="158">
        <f>Model!AB112</f>
        <v>357283.98300000001</v>
      </c>
      <c r="E1584" s="92">
        <f>+D1584*$J$1576</f>
        <v>514.24785612504854</v>
      </c>
      <c r="F1584" s="117"/>
      <c r="G1584" s="117"/>
      <c r="I1584" s="132" t="s">
        <v>9</v>
      </c>
      <c r="J1584" s="180">
        <v>1638100</v>
      </c>
      <c r="K1584" s="171">
        <f>J1584*J1576</f>
        <v>2357.7586827295363</v>
      </c>
      <c r="L1584" s="120">
        <f>+J1584/J1587</f>
        <v>3.8370096575244599</v>
      </c>
    </row>
    <row r="1585" spans="3:12">
      <c r="C1585" s="131" t="s">
        <v>52</v>
      </c>
      <c r="D1585" s="158">
        <f>Model!AB113</f>
        <v>1432262.9480000001</v>
      </c>
      <c r="E1585" s="92">
        <f>+D1585*$J$1576</f>
        <v>2061.4922175684042</v>
      </c>
      <c r="F1585" s="117"/>
      <c r="G1585" s="117"/>
      <c r="I1585" s="134" t="s">
        <v>19</v>
      </c>
      <c r="J1585" s="169">
        <f>D1590</f>
        <v>1366421.9620000001</v>
      </c>
      <c r="K1585" s="172">
        <f>+J1585*$J$1576</f>
        <v>1966.7256243073248</v>
      </c>
      <c r="L1585" s="125"/>
    </row>
    <row r="1586" spans="3:12">
      <c r="C1586" s="131" t="s">
        <v>248</v>
      </c>
      <c r="D1586" s="158">
        <f>Model!AB114</f>
        <v>0</v>
      </c>
      <c r="E1586" s="92">
        <f>+D1586*$J$1576</f>
        <v>0</v>
      </c>
      <c r="F1586" s="117"/>
      <c r="G1586" s="117"/>
      <c r="I1586" s="134" t="s">
        <v>20</v>
      </c>
      <c r="J1586" s="169">
        <f>J1582+J1585</f>
        <v>3174001.6680000005</v>
      </c>
      <c r="K1586" s="169">
        <f>K1582+K1585</f>
        <v>4568.4207262835189</v>
      </c>
      <c r="L1586" s="125"/>
    </row>
    <row r="1587" spans="3:12">
      <c r="C1587" s="132" t="s">
        <v>17</v>
      </c>
      <c r="D1587" s="119">
        <f>SUM(D1580:D1586)</f>
        <v>1807579.7060000002</v>
      </c>
      <c r="E1587" s="161">
        <f>SUM(E1580:E1586)</f>
        <v>2601.6951019761937</v>
      </c>
      <c r="F1587" s="120">
        <f>+D1587/D1592</f>
        <v>4.2339910803169678</v>
      </c>
      <c r="G1587" s="120">
        <f>+E1587/E1592</f>
        <v>3.9032154269833073</v>
      </c>
      <c r="I1587" s="135" t="s">
        <v>68</v>
      </c>
      <c r="J1587" s="170">
        <f>D1592</f>
        <v>426921</v>
      </c>
      <c r="K1587" s="170"/>
      <c r="L1587" s="128"/>
    </row>
    <row r="1588" spans="3:12">
      <c r="C1588" s="133" t="s">
        <v>18</v>
      </c>
      <c r="D1588" s="121">
        <f>Model!AB118</f>
        <v>72748.25</v>
      </c>
      <c r="E1588" s="162">
        <f>+D1588*$J$1576</f>
        <v>104.70839270549966</v>
      </c>
      <c r="F1588" s="123"/>
      <c r="G1588" s="123"/>
    </row>
    <row r="1589" spans="3:12">
      <c r="C1589" s="132" t="s">
        <v>9</v>
      </c>
      <c r="D1589" s="119">
        <f>+D1587-D1588</f>
        <v>1734831.4560000002</v>
      </c>
      <c r="E1589" s="107">
        <f>+E1587-E1588</f>
        <v>2496.9867092706941</v>
      </c>
      <c r="F1589" s="120">
        <f>+D1589/D1592</f>
        <v>4.0635889450273011</v>
      </c>
      <c r="G1589" s="120">
        <f>+E1589/E1592</f>
        <v>3.7461257613140702</v>
      </c>
    </row>
    <row r="1590" spans="3:12">
      <c r="C1590" s="134" t="s">
        <v>19</v>
      </c>
      <c r="D1590" s="124">
        <f>Model!AB125</f>
        <v>1366421.9620000001</v>
      </c>
      <c r="E1590" s="162">
        <f>+D1590*$J$1576</f>
        <v>1966.7256243073248</v>
      </c>
      <c r="F1590" s="125"/>
      <c r="G1590" s="125"/>
    </row>
    <row r="1591" spans="3:12">
      <c r="C1591" s="134" t="s">
        <v>20</v>
      </c>
      <c r="D1591" s="124">
        <f>D1587+D1590</f>
        <v>3174001.6680000005</v>
      </c>
      <c r="E1591" s="108">
        <f>E1587+E1590</f>
        <v>4568.4207262835189</v>
      </c>
      <c r="F1591" s="125"/>
      <c r="G1591" s="125"/>
    </row>
    <row r="1592" spans="3:12">
      <c r="C1592" s="135" t="s">
        <v>68</v>
      </c>
      <c r="D1592" s="126">
        <f>Model!AB84</f>
        <v>426921</v>
      </c>
      <c r="E1592" s="127">
        <f>D1592*J1577</f>
        <v>666.55175730000008</v>
      </c>
      <c r="F1592" s="128"/>
      <c r="G1592" s="128"/>
    </row>
    <row r="1594" spans="3:12">
      <c r="C1594" s="136" t="s">
        <v>22</v>
      </c>
      <c r="D1594" s="137">
        <f>D1587-Model!AB121</f>
        <v>0</v>
      </c>
    </row>
    <row r="1595" spans="3:12" ht="13.5" thickBot="1">
      <c r="D1595" s="395"/>
      <c r="E1595" s="395"/>
    </row>
    <row r="1596" spans="3:12">
      <c r="C1596" s="60" t="s">
        <v>249</v>
      </c>
      <c r="D1596" s="61" t="s">
        <v>35</v>
      </c>
      <c r="E1596" s="61" t="s">
        <v>36</v>
      </c>
    </row>
    <row r="1597" spans="3:12">
      <c r="C1597" s="62"/>
      <c r="D1597" s="84"/>
      <c r="E1597" s="84"/>
    </row>
    <row r="1598" spans="3:12">
      <c r="C1598" s="62" t="s">
        <v>24</v>
      </c>
      <c r="D1598" s="84">
        <f>D1588</f>
        <v>72748.25</v>
      </c>
      <c r="E1598" s="84">
        <f>D1598*$J$1576</f>
        <v>104.70839270549966</v>
      </c>
    </row>
    <row r="1599" spans="3:12" ht="13.5" thickBot="1">
      <c r="C1599" s="63" t="s">
        <v>225</v>
      </c>
      <c r="D1599" s="85">
        <f>SUM(D1597:D1598)</f>
        <v>72748.25</v>
      </c>
      <c r="E1599" s="85">
        <f>SUM(E1597:E1598)</f>
        <v>104.70839270549966</v>
      </c>
    </row>
    <row r="1602" spans="2:10" ht="13.5" thickBot="1">
      <c r="D1602" s="398"/>
      <c r="E1602" s="398"/>
    </row>
    <row r="1603" spans="2:10">
      <c r="C1603" s="174" t="s">
        <v>250</v>
      </c>
      <c r="D1603" s="61" t="s">
        <v>35</v>
      </c>
      <c r="E1603" s="61" t="s">
        <v>36</v>
      </c>
    </row>
    <row r="1604" spans="2:10">
      <c r="C1604" s="54" t="s">
        <v>27</v>
      </c>
      <c r="D1604" s="181">
        <f>3.163+792.227+11000.525+6236.86</f>
        <v>18032.774999999998</v>
      </c>
      <c r="E1604" s="93">
        <f t="shared" ref="E1604:E1609" si="82">D1604*$J$1576</f>
        <v>25.955028282741047</v>
      </c>
    </row>
    <row r="1605" spans="2:10">
      <c r="C1605" s="54" t="s">
        <v>28</v>
      </c>
      <c r="D1605" s="181">
        <v>0</v>
      </c>
      <c r="E1605" s="93">
        <f t="shared" si="82"/>
        <v>0</v>
      </c>
    </row>
    <row r="1606" spans="2:10">
      <c r="C1606" s="54" t="s">
        <v>29</v>
      </c>
      <c r="D1606" s="181">
        <v>102234.44500000001</v>
      </c>
      <c r="E1606" s="93">
        <f t="shared" si="82"/>
        <v>147.14861752810285</v>
      </c>
    </row>
    <row r="1607" spans="2:10">
      <c r="C1607" s="54" t="s">
        <v>30</v>
      </c>
      <c r="D1607" s="181">
        <f>200293.884+229976.096</f>
        <v>430269.98</v>
      </c>
      <c r="E1607" s="93">
        <f t="shared" si="82"/>
        <v>619.29844408941085</v>
      </c>
    </row>
    <row r="1608" spans="2:10">
      <c r="C1608" s="54" t="s">
        <v>31</v>
      </c>
      <c r="D1608" s="181">
        <v>229523.67600000001</v>
      </c>
      <c r="E1608" s="93">
        <f t="shared" si="82"/>
        <v>330.3592210371778</v>
      </c>
    </row>
    <row r="1609" spans="2:10" ht="13.5" thickBot="1">
      <c r="C1609" s="55" t="s">
        <v>32</v>
      </c>
      <c r="D1609" s="182">
        <f>54755.654+972763.176</f>
        <v>1027518.83</v>
      </c>
      <c r="E1609" s="93">
        <f t="shared" si="82"/>
        <v>1478.933791038761</v>
      </c>
    </row>
    <row r="1610" spans="2:10" ht="13.5" thickBot="1">
      <c r="C1610" s="103" t="s">
        <v>37</v>
      </c>
      <c r="D1610" s="159">
        <f>SUM(D1604:D1609)</f>
        <v>1807579.7059999998</v>
      </c>
      <c r="E1610" s="175">
        <f>SUM(E1604:E1609)</f>
        <v>2601.6951019761937</v>
      </c>
    </row>
    <row r="1613" spans="2:10">
      <c r="B1613" s="52" t="s">
        <v>251</v>
      </c>
      <c r="I1613" s="52" t="s">
        <v>252</v>
      </c>
      <c r="J1613" s="179">
        <f>Model!AA208</f>
        <v>1.514187941007238E-3</v>
      </c>
    </row>
    <row r="1614" spans="2:10">
      <c r="C1614" s="129"/>
      <c r="D1614" s="396" t="s">
        <v>253</v>
      </c>
      <c r="E1614" s="397"/>
      <c r="F1614" s="115" t="s">
        <v>67</v>
      </c>
      <c r="G1614" s="203"/>
    </row>
    <row r="1615" spans="2:10">
      <c r="C1615" s="130"/>
      <c r="D1615" s="116" t="s">
        <v>4</v>
      </c>
      <c r="E1615" s="91" t="s">
        <v>5</v>
      </c>
      <c r="F1615" s="117"/>
      <c r="G1615" s="204"/>
      <c r="I1615" s="52" t="s">
        <v>8</v>
      </c>
    </row>
    <row r="1616" spans="2:10">
      <c r="C1616" s="130" t="s">
        <v>10</v>
      </c>
      <c r="D1616" s="118"/>
      <c r="E1616" s="92"/>
      <c r="F1616" s="117"/>
      <c r="G1616" s="204"/>
    </row>
    <row r="1617" spans="3:12">
      <c r="C1617" s="131" t="s">
        <v>51</v>
      </c>
      <c r="D1617" s="158">
        <f>Model!AA107</f>
        <v>1080.4449999999999</v>
      </c>
      <c r="E1617" s="92">
        <f t="shared" ref="E1617:E1623" si="83">+D1617*$J$1613</f>
        <v>1.6359967899215653</v>
      </c>
      <c r="F1617" s="117"/>
      <c r="G1617" s="204"/>
      <c r="I1617" s="129"/>
      <c r="J1617" s="396" t="s">
        <v>253</v>
      </c>
      <c r="K1617" s="397"/>
      <c r="L1617" s="115" t="s">
        <v>67</v>
      </c>
    </row>
    <row r="1618" spans="3:12">
      <c r="C1618" s="131" t="s">
        <v>52</v>
      </c>
      <c r="D1618" s="158">
        <f>Model!AA108</f>
        <v>19836.43</v>
      </c>
      <c r="E1618" s="92">
        <f t="shared" si="83"/>
        <v>30.036083098634208</v>
      </c>
      <c r="F1618" s="117"/>
      <c r="G1618" s="204"/>
      <c r="I1618" s="164"/>
      <c r="J1618" s="166" t="s">
        <v>4</v>
      </c>
      <c r="K1618" s="166" t="s">
        <v>5</v>
      </c>
      <c r="L1618" s="165"/>
    </row>
    <row r="1619" spans="3:12">
      <c r="C1619" s="131" t="s">
        <v>248</v>
      </c>
      <c r="D1619" s="158">
        <f>Model!AA109</f>
        <v>187.51499999999999</v>
      </c>
      <c r="E1619" s="92">
        <f t="shared" si="83"/>
        <v>0.28393295175797223</v>
      </c>
      <c r="F1619" s="117"/>
      <c r="G1619" s="204"/>
      <c r="I1619" s="132" t="s">
        <v>17</v>
      </c>
      <c r="J1619" s="167">
        <v>1685314</v>
      </c>
      <c r="K1619" s="167">
        <f>J1619*J1613</f>
        <v>2551.8821356106723</v>
      </c>
      <c r="L1619" s="120">
        <f>+J1619/J1624</f>
        <v>4.0403315476245512</v>
      </c>
    </row>
    <row r="1620" spans="3:12">
      <c r="C1620" s="130" t="s">
        <v>15</v>
      </c>
      <c r="D1620" s="92"/>
      <c r="E1620" s="92">
        <f t="shared" si="83"/>
        <v>0</v>
      </c>
      <c r="F1620" s="117"/>
      <c r="G1620" s="204"/>
      <c r="I1620" s="133" t="s">
        <v>18</v>
      </c>
      <c r="J1620" s="168">
        <f>J1619-J1621</f>
        <v>23420</v>
      </c>
      <c r="K1620" s="168">
        <f>K1619-K1621</f>
        <v>35.462281578389593</v>
      </c>
      <c r="L1620" s="123"/>
    </row>
    <row r="1621" spans="3:12">
      <c r="C1621" s="131" t="s">
        <v>51</v>
      </c>
      <c r="D1621" s="158">
        <f>Model!AA112</f>
        <v>295099.16800000001</v>
      </c>
      <c r="E1621" s="92">
        <f t="shared" si="83"/>
        <v>446.83560158686902</v>
      </c>
      <c r="F1621" s="117"/>
      <c r="G1621" s="204"/>
      <c r="I1621" s="132" t="s">
        <v>9</v>
      </c>
      <c r="J1621" s="180">
        <v>1661894</v>
      </c>
      <c r="K1621" s="171">
        <f>J1621*J1613</f>
        <v>2516.4198540322827</v>
      </c>
      <c r="L1621" s="120">
        <f>+J1621/J1624</f>
        <v>3.9841849987645959</v>
      </c>
    </row>
    <row r="1622" spans="3:12">
      <c r="C1622" s="131" t="s">
        <v>52</v>
      </c>
      <c r="D1622" s="158">
        <f>Model!AA113</f>
        <v>1369110.602</v>
      </c>
      <c r="E1622" s="92">
        <f t="shared" si="83"/>
        <v>2073.0907634535602</v>
      </c>
      <c r="F1622" s="117"/>
      <c r="G1622" s="204"/>
      <c r="I1622" s="134" t="s">
        <v>19</v>
      </c>
      <c r="J1622" s="169">
        <f>D1627</f>
        <v>1317907.608</v>
      </c>
      <c r="K1622" s="172">
        <f>+J1622*$J$1613</f>
        <v>1995.5598073952942</v>
      </c>
      <c r="L1622" s="125"/>
    </row>
    <row r="1623" spans="3:12">
      <c r="C1623" s="131" t="s">
        <v>248</v>
      </c>
      <c r="D1623" s="158">
        <f>Model!AA114</f>
        <v>0</v>
      </c>
      <c r="E1623" s="92">
        <f t="shared" si="83"/>
        <v>0</v>
      </c>
      <c r="F1623" s="117"/>
      <c r="G1623" s="204"/>
      <c r="I1623" s="134" t="s">
        <v>20</v>
      </c>
      <c r="J1623" s="169">
        <f>J1619+J1622</f>
        <v>3003221.608</v>
      </c>
      <c r="K1623" s="169">
        <f>K1619+K1622</f>
        <v>4547.4419430059661</v>
      </c>
      <c r="L1623" s="125"/>
    </row>
    <row r="1624" spans="3:12">
      <c r="C1624" s="132" t="s">
        <v>17</v>
      </c>
      <c r="D1624" s="119">
        <f>SUM(D1617:D1623)</f>
        <v>1685314.16</v>
      </c>
      <c r="E1624" s="161">
        <f>SUM(E1617:E1623)</f>
        <v>2551.8823778807428</v>
      </c>
      <c r="F1624" s="120">
        <f>+D1624/D1629</f>
        <v>4.0403319312047312</v>
      </c>
      <c r="G1624" s="205"/>
      <c r="I1624" s="135" t="s">
        <v>68</v>
      </c>
      <c r="J1624" s="170">
        <f>D1629</f>
        <v>417122.69900000002</v>
      </c>
      <c r="K1624" s="170"/>
      <c r="L1624" s="128"/>
    </row>
    <row r="1625" spans="3:12">
      <c r="C1625" s="133" t="s">
        <v>18</v>
      </c>
      <c r="D1625" s="121">
        <f>Model!AA118</f>
        <v>9116.1180000000004</v>
      </c>
      <c r="E1625" s="162">
        <f>+D1625*$J$1613</f>
        <v>13.803515944399022</v>
      </c>
      <c r="F1625" s="123"/>
      <c r="G1625" s="206"/>
    </row>
    <row r="1626" spans="3:12">
      <c r="C1626" s="132" t="s">
        <v>9</v>
      </c>
      <c r="D1626" s="119">
        <f>+D1624-D1625</f>
        <v>1676198.0419999999</v>
      </c>
      <c r="E1626" s="107">
        <f>+E1624-E1625</f>
        <v>2538.0788619363439</v>
      </c>
      <c r="F1626" s="120">
        <f>+D1626/D1629</f>
        <v>4.0184771675539999</v>
      </c>
      <c r="G1626" s="205"/>
    </row>
    <row r="1627" spans="3:12">
      <c r="C1627" s="134" t="s">
        <v>19</v>
      </c>
      <c r="D1627" s="124">
        <f>Model!AA125</f>
        <v>1317907.608</v>
      </c>
      <c r="E1627" s="162">
        <f>+D1627*$J$1613</f>
        <v>1995.5598073952942</v>
      </c>
      <c r="F1627" s="125"/>
    </row>
    <row r="1628" spans="3:12">
      <c r="C1628" s="134" t="s">
        <v>20</v>
      </c>
      <c r="D1628" s="124">
        <f>D1624+D1627</f>
        <v>3003221.7680000002</v>
      </c>
      <c r="E1628" s="108">
        <f>E1624+E1627</f>
        <v>4547.442185276037</v>
      </c>
      <c r="F1628" s="125"/>
    </row>
    <row r="1629" spans="3:12">
      <c r="C1629" s="135" t="s">
        <v>68</v>
      </c>
      <c r="D1629" s="126">
        <f>Model!AA84</f>
        <v>417122.69900000002</v>
      </c>
      <c r="E1629" s="127"/>
      <c r="F1629" s="128"/>
    </row>
    <row r="1631" spans="3:12">
      <c r="C1631" s="136" t="s">
        <v>22</v>
      </c>
      <c r="D1631" s="137">
        <f>D1624-Model!AA121</f>
        <v>0</v>
      </c>
    </row>
    <row r="1632" spans="3:12" ht="13.5" thickBot="1">
      <c r="D1632" s="395"/>
      <c r="E1632" s="395"/>
    </row>
    <row r="1633" spans="3:5">
      <c r="C1633" s="60" t="s">
        <v>254</v>
      </c>
      <c r="D1633" s="61" t="s">
        <v>35</v>
      </c>
      <c r="E1633" s="61" t="s">
        <v>36</v>
      </c>
    </row>
    <row r="1634" spans="3:5">
      <c r="C1634" s="62"/>
      <c r="D1634" s="84"/>
      <c r="E1634" s="84"/>
    </row>
    <row r="1635" spans="3:5">
      <c r="C1635" s="62" t="s">
        <v>24</v>
      </c>
      <c r="D1635" s="84">
        <f>D1625</f>
        <v>9116.1180000000004</v>
      </c>
      <c r="E1635" s="84">
        <f>D1635*$J$1613</f>
        <v>13.803515944399022</v>
      </c>
    </row>
    <row r="1636" spans="3:5" ht="13.5" thickBot="1">
      <c r="C1636" s="63" t="s">
        <v>225</v>
      </c>
      <c r="D1636" s="85">
        <f>SUM(D1634:D1635)</f>
        <v>9116.1180000000004</v>
      </c>
      <c r="E1636" s="85">
        <f>SUM(E1634:E1635)</f>
        <v>13.803515944399022</v>
      </c>
    </row>
    <row r="1639" spans="3:5" ht="13.5" thickBot="1">
      <c r="D1639" s="395"/>
      <c r="E1639" s="395"/>
    </row>
    <row r="1640" spans="3:5">
      <c r="C1640" s="53" t="s">
        <v>255</v>
      </c>
      <c r="D1640" s="56" t="s">
        <v>35</v>
      </c>
      <c r="E1640" s="56" t="s">
        <v>256</v>
      </c>
    </row>
    <row r="1641" spans="3:5">
      <c r="C1641" s="54" t="s">
        <v>27</v>
      </c>
      <c r="D1641" s="104">
        <f>78.105+1002.34+15653.77+4182.66+187.515</f>
        <v>21104.39</v>
      </c>
      <c r="E1641" s="93">
        <f t="shared" ref="E1641:E1646" si="84">D1641*$J$1613</f>
        <v>31.956012840313743</v>
      </c>
    </row>
    <row r="1642" spans="3:5">
      <c r="C1642" s="54" t="s">
        <v>28</v>
      </c>
      <c r="D1642" s="104">
        <v>0</v>
      </c>
      <c r="E1642" s="93">
        <f t="shared" si="84"/>
        <v>0</v>
      </c>
    </row>
    <row r="1643" spans="3:5">
      <c r="C1643" s="54" t="s">
        <v>29</v>
      </c>
      <c r="D1643" s="104">
        <v>8395.7060000000001</v>
      </c>
      <c r="E1643" s="93">
        <f t="shared" si="84"/>
        <v>12.712676781442115</v>
      </c>
    </row>
    <row r="1644" spans="3:5">
      <c r="C1644" s="54" t="s">
        <v>30</v>
      </c>
      <c r="D1644" s="104">
        <v>286703.462</v>
      </c>
      <c r="E1644" s="93">
        <f t="shared" si="84"/>
        <v>434.12292480542692</v>
      </c>
    </row>
    <row r="1645" spans="3:5">
      <c r="C1645" s="54" t="s">
        <v>31</v>
      </c>
      <c r="D1645" s="104">
        <v>218520.32800000001</v>
      </c>
      <c r="E1645" s="93">
        <f t="shared" si="84"/>
        <v>330.88084552254634</v>
      </c>
    </row>
    <row r="1646" spans="3:5" ht="13.5" thickBot="1">
      <c r="C1646" s="55" t="s">
        <v>32</v>
      </c>
      <c r="D1646" s="105">
        <v>1150590.274</v>
      </c>
      <c r="E1646" s="105">
        <f t="shared" si="84"/>
        <v>1742.2099179310137</v>
      </c>
    </row>
    <row r="1647" spans="3:5" ht="13.5" thickBot="1">
      <c r="C1647" s="103" t="s">
        <v>37</v>
      </c>
      <c r="D1647" s="159">
        <f>SUM(D1641:D1646)</f>
        <v>1685314.1600000001</v>
      </c>
      <c r="E1647" s="159">
        <f>SUM(E1641:E1646)</f>
        <v>2551.8823778807428</v>
      </c>
    </row>
    <row r="1649" spans="2:10">
      <c r="B1649" s="52" t="s">
        <v>257</v>
      </c>
      <c r="I1649" s="52" t="s">
        <v>258</v>
      </c>
      <c r="J1649" s="157">
        <f>Model!Z208</f>
        <v>1.5356029545000843E-3</v>
      </c>
    </row>
    <row r="1650" spans="2:10">
      <c r="C1650" s="129"/>
      <c r="D1650" s="396" t="s">
        <v>259</v>
      </c>
      <c r="E1650" s="397"/>
      <c r="F1650" s="115" t="s">
        <v>67</v>
      </c>
      <c r="G1650" s="203"/>
    </row>
    <row r="1651" spans="2:10">
      <c r="C1651" s="130"/>
      <c r="D1651" s="116" t="s">
        <v>4</v>
      </c>
      <c r="E1651" s="91" t="s">
        <v>5</v>
      </c>
      <c r="F1651" s="117"/>
      <c r="G1651" s="204"/>
    </row>
    <row r="1652" spans="2:10">
      <c r="C1652" s="130" t="s">
        <v>10</v>
      </c>
      <c r="D1652" s="118"/>
      <c r="E1652" s="92"/>
      <c r="F1652" s="117"/>
      <c r="G1652" s="204"/>
    </row>
    <row r="1653" spans="2:10">
      <c r="C1653" s="131" t="s">
        <v>51</v>
      </c>
      <c r="D1653" s="158">
        <f>Model!Z107</f>
        <v>651.49800000000005</v>
      </c>
      <c r="E1653" s="92">
        <f>+D1653*$J$1649</f>
        <v>1.0004422536508959</v>
      </c>
      <c r="F1653" s="117"/>
      <c r="G1653" s="204"/>
    </row>
    <row r="1654" spans="2:10">
      <c r="C1654" s="131" t="s">
        <v>52</v>
      </c>
      <c r="D1654" s="158">
        <f>Model!Z108</f>
        <v>16175.513999999999</v>
      </c>
      <c r="E1654" s="92">
        <f>+D1654*$J$1649</f>
        <v>24.839167088957474</v>
      </c>
      <c r="F1654" s="117"/>
      <c r="G1654" s="204"/>
    </row>
    <row r="1655" spans="2:10">
      <c r="C1655" s="131" t="s">
        <v>248</v>
      </c>
      <c r="D1655" s="158">
        <f>Model!Z109</f>
        <v>495.32799999999997</v>
      </c>
      <c r="E1655" s="92">
        <f>+D1655*$J$1649</f>
        <v>0.76062714024661771</v>
      </c>
      <c r="F1655" s="117"/>
      <c r="G1655" s="204"/>
    </row>
    <row r="1656" spans="2:10">
      <c r="C1656" s="130" t="s">
        <v>15</v>
      </c>
      <c r="D1656" s="92"/>
      <c r="E1656" s="92"/>
      <c r="F1656" s="117"/>
      <c r="G1656" s="204"/>
    </row>
    <row r="1657" spans="2:10">
      <c r="C1657" s="131" t="s">
        <v>51</v>
      </c>
      <c r="D1657" s="158">
        <f>Model!Z112</f>
        <v>292883.54399999999</v>
      </c>
      <c r="E1657" s="92">
        <f>+D1657*$J$1649</f>
        <v>449.75283549085543</v>
      </c>
      <c r="F1657" s="117"/>
      <c r="G1657" s="204"/>
    </row>
    <row r="1658" spans="2:10">
      <c r="C1658" s="131" t="s">
        <v>52</v>
      </c>
      <c r="D1658" s="158">
        <f>Model!Z113</f>
        <v>1350890.42</v>
      </c>
      <c r="E1658" s="92">
        <f>+D1658*$J$1649</f>
        <v>2074.4313201578598</v>
      </c>
      <c r="F1658" s="117"/>
      <c r="G1658" s="204"/>
    </row>
    <row r="1659" spans="2:10">
      <c r="C1659" s="131" t="s">
        <v>248</v>
      </c>
      <c r="D1659" s="158">
        <f>Model!Z114</f>
        <v>0</v>
      </c>
      <c r="E1659" s="92">
        <f>+D1659*$J$1649</f>
        <v>0</v>
      </c>
      <c r="F1659" s="117"/>
      <c r="G1659" s="204"/>
    </row>
    <row r="1660" spans="2:10">
      <c r="C1660" s="132" t="s">
        <v>17</v>
      </c>
      <c r="D1660" s="119">
        <f>SUM(D1653:D1659)</f>
        <v>1661096.304</v>
      </c>
      <c r="E1660" s="161">
        <f>SUM(E1653:E1659)</f>
        <v>2550.7843921315703</v>
      </c>
      <c r="F1660" s="120">
        <f>+D1660/D1665</f>
        <v>3.9355784998984258</v>
      </c>
      <c r="G1660" s="205"/>
    </row>
    <row r="1661" spans="2:10">
      <c r="C1661" s="133" t="s">
        <v>18</v>
      </c>
      <c r="D1661" s="121">
        <f>Model!Z118</f>
        <v>32416.123</v>
      </c>
      <c r="E1661" s="122">
        <f>+D1661*$J$1649</f>
        <v>49.778294252238133</v>
      </c>
      <c r="F1661" s="123"/>
      <c r="G1661" s="206"/>
    </row>
    <row r="1662" spans="2:10">
      <c r="C1662" s="132" t="s">
        <v>9</v>
      </c>
      <c r="D1662" s="119">
        <f>+D1660-D1661</f>
        <v>1628680.1810000001</v>
      </c>
      <c r="E1662" s="107">
        <f>+E1660-E1661</f>
        <v>2501.0060978793322</v>
      </c>
      <c r="F1662" s="120">
        <f>+D1662/D1665</f>
        <v>3.8587760915000366</v>
      </c>
      <c r="G1662" s="205"/>
    </row>
    <row r="1663" spans="2:10">
      <c r="C1663" s="134" t="s">
        <v>19</v>
      </c>
      <c r="D1663" s="124">
        <f>Model!Z125</f>
        <v>1326136.4480000001</v>
      </c>
      <c r="E1663" s="70">
        <f>+D1663*$J$1649</f>
        <v>2036.4190476190474</v>
      </c>
      <c r="F1663" s="125"/>
    </row>
    <row r="1664" spans="2:10">
      <c r="C1664" s="134" t="s">
        <v>20</v>
      </c>
      <c r="D1664" s="124">
        <f>D1660+D1663</f>
        <v>2987232.7520000003</v>
      </c>
      <c r="E1664" s="108">
        <f>E1660+E1663</f>
        <v>4587.2034397506177</v>
      </c>
      <c r="F1664" s="125"/>
    </row>
    <row r="1665" spans="3:6">
      <c r="C1665" s="135" t="s">
        <v>68</v>
      </c>
      <c r="D1665" s="126">
        <f>Model!Z84</f>
        <v>422071.69900000002</v>
      </c>
      <c r="E1665" s="127"/>
      <c r="F1665" s="128"/>
    </row>
    <row r="1667" spans="3:6">
      <c r="C1667" s="136" t="s">
        <v>22</v>
      </c>
      <c r="D1667" s="137">
        <f>D1660-Model!Z121</f>
        <v>0</v>
      </c>
      <c r="E1667" s="138"/>
    </row>
    <row r="1668" spans="3:6" ht="13.5" thickBot="1">
      <c r="D1668" s="395"/>
      <c r="E1668" s="395"/>
    </row>
    <row r="1669" spans="3:6">
      <c r="C1669" s="60" t="s">
        <v>260</v>
      </c>
      <c r="D1669" s="61" t="s">
        <v>35</v>
      </c>
      <c r="E1669" s="61" t="s">
        <v>36</v>
      </c>
    </row>
    <row r="1670" spans="3:6">
      <c r="C1670" s="62"/>
      <c r="D1670" s="84"/>
      <c r="E1670" s="84"/>
    </row>
    <row r="1671" spans="3:6">
      <c r="C1671" s="62" t="s">
        <v>24</v>
      </c>
      <c r="D1671" s="84">
        <f>D1661</f>
        <v>32416.123</v>
      </c>
      <c r="E1671" s="84">
        <f>D1671*$J$1649</f>
        <v>49.778294252238133</v>
      </c>
    </row>
    <row r="1672" spans="3:6" ht="13.5" thickBot="1">
      <c r="C1672" s="63" t="s">
        <v>225</v>
      </c>
      <c r="D1672" s="85">
        <f>SUM(D1670:D1671)</f>
        <v>32416.123</v>
      </c>
      <c r="E1672" s="85">
        <f>SUM(E1670:E1671)</f>
        <v>49.778294252238133</v>
      </c>
    </row>
    <row r="1675" spans="3:6" ht="13.5" thickBot="1">
      <c r="D1675" s="395"/>
      <c r="E1675" s="395"/>
    </row>
    <row r="1676" spans="3:6">
      <c r="C1676" s="53" t="s">
        <v>261</v>
      </c>
      <c r="D1676" s="56" t="s">
        <v>35</v>
      </c>
      <c r="E1676" s="56" t="s">
        <v>256</v>
      </c>
    </row>
    <row r="1677" spans="3:6">
      <c r="C1677" s="54" t="s">
        <v>27</v>
      </c>
      <c r="D1677" s="104">
        <f>64.387+560.321+26.79+10310.825+5864.689+309.173+186.155</f>
        <v>17322.34</v>
      </c>
      <c r="E1677" s="93">
        <f t="shared" ref="E1677:E1682" si="85">D1677*$J$1649</f>
        <v>26.600236482854989</v>
      </c>
    </row>
    <row r="1678" spans="3:6">
      <c r="C1678" s="54" t="s">
        <v>28</v>
      </c>
      <c r="D1678" s="104">
        <v>0</v>
      </c>
      <c r="E1678" s="93">
        <f t="shared" si="85"/>
        <v>0</v>
      </c>
    </row>
    <row r="1679" spans="3:6">
      <c r="C1679" s="54" t="s">
        <v>29</v>
      </c>
      <c r="D1679" s="104">
        <v>8392.14</v>
      </c>
      <c r="E1679" s="93">
        <f t="shared" si="85"/>
        <v>12.886994978578336</v>
      </c>
    </row>
    <row r="1680" spans="3:6">
      <c r="C1680" s="54" t="s">
        <v>30</v>
      </c>
      <c r="D1680" s="104">
        <v>284491.40399999998</v>
      </c>
      <c r="E1680" s="93">
        <f t="shared" si="85"/>
        <v>436.86584051227709</v>
      </c>
    </row>
    <row r="1681" spans="3:5">
      <c r="C1681" s="54" t="s">
        <v>31</v>
      </c>
      <c r="D1681" s="104">
        <v>0</v>
      </c>
      <c r="E1681" s="93">
        <f t="shared" si="85"/>
        <v>0</v>
      </c>
    </row>
    <row r="1682" spans="3:5" ht="13.5" thickBot="1">
      <c r="C1682" s="55" t="s">
        <v>32</v>
      </c>
      <c r="D1682" s="105">
        <v>1350890.42</v>
      </c>
      <c r="E1682" s="105">
        <f t="shared" si="85"/>
        <v>2074.4313201578598</v>
      </c>
    </row>
    <row r="1683" spans="3:5" ht="13.5" thickBot="1">
      <c r="C1683" s="103" t="s">
        <v>37</v>
      </c>
      <c r="D1683" s="159">
        <f>SUM(D1677:D1682)</f>
        <v>1661096.304</v>
      </c>
      <c r="E1683" s="106">
        <f>SUM(E1677:E1682)</f>
        <v>2550.7843921315703</v>
      </c>
    </row>
  </sheetData>
  <mergeCells count="91">
    <mergeCell ref="D24:E24"/>
    <mergeCell ref="D256:E256"/>
    <mergeCell ref="J259:K259"/>
    <mergeCell ref="D274:E274"/>
    <mergeCell ref="D362:E362"/>
    <mergeCell ref="D86:E86"/>
    <mergeCell ref="D152:E152"/>
    <mergeCell ref="D217:E217"/>
    <mergeCell ref="D797:E797"/>
    <mergeCell ref="D380:E380"/>
    <mergeCell ref="D416:E416"/>
    <mergeCell ref="J419:K419"/>
    <mergeCell ref="D434:E434"/>
    <mergeCell ref="J585:K585"/>
    <mergeCell ref="D707:E707"/>
    <mergeCell ref="D743:E743"/>
    <mergeCell ref="D636:E636"/>
    <mergeCell ref="D309:E309"/>
    <mergeCell ref="J531:K531"/>
    <mergeCell ref="J365:K365"/>
    <mergeCell ref="D472:E472"/>
    <mergeCell ref="J475:K475"/>
    <mergeCell ref="D490:E490"/>
    <mergeCell ref="D528:E528"/>
    <mergeCell ref="J1276:K1276"/>
    <mergeCell ref="D546:E546"/>
    <mergeCell ref="J854:K854"/>
    <mergeCell ref="D869:E869"/>
    <mergeCell ref="D582:E582"/>
    <mergeCell ref="D600:E600"/>
    <mergeCell ref="D1291:E1291"/>
    <mergeCell ref="J800:K800"/>
    <mergeCell ref="J1617:K1617"/>
    <mergeCell ref="D1398:E1398"/>
    <mergeCell ref="D1326:E1326"/>
    <mergeCell ref="J1329:K1329"/>
    <mergeCell ref="D1238:E1238"/>
    <mergeCell ref="D1602:E1602"/>
    <mergeCell ref="D905:E905"/>
    <mergeCell ref="D1675:E1675"/>
    <mergeCell ref="D1614:E1614"/>
    <mergeCell ref="D1632:E1632"/>
    <mergeCell ref="D1639:E1639"/>
    <mergeCell ref="D1577:E1577"/>
    <mergeCell ref="D1650:E1650"/>
    <mergeCell ref="D1668:E1668"/>
    <mergeCell ref="J1580:K1580"/>
    <mergeCell ref="D1564:E1564"/>
    <mergeCell ref="D1539:E1539"/>
    <mergeCell ref="J746:K746"/>
    <mergeCell ref="D761:E761"/>
    <mergeCell ref="D1557:E1557"/>
    <mergeCell ref="J1436:K1436"/>
    <mergeCell ref="D1486:E1486"/>
    <mergeCell ref="J1013:K1013"/>
    <mergeCell ref="D1028:E1028"/>
    <mergeCell ref="D1133:E1133"/>
    <mergeCell ref="J908:K908"/>
    <mergeCell ref="D923:E923"/>
    <mergeCell ref="J1223:K1223"/>
    <mergeCell ref="D1433:E1433"/>
    <mergeCell ref="J312:K312"/>
    <mergeCell ref="D327:E327"/>
    <mergeCell ref="J692:K692"/>
    <mergeCell ref="D815:E815"/>
    <mergeCell ref="D1595:E1595"/>
    <mergeCell ref="J1383:K1383"/>
    <mergeCell ref="J960:K960"/>
    <mergeCell ref="J1170:K1170"/>
    <mergeCell ref="D1185:E1185"/>
    <mergeCell ref="D1220:E1220"/>
    <mergeCell ref="D975:E975"/>
    <mergeCell ref="D1010:E1010"/>
    <mergeCell ref="J1542:K1542"/>
    <mergeCell ref="D1273:E1273"/>
    <mergeCell ref="D1081:E1081"/>
    <mergeCell ref="J1489:K1489"/>
    <mergeCell ref="D1504:E1504"/>
    <mergeCell ref="D1115:E1115"/>
    <mergeCell ref="D1063:E1063"/>
    <mergeCell ref="D654:E654"/>
    <mergeCell ref="J639:K639"/>
    <mergeCell ref="D689:E689"/>
    <mergeCell ref="D1167:E1167"/>
    <mergeCell ref="D957:E957"/>
    <mergeCell ref="J1066:K1066"/>
    <mergeCell ref="D1451:E1451"/>
    <mergeCell ref="D1344:E1344"/>
    <mergeCell ref="D1380:E1380"/>
    <mergeCell ref="J1118:K1118"/>
    <mergeCell ref="D851:E851"/>
  </mergeCells>
  <pageMargins left="0.7" right="0.7" top="0.75" bottom="0.75" header="0.3" footer="0.3"/>
  <pageSetup orientation="portrait" horizontalDpi="90" verticalDpi="90" r:id="rId1"/>
  <ignoredErrors>
    <ignoredError sqref="J1282 E1177:E1181 J1176" formula="1"/>
  </ignoredError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3C452-4035-4E02-B701-B15B747E7B3D}">
  <sheetPr>
    <pageSetUpPr fitToPage="1"/>
  </sheetPr>
  <dimension ref="B2:BF278"/>
  <sheetViews>
    <sheetView showGridLines="0" zoomScaleNormal="100" zoomScaleSheetLayoutView="100" workbookViewId="0">
      <pane xSplit="2" ySplit="6" topLeftCell="L7" activePane="bottomRight" state="frozen"/>
      <selection pane="bottomRight" activeCell="BG2" sqref="BG2"/>
      <selection pane="bottomLeft" activeCell="G36" sqref="G36"/>
      <selection pane="topRight" activeCell="G36" sqref="G36"/>
    </sheetView>
  </sheetViews>
  <sheetFormatPr defaultColWidth="11.42578125" defaultRowHeight="12.75" outlineLevelRow="1" outlineLevelCol="1"/>
  <cols>
    <col min="1" max="1" width="2.7109375" style="1" customWidth="1"/>
    <col min="2" max="2" width="50.7109375" style="1" customWidth="1"/>
    <col min="3" max="7" width="12.7109375" style="1" hidden="1" customWidth="1" outlineLevel="1"/>
    <col min="8" max="8" width="12.7109375" style="1" hidden="1" customWidth="1" outlineLevel="1" collapsed="1"/>
    <col min="9" max="9" width="12.7109375" style="1" hidden="1" customWidth="1" outlineLevel="1"/>
    <col min="10" max="10" width="12.7109375" style="1" hidden="1" customWidth="1" outlineLevel="1" collapsed="1"/>
    <col min="11" max="11" width="12.7109375" style="1" hidden="1" customWidth="1" outlineLevel="1"/>
    <col min="12" max="12" width="12.7109375" style="1" customWidth="1" collapsed="1"/>
    <col min="13" max="16" width="12.7109375" style="1" customWidth="1"/>
    <col min="17" max="40" width="12.7109375" style="1" hidden="1" customWidth="1" outlineLevel="1"/>
    <col min="41" max="41" width="12.7109375" style="1" hidden="1" customWidth="1" outlineLevel="1" collapsed="1"/>
    <col min="42" max="45" width="12.7109375" style="1" hidden="1" customWidth="1" outlineLevel="1"/>
    <col min="46" max="47" width="12.7109375" style="1" hidden="1" customWidth="1" outlineLevel="1" collapsed="1"/>
    <col min="48" max="48" width="12.7109375" style="1" hidden="1" customWidth="1" outlineLevel="1"/>
    <col min="49" max="49" width="12.7109375" style="1" customWidth="1" collapsed="1"/>
    <col min="50" max="62" width="12.7109375" style="1" customWidth="1"/>
    <col min="63" max="16384" width="11.42578125" style="1"/>
  </cols>
  <sheetData>
    <row r="2" spans="2:57" s="2" customFormat="1" ht="21">
      <c r="B2" s="10" t="s">
        <v>262</v>
      </c>
      <c r="C2" s="12" t="s">
        <v>263</v>
      </c>
      <c r="D2" s="12" t="s">
        <v>263</v>
      </c>
      <c r="E2" s="12" t="s">
        <v>263</v>
      </c>
      <c r="F2" s="12" t="s">
        <v>263</v>
      </c>
      <c r="G2" s="12" t="s">
        <v>263</v>
      </c>
      <c r="H2" s="12" t="s">
        <v>263</v>
      </c>
      <c r="I2" s="12" t="s">
        <v>263</v>
      </c>
      <c r="J2" s="12" t="s">
        <v>263</v>
      </c>
      <c r="K2" s="109" t="s">
        <v>263</v>
      </c>
      <c r="L2" s="109" t="s">
        <v>263</v>
      </c>
      <c r="M2" s="109" t="s">
        <v>263</v>
      </c>
      <c r="N2" s="109" t="s">
        <v>263</v>
      </c>
      <c r="O2" s="109" t="s">
        <v>264</v>
      </c>
      <c r="P2" s="304" t="s">
        <v>265</v>
      </c>
      <c r="Q2" s="12" t="s">
        <v>266</v>
      </c>
      <c r="R2" s="12" t="s">
        <v>266</v>
      </c>
      <c r="S2" s="12" t="s">
        <v>266</v>
      </c>
      <c r="T2" s="12" t="s">
        <v>267</v>
      </c>
      <c r="U2" s="12" t="s">
        <v>266</v>
      </c>
      <c r="V2" s="12" t="s">
        <v>266</v>
      </c>
      <c r="W2" s="12" t="s">
        <v>266</v>
      </c>
      <c r="X2" s="12" t="s">
        <v>266</v>
      </c>
      <c r="Y2" s="12" t="s">
        <v>266</v>
      </c>
      <c r="Z2" s="12" t="s">
        <v>266</v>
      </c>
      <c r="AA2" s="12" t="s">
        <v>266</v>
      </c>
      <c r="AB2" s="12" t="s">
        <v>266</v>
      </c>
      <c r="AC2" s="12" t="s">
        <v>266</v>
      </c>
      <c r="AD2" s="12" t="s">
        <v>266</v>
      </c>
      <c r="AE2" s="12" t="s">
        <v>266</v>
      </c>
      <c r="AF2" s="12" t="s">
        <v>266</v>
      </c>
      <c r="AG2" s="12" t="s">
        <v>266</v>
      </c>
      <c r="AH2" s="12" t="s">
        <v>266</v>
      </c>
      <c r="AI2" s="12" t="s">
        <v>266</v>
      </c>
      <c r="AJ2" s="12" t="s">
        <v>266</v>
      </c>
      <c r="AK2" s="12" t="s">
        <v>266</v>
      </c>
      <c r="AL2" s="12" t="s">
        <v>266</v>
      </c>
      <c r="AM2" s="12" t="s">
        <v>266</v>
      </c>
      <c r="AN2" s="12" t="s">
        <v>266</v>
      </c>
      <c r="AO2" s="12" t="s">
        <v>266</v>
      </c>
      <c r="AP2" s="12" t="s">
        <v>266</v>
      </c>
      <c r="AQ2" s="12" t="s">
        <v>266</v>
      </c>
      <c r="AR2" s="12" t="s">
        <v>266</v>
      </c>
      <c r="AS2" s="12" t="s">
        <v>266</v>
      </c>
      <c r="AT2" s="12" t="s">
        <v>266</v>
      </c>
      <c r="AU2" s="12" t="s">
        <v>266</v>
      </c>
      <c r="AV2" s="12" t="s">
        <v>266</v>
      </c>
      <c r="AW2" s="12" t="s">
        <v>266</v>
      </c>
      <c r="AX2" s="12" t="s">
        <v>266</v>
      </c>
      <c r="AY2" s="12" t="s">
        <v>266</v>
      </c>
      <c r="AZ2" s="109" t="s">
        <v>266</v>
      </c>
      <c r="BA2" s="12" t="s">
        <v>266</v>
      </c>
      <c r="BB2" s="12" t="s">
        <v>266</v>
      </c>
      <c r="BC2" s="12" t="s">
        <v>266</v>
      </c>
      <c r="BD2" s="109" t="s">
        <v>266</v>
      </c>
      <c r="BE2" s="12" t="s">
        <v>266</v>
      </c>
    </row>
    <row r="3" spans="2:57" s="2" customFormat="1">
      <c r="B3" s="11" t="s">
        <v>35</v>
      </c>
      <c r="C3" s="13">
        <v>41974</v>
      </c>
      <c r="D3" s="13">
        <v>42340</v>
      </c>
      <c r="E3" s="13">
        <v>42707</v>
      </c>
      <c r="F3" s="13">
        <v>43073</v>
      </c>
      <c r="G3" s="13">
        <v>43438</v>
      </c>
      <c r="H3" s="13">
        <v>43803</v>
      </c>
      <c r="I3" s="13">
        <v>44169</v>
      </c>
      <c r="J3" s="13">
        <v>44534</v>
      </c>
      <c r="K3" s="14">
        <v>44926</v>
      </c>
      <c r="L3" s="14">
        <v>45291</v>
      </c>
      <c r="M3" s="14">
        <v>45657</v>
      </c>
      <c r="N3" s="14">
        <v>46022</v>
      </c>
      <c r="O3" s="14">
        <f>BE3</f>
        <v>46112</v>
      </c>
      <c r="P3" s="305" t="s">
        <v>265</v>
      </c>
      <c r="Q3" s="13">
        <v>42437</v>
      </c>
      <c r="R3" s="13">
        <v>42527</v>
      </c>
      <c r="S3" s="13">
        <v>42622</v>
      </c>
      <c r="T3" s="13">
        <v>42714</v>
      </c>
      <c r="U3" s="13">
        <v>42801</v>
      </c>
      <c r="V3" s="13">
        <v>42892</v>
      </c>
      <c r="W3" s="13">
        <v>42987</v>
      </c>
      <c r="X3" s="13">
        <v>43079</v>
      </c>
      <c r="Y3" s="13">
        <v>43190</v>
      </c>
      <c r="Z3" s="13">
        <v>43281</v>
      </c>
      <c r="AA3" s="13">
        <v>43373</v>
      </c>
      <c r="AB3" s="13">
        <v>43465</v>
      </c>
      <c r="AC3" s="13">
        <v>43555</v>
      </c>
      <c r="AD3" s="13">
        <v>43646</v>
      </c>
      <c r="AE3" s="13">
        <v>43738</v>
      </c>
      <c r="AF3" s="13">
        <v>43830</v>
      </c>
      <c r="AG3" s="13">
        <v>43921</v>
      </c>
      <c r="AH3" s="13">
        <v>44012</v>
      </c>
      <c r="AI3" s="13">
        <v>44104</v>
      </c>
      <c r="AJ3" s="13">
        <v>44196</v>
      </c>
      <c r="AK3" s="13">
        <v>44286</v>
      </c>
      <c r="AL3" s="13">
        <v>44377</v>
      </c>
      <c r="AM3" s="13">
        <v>44469</v>
      </c>
      <c r="AN3" s="13">
        <v>44560</v>
      </c>
      <c r="AO3" s="13">
        <v>44651</v>
      </c>
      <c r="AP3" s="13">
        <v>44742</v>
      </c>
      <c r="AQ3" s="13">
        <v>44834</v>
      </c>
      <c r="AR3" s="13">
        <v>44926</v>
      </c>
      <c r="AS3" s="13">
        <v>45016</v>
      </c>
      <c r="AT3" s="13">
        <v>45107</v>
      </c>
      <c r="AU3" s="13">
        <v>45199</v>
      </c>
      <c r="AV3" s="13">
        <v>45291</v>
      </c>
      <c r="AW3" s="13">
        <v>45382</v>
      </c>
      <c r="AX3" s="13">
        <v>45473</v>
      </c>
      <c r="AY3" s="13">
        <v>45565</v>
      </c>
      <c r="AZ3" s="14">
        <v>45657</v>
      </c>
      <c r="BA3" s="13">
        <v>45747</v>
      </c>
      <c r="BB3" s="13">
        <v>45838</v>
      </c>
      <c r="BC3" s="13">
        <v>45930</v>
      </c>
      <c r="BD3" s="14">
        <v>46022</v>
      </c>
      <c r="BE3" s="13">
        <v>46112</v>
      </c>
    </row>
    <row r="4" spans="2:57" s="5" customFormat="1">
      <c r="B4" s="11"/>
      <c r="C4" s="14" t="s">
        <v>268</v>
      </c>
      <c r="D4" s="14" t="s">
        <v>268</v>
      </c>
      <c r="E4" s="14" t="s">
        <v>268</v>
      </c>
      <c r="F4" s="14" t="s">
        <v>268</v>
      </c>
      <c r="G4" s="14" t="s">
        <v>268</v>
      </c>
      <c r="H4" s="14" t="s">
        <v>268</v>
      </c>
      <c r="I4" s="14" t="s">
        <v>268</v>
      </c>
      <c r="J4" s="14" t="s">
        <v>268</v>
      </c>
      <c r="K4" s="14" t="s">
        <v>268</v>
      </c>
      <c r="L4" s="14" t="s">
        <v>268</v>
      </c>
      <c r="M4" s="14" t="s">
        <v>268</v>
      </c>
      <c r="N4" s="14" t="s">
        <v>268</v>
      </c>
      <c r="O4" s="14" t="s">
        <v>268</v>
      </c>
      <c r="P4" s="242"/>
      <c r="Q4" s="14" t="s">
        <v>268</v>
      </c>
      <c r="R4" s="14" t="s">
        <v>268</v>
      </c>
      <c r="S4" s="14" t="s">
        <v>268</v>
      </c>
      <c r="T4" s="14" t="s">
        <v>268</v>
      </c>
      <c r="U4" s="14" t="s">
        <v>268</v>
      </c>
      <c r="V4" s="14" t="s">
        <v>268</v>
      </c>
      <c r="W4" s="14" t="s">
        <v>268</v>
      </c>
      <c r="X4" s="14" t="s">
        <v>268</v>
      </c>
      <c r="Y4" s="14" t="s">
        <v>268</v>
      </c>
      <c r="Z4" s="14" t="s">
        <v>268</v>
      </c>
      <c r="AA4" s="14" t="s">
        <v>268</v>
      </c>
      <c r="AB4" s="14" t="s">
        <v>268</v>
      </c>
      <c r="AC4" s="14" t="s">
        <v>268</v>
      </c>
      <c r="AD4" s="14" t="s">
        <v>268</v>
      </c>
      <c r="AE4" s="14" t="s">
        <v>268</v>
      </c>
      <c r="AF4" s="14" t="s">
        <v>268</v>
      </c>
      <c r="AG4" s="14" t="s">
        <v>268</v>
      </c>
      <c r="AH4" s="14" t="s">
        <v>268</v>
      </c>
      <c r="AI4" s="14" t="s">
        <v>268</v>
      </c>
      <c r="AJ4" s="14" t="s">
        <v>268</v>
      </c>
      <c r="AK4" s="14" t="s">
        <v>268</v>
      </c>
      <c r="AL4" s="14" t="s">
        <v>268</v>
      </c>
      <c r="AM4" s="14" t="s">
        <v>268</v>
      </c>
      <c r="AN4" s="14" t="s">
        <v>268</v>
      </c>
      <c r="AO4" s="14" t="s">
        <v>268</v>
      </c>
      <c r="AP4" s="14" t="s">
        <v>268</v>
      </c>
      <c r="AQ4" s="14" t="s">
        <v>268</v>
      </c>
      <c r="AR4" s="14" t="s">
        <v>268</v>
      </c>
      <c r="AS4" s="14" t="s">
        <v>268</v>
      </c>
      <c r="AT4" s="14" t="s">
        <v>268</v>
      </c>
      <c r="AU4" s="14" t="s">
        <v>268</v>
      </c>
      <c r="AV4" s="14" t="s">
        <v>268</v>
      </c>
      <c r="AW4" s="14" t="s">
        <v>268</v>
      </c>
      <c r="AX4" s="14" t="s">
        <v>268</v>
      </c>
      <c r="AY4" s="14" t="s">
        <v>268</v>
      </c>
      <c r="AZ4" s="14" t="s">
        <v>268</v>
      </c>
      <c r="BA4" s="14" t="s">
        <v>268</v>
      </c>
      <c r="BB4" s="14" t="s">
        <v>268</v>
      </c>
      <c r="BC4" s="14" t="s">
        <v>268</v>
      </c>
      <c r="BD4" s="14" t="s">
        <v>268</v>
      </c>
      <c r="BE4" s="14" t="s">
        <v>268</v>
      </c>
    </row>
    <row r="5" spans="2:57" s="3" customFormat="1">
      <c r="C5" s="21" t="s">
        <v>269</v>
      </c>
      <c r="D5" s="21" t="s">
        <v>269</v>
      </c>
      <c r="E5" s="21" t="s">
        <v>269</v>
      </c>
      <c r="F5" s="21" t="s">
        <v>269</v>
      </c>
      <c r="G5" s="21" t="s">
        <v>269</v>
      </c>
      <c r="H5" s="21" t="s">
        <v>269</v>
      </c>
      <c r="I5" s="21" t="s">
        <v>269</v>
      </c>
      <c r="J5" s="21" t="s">
        <v>269</v>
      </c>
      <c r="K5" s="21" t="s">
        <v>269</v>
      </c>
      <c r="L5" s="21" t="s">
        <v>269</v>
      </c>
      <c r="M5" s="21" t="s">
        <v>269</v>
      </c>
      <c r="N5" s="21" t="s">
        <v>269</v>
      </c>
      <c r="O5" s="344" t="s">
        <v>264</v>
      </c>
      <c r="P5" s="21"/>
      <c r="Q5" s="21" t="s">
        <v>270</v>
      </c>
      <c r="R5" s="21" t="s">
        <v>271</v>
      </c>
      <c r="S5" s="21" t="s">
        <v>272</v>
      </c>
      <c r="T5" s="21" t="s">
        <v>273</v>
      </c>
      <c r="U5" s="21" t="s">
        <v>270</v>
      </c>
      <c r="V5" s="21" t="s">
        <v>271</v>
      </c>
      <c r="W5" s="21" t="s">
        <v>272</v>
      </c>
      <c r="X5" s="21" t="s">
        <v>273</v>
      </c>
      <c r="Y5" s="21" t="s">
        <v>270</v>
      </c>
      <c r="Z5" s="21" t="s">
        <v>271</v>
      </c>
      <c r="AA5" s="21" t="s">
        <v>272</v>
      </c>
      <c r="AB5" s="21" t="s">
        <v>273</v>
      </c>
      <c r="AC5" s="21" t="s">
        <v>270</v>
      </c>
      <c r="AD5" s="21" t="s">
        <v>271</v>
      </c>
      <c r="AE5" s="21" t="s">
        <v>272</v>
      </c>
      <c r="AF5" s="21" t="s">
        <v>273</v>
      </c>
      <c r="AG5" s="21" t="s">
        <v>270</v>
      </c>
      <c r="AH5" s="21" t="s">
        <v>271</v>
      </c>
      <c r="AI5" s="21" t="s">
        <v>272</v>
      </c>
      <c r="AJ5" s="21" t="s">
        <v>273</v>
      </c>
      <c r="AK5" s="21" t="s">
        <v>270</v>
      </c>
      <c r="AL5" s="21" t="s">
        <v>271</v>
      </c>
      <c r="AM5" s="21" t="s">
        <v>272</v>
      </c>
      <c r="AN5" s="21" t="s">
        <v>273</v>
      </c>
      <c r="AO5" s="21" t="s">
        <v>270</v>
      </c>
      <c r="AP5" s="21" t="s">
        <v>271</v>
      </c>
      <c r="AQ5" s="21" t="s">
        <v>272</v>
      </c>
      <c r="AR5" s="21" t="s">
        <v>273</v>
      </c>
      <c r="AS5" s="21" t="s">
        <v>270</v>
      </c>
      <c r="AT5" s="21" t="s">
        <v>271</v>
      </c>
      <c r="AU5" s="21" t="s">
        <v>272</v>
      </c>
      <c r="AV5" s="21" t="s">
        <v>273</v>
      </c>
      <c r="AW5" s="21" t="s">
        <v>270</v>
      </c>
      <c r="AX5" s="21" t="s">
        <v>271</v>
      </c>
      <c r="AY5" s="21" t="s">
        <v>272</v>
      </c>
      <c r="AZ5" s="21" t="s">
        <v>273</v>
      </c>
      <c r="BA5" s="21" t="s">
        <v>270</v>
      </c>
      <c r="BB5" s="21" t="s">
        <v>271</v>
      </c>
      <c r="BC5" s="21" t="s">
        <v>272</v>
      </c>
      <c r="BD5" s="21" t="s">
        <v>273</v>
      </c>
      <c r="BE5" s="21" t="s">
        <v>270</v>
      </c>
    </row>
    <row r="6" spans="2:57">
      <c r="B6" s="11" t="s">
        <v>274</v>
      </c>
      <c r="C6" s="306"/>
      <c r="D6" s="306"/>
      <c r="E6" s="306"/>
      <c r="F6" s="306"/>
      <c r="G6" s="306"/>
      <c r="H6" s="306"/>
      <c r="I6" s="306"/>
      <c r="J6" s="306"/>
      <c r="K6" s="306"/>
      <c r="L6" s="306"/>
      <c r="M6" s="306"/>
      <c r="N6" s="306"/>
      <c r="O6" s="306"/>
      <c r="Q6" s="306"/>
      <c r="R6" s="306"/>
      <c r="S6" s="306"/>
      <c r="T6" s="306"/>
      <c r="U6" s="306"/>
      <c r="V6" s="306"/>
      <c r="W6" s="306"/>
      <c r="X6" s="306"/>
      <c r="Y6" s="306"/>
      <c r="Z6" s="306"/>
      <c r="AA6" s="306"/>
      <c r="AB6" s="306"/>
      <c r="AC6" s="306"/>
      <c r="AD6" s="306"/>
      <c r="AE6" s="306"/>
      <c r="AF6" s="306"/>
      <c r="AG6" s="306"/>
      <c r="AH6" s="306"/>
      <c r="AI6" s="306"/>
      <c r="AJ6" s="306"/>
      <c r="AK6" s="306"/>
      <c r="AL6" s="306"/>
      <c r="AM6" s="306"/>
      <c r="AN6" s="306"/>
      <c r="AO6" s="306"/>
      <c r="AP6" s="306"/>
      <c r="AQ6" s="306"/>
      <c r="AR6" s="306"/>
      <c r="AS6" s="306"/>
      <c r="AT6" s="306"/>
      <c r="AU6" s="306"/>
      <c r="AV6" s="306"/>
      <c r="AW6" s="306"/>
      <c r="AX6" s="306"/>
      <c r="AY6" s="306"/>
      <c r="AZ6" s="306"/>
      <c r="BA6" s="306"/>
      <c r="BB6" s="306"/>
      <c r="BC6" s="306"/>
      <c r="BD6" s="306"/>
      <c r="BE6" s="306"/>
    </row>
    <row r="7" spans="2:57" s="5" customFormat="1">
      <c r="B7" s="5" t="s">
        <v>275</v>
      </c>
      <c r="C7" s="173">
        <v>1657770.3729999999</v>
      </c>
      <c r="D7" s="173">
        <v>1784612.6629999999</v>
      </c>
      <c r="E7" s="173">
        <v>1867697.07</v>
      </c>
      <c r="F7" s="173">
        <v>1943071.1980000001</v>
      </c>
      <c r="G7" s="173">
        <v>1913174.2819999999</v>
      </c>
      <c r="H7" s="173">
        <v>1978791.9879999999</v>
      </c>
      <c r="I7" s="173">
        <v>2092644.2320000001</v>
      </c>
      <c r="J7" s="173">
        <v>2408809.5970000001</v>
      </c>
      <c r="K7" s="173">
        <v>2540682.9040000001</v>
      </c>
      <c r="L7" s="173">
        <v>2473692.31</v>
      </c>
      <c r="M7" s="173">
        <v>2703236.7280000001</v>
      </c>
      <c r="N7" s="173">
        <v>2954930.2779999999</v>
      </c>
      <c r="O7" s="264">
        <f>SUM(BB7:BE7)</f>
        <v>3002583.4279999998</v>
      </c>
      <c r="P7" s="322"/>
      <c r="Q7" s="69">
        <v>459463.62800000003</v>
      </c>
      <c r="R7" s="69">
        <f>916299.774-Q7</f>
        <v>456836.14599999995</v>
      </c>
      <c r="S7" s="69">
        <f>1384201.053-R7-Q7</f>
        <v>467901.2790000001</v>
      </c>
      <c r="T7" s="94">
        <f>E7-S7-R7-Q7</f>
        <v>483496.01699999999</v>
      </c>
      <c r="U7" s="69">
        <v>473615.33899999998</v>
      </c>
      <c r="V7" s="69">
        <f>952346.117-U7</f>
        <v>478730.77799999999</v>
      </c>
      <c r="W7" s="69">
        <f>1432252.759-V7-U7</f>
        <v>479906.64200000017</v>
      </c>
      <c r="X7" s="94">
        <f>F7-W7-V7-U7</f>
        <v>510818.43899999995</v>
      </c>
      <c r="Y7" s="69">
        <v>461181.571</v>
      </c>
      <c r="Z7" s="24">
        <f>926857.408-Y7</f>
        <v>465675.83700000006</v>
      </c>
      <c r="AA7" s="24">
        <f>1408181.843-Z7-Y7</f>
        <v>481324.43500000006</v>
      </c>
      <c r="AB7" s="94">
        <f>G7-AA7-Z7-Y7</f>
        <v>504992.43899999978</v>
      </c>
      <c r="AC7" s="69">
        <v>471553.29300000001</v>
      </c>
      <c r="AD7" s="69">
        <v>482669.89799999999</v>
      </c>
      <c r="AE7" s="69">
        <v>496056.71</v>
      </c>
      <c r="AF7" s="94">
        <f>H7-AE7-AD7-AC7</f>
        <v>528512.08699999982</v>
      </c>
      <c r="AG7" s="69">
        <v>513442.27600000001</v>
      </c>
      <c r="AH7" s="69">
        <v>457638.94199999998</v>
      </c>
      <c r="AI7" s="69">
        <v>534454.76500000001</v>
      </c>
      <c r="AJ7" s="94">
        <f>I7-AI7-AH7-AG7</f>
        <v>587108.24900000007</v>
      </c>
      <c r="AK7" s="69">
        <v>557729.50600000005</v>
      </c>
      <c r="AL7" s="69">
        <v>591680.98600000003</v>
      </c>
      <c r="AM7" s="69">
        <v>608206.87800000003</v>
      </c>
      <c r="AN7" s="94">
        <f>J7-AM7-AL7-AK7</f>
        <v>651192.22699999996</v>
      </c>
      <c r="AO7" s="69">
        <v>640785.57799999998</v>
      </c>
      <c r="AP7" s="69">
        <v>646628.74600000004</v>
      </c>
      <c r="AQ7" s="69">
        <v>622782.22699999996</v>
      </c>
      <c r="AR7" s="94">
        <f>K7-AO7-AP7-AQ7</f>
        <v>630486.35300000012</v>
      </c>
      <c r="AS7" s="69">
        <v>601409.65899999999</v>
      </c>
      <c r="AT7" s="69">
        <v>607222.75899999996</v>
      </c>
      <c r="AU7" s="69">
        <v>603807.07299999997</v>
      </c>
      <c r="AV7" s="94">
        <f>L7-AS7-AT7-AU7</f>
        <v>661252.81900000002</v>
      </c>
      <c r="AW7" s="173">
        <v>649744.55900000001</v>
      </c>
      <c r="AX7" s="173">
        <v>660664.45900000003</v>
      </c>
      <c r="AY7" s="173">
        <v>659565.951</v>
      </c>
      <c r="AZ7" s="281">
        <f>M7-AW7-AX7-AY7</f>
        <v>733261.75900000019</v>
      </c>
      <c r="BA7" s="173">
        <v>707083.92599999998</v>
      </c>
      <c r="BB7" s="173">
        <f>1412720.853-BA7</f>
        <v>705636.92699999991</v>
      </c>
      <c r="BC7" s="173">
        <v>730437.03500000003</v>
      </c>
      <c r="BD7" s="281">
        <f>N7-BA7-BB7-BC7</f>
        <v>811772.39</v>
      </c>
      <c r="BE7" s="173">
        <v>754737.076</v>
      </c>
    </row>
    <row r="8" spans="2:57" s="35" customFormat="1">
      <c r="B8" s="18" t="s">
        <v>276</v>
      </c>
      <c r="C8" s="26"/>
      <c r="D8" s="26">
        <f t="shared" ref="D8:N8" si="0">D7/C7-1</f>
        <v>7.6513787473749373E-2</v>
      </c>
      <c r="E8" s="26">
        <f t="shared" si="0"/>
        <v>4.6555988715406782E-2</v>
      </c>
      <c r="F8" s="26">
        <f t="shared" si="0"/>
        <v>4.035672016126246E-2</v>
      </c>
      <c r="G8" s="26">
        <f t="shared" si="0"/>
        <v>-1.5386423323434095E-2</v>
      </c>
      <c r="H8" s="26">
        <f t="shared" si="0"/>
        <v>3.4297819397511642E-2</v>
      </c>
      <c r="I8" s="26">
        <f t="shared" si="0"/>
        <v>5.7536236598103807E-2</v>
      </c>
      <c r="J8" s="26">
        <f t="shared" si="0"/>
        <v>0.15108414520027225</v>
      </c>
      <c r="K8" s="26">
        <f t="shared" si="0"/>
        <v>5.4746256061184218E-2</v>
      </c>
      <c r="L8" s="26">
        <f t="shared" si="0"/>
        <v>-2.6367160535669898E-2</v>
      </c>
      <c r="M8" s="26">
        <f t="shared" si="0"/>
        <v>9.2794248125386281E-2</v>
      </c>
      <c r="N8" s="26">
        <f t="shared" si="0"/>
        <v>9.3108216307129066E-2</v>
      </c>
      <c r="O8" s="247"/>
      <c r="P8" s="323"/>
      <c r="Q8" s="26"/>
      <c r="R8" s="26"/>
      <c r="S8" s="26"/>
      <c r="T8" s="101"/>
      <c r="U8" s="26">
        <f t="shared" ref="U8:AR8" si="1">U7/Q7-1</f>
        <v>3.0800503320798089E-2</v>
      </c>
      <c r="V8" s="26">
        <f t="shared" si="1"/>
        <v>4.7926662965938061E-2</v>
      </c>
      <c r="W8" s="26">
        <f t="shared" si="1"/>
        <v>2.565789737881885E-2</v>
      </c>
      <c r="X8" s="101">
        <f t="shared" si="1"/>
        <v>5.6510128396776382E-2</v>
      </c>
      <c r="Y8" s="26">
        <f t="shared" si="1"/>
        <v>-2.6252882827344393E-2</v>
      </c>
      <c r="Z8" s="26">
        <f t="shared" si="1"/>
        <v>-2.726990116353023E-2</v>
      </c>
      <c r="AA8" s="26">
        <f t="shared" si="1"/>
        <v>2.9543100176552262E-3</v>
      </c>
      <c r="AB8" s="101">
        <f>AB7/X7-1</f>
        <v>-1.1405226505537658E-2</v>
      </c>
      <c r="AC8" s="26">
        <f t="shared" si="1"/>
        <v>2.2489454592711899E-2</v>
      </c>
      <c r="AD8" s="26">
        <f t="shared" si="1"/>
        <v>3.6493327868329928E-2</v>
      </c>
      <c r="AE8" s="26">
        <f t="shared" si="1"/>
        <v>3.0607785370381224E-2</v>
      </c>
      <c r="AF8" s="26">
        <f t="shared" si="1"/>
        <v>4.6574257718738021E-2</v>
      </c>
      <c r="AG8" s="26">
        <f t="shared" si="1"/>
        <v>8.8831917032122121E-2</v>
      </c>
      <c r="AH8" s="26">
        <f t="shared" si="1"/>
        <v>-5.1859368284035812E-2</v>
      </c>
      <c r="AI8" s="26">
        <f t="shared" si="1"/>
        <v>7.7406583211020452E-2</v>
      </c>
      <c r="AJ8" s="26">
        <f t="shared" si="1"/>
        <v>0.1108700509246825</v>
      </c>
      <c r="AK8" s="26">
        <f>AK7/AG7-1</f>
        <v>8.625551901378703E-2</v>
      </c>
      <c r="AL8" s="26">
        <f t="shared" si="1"/>
        <v>0.29289912133395335</v>
      </c>
      <c r="AM8" s="26">
        <f t="shared" si="1"/>
        <v>0.13799505183567784</v>
      </c>
      <c r="AN8" s="26">
        <f t="shared" si="1"/>
        <v>0.10915189508774881</v>
      </c>
      <c r="AO8" s="26">
        <f>AO7/AK7-1</f>
        <v>0.14891819619814028</v>
      </c>
      <c r="AP8" s="26">
        <f t="shared" si="1"/>
        <v>9.2867205977783529E-2</v>
      </c>
      <c r="AQ8" s="26">
        <f t="shared" si="1"/>
        <v>2.3964459343059241E-2</v>
      </c>
      <c r="AR8" s="26">
        <f t="shared" si="1"/>
        <v>-3.179686909868451E-2</v>
      </c>
      <c r="AS8" s="26">
        <f t="shared" ref="AS8:BE8" si="2">AS7/AO7-1</f>
        <v>-6.1449446354424619E-2</v>
      </c>
      <c r="AT8" s="26">
        <f t="shared" si="2"/>
        <v>-6.0940666872239646E-2</v>
      </c>
      <c r="AU8" s="26">
        <f t="shared" si="2"/>
        <v>-3.046836145502263E-2</v>
      </c>
      <c r="AV8" s="26">
        <f t="shared" si="2"/>
        <v>4.8797988812296911E-2</v>
      </c>
      <c r="AW8" s="26">
        <f t="shared" si="2"/>
        <v>8.0369344383941943E-2</v>
      </c>
      <c r="AX8" s="26">
        <f t="shared" si="2"/>
        <v>8.801004113879074E-2</v>
      </c>
      <c r="AY8" s="26">
        <f t="shared" si="2"/>
        <v>9.2345519774989393E-2</v>
      </c>
      <c r="AZ8" s="282">
        <f t="shared" si="2"/>
        <v>0.1088977436934</v>
      </c>
      <c r="BA8" s="26">
        <f t="shared" si="2"/>
        <v>8.8249091440256278E-2</v>
      </c>
      <c r="BB8" s="26">
        <f t="shared" si="2"/>
        <v>6.8071571563076638E-2</v>
      </c>
      <c r="BC8" s="26">
        <f t="shared" si="2"/>
        <v>0.10745109551599641</v>
      </c>
      <c r="BD8" s="282">
        <f t="shared" si="2"/>
        <v>0.10707040158083547</v>
      </c>
      <c r="BE8" s="282">
        <f t="shared" si="2"/>
        <v>6.7393909333472779E-2</v>
      </c>
    </row>
    <row r="9" spans="2:57">
      <c r="B9" s="1" t="s">
        <v>277</v>
      </c>
      <c r="C9" s="140">
        <v>4299.76</v>
      </c>
      <c r="D9" s="140">
        <v>8284.7350000000006</v>
      </c>
      <c r="E9" s="140">
        <v>19214.191999999999</v>
      </c>
      <c r="F9" s="140">
        <v>11974.824000000001</v>
      </c>
      <c r="G9" s="140">
        <v>9874.3469999999998</v>
      </c>
      <c r="H9" s="140">
        <v>11475.402</v>
      </c>
      <c r="I9" s="140">
        <v>13254.828</v>
      </c>
      <c r="J9" s="140">
        <v>30500.293000000001</v>
      </c>
      <c r="K9" s="140">
        <v>52062.684999999998</v>
      </c>
      <c r="L9" s="140">
        <v>48125.237000000001</v>
      </c>
      <c r="M9" s="140">
        <v>64957.031000000003</v>
      </c>
      <c r="N9" s="140">
        <v>77576.278000000006</v>
      </c>
      <c r="O9" s="310">
        <f>SUM(BB9:BE9)</f>
        <v>81218.768000000011</v>
      </c>
      <c r="P9" s="96"/>
      <c r="Q9" s="4">
        <v>1821.463</v>
      </c>
      <c r="R9" s="4">
        <f>3760.468-Q9</f>
        <v>1939.0049999999999</v>
      </c>
      <c r="S9" s="4">
        <f>6011.072-R9-Q9</f>
        <v>2250.6040000000003</v>
      </c>
      <c r="T9" s="96">
        <f t="shared" ref="T9:T14" si="3">E9-S9-R9-Q9</f>
        <v>13203.12</v>
      </c>
      <c r="U9" s="4">
        <v>3735.1909999999998</v>
      </c>
      <c r="V9" s="4">
        <f>6370.919-U9</f>
        <v>2635.7280000000001</v>
      </c>
      <c r="W9" s="4">
        <f>9113.878-V9-U9</f>
        <v>2742.9590000000007</v>
      </c>
      <c r="X9" s="96">
        <f t="shared" ref="X9:X14" si="4">F9-W9-V9-U9</f>
        <v>2860.9459999999999</v>
      </c>
      <c r="Y9" s="4">
        <v>2432.7869999999998</v>
      </c>
      <c r="Z9" s="4">
        <f>5301.876-Y9</f>
        <v>2869.0890000000004</v>
      </c>
      <c r="AA9" s="4">
        <f>7461.375-Z9-Y9</f>
        <v>2159.4990000000003</v>
      </c>
      <c r="AB9" s="96">
        <f t="shared" ref="AB9:AB14" si="5">G9-AA9-Z9-Y9</f>
        <v>2412.9720000000002</v>
      </c>
      <c r="AC9" s="4">
        <v>3249.4839999999999</v>
      </c>
      <c r="AD9" s="4">
        <v>2802.7080000000001</v>
      </c>
      <c r="AE9" s="4">
        <v>2712.27</v>
      </c>
      <c r="AF9" s="96">
        <f t="shared" ref="AF9:AF14" si="6">H9-AE9-AD9-AC9</f>
        <v>2710.9399999999991</v>
      </c>
      <c r="AG9" s="4">
        <v>3526.614</v>
      </c>
      <c r="AH9" s="4">
        <v>3893.9639999999999</v>
      </c>
      <c r="AI9" s="4">
        <v>2856.6089999999999</v>
      </c>
      <c r="AJ9" s="96">
        <f t="shared" ref="AJ9:AJ14" si="7">I9-AI9-AH9-AG9</f>
        <v>2977.6409999999992</v>
      </c>
      <c r="AK9" s="4">
        <v>6730.9489999999996</v>
      </c>
      <c r="AL9" s="4">
        <v>6747.9939999999997</v>
      </c>
      <c r="AM9" s="4">
        <v>8478.3160000000007</v>
      </c>
      <c r="AN9" s="96">
        <f t="shared" ref="AN9:AN14" si="8">J9-AM9-AL9-AK9</f>
        <v>8543.0339999999997</v>
      </c>
      <c r="AO9" s="4">
        <v>9547.4930000000004</v>
      </c>
      <c r="AP9" s="4">
        <v>16613.510999999999</v>
      </c>
      <c r="AQ9" s="4">
        <v>13210.508</v>
      </c>
      <c r="AR9" s="96">
        <f t="shared" ref="AR9:AR14" si="9">K9-AO9-AP9-AQ9</f>
        <v>12691.172999999997</v>
      </c>
      <c r="AS9" s="4">
        <v>12412.806</v>
      </c>
      <c r="AT9" s="4">
        <v>10381.294</v>
      </c>
      <c r="AU9" s="4">
        <v>14140.534</v>
      </c>
      <c r="AV9" s="96">
        <f t="shared" ref="AV9:AV14" si="10">L9-AS9-AT9-AU9</f>
        <v>11190.602999999996</v>
      </c>
      <c r="AW9" s="140">
        <v>15015.755999999999</v>
      </c>
      <c r="AX9" s="140">
        <v>19267.787</v>
      </c>
      <c r="AY9" s="140">
        <v>14488.232</v>
      </c>
      <c r="AZ9" s="283">
        <f t="shared" ref="AZ9:AZ14" si="11">M9-AW9-AX9-AY9</f>
        <v>16185.256000000001</v>
      </c>
      <c r="BA9" s="140">
        <v>17224.496999999999</v>
      </c>
      <c r="BB9" s="140">
        <f>34236.661-BA9</f>
        <v>17012.164000000001</v>
      </c>
      <c r="BC9" s="140">
        <v>17565.939999999999</v>
      </c>
      <c r="BD9" s="283">
        <f t="shared" ref="BD9:BD14" si="12">N9-BA9-BB9-BC9</f>
        <v>25773.677</v>
      </c>
      <c r="BE9" s="140">
        <v>20866.987000000001</v>
      </c>
    </row>
    <row r="10" spans="2:57">
      <c r="B10" s="1" t="s">
        <v>278</v>
      </c>
      <c r="C10" s="140">
        <v>-222224.875</v>
      </c>
      <c r="D10" s="140">
        <v>-247005.73300000001</v>
      </c>
      <c r="E10" s="140">
        <v>-245606.05900000001</v>
      </c>
      <c r="F10" s="140">
        <v>-249163.55799999999</v>
      </c>
      <c r="G10" s="140">
        <v>-260153.62700000001</v>
      </c>
      <c r="H10" s="140">
        <v>-260168.13800000001</v>
      </c>
      <c r="I10" s="140">
        <v>-256582.13500000001</v>
      </c>
      <c r="J10" s="140">
        <v>-257334.48699999999</v>
      </c>
      <c r="K10" s="140">
        <v>-296125.85200000001</v>
      </c>
      <c r="L10" s="140">
        <v>-301943.147</v>
      </c>
      <c r="M10" s="140">
        <v>-323940.67</v>
      </c>
      <c r="N10" s="140">
        <v>-350441.86599999998</v>
      </c>
      <c r="O10" s="310">
        <f t="shared" ref="O10:O23" si="13">SUM(BB10:BE10)</f>
        <v>-352609.41899999999</v>
      </c>
      <c r="P10" s="96"/>
      <c r="Q10" s="4">
        <v>-60587.981</v>
      </c>
      <c r="R10" s="4">
        <f>-121638.494-Q10</f>
        <v>-61050.513000000006</v>
      </c>
      <c r="S10" s="4">
        <f>-183842.004-R10-Q10</f>
        <v>-62203.50999999998</v>
      </c>
      <c r="T10" s="96">
        <f t="shared" si="3"/>
        <v>-61764.055000000022</v>
      </c>
      <c r="U10" s="4">
        <v>-64682.209000000003</v>
      </c>
      <c r="V10" s="4">
        <f>-126399.286-U10</f>
        <v>-61717.07699999999</v>
      </c>
      <c r="W10" s="4">
        <f>-187449.049-V10-U10</f>
        <v>-61049.763000000006</v>
      </c>
      <c r="X10" s="96">
        <f t="shared" si="4"/>
        <v>-61714.508999999991</v>
      </c>
      <c r="Y10" s="4">
        <v>-62514.423000000003</v>
      </c>
      <c r="Z10" s="4">
        <f>-132921.69-Y10</f>
        <v>-70407.266999999993</v>
      </c>
      <c r="AA10" s="4">
        <f>-199812.093-Z10-Y10</f>
        <v>-66890.402999999991</v>
      </c>
      <c r="AB10" s="96">
        <f t="shared" si="5"/>
        <v>-60341.534000000021</v>
      </c>
      <c r="AC10" s="4">
        <v>-60638.207999999999</v>
      </c>
      <c r="AD10" s="4">
        <v>-69113.452999999994</v>
      </c>
      <c r="AE10" s="4">
        <v>-62648.175999999999</v>
      </c>
      <c r="AF10" s="96">
        <f t="shared" si="6"/>
        <v>-67768.301000000007</v>
      </c>
      <c r="AG10" s="4">
        <v>-64271.067999999999</v>
      </c>
      <c r="AH10" s="4">
        <v>-63243.042999999998</v>
      </c>
      <c r="AI10" s="4">
        <v>-65576.948000000004</v>
      </c>
      <c r="AJ10" s="96">
        <f t="shared" si="7"/>
        <v>-63491.076000000001</v>
      </c>
      <c r="AK10" s="4">
        <v>-64370.446000000004</v>
      </c>
      <c r="AL10" s="4">
        <v>-63447.64</v>
      </c>
      <c r="AM10" s="4">
        <v>-61902.616000000002</v>
      </c>
      <c r="AN10" s="96">
        <f t="shared" si="8"/>
        <v>-67613.784999999974</v>
      </c>
      <c r="AO10" s="4">
        <v>-73170.807000000001</v>
      </c>
      <c r="AP10" s="4">
        <v>-71226.364000000001</v>
      </c>
      <c r="AQ10" s="4">
        <v>-78205.357999999993</v>
      </c>
      <c r="AR10" s="96">
        <f t="shared" si="9"/>
        <v>-73523.323000000019</v>
      </c>
      <c r="AS10" s="4">
        <v>-83977.997000000003</v>
      </c>
      <c r="AT10" s="4">
        <v>-71676.126999999993</v>
      </c>
      <c r="AU10" s="4">
        <v>-71810</v>
      </c>
      <c r="AV10" s="96">
        <f t="shared" si="10"/>
        <v>-74479.022999999986</v>
      </c>
      <c r="AW10" s="140">
        <v>-77056.051999999996</v>
      </c>
      <c r="AX10" s="140">
        <v>-77702.524000000005</v>
      </c>
      <c r="AY10" s="140">
        <v>-85387.053</v>
      </c>
      <c r="AZ10" s="283">
        <f t="shared" si="11"/>
        <v>-83795.040999999983</v>
      </c>
      <c r="BA10" s="140">
        <v>-88567.206999999995</v>
      </c>
      <c r="BB10" s="140">
        <f>-170273.897-BA10</f>
        <v>-81706.69</v>
      </c>
      <c r="BC10" s="140">
        <v>-87719.733999999997</v>
      </c>
      <c r="BD10" s="283">
        <f t="shared" si="12"/>
        <v>-92448.234999999986</v>
      </c>
      <c r="BE10" s="140">
        <v>-90734.76</v>
      </c>
    </row>
    <row r="11" spans="2:57">
      <c r="B11" s="1" t="s">
        <v>279</v>
      </c>
      <c r="C11" s="140">
        <v>-239635.274</v>
      </c>
      <c r="D11" s="140">
        <v>-273625.473</v>
      </c>
      <c r="E11" s="140">
        <v>-299584.31400000001</v>
      </c>
      <c r="F11" s="140">
        <v>-315867.652</v>
      </c>
      <c r="G11" s="140">
        <v>-331565.82799999998</v>
      </c>
      <c r="H11" s="140">
        <v>-422651.51799999998</v>
      </c>
      <c r="I11" s="140">
        <v>-467435.70199999999</v>
      </c>
      <c r="J11" s="140">
        <v>-466882.18400000001</v>
      </c>
      <c r="K11" s="140">
        <v>-518018.76199999999</v>
      </c>
      <c r="L11" s="140">
        <v>-504142.39199999999</v>
      </c>
      <c r="M11" s="140">
        <v>-544468.25600000005</v>
      </c>
      <c r="N11" s="140">
        <v>-570766.45299999998</v>
      </c>
      <c r="O11" s="310">
        <f t="shared" si="13"/>
        <v>-577039.62600000005</v>
      </c>
      <c r="P11" s="96"/>
      <c r="Q11" s="4">
        <v>-73266.157999999996</v>
      </c>
      <c r="R11" s="4">
        <f>-147348.536-Q11</f>
        <v>-74082.377999999997</v>
      </c>
      <c r="S11" s="4">
        <f>-222514.129-R11-Q11</f>
        <v>-75165.592999999993</v>
      </c>
      <c r="T11" s="96">
        <f t="shared" si="3"/>
        <v>-77070.185000000027</v>
      </c>
      <c r="U11" s="4">
        <v>-77803.058999999994</v>
      </c>
      <c r="V11" s="4">
        <f>-156844.167-U11</f>
        <v>-79041.107999999993</v>
      </c>
      <c r="W11" s="4">
        <f>-235710.501-V11-U11</f>
        <v>-78866.333999999988</v>
      </c>
      <c r="X11" s="96">
        <f t="shared" si="4"/>
        <v>-80157.151000000027</v>
      </c>
      <c r="Y11" s="4">
        <v>-81303.266000000003</v>
      </c>
      <c r="Z11" s="4">
        <f>-163860.322-Y11</f>
        <v>-82557.055999999982</v>
      </c>
      <c r="AA11" s="4">
        <f>-247607.981-Z11-Y11</f>
        <v>-83747.659000000014</v>
      </c>
      <c r="AB11" s="96">
        <f t="shared" si="5"/>
        <v>-83957.84699999998</v>
      </c>
      <c r="AC11" s="4">
        <v>-101130.355</v>
      </c>
      <c r="AD11" s="4">
        <v>-103801.075</v>
      </c>
      <c r="AE11" s="4">
        <v>-107264.999</v>
      </c>
      <c r="AF11" s="96">
        <f t="shared" si="6"/>
        <v>-110455.08899999996</v>
      </c>
      <c r="AG11" s="4">
        <v>-115515.19</v>
      </c>
      <c r="AH11" s="4">
        <v>-116506.963</v>
      </c>
      <c r="AI11" s="4">
        <v>-116989.266</v>
      </c>
      <c r="AJ11" s="96">
        <f t="shared" si="7"/>
        <v>-118424.283</v>
      </c>
      <c r="AK11" s="4">
        <v>-114882.639</v>
      </c>
      <c r="AL11" s="4">
        <v>-114555.776</v>
      </c>
      <c r="AM11" s="4">
        <v>-116826.47</v>
      </c>
      <c r="AN11" s="96">
        <f t="shared" si="8"/>
        <v>-120617.29900000003</v>
      </c>
      <c r="AO11" s="4">
        <v>-123409.773</v>
      </c>
      <c r="AP11" s="4">
        <v>-138669.02900000001</v>
      </c>
      <c r="AQ11" s="4">
        <v>-127929.62300000001</v>
      </c>
      <c r="AR11" s="96">
        <f t="shared" si="9"/>
        <v>-128010.33699999998</v>
      </c>
      <c r="AS11" s="4">
        <v>-123770.5</v>
      </c>
      <c r="AT11" s="4">
        <v>-124236.538</v>
      </c>
      <c r="AU11" s="4">
        <v>-127476.86500000001</v>
      </c>
      <c r="AV11" s="96">
        <f t="shared" si="10"/>
        <v>-128658.48899999999</v>
      </c>
      <c r="AW11" s="140">
        <v>-132760.01800000001</v>
      </c>
      <c r="AX11" s="140">
        <v>-139544.61499999999</v>
      </c>
      <c r="AY11" s="140">
        <v>-139744.073</v>
      </c>
      <c r="AZ11" s="283">
        <f t="shared" si="11"/>
        <v>-132419.55000000002</v>
      </c>
      <c r="BA11" s="140">
        <v>-139408.60699999999</v>
      </c>
      <c r="BB11" s="140">
        <f>-280948.855-BA11</f>
        <v>-141540.24799999999</v>
      </c>
      <c r="BC11" s="140">
        <v>-139017.98800000001</v>
      </c>
      <c r="BD11" s="283">
        <f t="shared" si="12"/>
        <v>-150799.60999999999</v>
      </c>
      <c r="BE11" s="140">
        <v>-145681.78</v>
      </c>
    </row>
    <row r="12" spans="2:57">
      <c r="B12" s="1" t="s">
        <v>280</v>
      </c>
      <c r="C12" s="140"/>
      <c r="D12" s="140">
        <v>-53796.076999999997</v>
      </c>
      <c r="E12" s="140">
        <v>-58901.241999999998</v>
      </c>
      <c r="F12" s="140">
        <v>-52089.5</v>
      </c>
      <c r="G12" s="140">
        <v>-68584.398000000001</v>
      </c>
      <c r="H12" s="140">
        <v>-70132.192999999999</v>
      </c>
      <c r="I12" s="140">
        <v>-79684.088000000003</v>
      </c>
      <c r="J12" s="140">
        <v>-98585.66</v>
      </c>
      <c r="K12" s="140">
        <v>-106577.967</v>
      </c>
      <c r="L12" s="140">
        <v>-122085.652</v>
      </c>
      <c r="M12" s="140">
        <v>-91587.508000000002</v>
      </c>
      <c r="N12" s="140">
        <v>-89695.735000000001</v>
      </c>
      <c r="O12" s="310">
        <f t="shared" si="13"/>
        <v>-88741.266000000003</v>
      </c>
      <c r="P12" s="96"/>
      <c r="Q12" s="4">
        <v>-14397.242</v>
      </c>
      <c r="R12" s="4">
        <f>-25060.834-Q12</f>
        <v>-10663.591999999999</v>
      </c>
      <c r="S12" s="4">
        <f>-39164.733-R12-Q12</f>
        <v>-14103.899000000003</v>
      </c>
      <c r="T12" s="96">
        <f t="shared" si="3"/>
        <v>-19736.508999999998</v>
      </c>
      <c r="U12" s="4">
        <v>-11569.119000000001</v>
      </c>
      <c r="V12" s="4">
        <f>-24323.843-U12</f>
        <v>-12754.724</v>
      </c>
      <c r="W12" s="4">
        <f>-36739.808-V12-U12</f>
        <v>-12415.964999999995</v>
      </c>
      <c r="X12" s="96">
        <f t="shared" si="4"/>
        <v>-15349.692000000001</v>
      </c>
      <c r="Y12" s="4">
        <v>-19552.524000000001</v>
      </c>
      <c r="Z12" s="4">
        <f>-37733.019-Y12</f>
        <v>-18180.494999999999</v>
      </c>
      <c r="AA12" s="4">
        <f>-52556.869-Z12-Y12</f>
        <v>-14823.849999999995</v>
      </c>
      <c r="AB12" s="96">
        <f t="shared" si="5"/>
        <v>-16027.529000000013</v>
      </c>
      <c r="AC12" s="4">
        <v>-14484.415999999999</v>
      </c>
      <c r="AD12" s="4">
        <v>-15851.207</v>
      </c>
      <c r="AE12" s="4">
        <v>-18695.275000000001</v>
      </c>
      <c r="AF12" s="96">
        <f t="shared" si="6"/>
        <v>-21101.294999999998</v>
      </c>
      <c r="AG12" s="4">
        <v>-18307.127</v>
      </c>
      <c r="AH12" s="4">
        <v>-23134.682000000001</v>
      </c>
      <c r="AI12" s="4">
        <v>-17233.733</v>
      </c>
      <c r="AJ12" s="96">
        <f t="shared" si="7"/>
        <v>-21008.546000000002</v>
      </c>
      <c r="AK12" s="4">
        <v>-19896.875</v>
      </c>
      <c r="AL12" s="4">
        <v>-22872.511999999999</v>
      </c>
      <c r="AM12" s="4">
        <v>-23589.972000000002</v>
      </c>
      <c r="AN12" s="96">
        <f t="shared" si="8"/>
        <v>-32226.300999999992</v>
      </c>
      <c r="AO12" s="4">
        <v>-27789.105</v>
      </c>
      <c r="AP12" s="4">
        <v>-25952.236000000001</v>
      </c>
      <c r="AQ12" s="4">
        <v>-28648.557000000001</v>
      </c>
      <c r="AR12" s="96">
        <f t="shared" si="9"/>
        <v>-24188.069000000003</v>
      </c>
      <c r="AS12" s="4">
        <v>-55592.447</v>
      </c>
      <c r="AT12" s="4">
        <v>-21322.947</v>
      </c>
      <c r="AU12" s="4">
        <v>-21708.638999999999</v>
      </c>
      <c r="AV12" s="96">
        <f t="shared" si="10"/>
        <v>-23461.619000000002</v>
      </c>
      <c r="AW12" s="140">
        <v>-22258.555</v>
      </c>
      <c r="AX12" s="140">
        <v>-21931.152999999998</v>
      </c>
      <c r="AY12" s="140">
        <v>-20617.080000000002</v>
      </c>
      <c r="AZ12" s="283">
        <f t="shared" si="11"/>
        <v>-26780.720000000008</v>
      </c>
      <c r="BA12" s="140">
        <v>-22782.495999999999</v>
      </c>
      <c r="BB12" s="140">
        <f>-44683.182-BA12</f>
        <v>-21900.686000000002</v>
      </c>
      <c r="BC12" s="140">
        <v>-22915.503000000001</v>
      </c>
      <c r="BD12" s="283">
        <f t="shared" si="12"/>
        <v>-22097.05</v>
      </c>
      <c r="BE12" s="140">
        <v>-21828.026999999998</v>
      </c>
    </row>
    <row r="13" spans="2:57">
      <c r="B13" s="1" t="s">
        <v>281</v>
      </c>
      <c r="C13" s="140">
        <v>-1024171.93</v>
      </c>
      <c r="D13" s="140">
        <v>-1137592.8840000001</v>
      </c>
      <c r="E13" s="140">
        <v>-1168814.862</v>
      </c>
      <c r="F13" s="140">
        <v>-1220664.5449999999</v>
      </c>
      <c r="G13" s="140">
        <v>-1171742.7050000001</v>
      </c>
      <c r="H13" s="140">
        <v>-1100674.425</v>
      </c>
      <c r="I13" s="140">
        <v>-1131313.4669999999</v>
      </c>
      <c r="J13" s="140">
        <v>-1342942.385</v>
      </c>
      <c r="K13" s="140">
        <v>-1459378.3149999999</v>
      </c>
      <c r="L13" s="140">
        <v>-1395401.392</v>
      </c>
      <c r="M13" s="140">
        <v>-1573911.246</v>
      </c>
      <c r="N13" s="140">
        <v>-1771543.5160000001</v>
      </c>
      <c r="O13" s="310">
        <f t="shared" si="13"/>
        <v>-1802036.409</v>
      </c>
      <c r="P13" s="96"/>
      <c r="Q13" s="4">
        <v>-278000.77399999998</v>
      </c>
      <c r="R13" s="4">
        <f>-567454.367-Q13</f>
        <v>-289453.59299999999</v>
      </c>
      <c r="S13" s="4">
        <f>-856123.189-R13-Q13</f>
        <v>-288668.82200000004</v>
      </c>
      <c r="T13" s="96">
        <f t="shared" si="3"/>
        <v>-312691.67299999995</v>
      </c>
      <c r="U13" s="4">
        <v>-291753.20199999999</v>
      </c>
      <c r="V13" s="4">
        <f>-600966.078-U13</f>
        <v>-309212.87599999999</v>
      </c>
      <c r="W13" s="4">
        <f>-899434.203-V13-U13</f>
        <v>-298468.12500000006</v>
      </c>
      <c r="X13" s="96">
        <f t="shared" si="4"/>
        <v>-321230.342</v>
      </c>
      <c r="Y13" s="4">
        <v>-283190.06699999998</v>
      </c>
      <c r="Z13" s="4">
        <f>-570100.181-Y13</f>
        <v>-286910.114</v>
      </c>
      <c r="AA13" s="4">
        <f>-865812.941-Z13-Y13</f>
        <v>-295712.76000000007</v>
      </c>
      <c r="AB13" s="96">
        <f t="shared" si="5"/>
        <v>-305929.76400000002</v>
      </c>
      <c r="AC13" s="4">
        <v>-262815.11800000002</v>
      </c>
      <c r="AD13" s="4">
        <v>-263786.00900000002</v>
      </c>
      <c r="AE13" s="4">
        <v>-270708.17700000003</v>
      </c>
      <c r="AF13" s="96">
        <f t="shared" si="6"/>
        <v>-303365.12100000004</v>
      </c>
      <c r="AG13" s="4">
        <v>-276511.40999999997</v>
      </c>
      <c r="AH13" s="4">
        <v>-227174.53</v>
      </c>
      <c r="AI13" s="4">
        <v>-296649.35700000002</v>
      </c>
      <c r="AJ13" s="96">
        <f t="shared" si="7"/>
        <v>-330978.16999999987</v>
      </c>
      <c r="AK13" s="4">
        <v>-308125.44300000003</v>
      </c>
      <c r="AL13" s="4">
        <v>-318886.28700000001</v>
      </c>
      <c r="AM13" s="4">
        <v>-335253.03200000001</v>
      </c>
      <c r="AN13" s="96">
        <f t="shared" si="8"/>
        <v>-380677.62299999996</v>
      </c>
      <c r="AO13" s="4">
        <v>-360282.342</v>
      </c>
      <c r="AP13" s="4">
        <v>-367199.44500000001</v>
      </c>
      <c r="AQ13" s="4">
        <v>-357200.58199999999</v>
      </c>
      <c r="AR13" s="96">
        <f t="shared" si="9"/>
        <v>-374695.94599999994</v>
      </c>
      <c r="AS13" s="4">
        <v>-343565.86499999999</v>
      </c>
      <c r="AT13" s="4">
        <v>-334024.94900000002</v>
      </c>
      <c r="AU13" s="4">
        <v>-335885.74900000001</v>
      </c>
      <c r="AV13" s="96">
        <f t="shared" si="10"/>
        <v>-381924.82899999997</v>
      </c>
      <c r="AW13" s="140">
        <v>-380732.04100000003</v>
      </c>
      <c r="AX13" s="140">
        <v>-383573.39199999999</v>
      </c>
      <c r="AY13" s="140">
        <v>-375359.641</v>
      </c>
      <c r="AZ13" s="283">
        <f t="shared" si="11"/>
        <v>-434246.17200000008</v>
      </c>
      <c r="BA13" s="140">
        <v>-423133.58</v>
      </c>
      <c r="BB13" s="140">
        <f>-843243.564-BA13</f>
        <v>-420109.984</v>
      </c>
      <c r="BC13" s="140">
        <v>-427235.41800000001</v>
      </c>
      <c r="BD13" s="283">
        <f t="shared" si="12"/>
        <v>-501064.53400000004</v>
      </c>
      <c r="BE13" s="140">
        <v>-453626.473</v>
      </c>
    </row>
    <row r="14" spans="2:57">
      <c r="B14" s="1" t="s">
        <v>282</v>
      </c>
      <c r="C14" s="140">
        <v>5981.5860000000002</v>
      </c>
      <c r="D14" s="140">
        <v>-33.432000000000002</v>
      </c>
      <c r="E14" s="140">
        <v>390.536</v>
      </c>
      <c r="F14" s="140">
        <v>124.569</v>
      </c>
      <c r="G14" s="140">
        <v>-89</v>
      </c>
      <c r="H14" s="140">
        <v>207275.45300000001</v>
      </c>
      <c r="I14" s="140">
        <v>41585.368000000002</v>
      </c>
      <c r="J14" s="140">
        <v>20809.510999999999</v>
      </c>
      <c r="K14" s="140">
        <v>544963.98300000001</v>
      </c>
      <c r="L14" s="140">
        <v>51324.375999999997</v>
      </c>
      <c r="M14" s="140">
        <v>-3433.4850000000001</v>
      </c>
      <c r="N14" s="140">
        <v>-205.50200000000001</v>
      </c>
      <c r="O14" s="310">
        <f t="shared" si="13"/>
        <v>-533.82300000000009</v>
      </c>
      <c r="P14" s="96"/>
      <c r="Q14" s="4">
        <v>25.257000000000001</v>
      </c>
      <c r="R14" s="4">
        <f>250.944-Q14</f>
        <v>225.68699999999998</v>
      </c>
      <c r="S14" s="4">
        <f>268.965-R14-Q14</f>
        <v>18.02099999999999</v>
      </c>
      <c r="T14" s="96">
        <f t="shared" si="3"/>
        <v>121.571</v>
      </c>
      <c r="U14" s="4">
        <v>-325.238</v>
      </c>
      <c r="V14" s="4">
        <f>-341.523-U14</f>
        <v>-16.285000000000025</v>
      </c>
      <c r="W14" s="4">
        <f>27.174-V14-U14</f>
        <v>368.697</v>
      </c>
      <c r="X14" s="96">
        <f t="shared" si="4"/>
        <v>97.395000000000039</v>
      </c>
      <c r="Y14" s="4">
        <v>-75.016999999999996</v>
      </c>
      <c r="Z14" s="4">
        <f>-80.968-Y14</f>
        <v>-5.9510000000000076</v>
      </c>
      <c r="AA14" s="4">
        <f>-124.264-Z14-Y14</f>
        <v>-43.295999999999992</v>
      </c>
      <c r="AB14" s="96">
        <f t="shared" si="5"/>
        <v>35.263999999999996</v>
      </c>
      <c r="AC14" s="4">
        <v>-18.013999999999999</v>
      </c>
      <c r="AD14" s="4">
        <v>-33.814</v>
      </c>
      <c r="AE14" s="4">
        <v>-281.20600000000002</v>
      </c>
      <c r="AF14" s="96">
        <f t="shared" si="6"/>
        <v>207608.48700000002</v>
      </c>
      <c r="AG14" s="4">
        <v>13736.444</v>
      </c>
      <c r="AH14" s="4">
        <v>14560.646000000001</v>
      </c>
      <c r="AI14" s="4">
        <v>5728.4740000000002</v>
      </c>
      <c r="AJ14" s="96">
        <f t="shared" si="7"/>
        <v>7559.8040000000001</v>
      </c>
      <c r="AK14" s="4">
        <v>4298.5919999999996</v>
      </c>
      <c r="AL14" s="4">
        <v>10024.151</v>
      </c>
      <c r="AM14" s="4">
        <v>6660.5940000000001</v>
      </c>
      <c r="AN14" s="96">
        <f t="shared" si="8"/>
        <v>-173.82600000000184</v>
      </c>
      <c r="AO14" s="4">
        <v>-392.27</v>
      </c>
      <c r="AP14" s="4">
        <v>486325.08100000001</v>
      </c>
      <c r="AQ14" s="4">
        <v>59602.71</v>
      </c>
      <c r="AR14" s="96">
        <f t="shared" si="9"/>
        <v>-571.53799999997864</v>
      </c>
      <c r="AS14" s="4">
        <v>-484.16</v>
      </c>
      <c r="AT14" s="4">
        <v>118.857</v>
      </c>
      <c r="AU14" s="4">
        <v>-509.30599999999998</v>
      </c>
      <c r="AV14" s="96">
        <f t="shared" si="10"/>
        <v>52198.984999999993</v>
      </c>
      <c r="AW14" s="140">
        <v>-116.94799999999999</v>
      </c>
      <c r="AX14" s="140">
        <v>490.64400000000001</v>
      </c>
      <c r="AY14" s="140">
        <v>-609.822</v>
      </c>
      <c r="AZ14" s="283">
        <f t="shared" si="11"/>
        <v>-3197.3590000000004</v>
      </c>
      <c r="BA14" s="140">
        <v>306.80399999999997</v>
      </c>
      <c r="BB14" s="140">
        <f>675.27-BA14</f>
        <v>368.46600000000001</v>
      </c>
      <c r="BC14" s="140">
        <v>-449.80200000000002</v>
      </c>
      <c r="BD14" s="283">
        <f t="shared" si="12"/>
        <v>-430.97</v>
      </c>
      <c r="BE14" s="140">
        <v>-21.516999999999999</v>
      </c>
    </row>
    <row r="15" spans="2:57" s="5" customFormat="1">
      <c r="B15" s="15" t="s">
        <v>283</v>
      </c>
      <c r="C15" s="8">
        <f>C7+SUM(C9:C14)</f>
        <v>182019.63999999966</v>
      </c>
      <c r="D15" s="8">
        <f t="shared" ref="D15:Y15" si="14">D7+SUM(D9:D14)</f>
        <v>80843.798999999883</v>
      </c>
      <c r="E15" s="8">
        <f t="shared" si="14"/>
        <v>114395.32100000023</v>
      </c>
      <c r="F15" s="8">
        <f t="shared" si="14"/>
        <v>117385.33600000013</v>
      </c>
      <c r="G15" s="8">
        <f t="shared" si="14"/>
        <v>90913.070999999763</v>
      </c>
      <c r="H15" s="8">
        <f t="shared" ref="H15:O15" si="15">H7+SUM(H9:H14)</f>
        <v>343916.5689999999</v>
      </c>
      <c r="I15" s="8">
        <f t="shared" si="15"/>
        <v>212469.03600000031</v>
      </c>
      <c r="J15" s="8">
        <f t="shared" si="15"/>
        <v>294374.68500000006</v>
      </c>
      <c r="K15" s="8">
        <f t="shared" si="15"/>
        <v>757608.67599999998</v>
      </c>
      <c r="L15" s="8">
        <f t="shared" si="15"/>
        <v>249569.34000000032</v>
      </c>
      <c r="M15" s="8">
        <f>M7+SUM(M9:M14)</f>
        <v>230852.59400000004</v>
      </c>
      <c r="N15" s="8">
        <f>N7+SUM(N9:N14)</f>
        <v>249853.48400000017</v>
      </c>
      <c r="O15" s="8">
        <f t="shared" si="15"/>
        <v>262841.65299999993</v>
      </c>
      <c r="P15" s="8"/>
      <c r="Q15" s="8">
        <f t="shared" si="14"/>
        <v>35058.193000000087</v>
      </c>
      <c r="R15" s="8">
        <f t="shared" si="14"/>
        <v>23750.76199999993</v>
      </c>
      <c r="S15" s="8">
        <f t="shared" si="14"/>
        <v>30028.080000000075</v>
      </c>
      <c r="T15" s="8">
        <f t="shared" si="14"/>
        <v>25558.285999999964</v>
      </c>
      <c r="U15" s="8">
        <f t="shared" si="14"/>
        <v>31217.70299999998</v>
      </c>
      <c r="V15" s="8">
        <f t="shared" si="14"/>
        <v>18624.436000000045</v>
      </c>
      <c r="W15" s="8">
        <f>W7+SUM(W9:W14)</f>
        <v>32218.11100000015</v>
      </c>
      <c r="X15" s="8">
        <f t="shared" si="14"/>
        <v>35325.085999999952</v>
      </c>
      <c r="Y15" s="8">
        <f t="shared" si="14"/>
        <v>16979.060999999987</v>
      </c>
      <c r="Z15" s="8">
        <f t="shared" ref="Z15:AE15" si="16">Z7+SUM(Z9:Z14)</f>
        <v>10484.043000000063</v>
      </c>
      <c r="AA15" s="8">
        <f t="shared" si="16"/>
        <v>22265.966000000015</v>
      </c>
      <c r="AB15" s="8">
        <f t="shared" si="16"/>
        <v>41184.000999999756</v>
      </c>
      <c r="AC15" s="8">
        <f t="shared" si="16"/>
        <v>35716.665999999968</v>
      </c>
      <c r="AD15" s="8">
        <f t="shared" si="16"/>
        <v>32887.047999999952</v>
      </c>
      <c r="AE15" s="8">
        <f t="shared" si="16"/>
        <v>39171.146999999997</v>
      </c>
      <c r="AF15" s="8">
        <f t="shared" ref="AF15:AL15" si="17">AF7+SUM(AF9:AF14)</f>
        <v>236141.70799999987</v>
      </c>
      <c r="AG15" s="8">
        <f t="shared" si="17"/>
        <v>56100.539000000048</v>
      </c>
      <c r="AH15" s="8">
        <f t="shared" si="17"/>
        <v>46034.333999999973</v>
      </c>
      <c r="AI15" s="8">
        <f t="shared" si="17"/>
        <v>46590.543999999936</v>
      </c>
      <c r="AJ15" s="8">
        <f t="shared" si="17"/>
        <v>63743.619000000181</v>
      </c>
      <c r="AK15" s="8">
        <f t="shared" si="17"/>
        <v>61483.644000000029</v>
      </c>
      <c r="AL15" s="8">
        <f t="shared" si="17"/>
        <v>88690.916000000027</v>
      </c>
      <c r="AM15" s="8">
        <f t="shared" ref="AM15:AR15" si="18">AM7+SUM(AM9:AM14)</f>
        <v>85773.698000000033</v>
      </c>
      <c r="AN15" s="8">
        <f t="shared" si="18"/>
        <v>58426.427000000025</v>
      </c>
      <c r="AO15" s="8">
        <f t="shared" si="18"/>
        <v>65288.773999999976</v>
      </c>
      <c r="AP15" s="8">
        <f t="shared" si="18"/>
        <v>546520.26399999997</v>
      </c>
      <c r="AQ15" s="8">
        <f t="shared" si="18"/>
        <v>103611.32500000001</v>
      </c>
      <c r="AR15" s="8">
        <f t="shared" si="18"/>
        <v>42188.313000000198</v>
      </c>
      <c r="AS15" s="8">
        <f t="shared" ref="AS15:AX15" si="19">AS7+SUM(AS9:AS14)</f>
        <v>6431.4959999999264</v>
      </c>
      <c r="AT15" s="8">
        <f t="shared" si="19"/>
        <v>66462.348999999929</v>
      </c>
      <c r="AU15" s="8">
        <f t="shared" si="19"/>
        <v>60557.047999999952</v>
      </c>
      <c r="AV15" s="8">
        <f t="shared" si="19"/>
        <v>116118.44700000004</v>
      </c>
      <c r="AW15" s="8">
        <f t="shared" si="19"/>
        <v>51836.701000000001</v>
      </c>
      <c r="AX15" s="8">
        <f t="shared" si="19"/>
        <v>57671.206000000006</v>
      </c>
      <c r="AY15" s="8">
        <f t="shared" ref="AY15:BE15" si="20">AY7+SUM(AY9:AY14)</f>
        <v>52336.513999999966</v>
      </c>
      <c r="AZ15" s="284">
        <f t="shared" si="20"/>
        <v>69008.173000000068</v>
      </c>
      <c r="BA15" s="8">
        <f t="shared" si="20"/>
        <v>50723.337000000058</v>
      </c>
      <c r="BB15" s="8">
        <f t="shared" si="20"/>
        <v>57759.949000000022</v>
      </c>
      <c r="BC15" s="8">
        <f t="shared" si="20"/>
        <v>70664.530000000028</v>
      </c>
      <c r="BD15" s="284">
        <f t="shared" si="20"/>
        <v>70705.668000000063</v>
      </c>
      <c r="BE15" s="8">
        <f t="shared" si="20"/>
        <v>63711.506000000052</v>
      </c>
    </row>
    <row r="16" spans="2:57">
      <c r="B16" s="7" t="s">
        <v>284</v>
      </c>
      <c r="C16" s="140">
        <v>10818.705</v>
      </c>
      <c r="D16" s="140">
        <v>12183.865</v>
      </c>
      <c r="E16" s="140">
        <v>5952.92</v>
      </c>
      <c r="F16" s="140">
        <v>5225.5320000000002</v>
      </c>
      <c r="G16" s="140">
        <v>1889.7719999999999</v>
      </c>
      <c r="H16" s="140">
        <v>8746.9470000000001</v>
      </c>
      <c r="I16" s="140">
        <v>10894.534</v>
      </c>
      <c r="J16" s="140">
        <v>4919.9520000000002</v>
      </c>
      <c r="K16" s="140">
        <v>26563.886999999999</v>
      </c>
      <c r="L16" s="140">
        <v>26535.094000000001</v>
      </c>
      <c r="M16" s="140">
        <v>48118.158000000003</v>
      </c>
      <c r="N16" s="140">
        <v>28768.370999999999</v>
      </c>
      <c r="O16" s="310">
        <f t="shared" si="13"/>
        <v>26993.533000000003</v>
      </c>
      <c r="P16" s="96"/>
      <c r="Q16" s="4">
        <v>6119.2250000000004</v>
      </c>
      <c r="R16" s="4">
        <f>9473.433-Q16</f>
        <v>3354.2080000000005</v>
      </c>
      <c r="S16" s="4">
        <f>7842.692-R16-Q16</f>
        <v>-1630.7410000000009</v>
      </c>
      <c r="T16" s="96">
        <f>E16-S16-R16-Q16</f>
        <v>-1889.7719999999999</v>
      </c>
      <c r="U16" s="4">
        <v>2528.6529999999998</v>
      </c>
      <c r="V16" s="4">
        <f>5048.04-U16</f>
        <v>2519.3870000000002</v>
      </c>
      <c r="W16" s="4">
        <f>4953.604-V16-U16</f>
        <v>-94.435999999999694</v>
      </c>
      <c r="X16" s="96">
        <f>F16-W16-V16-U16</f>
        <v>271.92799999999988</v>
      </c>
      <c r="Y16" s="4">
        <v>835.35599999999999</v>
      </c>
      <c r="Z16" s="4">
        <f>1402.952-Y16</f>
        <v>567.596</v>
      </c>
      <c r="AA16" s="4">
        <f>1687.118-Z16-Y16</f>
        <v>284.16599999999994</v>
      </c>
      <c r="AB16" s="96">
        <f>G16-AA16-Z16-Y16</f>
        <v>202.654</v>
      </c>
      <c r="AC16" s="4">
        <v>3186.538</v>
      </c>
      <c r="AD16" s="4">
        <v>4354.6440000000002</v>
      </c>
      <c r="AE16" s="4">
        <v>517.6</v>
      </c>
      <c r="AF16" s="96">
        <f>H16-AE16-AD16-AC16</f>
        <v>688.16499999999951</v>
      </c>
      <c r="AG16" s="4">
        <v>4796.5559999999996</v>
      </c>
      <c r="AH16" s="4">
        <v>3554.087</v>
      </c>
      <c r="AI16" s="4">
        <v>1444.183</v>
      </c>
      <c r="AJ16" s="96">
        <f>I16-AI16-AH16-AG16</f>
        <v>1099.7079999999996</v>
      </c>
      <c r="AK16" s="4">
        <v>644.15599999999995</v>
      </c>
      <c r="AL16" s="4">
        <v>460.65699999999998</v>
      </c>
      <c r="AM16" s="4">
        <v>1479.932</v>
      </c>
      <c r="AN16" s="96">
        <f>J16-AM16-AL16-AK16</f>
        <v>2335.2070000000003</v>
      </c>
      <c r="AO16" s="4">
        <v>3384.0970000000002</v>
      </c>
      <c r="AP16" s="4">
        <v>8608.77</v>
      </c>
      <c r="AQ16" s="4">
        <v>8591.2260000000006</v>
      </c>
      <c r="AR16" s="96">
        <f>K16-AO16-AP16-AQ16</f>
        <v>5979.7939999999962</v>
      </c>
      <c r="AS16" s="4">
        <v>5825.1189999999997</v>
      </c>
      <c r="AT16" s="4">
        <v>4203.1629999999996</v>
      </c>
      <c r="AU16" s="4">
        <v>6803.0209999999997</v>
      </c>
      <c r="AV16" s="96">
        <f>L16-AS16-AT16-AU16</f>
        <v>9703.7910000000011</v>
      </c>
      <c r="AW16" s="140">
        <v>11361.421</v>
      </c>
      <c r="AX16" s="140">
        <v>8768.1530000000002</v>
      </c>
      <c r="AY16" s="140">
        <v>5351.549</v>
      </c>
      <c r="AZ16" s="283">
        <f>M16-AW16-AX16-AY16</f>
        <v>22637.035000000003</v>
      </c>
      <c r="BA16" s="140">
        <v>5102.9859999999999</v>
      </c>
      <c r="BB16" s="140">
        <f>7564.088-BA16</f>
        <v>2461.1019999999999</v>
      </c>
      <c r="BC16" s="140">
        <v>6263.5290000000005</v>
      </c>
      <c r="BD16" s="283">
        <f>N16-BA16-BB16-BC16</f>
        <v>14940.753999999999</v>
      </c>
      <c r="BE16" s="140">
        <v>3328.1480000000001</v>
      </c>
    </row>
    <row r="17" spans="2:57">
      <c r="B17" s="7" t="s">
        <v>285</v>
      </c>
      <c r="C17" s="140">
        <v>-55252.785000000003</v>
      </c>
      <c r="D17" s="140">
        <v>-70978.326000000001</v>
      </c>
      <c r="E17" s="140">
        <v>-82221.963000000003</v>
      </c>
      <c r="F17" s="140">
        <v>-80035.967999999993</v>
      </c>
      <c r="G17" s="140">
        <v>-77711.184999999998</v>
      </c>
      <c r="H17" s="140">
        <v>-97558.997000000003</v>
      </c>
      <c r="I17" s="140">
        <v>-102535.93799999999</v>
      </c>
      <c r="J17" s="140">
        <v>-113951.133</v>
      </c>
      <c r="K17" s="140">
        <v>-113696.383</v>
      </c>
      <c r="L17" s="140">
        <v>-113270.2</v>
      </c>
      <c r="M17" s="140">
        <v>-111986.497</v>
      </c>
      <c r="N17" s="140">
        <v>-165362.52100000001</v>
      </c>
      <c r="O17" s="310">
        <f t="shared" si="13"/>
        <v>-138918.413</v>
      </c>
      <c r="P17" s="96"/>
      <c r="Q17" s="4">
        <v>-18462.272000000001</v>
      </c>
      <c r="R17" s="4">
        <f>-37632.325-Q17</f>
        <v>-19170.052999999996</v>
      </c>
      <c r="S17" s="4">
        <f>-56930.486-R17-Q17</f>
        <v>-19298.161000000004</v>
      </c>
      <c r="T17" s="96">
        <f>E17-S17-R17-Q17</f>
        <v>-25291.476999999995</v>
      </c>
      <c r="U17" s="4">
        <v>-18449.334999999999</v>
      </c>
      <c r="V17" s="4">
        <f>-40529.797-U17</f>
        <v>-22080.462</v>
      </c>
      <c r="W17" s="4">
        <f>-60237.471-V17-U17</f>
        <v>-19707.673999999999</v>
      </c>
      <c r="X17" s="96">
        <f>F17-W17-V17-U17</f>
        <v>-19798.496999999996</v>
      </c>
      <c r="Y17" s="4">
        <v>-21373.738000000001</v>
      </c>
      <c r="Z17" s="4">
        <f>-42191.821-Y17</f>
        <v>-20818.083000000002</v>
      </c>
      <c r="AA17" s="4">
        <f>-61902.072-Z17-Y17</f>
        <v>-19710.251</v>
      </c>
      <c r="AB17" s="96">
        <f>G17-AA17-Z17-Y17</f>
        <v>-15809.112999999994</v>
      </c>
      <c r="AC17" s="4">
        <v>-22786.558000000001</v>
      </c>
      <c r="AD17" s="4">
        <v>-24444.595000000001</v>
      </c>
      <c r="AE17" s="4">
        <v>-24471.645</v>
      </c>
      <c r="AF17" s="96">
        <f>H17-AE17-AD17-AC17</f>
        <v>-25856.198999999997</v>
      </c>
      <c r="AG17" s="4">
        <v>-27204.418000000001</v>
      </c>
      <c r="AH17" s="4">
        <v>-26018.812000000002</v>
      </c>
      <c r="AI17" s="4">
        <v>-24679.518</v>
      </c>
      <c r="AJ17" s="96">
        <f>I17-AI17-AH17-AG17</f>
        <v>-24633.189999999991</v>
      </c>
      <c r="AK17" s="4">
        <v>-23329.043000000001</v>
      </c>
      <c r="AL17" s="4">
        <v>-22877.109</v>
      </c>
      <c r="AM17" s="4">
        <v>-41353.919999999998</v>
      </c>
      <c r="AN17" s="96">
        <f>J17-AM17-AL17-AK17</f>
        <v>-26391.061000000005</v>
      </c>
      <c r="AO17" s="4">
        <v>-24603.053</v>
      </c>
      <c r="AP17" s="4">
        <v>-30773.087</v>
      </c>
      <c r="AQ17" s="4">
        <v>-29217.044000000002</v>
      </c>
      <c r="AR17" s="96">
        <f>K17-AO17-AP17-AQ17</f>
        <v>-29103.199000000001</v>
      </c>
      <c r="AS17" s="4">
        <v>-27587.608</v>
      </c>
      <c r="AT17" s="4">
        <v>-28198.521000000001</v>
      </c>
      <c r="AU17" s="4">
        <v>-28353.268</v>
      </c>
      <c r="AV17" s="96">
        <f>L17-AS17-AT17-AU17</f>
        <v>-29130.803000000004</v>
      </c>
      <c r="AW17" s="140">
        <v>-27500.891</v>
      </c>
      <c r="AX17" s="140">
        <v>-27692.341</v>
      </c>
      <c r="AY17" s="140">
        <v>-27330.746999999999</v>
      </c>
      <c r="AZ17" s="283">
        <f>M17-AW17-AX17-AY17</f>
        <v>-29462.518</v>
      </c>
      <c r="BA17" s="140">
        <v>-52370.305</v>
      </c>
      <c r="BB17" s="140">
        <f>-93066.125-BA17</f>
        <v>-40695.82</v>
      </c>
      <c r="BC17" s="140">
        <v>-16715.392</v>
      </c>
      <c r="BD17" s="283">
        <f>N17-BA17-BB17-BC17</f>
        <v>-55581.004000000008</v>
      </c>
      <c r="BE17" s="140">
        <v>-25926.197</v>
      </c>
    </row>
    <row r="18" spans="2:57">
      <c r="B18" s="7" t="s">
        <v>286</v>
      </c>
      <c r="C18" s="140">
        <v>-11243.067999999999</v>
      </c>
      <c r="D18" s="140">
        <v>-12945.839</v>
      </c>
      <c r="E18" s="140">
        <v>-16051.379000000001</v>
      </c>
      <c r="F18" s="140">
        <v>-6973.5709999999999</v>
      </c>
      <c r="G18" s="140">
        <v>-994.22199999999998</v>
      </c>
      <c r="H18" s="140">
        <v>4551.3100000000004</v>
      </c>
      <c r="I18" s="140">
        <v>-115.09399999999999</v>
      </c>
      <c r="J18" s="140">
        <v>250.185</v>
      </c>
      <c r="K18" s="140">
        <v>-350.49099999999999</v>
      </c>
      <c r="L18" s="140">
        <v>-3187.7750000000001</v>
      </c>
      <c r="M18" s="140">
        <v>-2897.3409999999999</v>
      </c>
      <c r="N18" s="140">
        <v>753.39499999999998</v>
      </c>
      <c r="O18" s="310">
        <f t="shared" si="13"/>
        <v>-37.312999999999988</v>
      </c>
      <c r="P18" s="96"/>
      <c r="Q18" s="4">
        <v>-5943.7309999999998</v>
      </c>
      <c r="R18" s="4">
        <f>-9364.382-Q18</f>
        <v>-3420.6509999999998</v>
      </c>
      <c r="S18" s="4">
        <f>-13744.459-R18-Q18</f>
        <v>-4380.0770000000011</v>
      </c>
      <c r="T18" s="96">
        <f>E18-S18-R18-Q18</f>
        <v>-2306.92</v>
      </c>
      <c r="U18" s="4">
        <v>-1659.1089999999999</v>
      </c>
      <c r="V18" s="4">
        <f>-4111.661-U18</f>
        <v>-2452.5520000000001</v>
      </c>
      <c r="W18" s="4">
        <f>-5895.437-V18-U18</f>
        <v>-1783.7759999999998</v>
      </c>
      <c r="X18" s="96">
        <f>F18-W18-V18-U18</f>
        <v>-1078.134</v>
      </c>
      <c r="Y18" s="4">
        <v>-1176.1389999999999</v>
      </c>
      <c r="Z18" s="4">
        <f>-473.89-Y18</f>
        <v>702.24899999999991</v>
      </c>
      <c r="AA18" s="4">
        <f>-983.773-Z18-Y18</f>
        <v>-509.88300000000004</v>
      </c>
      <c r="AB18" s="96">
        <f>G18-AA18-Z18-Y18</f>
        <v>-10.448999999999842</v>
      </c>
      <c r="AC18" s="4">
        <v>1969.702</v>
      </c>
      <c r="AD18" s="4">
        <v>51.292000000000002</v>
      </c>
      <c r="AE18" s="4">
        <v>2081.58</v>
      </c>
      <c r="AF18" s="96">
        <f>H18-AE18-AD18-AC18</f>
        <v>448.73600000000056</v>
      </c>
      <c r="AG18" s="4">
        <v>-635.47299999999996</v>
      </c>
      <c r="AH18" s="4">
        <v>-24.416</v>
      </c>
      <c r="AI18" s="4">
        <v>-722.50300000000004</v>
      </c>
      <c r="AJ18" s="96">
        <f>I18-AI18-AH18-AG18</f>
        <v>1267.2980000000002</v>
      </c>
      <c r="AK18" s="4">
        <v>-602.03700000000003</v>
      </c>
      <c r="AL18" s="4">
        <v>-1581.046</v>
      </c>
      <c r="AM18" s="4">
        <v>739.70799999999997</v>
      </c>
      <c r="AN18" s="96">
        <f>J18-AM18-AL18-AK18</f>
        <v>1693.5600000000002</v>
      </c>
      <c r="AO18" s="4">
        <v>2569.7579999999998</v>
      </c>
      <c r="AP18" s="4">
        <v>-2760.9540000000002</v>
      </c>
      <c r="AQ18" s="4">
        <v>-2817.6410000000001</v>
      </c>
      <c r="AR18" s="96">
        <f>K18-AO18-AP18-AQ18</f>
        <v>2658.3460000000005</v>
      </c>
      <c r="AS18" s="4">
        <v>191.191</v>
      </c>
      <c r="AT18" s="4">
        <v>-1189.346</v>
      </c>
      <c r="AU18" s="4">
        <v>-2525.3229999999999</v>
      </c>
      <c r="AV18" s="96">
        <f>L18-AS18-AT18-AU18</f>
        <v>335.70299999999997</v>
      </c>
      <c r="AW18" s="140">
        <v>-1343.7550000000001</v>
      </c>
      <c r="AX18" s="140">
        <v>-1544.1420000000001</v>
      </c>
      <c r="AY18" s="140">
        <v>442.99299999999999</v>
      </c>
      <c r="AZ18" s="283">
        <f>M18-AW18-AX18-AY18</f>
        <v>-452.43699999999973</v>
      </c>
      <c r="BA18" s="140">
        <v>20.189</v>
      </c>
      <c r="BB18" s="140">
        <f>895.96-BA18</f>
        <v>875.77100000000007</v>
      </c>
      <c r="BC18" s="140">
        <v>-863.59500000000003</v>
      </c>
      <c r="BD18" s="283">
        <f>N18-BA18-BB18-BC18</f>
        <v>721.03</v>
      </c>
      <c r="BE18" s="140">
        <v>-770.51900000000001</v>
      </c>
    </row>
    <row r="19" spans="2:57">
      <c r="B19" s="139" t="s">
        <v>287</v>
      </c>
      <c r="C19" s="140">
        <v>-22635.632000000001</v>
      </c>
      <c r="D19" s="140">
        <v>-22985.871999999999</v>
      </c>
      <c r="E19" s="140">
        <v>-15934.834999999999</v>
      </c>
      <c r="F19" s="140">
        <v>-9600.4050000000007</v>
      </c>
      <c r="G19" s="140">
        <v>-16368.412</v>
      </c>
      <c r="H19" s="140">
        <v>-19445.991999999998</v>
      </c>
      <c r="I19" s="140">
        <v>-26758.482</v>
      </c>
      <c r="J19" s="140">
        <v>-66963.328999999998</v>
      </c>
      <c r="K19" s="140">
        <v>-130374.245</v>
      </c>
      <c r="L19" s="140">
        <v>-39051.828000000001</v>
      </c>
      <c r="M19" s="140">
        <v>-32919.656999999999</v>
      </c>
      <c r="N19" s="140">
        <v>-24859.269</v>
      </c>
      <c r="O19" s="310">
        <f t="shared" si="13"/>
        <v>-17398.974999999999</v>
      </c>
      <c r="P19" s="96"/>
      <c r="Q19" s="4">
        <v>-3977.4079999999999</v>
      </c>
      <c r="R19" s="4">
        <f>-9499.781-Q19</f>
        <v>-5522.3730000000014</v>
      </c>
      <c r="S19" s="4">
        <f>-13185.375-R19-Q19</f>
        <v>-3685.5939999999987</v>
      </c>
      <c r="T19" s="96">
        <f>E19-S19-R19-Q19</f>
        <v>-2749.4599999999987</v>
      </c>
      <c r="U19" s="4">
        <v>-2766.3580000000002</v>
      </c>
      <c r="V19" s="4">
        <f>-7173.524-U19</f>
        <v>-4407.1660000000002</v>
      </c>
      <c r="W19" s="4">
        <f>-7063.271-V19-U19</f>
        <v>110.25300000000061</v>
      </c>
      <c r="X19" s="96">
        <f>F19-W19-V19-U19</f>
        <v>-2537.1340000000009</v>
      </c>
      <c r="Y19" s="4">
        <v>-3444.75</v>
      </c>
      <c r="Z19" s="4">
        <f>-7426.083-Y19</f>
        <v>-3981.3329999999996</v>
      </c>
      <c r="AA19" s="4">
        <f>-11862.017-Z19-Y19</f>
        <v>-4435.9340000000002</v>
      </c>
      <c r="AB19" s="96">
        <f>G19-AA19-Z19-Y19</f>
        <v>-4506.3949999999995</v>
      </c>
      <c r="AC19" s="4">
        <v>29.344000000000001</v>
      </c>
      <c r="AD19" s="4">
        <v>-7543.41</v>
      </c>
      <c r="AE19" s="4">
        <v>-3406.7779999999998</v>
      </c>
      <c r="AF19" s="96">
        <f>H19-AE19-AD19-AC19</f>
        <v>-8525.1479999999974</v>
      </c>
      <c r="AG19" s="4">
        <v>-10321.723</v>
      </c>
      <c r="AH19" s="4">
        <v>-3890.4070000000002</v>
      </c>
      <c r="AI19" s="4">
        <v>-152.21899999999999</v>
      </c>
      <c r="AJ19" s="96">
        <f>I19-AI19-AH19-AG19</f>
        <v>-12394.133</v>
      </c>
      <c r="AK19" s="4">
        <v>-12030.81</v>
      </c>
      <c r="AL19" s="4">
        <v>-9283.9989999999998</v>
      </c>
      <c r="AM19" s="4">
        <v>-12972.844999999999</v>
      </c>
      <c r="AN19" s="96">
        <f>J19-AM19-AL19-AK19</f>
        <v>-32675.675000000003</v>
      </c>
      <c r="AO19" s="4">
        <v>-26497.446</v>
      </c>
      <c r="AP19" s="4">
        <v>-45863.712</v>
      </c>
      <c r="AQ19" s="4">
        <v>-34966.078999999998</v>
      </c>
      <c r="AR19" s="96">
        <f>K19-AO19-AP19-AQ19</f>
        <v>-23047.008000000002</v>
      </c>
      <c r="AS19" s="4">
        <v>-11742.475</v>
      </c>
      <c r="AT19" s="4">
        <v>-13578.406999999999</v>
      </c>
      <c r="AU19" s="4">
        <v>-126.65300000000001</v>
      </c>
      <c r="AV19" s="96">
        <f>L19-AS19-AT19-AU19</f>
        <v>-13604.293000000003</v>
      </c>
      <c r="AW19" s="140">
        <v>-5147.0680000000002</v>
      </c>
      <c r="AX19" s="140">
        <v>-11048.467000000001</v>
      </c>
      <c r="AY19" s="140">
        <v>-7258.7560000000003</v>
      </c>
      <c r="AZ19" s="283">
        <f>M19-AW19-AX19-AY19</f>
        <v>-9465.3659999999982</v>
      </c>
      <c r="BA19" s="140">
        <v>-9520.27</v>
      </c>
      <c r="BB19" s="140">
        <f>-16946.774-BA19</f>
        <v>-7426.5040000000008</v>
      </c>
      <c r="BC19" s="140">
        <v>-3732.2269999999999</v>
      </c>
      <c r="BD19" s="283">
        <f>N19-BA19-BB19-BC19</f>
        <v>-4180.2679999999991</v>
      </c>
      <c r="BE19" s="140">
        <v>-2059.9760000000001</v>
      </c>
    </row>
    <row r="20" spans="2:57" s="5" customFormat="1">
      <c r="B20" s="5" t="s">
        <v>288</v>
      </c>
      <c r="C20" s="8">
        <f t="shared" ref="C20:Y20" si="21">SUM(C15,C16,C17,C18,C19)</f>
        <v>103706.85999999965</v>
      </c>
      <c r="D20" s="8">
        <f t="shared" si="21"/>
        <v>-13882.373000000112</v>
      </c>
      <c r="E20" s="8">
        <f t="shared" si="21"/>
        <v>6140.064000000224</v>
      </c>
      <c r="F20" s="8">
        <f t="shared" si="21"/>
        <v>26000.924000000145</v>
      </c>
      <c r="G20" s="8">
        <f t="shared" si="21"/>
        <v>-2270.976000000237</v>
      </c>
      <c r="H20" s="8">
        <f t="shared" ref="H20:O20" si="22">SUM(H15,H16,H17,H18,H19)</f>
        <v>240209.83699999988</v>
      </c>
      <c r="I20" s="8">
        <f t="shared" si="22"/>
        <v>93954.056000000302</v>
      </c>
      <c r="J20" s="8">
        <f t="shared" si="22"/>
        <v>118630.36000000004</v>
      </c>
      <c r="K20" s="8">
        <f t="shared" si="22"/>
        <v>539751.4439999999</v>
      </c>
      <c r="L20" s="8">
        <f t="shared" si="22"/>
        <v>120594.63100000028</v>
      </c>
      <c r="M20" s="8">
        <f>SUM(M15,M16,M17,M18,M19)</f>
        <v>131167.25700000004</v>
      </c>
      <c r="N20" s="8">
        <f>SUM(N15,N16,N17,N18,N19)</f>
        <v>89153.460000000152</v>
      </c>
      <c r="O20" s="8">
        <f t="shared" si="22"/>
        <v>133480.48499999993</v>
      </c>
      <c r="P20" s="8"/>
      <c r="Q20" s="8">
        <f t="shared" si="21"/>
        <v>12794.007000000085</v>
      </c>
      <c r="R20" s="8">
        <f t="shared" si="21"/>
        <v>-1008.1070000000691</v>
      </c>
      <c r="S20" s="8">
        <f t="shared" si="21"/>
        <v>1033.5070000000692</v>
      </c>
      <c r="T20" s="8">
        <f t="shared" si="21"/>
        <v>-6679.3430000000317</v>
      </c>
      <c r="U20" s="8">
        <f t="shared" si="21"/>
        <v>10871.553999999978</v>
      </c>
      <c r="V20" s="8">
        <f t="shared" si="21"/>
        <v>-7796.3569999999563</v>
      </c>
      <c r="W20" s="8">
        <f>SUM(W15,W16,W17,W18,W19)</f>
        <v>10742.47800000015</v>
      </c>
      <c r="X20" s="8">
        <f t="shared" si="21"/>
        <v>12183.248999999956</v>
      </c>
      <c r="Y20" s="8">
        <f t="shared" si="21"/>
        <v>-8180.2100000000146</v>
      </c>
      <c r="Z20" s="8">
        <f t="shared" ref="Z20:AE20" si="23">SUM(Z15,Z16,Z17,Z18,Z19)</f>
        <v>-13045.52799999994</v>
      </c>
      <c r="AA20" s="8">
        <f t="shared" si="23"/>
        <v>-2105.9359999999842</v>
      </c>
      <c r="AB20" s="8">
        <f t="shared" si="23"/>
        <v>21060.697999999764</v>
      </c>
      <c r="AC20" s="8">
        <f t="shared" si="23"/>
        <v>18115.69199999997</v>
      </c>
      <c r="AD20" s="8">
        <f t="shared" si="23"/>
        <v>5304.9789999999502</v>
      </c>
      <c r="AE20" s="8">
        <f t="shared" si="23"/>
        <v>13891.903999999993</v>
      </c>
      <c r="AF20" s="8">
        <f t="shared" ref="AF20:AL20" si="24">SUM(AF15,AF16,AF17,AF18,AF19)</f>
        <v>202897.2619999999</v>
      </c>
      <c r="AG20" s="8">
        <f t="shared" si="24"/>
        <v>22735.481000000043</v>
      </c>
      <c r="AH20" s="8">
        <f t="shared" si="24"/>
        <v>19654.785999999971</v>
      </c>
      <c r="AI20" s="8">
        <f t="shared" si="24"/>
        <v>22480.486999999932</v>
      </c>
      <c r="AJ20" s="8">
        <f t="shared" si="24"/>
        <v>29083.302000000192</v>
      </c>
      <c r="AK20" s="8">
        <f t="shared" si="24"/>
        <v>26165.910000000033</v>
      </c>
      <c r="AL20" s="8">
        <f t="shared" si="24"/>
        <v>55409.419000000038</v>
      </c>
      <c r="AM20" s="8">
        <f t="shared" ref="AM20:AR20" si="25">SUM(AM15,AM16,AM17,AM18,AM19)</f>
        <v>33666.573000000033</v>
      </c>
      <c r="AN20" s="8">
        <f t="shared" si="25"/>
        <v>3388.4580000000133</v>
      </c>
      <c r="AO20" s="8">
        <f t="shared" si="25"/>
        <v>20142.129999999972</v>
      </c>
      <c r="AP20" s="8">
        <f t="shared" si="25"/>
        <v>475731.2809999999</v>
      </c>
      <c r="AQ20" s="8">
        <f t="shared" si="25"/>
        <v>45201.787000000011</v>
      </c>
      <c r="AR20" s="8">
        <f t="shared" si="25"/>
        <v>-1323.753999999808</v>
      </c>
      <c r="AS20" s="8">
        <f t="shared" ref="AS20:AX20" si="26">SUM(AS15,AS16,AS17,AS18,AS19)</f>
        <v>-26882.277000000075</v>
      </c>
      <c r="AT20" s="8">
        <f t="shared" si="26"/>
        <v>27699.237999999932</v>
      </c>
      <c r="AU20" s="8">
        <f t="shared" si="26"/>
        <v>36354.824999999953</v>
      </c>
      <c r="AV20" s="8">
        <f t="shared" si="26"/>
        <v>83422.84500000003</v>
      </c>
      <c r="AW20" s="8">
        <f t="shared" si="26"/>
        <v>29206.408000000003</v>
      </c>
      <c r="AX20" s="8">
        <f t="shared" si="26"/>
        <v>26154.409000000011</v>
      </c>
      <c r="AY20" s="8">
        <f t="shared" ref="AY20:BE20" si="27">SUM(AY15,AY16,AY17,AY18,AY19)</f>
        <v>23541.552999999964</v>
      </c>
      <c r="AZ20" s="284">
        <f t="shared" si="27"/>
        <v>52264.887000000075</v>
      </c>
      <c r="BA20" s="8">
        <f t="shared" si="27"/>
        <v>-6044.0629999999455</v>
      </c>
      <c r="BB20" s="8">
        <f t="shared" si="27"/>
        <v>12974.498000000021</v>
      </c>
      <c r="BC20" s="8">
        <f t="shared" si="27"/>
        <v>55616.845000000023</v>
      </c>
      <c r="BD20" s="284">
        <f t="shared" si="27"/>
        <v>26606.180000000055</v>
      </c>
      <c r="BE20" s="8">
        <f t="shared" si="27"/>
        <v>38282.96200000005</v>
      </c>
    </row>
    <row r="21" spans="2:57" s="95" customFormat="1">
      <c r="B21" s="7" t="s">
        <v>289</v>
      </c>
      <c r="C21" s="140">
        <v>8013.9849999999997</v>
      </c>
      <c r="D21" s="140">
        <v>12780.376</v>
      </c>
      <c r="E21" s="140">
        <v>28018.036</v>
      </c>
      <c r="F21" s="140">
        <v>17408.616999999998</v>
      </c>
      <c r="G21" s="140">
        <v>-21343.116000000002</v>
      </c>
      <c r="H21" s="140">
        <v>-86057.731</v>
      </c>
      <c r="I21" s="140">
        <v>-9487.8080000000009</v>
      </c>
      <c r="J21" s="140">
        <v>-43655.048999999999</v>
      </c>
      <c r="K21" s="140">
        <v>-82964.111999999994</v>
      </c>
      <c r="L21" s="140">
        <v>-31710.264999999999</v>
      </c>
      <c r="M21" s="140">
        <v>-63495.127999999997</v>
      </c>
      <c r="N21" s="140">
        <v>102243.00900000001</v>
      </c>
      <c r="O21" s="310">
        <f t="shared" si="13"/>
        <v>62679.768000000011</v>
      </c>
      <c r="P21" s="96"/>
      <c r="Q21" s="96">
        <v>11174.927</v>
      </c>
      <c r="R21" s="96">
        <f>20979.756-Q21</f>
        <v>9804.8290000000015</v>
      </c>
      <c r="S21" s="96">
        <f>29402.861-R21-Q21</f>
        <v>8423.1049999999996</v>
      </c>
      <c r="T21" s="96">
        <f>E21-S21-R21-Q21</f>
        <v>-1384.8250000000007</v>
      </c>
      <c r="U21" s="140">
        <v>3254.3910000000001</v>
      </c>
      <c r="V21" s="140">
        <f>8408.878-U21</f>
        <v>5154.487000000001</v>
      </c>
      <c r="W21" s="140">
        <f>15330.006-V21-U21</f>
        <v>6921.1279999999988</v>
      </c>
      <c r="X21" s="96">
        <f>F21-W21-V21-U21</f>
        <v>2078.6109999999985</v>
      </c>
      <c r="Y21" s="140">
        <v>8203.1849999999995</v>
      </c>
      <c r="Z21" s="140">
        <f>-2388.757-Y21</f>
        <v>-10591.941999999999</v>
      </c>
      <c r="AA21" s="140">
        <f>-5550.49-Z21-Y21</f>
        <v>-3161.7330000000002</v>
      </c>
      <c r="AB21" s="96">
        <f>G21-AA21-Z21-Y21</f>
        <v>-15792.626000000002</v>
      </c>
      <c r="AC21" s="140">
        <v>-7977.8130000000001</v>
      </c>
      <c r="AD21" s="140">
        <v>-928.30799999999999</v>
      </c>
      <c r="AE21" s="140">
        <v>-28643.649000000001</v>
      </c>
      <c r="AF21" s="96">
        <f>H21-AE21-AD21-AC21</f>
        <v>-48507.960999999996</v>
      </c>
      <c r="AG21" s="140">
        <v>-45200.063999999998</v>
      </c>
      <c r="AH21" s="140">
        <v>2864.2350000000001</v>
      </c>
      <c r="AI21" s="140">
        <v>4783.2129999999997</v>
      </c>
      <c r="AJ21" s="96">
        <f>I21-AI21-AH21-AG21</f>
        <v>28064.807999999997</v>
      </c>
      <c r="AK21" s="140">
        <v>-8842.5480000000007</v>
      </c>
      <c r="AL21" s="140">
        <v>-10736.441000000001</v>
      </c>
      <c r="AM21" s="140">
        <v>-31470.177</v>
      </c>
      <c r="AN21" s="96">
        <f>J21-AM21-AL21-AK21</f>
        <v>7394.117000000002</v>
      </c>
      <c r="AO21" s="140">
        <v>32165.322</v>
      </c>
      <c r="AP21" s="140">
        <v>-167083.23499999999</v>
      </c>
      <c r="AQ21" s="140">
        <v>-2399.9949999999999</v>
      </c>
      <c r="AR21" s="96">
        <f>K21-AO21-AP21-AQ21</f>
        <v>54353.795999999995</v>
      </c>
      <c r="AS21" s="140">
        <v>29914.65</v>
      </c>
      <c r="AT21" s="140">
        <v>-5353.759</v>
      </c>
      <c r="AU21" s="140">
        <v>-48449.803</v>
      </c>
      <c r="AV21" s="96">
        <f>L21-AS21-AT21-AU21</f>
        <v>-7821.3530000000028</v>
      </c>
      <c r="AW21" s="140">
        <v>-49637.925000000003</v>
      </c>
      <c r="AX21" s="140">
        <v>17931.562999999998</v>
      </c>
      <c r="AY21" s="140">
        <v>17658.099999999999</v>
      </c>
      <c r="AZ21" s="283">
        <f>M21-AW21-AX21-AY21</f>
        <v>-49446.865999999995</v>
      </c>
      <c r="BA21" s="140">
        <v>29045.018</v>
      </c>
      <c r="BB21" s="140">
        <f>34640.927-BA21</f>
        <v>5595.9090000000033</v>
      </c>
      <c r="BC21" s="140">
        <v>-24920.225999999999</v>
      </c>
      <c r="BD21" s="283">
        <f>N21-BA21-BB21-BC21</f>
        <v>92522.308000000005</v>
      </c>
      <c r="BE21" s="140">
        <v>-10518.223</v>
      </c>
    </row>
    <row r="22" spans="2:57" s="5" customFormat="1">
      <c r="B22" s="15" t="s">
        <v>290</v>
      </c>
      <c r="C22" s="94">
        <f t="shared" ref="C22:K22" si="28">SUM(C20,C21)</f>
        <v>111720.84499999965</v>
      </c>
      <c r="D22" s="94">
        <f t="shared" si="28"/>
        <v>-1101.9970000001122</v>
      </c>
      <c r="E22" s="94">
        <f t="shared" si="28"/>
        <v>34158.100000000224</v>
      </c>
      <c r="F22" s="94">
        <f t="shared" si="28"/>
        <v>43409.541000000143</v>
      </c>
      <c r="G22" s="94">
        <f t="shared" si="28"/>
        <v>-23614.092000000237</v>
      </c>
      <c r="H22" s="94">
        <f t="shared" si="28"/>
        <v>154152.10599999988</v>
      </c>
      <c r="I22" s="94">
        <f t="shared" si="28"/>
        <v>84466.248000000298</v>
      </c>
      <c r="J22" s="94">
        <f t="shared" si="28"/>
        <v>74975.311000000045</v>
      </c>
      <c r="K22" s="94">
        <f t="shared" si="28"/>
        <v>456787.33199999994</v>
      </c>
      <c r="L22" s="94">
        <f>SUM(L20,L21)</f>
        <v>88884.366000000286</v>
      </c>
      <c r="M22" s="94">
        <f>SUM(M20,M21)</f>
        <v>67672.129000000044</v>
      </c>
      <c r="N22" s="94">
        <f>SUM(N20,N21)</f>
        <v>191396.46900000016</v>
      </c>
      <c r="O22" s="94">
        <f>SUM(O20,O21)</f>
        <v>196160.25299999994</v>
      </c>
      <c r="P22" s="94"/>
      <c r="Q22" s="94">
        <f t="shared" ref="Q22:Y22" si="29">SUM(Q20,Q21)</f>
        <v>23968.934000000085</v>
      </c>
      <c r="R22" s="94">
        <f t="shared" si="29"/>
        <v>8796.7219999999325</v>
      </c>
      <c r="S22" s="94">
        <f t="shared" si="29"/>
        <v>9456.6120000000683</v>
      </c>
      <c r="T22" s="94">
        <f t="shared" si="29"/>
        <v>-8064.1680000000324</v>
      </c>
      <c r="U22" s="94">
        <f t="shared" si="29"/>
        <v>14125.944999999978</v>
      </c>
      <c r="V22" s="94">
        <f t="shared" si="29"/>
        <v>-2641.8699999999553</v>
      </c>
      <c r="W22" s="94">
        <f t="shared" si="29"/>
        <v>17663.606000000149</v>
      </c>
      <c r="X22" s="94">
        <f t="shared" si="29"/>
        <v>14261.859999999955</v>
      </c>
      <c r="Y22" s="94">
        <f t="shared" si="29"/>
        <v>22.974999999984902</v>
      </c>
      <c r="Z22" s="94">
        <f t="shared" ref="Z22:AE22" si="30">SUM(Z20,Z21)</f>
        <v>-23637.469999999939</v>
      </c>
      <c r="AA22" s="94">
        <f t="shared" si="30"/>
        <v>-5267.6689999999844</v>
      </c>
      <c r="AB22" s="94">
        <f t="shared" si="30"/>
        <v>5268.0719999997618</v>
      </c>
      <c r="AC22" s="94">
        <f t="shared" si="30"/>
        <v>10137.87899999997</v>
      </c>
      <c r="AD22" s="94">
        <f t="shared" si="30"/>
        <v>4376.6709999999503</v>
      </c>
      <c r="AE22" s="94">
        <f t="shared" si="30"/>
        <v>-14751.745000000008</v>
      </c>
      <c r="AF22" s="94">
        <f t="shared" ref="AF22:AL22" si="31">SUM(AF20,AF21)</f>
        <v>154389.30099999992</v>
      </c>
      <c r="AG22" s="94">
        <f t="shared" si="31"/>
        <v>-22464.582999999955</v>
      </c>
      <c r="AH22" s="94">
        <f t="shared" si="31"/>
        <v>22519.020999999972</v>
      </c>
      <c r="AI22" s="94">
        <f t="shared" si="31"/>
        <v>27263.699999999932</v>
      </c>
      <c r="AJ22" s="94">
        <f t="shared" si="31"/>
        <v>57148.11000000019</v>
      </c>
      <c r="AK22" s="94">
        <f t="shared" si="31"/>
        <v>17323.36200000003</v>
      </c>
      <c r="AL22" s="94">
        <f t="shared" si="31"/>
        <v>44672.978000000039</v>
      </c>
      <c r="AM22" s="94">
        <f t="shared" ref="AM22:AR22" si="32">SUM(AM20,AM21)</f>
        <v>2196.3960000000334</v>
      </c>
      <c r="AN22" s="94">
        <f t="shared" si="32"/>
        <v>10782.575000000015</v>
      </c>
      <c r="AO22" s="94">
        <f t="shared" si="32"/>
        <v>52307.451999999976</v>
      </c>
      <c r="AP22" s="94">
        <f t="shared" si="32"/>
        <v>308648.04599999991</v>
      </c>
      <c r="AQ22" s="94">
        <f t="shared" si="32"/>
        <v>42801.792000000009</v>
      </c>
      <c r="AR22" s="94">
        <f t="shared" si="32"/>
        <v>53030.04200000019</v>
      </c>
      <c r="AS22" s="94">
        <f t="shared" ref="AS22:AX22" si="33">SUM(AS20,AS21)</f>
        <v>3032.3729999999268</v>
      </c>
      <c r="AT22" s="94">
        <f t="shared" si="33"/>
        <v>22345.478999999934</v>
      </c>
      <c r="AU22" s="94">
        <f t="shared" si="33"/>
        <v>-12094.978000000046</v>
      </c>
      <c r="AV22" s="94">
        <f t="shared" si="33"/>
        <v>75601.492000000027</v>
      </c>
      <c r="AW22" s="94">
        <f t="shared" si="33"/>
        <v>-20431.517</v>
      </c>
      <c r="AX22" s="94">
        <f t="shared" si="33"/>
        <v>44085.972000000009</v>
      </c>
      <c r="AY22" s="94">
        <f t="shared" ref="AY22:BE22" si="34">SUM(AY20,AY21)</f>
        <v>41199.652999999962</v>
      </c>
      <c r="AZ22" s="281">
        <f t="shared" si="34"/>
        <v>2818.0210000000807</v>
      </c>
      <c r="BA22" s="94">
        <f t="shared" si="34"/>
        <v>23000.955000000053</v>
      </c>
      <c r="BB22" s="94">
        <f t="shared" si="34"/>
        <v>18570.407000000025</v>
      </c>
      <c r="BC22" s="94">
        <f t="shared" si="34"/>
        <v>30696.619000000024</v>
      </c>
      <c r="BD22" s="281">
        <f t="shared" si="34"/>
        <v>119128.48800000006</v>
      </c>
      <c r="BE22" s="281">
        <f t="shared" si="34"/>
        <v>27764.739000000052</v>
      </c>
    </row>
    <row r="23" spans="2:57" s="5" customFormat="1">
      <c r="B23" s="7" t="s">
        <v>291</v>
      </c>
      <c r="C23" s="140">
        <v>0</v>
      </c>
      <c r="D23" s="140">
        <v>0</v>
      </c>
      <c r="E23" s="140">
        <v>0</v>
      </c>
      <c r="F23" s="140">
        <v>0</v>
      </c>
      <c r="G23" s="140">
        <v>0</v>
      </c>
      <c r="H23" s="140">
        <v>0</v>
      </c>
      <c r="I23" s="140">
        <v>0</v>
      </c>
      <c r="J23" s="140">
        <v>0</v>
      </c>
      <c r="K23" s="140">
        <v>0</v>
      </c>
      <c r="L23" s="140">
        <v>0</v>
      </c>
      <c r="M23" s="140">
        <v>0</v>
      </c>
      <c r="N23" s="140">
        <v>0</v>
      </c>
      <c r="O23" s="310">
        <f t="shared" si="13"/>
        <v>0</v>
      </c>
      <c r="P23" s="96"/>
      <c r="Q23" s="4">
        <v>0</v>
      </c>
      <c r="R23" s="4">
        <v>0</v>
      </c>
      <c r="S23" s="4">
        <v>0</v>
      </c>
      <c r="T23" s="96">
        <f>E23-S23-R23-Q23</f>
        <v>0</v>
      </c>
      <c r="U23" s="4">
        <v>0</v>
      </c>
      <c r="V23" s="4">
        <v>0</v>
      </c>
      <c r="W23" s="4">
        <v>0</v>
      </c>
      <c r="X23" s="96">
        <f>F23-W23-V23-U23</f>
        <v>0</v>
      </c>
      <c r="Y23" s="4">
        <v>0</v>
      </c>
      <c r="Z23" s="4">
        <v>0</v>
      </c>
      <c r="AA23" s="4">
        <v>0</v>
      </c>
      <c r="AB23" s="96">
        <f>G23-AA23-Z23-Y23</f>
        <v>0</v>
      </c>
      <c r="AC23" s="4">
        <v>0</v>
      </c>
      <c r="AD23" s="4">
        <v>0</v>
      </c>
      <c r="AE23" s="4">
        <v>0</v>
      </c>
      <c r="AF23" s="96">
        <f>H23-AE23-AD23-AC23</f>
        <v>0</v>
      </c>
      <c r="AG23" s="4">
        <v>0</v>
      </c>
      <c r="AH23" s="4">
        <v>0</v>
      </c>
      <c r="AI23" s="4">
        <v>0</v>
      </c>
      <c r="AJ23" s="96">
        <f>I23-AI23-AH23-AG23</f>
        <v>0</v>
      </c>
      <c r="AK23" s="4">
        <v>0</v>
      </c>
      <c r="AL23" s="4">
        <v>0</v>
      </c>
      <c r="AM23" s="4">
        <v>0</v>
      </c>
      <c r="AN23" s="96">
        <f>J23-AM23-AL23-AK23</f>
        <v>0</v>
      </c>
      <c r="AO23" s="4">
        <v>0</v>
      </c>
      <c r="AP23" s="4">
        <v>0</v>
      </c>
      <c r="AQ23" s="4">
        <v>0</v>
      </c>
      <c r="AR23" s="96">
        <f>K23-AO23-AP23-AQ23</f>
        <v>0</v>
      </c>
      <c r="AS23" s="4">
        <v>0</v>
      </c>
      <c r="AT23" s="4">
        <v>0</v>
      </c>
      <c r="AU23" s="4">
        <v>0</v>
      </c>
      <c r="AV23" s="96">
        <f>L23-AS23-AT23-AU23</f>
        <v>0</v>
      </c>
      <c r="AW23" s="140">
        <v>0</v>
      </c>
      <c r="AX23" s="140">
        <v>0</v>
      </c>
      <c r="AY23" s="140">
        <v>0</v>
      </c>
      <c r="AZ23" s="283">
        <f>M23-AW23-AX23-AY23</f>
        <v>0</v>
      </c>
      <c r="BA23" s="140">
        <v>0</v>
      </c>
      <c r="BB23" s="140">
        <f>0-BA23</f>
        <v>0</v>
      </c>
      <c r="BC23" s="140">
        <v>0</v>
      </c>
      <c r="BD23" s="283">
        <f>N23-BA23-BB23-BC23</f>
        <v>0</v>
      </c>
      <c r="BE23" s="140">
        <v>0</v>
      </c>
    </row>
    <row r="24" spans="2:57" s="5" customFormat="1">
      <c r="B24" s="5" t="s">
        <v>292</v>
      </c>
      <c r="C24" s="8">
        <f>C22+C23</f>
        <v>111720.84499999965</v>
      </c>
      <c r="D24" s="8">
        <f>D22+D23</f>
        <v>-1101.9970000001122</v>
      </c>
      <c r="E24" s="8">
        <f t="shared" ref="E24:AA24" si="35">E22+E23</f>
        <v>34158.100000000224</v>
      </c>
      <c r="F24" s="8">
        <f t="shared" si="35"/>
        <v>43409.541000000143</v>
      </c>
      <c r="G24" s="8">
        <f t="shared" si="35"/>
        <v>-23614.092000000237</v>
      </c>
      <c r="H24" s="8">
        <f t="shared" ref="H24:O24" si="36">H22+H23</f>
        <v>154152.10599999988</v>
      </c>
      <c r="I24" s="8">
        <f t="shared" si="36"/>
        <v>84466.248000000298</v>
      </c>
      <c r="J24" s="8">
        <f t="shared" si="36"/>
        <v>74975.311000000045</v>
      </c>
      <c r="K24" s="8">
        <f t="shared" si="36"/>
        <v>456787.33199999994</v>
      </c>
      <c r="L24" s="8">
        <f t="shared" si="36"/>
        <v>88884.366000000286</v>
      </c>
      <c r="M24" s="8">
        <f>M22+M23</f>
        <v>67672.129000000044</v>
      </c>
      <c r="N24" s="8">
        <f>N22+N23</f>
        <v>191396.46900000016</v>
      </c>
      <c r="O24" s="8">
        <f t="shared" si="36"/>
        <v>196160.25299999994</v>
      </c>
      <c r="P24" s="96"/>
      <c r="Q24" s="8">
        <f t="shared" si="35"/>
        <v>23968.934000000085</v>
      </c>
      <c r="R24" s="8">
        <f t="shared" si="35"/>
        <v>8796.7219999999325</v>
      </c>
      <c r="S24" s="8">
        <f t="shared" si="35"/>
        <v>9456.6120000000683</v>
      </c>
      <c r="T24" s="8">
        <f t="shared" si="35"/>
        <v>-8064.1680000000324</v>
      </c>
      <c r="U24" s="8">
        <f t="shared" si="35"/>
        <v>14125.944999999978</v>
      </c>
      <c r="V24" s="8">
        <f t="shared" si="35"/>
        <v>-2641.8699999999553</v>
      </c>
      <c r="W24" s="8">
        <f t="shared" si="35"/>
        <v>17663.606000000149</v>
      </c>
      <c r="X24" s="8">
        <f t="shared" si="35"/>
        <v>14261.859999999955</v>
      </c>
      <c r="Y24" s="8">
        <f t="shared" si="35"/>
        <v>22.974999999984902</v>
      </c>
      <c r="Z24" s="8">
        <f t="shared" si="35"/>
        <v>-23637.469999999939</v>
      </c>
      <c r="AA24" s="8">
        <f t="shared" si="35"/>
        <v>-5267.6689999999844</v>
      </c>
      <c r="AB24" s="8">
        <f t="shared" ref="AB24:AH24" si="37">AB22+AB23</f>
        <v>5268.0719999997618</v>
      </c>
      <c r="AC24" s="8">
        <f t="shared" si="37"/>
        <v>10137.87899999997</v>
      </c>
      <c r="AD24" s="195">
        <f t="shared" si="37"/>
        <v>4376.6709999999503</v>
      </c>
      <c r="AE24" s="8">
        <f t="shared" si="37"/>
        <v>-14751.745000000008</v>
      </c>
      <c r="AF24" s="8">
        <f t="shared" si="37"/>
        <v>154389.30099999992</v>
      </c>
      <c r="AG24" s="8">
        <f t="shared" si="37"/>
        <v>-22464.582999999955</v>
      </c>
      <c r="AH24" s="195">
        <f t="shared" si="37"/>
        <v>22519.020999999972</v>
      </c>
      <c r="AI24" s="195">
        <f t="shared" ref="AI24:AN24" si="38">AI22+AI23</f>
        <v>27263.699999999932</v>
      </c>
      <c r="AJ24" s="8">
        <f t="shared" si="38"/>
        <v>57148.11000000019</v>
      </c>
      <c r="AK24" s="8">
        <f t="shared" si="38"/>
        <v>17323.36200000003</v>
      </c>
      <c r="AL24" s="94">
        <f t="shared" si="38"/>
        <v>44672.978000000039</v>
      </c>
      <c r="AM24" s="8">
        <f t="shared" si="38"/>
        <v>2196.3960000000334</v>
      </c>
      <c r="AN24" s="8">
        <f t="shared" si="38"/>
        <v>10782.575000000015</v>
      </c>
      <c r="AO24" s="8">
        <f t="shared" ref="AO24:AU24" si="39">AO22+AO23</f>
        <v>52307.451999999976</v>
      </c>
      <c r="AP24" s="94">
        <f t="shared" si="39"/>
        <v>308648.04599999991</v>
      </c>
      <c r="AQ24" s="8">
        <f t="shared" si="39"/>
        <v>42801.792000000009</v>
      </c>
      <c r="AR24" s="8">
        <f t="shared" si="39"/>
        <v>53030.04200000019</v>
      </c>
      <c r="AS24" s="8">
        <f t="shared" si="39"/>
        <v>3032.3729999999268</v>
      </c>
      <c r="AT24" s="94">
        <f t="shared" si="39"/>
        <v>22345.478999999934</v>
      </c>
      <c r="AU24" s="8">
        <f t="shared" si="39"/>
        <v>-12094.978000000046</v>
      </c>
      <c r="AV24" s="8">
        <f t="shared" ref="AV24:BB24" si="40">AV22+AV23</f>
        <v>75601.492000000027</v>
      </c>
      <c r="AW24" s="8">
        <f t="shared" si="40"/>
        <v>-20431.517</v>
      </c>
      <c r="AX24" s="8">
        <f t="shared" si="40"/>
        <v>44085.972000000009</v>
      </c>
      <c r="AY24" s="8">
        <f t="shared" si="40"/>
        <v>41199.652999999962</v>
      </c>
      <c r="AZ24" s="284">
        <f t="shared" si="40"/>
        <v>2818.0210000000807</v>
      </c>
      <c r="BA24" s="8">
        <f t="shared" si="40"/>
        <v>23000.955000000053</v>
      </c>
      <c r="BB24" s="8">
        <f t="shared" si="40"/>
        <v>18570.407000000025</v>
      </c>
      <c r="BC24" s="8">
        <f>BC22+BC23</f>
        <v>30696.619000000024</v>
      </c>
      <c r="BD24" s="284">
        <f>BD22+BD23</f>
        <v>119128.48800000006</v>
      </c>
      <c r="BE24" s="284">
        <f>BE22+BE23</f>
        <v>27764.739000000052</v>
      </c>
    </row>
    <row r="25" spans="2:57" s="35" customFormat="1">
      <c r="B25" s="48"/>
      <c r="C25" s="66"/>
      <c r="D25" s="66"/>
      <c r="E25" s="66"/>
      <c r="F25" s="66"/>
      <c r="G25" s="66"/>
      <c r="H25" s="66"/>
      <c r="I25" s="66"/>
      <c r="J25" s="66"/>
      <c r="K25" s="66"/>
      <c r="L25" s="66"/>
      <c r="M25" s="66"/>
      <c r="N25" s="66"/>
      <c r="O25" s="66"/>
      <c r="P25" s="96"/>
      <c r="Q25" s="66"/>
      <c r="R25" s="66"/>
      <c r="S25" s="66"/>
      <c r="T25" s="66"/>
      <c r="U25" s="66"/>
      <c r="V25" s="66"/>
      <c r="W25" s="66"/>
      <c r="X25" s="66"/>
      <c r="Y25" s="66"/>
      <c r="Z25" s="66"/>
      <c r="AA25" s="66"/>
      <c r="AB25" s="66"/>
      <c r="AC25" s="66"/>
      <c r="AD25" s="66"/>
      <c r="AE25" s="66"/>
      <c r="AF25" s="66"/>
      <c r="AG25" s="66"/>
      <c r="AH25" s="66"/>
      <c r="AI25" s="66"/>
      <c r="AJ25" s="66"/>
      <c r="AK25" s="66"/>
      <c r="AL25" s="66"/>
      <c r="AM25" s="66"/>
      <c r="AO25" s="66"/>
      <c r="AP25" s="66"/>
      <c r="AQ25" s="66"/>
      <c r="AR25" s="66"/>
      <c r="AS25" s="66"/>
      <c r="AT25" s="66"/>
      <c r="AU25" s="66"/>
      <c r="AV25" s="66"/>
      <c r="AW25" s="66"/>
      <c r="AX25" s="66"/>
      <c r="AY25" s="66"/>
      <c r="AZ25" s="66"/>
      <c r="BA25" s="66"/>
      <c r="BB25" s="66"/>
      <c r="BC25" s="66"/>
      <c r="BD25" s="66"/>
      <c r="BE25" s="66"/>
    </row>
    <row r="26" spans="2:57" s="5" customFormat="1">
      <c r="B26" s="348" t="s">
        <v>293</v>
      </c>
      <c r="C26" s="347"/>
      <c r="D26" s="347"/>
      <c r="E26" s="347"/>
      <c r="F26" s="347"/>
      <c r="G26" s="347"/>
      <c r="H26" s="347"/>
      <c r="I26" s="347"/>
      <c r="J26" s="347"/>
      <c r="K26" s="347"/>
      <c r="L26" s="347"/>
      <c r="M26" s="347"/>
      <c r="N26" s="347"/>
      <c r="O26" s="347"/>
      <c r="P26" s="96"/>
      <c r="Q26" s="347"/>
      <c r="R26" s="347"/>
      <c r="S26" s="347"/>
      <c r="T26" s="347"/>
      <c r="U26" s="347"/>
      <c r="V26" s="347"/>
      <c r="W26" s="347"/>
      <c r="X26" s="347"/>
      <c r="Y26" s="347"/>
      <c r="Z26" s="347"/>
      <c r="AA26" s="347"/>
      <c r="AB26" s="347"/>
      <c r="AC26" s="347"/>
      <c r="AD26" s="347"/>
      <c r="AE26" s="347"/>
      <c r="AF26" s="347"/>
      <c r="AG26" s="347"/>
      <c r="AH26" s="347"/>
      <c r="AI26" s="347"/>
      <c r="AJ26" s="347"/>
      <c r="AK26" s="347"/>
      <c r="AL26" s="347"/>
      <c r="AM26" s="347"/>
      <c r="AN26" s="347"/>
      <c r="AO26" s="347"/>
      <c r="AP26" s="347"/>
      <c r="AQ26" s="347"/>
      <c r="AR26" s="347"/>
      <c r="AS26" s="347"/>
      <c r="AT26" s="347"/>
      <c r="AU26" s="347"/>
      <c r="AV26" s="347"/>
      <c r="AW26" s="347"/>
      <c r="AX26" s="347"/>
      <c r="AY26" s="347"/>
      <c r="AZ26" s="347"/>
      <c r="BA26" s="347"/>
      <c r="BB26" s="347"/>
      <c r="BC26" s="347"/>
      <c r="BD26" s="347"/>
      <c r="BE26" s="347"/>
    </row>
    <row r="27" spans="2:57" s="35" customFormat="1">
      <c r="B27" s="345" t="str">
        <f>B10</f>
        <v>Salaries and Expenses / Employee Benefits Expenses</v>
      </c>
      <c r="C27" s="26">
        <f t="shared" ref="C27:AB27" si="41">-C10/C7</f>
        <v>0.13405045633542639</v>
      </c>
      <c r="D27" s="26">
        <f t="shared" si="41"/>
        <v>0.13840859594976437</v>
      </c>
      <c r="E27" s="26">
        <f t="shared" si="41"/>
        <v>0.13150208507849723</v>
      </c>
      <c r="F27" s="26">
        <f t="shared" si="41"/>
        <v>0.12823182097313965</v>
      </c>
      <c r="G27" s="26">
        <f t="shared" si="41"/>
        <v>0.13598009833586086</v>
      </c>
      <c r="H27" s="26">
        <f t="shared" ref="H27:O27" si="42">-H10/H7</f>
        <v>0.13147826531426204</v>
      </c>
      <c r="I27" s="26">
        <f t="shared" si="42"/>
        <v>0.12261144588097381</v>
      </c>
      <c r="J27" s="26">
        <f t="shared" si="42"/>
        <v>0.10683056366119252</v>
      </c>
      <c r="K27" s="26">
        <f t="shared" si="42"/>
        <v>0.11655364450785473</v>
      </c>
      <c r="L27" s="26">
        <f t="shared" si="42"/>
        <v>0.1220617235940714</v>
      </c>
      <c r="M27" s="26">
        <f>-M10/M7</f>
        <v>0.11983436990354475</v>
      </c>
      <c r="N27" s="26">
        <f>-N10/N7</f>
        <v>0.11859564626925521</v>
      </c>
      <c r="O27" s="248">
        <f t="shared" si="42"/>
        <v>0.11743534441435011</v>
      </c>
      <c r="P27" s="96"/>
      <c r="Q27" s="26">
        <f t="shared" si="41"/>
        <v>0.13186676225870919</v>
      </c>
      <c r="R27" s="26">
        <f t="shared" si="41"/>
        <v>0.13363765878543246</v>
      </c>
      <c r="S27" s="26">
        <f t="shared" si="41"/>
        <v>0.13294152589824396</v>
      </c>
      <c r="T27" s="26">
        <f t="shared" si="41"/>
        <v>0.12774470280693134</v>
      </c>
      <c r="U27" s="26">
        <f t="shared" si="41"/>
        <v>0.13657118693953449</v>
      </c>
      <c r="V27" s="26">
        <f t="shared" si="41"/>
        <v>0.12891813068262761</v>
      </c>
      <c r="W27" s="26">
        <f t="shared" si="41"/>
        <v>0.12721174840501578</v>
      </c>
      <c r="X27" s="26">
        <f t="shared" si="41"/>
        <v>0.12081495946155538</v>
      </c>
      <c r="Y27" s="26">
        <f t="shared" si="41"/>
        <v>0.13555273439146162</v>
      </c>
      <c r="Z27" s="26">
        <f t="shared" si="41"/>
        <v>0.15119373050055845</v>
      </c>
      <c r="AA27" s="26">
        <f t="shared" si="41"/>
        <v>0.13897155044704926</v>
      </c>
      <c r="AB27" s="26">
        <f t="shared" si="41"/>
        <v>0.11948997517564822</v>
      </c>
      <c r="AC27" s="26">
        <f t="shared" ref="AC27:AH27" si="43">-AC10/AC7</f>
        <v>0.1285924812744336</v>
      </c>
      <c r="AD27" s="26">
        <f t="shared" si="43"/>
        <v>0.14318989704222243</v>
      </c>
      <c r="AE27" s="26">
        <f t="shared" si="43"/>
        <v>0.12629236685458806</v>
      </c>
      <c r="AF27" s="26">
        <f t="shared" si="43"/>
        <v>0.12822469469842046</v>
      </c>
      <c r="AG27" s="26">
        <f t="shared" si="43"/>
        <v>0.1251768134496194</v>
      </c>
      <c r="AH27" s="26">
        <f t="shared" si="43"/>
        <v>0.13819419021382146</v>
      </c>
      <c r="AI27" s="26">
        <f t="shared" ref="AI27:AN27" si="44">-AI10/AI7</f>
        <v>0.12269878069100947</v>
      </c>
      <c r="AJ27" s="26">
        <f t="shared" si="44"/>
        <v>0.10814202680364655</v>
      </c>
      <c r="AK27" s="26">
        <f t="shared" si="44"/>
        <v>0.11541517045002815</v>
      </c>
      <c r="AL27" s="26">
        <f t="shared" si="44"/>
        <v>0.10723285267105068</v>
      </c>
      <c r="AM27" s="26">
        <f t="shared" si="44"/>
        <v>0.10177888188893516</v>
      </c>
      <c r="AN27" s="26">
        <f t="shared" si="44"/>
        <v>0.10383076178825454</v>
      </c>
      <c r="AO27" s="26">
        <f t="shared" ref="AO27:AT27" si="45">-AO10/AO7</f>
        <v>0.11418922259202283</v>
      </c>
      <c r="AP27" s="26">
        <f t="shared" si="45"/>
        <v>0.11015032109321041</v>
      </c>
      <c r="AQ27" s="26">
        <f t="shared" si="45"/>
        <v>0.12557416478746108</v>
      </c>
      <c r="AR27" s="26">
        <f t="shared" si="45"/>
        <v>0.11661366284957481</v>
      </c>
      <c r="AS27" s="26">
        <f t="shared" si="45"/>
        <v>0.13963526482038097</v>
      </c>
      <c r="AT27" s="26">
        <f t="shared" si="45"/>
        <v>0.11803926308368161</v>
      </c>
      <c r="AU27" s="26">
        <f t="shared" ref="AU27:AZ27" si="46">-AU10/AU7</f>
        <v>0.11892871615963996</v>
      </c>
      <c r="AV27" s="26">
        <f t="shared" si="46"/>
        <v>0.11263320300491601</v>
      </c>
      <c r="AW27" s="26">
        <f t="shared" si="46"/>
        <v>0.118594378256271</v>
      </c>
      <c r="AX27" s="26">
        <f t="shared" si="46"/>
        <v>0.11761268968155589</v>
      </c>
      <c r="AY27" s="26">
        <f t="shared" si="46"/>
        <v>0.12945946174228753</v>
      </c>
      <c r="AZ27" s="26">
        <f t="shared" si="46"/>
        <v>0.114277118602608</v>
      </c>
      <c r="BA27" s="26">
        <f>-BA10/BA7</f>
        <v>0.12525699389183964</v>
      </c>
      <c r="BB27" s="26">
        <f>-BB10/BB7</f>
        <v>0.11579140330335917</v>
      </c>
      <c r="BC27" s="26">
        <f>-BC10/BC7</f>
        <v>0.1200921226564039</v>
      </c>
      <c r="BD27" s="26">
        <f>-BD10/BD7</f>
        <v>0.11388442886065635</v>
      </c>
      <c r="BE27" s="26">
        <f>-BE10/BE7</f>
        <v>0.12022035604886594</v>
      </c>
    </row>
    <row r="28" spans="2:57" s="35" customFormat="1">
      <c r="B28" s="345" t="str">
        <f>B11</f>
        <v>Depreciation and amortization expenses</v>
      </c>
      <c r="C28" s="26">
        <f t="shared" ref="C28:AB28" si="47">-C11/C7</f>
        <v>0.14455275465343354</v>
      </c>
      <c r="D28" s="26">
        <f t="shared" si="47"/>
        <v>0.15332485231838794</v>
      </c>
      <c r="E28" s="26">
        <f t="shared" si="47"/>
        <v>0.16040305401346483</v>
      </c>
      <c r="F28" s="26">
        <f t="shared" si="47"/>
        <v>0.16256102829640109</v>
      </c>
      <c r="G28" s="26">
        <f t="shared" si="47"/>
        <v>0.17330665121286634</v>
      </c>
      <c r="H28" s="26">
        <f t="shared" ref="H28:O28" si="48">-H11/H7</f>
        <v>0.21359067580781008</v>
      </c>
      <c r="I28" s="26">
        <f t="shared" si="48"/>
        <v>0.2233708409925266</v>
      </c>
      <c r="J28" s="26">
        <f t="shared" si="48"/>
        <v>0.19382278474042464</v>
      </c>
      <c r="K28" s="26">
        <f t="shared" si="48"/>
        <v>0.20388957676868752</v>
      </c>
      <c r="L28" s="26">
        <f t="shared" si="48"/>
        <v>0.2038015762760729</v>
      </c>
      <c r="M28" s="26">
        <f>-M11/M7</f>
        <v>0.20141345756382459</v>
      </c>
      <c r="N28" s="26">
        <f>-N11/N7</f>
        <v>0.19315733344013608</v>
      </c>
      <c r="O28" s="248">
        <f t="shared" si="48"/>
        <v>0.19218104670096117</v>
      </c>
      <c r="P28" s="96"/>
      <c r="Q28" s="26">
        <f t="shared" si="47"/>
        <v>0.15946019126458469</v>
      </c>
      <c r="R28" s="26">
        <f t="shared" si="47"/>
        <v>0.16216400267066433</v>
      </c>
      <c r="S28" s="26">
        <f t="shared" si="47"/>
        <v>0.16064412809608922</v>
      </c>
      <c r="T28" s="26">
        <f t="shared" si="47"/>
        <v>0.15940190258071976</v>
      </c>
      <c r="U28" s="26">
        <f t="shared" si="47"/>
        <v>0.16427478713902041</v>
      </c>
      <c r="V28" s="26">
        <f t="shared" si="47"/>
        <v>0.16510554915690004</v>
      </c>
      <c r="W28" s="26">
        <f t="shared" si="47"/>
        <v>0.1643368253277894</v>
      </c>
      <c r="X28" s="26">
        <f t="shared" si="47"/>
        <v>0.15691906336998934</v>
      </c>
      <c r="Y28" s="26">
        <f t="shared" si="47"/>
        <v>0.17629339746535536</v>
      </c>
      <c r="Z28" s="26">
        <f t="shared" si="47"/>
        <v>0.17728438849619757</v>
      </c>
      <c r="AA28" s="26">
        <f t="shared" si="47"/>
        <v>0.17399419790520299</v>
      </c>
      <c r="AB28" s="26">
        <f t="shared" si="47"/>
        <v>0.16625565160194411</v>
      </c>
      <c r="AC28" s="26">
        <f t="shared" ref="AC28:AH28" si="49">-AC11/AC7</f>
        <v>0.21446219653480394</v>
      </c>
      <c r="AD28" s="26">
        <f t="shared" si="49"/>
        <v>0.21505603608203469</v>
      </c>
      <c r="AE28" s="26">
        <f t="shared" si="49"/>
        <v>0.21623535542942257</v>
      </c>
      <c r="AF28" s="26">
        <f t="shared" si="49"/>
        <v>0.20899255043905932</v>
      </c>
      <c r="AG28" s="26">
        <f t="shared" si="49"/>
        <v>0.22498184391812723</v>
      </c>
      <c r="AH28" s="26">
        <f t="shared" si="49"/>
        <v>0.25458271206299576</v>
      </c>
      <c r="AI28" s="26">
        <f t="shared" ref="AI28:AN28" si="50">-AI11/AI7</f>
        <v>0.21889460747908199</v>
      </c>
      <c r="AJ28" s="26">
        <f t="shared" si="50"/>
        <v>0.2017077484462324</v>
      </c>
      <c r="AK28" s="26">
        <f t="shared" si="50"/>
        <v>0.20598271700547252</v>
      </c>
      <c r="AL28" s="26">
        <f t="shared" si="50"/>
        <v>0.19361071034991817</v>
      </c>
      <c r="AM28" s="26">
        <f t="shared" si="50"/>
        <v>0.19208344105572578</v>
      </c>
      <c r="AN28" s="26">
        <f t="shared" si="50"/>
        <v>0.18522533592834184</v>
      </c>
      <c r="AO28" s="26">
        <f t="shared" ref="AO28:AT28" si="51">-AO11/AO7</f>
        <v>0.19259137102489532</v>
      </c>
      <c r="AP28" s="26">
        <f t="shared" si="51"/>
        <v>0.21444921812987264</v>
      </c>
      <c r="AQ28" s="26">
        <f t="shared" si="51"/>
        <v>0.20541630357091101</v>
      </c>
      <c r="AR28" s="26">
        <f t="shared" si="51"/>
        <v>0.20303427090990495</v>
      </c>
      <c r="AS28" s="26">
        <f t="shared" si="51"/>
        <v>0.20580065209760789</v>
      </c>
      <c r="AT28" s="26">
        <f t="shared" si="51"/>
        <v>0.20459796040022935</v>
      </c>
      <c r="AU28" s="26">
        <f t="shared" ref="AU28:AZ28" si="52">-AU11/AU7</f>
        <v>0.21112184785553184</v>
      </c>
      <c r="AV28" s="26">
        <f t="shared" si="52"/>
        <v>0.19456777393337657</v>
      </c>
      <c r="AW28" s="26">
        <f t="shared" si="52"/>
        <v>0.20432647901557882</v>
      </c>
      <c r="AX28" s="26">
        <f t="shared" si="52"/>
        <v>0.21121858925364106</v>
      </c>
      <c r="AY28" s="26">
        <f t="shared" si="52"/>
        <v>0.21187278207452526</v>
      </c>
      <c r="AZ28" s="26">
        <f t="shared" si="52"/>
        <v>0.1805897394411918</v>
      </c>
      <c r="BA28" s="26">
        <f>-BA11/BA7</f>
        <v>0.19715991535635616</v>
      </c>
      <c r="BB28" s="26">
        <f>-BB11/BB7</f>
        <v>0.20058509211210826</v>
      </c>
      <c r="BC28" s="26">
        <f>-BC11/BC7</f>
        <v>0.19032165859443315</v>
      </c>
      <c r="BD28" s="26">
        <f>-BD11/BD7</f>
        <v>0.18576587705822317</v>
      </c>
      <c r="BE28" s="26">
        <f>-BE11/BE7</f>
        <v>0.19302321912167464</v>
      </c>
    </row>
    <row r="29" spans="2:57" s="35" customFormat="1">
      <c r="B29" s="345" t="str">
        <f>B12</f>
        <v>Impairment losses (reversals), Net</v>
      </c>
      <c r="C29" s="26">
        <f t="shared" ref="C29:AB29" si="53">-C12/C7</f>
        <v>0</v>
      </c>
      <c r="D29" s="26">
        <f t="shared" si="53"/>
        <v>3.0144399462887817E-2</v>
      </c>
      <c r="E29" s="26">
        <f t="shared" si="53"/>
        <v>3.1536828400121654E-2</v>
      </c>
      <c r="F29" s="26">
        <f t="shared" si="53"/>
        <v>2.6807818495593796E-2</v>
      </c>
      <c r="G29" s="26">
        <f t="shared" si="53"/>
        <v>3.5848484189481701E-2</v>
      </c>
      <c r="H29" s="26">
        <f t="shared" ref="H29:O29" si="54">-H12/H7</f>
        <v>3.5441922862687478E-2</v>
      </c>
      <c r="I29" s="26">
        <f t="shared" si="54"/>
        <v>3.8078182034718647E-2</v>
      </c>
      <c r="J29" s="26">
        <f t="shared" si="54"/>
        <v>4.0927128538005404E-2</v>
      </c>
      <c r="K29" s="26">
        <f t="shared" si="54"/>
        <v>4.1948551246676943E-2</v>
      </c>
      <c r="L29" s="26">
        <f t="shared" si="54"/>
        <v>4.935361261643733E-2</v>
      </c>
      <c r="M29" s="26">
        <f>-M12/M7</f>
        <v>3.3880683497431383E-2</v>
      </c>
      <c r="N29" s="26">
        <f>-N12/N7</f>
        <v>3.0354602837096113E-2</v>
      </c>
      <c r="O29" s="248">
        <f t="shared" si="54"/>
        <v>2.9554970953499848E-2</v>
      </c>
      <c r="P29" s="96"/>
      <c r="Q29" s="26">
        <f t="shared" si="53"/>
        <v>3.1334889472469839E-2</v>
      </c>
      <c r="R29" s="26">
        <f t="shared" si="53"/>
        <v>2.3342268542822352E-2</v>
      </c>
      <c r="S29" s="26">
        <f t="shared" si="53"/>
        <v>3.0142894736562582E-2</v>
      </c>
      <c r="T29" s="26">
        <f t="shared" si="53"/>
        <v>4.0820416934272283E-2</v>
      </c>
      <c r="U29" s="26">
        <f t="shared" si="53"/>
        <v>2.4427247277141084E-2</v>
      </c>
      <c r="V29" s="26">
        <f t="shared" si="53"/>
        <v>2.6642790867312902E-2</v>
      </c>
      <c r="W29" s="26">
        <f t="shared" si="53"/>
        <v>2.5871625673395016E-2</v>
      </c>
      <c r="X29" s="26">
        <f t="shared" si="53"/>
        <v>3.0049212847620018E-2</v>
      </c>
      <c r="Y29" s="26">
        <f t="shared" si="53"/>
        <v>4.2396585703985128E-2</v>
      </c>
      <c r="Z29" s="26">
        <f t="shared" si="53"/>
        <v>3.904109587717345E-2</v>
      </c>
      <c r="AA29" s="26">
        <f t="shared" si="53"/>
        <v>3.0798041657702238E-2</v>
      </c>
      <c r="AB29" s="26">
        <f t="shared" si="53"/>
        <v>3.1738156380594879E-2</v>
      </c>
      <c r="AC29" s="26">
        <f t="shared" ref="AC29:AH29" si="55">-AC12/AC7</f>
        <v>3.0716392431173203E-2</v>
      </c>
      <c r="AD29" s="26">
        <f t="shared" si="55"/>
        <v>3.2840678620484433E-2</v>
      </c>
      <c r="AE29" s="26">
        <f t="shared" si="55"/>
        <v>3.7687777673645423E-2</v>
      </c>
      <c r="AF29" s="26">
        <f t="shared" si="55"/>
        <v>3.9925851307919105E-2</v>
      </c>
      <c r="AG29" s="26">
        <f t="shared" si="55"/>
        <v>3.5655667356850058E-2</v>
      </c>
      <c r="AH29" s="26">
        <f t="shared" si="55"/>
        <v>5.0552258290991331E-2</v>
      </c>
      <c r="AI29" s="26">
        <f t="shared" ref="AI29:AN29" si="56">-AI12/AI7</f>
        <v>3.224544737663626E-2</v>
      </c>
      <c r="AJ29" s="26">
        <f t="shared" si="56"/>
        <v>3.5783087762406823E-2</v>
      </c>
      <c r="AK29" s="26">
        <f t="shared" si="56"/>
        <v>3.5674775650115953E-2</v>
      </c>
      <c r="AL29" s="26">
        <f t="shared" si="56"/>
        <v>3.8656831199912846E-2</v>
      </c>
      <c r="AM29" s="26">
        <f t="shared" si="56"/>
        <v>3.8786098699791424E-2</v>
      </c>
      <c r="AN29" s="26">
        <f t="shared" si="56"/>
        <v>4.9488153672325688E-2</v>
      </c>
      <c r="AO29" s="26">
        <f t="shared" ref="AO29:AT29" si="57">-AO12/AO7</f>
        <v>4.3367244760305762E-2</v>
      </c>
      <c r="AP29" s="26">
        <f t="shared" si="57"/>
        <v>4.0134677217087404E-2</v>
      </c>
      <c r="AQ29" s="26">
        <f t="shared" si="57"/>
        <v>4.6000922566468816E-2</v>
      </c>
      <c r="AR29" s="26">
        <f t="shared" si="57"/>
        <v>3.8364143624850196E-2</v>
      </c>
      <c r="AS29" s="26">
        <f t="shared" si="57"/>
        <v>9.2436904143569795E-2</v>
      </c>
      <c r="AT29" s="26">
        <f t="shared" si="57"/>
        <v>3.5115526689275492E-2</v>
      </c>
      <c r="AU29" s="26">
        <f t="shared" ref="AU29:AZ29" si="58">-AU12/AU7</f>
        <v>3.5952939226334635E-2</v>
      </c>
      <c r="AV29" s="26">
        <f t="shared" si="58"/>
        <v>3.5480558004244975E-2</v>
      </c>
      <c r="AW29" s="26">
        <f t="shared" si="58"/>
        <v>3.4257393450523685E-2</v>
      </c>
      <c r="AX29" s="26">
        <f t="shared" si="58"/>
        <v>3.3195599825659755E-2</v>
      </c>
      <c r="AY29" s="26">
        <f t="shared" si="58"/>
        <v>3.1258557190136094E-2</v>
      </c>
      <c r="AZ29" s="26">
        <f t="shared" si="58"/>
        <v>3.6522728304449872E-2</v>
      </c>
      <c r="BA29" s="26">
        <f>-BA12/BA7</f>
        <v>3.2220356257964204E-2</v>
      </c>
      <c r="BB29" s="26">
        <f>-BB12/BB7</f>
        <v>3.1036762904558146E-2</v>
      </c>
      <c r="BC29" s="26">
        <f>-BC12/BC7</f>
        <v>3.1372318080777492E-2</v>
      </c>
      <c r="BD29" s="26">
        <f>-BD12/BD7</f>
        <v>2.7220745953185226E-2</v>
      </c>
      <c r="BE29" s="26">
        <f>-BE12/BE7</f>
        <v>2.8921365723392656E-2</v>
      </c>
    </row>
    <row r="30" spans="2:57" s="35" customFormat="1">
      <c r="B30" s="345" t="str">
        <f>B13</f>
        <v>Other expenses</v>
      </c>
      <c r="C30" s="26">
        <f>-C13/C7</f>
        <v>0.61780084062341978</v>
      </c>
      <c r="D30" s="26">
        <f>-D13/D7</f>
        <v>0.63744526057977435</v>
      </c>
      <c r="E30" s="26">
        <f t="shared" ref="E30:AC30" si="59">-E13/E7</f>
        <v>0.62580537324503049</v>
      </c>
      <c r="F30" s="26">
        <f t="shared" si="59"/>
        <v>0.62821400793569881</v>
      </c>
      <c r="G30" s="26">
        <f t="shared" si="59"/>
        <v>0.61245999176566401</v>
      </c>
      <c r="H30" s="26">
        <f t="shared" ref="H30:O30" si="60">-H13/H7</f>
        <v>0.55623553747681742</v>
      </c>
      <c r="I30" s="26">
        <f t="shared" si="60"/>
        <v>0.54061433362649092</v>
      </c>
      <c r="J30" s="26">
        <f t="shared" si="60"/>
        <v>0.55751288382134423</v>
      </c>
      <c r="K30" s="26">
        <f t="shared" si="60"/>
        <v>0.57440395757470719</v>
      </c>
      <c r="L30" s="26">
        <f t="shared" si="60"/>
        <v>0.56409658806757579</v>
      </c>
      <c r="M30" s="26">
        <f>-M13/M7</f>
        <v>0.58223211814840359</v>
      </c>
      <c r="N30" s="26">
        <f>-N13/N7</f>
        <v>0.59952125746907392</v>
      </c>
      <c r="O30" s="248">
        <f t="shared" si="60"/>
        <v>0.60016197791390735</v>
      </c>
      <c r="P30" s="96"/>
      <c r="Q30" s="26">
        <f t="shared" si="59"/>
        <v>0.6050550186314203</v>
      </c>
      <c r="R30" s="26">
        <f t="shared" si="59"/>
        <v>0.63360483957852154</v>
      </c>
      <c r="S30" s="26">
        <f t="shared" si="59"/>
        <v>0.61694386178414351</v>
      </c>
      <c r="T30" s="26">
        <f t="shared" si="59"/>
        <v>0.64673060791729331</v>
      </c>
      <c r="U30" s="26">
        <f t="shared" si="59"/>
        <v>0.61601299192718928</v>
      </c>
      <c r="V30" s="26">
        <f t="shared" si="59"/>
        <v>0.64590139220169374</v>
      </c>
      <c r="W30" s="26">
        <f t="shared" si="59"/>
        <v>0.6219295564573577</v>
      </c>
      <c r="X30" s="26">
        <f t="shared" si="59"/>
        <v>0.62885424149694802</v>
      </c>
      <c r="Y30" s="26">
        <f t="shared" si="59"/>
        <v>0.61405330309697037</v>
      </c>
      <c r="Z30" s="26">
        <f t="shared" si="59"/>
        <v>0.61611552759178267</v>
      </c>
      <c r="AA30" s="26">
        <f t="shared" si="59"/>
        <v>0.61437304756821676</v>
      </c>
      <c r="AB30" s="26">
        <f t="shared" si="59"/>
        <v>0.60581058323528714</v>
      </c>
      <c r="AC30" s="26">
        <f t="shared" si="59"/>
        <v>0.55733916378355142</v>
      </c>
      <c r="AD30" s="26">
        <f t="shared" ref="AD30:AI30" si="61">-AD13/AD7</f>
        <v>0.54651431567004416</v>
      </c>
      <c r="AE30" s="26">
        <f t="shared" si="61"/>
        <v>0.54572022017402</v>
      </c>
      <c r="AF30" s="26">
        <f t="shared" si="61"/>
        <v>0.57399845426808593</v>
      </c>
      <c r="AG30" s="26">
        <f t="shared" si="61"/>
        <v>0.53854429782092972</v>
      </c>
      <c r="AH30" s="26">
        <f t="shared" si="61"/>
        <v>0.49640559216221597</v>
      </c>
      <c r="AI30" s="26">
        <f t="shared" si="61"/>
        <v>0.55505044846966611</v>
      </c>
      <c r="AJ30" s="26">
        <f t="shared" ref="AJ30:AO30" si="62">-AJ13/AJ7</f>
        <v>0.5637430074670946</v>
      </c>
      <c r="AK30" s="26">
        <f t="shared" si="62"/>
        <v>0.55246394477110561</v>
      </c>
      <c r="AL30" s="26">
        <f t="shared" si="62"/>
        <v>0.53894969509802704</v>
      </c>
      <c r="AM30" s="26">
        <f t="shared" si="62"/>
        <v>0.55121545665914018</v>
      </c>
      <c r="AN30" s="26">
        <f t="shared" si="62"/>
        <v>0.58458563726068558</v>
      </c>
      <c r="AO30" s="26">
        <f t="shared" si="62"/>
        <v>0.5622510155807533</v>
      </c>
      <c r="AP30" s="26">
        <f t="shared" ref="AP30:AU30" si="63">-AP13/AP7</f>
        <v>0.56786749316585439</v>
      </c>
      <c r="AQ30" s="26">
        <f t="shared" si="63"/>
        <v>0.57355615898139622</v>
      </c>
      <c r="AR30" s="26">
        <f t="shared" si="63"/>
        <v>0.59429667940806308</v>
      </c>
      <c r="AS30" s="26">
        <f t="shared" si="63"/>
        <v>0.57126762076164128</v>
      </c>
      <c r="AT30" s="26">
        <f t="shared" si="63"/>
        <v>0.55008634648359755</v>
      </c>
      <c r="AU30" s="26">
        <f t="shared" si="63"/>
        <v>0.55627991790682452</v>
      </c>
      <c r="AV30" s="26">
        <f t="shared" ref="AV30:BA30" si="64">-AV13/AV7</f>
        <v>0.57757761937042107</v>
      </c>
      <c r="AW30" s="26">
        <f t="shared" si="64"/>
        <v>0.58597188037399173</v>
      </c>
      <c r="AX30" s="26">
        <f t="shared" si="64"/>
        <v>0.58058729628136385</v>
      </c>
      <c r="AY30" s="26">
        <f t="shared" si="64"/>
        <v>0.56910099805925241</v>
      </c>
      <c r="AZ30" s="26">
        <f t="shared" si="64"/>
        <v>0.59221167157579802</v>
      </c>
      <c r="BA30" s="26">
        <f t="shared" si="64"/>
        <v>0.5984205897504733</v>
      </c>
      <c r="BB30" s="26">
        <f>-BB13/BB7</f>
        <v>0.59536281042729511</v>
      </c>
      <c r="BC30" s="26">
        <f>-BC13/BC7</f>
        <v>0.58490382815816555</v>
      </c>
      <c r="BD30" s="26">
        <f>-BD13/BD7</f>
        <v>0.61724756861957331</v>
      </c>
      <c r="BE30" s="26">
        <f>-BE13/BE7</f>
        <v>0.60103907363893705</v>
      </c>
    </row>
    <row r="31" spans="2:57" s="35" customFormat="1">
      <c r="B31" s="345" t="str">
        <f>B15</f>
        <v>Operating Profit</v>
      </c>
      <c r="C31" s="26">
        <f t="shared" ref="C31:AB31" si="65">C15/C7</f>
        <v>0.10979786040608633</v>
      </c>
      <c r="D31" s="26">
        <f t="shared" si="65"/>
        <v>4.5300473697243895E-2</v>
      </c>
      <c r="E31" s="26">
        <f t="shared" si="65"/>
        <v>6.1249397901555966E-2</v>
      </c>
      <c r="F31" s="26">
        <f t="shared" si="65"/>
        <v>6.0412266993008105E-2</v>
      </c>
      <c r="G31" s="26">
        <f t="shared" si="65"/>
        <v>4.7519492528908962E-2</v>
      </c>
      <c r="H31" s="26">
        <f t="shared" ref="H31:O31" si="66">H15/H7</f>
        <v>0.17380127425500771</v>
      </c>
      <c r="I31" s="26">
        <f t="shared" si="66"/>
        <v>0.10153137009674003</v>
      </c>
      <c r="J31" s="26">
        <f t="shared" si="66"/>
        <v>0.1222075357747755</v>
      </c>
      <c r="K31" s="26">
        <f t="shared" si="66"/>
        <v>0.29819096070872758</v>
      </c>
      <c r="L31" s="26">
        <f t="shared" si="66"/>
        <v>0.10088940285382554</v>
      </c>
      <c r="M31" s="26">
        <f>M15/M7</f>
        <v>8.5398585928061585E-2</v>
      </c>
      <c r="N31" s="26">
        <f>N15/N7</f>
        <v>8.4554781498638182E-2</v>
      </c>
      <c r="O31" s="248">
        <f t="shared" si="66"/>
        <v>8.7538501194978274E-2</v>
      </c>
      <c r="P31" s="323"/>
      <c r="Q31" s="26">
        <f t="shared" si="65"/>
        <v>7.6302433671637845E-2</v>
      </c>
      <c r="R31" s="26">
        <f t="shared" si="65"/>
        <v>5.1989673339026751E-2</v>
      </c>
      <c r="S31" s="26">
        <f t="shared" si="65"/>
        <v>6.4176101557525483E-2</v>
      </c>
      <c r="T31" s="26">
        <f t="shared" si="65"/>
        <v>5.2861419952503902E-2</v>
      </c>
      <c r="U31" s="26">
        <f t="shared" si="65"/>
        <v>6.5913623207207783E-2</v>
      </c>
      <c r="V31" s="26">
        <f t="shared" si="65"/>
        <v>3.890377818992044E-2</v>
      </c>
      <c r="W31" s="26">
        <f t="shared" si="65"/>
        <v>6.7134121890315784E-2</v>
      </c>
      <c r="X31" s="26">
        <f t="shared" si="65"/>
        <v>6.9153897555369881E-2</v>
      </c>
      <c r="Y31" s="26">
        <f t="shared" si="65"/>
        <v>3.6816434280284777E-2</v>
      </c>
      <c r="Z31" s="26">
        <f t="shared" si="65"/>
        <v>2.2513607464670883E-2</v>
      </c>
      <c r="AA31" s="26">
        <f t="shared" si="65"/>
        <v>4.6259787330348211E-2</v>
      </c>
      <c r="AB31" s="26">
        <f t="shared" si="65"/>
        <v>8.15536982723018E-2</v>
      </c>
      <c r="AC31" s="26">
        <f t="shared" ref="AC31:AH31" si="67">AC15/AC7</f>
        <v>7.5742586320990804E-2</v>
      </c>
      <c r="AD31" s="26">
        <f t="shared" si="67"/>
        <v>6.8135693019745661E-2</v>
      </c>
      <c r="AE31" s="26">
        <f t="shared" si="67"/>
        <v>7.8965058249086062E-2</v>
      </c>
      <c r="AF31" s="26">
        <f t="shared" si="67"/>
        <v>0.44680474450530389</v>
      </c>
      <c r="AG31" s="26">
        <f t="shared" si="67"/>
        <v>0.10926357571693229</v>
      </c>
      <c r="AH31" s="26">
        <f t="shared" si="67"/>
        <v>0.10059094577663798</v>
      </c>
      <c r="AI31" s="26">
        <f t="shared" ref="AI31:AN31" si="68">AI15/AI7</f>
        <v>8.7173970653999011E-2</v>
      </c>
      <c r="AJ31" s="26">
        <f t="shared" si="68"/>
        <v>0.10857217405575947</v>
      </c>
      <c r="AK31" s="26">
        <f t="shared" si="68"/>
        <v>0.11023918106997198</v>
      </c>
      <c r="AL31" s="26">
        <f t="shared" si="68"/>
        <v>0.14989651196937401</v>
      </c>
      <c r="AM31" s="26">
        <f t="shared" si="68"/>
        <v>0.14102717529610054</v>
      </c>
      <c r="AN31" s="26">
        <f t="shared" si="68"/>
        <v>8.9722242645872419E-2</v>
      </c>
      <c r="AO31" s="26">
        <f t="shared" ref="AO31:AT31" si="69">AO15/AO7</f>
        <v>0.10188864456621709</v>
      </c>
      <c r="AP31" s="26">
        <f t="shared" si="69"/>
        <v>0.84518399062945448</v>
      </c>
      <c r="AQ31" s="26">
        <f t="shared" si="69"/>
        <v>0.16636846799419025</v>
      </c>
      <c r="AR31" s="26">
        <f t="shared" si="69"/>
        <v>6.6913919388196796E-2</v>
      </c>
      <c r="AS31" s="26">
        <f t="shared" si="69"/>
        <v>1.0694035095302529E-2</v>
      </c>
      <c r="AT31" s="26">
        <f t="shared" si="69"/>
        <v>0.10945299400413273</v>
      </c>
      <c r="AU31" s="26">
        <f t="shared" ref="AU31:AZ31" si="70">AU15/AU7</f>
        <v>0.10029204808602822</v>
      </c>
      <c r="AV31" s="26">
        <f t="shared" si="70"/>
        <v>0.17560370808793488</v>
      </c>
      <c r="AW31" s="26">
        <f t="shared" si="70"/>
        <v>7.9780123253021348E-2</v>
      </c>
      <c r="AX31" s="26">
        <f t="shared" si="70"/>
        <v>8.7292732663858952E-2</v>
      </c>
      <c r="AY31" s="26">
        <f t="shared" si="70"/>
        <v>7.9349932968265008E-2</v>
      </c>
      <c r="AZ31" s="26">
        <f t="shared" si="70"/>
        <v>9.4111239476215552E-2</v>
      </c>
      <c r="BA31" s="26">
        <f>BA15/BA7</f>
        <v>7.1735949771823918E-2</v>
      </c>
      <c r="BB31" s="26">
        <f>BB15/BB7</f>
        <v>8.1855054334479344E-2</v>
      </c>
      <c r="BC31" s="26">
        <f>BC15/BC7</f>
        <v>9.6742808228501204E-2</v>
      </c>
      <c r="BD31" s="26">
        <f>BD15/BD7</f>
        <v>8.7100360730425999E-2</v>
      </c>
      <c r="BE31" s="26">
        <f>BE15/BE7</f>
        <v>8.4415497828279548E-2</v>
      </c>
    </row>
    <row r="32" spans="2:57" s="35" customFormat="1">
      <c r="B32" s="345" t="s">
        <v>294</v>
      </c>
      <c r="C32" s="26">
        <f t="shared" ref="C32:K32" si="71">C16/C118</f>
        <v>2.8551469481993448E-2</v>
      </c>
      <c r="D32" s="26">
        <f t="shared" si="71"/>
        <v>8.9264007175428692E-2</v>
      </c>
      <c r="E32" s="26">
        <f t="shared" si="71"/>
        <v>5.3671091593432543E-2</v>
      </c>
      <c r="F32" s="26">
        <f t="shared" si="71"/>
        <v>3.587819313019372E-2</v>
      </c>
      <c r="G32" s="26">
        <f t="shared" si="71"/>
        <v>2.5976872295897152E-2</v>
      </c>
      <c r="H32" s="26">
        <f t="shared" si="71"/>
        <v>1.9550105254274048E-2</v>
      </c>
      <c r="I32" s="26">
        <f t="shared" si="71"/>
        <v>5.3805153314032746E-2</v>
      </c>
      <c r="J32" s="26">
        <f t="shared" si="71"/>
        <v>4.5301436489418222E-2</v>
      </c>
      <c r="K32" s="26">
        <f t="shared" si="71"/>
        <v>0.14240133915723907</v>
      </c>
      <c r="L32" s="26">
        <f>L16/L118</f>
        <v>4.9984882428673556E-2</v>
      </c>
      <c r="M32" s="26">
        <f>M16/M118</f>
        <v>0.60208755198646946</v>
      </c>
      <c r="N32" s="26">
        <f>N16/N118</f>
        <v>0.12312581845909983</v>
      </c>
      <c r="O32" s="248">
        <f>O16/O118</f>
        <v>0.12520982831127433</v>
      </c>
      <c r="P32" s="323"/>
      <c r="Q32" s="26"/>
      <c r="R32" s="26"/>
      <c r="S32" s="26"/>
      <c r="T32" s="26">
        <f t="shared" ref="T32:BE32" si="72">SUM(Q16:T16)/T118</f>
        <v>5.3671091593432543E-2</v>
      </c>
      <c r="U32" s="26">
        <f t="shared" si="72"/>
        <v>3.0126737983061033E-2</v>
      </c>
      <c r="V32" s="26">
        <f t="shared" si="72"/>
        <v>1.4129164587835405E-2</v>
      </c>
      <c r="W32" s="26">
        <f t="shared" si="72"/>
        <v>2.2288379402074458E-2</v>
      </c>
      <c r="X32" s="26">
        <f t="shared" si="72"/>
        <v>3.587819313019372E-2</v>
      </c>
      <c r="Y32" s="26">
        <f t="shared" si="72"/>
        <v>7.1169529733283957E-2</v>
      </c>
      <c r="Z32" s="26">
        <f t="shared" si="72"/>
        <v>4.875487423341774E-2</v>
      </c>
      <c r="AA32" s="26">
        <f t="shared" si="72"/>
        <v>0.21489914895792264</v>
      </c>
      <c r="AB32" s="26">
        <f t="shared" si="72"/>
        <v>2.5976872295897152E-2</v>
      </c>
      <c r="AC32" s="26">
        <f t="shared" si="72"/>
        <v>0.12356059882759794</v>
      </c>
      <c r="AD32" s="26">
        <f t="shared" si="72"/>
        <v>0.31025684607376397</v>
      </c>
      <c r="AE32" s="26">
        <f t="shared" si="72"/>
        <v>0.24085060878549594</v>
      </c>
      <c r="AF32" s="26">
        <f t="shared" si="72"/>
        <v>1.9550105254274048E-2</v>
      </c>
      <c r="AG32" s="26">
        <f t="shared" si="72"/>
        <v>3.4535214315237164E-2</v>
      </c>
      <c r="AH32" s="26">
        <f t="shared" si="72"/>
        <v>2.8059732215057257E-2</v>
      </c>
      <c r="AI32" s="26">
        <f t="shared" si="72"/>
        <v>3.4615122663017396E-2</v>
      </c>
      <c r="AJ32" s="26">
        <f t="shared" si="72"/>
        <v>5.3805153314032746E-2</v>
      </c>
      <c r="AK32" s="26">
        <f t="shared" si="72"/>
        <v>0.13326876258697162</v>
      </c>
      <c r="AL32" s="26">
        <f t="shared" si="72"/>
        <v>3.4203031982457381E-2</v>
      </c>
      <c r="AM32" s="26">
        <f t="shared" si="72"/>
        <v>3.1859655790442434E-2</v>
      </c>
      <c r="AN32" s="26">
        <f t="shared" si="72"/>
        <v>4.5301436489418222E-2</v>
      </c>
      <c r="AO32" s="26">
        <f t="shared" si="72"/>
        <v>6.8911546530211976E-2</v>
      </c>
      <c r="AP32" s="26">
        <f t="shared" si="72"/>
        <v>7.4628261301108223E-2</v>
      </c>
      <c r="AQ32" s="26">
        <f t="shared" si="72"/>
        <v>8.3769679357812266E-2</v>
      </c>
      <c r="AR32" s="26">
        <f t="shared" si="72"/>
        <v>0.14240133915723904</v>
      </c>
      <c r="AS32" s="26">
        <f t="shared" si="72"/>
        <v>0.28700563347170821</v>
      </c>
      <c r="AT32" s="26">
        <f t="shared" si="72"/>
        <v>0.28692213219752483</v>
      </c>
      <c r="AU32" s="26">
        <f t="shared" si="72"/>
        <v>0.11036405886114876</v>
      </c>
      <c r="AV32" s="26">
        <f t="shared" si="72"/>
        <v>4.9984882428673556E-2</v>
      </c>
      <c r="AW32" s="26">
        <f t="shared" si="72"/>
        <v>0.11272071575178551</v>
      </c>
      <c r="AX32" s="26">
        <f t="shared" si="72"/>
        <v>0.41887400112162748</v>
      </c>
      <c r="AY32" s="26">
        <f t="shared" si="72"/>
        <v>0.16053921634048926</v>
      </c>
      <c r="AZ32" s="26">
        <f t="shared" si="72"/>
        <v>0.60208755198646946</v>
      </c>
      <c r="BA32" s="26">
        <f t="shared" si="72"/>
        <v>0.23219286517413523</v>
      </c>
      <c r="BB32" s="26">
        <f t="shared" si="72"/>
        <v>0.13033127772181713</v>
      </c>
      <c r="BC32" s="26">
        <f t="shared" si="72"/>
        <v>0.1520036073699472</v>
      </c>
      <c r="BD32" s="26">
        <f t="shared" si="72"/>
        <v>0.12312581845909983</v>
      </c>
      <c r="BE32" s="26">
        <f t="shared" si="72"/>
        <v>0.12520982831127433</v>
      </c>
    </row>
    <row r="33" spans="2:57" s="35" customFormat="1">
      <c r="B33" s="345" t="s">
        <v>295</v>
      </c>
      <c r="C33" s="26">
        <f t="shared" ref="C33:K33" si="73">-C17/C116</f>
        <v>3.8065864001837584E-2</v>
      </c>
      <c r="D33" s="26">
        <f t="shared" si="73"/>
        <v>4.2415867036905877E-2</v>
      </c>
      <c r="E33" s="26">
        <f t="shared" si="73"/>
        <v>5.1581876306946231E-2</v>
      </c>
      <c r="F33" s="26">
        <f t="shared" si="73"/>
        <v>5.050616803826323E-2</v>
      </c>
      <c r="G33" s="26">
        <f t="shared" si="73"/>
        <v>4.2991844144990639E-2</v>
      </c>
      <c r="H33" s="26">
        <f t="shared" si="73"/>
        <v>3.9196339466846371E-2</v>
      </c>
      <c r="I33" s="26">
        <f t="shared" si="73"/>
        <v>4.3195757971116633E-2</v>
      </c>
      <c r="J33" s="26">
        <f t="shared" si="73"/>
        <v>4.1924573753730314E-2</v>
      </c>
      <c r="K33" s="26">
        <f t="shared" si="73"/>
        <v>4.1496982467532875E-2</v>
      </c>
      <c r="L33" s="26">
        <f>-L17/L116</f>
        <v>4.265790040063451E-2</v>
      </c>
      <c r="M33" s="26">
        <f>-M17/M116</f>
        <v>4.1594349127476088E-2</v>
      </c>
      <c r="N33" s="26">
        <f>-N17/N116</f>
        <v>7.2830038061522495E-2</v>
      </c>
      <c r="O33" s="248">
        <f>-O17/O116</f>
        <v>6.1219166904873806E-2</v>
      </c>
      <c r="P33" s="323"/>
      <c r="Q33" s="26"/>
      <c r="R33" s="26"/>
      <c r="S33" s="26"/>
      <c r="T33" s="26">
        <f t="shared" ref="T33:BE33" si="74">-SUM(Q17:T17)/T116</f>
        <v>5.1581876306946231E-2</v>
      </c>
      <c r="U33" s="26">
        <f t="shared" si="74"/>
        <v>5.1816578431598107E-2</v>
      </c>
      <c r="V33" s="26">
        <f t="shared" si="74"/>
        <v>5.0552251618527909E-2</v>
      </c>
      <c r="W33" s="26">
        <f t="shared" si="74"/>
        <v>5.2332810626163427E-2</v>
      </c>
      <c r="X33" s="26">
        <f t="shared" si="74"/>
        <v>5.050616803826323E-2</v>
      </c>
      <c r="Y33" s="26">
        <f t="shared" si="74"/>
        <v>5.2972582608934851E-2</v>
      </c>
      <c r="Z33" s="26">
        <f t="shared" si="74"/>
        <v>4.9183176076707469E-2</v>
      </c>
      <c r="AA33" s="26">
        <f t="shared" si="74"/>
        <v>4.8477946094038639E-2</v>
      </c>
      <c r="AB33" s="26">
        <f t="shared" si="74"/>
        <v>4.2991844144990639E-2</v>
      </c>
      <c r="AC33" s="26">
        <f t="shared" si="74"/>
        <v>3.8075916517302341E-2</v>
      </c>
      <c r="AD33" s="26">
        <f t="shared" si="74"/>
        <v>3.8340728782811903E-2</v>
      </c>
      <c r="AE33" s="26">
        <f t="shared" si="74"/>
        <v>3.8967295479119916E-2</v>
      </c>
      <c r="AF33" s="26">
        <f t="shared" si="74"/>
        <v>3.9196339466846371E-2</v>
      </c>
      <c r="AG33" s="26">
        <f t="shared" si="74"/>
        <v>3.8103685912766881E-2</v>
      </c>
      <c r="AH33" s="26">
        <f t="shared" si="74"/>
        <v>3.9709858995729923E-2</v>
      </c>
      <c r="AI33" s="26">
        <f t="shared" si="74"/>
        <v>4.0919378512585557E-2</v>
      </c>
      <c r="AJ33" s="26">
        <f t="shared" si="74"/>
        <v>4.3195757971116633E-2</v>
      </c>
      <c r="AK33" s="26">
        <f t="shared" si="74"/>
        <v>4.1161843175766016E-2</v>
      </c>
      <c r="AL33" s="26">
        <f t="shared" si="74"/>
        <v>3.9891831523420261E-2</v>
      </c>
      <c r="AM33" s="26">
        <f t="shared" si="74"/>
        <v>4.3612232948665383E-2</v>
      </c>
      <c r="AN33" s="26">
        <f t="shared" si="74"/>
        <v>4.1924573753730314E-2</v>
      </c>
      <c r="AO33" s="26">
        <f t="shared" si="74"/>
        <v>4.3786822420389074E-2</v>
      </c>
      <c r="AP33" s="26">
        <f t="shared" si="74"/>
        <v>4.1266433693939043E-2</v>
      </c>
      <c r="AQ33" s="26">
        <f t="shared" si="74"/>
        <v>3.6015325365882866E-2</v>
      </c>
      <c r="AR33" s="26">
        <f t="shared" si="74"/>
        <v>4.1496982467532875E-2</v>
      </c>
      <c r="AS33" s="26">
        <f t="shared" si="74"/>
        <v>4.4960518146678355E-2</v>
      </c>
      <c r="AT33" s="26">
        <f t="shared" si="74"/>
        <v>4.3395795620722995E-2</v>
      </c>
      <c r="AU33" s="26">
        <f t="shared" si="74"/>
        <v>4.0188876647189578E-2</v>
      </c>
      <c r="AV33" s="26">
        <f t="shared" si="74"/>
        <v>4.265790040063451E-2</v>
      </c>
      <c r="AW33" s="26">
        <f t="shared" si="74"/>
        <v>4.0257256740414478E-2</v>
      </c>
      <c r="AX33" s="26">
        <f t="shared" si="74"/>
        <v>4.0821886510114723E-2</v>
      </c>
      <c r="AY33" s="26">
        <f t="shared" si="74"/>
        <v>4.1476153058613317E-2</v>
      </c>
      <c r="AZ33" s="26">
        <f t="shared" si="74"/>
        <v>4.1594349127476088E-2</v>
      </c>
      <c r="BA33" s="26">
        <f t="shared" si="74"/>
        <v>5.2105046186716464E-2</v>
      </c>
      <c r="BB33" s="26">
        <f t="shared" si="74"/>
        <v>5.6570270681527188E-2</v>
      </c>
      <c r="BC33" s="26">
        <f t="shared" si="74"/>
        <v>5.9770899270381164E-2</v>
      </c>
      <c r="BD33" s="26">
        <f t="shared" si="74"/>
        <v>7.2830038061522495E-2</v>
      </c>
      <c r="BE33" s="26">
        <f t="shared" si="74"/>
        <v>6.1219166904873806E-2</v>
      </c>
    </row>
    <row r="34" spans="2:57" s="35" customFormat="1">
      <c r="B34" s="345" t="str">
        <f>B20</f>
        <v>Profit before tax</v>
      </c>
      <c r="C34" s="26">
        <f t="shared" ref="C34:AB34" si="75">C20/C7</f>
        <v>6.2558036799949285E-2</v>
      </c>
      <c r="D34" s="26">
        <f t="shared" si="75"/>
        <v>-7.7789277683726222E-3</v>
      </c>
      <c r="E34" s="26">
        <f t="shared" si="75"/>
        <v>3.2875052912088275E-3</v>
      </c>
      <c r="F34" s="26">
        <f t="shared" si="75"/>
        <v>1.33813542328057E-2</v>
      </c>
      <c r="G34" s="26">
        <f t="shared" si="75"/>
        <v>-1.1870199287992713E-3</v>
      </c>
      <c r="H34" s="26">
        <f t="shared" ref="H34:O34" si="76">H20/H7</f>
        <v>0.12139216171113783</v>
      </c>
      <c r="I34" s="26">
        <f t="shared" si="76"/>
        <v>4.4897290501312644E-2</v>
      </c>
      <c r="J34" s="26">
        <f t="shared" si="76"/>
        <v>4.9248541747652315E-2</v>
      </c>
      <c r="K34" s="26">
        <f t="shared" si="76"/>
        <v>0.21244345099115913</v>
      </c>
      <c r="L34" s="26">
        <f t="shared" si="76"/>
        <v>4.875086141978599E-2</v>
      </c>
      <c r="M34" s="26">
        <f>M20/M7</f>
        <v>4.8522297600271443E-2</v>
      </c>
      <c r="N34" s="26">
        <f>N20/N7</f>
        <v>3.0171087508820117E-2</v>
      </c>
      <c r="O34" s="248">
        <f t="shared" si="76"/>
        <v>4.445521271957141E-2</v>
      </c>
      <c r="P34" s="323"/>
      <c r="Q34" s="26">
        <f t="shared" si="75"/>
        <v>2.7845527306897259E-2</v>
      </c>
      <c r="R34" s="26">
        <f t="shared" si="75"/>
        <v>-2.2067146149159335E-3</v>
      </c>
      <c r="S34" s="26">
        <f t="shared" si="75"/>
        <v>2.2088142229678945E-3</v>
      </c>
      <c r="T34" s="26">
        <f t="shared" si="75"/>
        <v>-1.3814680504389826E-2</v>
      </c>
      <c r="U34" s="26">
        <f t="shared" si="75"/>
        <v>2.2954395909039547E-2</v>
      </c>
      <c r="V34" s="26">
        <f t="shared" si="75"/>
        <v>-1.6285472667061228E-2</v>
      </c>
      <c r="W34" s="26">
        <f t="shared" si="75"/>
        <v>2.2384516195131439E-2</v>
      </c>
      <c r="X34" s="26">
        <f t="shared" si="75"/>
        <v>2.3850448750147715E-2</v>
      </c>
      <c r="Y34" s="26">
        <f t="shared" si="75"/>
        <v>-1.7737504085999167E-2</v>
      </c>
      <c r="Z34" s="26">
        <f t="shared" si="75"/>
        <v>-2.8014182750048803E-2</v>
      </c>
      <c r="AA34" s="26">
        <f t="shared" si="75"/>
        <v>-4.3752941817715614E-3</v>
      </c>
      <c r="AB34" s="26">
        <f t="shared" si="75"/>
        <v>4.1704976893722906E-2</v>
      </c>
      <c r="AC34" s="26">
        <f t="shared" ref="AC34:AH34" si="77">AC20/AC7</f>
        <v>3.8417061801750516E-2</v>
      </c>
      <c r="AD34" s="26">
        <f t="shared" si="77"/>
        <v>1.0990905009783624E-2</v>
      </c>
      <c r="AE34" s="26">
        <f t="shared" si="77"/>
        <v>2.8004669062938373E-2</v>
      </c>
      <c r="AF34" s="26">
        <f t="shared" si="77"/>
        <v>0.38390278480045426</v>
      </c>
      <c r="AG34" s="26">
        <f t="shared" si="77"/>
        <v>4.4280500579582278E-2</v>
      </c>
      <c r="AH34" s="26">
        <f t="shared" si="77"/>
        <v>4.2948237564975345E-2</v>
      </c>
      <c r="AI34" s="26">
        <f t="shared" ref="AI34:AN34" si="78">AI20/AI7</f>
        <v>4.2062469028599517E-2</v>
      </c>
      <c r="AJ34" s="26">
        <f t="shared" si="78"/>
        <v>4.9536524226216738E-2</v>
      </c>
      <c r="AK34" s="26">
        <f t="shared" si="78"/>
        <v>4.6915054194748E-2</v>
      </c>
      <c r="AL34" s="26">
        <f t="shared" si="78"/>
        <v>9.3647455826812789E-2</v>
      </c>
      <c r="AM34" s="26">
        <f t="shared" si="78"/>
        <v>5.5353818277602627E-2</v>
      </c>
      <c r="AN34" s="26">
        <f t="shared" si="78"/>
        <v>5.2034681304634388E-3</v>
      </c>
      <c r="AO34" s="26">
        <f t="shared" ref="AO34:AT34" si="79">AO20/AO7</f>
        <v>3.1433494590915982E-2</v>
      </c>
      <c r="AP34" s="26">
        <f t="shared" si="79"/>
        <v>0.73571007157173285</v>
      </c>
      <c r="AQ34" s="26">
        <f t="shared" si="79"/>
        <v>7.2580406184263216E-2</v>
      </c>
      <c r="AR34" s="26">
        <f t="shared" si="79"/>
        <v>-2.0995759760716148E-3</v>
      </c>
      <c r="AS34" s="26">
        <f t="shared" si="79"/>
        <v>-4.4698778274859859E-2</v>
      </c>
      <c r="AT34" s="26">
        <f t="shared" si="79"/>
        <v>4.5616271112130589E-2</v>
      </c>
      <c r="AU34" s="26">
        <f t="shared" ref="AU34:AZ34" si="80">AU20/AU7</f>
        <v>6.0209339415936182E-2</v>
      </c>
      <c r="AV34" s="26">
        <f t="shared" si="80"/>
        <v>0.12615877407699949</v>
      </c>
      <c r="AW34" s="26">
        <f t="shared" si="80"/>
        <v>4.4950600348159286E-2</v>
      </c>
      <c r="AX34" s="26">
        <f t="shared" si="80"/>
        <v>3.9588036928137539E-2</v>
      </c>
      <c r="AY34" s="26">
        <f t="shared" si="80"/>
        <v>3.5692492864902246E-2</v>
      </c>
      <c r="AZ34" s="26">
        <f t="shared" si="80"/>
        <v>7.1277257212045697E-2</v>
      </c>
      <c r="BA34" s="26">
        <f>BA20/BA7</f>
        <v>-8.5478721517422054E-3</v>
      </c>
      <c r="BB34" s="26">
        <f>BB20/BB7</f>
        <v>1.8386931725867604E-2</v>
      </c>
      <c r="BC34" s="26">
        <f>BC20/BC7</f>
        <v>7.6141874432749737E-2</v>
      </c>
      <c r="BD34" s="26">
        <f>BD20/BD7</f>
        <v>3.2775418735293591E-2</v>
      </c>
      <c r="BE34" s="26">
        <f>BE20/BE7</f>
        <v>5.0723574099333167E-2</v>
      </c>
    </row>
    <row r="35" spans="2:57" s="35" customFormat="1">
      <c r="B35" s="346" t="s">
        <v>296</v>
      </c>
      <c r="C35" s="26">
        <f t="shared" ref="C35:AB35" si="81">-C21/C20</f>
        <v>-7.7275360569204643E-2</v>
      </c>
      <c r="D35" s="26">
        <f t="shared" si="81"/>
        <v>0.92061897486833821</v>
      </c>
      <c r="E35" s="26">
        <f t="shared" si="81"/>
        <v>-4.5631504818189157</v>
      </c>
      <c r="F35" s="26">
        <f t="shared" si="81"/>
        <v>-0.66953839794308467</v>
      </c>
      <c r="G35" s="26">
        <f t="shared" si="81"/>
        <v>-9.3982129269520129</v>
      </c>
      <c r="H35" s="26">
        <f t="shared" ref="H35:O35" si="82">-H21/H20</f>
        <v>0.3582606444214857</v>
      </c>
      <c r="I35" s="26">
        <f t="shared" si="82"/>
        <v>0.10098348494928171</v>
      </c>
      <c r="J35" s="26">
        <f t="shared" si="82"/>
        <v>0.36799221548345618</v>
      </c>
      <c r="K35" s="26">
        <f t="shared" si="82"/>
        <v>0.15370799452645839</v>
      </c>
      <c r="L35" s="26">
        <f t="shared" si="82"/>
        <v>0.26294922698507139</v>
      </c>
      <c r="M35" s="26">
        <f>-M21/M20</f>
        <v>0.48407757737893364</v>
      </c>
      <c r="N35" s="26">
        <f>-N21/N20</f>
        <v>-1.146820426262759</v>
      </c>
      <c r="O35" s="248">
        <f t="shared" si="82"/>
        <v>-0.46958001388742365</v>
      </c>
      <c r="P35" s="323"/>
      <c r="Q35" s="26">
        <f t="shared" si="81"/>
        <v>-0.87345012395256039</v>
      </c>
      <c r="R35" s="26">
        <f t="shared" si="81"/>
        <v>9.7259804762781421</v>
      </c>
      <c r="S35" s="26">
        <f t="shared" si="81"/>
        <v>-8.1500222059448415</v>
      </c>
      <c r="T35" s="26">
        <f t="shared" si="81"/>
        <v>-0.20732952327796225</v>
      </c>
      <c r="U35" s="26">
        <f t="shared" si="81"/>
        <v>-0.2993492006754514</v>
      </c>
      <c r="V35" s="26">
        <f t="shared" si="81"/>
        <v>0.66114045316293624</v>
      </c>
      <c r="W35" s="26">
        <f t="shared" si="81"/>
        <v>-0.64427667433900282</v>
      </c>
      <c r="X35" s="26">
        <f t="shared" si="81"/>
        <v>-0.17061220697369034</v>
      </c>
      <c r="Y35" s="26">
        <f t="shared" si="81"/>
        <v>1.0028086076029814</v>
      </c>
      <c r="Z35" s="26">
        <f t="shared" si="81"/>
        <v>-0.81192129594141749</v>
      </c>
      <c r="AA35" s="26">
        <f t="shared" si="81"/>
        <v>-1.5013433456667362</v>
      </c>
      <c r="AB35" s="26">
        <f t="shared" si="81"/>
        <v>0.74986242146391247</v>
      </c>
      <c r="AC35" s="26">
        <f t="shared" ref="AC35:AH35" si="83">-AC21/AC20</f>
        <v>0.44038135556731772</v>
      </c>
      <c r="AD35" s="26">
        <f t="shared" si="83"/>
        <v>0.17498806310072268</v>
      </c>
      <c r="AE35" s="26">
        <f t="shared" si="83"/>
        <v>2.0618951153132081</v>
      </c>
      <c r="AF35" s="26">
        <f t="shared" si="83"/>
        <v>0.23907646915412797</v>
      </c>
      <c r="AG35" s="26">
        <f t="shared" si="83"/>
        <v>1.9880847913444151</v>
      </c>
      <c r="AH35" s="26">
        <f t="shared" si="83"/>
        <v>-0.14572710178579429</v>
      </c>
      <c r="AI35" s="26">
        <f t="shared" ref="AI35:AN35" si="84">-AI21/AI20</f>
        <v>-0.21277176957954755</v>
      </c>
      <c r="AJ35" s="26">
        <f t="shared" si="84"/>
        <v>-0.96498011126796435</v>
      </c>
      <c r="AK35" s="26">
        <f t="shared" si="84"/>
        <v>0.33794154302296348</v>
      </c>
      <c r="AL35" s="26">
        <f t="shared" si="84"/>
        <v>0.19376563035248562</v>
      </c>
      <c r="AM35" s="26">
        <f t="shared" si="84"/>
        <v>0.93476033334310471</v>
      </c>
      <c r="AN35" s="26">
        <f t="shared" si="84"/>
        <v>-2.1821480449219006</v>
      </c>
      <c r="AO35" s="26">
        <f t="shared" ref="AO35:AT35" si="85">-AO21/AO20</f>
        <v>-1.5969176050397871</v>
      </c>
      <c r="AP35" s="26">
        <f t="shared" si="85"/>
        <v>0.35121347212818665</v>
      </c>
      <c r="AQ35" s="26">
        <f t="shared" si="85"/>
        <v>5.3095135375953152E-2</v>
      </c>
      <c r="AR35" s="26">
        <f t="shared" si="85"/>
        <v>41.060345049010522</v>
      </c>
      <c r="AS35" s="26">
        <f t="shared" si="85"/>
        <v>1.1128019401035083</v>
      </c>
      <c r="AT35" s="26">
        <f t="shared" si="85"/>
        <v>0.19328181518928475</v>
      </c>
      <c r="AU35" s="26">
        <f t="shared" ref="AU35:AZ35" si="86">-AU21/AU20</f>
        <v>1.3326925105539653</v>
      </c>
      <c r="AV35" s="26">
        <f t="shared" si="86"/>
        <v>9.3755529435612037E-2</v>
      </c>
      <c r="AW35" s="26">
        <f t="shared" si="86"/>
        <v>1.6995559673069005</v>
      </c>
      <c r="AX35" s="26">
        <f t="shared" si="86"/>
        <v>-0.68560383069638431</v>
      </c>
      <c r="AY35" s="26">
        <f t="shared" si="86"/>
        <v>-0.75008220570665096</v>
      </c>
      <c r="AZ35" s="26">
        <f t="shared" si="86"/>
        <v>0.94608194599176931</v>
      </c>
      <c r="BA35" s="26">
        <f>-BA21/BA20</f>
        <v>4.8055452102336229</v>
      </c>
      <c r="BB35" s="26">
        <f>-BB21/BB20</f>
        <v>-0.43130061756531884</v>
      </c>
      <c r="BC35" s="26">
        <f>-BC21/BC20</f>
        <v>0.44806975296782814</v>
      </c>
      <c r="BD35" s="26">
        <f>-BD21/BD20</f>
        <v>-3.4774743311516279</v>
      </c>
      <c r="BE35" s="26">
        <f>-BE21/BE20</f>
        <v>0.27474945642920695</v>
      </c>
    </row>
    <row r="36" spans="2:57" s="35" customFormat="1">
      <c r="B36" s="1"/>
      <c r="C36" s="45"/>
      <c r="D36" s="45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249"/>
      <c r="P36" s="323"/>
      <c r="Q36" s="45"/>
      <c r="R36" s="45"/>
      <c r="S36" s="45"/>
      <c r="T36" s="45"/>
      <c r="U36" s="45"/>
      <c r="V36" s="45"/>
      <c r="X36" s="45"/>
      <c r="Y36" s="45"/>
      <c r="Z36" s="45"/>
      <c r="AA36" s="45"/>
      <c r="AB36" s="45"/>
      <c r="AC36" s="45"/>
      <c r="AD36" s="45"/>
      <c r="AE36" s="45"/>
      <c r="AF36" s="45"/>
      <c r="AG36" s="45"/>
      <c r="AH36" s="45"/>
      <c r="AI36" s="45"/>
      <c r="AJ36" s="45"/>
      <c r="AK36" s="45"/>
      <c r="AL36" s="45"/>
      <c r="AM36" s="45"/>
      <c r="AN36" s="45"/>
      <c r="AO36" s="45"/>
      <c r="AP36" s="45"/>
      <c r="AQ36" s="45"/>
      <c r="AR36" s="45"/>
      <c r="AS36" s="45"/>
      <c r="AT36" s="45"/>
      <c r="AU36" s="45"/>
      <c r="AV36" s="45"/>
      <c r="AW36" s="45"/>
      <c r="AX36" s="45"/>
      <c r="AY36" s="45"/>
      <c r="AZ36" s="45"/>
      <c r="BA36" s="45"/>
      <c r="BB36" s="45"/>
      <c r="BC36" s="45"/>
      <c r="BD36" s="45"/>
      <c r="BE36" s="45"/>
    </row>
    <row r="37" spans="2:57" s="35" customFormat="1">
      <c r="B37" s="25" t="s">
        <v>297</v>
      </c>
      <c r="C37" s="26">
        <f t="shared" ref="C37:AB37" si="87">-C63/C7</f>
        <v>0.33260349381331356</v>
      </c>
      <c r="D37" s="26">
        <f t="shared" si="87"/>
        <v>0.2931655035555466</v>
      </c>
      <c r="E37" s="26">
        <f t="shared" si="87"/>
        <v>0.24318153639337237</v>
      </c>
      <c r="F37" s="26">
        <f t="shared" si="87"/>
        <v>0.25584700988398879</v>
      </c>
      <c r="G37" s="26">
        <f t="shared" si="87"/>
        <v>0.26546148710982936</v>
      </c>
      <c r="H37" s="26">
        <f t="shared" ref="H37:O37" si="88">-H63/H7</f>
        <v>-6.475704408400903E-3</v>
      </c>
      <c r="I37" s="26">
        <f t="shared" si="88"/>
        <v>0.13939777365845149</v>
      </c>
      <c r="J37" s="26">
        <f t="shared" si="88"/>
        <v>0.10812001426943832</v>
      </c>
      <c r="K37" s="26">
        <f t="shared" si="88"/>
        <v>-5.0616796687824768E-3</v>
      </c>
      <c r="L37" s="26">
        <f t="shared" si="88"/>
        <v>-0.38393702731767798</v>
      </c>
      <c r="M37" s="26">
        <f>-M63/M7</f>
        <v>0.1996584740099018</v>
      </c>
      <c r="N37" s="26">
        <f>-N63/N7</f>
        <v>0.18065613526465751</v>
      </c>
      <c r="O37" s="248">
        <f t="shared" si="88"/>
        <v>0.16451557295413144</v>
      </c>
      <c r="P37" s="323"/>
      <c r="Q37" s="26">
        <f t="shared" si="87"/>
        <v>0.23118315907260453</v>
      </c>
      <c r="R37" s="26">
        <f t="shared" si="87"/>
        <v>0.2377835662767368</v>
      </c>
      <c r="S37" s="26">
        <f t="shared" si="87"/>
        <v>0.23813521569792498</v>
      </c>
      <c r="T37" s="26">
        <f t="shared" si="87"/>
        <v>0.26456741214478297</v>
      </c>
      <c r="U37" s="26">
        <f t="shared" si="87"/>
        <v>0.24741340567096795</v>
      </c>
      <c r="V37" s="26">
        <f t="shared" si="87"/>
        <v>0.23029247139819367</v>
      </c>
      <c r="W37" s="26">
        <f t="shared" si="87"/>
        <v>0.28192044485185519</v>
      </c>
      <c r="X37" s="26">
        <f t="shared" si="87"/>
        <v>0.26312007112178654</v>
      </c>
      <c r="Y37" s="26">
        <f t="shared" si="87"/>
        <v>0.30207285537868989</v>
      </c>
      <c r="Z37" s="26">
        <f t="shared" si="87"/>
        <v>0.26561998749357479</v>
      </c>
      <c r="AA37" s="26">
        <f t="shared" si="87"/>
        <v>0.25591190898089355</v>
      </c>
      <c r="AB37" s="26">
        <f t="shared" si="87"/>
        <v>0.24098220409197066</v>
      </c>
      <c r="AC37" s="26">
        <f t="shared" ref="AC37:AH37" si="89">-AC63/AC7</f>
        <v>0.3171912978243161</v>
      </c>
      <c r="AD37" s="26">
        <f t="shared" si="89"/>
        <v>0.26541208708233971</v>
      </c>
      <c r="AE37" s="26">
        <f t="shared" si="89"/>
        <v>0.17982694559257148</v>
      </c>
      <c r="AF37" s="26">
        <f t="shared" si="89"/>
        <v>-0.71842720410668703</v>
      </c>
      <c r="AG37" s="26">
        <f t="shared" si="89"/>
        <v>0.12615820127752783</v>
      </c>
      <c r="AH37" s="26">
        <f t="shared" si="89"/>
        <v>0.16056027198839212</v>
      </c>
      <c r="AI37" s="26">
        <f t="shared" ref="AI37:AN37" si="90">-AI63/AI7</f>
        <v>0.21474342360854431</v>
      </c>
      <c r="AJ37" s="26">
        <f t="shared" si="90"/>
        <v>6.5891961262496301E-2</v>
      </c>
      <c r="AK37" s="26">
        <f t="shared" si="90"/>
        <v>0.20092512731431497</v>
      </c>
      <c r="AL37" s="26">
        <f t="shared" si="90"/>
        <v>0.17089942619856305</v>
      </c>
      <c r="AM37" s="26">
        <f t="shared" si="90"/>
        <v>0.14601495019594296</v>
      </c>
      <c r="AN37" s="26">
        <f t="shared" si="90"/>
        <v>-6.3800795337196181E-2</v>
      </c>
      <c r="AO37" s="26">
        <f t="shared" ref="AO37:AT37" si="91">-AO63/AO7</f>
        <v>0.2360020296836331</v>
      </c>
      <c r="AP37" s="26">
        <f t="shared" si="91"/>
        <v>-0.65676629538520381</v>
      </c>
      <c r="AQ37" s="26">
        <f t="shared" si="91"/>
        <v>0.13721807928215016</v>
      </c>
      <c r="AR37" s="26">
        <f t="shared" si="91"/>
        <v>0.2777858143425983</v>
      </c>
      <c r="AS37" s="26">
        <f t="shared" si="91"/>
        <v>0.28280609141330737</v>
      </c>
      <c r="AT37" s="26">
        <f t="shared" si="91"/>
        <v>0.22320548100536536</v>
      </c>
      <c r="AU37" s="26">
        <f t="shared" ref="AU37:AZ37" si="92">-AU63/AU7</f>
        <v>0.19324986774376524</v>
      </c>
      <c r="AV37" s="26">
        <f t="shared" si="92"/>
        <v>-2.0749181441296813</v>
      </c>
      <c r="AW37" s="26">
        <f t="shared" si="92"/>
        <v>0.18556173550042765</v>
      </c>
      <c r="AX37" s="26">
        <f t="shared" si="92"/>
        <v>0.25146028931457926</v>
      </c>
      <c r="AY37" s="26">
        <f t="shared" si="92"/>
        <v>0.2086415964792579</v>
      </c>
      <c r="AZ37" s="26">
        <f t="shared" si="92"/>
        <v>0.15739621163034084</v>
      </c>
      <c r="BA37" s="26">
        <f>-BA63/BA7</f>
        <v>0.21000286888150813</v>
      </c>
      <c r="BB37" s="26">
        <f>-BB63/BB7</f>
        <v>0.16232242052150997</v>
      </c>
      <c r="BC37" s="26">
        <f>-BC63/BC7</f>
        <v>0.14773406854979626</v>
      </c>
      <c r="BD37" s="26">
        <f>-BD63/BD7</f>
        <v>0.20065415380781801</v>
      </c>
      <c r="BE37" s="26">
        <f>-BE63/BE7</f>
        <v>0.14393767770857463</v>
      </c>
    </row>
    <row r="38" spans="2:57" s="35" customFormat="1">
      <c r="B38" s="25" t="s">
        <v>298</v>
      </c>
      <c r="C38" s="26">
        <f t="shared" ref="C38:AB38" si="93">C42/C7</f>
        <v>0.14681208505347079</v>
      </c>
      <c r="D38" s="26">
        <f t="shared" si="93"/>
        <v>0.15451055554905027</v>
      </c>
      <c r="E38" s="26">
        <f t="shared" si="93"/>
        <v>0.1661861647617191</v>
      </c>
      <c r="F38" s="26">
        <f t="shared" si="93"/>
        <v>0.16454227890829967</v>
      </c>
      <c r="G38" s="26">
        <f t="shared" si="93"/>
        <v>0.17563349307034018</v>
      </c>
      <c r="H38" s="26">
        <f t="shared" ref="H38:O38" si="94">H42/H7</f>
        <v>0.21553280465374516</v>
      </c>
      <c r="I38" s="26">
        <f t="shared" si="94"/>
        <v>0.22543863203594944</v>
      </c>
      <c r="J38" s="26">
        <f t="shared" si="94"/>
        <v>0.19847047005932364</v>
      </c>
      <c r="K38" s="26">
        <f t="shared" si="94"/>
        <v>0.20640286010284423</v>
      </c>
      <c r="L38" s="26">
        <f t="shared" si="94"/>
        <v>0.20737940160391249</v>
      </c>
      <c r="M38" s="26">
        <f>M42/M7</f>
        <v>0.20633054486969074</v>
      </c>
      <c r="N38" s="26">
        <f>N42/N7</f>
        <v>0.19818390178612533</v>
      </c>
      <c r="O38" s="248">
        <f t="shared" si="94"/>
        <v>0.19734443861721065</v>
      </c>
      <c r="P38" s="323"/>
      <c r="Q38" s="26">
        <f t="shared" si="93"/>
        <v>0.16100166692628823</v>
      </c>
      <c r="R38" s="26">
        <f t="shared" si="93"/>
        <v>0.16376650064813392</v>
      </c>
      <c r="S38" s="26">
        <f t="shared" si="93"/>
        <v>0.16215238855972433</v>
      </c>
      <c r="T38" s="26">
        <f t="shared" si="93"/>
        <v>0.1773028794154472</v>
      </c>
      <c r="U38" s="26">
        <f t="shared" si="93"/>
        <v>0.16628905467101016</v>
      </c>
      <c r="V38" s="26">
        <f t="shared" si="93"/>
        <v>0.16709855450321601</v>
      </c>
      <c r="W38" s="26">
        <f t="shared" si="93"/>
        <v>0.16636321945300345</v>
      </c>
      <c r="X38" s="26">
        <f t="shared" si="93"/>
        <v>0.1588162736623531</v>
      </c>
      <c r="Y38" s="26">
        <f t="shared" si="93"/>
        <v>0.1785905165755203</v>
      </c>
      <c r="Z38" s="26">
        <f t="shared" si="93"/>
        <v>0.17982107368821884</v>
      </c>
      <c r="AA38" s="26">
        <f t="shared" si="93"/>
        <v>0.17626742968077236</v>
      </c>
      <c r="AB38" s="26">
        <f t="shared" si="93"/>
        <v>0.1684672292687536</v>
      </c>
      <c r="AC38" s="26">
        <f t="shared" ref="AC38:AH38" si="95">AC42/AC7</f>
        <v>0.2164933773455803</v>
      </c>
      <c r="AD38" s="26">
        <f t="shared" si="95"/>
        <v>0.21704995367247867</v>
      </c>
      <c r="AE38" s="26">
        <f t="shared" si="95"/>
        <v>0.21817324676446767</v>
      </c>
      <c r="AF38" s="26">
        <f t="shared" si="95"/>
        <v>0.21081190523462909</v>
      </c>
      <c r="AG38" s="26">
        <f t="shared" si="95"/>
        <v>0.22708844878990836</v>
      </c>
      <c r="AH38" s="26">
        <f t="shared" si="95"/>
        <v>0.25694265109108655</v>
      </c>
      <c r="AI38" s="26">
        <f t="shared" ref="AI38:AN38" si="96">AI42/AI7</f>
        <v>0.22092220283600614</v>
      </c>
      <c r="AJ38" s="26">
        <f t="shared" si="96"/>
        <v>0.20355046314465938</v>
      </c>
      <c r="AK38" s="26">
        <f t="shared" si="96"/>
        <v>0.20818920955564432</v>
      </c>
      <c r="AL38" s="26">
        <f t="shared" si="96"/>
        <v>0.19539579728864226</v>
      </c>
      <c r="AM38" s="26">
        <f t="shared" si="96"/>
        <v>0.19428950785393781</v>
      </c>
      <c r="AN38" s="26">
        <f t="shared" si="96"/>
        <v>0.1968452780687138</v>
      </c>
      <c r="AO38" s="26">
        <f t="shared" ref="AO38:AT38" si="97">AO42/AO7</f>
        <v>0.19397789099429452</v>
      </c>
      <c r="AP38" s="26">
        <f t="shared" si="97"/>
        <v>0.21693171370392494</v>
      </c>
      <c r="AQ38" s="26">
        <f t="shared" si="97"/>
        <v>0.20323171329036657</v>
      </c>
      <c r="AR38" s="26">
        <f t="shared" si="97"/>
        <v>0.21136476842980928</v>
      </c>
      <c r="AS38" s="26">
        <f t="shared" si="97"/>
        <v>0.20899524994160429</v>
      </c>
      <c r="AT38" s="26">
        <f t="shared" si="97"/>
        <v>0.20877180593291958</v>
      </c>
      <c r="AU38" s="26">
        <f t="shared" ref="AU38:AZ38" si="98">AU42/AU7</f>
        <v>0.21463062424245574</v>
      </c>
      <c r="AV38" s="26">
        <f t="shared" si="98"/>
        <v>0.19800987494920605</v>
      </c>
      <c r="AW38" s="26">
        <f t="shared" si="98"/>
        <v>0.20921094777493934</v>
      </c>
      <c r="AX38" s="26">
        <f t="shared" si="98"/>
        <v>0.21533690674890685</v>
      </c>
      <c r="AY38" s="26">
        <f t="shared" si="98"/>
        <v>0.2158571190403975</v>
      </c>
      <c r="AZ38" s="26">
        <f t="shared" si="98"/>
        <v>0.1870944220343557</v>
      </c>
      <c r="BA38" s="26">
        <f>BA42/BA7</f>
        <v>0.20201570951847658</v>
      </c>
      <c r="BB38" s="26">
        <f>BB42/BB7</f>
        <v>0.20533025194130752</v>
      </c>
      <c r="BC38" s="26">
        <f>BC42/BC7</f>
        <v>0.19572098777822786</v>
      </c>
      <c r="BD38" s="26">
        <f>BD42/BD7</f>
        <v>0.1908503995806016</v>
      </c>
      <c r="BE38" s="26">
        <f>BE42/BE7</f>
        <v>0.19843412330256319</v>
      </c>
    </row>
    <row r="39" spans="2:57" s="35" customFormat="1">
      <c r="C39" s="45"/>
      <c r="D39" s="45"/>
      <c r="E39" s="45"/>
      <c r="F39" s="45"/>
      <c r="G39" s="45"/>
      <c r="H39" s="45"/>
      <c r="I39" s="45"/>
      <c r="J39" s="45"/>
      <c r="K39" s="45"/>
      <c r="L39" s="45"/>
      <c r="M39" s="45"/>
      <c r="N39" s="45"/>
      <c r="O39" s="249"/>
      <c r="P39" s="323"/>
      <c r="Q39" s="45"/>
      <c r="U39" s="45"/>
      <c r="V39" s="45"/>
      <c r="Y39" s="45"/>
      <c r="Z39" s="45"/>
      <c r="AA39" s="45"/>
      <c r="AC39" s="45"/>
      <c r="AD39" s="45"/>
      <c r="AE39" s="45"/>
      <c r="AF39" s="45"/>
      <c r="AG39" s="45"/>
      <c r="AH39" s="45"/>
      <c r="AI39" s="45"/>
      <c r="AJ39" s="45"/>
      <c r="AK39" s="45"/>
      <c r="AL39" s="45"/>
      <c r="AM39" s="45"/>
      <c r="AN39" s="45"/>
      <c r="AO39" s="45"/>
      <c r="AP39" s="45"/>
      <c r="AQ39" s="45"/>
      <c r="AR39" s="45"/>
      <c r="AS39" s="45"/>
      <c r="AT39" s="45"/>
      <c r="AU39" s="45"/>
      <c r="AV39" s="45"/>
      <c r="AW39" s="45"/>
      <c r="AX39" s="45"/>
      <c r="AY39" s="45"/>
      <c r="AZ39" s="45"/>
      <c r="BA39" s="45"/>
      <c r="BB39" s="45"/>
      <c r="BC39" s="45"/>
      <c r="BD39" s="45"/>
      <c r="BE39" s="45"/>
    </row>
    <row r="40" spans="2:57">
      <c r="B40" s="16" t="s">
        <v>299</v>
      </c>
      <c r="C40" s="34">
        <f>+C3</f>
        <v>41974</v>
      </c>
      <c r="D40" s="34">
        <f>+D3</f>
        <v>42340</v>
      </c>
      <c r="E40" s="34">
        <f>+E3</f>
        <v>42707</v>
      </c>
      <c r="F40" s="34">
        <f>+F3</f>
        <v>43073</v>
      </c>
      <c r="G40" s="34">
        <f t="shared" ref="G40:L40" si="99">G3</f>
        <v>43438</v>
      </c>
      <c r="H40" s="34">
        <f t="shared" si="99"/>
        <v>43803</v>
      </c>
      <c r="I40" s="34">
        <f t="shared" si="99"/>
        <v>44169</v>
      </c>
      <c r="J40" s="34">
        <f t="shared" si="99"/>
        <v>44534</v>
      </c>
      <c r="K40" s="34">
        <f t="shared" si="99"/>
        <v>44926</v>
      </c>
      <c r="L40" s="34">
        <f t="shared" si="99"/>
        <v>45291</v>
      </c>
      <c r="M40" s="34">
        <f>M3</f>
        <v>45657</v>
      </c>
      <c r="N40" s="34">
        <f>N3</f>
        <v>46022</v>
      </c>
      <c r="O40" s="34">
        <f>+O3</f>
        <v>46112</v>
      </c>
      <c r="P40" s="323"/>
      <c r="Q40" s="34">
        <f t="shared" ref="Q40:Y40" si="100">+Q3</f>
        <v>42437</v>
      </c>
      <c r="R40" s="34">
        <f t="shared" si="100"/>
        <v>42527</v>
      </c>
      <c r="S40" s="34">
        <f t="shared" si="100"/>
        <v>42622</v>
      </c>
      <c r="T40" s="34">
        <f t="shared" si="100"/>
        <v>42714</v>
      </c>
      <c r="U40" s="34">
        <f t="shared" si="100"/>
        <v>42801</v>
      </c>
      <c r="V40" s="34">
        <f t="shared" si="100"/>
        <v>42892</v>
      </c>
      <c r="W40" s="34">
        <f t="shared" si="100"/>
        <v>42987</v>
      </c>
      <c r="X40" s="34">
        <f t="shared" si="100"/>
        <v>43079</v>
      </c>
      <c r="Y40" s="34">
        <f t="shared" si="100"/>
        <v>43190</v>
      </c>
      <c r="Z40" s="34">
        <f>Z3</f>
        <v>43281</v>
      </c>
      <c r="AA40" s="34">
        <f>AA3</f>
        <v>43373</v>
      </c>
      <c r="AB40" s="34">
        <f>AB3</f>
        <v>43465</v>
      </c>
      <c r="AC40" s="34">
        <f t="shared" ref="AC40:AH40" si="101">+AC3</f>
        <v>43555</v>
      </c>
      <c r="AD40" s="34">
        <f t="shared" si="101"/>
        <v>43646</v>
      </c>
      <c r="AE40" s="34">
        <f t="shared" si="101"/>
        <v>43738</v>
      </c>
      <c r="AF40" s="34">
        <f t="shared" si="101"/>
        <v>43830</v>
      </c>
      <c r="AG40" s="34">
        <f t="shared" si="101"/>
        <v>43921</v>
      </c>
      <c r="AH40" s="34">
        <f t="shared" si="101"/>
        <v>44012</v>
      </c>
      <c r="AI40" s="34">
        <f t="shared" ref="AI40:AN40" si="102">+AI3</f>
        <v>44104</v>
      </c>
      <c r="AJ40" s="34">
        <f t="shared" si="102"/>
        <v>44196</v>
      </c>
      <c r="AK40" s="34">
        <f t="shared" si="102"/>
        <v>44286</v>
      </c>
      <c r="AL40" s="34">
        <f t="shared" si="102"/>
        <v>44377</v>
      </c>
      <c r="AM40" s="34">
        <f t="shared" si="102"/>
        <v>44469</v>
      </c>
      <c r="AN40" s="34">
        <f t="shared" si="102"/>
        <v>44560</v>
      </c>
      <c r="AO40" s="34">
        <f t="shared" ref="AO40:AT40" si="103">+AO3</f>
        <v>44651</v>
      </c>
      <c r="AP40" s="34">
        <f t="shared" si="103"/>
        <v>44742</v>
      </c>
      <c r="AQ40" s="34">
        <f t="shared" si="103"/>
        <v>44834</v>
      </c>
      <c r="AR40" s="34">
        <f t="shared" si="103"/>
        <v>44926</v>
      </c>
      <c r="AS40" s="34">
        <f t="shared" si="103"/>
        <v>45016</v>
      </c>
      <c r="AT40" s="34">
        <f t="shared" si="103"/>
        <v>45107</v>
      </c>
      <c r="AU40" s="34">
        <f t="shared" ref="AU40:AZ40" si="104">+AU3</f>
        <v>45199</v>
      </c>
      <c r="AV40" s="34">
        <f t="shared" si="104"/>
        <v>45291</v>
      </c>
      <c r="AW40" s="34">
        <f t="shared" si="104"/>
        <v>45382</v>
      </c>
      <c r="AX40" s="34">
        <f t="shared" si="104"/>
        <v>45473</v>
      </c>
      <c r="AY40" s="34">
        <f t="shared" si="104"/>
        <v>45565</v>
      </c>
      <c r="AZ40" s="34">
        <f t="shared" si="104"/>
        <v>45657</v>
      </c>
      <c r="BA40" s="34">
        <f>+BA3</f>
        <v>45747</v>
      </c>
      <c r="BB40" s="34">
        <f>+BB3</f>
        <v>45838</v>
      </c>
      <c r="BC40" s="34">
        <f>+BC3</f>
        <v>45930</v>
      </c>
      <c r="BD40" s="34">
        <f>+BD3</f>
        <v>46022</v>
      </c>
      <c r="BE40" s="34">
        <f>+BE3</f>
        <v>46112</v>
      </c>
    </row>
    <row r="41" spans="2:57" s="5" customFormat="1">
      <c r="B41" s="15" t="s">
        <v>300</v>
      </c>
      <c r="C41" s="8">
        <f t="shared" ref="C41:AB41" si="105">C15</f>
        <v>182019.63999999966</v>
      </c>
      <c r="D41" s="8">
        <f t="shared" si="105"/>
        <v>80843.798999999883</v>
      </c>
      <c r="E41" s="8">
        <f t="shared" si="105"/>
        <v>114395.32100000023</v>
      </c>
      <c r="F41" s="8">
        <f t="shared" si="105"/>
        <v>117385.33600000013</v>
      </c>
      <c r="G41" s="8">
        <f t="shared" si="105"/>
        <v>90913.070999999763</v>
      </c>
      <c r="H41" s="8">
        <f t="shared" ref="H41:O41" si="106">H15</f>
        <v>343916.5689999999</v>
      </c>
      <c r="I41" s="8">
        <f t="shared" si="106"/>
        <v>212469.03600000031</v>
      </c>
      <c r="J41" s="8">
        <f t="shared" si="106"/>
        <v>294374.68500000006</v>
      </c>
      <c r="K41" s="8">
        <f t="shared" si="106"/>
        <v>757608.67599999998</v>
      </c>
      <c r="L41" s="8">
        <f t="shared" si="106"/>
        <v>249569.34000000032</v>
      </c>
      <c r="M41" s="8">
        <f>M15</f>
        <v>230852.59400000004</v>
      </c>
      <c r="N41" s="8">
        <f>N15</f>
        <v>249853.48400000017</v>
      </c>
      <c r="O41" s="94">
        <f t="shared" si="106"/>
        <v>262841.65299999993</v>
      </c>
      <c r="P41" s="94"/>
      <c r="Q41" s="8">
        <f t="shared" si="105"/>
        <v>35058.193000000087</v>
      </c>
      <c r="R41" s="8">
        <f t="shared" si="105"/>
        <v>23750.76199999993</v>
      </c>
      <c r="S41" s="8">
        <f t="shared" si="105"/>
        <v>30028.080000000075</v>
      </c>
      <c r="T41" s="8">
        <f t="shared" si="105"/>
        <v>25558.285999999964</v>
      </c>
      <c r="U41" s="8">
        <f t="shared" si="105"/>
        <v>31217.70299999998</v>
      </c>
      <c r="V41" s="8">
        <f t="shared" si="105"/>
        <v>18624.436000000045</v>
      </c>
      <c r="W41" s="8">
        <f t="shared" si="105"/>
        <v>32218.11100000015</v>
      </c>
      <c r="X41" s="8">
        <f t="shared" si="105"/>
        <v>35325.085999999952</v>
      </c>
      <c r="Y41" s="8">
        <f t="shared" si="105"/>
        <v>16979.060999999987</v>
      </c>
      <c r="Z41" s="8">
        <f t="shared" si="105"/>
        <v>10484.043000000063</v>
      </c>
      <c r="AA41" s="8">
        <f t="shared" si="105"/>
        <v>22265.966000000015</v>
      </c>
      <c r="AB41" s="8">
        <f t="shared" si="105"/>
        <v>41184.000999999756</v>
      </c>
      <c r="AC41" s="8">
        <f t="shared" ref="AC41:AH41" si="107">AC15</f>
        <v>35716.665999999968</v>
      </c>
      <c r="AD41" s="8">
        <f t="shared" si="107"/>
        <v>32887.047999999952</v>
      </c>
      <c r="AE41" s="8">
        <f t="shared" si="107"/>
        <v>39171.146999999997</v>
      </c>
      <c r="AF41" s="8">
        <f t="shared" si="107"/>
        <v>236141.70799999987</v>
      </c>
      <c r="AG41" s="8">
        <f t="shared" si="107"/>
        <v>56100.539000000048</v>
      </c>
      <c r="AH41" s="8">
        <f t="shared" si="107"/>
        <v>46034.333999999973</v>
      </c>
      <c r="AI41" s="8">
        <f t="shared" ref="AI41:AN41" si="108">AI15</f>
        <v>46590.543999999936</v>
      </c>
      <c r="AJ41" s="8">
        <f t="shared" si="108"/>
        <v>63743.619000000181</v>
      </c>
      <c r="AK41" s="8">
        <f t="shared" si="108"/>
        <v>61483.644000000029</v>
      </c>
      <c r="AL41" s="8">
        <f t="shared" si="108"/>
        <v>88690.916000000027</v>
      </c>
      <c r="AM41" s="8">
        <f t="shared" si="108"/>
        <v>85773.698000000033</v>
      </c>
      <c r="AN41" s="8">
        <f t="shared" si="108"/>
        <v>58426.427000000025</v>
      </c>
      <c r="AO41" s="8">
        <f t="shared" ref="AO41:AT41" si="109">AO15</f>
        <v>65288.773999999976</v>
      </c>
      <c r="AP41" s="8">
        <f t="shared" si="109"/>
        <v>546520.26399999997</v>
      </c>
      <c r="AQ41" s="8">
        <f t="shared" si="109"/>
        <v>103611.32500000001</v>
      </c>
      <c r="AR41" s="8">
        <f t="shared" si="109"/>
        <v>42188.313000000198</v>
      </c>
      <c r="AS41" s="8">
        <f t="shared" si="109"/>
        <v>6431.4959999999264</v>
      </c>
      <c r="AT41" s="8">
        <f t="shared" si="109"/>
        <v>66462.348999999929</v>
      </c>
      <c r="AU41" s="8">
        <f t="shared" ref="AU41:AZ41" si="110">AU15</f>
        <v>60557.047999999952</v>
      </c>
      <c r="AV41" s="8">
        <f t="shared" si="110"/>
        <v>116118.44700000004</v>
      </c>
      <c r="AW41" s="8">
        <f t="shared" si="110"/>
        <v>51836.701000000001</v>
      </c>
      <c r="AX41" s="8">
        <f t="shared" si="110"/>
        <v>57671.206000000006</v>
      </c>
      <c r="AY41" s="8">
        <f t="shared" si="110"/>
        <v>52336.513999999966</v>
      </c>
      <c r="AZ41" s="8">
        <f t="shared" si="110"/>
        <v>69008.173000000068</v>
      </c>
      <c r="BA41" s="8">
        <f>BA15</f>
        <v>50723.337000000058</v>
      </c>
      <c r="BB41" s="8">
        <f>BB15</f>
        <v>57759.949000000022</v>
      </c>
      <c r="BC41" s="8">
        <f>BC15</f>
        <v>70664.530000000028</v>
      </c>
      <c r="BD41" s="8">
        <f>BD15</f>
        <v>70705.668000000063</v>
      </c>
      <c r="BE41" s="8">
        <f>BE15</f>
        <v>63711.506000000052</v>
      </c>
    </row>
    <row r="42" spans="2:57">
      <c r="B42" s="7" t="s">
        <v>301</v>
      </c>
      <c r="C42" s="66">
        <v>243380.72500000001</v>
      </c>
      <c r="D42" s="66">
        <v>275741.49400000001</v>
      </c>
      <c r="E42" s="66">
        <v>310385.413</v>
      </c>
      <c r="F42" s="66">
        <v>319717.36300000001</v>
      </c>
      <c r="G42" s="66">
        <v>336017.48200000002</v>
      </c>
      <c r="H42" s="66">
        <v>426494.587</v>
      </c>
      <c r="I42" s="66">
        <v>471762.853</v>
      </c>
      <c r="J42" s="66">
        <v>478077.57299999997</v>
      </c>
      <c r="K42" s="66">
        <v>524404.21799999999</v>
      </c>
      <c r="L42" s="66">
        <v>512992.83100000001</v>
      </c>
      <c r="M42" s="66">
        <v>557760.30700000003</v>
      </c>
      <c r="N42" s="66">
        <v>585619.61199999996</v>
      </c>
      <c r="O42" s="96">
        <f>SUM(BB42:BE42)</f>
        <v>592543.14099999995</v>
      </c>
      <c r="P42" s="6"/>
      <c r="Q42" s="66">
        <v>73974.41</v>
      </c>
      <c r="R42" s="66">
        <f>148788.867-Q42</f>
        <v>74814.456999999995</v>
      </c>
      <c r="S42" s="66">
        <f>224660.177-SUM(Q42:R42)</f>
        <v>75871.31</v>
      </c>
      <c r="T42" s="6">
        <f>E42-SUM(Q42:S42)</f>
        <v>85725.236000000004</v>
      </c>
      <c r="U42" s="66">
        <v>78757.047000000006</v>
      </c>
      <c r="V42" s="66">
        <f>158752.268-U42</f>
        <v>79995.221000000005</v>
      </c>
      <c r="W42" s="66">
        <f>238591.082-SUM(U42:V42)</f>
        <v>79838.813999999984</v>
      </c>
      <c r="X42" s="6">
        <f>F42-SUM(U42:W42)</f>
        <v>81126.281000000017</v>
      </c>
      <c r="Y42" s="66">
        <v>82362.654999999999</v>
      </c>
      <c r="Z42" s="66">
        <f>166100.984-Y42</f>
        <v>83738.328999999998</v>
      </c>
      <c r="AA42" s="66">
        <f>250942.805-SUM(Y42:Z42)</f>
        <v>84841.820999999996</v>
      </c>
      <c r="AB42" s="6">
        <f>G42-SUM(Y42:AA42)</f>
        <v>85074.677000000025</v>
      </c>
      <c r="AC42" s="66">
        <v>102088.16499999999</v>
      </c>
      <c r="AD42" s="66">
        <f>206851.644-AC42</f>
        <v>104763.47900000001</v>
      </c>
      <c r="AE42" s="66">
        <f>315077.947-SUM(AC42:AD42)</f>
        <v>108226.30299999999</v>
      </c>
      <c r="AF42" s="6">
        <f>H42-SUM(AC42:AE42)</f>
        <v>111416.64000000001</v>
      </c>
      <c r="AG42" s="66">
        <v>116596.81</v>
      </c>
      <c r="AH42" s="66">
        <f>234183.773-AG42</f>
        <v>117586.96299999999</v>
      </c>
      <c r="AI42" s="66">
        <f>352256.697-SUM(AG42:AH42)</f>
        <v>118072.924</v>
      </c>
      <c r="AJ42" s="6">
        <f>I42-SUM(AG42:AI42)</f>
        <v>119506.15600000002</v>
      </c>
      <c r="AK42" s="66">
        <v>116113.265</v>
      </c>
      <c r="AL42" s="66">
        <f>231725.243-AK42</f>
        <v>115611.97799999999</v>
      </c>
      <c r="AM42" s="66">
        <f>349893.458-SUM(AK42:AL42)</f>
        <v>118168.215</v>
      </c>
      <c r="AN42" s="6">
        <f>J42-SUM(AK42:AM42)</f>
        <v>128184.11499999999</v>
      </c>
      <c r="AO42" s="66">
        <v>124298.235</v>
      </c>
      <c r="AP42" s="66">
        <f>264572.517-AO42</f>
        <v>140274.28200000001</v>
      </c>
      <c r="AQ42" s="66">
        <f>391141.616-SUM(AO42:AP42)</f>
        <v>126569.09899999999</v>
      </c>
      <c r="AR42" s="6">
        <f>K42-SUM(AO42:AQ42)</f>
        <v>133262.60200000001</v>
      </c>
      <c r="AS42" s="66">
        <v>125691.762</v>
      </c>
      <c r="AT42" s="66">
        <f>252462.754-AS42</f>
        <v>126770.99199999998</v>
      </c>
      <c r="AU42" s="66">
        <f>382058.243-SUM(AS42:AT42)</f>
        <v>129595.48900000003</v>
      </c>
      <c r="AV42" s="6">
        <f>L42-SUM(AS42:AU42)</f>
        <v>130934.58799999999</v>
      </c>
      <c r="AW42" s="66">
        <v>135933.67499999999</v>
      </c>
      <c r="AX42" s="66">
        <f>278199.116-AW42</f>
        <v>142265.44099999999</v>
      </c>
      <c r="AY42" s="66">
        <f>420571.122-SUM(AW42:AX42)</f>
        <v>142372.00599999999</v>
      </c>
      <c r="AZ42" s="6">
        <f>M42-SUM(AW42:AY42)</f>
        <v>137189.18500000006</v>
      </c>
      <c r="BA42" s="66">
        <v>142842.06099999999</v>
      </c>
      <c r="BB42" s="66">
        <f>287730.669-BA42</f>
        <v>144888.60800000001</v>
      </c>
      <c r="BC42" s="66">
        <f>430692.527-SUM(BA42:BB42)</f>
        <v>142961.85800000001</v>
      </c>
      <c r="BD42" s="6">
        <f>N42-SUM(BA42:BC42)</f>
        <v>154927.08499999996</v>
      </c>
      <c r="BE42" s="66">
        <v>149765.59</v>
      </c>
    </row>
    <row r="43" spans="2:57" s="5" customFormat="1">
      <c r="B43" s="5" t="s">
        <v>299</v>
      </c>
      <c r="C43" s="8">
        <f t="shared" ref="C43:L43" si="111">SUM(C41:C42)</f>
        <v>425400.36499999964</v>
      </c>
      <c r="D43" s="8">
        <f t="shared" si="111"/>
        <v>356585.29299999989</v>
      </c>
      <c r="E43" s="8">
        <f t="shared" si="111"/>
        <v>424780.73400000023</v>
      </c>
      <c r="F43" s="8">
        <f t="shared" si="111"/>
        <v>437102.69900000014</v>
      </c>
      <c r="G43" s="8">
        <f t="shared" si="111"/>
        <v>426930.55299999978</v>
      </c>
      <c r="H43" s="8">
        <f t="shared" si="111"/>
        <v>770411.15599999996</v>
      </c>
      <c r="I43" s="8">
        <f t="shared" si="111"/>
        <v>684231.88900000032</v>
      </c>
      <c r="J43" s="8">
        <f t="shared" si="111"/>
        <v>772452.25800000003</v>
      </c>
      <c r="K43" s="8">
        <f t="shared" si="111"/>
        <v>1282012.8939999999</v>
      </c>
      <c r="L43" s="8">
        <f t="shared" si="111"/>
        <v>762562.17100000032</v>
      </c>
      <c r="M43" s="8">
        <f>SUM(M41:M42)</f>
        <v>788612.90100000007</v>
      </c>
      <c r="N43" s="8">
        <f>SUM(N41:N42)</f>
        <v>835473.09600000014</v>
      </c>
      <c r="O43" s="94">
        <f>SUM(O41:O42)</f>
        <v>855384.79399999988</v>
      </c>
      <c r="P43" s="6"/>
      <c r="Q43" s="8">
        <f t="shared" ref="Q43:Z43" si="112">SUM(Q41:Q42)</f>
        <v>109032.60300000009</v>
      </c>
      <c r="R43" s="8">
        <f t="shared" si="112"/>
        <v>98565.218999999925</v>
      </c>
      <c r="S43" s="8">
        <f t="shared" si="112"/>
        <v>105899.39000000007</v>
      </c>
      <c r="T43" s="8">
        <f t="shared" si="112"/>
        <v>111283.52199999997</v>
      </c>
      <c r="U43" s="8">
        <f t="shared" si="112"/>
        <v>109974.74999999999</v>
      </c>
      <c r="V43" s="8">
        <f t="shared" si="112"/>
        <v>98619.65700000005</v>
      </c>
      <c r="W43" s="8">
        <f t="shared" si="112"/>
        <v>112056.92500000013</v>
      </c>
      <c r="X43" s="8">
        <f t="shared" si="112"/>
        <v>116451.36699999997</v>
      </c>
      <c r="Y43" s="8">
        <f t="shared" si="112"/>
        <v>99341.715999999986</v>
      </c>
      <c r="Z43" s="8">
        <f t="shared" si="112"/>
        <v>94222.372000000061</v>
      </c>
      <c r="AA43" s="8">
        <f t="shared" ref="AA43:AF43" si="113">SUM(AA41:AA42)</f>
        <v>107107.78700000001</v>
      </c>
      <c r="AB43" s="8">
        <f t="shared" si="113"/>
        <v>126258.67799999978</v>
      </c>
      <c r="AC43" s="8">
        <f t="shared" si="113"/>
        <v>137804.83099999995</v>
      </c>
      <c r="AD43" s="8">
        <f t="shared" si="113"/>
        <v>137650.52699999994</v>
      </c>
      <c r="AE43" s="8">
        <f t="shared" si="113"/>
        <v>147397.44999999998</v>
      </c>
      <c r="AF43" s="8">
        <f t="shared" si="113"/>
        <v>347558.34799999988</v>
      </c>
      <c r="AG43" s="8">
        <f t="shared" ref="AG43:AM43" si="114">SUM(AG41:AG42)</f>
        <v>172697.34900000005</v>
      </c>
      <c r="AH43" s="8">
        <f t="shared" si="114"/>
        <v>163621.29699999996</v>
      </c>
      <c r="AI43" s="8">
        <f t="shared" si="114"/>
        <v>164663.46799999994</v>
      </c>
      <c r="AJ43" s="8">
        <f t="shared" si="114"/>
        <v>183249.7750000002</v>
      </c>
      <c r="AK43" s="8">
        <f t="shared" si="114"/>
        <v>177596.90900000004</v>
      </c>
      <c r="AL43" s="8">
        <f t="shared" si="114"/>
        <v>204302.89400000003</v>
      </c>
      <c r="AM43" s="8">
        <f t="shared" si="114"/>
        <v>203941.91300000003</v>
      </c>
      <c r="AN43" s="8">
        <f t="shared" ref="AN43:AS43" si="115">SUM(AN41:AN42)</f>
        <v>186610.54200000002</v>
      </c>
      <c r="AO43" s="8">
        <f t="shared" si="115"/>
        <v>189587.00899999996</v>
      </c>
      <c r="AP43" s="8">
        <f t="shared" si="115"/>
        <v>686794.54599999997</v>
      </c>
      <c r="AQ43" s="8">
        <f t="shared" si="115"/>
        <v>230180.424</v>
      </c>
      <c r="AR43" s="8">
        <f t="shared" si="115"/>
        <v>175450.91500000021</v>
      </c>
      <c r="AS43" s="8">
        <f t="shared" si="115"/>
        <v>132123.25799999991</v>
      </c>
      <c r="AT43" s="8">
        <f t="shared" ref="AT43:AY43" si="116">SUM(AT41:AT42)</f>
        <v>193233.3409999999</v>
      </c>
      <c r="AU43" s="8">
        <f t="shared" si="116"/>
        <v>190152.53699999998</v>
      </c>
      <c r="AV43" s="8">
        <f t="shared" si="116"/>
        <v>247053.03500000003</v>
      </c>
      <c r="AW43" s="8">
        <f t="shared" si="116"/>
        <v>187770.37599999999</v>
      </c>
      <c r="AX43" s="8">
        <f t="shared" si="116"/>
        <v>199936.647</v>
      </c>
      <c r="AY43" s="8">
        <f t="shared" si="116"/>
        <v>194708.51999999996</v>
      </c>
      <c r="AZ43" s="8">
        <f t="shared" ref="AZ43:BE43" si="117">SUM(AZ41:AZ42)</f>
        <v>206197.35800000012</v>
      </c>
      <c r="BA43" s="8">
        <f t="shared" si="117"/>
        <v>193565.39800000004</v>
      </c>
      <c r="BB43" s="8">
        <f t="shared" si="117"/>
        <v>202648.55700000003</v>
      </c>
      <c r="BC43" s="8">
        <f t="shared" si="117"/>
        <v>213626.38800000004</v>
      </c>
      <c r="BD43" s="8">
        <f t="shared" si="117"/>
        <v>225632.75300000003</v>
      </c>
      <c r="BE43" s="8">
        <f t="shared" si="117"/>
        <v>213477.09600000005</v>
      </c>
    </row>
    <row r="44" spans="2:57" s="35" customFormat="1">
      <c r="B44" s="18" t="s">
        <v>302</v>
      </c>
      <c r="C44" s="19"/>
      <c r="D44" s="19">
        <f t="shared" ref="D44:N44" si="118">+D43/C43-1</f>
        <v>-0.16176542772829972</v>
      </c>
      <c r="E44" s="19">
        <f t="shared" si="118"/>
        <v>0.19124580384755352</v>
      </c>
      <c r="F44" s="19">
        <f t="shared" si="118"/>
        <v>2.900782454036599E-2</v>
      </c>
      <c r="G44" s="19">
        <f t="shared" si="118"/>
        <v>-2.3271752893020525E-2</v>
      </c>
      <c r="H44" s="19">
        <f t="shared" si="118"/>
        <v>0.80453507153890746</v>
      </c>
      <c r="I44" s="19">
        <f t="shared" si="118"/>
        <v>-0.11186139547543061</v>
      </c>
      <c r="J44" s="19">
        <f t="shared" si="118"/>
        <v>0.12893343677526214</v>
      </c>
      <c r="K44" s="19">
        <f t="shared" si="118"/>
        <v>0.65966618742151417</v>
      </c>
      <c r="L44" s="19">
        <f t="shared" si="118"/>
        <v>-0.40518369622575701</v>
      </c>
      <c r="M44" s="19">
        <f t="shared" si="118"/>
        <v>3.4162106370733802E-2</v>
      </c>
      <c r="N44" s="19">
        <f t="shared" si="118"/>
        <v>5.9421035264042743E-2</v>
      </c>
      <c r="O44" s="247"/>
      <c r="P44" s="6"/>
      <c r="Q44" s="19"/>
      <c r="R44" s="19"/>
      <c r="S44" s="19"/>
      <c r="T44" s="19"/>
      <c r="U44" s="19">
        <f t="shared" ref="U44:BE44" si="119">+U43/Q43-1</f>
        <v>8.6409658586239502E-3</v>
      </c>
      <c r="V44" s="19">
        <f t="shared" si="119"/>
        <v>5.5230435799180633E-4</v>
      </c>
      <c r="W44" s="19">
        <f t="shared" si="119"/>
        <v>5.8145141345951723E-2</v>
      </c>
      <c r="X44" s="19">
        <f t="shared" si="119"/>
        <v>4.6438546400427549E-2</v>
      </c>
      <c r="Y44" s="19">
        <f t="shared" si="119"/>
        <v>-9.6686139318343578E-2</v>
      </c>
      <c r="Z44" s="19">
        <f t="shared" si="119"/>
        <v>-4.4588321778486706E-2</v>
      </c>
      <c r="AA44" s="19">
        <f t="shared" si="119"/>
        <v>-4.4166284234554154E-2</v>
      </c>
      <c r="AB44" s="19">
        <f>+AB43/X43-1</f>
        <v>8.4218083931980159E-2</v>
      </c>
      <c r="AC44" s="19">
        <f t="shared" si="119"/>
        <v>0.38717989328873648</v>
      </c>
      <c r="AD44" s="19">
        <f t="shared" si="119"/>
        <v>0.46091128973063689</v>
      </c>
      <c r="AE44" s="19">
        <f t="shared" si="119"/>
        <v>0.37615997985281835</v>
      </c>
      <c r="AF44" s="19">
        <f t="shared" si="119"/>
        <v>1.752748195256729</v>
      </c>
      <c r="AG44" s="19">
        <f t="shared" si="119"/>
        <v>0.2532024294561932</v>
      </c>
      <c r="AH44" s="19">
        <f t="shared" si="119"/>
        <v>0.18867178038482946</v>
      </c>
      <c r="AI44" s="19">
        <f t="shared" si="119"/>
        <v>0.1171391906712087</v>
      </c>
      <c r="AJ44" s="19">
        <f t="shared" si="119"/>
        <v>-0.47275104725725003</v>
      </c>
      <c r="AK44" s="19">
        <f>+AK43/AG43-1</f>
        <v>2.8370788714307427E-2</v>
      </c>
      <c r="AL44" s="19">
        <f t="shared" si="119"/>
        <v>0.24863265201962115</v>
      </c>
      <c r="AM44" s="19">
        <f t="shared" si="119"/>
        <v>0.23853770042059419</v>
      </c>
      <c r="AN44" s="19">
        <f t="shared" si="119"/>
        <v>1.8339815151204419E-2</v>
      </c>
      <c r="AO44" s="19">
        <f>+AO43/AK43-1</f>
        <v>6.7512999339419233E-2</v>
      </c>
      <c r="AP44" s="19">
        <f t="shared" si="119"/>
        <v>2.3616486411592383</v>
      </c>
      <c r="AQ44" s="19">
        <f t="shared" si="119"/>
        <v>0.12865678571917671</v>
      </c>
      <c r="AR44" s="19">
        <f t="shared" si="119"/>
        <v>-5.9801696519373504E-2</v>
      </c>
      <c r="AS44" s="19">
        <f>+AS43/AO43-1</f>
        <v>-0.30309962324475548</v>
      </c>
      <c r="AT44" s="19">
        <f t="shared" si="119"/>
        <v>-0.71864461923085821</v>
      </c>
      <c r="AU44" s="19">
        <f t="shared" si="119"/>
        <v>-0.17389787673690282</v>
      </c>
      <c r="AV44" s="19">
        <f t="shared" si="119"/>
        <v>0.40810342881369266</v>
      </c>
      <c r="AW44" s="19">
        <f>+AW43/AS43-1</f>
        <v>0.42117579328841637</v>
      </c>
      <c r="AX44" s="19">
        <f t="shared" si="119"/>
        <v>3.4690214252415696E-2</v>
      </c>
      <c r="AY44" s="19">
        <f t="shared" si="119"/>
        <v>2.3959622479293952E-2</v>
      </c>
      <c r="AZ44" s="19">
        <f t="shared" si="119"/>
        <v>-0.16537209105729023</v>
      </c>
      <c r="BA44" s="19">
        <f>+BA43/AW43-1</f>
        <v>3.0862280427025768E-2</v>
      </c>
      <c r="BB44" s="19">
        <f t="shared" si="119"/>
        <v>1.3563846551853054E-2</v>
      </c>
      <c r="BC44" s="19">
        <f t="shared" si="119"/>
        <v>9.715993938015699E-2</v>
      </c>
      <c r="BD44" s="19">
        <f t="shared" si="119"/>
        <v>9.425627558234706E-2</v>
      </c>
      <c r="BE44" s="19">
        <f t="shared" si="119"/>
        <v>0.10286806529336401</v>
      </c>
    </row>
    <row r="45" spans="2:57" s="35" customFormat="1">
      <c r="B45" s="18" t="s">
        <v>303</v>
      </c>
      <c r="C45" s="19">
        <f t="shared" ref="C45:AB45" si="120">C43/C7</f>
        <v>0.25660994545955712</v>
      </c>
      <c r="D45" s="19">
        <f t="shared" si="120"/>
        <v>0.19981102924629415</v>
      </c>
      <c r="E45" s="19">
        <f t="shared" si="120"/>
        <v>0.22743556266327505</v>
      </c>
      <c r="F45" s="19">
        <f t="shared" si="120"/>
        <v>0.22495454590130778</v>
      </c>
      <c r="G45" s="19">
        <f t="shared" si="120"/>
        <v>0.22315298559924915</v>
      </c>
      <c r="H45" s="19">
        <f t="shared" ref="H45:O45" si="121">H43/H7</f>
        <v>0.38933407890875288</v>
      </c>
      <c r="I45" s="19">
        <f t="shared" si="121"/>
        <v>0.32697000213268945</v>
      </c>
      <c r="J45" s="19">
        <f t="shared" si="121"/>
        <v>0.32067800583409917</v>
      </c>
      <c r="K45" s="19">
        <f t="shared" si="121"/>
        <v>0.50459382081157178</v>
      </c>
      <c r="L45" s="19">
        <f t="shared" si="121"/>
        <v>0.30826880445773802</v>
      </c>
      <c r="M45" s="19">
        <f>M43/M7</f>
        <v>0.29172913079775231</v>
      </c>
      <c r="N45" s="19">
        <f>N43/N7</f>
        <v>0.28273868328476348</v>
      </c>
      <c r="O45" s="247">
        <f t="shared" si="121"/>
        <v>0.28488293981218893</v>
      </c>
      <c r="P45" s="6"/>
      <c r="Q45" s="19">
        <f t="shared" si="120"/>
        <v>0.23730410059792609</v>
      </c>
      <c r="R45" s="19">
        <f t="shared" si="120"/>
        <v>0.21575617398716068</v>
      </c>
      <c r="S45" s="19">
        <f t="shared" si="120"/>
        <v>0.22632849011724981</v>
      </c>
      <c r="T45" s="19">
        <f t="shared" si="120"/>
        <v>0.2301642993679511</v>
      </c>
      <c r="U45" s="19">
        <f t="shared" si="120"/>
        <v>0.23220267787821794</v>
      </c>
      <c r="V45" s="19">
        <f t="shared" si="120"/>
        <v>0.20600233269313645</v>
      </c>
      <c r="W45" s="19">
        <f t="shared" si="120"/>
        <v>0.23349734134331923</v>
      </c>
      <c r="X45" s="19">
        <f t="shared" si="120"/>
        <v>0.22797017121772298</v>
      </c>
      <c r="Y45" s="19">
        <f t="shared" si="120"/>
        <v>0.21540695085580508</v>
      </c>
      <c r="Z45" s="19">
        <f t="shared" si="120"/>
        <v>0.20233468115288972</v>
      </c>
      <c r="AA45" s="19">
        <f t="shared" si="120"/>
        <v>0.22252721701112058</v>
      </c>
      <c r="AB45" s="19">
        <f t="shared" si="120"/>
        <v>0.25002092754105537</v>
      </c>
      <c r="AC45" s="19">
        <f t="shared" ref="AC45:AH45" si="122">AC43/AC7</f>
        <v>0.29223596366657106</v>
      </c>
      <c r="AD45" s="19">
        <f t="shared" si="122"/>
        <v>0.28518564669222429</v>
      </c>
      <c r="AE45" s="19">
        <f t="shared" si="122"/>
        <v>0.29713830501355376</v>
      </c>
      <c r="AF45" s="19">
        <f t="shared" si="122"/>
        <v>0.65761664973993295</v>
      </c>
      <c r="AG45" s="19">
        <f t="shared" si="122"/>
        <v>0.33635202450684065</v>
      </c>
      <c r="AH45" s="19">
        <f t="shared" si="122"/>
        <v>0.35753359686772451</v>
      </c>
      <c r="AI45" s="19">
        <f t="shared" ref="AI45:AN45" si="123">AI43/AI7</f>
        <v>0.30809617349000512</v>
      </c>
      <c r="AJ45" s="19">
        <f t="shared" si="123"/>
        <v>0.31212263720041883</v>
      </c>
      <c r="AK45" s="19">
        <f t="shared" si="123"/>
        <v>0.31842839062561634</v>
      </c>
      <c r="AL45" s="19">
        <f t="shared" si="123"/>
        <v>0.34529230925801629</v>
      </c>
      <c r="AM45" s="19">
        <f t="shared" si="123"/>
        <v>0.33531668315003832</v>
      </c>
      <c r="AN45" s="19">
        <f t="shared" si="123"/>
        <v>0.28656752071458619</v>
      </c>
      <c r="AO45" s="19">
        <f t="shared" ref="AO45:AT45" si="124">AO43/AO7</f>
        <v>0.29586653556051157</v>
      </c>
      <c r="AP45" s="19">
        <f t="shared" si="124"/>
        <v>1.0621157043333795</v>
      </c>
      <c r="AQ45" s="19">
        <f t="shared" si="124"/>
        <v>0.36960018128455679</v>
      </c>
      <c r="AR45" s="19">
        <f t="shared" si="124"/>
        <v>0.27827868781800608</v>
      </c>
      <c r="AS45" s="19">
        <f t="shared" si="124"/>
        <v>0.2196892850369068</v>
      </c>
      <c r="AT45" s="19">
        <f t="shared" si="124"/>
        <v>0.31822479993705227</v>
      </c>
      <c r="AU45" s="19">
        <f t="shared" ref="AU45:AZ45" si="125">AU43/AU7</f>
        <v>0.31492267232848398</v>
      </c>
      <c r="AV45" s="19">
        <f t="shared" si="125"/>
        <v>0.37361358303714093</v>
      </c>
      <c r="AW45" s="19">
        <f t="shared" si="125"/>
        <v>0.28899107102796068</v>
      </c>
      <c r="AX45" s="19">
        <f t="shared" si="125"/>
        <v>0.30262963941276577</v>
      </c>
      <c r="AY45" s="19">
        <f t="shared" si="125"/>
        <v>0.29520705200866254</v>
      </c>
      <c r="AZ45" s="19">
        <f t="shared" si="125"/>
        <v>0.28120566151057125</v>
      </c>
      <c r="BA45" s="19">
        <f>BA43/BA7</f>
        <v>0.27375165929030049</v>
      </c>
      <c r="BB45" s="19">
        <f>BB43/BB7</f>
        <v>0.28718530627578687</v>
      </c>
      <c r="BC45" s="19">
        <f>BC43/BC7</f>
        <v>0.29246379600672906</v>
      </c>
      <c r="BD45" s="19">
        <f>BD43/BD7</f>
        <v>0.27795076031102761</v>
      </c>
      <c r="BE45" s="19">
        <f>BE43/BE7</f>
        <v>0.28284962113084272</v>
      </c>
    </row>
    <row r="46" spans="2:57" s="35" customFormat="1">
      <c r="B46" s="48"/>
      <c r="C46" s="349"/>
      <c r="D46" s="349"/>
      <c r="E46" s="349"/>
      <c r="F46" s="349"/>
      <c r="G46" s="349"/>
      <c r="H46" s="349"/>
      <c r="I46" s="349"/>
      <c r="J46" s="349"/>
      <c r="K46" s="349"/>
      <c r="L46" s="349"/>
      <c r="M46" s="349"/>
      <c r="N46" s="349"/>
      <c r="O46" s="350"/>
      <c r="P46" s="6"/>
      <c r="Q46" s="349"/>
      <c r="R46" s="349"/>
      <c r="S46" s="349"/>
      <c r="T46" s="349"/>
      <c r="U46" s="349"/>
      <c r="V46" s="349"/>
      <c r="W46" s="349"/>
      <c r="X46" s="349"/>
      <c r="Y46" s="349"/>
      <c r="Z46" s="349"/>
      <c r="AA46" s="349"/>
      <c r="AB46" s="349"/>
      <c r="AC46" s="349"/>
      <c r="AD46" s="349"/>
      <c r="AE46" s="349"/>
      <c r="AF46" s="349"/>
      <c r="AG46" s="349"/>
      <c r="AH46" s="349"/>
      <c r="AI46" s="349"/>
      <c r="AJ46" s="349"/>
      <c r="AK46" s="349"/>
      <c r="AL46" s="349"/>
      <c r="AM46" s="349"/>
      <c r="AN46" s="349"/>
      <c r="AO46" s="349"/>
      <c r="AP46" s="349"/>
      <c r="AQ46" s="349"/>
      <c r="AR46" s="349"/>
      <c r="AS46" s="349"/>
      <c r="AT46" s="349"/>
      <c r="AU46" s="349"/>
      <c r="AV46" s="349"/>
      <c r="AW46" s="349"/>
      <c r="AX46" s="349"/>
      <c r="AY46" s="349"/>
      <c r="AZ46" s="349"/>
      <c r="BA46" s="349"/>
      <c r="BB46" s="349"/>
      <c r="BC46" s="349"/>
      <c r="BD46" s="349"/>
      <c r="BE46" s="349"/>
    </row>
    <row r="47" spans="2:57">
      <c r="B47" s="311" t="s">
        <v>304</v>
      </c>
      <c r="C47" s="312">
        <f t="shared" ref="C47:K47" si="126">C48-C43</f>
        <v>0</v>
      </c>
      <c r="D47" s="312">
        <f t="shared" si="126"/>
        <v>0</v>
      </c>
      <c r="E47" s="312">
        <f t="shared" si="126"/>
        <v>0</v>
      </c>
      <c r="F47" s="312">
        <f t="shared" si="126"/>
        <v>0</v>
      </c>
      <c r="G47" s="312">
        <f t="shared" si="126"/>
        <v>-9.5529999997816049</v>
      </c>
      <c r="H47" s="312">
        <f t="shared" si="126"/>
        <v>-0.15599999995902181</v>
      </c>
      <c r="I47" s="312">
        <f t="shared" si="126"/>
        <v>0</v>
      </c>
      <c r="J47" s="312">
        <f t="shared" si="126"/>
        <v>0</v>
      </c>
      <c r="K47" s="312">
        <f t="shared" si="126"/>
        <v>0.10600000014528632</v>
      </c>
      <c r="L47" s="312">
        <f>L48-L43</f>
        <v>0</v>
      </c>
      <c r="M47" s="312">
        <f>M48-M43</f>
        <v>0</v>
      </c>
      <c r="N47" s="312">
        <f>N48-N43</f>
        <v>0</v>
      </c>
      <c r="O47" s="313">
        <f>O48-O43</f>
        <v>0</v>
      </c>
      <c r="P47" s="6"/>
      <c r="Q47" s="312">
        <f>(E47-T47)/3</f>
        <v>-7.0666666676212728E-2</v>
      </c>
      <c r="R47" s="312">
        <f>(E47-T47)/3</f>
        <v>-7.0666666676212728E-2</v>
      </c>
      <c r="S47" s="312">
        <f>(E47-T47)/3</f>
        <v>-7.0666666676212728E-2</v>
      </c>
      <c r="T47" s="312">
        <f>T48-T43</f>
        <v>0.21200000002863817</v>
      </c>
      <c r="U47" s="312">
        <f>U48-U43</f>
        <v>0.25000000001455192</v>
      </c>
      <c r="V47" s="312">
        <f>V48-V43</f>
        <v>0.342999999949825</v>
      </c>
      <c r="W47" s="312">
        <f>W48-W43</f>
        <v>7.499999986612238E-2</v>
      </c>
      <c r="X47" s="312">
        <f t="shared" ref="X47:AC47" si="127">X48-X43</f>
        <v>-0.66799999994691461</v>
      </c>
      <c r="Y47" s="312">
        <f t="shared" si="127"/>
        <v>0.28400000001420267</v>
      </c>
      <c r="Z47" s="312">
        <f t="shared" si="127"/>
        <v>-0.37200000006123446</v>
      </c>
      <c r="AA47" s="312">
        <f t="shared" si="127"/>
        <v>0.21299999998882413</v>
      </c>
      <c r="AB47" s="312">
        <f t="shared" si="127"/>
        <v>-9.6779999997816049</v>
      </c>
      <c r="AC47" s="312">
        <f t="shared" si="127"/>
        <v>0.16900000005261973</v>
      </c>
      <c r="AD47" s="312">
        <f t="shared" ref="AD47:AI47" si="128">AD48-AD43</f>
        <v>0.47300000005634502</v>
      </c>
      <c r="AE47" s="312">
        <f t="shared" si="128"/>
        <v>-0.4499999999825377</v>
      </c>
      <c r="AF47" s="312">
        <f t="shared" si="128"/>
        <v>-0.34799999988172203</v>
      </c>
      <c r="AG47" s="312">
        <f t="shared" si="128"/>
        <v>-0.34900000004563481</v>
      </c>
      <c r="AH47" s="312">
        <f t="shared" si="128"/>
        <v>-0.29699999996228144</v>
      </c>
      <c r="AI47" s="312">
        <f t="shared" si="128"/>
        <v>-0.46799999993527308</v>
      </c>
      <c r="AJ47" s="312">
        <f t="shared" ref="AJ47:AP47" si="129">AJ48-AJ43</f>
        <v>1.1139999997685663</v>
      </c>
      <c r="AK47" s="312">
        <f t="shared" si="129"/>
        <v>9.09999999566935E-2</v>
      </c>
      <c r="AL47" s="312">
        <f t="shared" si="129"/>
        <v>0.10599999997066334</v>
      </c>
      <c r="AM47" s="312">
        <f t="shared" si="129"/>
        <v>8.6999999970430508E-2</v>
      </c>
      <c r="AN47" s="312">
        <f t="shared" si="129"/>
        <v>-0.28399999998509884</v>
      </c>
      <c r="AO47" s="312">
        <f t="shared" si="129"/>
        <v>-8.9999999618157744E-3</v>
      </c>
      <c r="AP47" s="312">
        <f t="shared" si="129"/>
        <v>0.45400000002700835</v>
      </c>
      <c r="AQ47" s="312">
        <f t="shared" ref="AQ47:AV47" si="130">AQ48-AQ43</f>
        <v>2999.5760000000009</v>
      </c>
      <c r="AR47" s="312">
        <f t="shared" si="130"/>
        <v>-2999.9150000002119</v>
      </c>
      <c r="AS47" s="312">
        <f t="shared" si="130"/>
        <v>-0.25799999991431832</v>
      </c>
      <c r="AT47" s="312">
        <f t="shared" si="130"/>
        <v>-0.34099999989848584</v>
      </c>
      <c r="AU47" s="312">
        <f t="shared" si="130"/>
        <v>0.46300000001792796</v>
      </c>
      <c r="AV47" s="312">
        <f t="shared" si="130"/>
        <v>0.13599999994039536</v>
      </c>
      <c r="AW47" s="312">
        <f t="shared" ref="AW47:BB47" si="131">AW48-AW43</f>
        <v>-0.37599999998928979</v>
      </c>
      <c r="AX47" s="312">
        <f t="shared" si="131"/>
        <v>0.35300000000279397</v>
      </c>
      <c r="AY47" s="312">
        <f t="shared" si="131"/>
        <v>0.48000000003958121</v>
      </c>
      <c r="AZ47" s="312">
        <f t="shared" si="131"/>
        <v>-0.45700000016950071</v>
      </c>
      <c r="BA47" s="312">
        <f t="shared" si="131"/>
        <v>0</v>
      </c>
      <c r="BB47" s="312">
        <f t="shared" si="131"/>
        <v>4.4999999983701855E-2</v>
      </c>
      <c r="BC47" s="312">
        <f>BC48-BC43</f>
        <v>-0.38800000003539026</v>
      </c>
      <c r="BD47" s="312">
        <f>BD48-BD43</f>
        <v>0.3430000000516884</v>
      </c>
      <c r="BE47" s="312">
        <f>BE48-BE43</f>
        <v>0</v>
      </c>
    </row>
    <row r="48" spans="2:57" s="5" customFormat="1">
      <c r="B48" s="5" t="s">
        <v>305</v>
      </c>
      <c r="C48" s="69">
        <f>C43</f>
        <v>425400.36499999964</v>
      </c>
      <c r="D48" s="69">
        <v>356585.29300000001</v>
      </c>
      <c r="E48" s="69">
        <v>424780.734</v>
      </c>
      <c r="F48" s="69">
        <v>437102.69900000002</v>
      </c>
      <c r="G48" s="69">
        <v>426921</v>
      </c>
      <c r="H48" s="69">
        <v>770411</v>
      </c>
      <c r="I48" s="69">
        <v>684231.88899999997</v>
      </c>
      <c r="J48" s="69">
        <v>772452.25800000003</v>
      </c>
      <c r="K48" s="69">
        <v>1282013</v>
      </c>
      <c r="L48" s="69">
        <v>762562.17099999997</v>
      </c>
      <c r="M48" s="69">
        <v>788612.90099999995</v>
      </c>
      <c r="N48" s="69">
        <v>835473.09600000002</v>
      </c>
      <c r="O48" s="94">
        <f>SUM(BB48:BE48)</f>
        <v>855384.79400000011</v>
      </c>
      <c r="P48" s="6"/>
      <c r="Q48" s="102">
        <v>109033</v>
      </c>
      <c r="R48" s="102">
        <v>98565</v>
      </c>
      <c r="S48" s="102">
        <v>105899</v>
      </c>
      <c r="T48" s="74">
        <f>+E48-S48-R48-Q48</f>
        <v>111283.734</v>
      </c>
      <c r="U48" s="102">
        <v>109975</v>
      </c>
      <c r="V48" s="102">
        <v>98620</v>
      </c>
      <c r="W48" s="102">
        <v>112057</v>
      </c>
      <c r="X48" s="74">
        <f>F48-W48-V48-U48</f>
        <v>116450.69900000002</v>
      </c>
      <c r="Y48" s="102">
        <v>99342</v>
      </c>
      <c r="Z48" s="102">
        <v>94222</v>
      </c>
      <c r="AA48" s="102">
        <v>107108</v>
      </c>
      <c r="AB48" s="74">
        <f>G48-AA48-Z48-Y48</f>
        <v>126249</v>
      </c>
      <c r="AC48" s="102">
        <v>137805</v>
      </c>
      <c r="AD48" s="102">
        <v>137651</v>
      </c>
      <c r="AE48" s="102">
        <v>147397</v>
      </c>
      <c r="AF48" s="94">
        <f>H48-AE48-AD48-AC48</f>
        <v>347558</v>
      </c>
      <c r="AG48" s="102">
        <v>172697</v>
      </c>
      <c r="AH48" s="102">
        <v>163621</v>
      </c>
      <c r="AI48" s="102">
        <v>164663</v>
      </c>
      <c r="AJ48" s="94">
        <f>I48-AI48-AH48-AG48</f>
        <v>183250.88899999997</v>
      </c>
      <c r="AK48" s="102">
        <v>177597</v>
      </c>
      <c r="AL48" s="102">
        <v>204303</v>
      </c>
      <c r="AM48" s="102">
        <v>203942</v>
      </c>
      <c r="AN48" s="94">
        <f>J48-AM48-AL48-AK48</f>
        <v>186610.25800000003</v>
      </c>
      <c r="AO48" s="102">
        <v>189587</v>
      </c>
      <c r="AP48" s="102">
        <v>686795</v>
      </c>
      <c r="AQ48" s="102">
        <v>233180</v>
      </c>
      <c r="AR48" s="94">
        <f>K48-AO48-AP48-AQ48</f>
        <v>172451</v>
      </c>
      <c r="AS48" s="102">
        <v>132123</v>
      </c>
      <c r="AT48" s="102">
        <v>193233</v>
      </c>
      <c r="AU48" s="102">
        <v>190153</v>
      </c>
      <c r="AV48" s="94">
        <f>L48-AS48-AT48-AU48</f>
        <v>247053.17099999997</v>
      </c>
      <c r="AW48" s="102">
        <v>187770</v>
      </c>
      <c r="AX48" s="102">
        <v>199937</v>
      </c>
      <c r="AY48" s="102">
        <v>194709</v>
      </c>
      <c r="AZ48" s="94">
        <f>M48-AW48-AX48-AY48</f>
        <v>206196.90099999995</v>
      </c>
      <c r="BA48" s="102">
        <v>193565.39799999999</v>
      </c>
      <c r="BB48" s="102">
        <f>396214-BA48</f>
        <v>202648.60200000001</v>
      </c>
      <c r="BC48" s="102">
        <v>213626</v>
      </c>
      <c r="BD48" s="94">
        <f>N48-BA48-BB48-BC48</f>
        <v>225633.09600000008</v>
      </c>
      <c r="BE48" s="102">
        <v>213477.09599999999</v>
      </c>
    </row>
    <row r="49" spans="2:57" s="35" customFormat="1">
      <c r="B49" s="18" t="s">
        <v>302</v>
      </c>
      <c r="C49" s="64"/>
      <c r="D49" s="19">
        <f t="shared" ref="D49:N49" si="132">+D48/C48-1</f>
        <v>-0.16176542772829938</v>
      </c>
      <c r="E49" s="19">
        <f t="shared" si="132"/>
        <v>0.19124580384755241</v>
      </c>
      <c r="F49" s="19">
        <f t="shared" si="132"/>
        <v>2.9007824540366434E-2</v>
      </c>
      <c r="G49" s="19">
        <f t="shared" si="132"/>
        <v>-2.3293608168729274E-2</v>
      </c>
      <c r="H49" s="19">
        <f t="shared" si="132"/>
        <v>0.80457508532023492</v>
      </c>
      <c r="I49" s="19">
        <f t="shared" si="132"/>
        <v>-0.11186121563684848</v>
      </c>
      <c r="J49" s="19">
        <f t="shared" si="132"/>
        <v>0.12893343677526281</v>
      </c>
      <c r="K49" s="19">
        <f t="shared" si="132"/>
        <v>0.65966632464682351</v>
      </c>
      <c r="L49" s="19">
        <f t="shared" si="132"/>
        <v>-0.40518374540663782</v>
      </c>
      <c r="M49" s="19">
        <f t="shared" si="132"/>
        <v>3.4162106370734246E-2</v>
      </c>
      <c r="N49" s="19">
        <f t="shared" si="132"/>
        <v>5.9421035264042743E-2</v>
      </c>
      <c r="O49" s="250"/>
      <c r="P49" s="6"/>
      <c r="Q49" s="19"/>
      <c r="R49" s="19"/>
      <c r="S49" s="19"/>
      <c r="T49" s="19"/>
      <c r="U49" s="19">
        <f t="shared" ref="U49:BE49" si="133">+U48/Q48-1</f>
        <v>8.6395861803307827E-3</v>
      </c>
      <c r="V49" s="19">
        <f t="shared" si="133"/>
        <v>5.5800740628009216E-4</v>
      </c>
      <c r="W49" s="19">
        <f t="shared" si="133"/>
        <v>5.8149746456529261E-2</v>
      </c>
      <c r="X49" s="19">
        <f t="shared" si="133"/>
        <v>4.6430550218597322E-2</v>
      </c>
      <c r="Y49" s="19">
        <f t="shared" si="133"/>
        <v>-9.6685610365992325E-2</v>
      </c>
      <c r="Z49" s="19">
        <f t="shared" si="133"/>
        <v>-4.4595416751166073E-2</v>
      </c>
      <c r="AA49" s="19">
        <f t="shared" si="133"/>
        <v>-4.4165023157857197E-2</v>
      </c>
      <c r="AB49" s="19">
        <f>+AB48/X48-1</f>
        <v>8.4141195236620892E-2</v>
      </c>
      <c r="AC49" s="19">
        <f t="shared" si="133"/>
        <v>0.38717762879748752</v>
      </c>
      <c r="AD49" s="19">
        <f t="shared" si="133"/>
        <v>0.46092207764640958</v>
      </c>
      <c r="AE49" s="19">
        <f t="shared" si="133"/>
        <v>0.37615304178959552</v>
      </c>
      <c r="AF49" s="19">
        <f t="shared" si="133"/>
        <v>1.7529564590610618</v>
      </c>
      <c r="AG49" s="19">
        <f t="shared" si="133"/>
        <v>0.25319836000145135</v>
      </c>
      <c r="AH49" s="19">
        <f t="shared" si="133"/>
        <v>0.18866553820894882</v>
      </c>
      <c r="AI49" s="19">
        <f t="shared" si="133"/>
        <v>0.11713942617556672</v>
      </c>
      <c r="AJ49" s="19">
        <f t="shared" si="133"/>
        <v>-0.47274731411735604</v>
      </c>
      <c r="AK49" s="19">
        <f t="shared" si="133"/>
        <v>2.8373393863240226E-2</v>
      </c>
      <c r="AL49" s="19">
        <f t="shared" si="133"/>
        <v>0.24863556633928408</v>
      </c>
      <c r="AM49" s="19">
        <f t="shared" si="133"/>
        <v>0.23854174890534008</v>
      </c>
      <c r="AN49" s="19">
        <f t="shared" si="133"/>
        <v>1.8332074776456153E-2</v>
      </c>
      <c r="AO49" s="19">
        <f t="shared" si="133"/>
        <v>6.7512401673451627E-2</v>
      </c>
      <c r="AP49" s="19">
        <f t="shared" si="133"/>
        <v>2.3616491192004032</v>
      </c>
      <c r="AQ49" s="19">
        <f t="shared" si="133"/>
        <v>0.14336428984711347</v>
      </c>
      <c r="AR49" s="19">
        <f t="shared" si="133"/>
        <v>-7.5876096800638004E-2</v>
      </c>
      <c r="AS49" s="19">
        <f t="shared" si="133"/>
        <v>-0.30310095101457379</v>
      </c>
      <c r="AT49" s="19">
        <f t="shared" si="133"/>
        <v>-0.71864530172758978</v>
      </c>
      <c r="AU49" s="19">
        <f t="shared" si="133"/>
        <v>-0.18452268633673552</v>
      </c>
      <c r="AV49" s="19">
        <f t="shared" si="133"/>
        <v>0.43259923688468005</v>
      </c>
      <c r="AW49" s="19">
        <f t="shared" si="133"/>
        <v>0.42117572262210223</v>
      </c>
      <c r="AX49" s="19">
        <f t="shared" si="133"/>
        <v>3.469386698959287E-2</v>
      </c>
      <c r="AY49" s="19">
        <f t="shared" si="133"/>
        <v>2.3959653542147574E-2</v>
      </c>
      <c r="AZ49" s="19">
        <f t="shared" si="133"/>
        <v>-0.16537440031482142</v>
      </c>
      <c r="BA49" s="19">
        <f t="shared" si="133"/>
        <v>3.0864344676998279E-2</v>
      </c>
      <c r="BB49" s="19">
        <f t="shared" si="133"/>
        <v>1.3562282118867452E-2</v>
      </c>
      <c r="BC49" s="19">
        <f t="shared" si="133"/>
        <v>9.7155241925129365E-2</v>
      </c>
      <c r="BD49" s="19">
        <f t="shared" si="133"/>
        <v>9.4260364271915753E-2</v>
      </c>
      <c r="BE49" s="19">
        <f t="shared" si="133"/>
        <v>0.10286806529336401</v>
      </c>
    </row>
    <row r="50" spans="2:57" s="35" customFormat="1">
      <c r="B50" s="18" t="s">
        <v>303</v>
      </c>
      <c r="C50" s="19">
        <f t="shared" ref="C50:AB50" si="134">C48/C7</f>
        <v>0.25660994545955712</v>
      </c>
      <c r="D50" s="19">
        <f t="shared" si="134"/>
        <v>0.19981102924629424</v>
      </c>
      <c r="E50" s="19">
        <f t="shared" si="134"/>
        <v>0.22743556266327494</v>
      </c>
      <c r="F50" s="19">
        <f t="shared" si="134"/>
        <v>0.22495454590130773</v>
      </c>
      <c r="G50" s="19">
        <f t="shared" si="134"/>
        <v>0.22314799232702628</v>
      </c>
      <c r="H50" s="19">
        <f t="shared" ref="H50:O50" si="135">H48/H7</f>
        <v>0.38933400007277574</v>
      </c>
      <c r="I50" s="19">
        <f t="shared" si="135"/>
        <v>0.32697000213268929</v>
      </c>
      <c r="J50" s="19">
        <f t="shared" si="135"/>
        <v>0.32067800583409917</v>
      </c>
      <c r="K50" s="19">
        <f t="shared" si="135"/>
        <v>0.50459386253263816</v>
      </c>
      <c r="L50" s="19">
        <f t="shared" si="135"/>
        <v>0.30826880445773791</v>
      </c>
      <c r="M50" s="19">
        <f>M48/M7</f>
        <v>0.29172913079775231</v>
      </c>
      <c r="N50" s="19">
        <f>N48/N7</f>
        <v>0.28273868328476348</v>
      </c>
      <c r="O50" s="250">
        <f t="shared" si="135"/>
        <v>0.28488293981218898</v>
      </c>
      <c r="P50" s="324"/>
      <c r="Q50" s="19">
        <f t="shared" si="134"/>
        <v>0.23730496464891013</v>
      </c>
      <c r="R50" s="19">
        <f t="shared" si="134"/>
        <v>0.21575569460302735</v>
      </c>
      <c r="S50" s="19">
        <f t="shared" si="134"/>
        <v>0.22632765660809398</v>
      </c>
      <c r="T50" s="19">
        <f t="shared" si="134"/>
        <v>0.23016473784105651</v>
      </c>
      <c r="U50" s="19">
        <f t="shared" si="134"/>
        <v>0.23220320573274339</v>
      </c>
      <c r="V50" s="19">
        <f t="shared" si="134"/>
        <v>0.20600304917098938</v>
      </c>
      <c r="W50" s="19">
        <f t="shared" si="134"/>
        <v>0.23349749762371483</v>
      </c>
      <c r="X50" s="19">
        <f t="shared" si="134"/>
        <v>0.22796886351238396</v>
      </c>
      <c r="Y50" s="19">
        <f t="shared" si="134"/>
        <v>0.21540756666532107</v>
      </c>
      <c r="Z50" s="19">
        <f t="shared" si="134"/>
        <v>0.20233388231393246</v>
      </c>
      <c r="AA50" s="19">
        <f t="shared" si="134"/>
        <v>0.22252765954007714</v>
      </c>
      <c r="AB50" s="19">
        <f t="shared" si="134"/>
        <v>0.25000176289768183</v>
      </c>
      <c r="AC50" s="19">
        <f t="shared" ref="AC50:AH50" si="136">AC48/AC7</f>
        <v>0.29223632205660366</v>
      </c>
      <c r="AD50" s="19">
        <f t="shared" si="136"/>
        <v>0.28518662665803951</v>
      </c>
      <c r="AE50" s="19">
        <f t="shared" si="136"/>
        <v>0.29713739785920845</v>
      </c>
      <c r="AF50" s="19">
        <f t="shared" si="136"/>
        <v>0.65761599128763182</v>
      </c>
      <c r="AG50" s="19">
        <f t="shared" si="136"/>
        <v>0.33635134478096618</v>
      </c>
      <c r="AH50" s="19">
        <f t="shared" si="136"/>
        <v>0.35753294788449191</v>
      </c>
      <c r="AI50" s="19">
        <f t="shared" ref="AI50:AN50" si="137">AI48/AI7</f>
        <v>0.30809529783123929</v>
      </c>
      <c r="AJ50" s="19">
        <f t="shared" si="137"/>
        <v>0.31212453463586054</v>
      </c>
      <c r="AK50" s="19">
        <f t="shared" si="137"/>
        <v>0.31842855378714713</v>
      </c>
      <c r="AL50" s="19">
        <f t="shared" si="137"/>
        <v>0.3452924884086101</v>
      </c>
      <c r="AM50" s="19">
        <f t="shared" si="137"/>
        <v>0.33531682619347158</v>
      </c>
      <c r="AN50" s="19">
        <f t="shared" si="137"/>
        <v>0.28656708459144437</v>
      </c>
      <c r="AO50" s="19">
        <f t="shared" ref="AO50:AT50" si="138">AO48/AO7</f>
        <v>0.29586652151525172</v>
      </c>
      <c r="AP50" s="19">
        <f t="shared" si="138"/>
        <v>1.0621164064364066</v>
      </c>
      <c r="AQ50" s="19">
        <f t="shared" si="138"/>
        <v>0.3744165936193295</v>
      </c>
      <c r="AR50" s="19">
        <f t="shared" si="138"/>
        <v>0.27352059117447697</v>
      </c>
      <c r="AS50" s="19">
        <f t="shared" si="138"/>
        <v>0.2196888560447946</v>
      </c>
      <c r="AT50" s="19">
        <f t="shared" si="138"/>
        <v>0.31822423836389835</v>
      </c>
      <c r="AU50" s="19">
        <f t="shared" ref="AU50:AZ50" si="139">AU48/AU7</f>
        <v>0.31492343912970361</v>
      </c>
      <c r="AV50" s="19">
        <f t="shared" si="139"/>
        <v>0.37361378870734158</v>
      </c>
      <c r="AW50" s="19">
        <f t="shared" si="139"/>
        <v>0.28899049233900548</v>
      </c>
      <c r="AX50" s="19">
        <f t="shared" si="139"/>
        <v>0.30263017372333023</v>
      </c>
      <c r="AY50" s="19">
        <f t="shared" si="139"/>
        <v>0.29520777975999551</v>
      </c>
      <c r="AZ50" s="19">
        <f t="shared" si="139"/>
        <v>0.28120503826792348</v>
      </c>
      <c r="BA50" s="19">
        <f>BA48/BA7</f>
        <v>0.27375165929030043</v>
      </c>
      <c r="BB50" s="19">
        <f>BB48/BB7</f>
        <v>0.28718537004795958</v>
      </c>
      <c r="BC50" s="19">
        <f>BC48/BC7</f>
        <v>0.29246326481789081</v>
      </c>
      <c r="BD50" s="19">
        <f>BD48/BD7</f>
        <v>0.27795118284325987</v>
      </c>
      <c r="BE50" s="19">
        <f>BE48/BE7</f>
        <v>0.28284962113084267</v>
      </c>
    </row>
    <row r="51" spans="2:57" s="5" customFormat="1" outlineLevel="1">
      <c r="B51" s="317" t="s">
        <v>305</v>
      </c>
      <c r="C51" s="332">
        <f>C48</f>
        <v>425400.36499999964</v>
      </c>
      <c r="D51" s="332">
        <f>D48</f>
        <v>356585.29300000001</v>
      </c>
      <c r="E51" s="332">
        <f>E48</f>
        <v>424780.734</v>
      </c>
      <c r="F51" s="332">
        <f>F48</f>
        <v>437102.69900000002</v>
      </c>
      <c r="G51" s="332">
        <f>G48</f>
        <v>426921</v>
      </c>
      <c r="H51" s="332">
        <v>687180</v>
      </c>
      <c r="I51" s="332">
        <f t="shared" ref="I51:O51" si="140">I48</f>
        <v>684231.88899999997</v>
      </c>
      <c r="J51" s="332">
        <f t="shared" si="140"/>
        <v>772452.25800000003</v>
      </c>
      <c r="K51" s="332">
        <f t="shared" si="140"/>
        <v>1282013</v>
      </c>
      <c r="L51" s="332">
        <f t="shared" si="140"/>
        <v>762562.17099999997</v>
      </c>
      <c r="M51" s="332">
        <f t="shared" si="140"/>
        <v>788612.90099999995</v>
      </c>
      <c r="N51" s="332">
        <f>N48</f>
        <v>835473.09600000002</v>
      </c>
      <c r="O51" s="332">
        <f t="shared" si="140"/>
        <v>855384.79400000011</v>
      </c>
      <c r="P51" s="8"/>
      <c r="Q51" s="200">
        <v>109033</v>
      </c>
      <c r="R51" s="200">
        <v>98565</v>
      </c>
      <c r="S51" s="200">
        <v>105899</v>
      </c>
      <c r="T51" s="200">
        <f>+E51-S51-R51-Q51</f>
        <v>111283.734</v>
      </c>
      <c r="U51" s="200">
        <v>109975</v>
      </c>
      <c r="V51" s="200">
        <v>98620</v>
      </c>
      <c r="W51" s="200">
        <v>112057</v>
      </c>
      <c r="X51" s="200">
        <f>F51-W51-V51-U51</f>
        <v>116450.69900000002</v>
      </c>
      <c r="Y51" s="199">
        <f>Y48</f>
        <v>99342</v>
      </c>
      <c r="Z51" s="199">
        <f>Z48</f>
        <v>94222</v>
      </c>
      <c r="AA51" s="199">
        <f>AA48</f>
        <v>107108</v>
      </c>
      <c r="AB51" s="200">
        <f>G51-AA51-Z51-Y51</f>
        <v>126249</v>
      </c>
      <c r="AC51" s="201">
        <v>118091</v>
      </c>
      <c r="AD51" s="201">
        <v>116911</v>
      </c>
      <c r="AE51" s="201">
        <v>126772</v>
      </c>
      <c r="AF51" s="201">
        <f>H51-AE51-AD51-AC51</f>
        <v>325406</v>
      </c>
      <c r="AG51" s="230"/>
      <c r="AH51" s="230"/>
      <c r="AI51" s="230"/>
      <c r="AJ51" s="230"/>
      <c r="AK51" s="230"/>
      <c r="AL51" s="230"/>
      <c r="AM51" s="230"/>
      <c r="AN51" s="230"/>
      <c r="AO51" s="230"/>
      <c r="AP51" s="230"/>
      <c r="AQ51" s="230"/>
      <c r="AR51" s="230"/>
      <c r="AS51" s="230"/>
      <c r="AT51" s="230"/>
      <c r="AU51" s="230"/>
      <c r="AV51" s="230"/>
      <c r="AW51" s="314"/>
      <c r="AX51" s="314"/>
      <c r="AY51" s="314"/>
      <c r="AZ51" s="314"/>
      <c r="BA51" s="314"/>
      <c r="BB51" s="314"/>
      <c r="BC51" s="314"/>
      <c r="BD51" s="314"/>
      <c r="BE51" s="314"/>
    </row>
    <row r="52" spans="2:57" s="35" customFormat="1" outlineLevel="1">
      <c r="B52" s="18" t="s">
        <v>302</v>
      </c>
      <c r="C52" s="64"/>
      <c r="D52" s="19">
        <f t="shared" ref="D52:N52" si="141">+D51/C51-1</f>
        <v>-0.16176542772829938</v>
      </c>
      <c r="E52" s="19">
        <f t="shared" si="141"/>
        <v>0.19124580384755241</v>
      </c>
      <c r="F52" s="19">
        <f t="shared" si="141"/>
        <v>2.9007824540366434E-2</v>
      </c>
      <c r="G52" s="19">
        <f t="shared" si="141"/>
        <v>-2.3293608168729274E-2</v>
      </c>
      <c r="H52" s="19">
        <f t="shared" si="141"/>
        <v>0.60961864138798516</v>
      </c>
      <c r="I52" s="19">
        <f t="shared" si="141"/>
        <v>-4.2901583282400901E-3</v>
      </c>
      <c r="J52" s="19">
        <f t="shared" si="141"/>
        <v>0.12893343677526281</v>
      </c>
      <c r="K52" s="19">
        <f t="shared" si="141"/>
        <v>0.65966632464682351</v>
      </c>
      <c r="L52" s="19">
        <f t="shared" si="141"/>
        <v>-0.40518374540663782</v>
      </c>
      <c r="M52" s="19">
        <f t="shared" si="141"/>
        <v>3.4162106370734246E-2</v>
      </c>
      <c r="N52" s="19">
        <f t="shared" si="141"/>
        <v>5.9421035264042743E-2</v>
      </c>
      <c r="O52" s="250"/>
      <c r="P52" s="324"/>
      <c r="Q52" s="19"/>
      <c r="R52" s="19"/>
      <c r="S52" s="19"/>
      <c r="T52" s="19"/>
      <c r="U52" s="19">
        <f t="shared" ref="U52:AF52" si="142">+U51/Q51-1</f>
        <v>8.6395861803307827E-3</v>
      </c>
      <c r="V52" s="19">
        <f t="shared" si="142"/>
        <v>5.5800740628009216E-4</v>
      </c>
      <c r="W52" s="19">
        <f t="shared" si="142"/>
        <v>5.8149746456529261E-2</v>
      </c>
      <c r="X52" s="19">
        <f t="shared" si="142"/>
        <v>4.6430550218597322E-2</v>
      </c>
      <c r="Y52" s="19">
        <f t="shared" si="142"/>
        <v>-9.6685610365992325E-2</v>
      </c>
      <c r="Z52" s="19">
        <f t="shared" si="142"/>
        <v>-4.4595416751166073E-2</v>
      </c>
      <c r="AA52" s="19">
        <f t="shared" si="142"/>
        <v>-4.4165023157857197E-2</v>
      </c>
      <c r="AB52" s="19">
        <f t="shared" si="142"/>
        <v>8.4141195236620892E-2</v>
      </c>
      <c r="AC52" s="19">
        <f t="shared" si="142"/>
        <v>0.18873185560991312</v>
      </c>
      <c r="AD52" s="19">
        <f t="shared" si="142"/>
        <v>0.24080363397083482</v>
      </c>
      <c r="AE52" s="19">
        <f t="shared" si="142"/>
        <v>0.18359039474175609</v>
      </c>
      <c r="AF52" s="19">
        <f t="shared" si="142"/>
        <v>1.577493683118282</v>
      </c>
      <c r="AG52" s="231"/>
      <c r="AH52" s="231"/>
      <c r="AI52" s="231"/>
      <c r="AJ52" s="231"/>
      <c r="AK52" s="231"/>
      <c r="AL52" s="231"/>
      <c r="AM52" s="231"/>
      <c r="AN52" s="231"/>
      <c r="AO52" s="231"/>
      <c r="AP52" s="231"/>
      <c r="AQ52" s="231"/>
      <c r="AR52" s="231"/>
      <c r="AS52" s="231"/>
      <c r="AT52" s="231"/>
      <c r="AU52" s="231"/>
      <c r="AV52" s="231"/>
      <c r="AW52" s="19"/>
      <c r="AX52" s="19"/>
      <c r="AY52" s="19"/>
      <c r="AZ52" s="19"/>
      <c r="BA52" s="19"/>
      <c r="BB52" s="19"/>
      <c r="BC52" s="19"/>
      <c r="BD52" s="19"/>
      <c r="BE52" s="19"/>
    </row>
    <row r="53" spans="2:57" s="35" customFormat="1" outlineLevel="1">
      <c r="B53" s="18" t="s">
        <v>303</v>
      </c>
      <c r="C53" s="19">
        <f t="shared" ref="C53:AE53" si="143">C48/C7</f>
        <v>0.25660994545955712</v>
      </c>
      <c r="D53" s="19">
        <f t="shared" si="143"/>
        <v>0.19981102924629424</v>
      </c>
      <c r="E53" s="19">
        <f t="shared" si="143"/>
        <v>0.22743556266327494</v>
      </c>
      <c r="F53" s="19">
        <f t="shared" si="143"/>
        <v>0.22495454590130773</v>
      </c>
      <c r="G53" s="19">
        <f t="shared" si="143"/>
        <v>0.22314799232702628</v>
      </c>
      <c r="H53" s="19">
        <f t="shared" ref="H53:M53" si="144">H48/H7</f>
        <v>0.38933400007277574</v>
      </c>
      <c r="I53" s="19">
        <f t="shared" si="144"/>
        <v>0.32697000213268929</v>
      </c>
      <c r="J53" s="19">
        <f t="shared" si="144"/>
        <v>0.32067800583409917</v>
      </c>
      <c r="K53" s="19">
        <f t="shared" si="144"/>
        <v>0.50459386253263816</v>
      </c>
      <c r="L53" s="19">
        <f t="shared" si="144"/>
        <v>0.30826880445773791</v>
      </c>
      <c r="M53" s="19">
        <f t="shared" si="144"/>
        <v>0.29172913079775231</v>
      </c>
      <c r="N53" s="19">
        <f>N48/N7</f>
        <v>0.28273868328476348</v>
      </c>
      <c r="O53" s="250"/>
      <c r="P53" s="324"/>
      <c r="Q53" s="19">
        <f t="shared" si="143"/>
        <v>0.23730496464891013</v>
      </c>
      <c r="R53" s="19">
        <f t="shared" si="143"/>
        <v>0.21575569460302735</v>
      </c>
      <c r="S53" s="19">
        <f t="shared" si="143"/>
        <v>0.22632765660809398</v>
      </c>
      <c r="T53" s="19">
        <f t="shared" si="143"/>
        <v>0.23016473784105651</v>
      </c>
      <c r="U53" s="19">
        <f t="shared" si="143"/>
        <v>0.23220320573274339</v>
      </c>
      <c r="V53" s="19">
        <f t="shared" si="143"/>
        <v>0.20600304917098938</v>
      </c>
      <c r="W53" s="19">
        <f t="shared" si="143"/>
        <v>0.23349749762371483</v>
      </c>
      <c r="X53" s="19">
        <f t="shared" si="143"/>
        <v>0.22796886351238396</v>
      </c>
      <c r="Y53" s="19">
        <f t="shared" si="143"/>
        <v>0.21540756666532107</v>
      </c>
      <c r="Z53" s="19">
        <f t="shared" si="143"/>
        <v>0.20233388231393246</v>
      </c>
      <c r="AA53" s="19">
        <f t="shared" si="143"/>
        <v>0.22252765954007714</v>
      </c>
      <c r="AB53" s="19">
        <f t="shared" si="143"/>
        <v>0.25000176289768183</v>
      </c>
      <c r="AC53" s="19">
        <f t="shared" si="143"/>
        <v>0.29223632205660366</v>
      </c>
      <c r="AD53" s="19">
        <f t="shared" si="143"/>
        <v>0.28518662665803951</v>
      </c>
      <c r="AE53" s="19">
        <f t="shared" si="143"/>
        <v>0.29713739785920845</v>
      </c>
      <c r="AF53" s="19">
        <f>AF48/AF7</f>
        <v>0.65761599128763182</v>
      </c>
      <c r="AG53" s="231"/>
      <c r="AH53" s="231"/>
      <c r="AI53" s="231"/>
      <c r="AJ53" s="231"/>
      <c r="AK53" s="231"/>
      <c r="AL53" s="231"/>
      <c r="AM53" s="231"/>
      <c r="AN53" s="231"/>
      <c r="AO53" s="231"/>
      <c r="AP53" s="231"/>
      <c r="AQ53" s="231"/>
      <c r="AR53" s="231"/>
      <c r="AS53" s="231"/>
      <c r="AT53" s="231"/>
      <c r="AU53" s="231"/>
      <c r="AV53" s="231"/>
      <c r="AW53" s="19"/>
      <c r="AX53" s="19"/>
      <c r="AY53" s="19"/>
      <c r="AZ53" s="19"/>
      <c r="BA53" s="19"/>
      <c r="BB53" s="19"/>
      <c r="BC53" s="19"/>
      <c r="BD53" s="19"/>
      <c r="BE53" s="19"/>
    </row>
    <row r="54" spans="2:57" s="35" customFormat="1" outlineLevel="1">
      <c r="B54" s="18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250"/>
      <c r="P54" s="324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  <c r="AM54" s="19"/>
      <c r="AO54" s="19"/>
      <c r="AP54" s="19"/>
      <c r="AQ54" s="19"/>
      <c r="AR54" s="19"/>
      <c r="AS54" s="19"/>
      <c r="AT54" s="19"/>
      <c r="AU54" s="19"/>
      <c r="AV54" s="19"/>
      <c r="AW54" s="19"/>
      <c r="AX54" s="19"/>
      <c r="AY54" s="19"/>
      <c r="AZ54" s="19"/>
      <c r="BA54" s="19"/>
      <c r="BB54" s="19"/>
      <c r="BC54" s="19"/>
      <c r="BD54" s="19"/>
      <c r="BE54" s="19"/>
    </row>
    <row r="55" spans="2:57"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</row>
    <row r="56" spans="2:57">
      <c r="B56" s="16" t="s">
        <v>306</v>
      </c>
      <c r="C56" s="34">
        <f t="shared" ref="C56:Y56" si="145">+C40</f>
        <v>41974</v>
      </c>
      <c r="D56" s="34">
        <f t="shared" si="145"/>
        <v>42340</v>
      </c>
      <c r="E56" s="34">
        <f t="shared" si="145"/>
        <v>42707</v>
      </c>
      <c r="F56" s="75">
        <f t="shared" si="145"/>
        <v>43073</v>
      </c>
      <c r="G56" s="75">
        <f t="shared" ref="G56:L56" si="146">G3</f>
        <v>43438</v>
      </c>
      <c r="H56" s="75">
        <f t="shared" si="146"/>
        <v>43803</v>
      </c>
      <c r="I56" s="75">
        <f t="shared" si="146"/>
        <v>44169</v>
      </c>
      <c r="J56" s="75">
        <f t="shared" si="146"/>
        <v>44534</v>
      </c>
      <c r="K56" s="75">
        <f t="shared" si="146"/>
        <v>44926</v>
      </c>
      <c r="L56" s="75">
        <f t="shared" si="146"/>
        <v>45291</v>
      </c>
      <c r="M56" s="75">
        <f>M3</f>
        <v>45657</v>
      </c>
      <c r="N56" s="75">
        <f>N3</f>
        <v>46022</v>
      </c>
      <c r="O56" s="34">
        <f>+O40</f>
        <v>46112</v>
      </c>
      <c r="P56" s="323"/>
      <c r="Q56" s="34">
        <f t="shared" si="145"/>
        <v>42437</v>
      </c>
      <c r="R56" s="34">
        <f t="shared" si="145"/>
        <v>42527</v>
      </c>
      <c r="S56" s="34">
        <f t="shared" si="145"/>
        <v>42622</v>
      </c>
      <c r="T56" s="34">
        <f t="shared" si="145"/>
        <v>42714</v>
      </c>
      <c r="U56" s="34">
        <f t="shared" si="145"/>
        <v>42801</v>
      </c>
      <c r="V56" s="34">
        <f t="shared" si="145"/>
        <v>42892</v>
      </c>
      <c r="W56" s="34">
        <f t="shared" si="145"/>
        <v>42987</v>
      </c>
      <c r="X56" s="34">
        <f t="shared" si="145"/>
        <v>43079</v>
      </c>
      <c r="Y56" s="34">
        <f t="shared" si="145"/>
        <v>43190</v>
      </c>
      <c r="Z56" s="34">
        <f>Z3</f>
        <v>43281</v>
      </c>
      <c r="AA56" s="34">
        <f>AA3</f>
        <v>43373</v>
      </c>
      <c r="AB56" s="34">
        <f>AB3</f>
        <v>43465</v>
      </c>
      <c r="AC56" s="34">
        <f t="shared" ref="AC56:AH56" si="147">+AC40</f>
        <v>43555</v>
      </c>
      <c r="AD56" s="34">
        <f t="shared" si="147"/>
        <v>43646</v>
      </c>
      <c r="AE56" s="34">
        <f t="shared" si="147"/>
        <v>43738</v>
      </c>
      <c r="AF56" s="34">
        <f t="shared" si="147"/>
        <v>43830</v>
      </c>
      <c r="AG56" s="34">
        <f t="shared" si="147"/>
        <v>43921</v>
      </c>
      <c r="AH56" s="34">
        <f t="shared" si="147"/>
        <v>44012</v>
      </c>
      <c r="AI56" s="34">
        <f t="shared" ref="AI56:AN56" si="148">+AI40</f>
        <v>44104</v>
      </c>
      <c r="AJ56" s="34">
        <f t="shared" si="148"/>
        <v>44196</v>
      </c>
      <c r="AK56" s="34">
        <f t="shared" si="148"/>
        <v>44286</v>
      </c>
      <c r="AL56" s="34">
        <f t="shared" si="148"/>
        <v>44377</v>
      </c>
      <c r="AM56" s="34">
        <f t="shared" si="148"/>
        <v>44469</v>
      </c>
      <c r="AN56" s="34">
        <f t="shared" si="148"/>
        <v>44560</v>
      </c>
      <c r="AO56" s="34">
        <f t="shared" ref="AO56:AT56" si="149">+AO40</f>
        <v>44651</v>
      </c>
      <c r="AP56" s="34">
        <f t="shared" si="149"/>
        <v>44742</v>
      </c>
      <c r="AQ56" s="34">
        <f t="shared" si="149"/>
        <v>44834</v>
      </c>
      <c r="AR56" s="34">
        <f t="shared" si="149"/>
        <v>44926</v>
      </c>
      <c r="AS56" s="34">
        <f t="shared" si="149"/>
        <v>45016</v>
      </c>
      <c r="AT56" s="34">
        <f t="shared" si="149"/>
        <v>45107</v>
      </c>
      <c r="AU56" s="34">
        <f t="shared" ref="AU56:AZ56" si="150">+AU40</f>
        <v>45199</v>
      </c>
      <c r="AV56" s="34">
        <f t="shared" si="150"/>
        <v>45291</v>
      </c>
      <c r="AW56" s="34">
        <f t="shared" si="150"/>
        <v>45382</v>
      </c>
      <c r="AX56" s="34">
        <f t="shared" si="150"/>
        <v>45473</v>
      </c>
      <c r="AY56" s="34">
        <f t="shared" si="150"/>
        <v>45565</v>
      </c>
      <c r="AZ56" s="34">
        <f t="shared" si="150"/>
        <v>45657</v>
      </c>
      <c r="BA56" s="34">
        <f>+BA40</f>
        <v>45747</v>
      </c>
      <c r="BB56" s="34">
        <f>+BB40</f>
        <v>45838</v>
      </c>
      <c r="BC56" s="34">
        <f>+BC40</f>
        <v>45930</v>
      </c>
      <c r="BD56" s="34">
        <f>+BD40</f>
        <v>46022</v>
      </c>
      <c r="BE56" s="34">
        <f>+BE40</f>
        <v>46112</v>
      </c>
    </row>
    <row r="57" spans="2:57" s="5" customFormat="1">
      <c r="B57" s="5" t="s">
        <v>307</v>
      </c>
      <c r="C57" s="8">
        <f>C48</f>
        <v>425400.36499999964</v>
      </c>
      <c r="D57" s="8">
        <f>D48</f>
        <v>356585.29300000001</v>
      </c>
      <c r="E57" s="8">
        <f>E48</f>
        <v>424780.734</v>
      </c>
      <c r="F57" s="8">
        <f>F48</f>
        <v>437102.69900000002</v>
      </c>
      <c r="G57" s="8">
        <f t="shared" ref="G57:L57" si="151">G48</f>
        <v>426921</v>
      </c>
      <c r="H57" s="8">
        <f t="shared" si="151"/>
        <v>770411</v>
      </c>
      <c r="I57" s="8">
        <f t="shared" si="151"/>
        <v>684231.88899999997</v>
      </c>
      <c r="J57" s="8">
        <f t="shared" si="151"/>
        <v>772452.25800000003</v>
      </c>
      <c r="K57" s="8">
        <f t="shared" si="151"/>
        <v>1282013</v>
      </c>
      <c r="L57" s="8">
        <f t="shared" si="151"/>
        <v>762562.17099999997</v>
      </c>
      <c r="M57" s="8">
        <f>M48</f>
        <v>788612.90099999995</v>
      </c>
      <c r="N57" s="8">
        <f>N48</f>
        <v>835473.09600000002</v>
      </c>
      <c r="O57" s="8">
        <f>O48</f>
        <v>855384.79400000011</v>
      </c>
      <c r="P57" s="8"/>
      <c r="Q57" s="8">
        <f>Q48</f>
        <v>109033</v>
      </c>
      <c r="R57" s="8">
        <f>R48</f>
        <v>98565</v>
      </c>
      <c r="S57" s="8">
        <f>S48</f>
        <v>105899</v>
      </c>
      <c r="T57" s="8">
        <f>T48</f>
        <v>111283.734</v>
      </c>
      <c r="U57" s="8">
        <f t="shared" ref="U57:Z57" si="152">U48</f>
        <v>109975</v>
      </c>
      <c r="V57" s="8">
        <f t="shared" si="152"/>
        <v>98620</v>
      </c>
      <c r="W57" s="8">
        <f t="shared" si="152"/>
        <v>112057</v>
      </c>
      <c r="X57" s="8">
        <f t="shared" si="152"/>
        <v>116450.69900000002</v>
      </c>
      <c r="Y57" s="8">
        <f t="shared" si="152"/>
        <v>99342</v>
      </c>
      <c r="Z57" s="8">
        <f t="shared" si="152"/>
        <v>94222</v>
      </c>
      <c r="AA57" s="8">
        <f t="shared" ref="AA57:AF57" si="153">AA48</f>
        <v>107108</v>
      </c>
      <c r="AB57" s="8">
        <f t="shared" si="153"/>
        <v>126249</v>
      </c>
      <c r="AC57" s="8">
        <f t="shared" si="153"/>
        <v>137805</v>
      </c>
      <c r="AD57" s="8">
        <f t="shared" si="153"/>
        <v>137651</v>
      </c>
      <c r="AE57" s="8">
        <f t="shared" si="153"/>
        <v>147397</v>
      </c>
      <c r="AF57" s="8">
        <f t="shared" si="153"/>
        <v>347558</v>
      </c>
      <c r="AG57" s="8">
        <f t="shared" ref="AG57:AL57" si="154">AG48</f>
        <v>172697</v>
      </c>
      <c r="AH57" s="8">
        <f t="shared" si="154"/>
        <v>163621</v>
      </c>
      <c r="AI57" s="8">
        <f t="shared" si="154"/>
        <v>164663</v>
      </c>
      <c r="AJ57" s="8">
        <f t="shared" si="154"/>
        <v>183250.88899999997</v>
      </c>
      <c r="AK57" s="8">
        <f t="shared" si="154"/>
        <v>177597</v>
      </c>
      <c r="AL57" s="8">
        <f t="shared" si="154"/>
        <v>204303</v>
      </c>
      <c r="AM57" s="8">
        <f t="shared" ref="AM57:AR57" si="155">AM48</f>
        <v>203942</v>
      </c>
      <c r="AN57" s="8">
        <f t="shared" si="155"/>
        <v>186610.25800000003</v>
      </c>
      <c r="AO57" s="8">
        <f t="shared" si="155"/>
        <v>189587</v>
      </c>
      <c r="AP57" s="8">
        <f t="shared" si="155"/>
        <v>686795</v>
      </c>
      <c r="AQ57" s="8">
        <f t="shared" si="155"/>
        <v>233180</v>
      </c>
      <c r="AR57" s="8">
        <f t="shared" si="155"/>
        <v>172451</v>
      </c>
      <c r="AS57" s="8">
        <f t="shared" ref="AS57:AX57" si="156">AS48</f>
        <v>132123</v>
      </c>
      <c r="AT57" s="8">
        <f t="shared" si="156"/>
        <v>193233</v>
      </c>
      <c r="AU57" s="8">
        <f t="shared" si="156"/>
        <v>190153</v>
      </c>
      <c r="AV57" s="8">
        <f t="shared" si="156"/>
        <v>247053.17099999997</v>
      </c>
      <c r="AW57" s="8">
        <f t="shared" si="156"/>
        <v>187770</v>
      </c>
      <c r="AX57" s="8">
        <f t="shared" si="156"/>
        <v>199937</v>
      </c>
      <c r="AY57" s="8">
        <f t="shared" ref="AY57:BE57" si="157">AY48</f>
        <v>194709</v>
      </c>
      <c r="AZ57" s="8">
        <f t="shared" si="157"/>
        <v>206196.90099999995</v>
      </c>
      <c r="BA57" s="8">
        <f t="shared" si="157"/>
        <v>193565.39799999999</v>
      </c>
      <c r="BB57" s="8">
        <f t="shared" si="157"/>
        <v>202648.60200000001</v>
      </c>
      <c r="BC57" s="8">
        <f t="shared" si="157"/>
        <v>213626</v>
      </c>
      <c r="BD57" s="8">
        <f t="shared" si="157"/>
        <v>225633.09600000008</v>
      </c>
      <c r="BE57" s="8">
        <f t="shared" si="157"/>
        <v>213477.09599999999</v>
      </c>
    </row>
    <row r="58" spans="2:57">
      <c r="B58" s="1" t="s">
        <v>308</v>
      </c>
      <c r="C58" s="66">
        <f>1941498.368-1126295.714</f>
        <v>815202.6540000001</v>
      </c>
      <c r="D58" s="66">
        <f>2068914.746-1327335.808</f>
        <v>741578.93800000008</v>
      </c>
      <c r="E58" s="66">
        <f>2151996.649-1385826.645</f>
        <v>766170.00400000019</v>
      </c>
      <c r="F58" s="66">
        <f>2253556.915-1327187.348</f>
        <v>926369.56700000004</v>
      </c>
      <c r="G58" s="66">
        <f>2207115.207-1367127.786</f>
        <v>839987.42099999986</v>
      </c>
      <c r="H58" s="66">
        <f>2231794.506-1218180.319</f>
        <v>1013614.1870000002</v>
      </c>
      <c r="I58" s="66">
        <f>2751909.058-1593219.688</f>
        <v>1158689.3700000001</v>
      </c>
      <c r="J58" s="66">
        <f>2658932.073-1746165.583</f>
        <v>912766.48999999976</v>
      </c>
      <c r="K58" s="66">
        <f>2878859.206-1751875.79</f>
        <v>1126983.4159999997</v>
      </c>
      <c r="L58" s="66">
        <v>95491</v>
      </c>
      <c r="M58" s="66">
        <v>-57898</v>
      </c>
      <c r="N58" s="66">
        <v>26000</v>
      </c>
      <c r="O58" s="96">
        <f>SUM(BB58:BE58)</f>
        <v>20854</v>
      </c>
      <c r="P58" s="96"/>
      <c r="Q58" s="66">
        <f>551539.209-326123.809</f>
        <v>225415.40000000002</v>
      </c>
      <c r="R58" s="66">
        <f>1079131.461-669572.112-Q58</f>
        <v>184143.94899999991</v>
      </c>
      <c r="S58" s="66">
        <f>1608052.361-1061885.554-R58-Q58</f>
        <v>136607.4580000001</v>
      </c>
      <c r="T58" s="96">
        <f>E58-Q58-R58-S58</f>
        <v>220003.19700000016</v>
      </c>
      <c r="U58" s="66">
        <f>573647.243-354765.819</f>
        <v>218881.424</v>
      </c>
      <c r="V58" s="66">
        <f>1121670.411-708787.15-U58</f>
        <v>194001.83700000006</v>
      </c>
      <c r="W58" s="66">
        <f>1682230.886-1012704.434-V58-U58</f>
        <v>256643.19099999988</v>
      </c>
      <c r="X58" s="96">
        <f>F58-U58-V58-W58</f>
        <v>256843.11500000011</v>
      </c>
      <c r="Y58" s="66">
        <f>559159.458-382442.332</f>
        <v>176717.12599999999</v>
      </c>
      <c r="Z58" s="66">
        <f>1075707.571-685013.647-Y58</f>
        <v>213976.79800000001</v>
      </c>
      <c r="AA58" s="66">
        <f>1623090.85-1006459.901-Z58-Y58</f>
        <v>225937.02500000014</v>
      </c>
      <c r="AB58" s="96">
        <f>G58-Y58-Z58-AA58</f>
        <v>223356.47199999978</v>
      </c>
      <c r="AC58" s="66">
        <f>564296.889-329533.03</f>
        <v>234763.85899999994</v>
      </c>
      <c r="AD58" s="66">
        <f>1119341.196-630418.379-AC58</f>
        <v>254158.9580000001</v>
      </c>
      <c r="AE58" s="66">
        <f>1686799.527-967221.03-AD58-AC58</f>
        <v>230655.67999999993</v>
      </c>
      <c r="AF58" s="96">
        <f>H58-AC58-AD58-AE58</f>
        <v>294035.69000000018</v>
      </c>
      <c r="AG58" s="66">
        <f>593306.152-363147.204</f>
        <v>230158.94799999997</v>
      </c>
      <c r="AH58" s="66">
        <f>1187882.896-687341.909-AG58</f>
        <v>270382.03899999999</v>
      </c>
      <c r="AI58" s="66">
        <f>1934722.041-1034410.938-AH58-AG58</f>
        <v>399770.11600000004</v>
      </c>
      <c r="AJ58" s="96">
        <f>I58-AG58-AH58-AI58</f>
        <v>258378.26700000011</v>
      </c>
      <c r="AK58" s="66">
        <f>645909.091-384801.424</f>
        <v>261107.66700000002</v>
      </c>
      <c r="AL58" s="66">
        <f>1425449.43-879715.446-AK58</f>
        <v>284626.31699999992</v>
      </c>
      <c r="AM58" s="66">
        <f>1942766.882-1145461.166-AL58-AK58</f>
        <v>251571.73200000008</v>
      </c>
      <c r="AN58" s="96">
        <f>J58-AK58-AL58-AM58</f>
        <v>115460.77399999974</v>
      </c>
      <c r="AO58" s="66">
        <f>712177.108-436348.431</f>
        <v>275828.67700000003</v>
      </c>
      <c r="AP58" s="66">
        <f>1376160.462-918919.509-AO58</f>
        <v>181412.27600000007</v>
      </c>
      <c r="AQ58" s="66">
        <f>2099841.438-1410844.641-AP58-AO58</f>
        <v>231755.84399999992</v>
      </c>
      <c r="AR58" s="96">
        <f>K58-AO58-AP58-AQ58</f>
        <v>437986.61899999972</v>
      </c>
      <c r="AS58" s="66">
        <v>-9422</v>
      </c>
      <c r="AT58" s="66">
        <f>-88-AS58</f>
        <v>9334</v>
      </c>
      <c r="AU58" s="66">
        <f>18671-AT58-AS58</f>
        <v>18759</v>
      </c>
      <c r="AV58" s="96">
        <f>L58-AS58-AT58-AU58</f>
        <v>76820</v>
      </c>
      <c r="AW58" s="4">
        <v>-63898</v>
      </c>
      <c r="AX58" s="66">
        <f>-59449-AW58</f>
        <v>4449</v>
      </c>
      <c r="AY58" s="66">
        <f>-97106-AX58-AW58</f>
        <v>-37657</v>
      </c>
      <c r="AZ58" s="96">
        <f>M58-AW58-AX58-AY58</f>
        <v>39208</v>
      </c>
      <c r="BA58" s="4">
        <v>-28854</v>
      </c>
      <c r="BB58" s="66">
        <f>-20574-BA58</f>
        <v>8280</v>
      </c>
      <c r="BC58" s="66">
        <f>-24000-BB58-BA58</f>
        <v>-3426</v>
      </c>
      <c r="BD58" s="96">
        <f>N58-BA58-BB58-BC58</f>
        <v>50000</v>
      </c>
      <c r="BE58" s="66">
        <v>-34000</v>
      </c>
    </row>
    <row r="59" spans="2:57">
      <c r="B59" s="7" t="s">
        <v>309</v>
      </c>
      <c r="C59" s="4">
        <v>-38853.279000000002</v>
      </c>
      <c r="D59" s="4">
        <v>-77538.637000000002</v>
      </c>
      <c r="E59" s="4">
        <v>-86929.865000000005</v>
      </c>
      <c r="F59" s="4">
        <v>-23661.061000000002</v>
      </c>
      <c r="G59" s="4">
        <v>17586.026000000002</v>
      </c>
      <c r="H59" s="4">
        <v>-36425.480000000003</v>
      </c>
      <c r="I59" s="4">
        <v>-176907.77</v>
      </c>
      <c r="J59" s="4">
        <v>31681.633999999998</v>
      </c>
      <c r="K59" s="4">
        <v>-162133.038</v>
      </c>
      <c r="L59" s="4">
        <v>14581.583000000001</v>
      </c>
      <c r="M59" s="4">
        <v>-72752.673999999999</v>
      </c>
      <c r="N59" s="4">
        <v>-35874.521999999997</v>
      </c>
      <c r="O59" s="96">
        <f t="shared" ref="O59:O74" si="158">SUM(BB59:BE59)</f>
        <v>-39960.968999999997</v>
      </c>
      <c r="P59" s="96"/>
      <c r="Q59" s="4">
        <v>-14808.188</v>
      </c>
      <c r="R59" s="4">
        <f>-39975.061-Q59</f>
        <v>-25166.873</v>
      </c>
      <c r="S59" s="4">
        <f>-60444.478-R59-Q59</f>
        <v>-20469.417000000001</v>
      </c>
      <c r="T59" s="6">
        <f>IFERROR(E59-SUM(Q59:S59),"NA")</f>
        <v>-26485.387000000002</v>
      </c>
      <c r="U59" s="4">
        <v>-24048.451000000001</v>
      </c>
      <c r="V59" s="4">
        <f>-46422.932-U59</f>
        <v>-22374.481</v>
      </c>
      <c r="W59" s="4">
        <f>-25489.303-V59-U59</f>
        <v>20933.629000000001</v>
      </c>
      <c r="X59" s="6">
        <f>+IFERROR(F59-U59-V59-W59,"NA")</f>
        <v>1828.2419999999984</v>
      </c>
      <c r="Y59" s="4">
        <v>-14742.535</v>
      </c>
      <c r="Z59" s="4">
        <f>17225.331-Y59</f>
        <v>31967.865999999998</v>
      </c>
      <c r="AA59" s="4">
        <f>10106.649-Z59-Y59</f>
        <v>-7118.6819999999971</v>
      </c>
      <c r="AB59" s="6">
        <f>G59-AA59-Z59-Y59</f>
        <v>7479.3770000000004</v>
      </c>
      <c r="AC59" s="4">
        <v>8044.41</v>
      </c>
      <c r="AD59" s="4">
        <f>-24120.781-AC59</f>
        <v>-32165.190999999999</v>
      </c>
      <c r="AE59" s="4">
        <f>-23349.44-AD59-AC59</f>
        <v>771.34100000000035</v>
      </c>
      <c r="AF59" s="96">
        <f>H59-AE59-AD59-AC59</f>
        <v>-13076.040000000005</v>
      </c>
      <c r="AG59" s="4">
        <v>-29859.098000000002</v>
      </c>
      <c r="AH59" s="4">
        <f>-125076.931-AG59</f>
        <v>-95217.832999999999</v>
      </c>
      <c r="AI59" s="4">
        <f>-142463.619-AH59-AG59</f>
        <v>-17386.688000000006</v>
      </c>
      <c r="AJ59" s="96">
        <f>I59-AI59-AH59-AG59</f>
        <v>-34444.150999999998</v>
      </c>
      <c r="AK59" s="4">
        <v>-20678.626</v>
      </c>
      <c r="AL59" s="4">
        <f>45342.607-AK59</f>
        <v>66021.233000000007</v>
      </c>
      <c r="AM59" s="4">
        <f>40116.588-AL59-AK59</f>
        <v>-5226.0190000000039</v>
      </c>
      <c r="AN59" s="96">
        <f>J59-AM59-AL59-AK59</f>
        <v>-8434.9540000000015</v>
      </c>
      <c r="AO59" s="4">
        <v>-8089.1890000000003</v>
      </c>
      <c r="AP59" s="4">
        <f>-64431.288-AO59</f>
        <v>-56342.099000000002</v>
      </c>
      <c r="AQ59" s="4">
        <f>-101619.458-AP59-AO59</f>
        <v>-37188.17</v>
      </c>
      <c r="AR59" s="96">
        <f>K59-AO59-AP59-AQ59</f>
        <v>-60513.579999999987</v>
      </c>
      <c r="AS59" s="4">
        <v>-55090.51</v>
      </c>
      <c r="AT59" s="4">
        <f>-80603.184-AS59</f>
        <v>-25512.673999999992</v>
      </c>
      <c r="AU59" s="4">
        <f>21524.035-AT59-AS59</f>
        <v>102127.21899999998</v>
      </c>
      <c r="AV59" s="96">
        <f>L59-AS59-AT59-AU59</f>
        <v>-6942.4519999999902</v>
      </c>
      <c r="AW59" s="4">
        <v>-11094.646000000001</v>
      </c>
      <c r="AX59" s="4">
        <f>-57583.367-AW59</f>
        <v>-46488.720999999998</v>
      </c>
      <c r="AY59" s="4">
        <f>-67368.541-AX59-AW59</f>
        <v>-9785.1739999999991</v>
      </c>
      <c r="AZ59" s="96">
        <f>M59-AW59-AX59-AY59</f>
        <v>-5384.1330000000016</v>
      </c>
      <c r="BA59" s="4">
        <v>-10152.6</v>
      </c>
      <c r="BB59" s="4">
        <f>-37337.978-BA59</f>
        <v>-27185.378000000004</v>
      </c>
      <c r="BC59" s="4">
        <f>-27438.127-BB59-BA59</f>
        <v>9899.8510000000042</v>
      </c>
      <c r="BD59" s="96">
        <f>N59-BA59-BB59-BC59</f>
        <v>-8436.3949999999986</v>
      </c>
      <c r="BE59" s="4">
        <v>-14239.047</v>
      </c>
    </row>
    <row r="60" spans="2:57">
      <c r="B60" s="7" t="s">
        <v>310</v>
      </c>
      <c r="C60" s="4">
        <v>-38230.205999999998</v>
      </c>
      <c r="D60" s="4">
        <v>-63085.944000000003</v>
      </c>
      <c r="E60" s="4">
        <v>-67686.202000000005</v>
      </c>
      <c r="F60" s="4">
        <v>-70675.87</v>
      </c>
      <c r="G60" s="4">
        <v>-77123.244000000006</v>
      </c>
      <c r="H60" s="4">
        <v>-86893.145000000004</v>
      </c>
      <c r="I60" s="4">
        <v>-94388.228000000003</v>
      </c>
      <c r="J60" s="4">
        <v>-148370.217</v>
      </c>
      <c r="K60" s="4">
        <v>-107881.512</v>
      </c>
      <c r="L60" s="4">
        <v>-112936.64200000001</v>
      </c>
      <c r="M60" s="4">
        <v>-119124.6</v>
      </c>
      <c r="N60" s="4">
        <v>-110625.803</v>
      </c>
      <c r="O60" s="96">
        <f t="shared" si="158"/>
        <v>-105448.004</v>
      </c>
      <c r="P60" s="96"/>
      <c r="Q60" s="4">
        <v>-14972.798000000001</v>
      </c>
      <c r="R60" s="4">
        <f>-33666.604-Q60</f>
        <v>-18693.805999999997</v>
      </c>
      <c r="S60" s="4">
        <f>-48632.44-R60-Q60</f>
        <v>-14965.836000000005</v>
      </c>
      <c r="T60" s="6">
        <f>IFERROR(E60-SUM(Q60:S60),"NA")</f>
        <v>-19053.762000000002</v>
      </c>
      <c r="U60" s="4">
        <v>-15139.847</v>
      </c>
      <c r="V60" s="4">
        <f>-34362.406-U60</f>
        <v>-19222.559000000001</v>
      </c>
      <c r="W60" s="4">
        <f>-50056.413-V60-U60</f>
        <v>-15694.007</v>
      </c>
      <c r="X60" s="6">
        <f>+IFERROR(F60-U60-V60-W60,"NA")</f>
        <v>-20619.456999999995</v>
      </c>
      <c r="Y60" s="4">
        <v>-16316.999</v>
      </c>
      <c r="Z60" s="4">
        <f>-37771.077-Y60</f>
        <v>-21454.077999999998</v>
      </c>
      <c r="AA60" s="4">
        <f>-54664.95-Z60-Y60</f>
        <v>-16893.873000000003</v>
      </c>
      <c r="AB60" s="6">
        <f>G60-AA60-Z60-Y60</f>
        <v>-22458.294000000005</v>
      </c>
      <c r="AC60" s="4">
        <v>-20268.822</v>
      </c>
      <c r="AD60" s="4">
        <f>-46527.502-AC60</f>
        <v>-26258.68</v>
      </c>
      <c r="AE60" s="4">
        <f>-61096.92-AD60-AC60</f>
        <v>-14569.417999999998</v>
      </c>
      <c r="AF60" s="96">
        <f>H60-AE60-AD60-AC60</f>
        <v>-25796.225000000013</v>
      </c>
      <c r="AG60" s="4">
        <v>-20571.294999999998</v>
      </c>
      <c r="AH60" s="4">
        <f>-47728.052-AG60</f>
        <v>-27156.757000000005</v>
      </c>
      <c r="AI60" s="4">
        <f>-69118.55-AH60-AG60</f>
        <v>-21390.498</v>
      </c>
      <c r="AJ60" s="96">
        <f>I60-AI60-AH60-AG60</f>
        <v>-25269.678000000007</v>
      </c>
      <c r="AK60" s="4">
        <v>-19155.062999999998</v>
      </c>
      <c r="AL60" s="4">
        <f>-45658.662-AK60</f>
        <v>-26503.598999999998</v>
      </c>
      <c r="AM60" s="4">
        <f>-127077.101-AL60-AK60</f>
        <v>-81418.438999999998</v>
      </c>
      <c r="AN60" s="96">
        <f>J60-AM60-AL60-AK60</f>
        <v>-21293.116000000005</v>
      </c>
      <c r="AO60" s="4">
        <v>-29869.194</v>
      </c>
      <c r="AP60" s="4">
        <f>-48140.464-AO60</f>
        <v>-18271.27</v>
      </c>
      <c r="AQ60" s="4">
        <f>-81118.83-AP60-AO60</f>
        <v>-32978.365999999995</v>
      </c>
      <c r="AR60" s="96">
        <f>K60-AO60-AP60-AQ60</f>
        <v>-26762.682000000001</v>
      </c>
      <c r="AS60" s="4">
        <v>-35002.688000000002</v>
      </c>
      <c r="AT60" s="4">
        <f>-58010.914-AS60</f>
        <v>-23008.225999999995</v>
      </c>
      <c r="AU60" s="4">
        <f>-92166.262-AT60-AS60</f>
        <v>-34155.348000000005</v>
      </c>
      <c r="AV60" s="96">
        <f>L60-AS60-AT60-AU60</f>
        <v>-20770.379999999997</v>
      </c>
      <c r="AW60" s="4">
        <v>-35176.862999999998</v>
      </c>
      <c r="AX60" s="4">
        <f>-56499.994-AW60</f>
        <v>-21323.131000000001</v>
      </c>
      <c r="AY60" s="4">
        <f>-92858.043-AX60-AW60</f>
        <v>-36358.049000000014</v>
      </c>
      <c r="AZ60" s="96">
        <f>M60-AW60-AX60-AY60</f>
        <v>-26266.556999999993</v>
      </c>
      <c r="BA60" s="4">
        <v>-34611.733999999997</v>
      </c>
      <c r="BB60" s="4">
        <f>-52774.842-BA60</f>
        <v>-18163.108</v>
      </c>
      <c r="BC60" s="4">
        <f>-90061.881-BB60-BA60</f>
        <v>-37287.03899999999</v>
      </c>
      <c r="BD60" s="96">
        <f>N60-BA60-BB60-BC60</f>
        <v>-20563.922000000013</v>
      </c>
      <c r="BE60" s="4">
        <v>-29433.935000000001</v>
      </c>
    </row>
    <row r="61" spans="2:57">
      <c r="B61" s="7" t="s">
        <v>311</v>
      </c>
      <c r="C61" s="4">
        <v>4507.4589999999998</v>
      </c>
      <c r="D61" s="4">
        <v>6880.2460000000001</v>
      </c>
      <c r="E61" s="4">
        <v>3601.8449999999998</v>
      </c>
      <c r="F61" s="4">
        <v>3129.5050000000001</v>
      </c>
      <c r="G61" s="4">
        <v>1129.5999999999999</v>
      </c>
      <c r="H61" s="4">
        <v>1375.222</v>
      </c>
      <c r="I61" s="4">
        <v>5309.384</v>
      </c>
      <c r="J61" s="4">
        <v>3451.1370000000002</v>
      </c>
      <c r="K61" s="4">
        <v>26563.886999999999</v>
      </c>
      <c r="L61" s="4">
        <v>23305.167000000001</v>
      </c>
      <c r="M61" s="4">
        <v>28910.144</v>
      </c>
      <c r="N61" s="4">
        <v>12839.054</v>
      </c>
      <c r="O61" s="96">
        <f t="shared" si="158"/>
        <v>11680.672999999999</v>
      </c>
      <c r="P61" s="96"/>
      <c r="Q61" s="4">
        <v>1194.8779999999999</v>
      </c>
      <c r="R61" s="4">
        <f>1711.725-Q61</f>
        <v>516.84699999999998</v>
      </c>
      <c r="S61" s="4">
        <f>2701.178-R61-Q61</f>
        <v>989.4530000000002</v>
      </c>
      <c r="T61" s="6">
        <f>IFERROR(E61-SUM(Q61:S61),"NA")</f>
        <v>900.66699999999992</v>
      </c>
      <c r="U61" s="4">
        <v>796.67</v>
      </c>
      <c r="V61" s="4">
        <f>1415.229-U61</f>
        <v>618.55900000000008</v>
      </c>
      <c r="W61" s="4">
        <f>2287.848-V61-U61</f>
        <v>872.6189999999998</v>
      </c>
      <c r="X61" s="6">
        <f>+IFERROR(F61-U61-V61-W61,"NA")</f>
        <v>841.65700000000004</v>
      </c>
      <c r="Y61" s="4">
        <v>496.024</v>
      </c>
      <c r="Z61" s="4">
        <f>718.993-Y61</f>
        <v>222.96900000000005</v>
      </c>
      <c r="AA61" s="4">
        <f>904.25-Z61-Y61</f>
        <v>185.25699999999995</v>
      </c>
      <c r="AB61" s="6">
        <f>G61-AA61-Z61-Y61</f>
        <v>225.34999999999991</v>
      </c>
      <c r="AC61" s="4">
        <v>376.92399999999998</v>
      </c>
      <c r="AD61" s="4">
        <f>538.908-AC61</f>
        <v>161.98400000000004</v>
      </c>
      <c r="AE61" s="4">
        <f>687.057-AD61-AC61</f>
        <v>148.149</v>
      </c>
      <c r="AF61" s="96">
        <f>H61-AE61-AD61-AC61</f>
        <v>688.16499999999996</v>
      </c>
      <c r="AG61" s="4">
        <v>2661.9679999999998</v>
      </c>
      <c r="AH61" s="4">
        <f>4154.929-AG61</f>
        <v>1492.9610000000002</v>
      </c>
      <c r="AI61" s="4">
        <f>4742.58-AH61-AG61</f>
        <v>587.65099999999984</v>
      </c>
      <c r="AJ61" s="96">
        <f>I61-AI61-AH61-AG61</f>
        <v>566.80400000000009</v>
      </c>
      <c r="AK61" s="4">
        <v>588.54999999999995</v>
      </c>
      <c r="AL61" s="4">
        <f>1104.813-AK61</f>
        <v>516.26300000000015</v>
      </c>
      <c r="AM61" s="4">
        <f>2114.162-AL61-AK61</f>
        <v>1009.3489999999997</v>
      </c>
      <c r="AN61" s="96">
        <f>J61-AM61-AL61-AK61</f>
        <v>1336.9750000000004</v>
      </c>
      <c r="AO61" s="4">
        <v>3384.0970000000002</v>
      </c>
      <c r="AP61" s="4">
        <f>11992.867-AO61</f>
        <v>8608.77</v>
      </c>
      <c r="AQ61" s="4">
        <f>20584.093-AP61-AO61</f>
        <v>8591.2260000000006</v>
      </c>
      <c r="AR61" s="96">
        <f>K61-AO61-AP61-AQ61</f>
        <v>5979.7939999999962</v>
      </c>
      <c r="AS61" s="4">
        <v>5825.1189999999997</v>
      </c>
      <c r="AT61" s="4">
        <f>10028.282-AS61</f>
        <v>4203.1629999999996</v>
      </c>
      <c r="AU61" s="4">
        <f>16831.303-AT61-AS61</f>
        <v>6803.0209999999997</v>
      </c>
      <c r="AV61" s="96">
        <f>L61-AS61-AT61-AU61</f>
        <v>6473.8640000000023</v>
      </c>
      <c r="AW61" s="4">
        <v>11361.421</v>
      </c>
      <c r="AX61" s="4">
        <f>19366.355-AW61</f>
        <v>8004.9339999999993</v>
      </c>
      <c r="AY61" s="4">
        <f>24999.502-AX61-AW61</f>
        <v>5633.146999999999</v>
      </c>
      <c r="AZ61" s="96">
        <f>M61-AW61-AX61-AY61</f>
        <v>3910.6419999999998</v>
      </c>
      <c r="BA61" s="4">
        <v>3368.683</v>
      </c>
      <c r="BB61" s="4">
        <f>6762.896-BA61</f>
        <v>3394.2129999999997</v>
      </c>
      <c r="BC61" s="4">
        <f>10202.011-BB61-BA61</f>
        <v>3439.1150000000007</v>
      </c>
      <c r="BD61" s="96">
        <f>N61-BA61-BB61-BC61</f>
        <v>2637.0429999999988</v>
      </c>
      <c r="BE61" s="4">
        <v>2210.3020000000001</v>
      </c>
    </row>
    <row r="62" spans="2:57" s="5" customFormat="1">
      <c r="B62" s="5" t="s">
        <v>312</v>
      </c>
      <c r="C62" s="32">
        <f t="shared" ref="C62:T62" si="159">SUM(C57:C61)</f>
        <v>1168026.9929999998</v>
      </c>
      <c r="D62" s="32">
        <f t="shared" si="159"/>
        <v>964419.89600000018</v>
      </c>
      <c r="E62" s="32">
        <f t="shared" si="159"/>
        <v>1039936.5160000001</v>
      </c>
      <c r="F62" s="32">
        <f t="shared" si="159"/>
        <v>1272264.8399999999</v>
      </c>
      <c r="G62" s="32">
        <f t="shared" si="159"/>
        <v>1208500.8030000001</v>
      </c>
      <c r="H62" s="32">
        <f t="shared" ref="H62:O62" si="160">SUM(H57:H61)</f>
        <v>1662081.7840000002</v>
      </c>
      <c r="I62" s="32">
        <f t="shared" si="160"/>
        <v>1576934.645</v>
      </c>
      <c r="J62" s="32">
        <f t="shared" si="160"/>
        <v>1571981.3019999999</v>
      </c>
      <c r="K62" s="32">
        <f t="shared" si="160"/>
        <v>2165545.7529999996</v>
      </c>
      <c r="L62" s="32">
        <f t="shared" si="160"/>
        <v>783003.27899999998</v>
      </c>
      <c r="M62" s="32">
        <f>SUM(M57:M61)</f>
        <v>567747.77099999995</v>
      </c>
      <c r="N62" s="32">
        <f>SUM(N57:N61)</f>
        <v>727811.82500000007</v>
      </c>
      <c r="O62" s="32">
        <f t="shared" si="160"/>
        <v>742510.49400000006</v>
      </c>
      <c r="P62" s="32"/>
      <c r="Q62" s="32">
        <f t="shared" si="159"/>
        <v>305862.29200000002</v>
      </c>
      <c r="R62" s="32">
        <f t="shared" si="159"/>
        <v>239365.11699999991</v>
      </c>
      <c r="S62" s="32">
        <f t="shared" si="159"/>
        <v>208060.65800000008</v>
      </c>
      <c r="T62" s="32">
        <f t="shared" si="159"/>
        <v>286648.4490000002</v>
      </c>
      <c r="U62" s="32">
        <f t="shared" ref="U62:AA62" si="161">SUM(U57:U61)</f>
        <v>290464.79599999997</v>
      </c>
      <c r="V62" s="32">
        <f t="shared" si="161"/>
        <v>251643.35600000003</v>
      </c>
      <c r="W62" s="32">
        <f>SUM(W57:W61)</f>
        <v>374812.43199999991</v>
      </c>
      <c r="X62" s="32">
        <f t="shared" si="161"/>
        <v>355344.25600000011</v>
      </c>
      <c r="Y62" s="32">
        <f t="shared" si="161"/>
        <v>245495.61599999998</v>
      </c>
      <c r="Z62" s="32">
        <f t="shared" si="161"/>
        <v>318935.55499999999</v>
      </c>
      <c r="AA62" s="32">
        <f t="shared" si="161"/>
        <v>309217.72700000013</v>
      </c>
      <c r="AB62" s="32">
        <f t="shared" ref="AB62:AH62" si="162">SUM(AB57:AB61)</f>
        <v>334851.90499999974</v>
      </c>
      <c r="AC62" s="32">
        <f t="shared" si="162"/>
        <v>360721.37099999993</v>
      </c>
      <c r="AD62" s="32">
        <f t="shared" si="162"/>
        <v>333548.07100000011</v>
      </c>
      <c r="AE62" s="32">
        <f t="shared" si="162"/>
        <v>364402.75199999992</v>
      </c>
      <c r="AF62" s="32">
        <f t="shared" si="162"/>
        <v>603409.5900000002</v>
      </c>
      <c r="AG62" s="32">
        <f t="shared" si="162"/>
        <v>355087.52299999999</v>
      </c>
      <c r="AH62" s="32">
        <f t="shared" si="162"/>
        <v>313121.41000000003</v>
      </c>
      <c r="AI62" s="32">
        <f t="shared" ref="AI62:AN62" si="163">SUM(AI57:AI61)</f>
        <v>526243.58100000001</v>
      </c>
      <c r="AJ62" s="32">
        <f t="shared" si="163"/>
        <v>382482.13100000005</v>
      </c>
      <c r="AK62" s="32">
        <f t="shared" si="163"/>
        <v>399459.52799999999</v>
      </c>
      <c r="AL62" s="32">
        <f t="shared" si="163"/>
        <v>528963.21399999992</v>
      </c>
      <c r="AM62" s="32">
        <f t="shared" si="163"/>
        <v>369878.62300000002</v>
      </c>
      <c r="AN62" s="32">
        <f t="shared" si="163"/>
        <v>273679.93699999974</v>
      </c>
      <c r="AO62" s="32">
        <f t="shared" ref="AO62:AU62" si="164">SUM(AO57:AO61)</f>
        <v>430841.391</v>
      </c>
      <c r="AP62" s="32">
        <f t="shared" si="164"/>
        <v>802202.67700000003</v>
      </c>
      <c r="AQ62" s="32">
        <f t="shared" si="164"/>
        <v>403360.53399999999</v>
      </c>
      <c r="AR62" s="32">
        <f t="shared" si="164"/>
        <v>529141.15099999972</v>
      </c>
      <c r="AS62" s="32">
        <f t="shared" si="164"/>
        <v>38432.920999999988</v>
      </c>
      <c r="AT62" s="32">
        <f t="shared" si="164"/>
        <v>158249.26300000001</v>
      </c>
      <c r="AU62" s="32">
        <f t="shared" si="164"/>
        <v>283686.89199999999</v>
      </c>
      <c r="AV62" s="32">
        <f t="shared" ref="AV62:BB62" si="165">SUM(AV57:AV61)</f>
        <v>302634.20299999998</v>
      </c>
      <c r="AW62" s="32">
        <f t="shared" si="165"/>
        <v>88961.911999999997</v>
      </c>
      <c r="AX62" s="32">
        <f t="shared" si="165"/>
        <v>144579.08200000002</v>
      </c>
      <c r="AY62" s="32">
        <f t="shared" si="165"/>
        <v>116541.92399999998</v>
      </c>
      <c r="AZ62" s="32">
        <f t="shared" si="165"/>
        <v>217664.85299999994</v>
      </c>
      <c r="BA62" s="32">
        <f t="shared" si="165"/>
        <v>123315.74699999999</v>
      </c>
      <c r="BB62" s="32">
        <f t="shared" si="165"/>
        <v>168974.329</v>
      </c>
      <c r="BC62" s="32">
        <f>SUM(BC57:BC61)</f>
        <v>186251.927</v>
      </c>
      <c r="BD62" s="32">
        <f>SUM(BD57:BD61)</f>
        <v>249269.82200000004</v>
      </c>
      <c r="BE62" s="32">
        <f>SUM(BE57:BE61)</f>
        <v>138014.416</v>
      </c>
    </row>
    <row r="63" spans="2:57">
      <c r="B63" s="7" t="s">
        <v>313</v>
      </c>
      <c r="C63" s="4">
        <f>-561516.005+10135.787</f>
        <v>-551380.21799999999</v>
      </c>
      <c r="D63" s="4">
        <f>-523595.343+408.473</f>
        <v>-523186.87</v>
      </c>
      <c r="E63" s="4">
        <f>-458030.431+3840.988</f>
        <v>-454189.44299999997</v>
      </c>
      <c r="F63" s="4">
        <f>-501504.528+4375.572</f>
        <v>-497128.95600000001</v>
      </c>
      <c r="G63" s="4">
        <f>421.583-508295.673</f>
        <v>-507874.09</v>
      </c>
      <c r="H63" s="4">
        <f>490062.013-477247.941</f>
        <v>12814.071999999986</v>
      </c>
      <c r="I63" s="4">
        <f>-402506.254+110796.307</f>
        <v>-291709.94700000004</v>
      </c>
      <c r="J63" s="4">
        <f>-305004.114+44563.586</f>
        <v>-260440.52799999999</v>
      </c>
      <c r="K63" s="4">
        <f>-596641.654+609501.777</f>
        <v>12860.123000000021</v>
      </c>
      <c r="L63" s="4">
        <f>(540626.516)+409115.556</f>
        <v>949742.07199999993</v>
      </c>
      <c r="M63" s="4">
        <f>-539724.12</f>
        <v>-539724.12</v>
      </c>
      <c r="N63" s="4">
        <v>-533826.28399999999</v>
      </c>
      <c r="O63" s="96">
        <f t="shared" si="158"/>
        <v>-493971.73300000001</v>
      </c>
      <c r="P63" s="96"/>
      <c r="Q63" s="4">
        <f>544.062-106764.315</f>
        <v>-106220.253</v>
      </c>
      <c r="R63" s="4">
        <f>587.544-215435.925-Q63</f>
        <v>-108628.128</v>
      </c>
      <c r="S63" s="4">
        <f>1520.17-327792.323-R63-Q63</f>
        <v>-111423.772</v>
      </c>
      <c r="T63" s="6">
        <f>IFERROR(E63-SUM(Q63:S63),"NA")</f>
        <v>-127917.28999999998</v>
      </c>
      <c r="U63" s="4">
        <f>344.28-117523.064</f>
        <v>-117178.784</v>
      </c>
      <c r="V63" s="4">
        <f>1242.4-228669.278-U63</f>
        <v>-110248.094</v>
      </c>
      <c r="W63" s="4">
        <f>2774.595-365496.967-V63-U63</f>
        <v>-135295.49400000006</v>
      </c>
      <c r="X63" s="6">
        <f>+IFERROR(F63-U63-V63-W63,"NA")</f>
        <v>-134406.58399999997</v>
      </c>
      <c r="Y63" s="4">
        <f>265.702-139576.136</f>
        <v>-139310.43400000001</v>
      </c>
      <c r="Z63" s="4">
        <f>332.502-263335.746-Y63</f>
        <v>-123692.81</v>
      </c>
      <c r="AA63" s="4">
        <f>356.082-386535.981-Z63-Y63</f>
        <v>-123176.65500000003</v>
      </c>
      <c r="AB63" s="6">
        <f>G63-AA63-Z63-Y63</f>
        <v>-121694.19099999999</v>
      </c>
      <c r="AC63" s="4">
        <f>46.334-149618.935</f>
        <v>-149572.601</v>
      </c>
      <c r="AD63" s="4">
        <f>-277771.407+92.381-AC63</f>
        <v>-128106.42500000002</v>
      </c>
      <c r="AE63" s="4">
        <f>-367026.862+143.473-AD63-AC63</f>
        <v>-89204.363000000012</v>
      </c>
      <c r="AF63" s="96">
        <f>H63-AE63-AD63-AC63</f>
        <v>379697.46100000001</v>
      </c>
      <c r="AG63" s="4">
        <f>33077.545-97852.499</f>
        <v>-64774.953999999998</v>
      </c>
      <c r="AH63" s="4">
        <f>-206875.648+68622.061-AG63</f>
        <v>-73478.633000000002</v>
      </c>
      <c r="AI63" s="4">
        <f>-338091.593+85067.36-AH63-AG63</f>
        <v>-114770.64600000001</v>
      </c>
      <c r="AJ63" s="96">
        <f>I63-AI63-AH63-AG63</f>
        <v>-38685.714000000036</v>
      </c>
      <c r="AK63" s="4">
        <f>10936.313-122998.185</f>
        <v>-112061.872</v>
      </c>
      <c r="AL63" s="4">
        <f>-240514.749+27334.936-AK63</f>
        <v>-101117.94100000002</v>
      </c>
      <c r="AM63" s="4">
        <f>-346927.295+44940.185-AL63-AK63</f>
        <v>-88807.296999999962</v>
      </c>
      <c r="AN63" s="96">
        <f>J63-AM63-AL63-AK63</f>
        <v>41546.581999999995</v>
      </c>
      <c r="AO63" s="4">
        <v>-151226.69699999999</v>
      </c>
      <c r="AP63" s="4">
        <f>-263692.831+537150.1-AO63</f>
        <v>424683.96599999996</v>
      </c>
      <c r="AQ63" s="4">
        <f>-422073.027+610073.315-AP63-AO63</f>
        <v>-85456.981000000029</v>
      </c>
      <c r="AR63" s="96">
        <f>K63-AO63-AP63-AQ63</f>
        <v>-175140.16499999992</v>
      </c>
      <c r="AS63" s="4">
        <f>-170174.193+91.878</f>
        <v>-170082.315</v>
      </c>
      <c r="AT63" s="4">
        <f>-305828.498+210.735-AS63</f>
        <v>-135535.44800000003</v>
      </c>
      <c r="AU63" s="4">
        <f>-422303.4+0-AT63-AS63</f>
        <v>-116685.63699999999</v>
      </c>
      <c r="AV63" s="96">
        <f>L63-AS63-AT63-AU63</f>
        <v>1372045.4720000001</v>
      </c>
      <c r="AW63" s="4">
        <f>-120567.728+0</f>
        <v>-120567.728</v>
      </c>
      <c r="AX63" s="4">
        <f>-286698.604-AW63</f>
        <v>-166130.87599999999</v>
      </c>
      <c r="AY63" s="4">
        <f>-424311.497-AX63-AW63</f>
        <v>-137612.89299999998</v>
      </c>
      <c r="AZ63" s="96">
        <f>M63-AW63-AX63-AY63</f>
        <v>-115412.62300000002</v>
      </c>
      <c r="BA63" s="4">
        <v>-148489.65299999999</v>
      </c>
      <c r="BB63" s="4">
        <f>-263030.347-BA63</f>
        <v>-114540.69400000002</v>
      </c>
      <c r="BC63" s="4">
        <f>-371139.475+198.693-BB63-BA63</f>
        <v>-107910.43499999994</v>
      </c>
      <c r="BD63" s="96">
        <f>N63-BA63-BB63-BC63</f>
        <v>-162885.50200000004</v>
      </c>
      <c r="BE63" s="4">
        <v>-108635.102</v>
      </c>
    </row>
    <row r="64" spans="2:57">
      <c r="B64" s="7" t="s">
        <v>314</v>
      </c>
      <c r="C64" s="4">
        <v>-242.94200000000001</v>
      </c>
      <c r="D64" s="4">
        <v>-7500.4840000000004</v>
      </c>
      <c r="E64" s="4">
        <v>-193709.247</v>
      </c>
      <c r="F64" s="4">
        <v>-739.01400000000001</v>
      </c>
      <c r="G64" s="4">
        <v>-592.00599999999997</v>
      </c>
      <c r="H64" s="4">
        <v>-1258.3420000000001</v>
      </c>
      <c r="I64" s="4">
        <v>-864.88599999999997</v>
      </c>
      <c r="J64" s="4">
        <v>-100844.643</v>
      </c>
      <c r="K64" s="4">
        <v>0</v>
      </c>
      <c r="L64" s="4">
        <v>0</v>
      </c>
      <c r="M64" s="4">
        <v>-23.457000000000001</v>
      </c>
      <c r="N64" s="4">
        <v>-1491.1849999999999</v>
      </c>
      <c r="O64" s="96">
        <f t="shared" si="158"/>
        <v>-1476.0059999999999</v>
      </c>
      <c r="P64" s="96"/>
      <c r="Q64" s="4">
        <v>-396.01499999999999</v>
      </c>
      <c r="R64" s="4">
        <f>-281.749-Q64</f>
        <v>114.26599999999996</v>
      </c>
      <c r="S64" s="4">
        <f>-193839.722-R64-Q64</f>
        <v>-193557.973</v>
      </c>
      <c r="T64" s="6">
        <f>IFERROR(E64-SUM(Q64:S64),"NA")</f>
        <v>130.47500000000582</v>
      </c>
      <c r="U64" s="4">
        <v>-84.213999999999999</v>
      </c>
      <c r="V64" s="4">
        <f>-127.99-U64</f>
        <v>-43.775999999999996</v>
      </c>
      <c r="W64" s="4">
        <f>-338.645-V64-U64</f>
        <v>-210.65499999999997</v>
      </c>
      <c r="X64" s="6">
        <f>+IFERROR(F64-U64-V64-W64,"NA")</f>
        <v>-400.36900000000003</v>
      </c>
      <c r="Y64" s="4">
        <v>-193.19900000000001</v>
      </c>
      <c r="Z64" s="4">
        <f>-327.225-Y64</f>
        <v>-134.02600000000001</v>
      </c>
      <c r="AA64" s="4">
        <f>-442.533-Z64-Y64</f>
        <v>-115.30799999999999</v>
      </c>
      <c r="AB64" s="6">
        <f>G64-AA64-Z64-Y64</f>
        <v>-149.47299999999996</v>
      </c>
      <c r="AC64" s="4">
        <v>-338.78500000000003</v>
      </c>
      <c r="AD64" s="4">
        <f>-640.335-AC64</f>
        <v>-301.55</v>
      </c>
      <c r="AE64" s="4">
        <f>-1120.595-AD64-AC64</f>
        <v>-480.26000000000005</v>
      </c>
      <c r="AF64" s="96">
        <f>H64-AE64-AD64-AC64</f>
        <v>-137.74700000000007</v>
      </c>
      <c r="AG64" s="4">
        <v>-141.96100000000001</v>
      </c>
      <c r="AH64" s="4">
        <f>-162.818-AG64</f>
        <v>-20.856999999999999</v>
      </c>
      <c r="AI64" s="4">
        <f>-241.955-AH64-AG64</f>
        <v>-79.137</v>
      </c>
      <c r="AJ64" s="96">
        <f>I64-AI64-AH64-AG64</f>
        <v>-622.93100000000004</v>
      </c>
      <c r="AK64" s="4">
        <v>-101264.14200000001</v>
      </c>
      <c r="AL64" s="4">
        <f>-101338.466-AK64</f>
        <v>-74.323999999993248</v>
      </c>
      <c r="AM64" s="4">
        <f>-100561.709+7652.715-AL64-AK64</f>
        <v>8429.4719999999943</v>
      </c>
      <c r="AN64" s="96">
        <f>J64-AM64-AL64-AK64</f>
        <v>-7935.6489999999903</v>
      </c>
      <c r="AO64" s="4">
        <v>0</v>
      </c>
      <c r="AP64" s="4">
        <f>-132.984-AO64</f>
        <v>-132.98400000000001</v>
      </c>
      <c r="AQ64" s="4">
        <f>0-AP64-AO64</f>
        <v>132.98400000000001</v>
      </c>
      <c r="AR64" s="96">
        <f>K64-AO64-AP64-AQ64</f>
        <v>0</v>
      </c>
      <c r="AS64" s="4">
        <v>-23.273</v>
      </c>
      <c r="AT64" s="4">
        <f>-23.875-AS64</f>
        <v>-0.60200000000000031</v>
      </c>
      <c r="AU64" s="4">
        <f>-99.876-AT64-AS64</f>
        <v>-76.001000000000005</v>
      </c>
      <c r="AV64" s="96">
        <f>L64-AS64-AT64-AU64</f>
        <v>99.876000000000005</v>
      </c>
      <c r="AW64" s="4">
        <v>-3.07</v>
      </c>
      <c r="AX64" s="4">
        <f>-3.211-AW64</f>
        <v>-0.14100000000000001</v>
      </c>
      <c r="AY64" s="4">
        <f>-22.961-AX64-AW64</f>
        <v>-19.75</v>
      </c>
      <c r="AZ64" s="96">
        <f>M64-AW64-AX64-AY64</f>
        <v>-0.49600000000000222</v>
      </c>
      <c r="BA64" s="4">
        <v>-15.179</v>
      </c>
      <c r="BB64" s="4">
        <f>-0.918-BA64</f>
        <v>14.261000000000001</v>
      </c>
      <c r="BC64" s="4">
        <f>-28.691-BB64-BA64</f>
        <v>-27.772999999999996</v>
      </c>
      <c r="BD64" s="96">
        <f>N64-BA64-BB64-BC64</f>
        <v>-1462.4939999999999</v>
      </c>
      <c r="BE64" s="4">
        <v>0</v>
      </c>
    </row>
    <row r="65" spans="2:58">
      <c r="B65" s="7" t="s">
        <v>315</v>
      </c>
      <c r="C65" s="4">
        <v>0</v>
      </c>
      <c r="D65" s="4">
        <v>0</v>
      </c>
      <c r="E65" s="4">
        <v>0</v>
      </c>
      <c r="F65" s="4">
        <v>0</v>
      </c>
      <c r="G65" s="4">
        <v>-1873.5060000000001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>
        <v>0</v>
      </c>
      <c r="O65" s="96">
        <f t="shared" si="158"/>
        <v>0</v>
      </c>
      <c r="P65" s="96"/>
      <c r="Q65" s="4">
        <v>0</v>
      </c>
      <c r="R65" s="4">
        <f>-Q65</f>
        <v>0</v>
      </c>
      <c r="S65" s="4">
        <f>-R65-Q65</f>
        <v>0</v>
      </c>
      <c r="T65" s="6">
        <f>IFERROR(E65-SUM(Q65:S65),"NA")</f>
        <v>0</v>
      </c>
      <c r="U65" s="4">
        <v>0</v>
      </c>
      <c r="V65" s="4">
        <f>-U65</f>
        <v>0</v>
      </c>
      <c r="W65" s="4">
        <f>-V65-U65</f>
        <v>0</v>
      </c>
      <c r="X65" s="6">
        <f>+IFERROR(F65-U65-V65-W65,"NA")</f>
        <v>0</v>
      </c>
      <c r="Y65" s="4">
        <v>0</v>
      </c>
      <c r="Z65" s="4">
        <f>-1873.506-Y65</f>
        <v>-1873.5060000000001</v>
      </c>
      <c r="AA65" s="4">
        <f>-1873.506-Z65-Y65</f>
        <v>0</v>
      </c>
      <c r="AB65" s="6">
        <f>G65-AA65-Z65-Y65</f>
        <v>0</v>
      </c>
      <c r="AC65" s="4">
        <v>0</v>
      </c>
      <c r="AD65" s="4">
        <f>-AC65</f>
        <v>0</v>
      </c>
      <c r="AE65" s="4">
        <f>-AD65-AC65</f>
        <v>0</v>
      </c>
      <c r="AF65" s="96">
        <f>H65-AE65-AD65-AC65</f>
        <v>0</v>
      </c>
      <c r="AG65" s="4">
        <v>0</v>
      </c>
      <c r="AH65" s="4">
        <f>0-AG65</f>
        <v>0</v>
      </c>
      <c r="AI65" s="4">
        <f>-AH65-AG65</f>
        <v>0</v>
      </c>
      <c r="AJ65" s="96">
        <f>I65-AI65-AH65-AG65</f>
        <v>0</v>
      </c>
      <c r="AK65" s="4">
        <v>0</v>
      </c>
      <c r="AL65" s="4">
        <f>0-AK65</f>
        <v>0</v>
      </c>
      <c r="AM65" s="4">
        <f>-AL65-AK65</f>
        <v>0</v>
      </c>
      <c r="AN65" s="96">
        <f>J65-AM65-AL65-AK65</f>
        <v>0</v>
      </c>
      <c r="AO65" s="4">
        <v>0</v>
      </c>
      <c r="AP65" s="4">
        <f>0-AO65</f>
        <v>0</v>
      </c>
      <c r="AQ65" s="4">
        <f>-AP65-AO65</f>
        <v>0</v>
      </c>
      <c r="AR65" s="96">
        <f>K65-AO65-AP65-AQ65</f>
        <v>0</v>
      </c>
      <c r="AS65" s="4">
        <v>0</v>
      </c>
      <c r="AT65" s="4">
        <f>0-AS65</f>
        <v>0</v>
      </c>
      <c r="AU65" s="4">
        <f>-AT65-AS65</f>
        <v>0</v>
      </c>
      <c r="AV65" s="96">
        <f>L65-AS65-AT65-AU65</f>
        <v>0</v>
      </c>
      <c r="AW65" s="4">
        <v>0</v>
      </c>
      <c r="AX65" s="4">
        <f>0-AW65</f>
        <v>0</v>
      </c>
      <c r="AY65" s="4">
        <f>-AX65-AW65</f>
        <v>0</v>
      </c>
      <c r="AZ65" s="96">
        <f>M65-AW65-AX65-AY65</f>
        <v>0</v>
      </c>
      <c r="BA65" s="4">
        <v>0</v>
      </c>
      <c r="BB65" s="4">
        <f>0-BA65</f>
        <v>0</v>
      </c>
      <c r="BC65" s="4">
        <f>-BB65-BA65</f>
        <v>0</v>
      </c>
      <c r="BD65" s="96">
        <f>N65-BA65-BB65-BC65</f>
        <v>0</v>
      </c>
      <c r="BE65" s="4">
        <v>0</v>
      </c>
    </row>
    <row r="66" spans="2:58" s="5" customFormat="1">
      <c r="B66" s="15" t="s">
        <v>316</v>
      </c>
      <c r="C66" s="8">
        <f t="shared" ref="C66:AA66" si="166">SUM(C62:C65)</f>
        <v>616403.83299999975</v>
      </c>
      <c r="D66" s="8">
        <f t="shared" si="166"/>
        <v>433732.54200000019</v>
      </c>
      <c r="E66" s="8">
        <f t="shared" si="166"/>
        <v>392037.82600000012</v>
      </c>
      <c r="F66" s="8">
        <f t="shared" si="166"/>
        <v>774396.86999999988</v>
      </c>
      <c r="G66" s="8">
        <f t="shared" si="166"/>
        <v>698161.20099999988</v>
      </c>
      <c r="H66" s="8">
        <f t="shared" ref="H66:O66" si="167">SUM(H62:H65)</f>
        <v>1673637.5140000002</v>
      </c>
      <c r="I66" s="8">
        <f t="shared" si="167"/>
        <v>1284359.8119999999</v>
      </c>
      <c r="J66" s="8">
        <f t="shared" si="167"/>
        <v>1210696.1310000001</v>
      </c>
      <c r="K66" s="8">
        <f t="shared" si="167"/>
        <v>2178405.8759999997</v>
      </c>
      <c r="L66" s="8">
        <f t="shared" si="167"/>
        <v>1732745.3509999998</v>
      </c>
      <c r="M66" s="8">
        <f>SUM(M62:M65)</f>
        <v>28000.193999999956</v>
      </c>
      <c r="N66" s="8">
        <f>SUM(N62:N65)</f>
        <v>192494.35600000009</v>
      </c>
      <c r="O66" s="8">
        <f t="shared" si="167"/>
        <v>247062.75500000006</v>
      </c>
      <c r="P66" s="8"/>
      <c r="Q66" s="8">
        <f t="shared" si="166"/>
        <v>199246.024</v>
      </c>
      <c r="R66" s="8">
        <f t="shared" si="166"/>
        <v>130851.25499999992</v>
      </c>
      <c r="S66" s="8">
        <f t="shared" si="166"/>
        <v>-96921.086999999912</v>
      </c>
      <c r="T66" s="8">
        <f t="shared" si="166"/>
        <v>158861.63400000022</v>
      </c>
      <c r="U66" s="8">
        <f t="shared" si="166"/>
        <v>173201.79799999998</v>
      </c>
      <c r="V66" s="8">
        <f t="shared" si="166"/>
        <v>141351.48600000003</v>
      </c>
      <c r="W66" s="8">
        <f t="shared" si="166"/>
        <v>239306.28299999985</v>
      </c>
      <c r="X66" s="8">
        <f t="shared" si="166"/>
        <v>220537.30300000013</v>
      </c>
      <c r="Y66" s="8">
        <f t="shared" si="166"/>
        <v>105991.98299999998</v>
      </c>
      <c r="Z66" s="8">
        <f t="shared" si="166"/>
        <v>193235.21299999999</v>
      </c>
      <c r="AA66" s="8">
        <f t="shared" si="166"/>
        <v>185925.76400000011</v>
      </c>
      <c r="AB66" s="8">
        <f t="shared" ref="AB66:AH66" si="168">SUM(AB62:AB65)</f>
        <v>213008.24099999975</v>
      </c>
      <c r="AC66" s="8">
        <f t="shared" si="168"/>
        <v>210809.98499999993</v>
      </c>
      <c r="AD66" s="8">
        <f t="shared" si="168"/>
        <v>205140.09600000011</v>
      </c>
      <c r="AE66" s="8">
        <f t="shared" si="168"/>
        <v>274718.1289999999</v>
      </c>
      <c r="AF66" s="8">
        <f t="shared" si="168"/>
        <v>982969.30400000024</v>
      </c>
      <c r="AG66" s="8">
        <f t="shared" si="168"/>
        <v>290170.60800000001</v>
      </c>
      <c r="AH66" s="8">
        <f t="shared" si="168"/>
        <v>239621.92000000004</v>
      </c>
      <c r="AI66" s="8">
        <f t="shared" ref="AI66:AN66" si="169">SUM(AI62:AI65)</f>
        <v>411393.79800000001</v>
      </c>
      <c r="AJ66" s="8">
        <f t="shared" si="169"/>
        <v>343173.48600000003</v>
      </c>
      <c r="AK66" s="8">
        <f t="shared" si="169"/>
        <v>186133.51399999997</v>
      </c>
      <c r="AL66" s="8">
        <f t="shared" si="169"/>
        <v>427770.94899999991</v>
      </c>
      <c r="AM66" s="8">
        <f t="shared" si="169"/>
        <v>289500.79800000007</v>
      </c>
      <c r="AN66" s="8">
        <f t="shared" si="169"/>
        <v>307290.86999999976</v>
      </c>
      <c r="AO66" s="8">
        <f t="shared" ref="AO66:AU66" si="170">SUM(AO62:AO65)</f>
        <v>279614.69400000002</v>
      </c>
      <c r="AP66" s="8">
        <f t="shared" si="170"/>
        <v>1226753.659</v>
      </c>
      <c r="AQ66" s="8">
        <f t="shared" si="170"/>
        <v>318036.53699999995</v>
      </c>
      <c r="AR66" s="8">
        <f t="shared" si="170"/>
        <v>354000.9859999998</v>
      </c>
      <c r="AS66" s="8">
        <f t="shared" si="170"/>
        <v>-131672.66700000002</v>
      </c>
      <c r="AT66" s="8">
        <f t="shared" si="170"/>
        <v>22713.212999999974</v>
      </c>
      <c r="AU66" s="8">
        <f t="shared" si="170"/>
        <v>166925.25400000002</v>
      </c>
      <c r="AV66" s="8">
        <f t="shared" ref="AV66:BB66" si="171">SUM(AV62:AV65)</f>
        <v>1674779.551</v>
      </c>
      <c r="AW66" s="8">
        <f t="shared" si="171"/>
        <v>-31608.886000000006</v>
      </c>
      <c r="AX66" s="8">
        <f t="shared" si="171"/>
        <v>-21551.934999999965</v>
      </c>
      <c r="AY66" s="8">
        <f t="shared" si="171"/>
        <v>-21090.718999999997</v>
      </c>
      <c r="AZ66" s="8">
        <f t="shared" si="171"/>
        <v>102251.73399999992</v>
      </c>
      <c r="BA66" s="8">
        <f t="shared" si="171"/>
        <v>-25189.085000000003</v>
      </c>
      <c r="BB66" s="8">
        <f t="shared" si="171"/>
        <v>54447.895999999979</v>
      </c>
      <c r="BC66" s="8">
        <f>SUM(BC62:BC65)</f>
        <v>78313.719000000056</v>
      </c>
      <c r="BD66" s="8">
        <f>SUM(BD62:BD65)</f>
        <v>84921.826000000001</v>
      </c>
      <c r="BE66" s="8">
        <f>SUM(BE62:BE65)</f>
        <v>29379.313999999998</v>
      </c>
    </row>
    <row r="67" spans="2:58" s="5" customFormat="1">
      <c r="B67" s="7" t="s">
        <v>317</v>
      </c>
      <c r="C67" s="4">
        <f>863.574+4143.045</f>
        <v>5006.6189999999997</v>
      </c>
      <c r="D67" s="4">
        <v>2018.4259999999999</v>
      </c>
      <c r="E67" s="4">
        <v>1701.201</v>
      </c>
      <c r="F67" s="4">
        <v>1996.0419999999999</v>
      </c>
      <c r="G67" s="4">
        <v>0</v>
      </c>
      <c r="H67" s="4">
        <f>-153141.449</f>
        <v>-153141.44899999999</v>
      </c>
      <c r="I67" s="4">
        <v>-233660.003</v>
      </c>
      <c r="J67" s="4">
        <f>139525.125+7652.715</f>
        <v>147177.84</v>
      </c>
      <c r="K67" s="4">
        <v>121892.01300000001</v>
      </c>
      <c r="L67" s="4">
        <v>767.36500000000001</v>
      </c>
      <c r="M67" s="4">
        <v>-79714.429999999993</v>
      </c>
      <c r="N67" s="4">
        <v>178081.53099999999</v>
      </c>
      <c r="O67" s="96">
        <f t="shared" si="158"/>
        <v>88520.659999999989</v>
      </c>
      <c r="P67" s="96"/>
      <c r="Q67" s="4">
        <v>1701.201</v>
      </c>
      <c r="R67" s="4">
        <f>1701.201-Q67</f>
        <v>0</v>
      </c>
      <c r="S67" s="4">
        <f>1701.201-39302.242-R67-Q67</f>
        <v>-39302.241999999998</v>
      </c>
      <c r="T67" s="6">
        <f>IFERROR(E67-SUM(Q67:S67),"NA")</f>
        <v>39302.241999999998</v>
      </c>
      <c r="U67" s="4">
        <v>1996.0419999999999</v>
      </c>
      <c r="V67" s="4">
        <f>1996.042-U67</f>
        <v>0</v>
      </c>
      <c r="W67" s="4">
        <f>1996.042-V67-U67</f>
        <v>0</v>
      </c>
      <c r="X67" s="6">
        <f>+IFERROR(F67-U67-V67-W67,"NA")</f>
        <v>0</v>
      </c>
      <c r="Y67" s="4">
        <v>0</v>
      </c>
      <c r="Z67" s="4">
        <f>-Y67</f>
        <v>0</v>
      </c>
      <c r="AA67" s="4">
        <f>-Z67-Y67</f>
        <v>0</v>
      </c>
      <c r="AB67" s="6">
        <f>G67-AA67-Z67-Y67</f>
        <v>0</v>
      </c>
      <c r="AC67" s="4">
        <v>0</v>
      </c>
      <c r="AD67" s="4">
        <f>-AC67</f>
        <v>0</v>
      </c>
      <c r="AE67" s="4">
        <f>-AD67-AC67</f>
        <v>0</v>
      </c>
      <c r="AF67" s="96">
        <f>H67-AE67-AD67-AC67</f>
        <v>-153141.44899999999</v>
      </c>
      <c r="AG67" s="4">
        <v>-17486.672999999999</v>
      </c>
      <c r="AH67" s="4">
        <f>82201.517-AG67</f>
        <v>99688.19</v>
      </c>
      <c r="AI67" s="4">
        <f>-90471.479-AH67-AG67</f>
        <v>-172672.99599999998</v>
      </c>
      <c r="AJ67" s="96">
        <f>I67-AI67-AH67-AG67</f>
        <v>-143188.524</v>
      </c>
      <c r="AK67" s="4">
        <v>-30033.462</v>
      </c>
      <c r="AL67" s="4">
        <f>-34259.594+7652.715-AK67</f>
        <v>3426.5830000000024</v>
      </c>
      <c r="AM67" s="4">
        <f>-26448.415-AL67-AK67</f>
        <v>158.4639999999963</v>
      </c>
      <c r="AN67" s="96">
        <f>J67-AM67-AL67-AK67</f>
        <v>173626.25499999998</v>
      </c>
      <c r="AO67" s="4">
        <v>27515.073</v>
      </c>
      <c r="AP67" s="4">
        <f>19246.829-AO67</f>
        <v>-8268.2439999999988</v>
      </c>
      <c r="AQ67" s="4">
        <f>89701.948-AP67-AO67</f>
        <v>70455.119000000006</v>
      </c>
      <c r="AR67" s="96">
        <f>K67-AO67-AP67-AQ67</f>
        <v>32190.065000000002</v>
      </c>
      <c r="AS67" s="4">
        <v>2050.145</v>
      </c>
      <c r="AT67" s="4">
        <f>23630.777-AS67</f>
        <v>21580.631999999998</v>
      </c>
      <c r="AU67" s="4">
        <f>-2190.232-AT67-AS67</f>
        <v>-25821.008999999998</v>
      </c>
      <c r="AV67" s="96">
        <f>L67-AS67-AT67-AU67</f>
        <v>2957.5970000000016</v>
      </c>
      <c r="AW67" s="4">
        <v>-180029.97</v>
      </c>
      <c r="AX67" s="4">
        <f>-207253.221-AW67</f>
        <v>-27223.250999999989</v>
      </c>
      <c r="AY67" s="4">
        <f>-52444.337-AX67-AW67</f>
        <v>154808.88399999999</v>
      </c>
      <c r="AZ67" s="96">
        <f>M67-AW67-AX67-AY67</f>
        <v>-27270.092999999993</v>
      </c>
      <c r="BA67" s="4">
        <v>105338.255</v>
      </c>
      <c r="BB67" s="4">
        <f>193858.915-BA67</f>
        <v>88520.66</v>
      </c>
      <c r="BC67" s="4">
        <f>193858.915-BB67-BA67</f>
        <v>0</v>
      </c>
      <c r="BD67" s="96">
        <f>N67-BA67-BB67-BC67</f>
        <v>-15777.38400000002</v>
      </c>
      <c r="BE67" s="4">
        <v>15777.384</v>
      </c>
    </row>
    <row r="68" spans="2:58">
      <c r="B68" s="7" t="s">
        <v>318</v>
      </c>
      <c r="C68" s="4">
        <v>0</v>
      </c>
      <c r="D68" s="4">
        <v>0</v>
      </c>
      <c r="E68" s="4">
        <v>353703.38099999999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  <c r="O68" s="96">
        <f t="shared" si="158"/>
        <v>0</v>
      </c>
      <c r="P68" s="96"/>
      <c r="Q68" s="4">
        <v>0</v>
      </c>
      <c r="R68" s="4">
        <f>3142.266-Q68</f>
        <v>3142.2660000000001</v>
      </c>
      <c r="S68" s="4">
        <f>353703.381-R68-Q68</f>
        <v>350561.11499999999</v>
      </c>
      <c r="T68" s="6">
        <f>IFERROR(E68-SUM(Q68:S68),"NA")</f>
        <v>0</v>
      </c>
      <c r="U68" s="4">
        <v>0</v>
      </c>
      <c r="V68" s="4">
        <f>-U68</f>
        <v>0</v>
      </c>
      <c r="W68" s="4">
        <f>-V68-U68</f>
        <v>0</v>
      </c>
      <c r="X68" s="6">
        <f>+IFERROR(F68-U68-V68-W68,"NA")</f>
        <v>0</v>
      </c>
      <c r="Y68" s="4">
        <v>0</v>
      </c>
      <c r="Z68" s="4">
        <f>-Y68</f>
        <v>0</v>
      </c>
      <c r="AA68" s="4">
        <f>-Z68-Y68</f>
        <v>0</v>
      </c>
      <c r="AB68" s="6">
        <f>G68-AA68-Z68-Y68</f>
        <v>0</v>
      </c>
      <c r="AC68" s="4">
        <v>0</v>
      </c>
      <c r="AD68" s="4">
        <f>-AC68</f>
        <v>0</v>
      </c>
      <c r="AE68" s="4">
        <f>-AD68-AC68</f>
        <v>0</v>
      </c>
      <c r="AF68" s="96">
        <f>H68-AE68-AD68-AC68</f>
        <v>0</v>
      </c>
      <c r="AG68" s="4">
        <v>0</v>
      </c>
      <c r="AH68" s="4">
        <f>0-AG68</f>
        <v>0</v>
      </c>
      <c r="AI68" s="4">
        <f>-AH68-AG68</f>
        <v>0</v>
      </c>
      <c r="AJ68" s="96">
        <f>I68-AI68-AH68-AG68</f>
        <v>0</v>
      </c>
      <c r="AK68" s="4">
        <v>0</v>
      </c>
      <c r="AL68" s="4">
        <f>0-AK68</f>
        <v>0</v>
      </c>
      <c r="AM68" s="4">
        <f>-AL68-AK68</f>
        <v>0</v>
      </c>
      <c r="AN68" s="96">
        <f>J68-AM68-AL68-AK68</f>
        <v>0</v>
      </c>
      <c r="AO68" s="4">
        <v>0</v>
      </c>
      <c r="AP68" s="4">
        <f>0-AO68</f>
        <v>0</v>
      </c>
      <c r="AQ68" s="4">
        <f>0-AP68-AO68</f>
        <v>0</v>
      </c>
      <c r="AR68" s="96">
        <f>K68-AO68-AP68-AQ68</f>
        <v>0</v>
      </c>
      <c r="AS68" s="4">
        <v>0</v>
      </c>
      <c r="AT68" s="4">
        <f>0-AS68</f>
        <v>0</v>
      </c>
      <c r="AU68" s="4">
        <f>0-AT68-AS68</f>
        <v>0</v>
      </c>
      <c r="AV68" s="96">
        <f>L68-AS68-AT68-AU68</f>
        <v>0</v>
      </c>
      <c r="AW68" s="4">
        <v>0</v>
      </c>
      <c r="AX68" s="4">
        <f>0-AW68</f>
        <v>0</v>
      </c>
      <c r="AY68" s="4">
        <f>0-AX68-AW68</f>
        <v>0</v>
      </c>
      <c r="AZ68" s="96">
        <f>M68-AW68-AX68-AY68</f>
        <v>0</v>
      </c>
      <c r="BA68" s="4">
        <v>0</v>
      </c>
      <c r="BB68" s="4">
        <f>0-BA68</f>
        <v>0</v>
      </c>
      <c r="BC68" s="4">
        <f>0-BB68-BA68</f>
        <v>0</v>
      </c>
      <c r="BD68" s="96">
        <f>N68-BA68-BB68-BC68</f>
        <v>0</v>
      </c>
      <c r="BE68" s="4">
        <v>0</v>
      </c>
    </row>
    <row r="69" spans="2:58">
      <c r="B69" s="7" t="s">
        <v>319</v>
      </c>
      <c r="C69" s="4">
        <f>-55101.61+1.367</f>
        <v>-55100.243000000002</v>
      </c>
      <c r="D69" s="4">
        <f>-9091.059+0</f>
        <v>-9091.0589999999993</v>
      </c>
      <c r="E69" s="4">
        <f>-37.482+2.9</f>
        <v>-34.582000000000001</v>
      </c>
      <c r="F69" s="4">
        <f>-10309.263+2.016</f>
        <v>-10307.247000000001</v>
      </c>
      <c r="G69" s="4">
        <f>-13304.915+2.064</f>
        <v>-13302.851000000001</v>
      </c>
      <c r="H69" s="4">
        <f>-21.514+2.125</f>
        <v>-19.388999999999999</v>
      </c>
      <c r="I69" s="4">
        <f>-46476.842+2.502</f>
        <v>-46474.34</v>
      </c>
      <c r="J69" s="4">
        <f>-253366.851+0</f>
        <v>-253366.851</v>
      </c>
      <c r="K69" s="4">
        <v>-374267.09499999997</v>
      </c>
      <c r="L69" s="4">
        <v>-28442.741000000002</v>
      </c>
      <c r="M69" s="4">
        <v>-86224.531000000003</v>
      </c>
      <c r="N69" s="4">
        <v>-73673.691999999995</v>
      </c>
      <c r="O69" s="96">
        <f t="shared" si="158"/>
        <v>-73669.89</v>
      </c>
      <c r="P69" s="96"/>
      <c r="Q69" s="4">
        <v>-0.63</v>
      </c>
      <c r="R69" s="4">
        <f>-24.657-Q69</f>
        <v>-24.027000000000001</v>
      </c>
      <c r="S69" s="4">
        <f>-29.903-R69-Q69</f>
        <v>-5.2459999999999978</v>
      </c>
      <c r="T69" s="6">
        <f>IFERROR(E69-SUM(Q69:S69),"NA")</f>
        <v>-4.679000000000002</v>
      </c>
      <c r="U69" s="4">
        <f>-13.071</f>
        <v>-13.071</v>
      </c>
      <c r="V69" s="4">
        <f>-10301.919-U69</f>
        <v>-10288.848</v>
      </c>
      <c r="W69" s="4">
        <f>-10295.847-V69-U69</f>
        <v>6.0720000000002035</v>
      </c>
      <c r="X69" s="6">
        <f>+IFERROR(F69-U69-V69-W69,"NA")</f>
        <v>-11.400000000001542</v>
      </c>
      <c r="Y69" s="4">
        <f>-0.562</f>
        <v>-0.56200000000000006</v>
      </c>
      <c r="Z69" s="4">
        <f>-13302.585-Y69</f>
        <v>-13302.022999999999</v>
      </c>
      <c r="AA69" s="4">
        <f>-13292.451-Z69-Y69</f>
        <v>10.134000000000116</v>
      </c>
      <c r="AB69" s="6">
        <f>G69-AA69-Z69-Y69</f>
        <v>-10.400000000001354</v>
      </c>
      <c r="AC69" s="4">
        <v>-44.494999999999997</v>
      </c>
      <c r="AD69" s="4">
        <f>-16.611-AC69</f>
        <v>27.883999999999997</v>
      </c>
      <c r="AE69" s="4">
        <f>-16.859-AD69-AC69</f>
        <v>-0.24799999999999756</v>
      </c>
      <c r="AF69" s="96">
        <f>H69-AE69-AD69-AC69</f>
        <v>-2.5300000000000011</v>
      </c>
      <c r="AG69" s="4">
        <v>0</v>
      </c>
      <c r="AH69" s="4">
        <f>-46515.3-AG69</f>
        <v>-46515.3</v>
      </c>
      <c r="AI69" s="4">
        <f>-46471.826-AH69-AG69</f>
        <v>43.474000000001979</v>
      </c>
      <c r="AJ69" s="96">
        <f>I69-AI69-AH69-AG69</f>
        <v>-2.5139999999955762</v>
      </c>
      <c r="AK69" s="4">
        <v>-2.9430000000000001</v>
      </c>
      <c r="AL69" s="4">
        <f>-41987.645-AK69</f>
        <v>-41984.701999999997</v>
      </c>
      <c r="AM69" s="4">
        <f>-41950.512-AL69-AK69</f>
        <v>37.13299999999505</v>
      </c>
      <c r="AN69" s="96">
        <f>J69-AM69-AL69-AK69</f>
        <v>-211416.33900000001</v>
      </c>
      <c r="AO69" s="4">
        <v>0</v>
      </c>
      <c r="AP69" s="4">
        <f>-344167.415-AO69</f>
        <v>-344167.41499999998</v>
      </c>
      <c r="AQ69" s="4">
        <f>-343968.166-AP69-AO69</f>
        <v>199.2489999999525</v>
      </c>
      <c r="AR69" s="96">
        <f>K69-AO69-AP69-AQ69</f>
        <v>-30298.928999999946</v>
      </c>
      <c r="AS69" s="4">
        <v>-23.141999999999999</v>
      </c>
      <c r="AT69" s="4">
        <f>-28416.496-AS69</f>
        <v>-28393.353999999999</v>
      </c>
      <c r="AU69" s="4">
        <f>-28415.717-AT69-AS69</f>
        <v>0.7789999999988062</v>
      </c>
      <c r="AV69" s="96">
        <f>L69-AS69-AT69-AU69</f>
        <v>-27.024000000001426</v>
      </c>
      <c r="AW69" s="4">
        <v>-0.20699999999999999</v>
      </c>
      <c r="AX69" s="4">
        <f>-71118.173-AW69</f>
        <v>-71117.966</v>
      </c>
      <c r="AY69" s="4">
        <f>-71076.356-AX69-AW69</f>
        <v>41.817000000000583</v>
      </c>
      <c r="AZ69" s="96">
        <f>M69-AW69-AX69-AY69</f>
        <v>-15148.175000000008</v>
      </c>
      <c r="BA69" s="4">
        <v>-3.802</v>
      </c>
      <c r="BB69" s="4">
        <f>-38964.875-BA69</f>
        <v>-38961.072999999997</v>
      </c>
      <c r="BC69" s="4">
        <f>-38941.723-BB69-BA69</f>
        <v>23.151999999998544</v>
      </c>
      <c r="BD69" s="96">
        <f>N69-BA69-BB69-BC69</f>
        <v>-34731.969000000005</v>
      </c>
      <c r="BE69" s="4">
        <v>0</v>
      </c>
    </row>
    <row r="70" spans="2:58">
      <c r="B70" s="7" t="s">
        <v>320</v>
      </c>
      <c r="C70" s="4">
        <f>621015.32+279667.148-421515.178-2837.334</f>
        <v>476329.95599999989</v>
      </c>
      <c r="D70" s="4">
        <f>23061.254-23061.254-1136.67</f>
        <v>-1136.67</v>
      </c>
      <c r="E70" s="4">
        <f>163809.658-163809.658-464.426</f>
        <v>-464.42599999999999</v>
      </c>
      <c r="F70" s="4">
        <f>298201.75+36274.474-238334.207-1303.725</f>
        <v>94838.291999999987</v>
      </c>
      <c r="G70" s="4">
        <f>55076.8+239729.272-240816.952-1096.743</f>
        <v>52892.376999999993</v>
      </c>
      <c r="H70" s="4">
        <f>224433.122+408410.738-571382.276-91748.232</f>
        <v>-30286.647999999972</v>
      </c>
      <c r="I70" s="4">
        <f>2403.9+92032.202-155218.823-97187.05</f>
        <v>-157969.77100000001</v>
      </c>
      <c r="J70" s="4">
        <f>627295.067+110551.916-718712.876-96740.586</f>
        <v>-77606.479000000036</v>
      </c>
      <c r="K70" s="4">
        <f>0+244729.545-341900.102-113469.413</f>
        <v>-210639.97</v>
      </c>
      <c r="L70" s="4">
        <f>0+196695.253-338773.16-142777.05</f>
        <v>-284854.95699999994</v>
      </c>
      <c r="M70" s="4">
        <f>59520.233-317230.813-147507.683</f>
        <v>-405218.26300000004</v>
      </c>
      <c r="N70" s="4">
        <f>373624.749-723759.533-155490.847</f>
        <v>-505625.63100000005</v>
      </c>
      <c r="O70" s="96">
        <f t="shared" si="158"/>
        <v>-508689.53600000008</v>
      </c>
      <c r="P70" s="96"/>
      <c r="Q70" s="4">
        <f>808.578-808.578-306.948</f>
        <v>-306.94799999999998</v>
      </c>
      <c r="R70" s="4">
        <f>7889.786-7889.786-428.152-Q70</f>
        <v>-121.20400000000001</v>
      </c>
      <c r="S70" s="4">
        <f>153836.13-153836.13-455.255-R70-Q70</f>
        <v>-27.103000000000009</v>
      </c>
      <c r="T70" s="6">
        <f>IFERROR(E70-SUM(Q70:S70),"NA")</f>
        <v>-9.1709999999999923</v>
      </c>
      <c r="U70" s="4">
        <f>10459.458-10459.458-313.509</f>
        <v>-313.50900000000001</v>
      </c>
      <c r="V70" s="4">
        <f>298201.75+19423.878-218268.943-636.256-U70</f>
        <v>99033.938000000038</v>
      </c>
      <c r="W70" s="4">
        <f>298201.75+22026.387-220865.162-966.086-V70-U70</f>
        <v>-323.54000000005726</v>
      </c>
      <c r="X70" s="6">
        <f>+IFERROR(F70-U70-V70-W70,"NA")</f>
        <v>-3558.5969999999888</v>
      </c>
      <c r="Y70" s="4">
        <v>-330.22500000000002</v>
      </c>
      <c r="Z70" s="4">
        <f>66404.06-66339.677-635.624-Y70</f>
        <v>-241.01599999999837</v>
      </c>
      <c r="AA70" s="4">
        <f>127863.848-127785.743-927.478-Z70-Y70</f>
        <v>-278.13200000000563</v>
      </c>
      <c r="AB70" s="6">
        <f>G70-AA70-Z70-Y70</f>
        <v>53741.749999999993</v>
      </c>
      <c r="AC70" s="4">
        <f>102992.499-102987.793-12855.728</f>
        <v>-12851.022000000008</v>
      </c>
      <c r="AD70" s="4">
        <f>243220.805-207466.206-34716.778-AC70</f>
        <v>13888.842999999997</v>
      </c>
      <c r="AE70" s="4">
        <f>359559.731-346651.937-51310.922-AD70-AC70</f>
        <v>-39440.948999999935</v>
      </c>
      <c r="AF70" s="96">
        <f>H70-AE70-AD70-AC70</f>
        <v>8116.4799999999741</v>
      </c>
      <c r="AG70" s="4">
        <f>47825.786-108127.098-17812.105</f>
        <v>-78113.417000000001</v>
      </c>
      <c r="AH70" s="4">
        <f>62387.364-118259.135-44457.6-AG70</f>
        <v>-22215.953999999983</v>
      </c>
      <c r="AI70" s="4">
        <f>2403.9+74020.784-133775.301-65581.699-AH70-AG70</f>
        <v>-22602.945000000022</v>
      </c>
      <c r="AJ70" s="96">
        <f>I70-AI70-AH70-AG70</f>
        <v>-35037.455000000016</v>
      </c>
      <c r="AK70" s="4">
        <f>35676.369-36561.474-23731.079</f>
        <v>-24616.184000000005</v>
      </c>
      <c r="AL70" s="4">
        <f>38984.774-40806.431-52282.123-AK70</f>
        <v>-29487.595999999994</v>
      </c>
      <c r="AM70" s="4">
        <f>627408+63673.765-67013.084-75716.443-AL70-AK70</f>
        <v>602456.01800000004</v>
      </c>
      <c r="AN70" s="96">
        <f>J70-AM70-AL70-AK70</f>
        <v>-625958.71700000006</v>
      </c>
      <c r="AO70" s="4">
        <f>55713.961-27599.635-25694.716</f>
        <v>2419.6100000000042</v>
      </c>
      <c r="AP70" s="4">
        <f>113870.526-64200.602-49776.012-AO70</f>
        <v>-2525.6980000000076</v>
      </c>
      <c r="AQ70" s="4">
        <f>167156.444-93776.518-80981.675-AP70-AO70</f>
        <v>-7495.6610000000073</v>
      </c>
      <c r="AR70" s="96">
        <f>K70-AO70-AP70-AQ70</f>
        <v>-203038.22100000002</v>
      </c>
      <c r="AS70" s="4">
        <f>48235.014-54857.149-34636.53</f>
        <v>-41258.664999999994</v>
      </c>
      <c r="AT70" s="4">
        <f>50472.605-55297.487-60249.364-AS70</f>
        <v>-23815.581000000006</v>
      </c>
      <c r="AU70" s="4">
        <f>88157.94-88711.598-104000.523-AT70-AS70</f>
        <v>-39479.934999999998</v>
      </c>
      <c r="AV70" s="96">
        <f>L70-AS70-AT70-AU70</f>
        <v>-180300.77599999995</v>
      </c>
      <c r="AW70" s="4">
        <f>19852.256-50787.239-29136.64</f>
        <v>-60071.623</v>
      </c>
      <c r="AX70" s="4">
        <f>23154.86-95269.191-73472.952-AW70</f>
        <v>-85515.66</v>
      </c>
      <c r="AY70" s="4">
        <f>31783.861-111923.282-111577.157-AX70-AW70</f>
        <v>-46129.295000000006</v>
      </c>
      <c r="AZ70" s="96">
        <f>M70-AW70-AX70-AY70</f>
        <v>-213501.685</v>
      </c>
      <c r="BA70" s="4">
        <f>7115.508-7225.411-34507.251</f>
        <v>-34617.153999999995</v>
      </c>
      <c r="BB70" s="4">
        <f>77947.146+38654.295-84163.77-75132.485-BA70</f>
        <v>-8077.660000000018</v>
      </c>
      <c r="BC70" s="4">
        <f>253494.146+108121.633-696678.891-113221.416-BB70-BA70</f>
        <v>-405589.71399999992</v>
      </c>
      <c r="BD70" s="96">
        <f>N70-BA70-BB70-BC70</f>
        <v>-57341.103000000119</v>
      </c>
      <c r="BE70" s="4">
        <f>944.936-944.936-37681.059</f>
        <v>-37681.059000000001</v>
      </c>
    </row>
    <row r="71" spans="2:58">
      <c r="B71" s="7" t="s">
        <v>321</v>
      </c>
      <c r="C71" s="4">
        <v>24042.985000000001</v>
      </c>
      <c r="D71" s="4">
        <v>39073.892999999996</v>
      </c>
      <c r="E71" s="4">
        <v>-16493.821</v>
      </c>
      <c r="F71" s="4">
        <v>-24769.174999999999</v>
      </c>
      <c r="G71" s="4">
        <v>429.60899999999998</v>
      </c>
      <c r="H71" s="4">
        <v>20287.901999999998</v>
      </c>
      <c r="I71" s="4">
        <v>24813.956999999999</v>
      </c>
      <c r="J71" s="4">
        <v>19468.496999999999</v>
      </c>
      <c r="K71" s="4">
        <v>22521.106</v>
      </c>
      <c r="L71" s="4">
        <v>-2886.1790000000001</v>
      </c>
      <c r="M71" s="4">
        <v>21026.526999999998</v>
      </c>
      <c r="N71" s="4">
        <v>278738.174</v>
      </c>
      <c r="O71" s="96">
        <f t="shared" si="158"/>
        <v>225152.905</v>
      </c>
      <c r="P71" s="96"/>
      <c r="Q71" s="4">
        <v>8594.2620000000006</v>
      </c>
      <c r="R71" s="4">
        <f>129.666-Q71</f>
        <v>-8464.5960000000014</v>
      </c>
      <c r="S71" s="4">
        <f>-9972.714-R71-Q71</f>
        <v>-10102.379999999999</v>
      </c>
      <c r="T71" s="6">
        <f>IFERROR(E71-SUM(Q71:S71),"NA")</f>
        <v>-6521.107</v>
      </c>
      <c r="U71" s="4">
        <v>-4634.4660000000003</v>
      </c>
      <c r="V71" s="4">
        <f>-9623.102-U71</f>
        <v>-4988.6360000000004</v>
      </c>
      <c r="W71" s="4">
        <f>-20549.38-V71-U71</f>
        <v>-10926.278</v>
      </c>
      <c r="X71" s="6">
        <f>+IFERROR(F71-U71-V71-W71,"NA")</f>
        <v>-4219.7949999999983</v>
      </c>
      <c r="Y71" s="4">
        <v>-6124.3729999999996</v>
      </c>
      <c r="Z71" s="4">
        <f>-7790.535-Y71</f>
        <v>-1666.1620000000003</v>
      </c>
      <c r="AA71" s="4">
        <f>-4382.997-Z71-Y71</f>
        <v>3407.5379999999996</v>
      </c>
      <c r="AB71" s="6">
        <f>G71-AA71-Z71-Y71</f>
        <v>4812.6059999999998</v>
      </c>
      <c r="AC71" s="4">
        <v>-706.58500000000004</v>
      </c>
      <c r="AD71" s="4">
        <f>1100.75-AC71</f>
        <v>1807.335</v>
      </c>
      <c r="AE71" s="4">
        <f>13366.543-AD71-AC71</f>
        <v>12265.792999999998</v>
      </c>
      <c r="AF71" s="96">
        <f>H71-AE71-AD71-AC71</f>
        <v>6921.3590000000004</v>
      </c>
      <c r="AG71" s="4">
        <v>3496.8850000000002</v>
      </c>
      <c r="AH71" s="4">
        <f>19607.222-AG71</f>
        <v>16110.337000000001</v>
      </c>
      <c r="AI71" s="4">
        <f>22976.503-AH71-AG71</f>
        <v>3369.280999999999</v>
      </c>
      <c r="AJ71" s="96">
        <f>I71-AI71-AH71-AG71</f>
        <v>1837.4539999999979</v>
      </c>
      <c r="AK71" s="4">
        <v>-6348.982</v>
      </c>
      <c r="AL71" s="4">
        <f>4458.573-AK71</f>
        <v>10807.555</v>
      </c>
      <c r="AM71" s="4">
        <f>581.469-AL71-AK71</f>
        <v>-3877.1039999999994</v>
      </c>
      <c r="AN71" s="96">
        <f>J71-AM71-AL71-AK71</f>
        <v>18887.027999999998</v>
      </c>
      <c r="AO71" s="4">
        <v>-8602.5969999999998</v>
      </c>
      <c r="AP71" s="4">
        <f>-1962.366-AO71</f>
        <v>6640.2309999999998</v>
      </c>
      <c r="AQ71" s="4">
        <f>201.734-AP71-AO71</f>
        <v>2164.1000000000004</v>
      </c>
      <c r="AR71" s="96">
        <f>K71-AO71-AP71-AQ71</f>
        <v>22319.372000000003</v>
      </c>
      <c r="AS71" s="4">
        <v>-4312.0429999999997</v>
      </c>
      <c r="AT71" s="4">
        <f>-9892.523-AS71</f>
        <v>-5580.48</v>
      </c>
      <c r="AU71" s="4">
        <f>-12585.925-AT71-AS71</f>
        <v>-2693.402</v>
      </c>
      <c r="AV71" s="96">
        <f>L71-AS71-AT71-AU71</f>
        <v>9699.7459999999992</v>
      </c>
      <c r="AW71" s="4">
        <v>5769.7349999999997</v>
      </c>
      <c r="AX71" s="4">
        <f>2164.174-AW71</f>
        <v>-3605.5609999999997</v>
      </c>
      <c r="AY71" s="4">
        <f>12674.677-AX71-AW71</f>
        <v>10510.503000000001</v>
      </c>
      <c r="AZ71" s="96">
        <f>M71-AW71-AX71-AY71</f>
        <v>8351.8499999999949</v>
      </c>
      <c r="BA71" s="4">
        <v>7323.0649999999996</v>
      </c>
      <c r="BB71" s="4">
        <f>5293.919-BA71</f>
        <v>-2029.1459999999997</v>
      </c>
      <c r="BC71" s="4">
        <f>283030.467 -BB71-BA71</f>
        <v>277736.54800000001</v>
      </c>
      <c r="BD71" s="96">
        <f>N71-BA71-BB71-BC71</f>
        <v>-4292.2930000000051</v>
      </c>
      <c r="BE71" s="4">
        <v>-46262.203999999998</v>
      </c>
    </row>
    <row r="72" spans="2:58" s="5" customFormat="1">
      <c r="B72" s="15" t="s">
        <v>322</v>
      </c>
      <c r="C72" s="8">
        <f t="shared" ref="C72:I72" si="172">SUM(C66:C71)</f>
        <v>1066683.1499999997</v>
      </c>
      <c r="D72" s="8">
        <f t="shared" si="172"/>
        <v>464597.13200000016</v>
      </c>
      <c r="E72" s="8">
        <f t="shared" si="172"/>
        <v>730449.57900000003</v>
      </c>
      <c r="F72" s="8">
        <f t="shared" si="172"/>
        <v>836154.78199999989</v>
      </c>
      <c r="G72" s="8">
        <f t="shared" si="172"/>
        <v>738180.33599999989</v>
      </c>
      <c r="H72" s="8">
        <f t="shared" si="172"/>
        <v>1510477.9300000002</v>
      </c>
      <c r="I72" s="8">
        <f t="shared" si="172"/>
        <v>871069.65499999991</v>
      </c>
      <c r="J72" s="8">
        <f t="shared" ref="J72:O72" si="173">SUM(J66:J71)</f>
        <v>1046369.138</v>
      </c>
      <c r="K72" s="8">
        <f t="shared" si="173"/>
        <v>1737911.9299999995</v>
      </c>
      <c r="L72" s="8">
        <f t="shared" si="173"/>
        <v>1417328.8389999999</v>
      </c>
      <c r="M72" s="8">
        <f t="shared" si="173"/>
        <v>-522130.50300000003</v>
      </c>
      <c r="N72" s="8">
        <f t="shared" si="173"/>
        <v>70014.73800000007</v>
      </c>
      <c r="O72" s="8">
        <f t="shared" si="173"/>
        <v>-21623.106000000058</v>
      </c>
      <c r="P72" s="8"/>
      <c r="Q72" s="8">
        <f t="shared" ref="Q72:AA72" si="174">SUM(Q66:Q71)</f>
        <v>209233.90899999999</v>
      </c>
      <c r="R72" s="8">
        <f t="shared" si="174"/>
        <v>125383.69399999992</v>
      </c>
      <c r="S72" s="8">
        <f t="shared" si="174"/>
        <v>204203.05700000006</v>
      </c>
      <c r="T72" s="8">
        <f t="shared" si="174"/>
        <v>191628.91900000023</v>
      </c>
      <c r="U72" s="8">
        <f t="shared" si="174"/>
        <v>170236.79399999999</v>
      </c>
      <c r="V72" s="8">
        <f t="shared" si="174"/>
        <v>225107.94000000006</v>
      </c>
      <c r="W72" s="8">
        <f>SUM(W66:W71)</f>
        <v>228062.53699999981</v>
      </c>
      <c r="X72" s="8">
        <f t="shared" si="174"/>
        <v>212747.51100000017</v>
      </c>
      <c r="Y72" s="8">
        <f t="shared" si="174"/>
        <v>99536.822999999975</v>
      </c>
      <c r="Z72" s="8">
        <f t="shared" si="174"/>
        <v>178026.01199999999</v>
      </c>
      <c r="AA72" s="8">
        <f t="shared" si="174"/>
        <v>189065.30400000009</v>
      </c>
      <c r="AB72" s="8">
        <f t="shared" ref="AB72:AH72" si="175">SUM(AB66:AB71)</f>
        <v>271552.19699999969</v>
      </c>
      <c r="AC72" s="8">
        <f t="shared" si="175"/>
        <v>197207.88299999994</v>
      </c>
      <c r="AD72" s="8">
        <f t="shared" si="175"/>
        <v>220864.15800000008</v>
      </c>
      <c r="AE72" s="8">
        <f t="shared" si="175"/>
        <v>247542.72499999995</v>
      </c>
      <c r="AF72" s="8">
        <f t="shared" si="175"/>
        <v>844863.16400000022</v>
      </c>
      <c r="AG72" s="8">
        <f t="shared" si="175"/>
        <v>198067.40299999999</v>
      </c>
      <c r="AH72" s="8">
        <f t="shared" si="175"/>
        <v>286689.19300000009</v>
      </c>
      <c r="AI72" s="8">
        <f t="shared" ref="AI72:AN72" si="176">SUM(AI66:AI71)</f>
        <v>219530.61199999999</v>
      </c>
      <c r="AJ72" s="8">
        <f t="shared" si="176"/>
        <v>166782.44700000001</v>
      </c>
      <c r="AK72" s="8">
        <f t="shared" si="176"/>
        <v>125131.94299999996</v>
      </c>
      <c r="AL72" s="8">
        <f t="shared" si="176"/>
        <v>370532.78899999987</v>
      </c>
      <c r="AM72" s="8">
        <f t="shared" si="176"/>
        <v>888275.30900000001</v>
      </c>
      <c r="AN72" s="8">
        <f t="shared" si="176"/>
        <v>-337570.90300000034</v>
      </c>
      <c r="AO72" s="8">
        <f t="shared" ref="AO72:AU72" si="177">SUM(AO66:AO71)</f>
        <v>300946.77999999997</v>
      </c>
      <c r="AP72" s="8">
        <f t="shared" si="177"/>
        <v>878432.53300000005</v>
      </c>
      <c r="AQ72" s="8">
        <f t="shared" si="177"/>
        <v>383359.34399999987</v>
      </c>
      <c r="AR72" s="8">
        <f t="shared" si="177"/>
        <v>175173.27299999984</v>
      </c>
      <c r="AS72" s="8">
        <f t="shared" si="177"/>
        <v>-175216.37200000003</v>
      </c>
      <c r="AT72" s="8">
        <f t="shared" si="177"/>
        <v>-13495.570000000032</v>
      </c>
      <c r="AU72" s="8">
        <f t="shared" si="177"/>
        <v>98931.687000000034</v>
      </c>
      <c r="AV72" s="8">
        <f t="shared" ref="AV72:BB72" si="178">SUM(AV66:AV71)</f>
        <v>1507109.0940000003</v>
      </c>
      <c r="AW72" s="8">
        <f t="shared" si="178"/>
        <v>-265940.951</v>
      </c>
      <c r="AX72" s="8">
        <f t="shared" si="178"/>
        <v>-209014.37299999996</v>
      </c>
      <c r="AY72" s="8">
        <f t="shared" si="178"/>
        <v>98141.189999999973</v>
      </c>
      <c r="AZ72" s="8">
        <f t="shared" si="178"/>
        <v>-145316.36900000006</v>
      </c>
      <c r="BA72" s="8">
        <f t="shared" si="178"/>
        <v>52851.27900000001</v>
      </c>
      <c r="BB72" s="8">
        <f t="shared" si="178"/>
        <v>93900.676999999967</v>
      </c>
      <c r="BC72" s="8">
        <f>SUM(BC66:BC71)</f>
        <v>-49516.294999999867</v>
      </c>
      <c r="BD72" s="8">
        <f>SUM(BD66:BD71)</f>
        <v>-27220.923000000148</v>
      </c>
      <c r="BE72" s="8">
        <f>SUM(BE66:BE71)</f>
        <v>-38786.565000000002</v>
      </c>
    </row>
    <row r="73" spans="2:58" s="98" customFormat="1">
      <c r="B73" s="7" t="s">
        <v>323</v>
      </c>
      <c r="C73" s="66">
        <v>22593.597000000002</v>
      </c>
      <c r="D73" s="66">
        <v>5962.8040000000001</v>
      </c>
      <c r="E73" s="66">
        <v>-2323.404</v>
      </c>
      <c r="F73" s="66">
        <v>525.96199999999999</v>
      </c>
      <c r="G73" s="66">
        <v>628.91499999999996</v>
      </c>
      <c r="H73" s="66">
        <v>-3522.877</v>
      </c>
      <c r="I73" s="66">
        <v>-10542.67</v>
      </c>
      <c r="J73" s="66">
        <v>4813.6499999999996</v>
      </c>
      <c r="K73" s="66">
        <v>-3809.3139999999999</v>
      </c>
      <c r="L73" s="66">
        <v>625.03700000000003</v>
      </c>
      <c r="M73" s="66">
        <v>2318.3209999999999</v>
      </c>
      <c r="N73" s="66">
        <v>823.82100000000003</v>
      </c>
      <c r="O73" s="96">
        <f t="shared" si="158"/>
        <v>719.52300000000002</v>
      </c>
      <c r="P73" s="96"/>
      <c r="Q73" s="66">
        <v>130.386</v>
      </c>
      <c r="R73" s="66">
        <f>-141.334-Q73</f>
        <v>-271.72000000000003</v>
      </c>
      <c r="S73" s="66">
        <f>-447.752-R73-Q73</f>
        <v>-306.41800000000001</v>
      </c>
      <c r="T73" s="6">
        <f>IFERROR(E73-SUM(Q73:S73),"NA")</f>
        <v>-1875.652</v>
      </c>
      <c r="U73" s="97">
        <v>188.274</v>
      </c>
      <c r="V73" s="66">
        <f>297.224-U73</f>
        <v>108.94999999999999</v>
      </c>
      <c r="W73" s="66">
        <f>329.328-V73-U73</f>
        <v>32.103999999999985</v>
      </c>
      <c r="X73" s="6">
        <f>+IFERROR(F73-U73-V73-W73,"NA")</f>
        <v>196.63400000000001</v>
      </c>
      <c r="Y73" s="97">
        <v>-0.67100000000000004</v>
      </c>
      <c r="Z73" s="66">
        <f>100.759-Y73</f>
        <v>101.43</v>
      </c>
      <c r="AA73" s="66">
        <f>4.264-Z73-Y73</f>
        <v>-96.495000000000005</v>
      </c>
      <c r="AB73" s="6">
        <f>G73-AA73-Z73-Y73</f>
        <v>624.65100000000007</v>
      </c>
      <c r="AC73" s="97">
        <v>-2274.3530000000001</v>
      </c>
      <c r="AD73" s="97">
        <f>-2196.168-AC73</f>
        <v>78.184999999999945</v>
      </c>
      <c r="AE73" s="97">
        <f>-2156.263-AD73-AC73</f>
        <v>39.9050000000002</v>
      </c>
      <c r="AF73" s="96">
        <f>H73-AE73-AD73-AC73</f>
        <v>-1366.614</v>
      </c>
      <c r="AG73" s="97">
        <v>1105.107</v>
      </c>
      <c r="AH73" s="97">
        <f>-1520.645-AG73</f>
        <v>-2625.752</v>
      </c>
      <c r="AI73" s="97">
        <f>-4429.01-AH73-AG73</f>
        <v>-2908.3650000000002</v>
      </c>
      <c r="AJ73" s="96">
        <f>I73-AI73-AH73-AG73</f>
        <v>-6113.66</v>
      </c>
      <c r="AK73" s="97">
        <v>1096.4390000000001</v>
      </c>
      <c r="AL73" s="97">
        <f>1557.048-AK73</f>
        <v>460.60899999999992</v>
      </c>
      <c r="AM73" s="97">
        <f>4795.813-AL73-AK73</f>
        <v>3238.7649999999994</v>
      </c>
      <c r="AN73" s="96">
        <f>J73-AM73-AL73-AK73</f>
        <v>17.837000000000216</v>
      </c>
      <c r="AO73" s="97">
        <v>-165.30199999999999</v>
      </c>
      <c r="AP73" s="97">
        <f>664.789-AO73</f>
        <v>830.09100000000001</v>
      </c>
      <c r="AQ73" s="97">
        <f>46.83-AP73-AO73</f>
        <v>-617.95899999999995</v>
      </c>
      <c r="AR73" s="96">
        <f>K73-AO73-AP73-AQ73</f>
        <v>-3856.1440000000002</v>
      </c>
      <c r="AS73" s="97">
        <v>-272.80799999999999</v>
      </c>
      <c r="AT73" s="97">
        <f>-296.421-AS73</f>
        <v>-23.613</v>
      </c>
      <c r="AU73" s="97">
        <f>924.002-AT73-AS73</f>
        <v>1220.423</v>
      </c>
      <c r="AV73" s="96">
        <f>L73-AS73-AT73-AU73</f>
        <v>-298.96499999999992</v>
      </c>
      <c r="AW73" s="343">
        <v>1592.2670000000001</v>
      </c>
      <c r="AX73" s="343">
        <f>-749.64-AW73</f>
        <v>-2341.9070000000002</v>
      </c>
      <c r="AY73" s="343">
        <f>-1353.239-AX73-AW73</f>
        <v>-603.59899999999993</v>
      </c>
      <c r="AZ73" s="96">
        <f>M73-AW73-AX73-AY73</f>
        <v>3671.5600000000004</v>
      </c>
      <c r="BA73" s="343">
        <v>111.285</v>
      </c>
      <c r="BB73" s="343">
        <f>108.019-BA73</f>
        <v>-3.2659999999999911</v>
      </c>
      <c r="BC73" s="343">
        <f>1039.738 -BB73-BA73</f>
        <v>931.71900000000016</v>
      </c>
      <c r="BD73" s="96">
        <f>N73-BA73-BB73-BC73</f>
        <v>-215.91700000000014</v>
      </c>
      <c r="BE73" s="343">
        <v>6.9870000000000001</v>
      </c>
      <c r="BF73" s="5"/>
    </row>
    <row r="74" spans="2:58">
      <c r="B74" s="7" t="s">
        <v>324</v>
      </c>
      <c r="C74" s="4">
        <f>337075.377-C73-C72</f>
        <v>-752201.36999999965</v>
      </c>
      <c r="D74" s="4">
        <f>-248389.708-D73-D72</f>
        <v>-718949.6440000002</v>
      </c>
      <c r="E74" s="4">
        <f>-23254.238-E72-E73</f>
        <v>-751380.41300000006</v>
      </c>
      <c r="F74" s="4">
        <f>34205.673-F72-F73</f>
        <v>-802475.071</v>
      </c>
      <c r="G74" s="4">
        <f>-73527.13-G72-G73</f>
        <v>-812336.38099999994</v>
      </c>
      <c r="H74" s="4">
        <f>378186.387-H72-H73</f>
        <v>-1128768.666</v>
      </c>
      <c r="I74" s="4">
        <f>-234387.853-I72-I73</f>
        <v>-1094914.838</v>
      </c>
      <c r="J74" s="4">
        <f>-98690.119-J72-J73</f>
        <v>-1149872.9069999999</v>
      </c>
      <c r="K74" s="4">
        <f>81746.942-K72-K73</f>
        <v>-1652355.6739999994</v>
      </c>
      <c r="L74" s="4">
        <f>343694.954-L72-L73</f>
        <v>-1074258.9219999998</v>
      </c>
      <c r="M74" s="4">
        <f>-453261.836-M72-M73</f>
        <v>66550.34600000002</v>
      </c>
      <c r="N74" s="4">
        <f>152907.498-N72-N73</f>
        <v>82068.938999999926</v>
      </c>
      <c r="O74" s="96">
        <f t="shared" si="158"/>
        <v>55490.463999999942</v>
      </c>
      <c r="P74" s="96"/>
      <c r="Q74" s="4">
        <f>1161.749-Q72-Q73</f>
        <v>-208202.54599999997</v>
      </c>
      <c r="R74" s="4">
        <f>-62715.136-Q74-Q73-Q72-R72-R73</f>
        <v>-188988.85899999991</v>
      </c>
      <c r="S74" s="4">
        <f>(-49864.248-R74-R73-R72-Q74-Q73-Q72-S72-S73)</f>
        <v>-191045.75100000008</v>
      </c>
      <c r="T74" s="6">
        <f>IFERROR(E74-SUM(Q74:S74),"NA")</f>
        <v>-163143.2570000001</v>
      </c>
      <c r="U74" s="4">
        <f>-32689.437-U72-U73</f>
        <v>-203114.505</v>
      </c>
      <c r="V74" s="4">
        <f>-3100.425-U74-U73-U72-V72-V73</f>
        <v>-195627.87800000006</v>
      </c>
      <c r="W74" s="4">
        <f>26219.044-V74-V73-V72-U74-U73-U72-W72-W73</f>
        <v>-198775.17199999982</v>
      </c>
      <c r="X74" s="6">
        <f>+IFERROR(F74-U74-V74-W74,"NA")</f>
        <v>-204957.51600000015</v>
      </c>
      <c r="Y74" s="4">
        <f>-96014.512-Y72-Y73</f>
        <v>-195550.66399999996</v>
      </c>
      <c r="Z74" s="4">
        <f>-113331.101-Y74-Y73-Y72-Z72-Z73</f>
        <v>-195444.03099999999</v>
      </c>
      <c r="AA74" s="4">
        <f>-136534.611-Z74-Z73-Z72-Y74-Y73-Y72-AA72-AA73</f>
        <v>-212172.31900000011</v>
      </c>
      <c r="AB74" s="6">
        <f>G74-AA74-Z74-Y74</f>
        <v>-209169.36699999988</v>
      </c>
      <c r="AC74" s="4">
        <f>-36151.03-AC72-AC73</f>
        <v>-231084.55999999994</v>
      </c>
      <c r="AD74" s="4">
        <f>-44676.74-AC74-AC73-AC72-AD72-AD73</f>
        <v>-229468.05300000007</v>
      </c>
      <c r="AE74" s="4">
        <f>-36290.907-AD74-AD73-AD72-AC74-AC73-AC72-AE72-AE73</f>
        <v>-239196.79699999996</v>
      </c>
      <c r="AF74" s="96">
        <f>H74-AE74-AD74-AC74</f>
        <v>-429019.25599999994</v>
      </c>
      <c r="AG74" s="4">
        <f>-148621.088-AG72-AG73</f>
        <v>-347793.598</v>
      </c>
      <c r="AH74" s="4">
        <f>-105317.373-AG74-AG73-AG72-AH72-AH73</f>
        <v>-240759.72600000008</v>
      </c>
      <c r="AI74" s="4">
        <f>-140138.496-AH74-AH73-AH72-AG74-AG73-AG72-AI72-AI73</f>
        <v>-251443.37</v>
      </c>
      <c r="AJ74" s="96">
        <f>I74-AI74-AH74-AG74</f>
        <v>-254918.14399999985</v>
      </c>
      <c r="AK74" s="4">
        <f>-152987.171-AK72-AK73</f>
        <v>-279215.55299999996</v>
      </c>
      <c r="AL74" s="4">
        <f>-97360.491-AK74-AK73-AK72-AL72-AL73</f>
        <v>-315366.71799999988</v>
      </c>
      <c r="AM74" s="4">
        <f>-91630.697-AL74-AL73-AL72-AK74-AK73-AK72-AM72-AM73</f>
        <v>-885784.28</v>
      </c>
      <c r="AN74" s="96">
        <f>J74-AM74-AL74-AK74</f>
        <v>330493.64399999997</v>
      </c>
      <c r="AO74" s="4">
        <f>2715.97-AO72-AO73</f>
        <v>-298065.50799999997</v>
      </c>
      <c r="AP74" s="4">
        <f>102553.762-AO74-AO73-AO72-AP72-AP73</f>
        <v>-779424.83200000005</v>
      </c>
      <c r="AQ74" s="4">
        <f>164947.396-AP74-AP73-AP72-AO74-AO73-AO72-AQ72-AQ73</f>
        <v>-320347.75099999981</v>
      </c>
      <c r="AR74" s="96">
        <f>K74-AO74-AP74-AQ74</f>
        <v>-254517.58299999963</v>
      </c>
      <c r="AS74" s="4">
        <f>-85209.171-AS72-AS73</f>
        <v>90280.009000000035</v>
      </c>
      <c r="AT74" s="4">
        <f>-100510.86-AS74-AS73-AS72-AT72-AT73</f>
        <v>-1782.5059999999805</v>
      </c>
      <c r="AU74" s="4">
        <f>19223.146 -AT74-AT73-AT72-AS74-AS73-AS72-AU72-AU73</f>
        <v>19581.895999999975</v>
      </c>
      <c r="AV74" s="96">
        <f>L74-AS74-AT74-AU74</f>
        <v>-1182338.3209999998</v>
      </c>
      <c r="AW74" s="4">
        <f>-247933.785-AW72-AW73</f>
        <v>16414.898999999998</v>
      </c>
      <c r="AX74" s="4">
        <f>-442648.77-AW74-AW73-AW72-AX72-AX73</f>
        <v>16641.294999999976</v>
      </c>
      <c r="AY74" s="4">
        <f>-310342.051-AX74-AX73-AX72-AW74-AW73-AW72-AY72-AY73</f>
        <v>34769.128000000041</v>
      </c>
      <c r="AZ74" s="96">
        <f>M74-AW74-AX74-AY74</f>
        <v>-1274.9759999999951</v>
      </c>
      <c r="BA74" s="4">
        <f>100249.814-BA72-BA73</f>
        <v>47287.249999999985</v>
      </c>
      <c r="BB74" s="4">
        <f>192760.061-BA74-BA73-BA72-BB72-BB73</f>
        <v>-1387.1639999999929</v>
      </c>
      <c r="BC74" s="4">
        <f>158934.723 -BB74-BB73-BB72-BA74-BA73-BA72-BC72-BC73</f>
        <v>14759.237999999892</v>
      </c>
      <c r="BD74" s="96">
        <f>N74-BA74-BB74-BC74</f>
        <v>21409.615000000038</v>
      </c>
      <c r="BE74" s="4">
        <f>-18070.803-BE72-BE73</f>
        <v>20708.775000000001</v>
      </c>
      <c r="BF74" s="5"/>
    </row>
    <row r="75" spans="2:58">
      <c r="B75" s="15" t="s">
        <v>325</v>
      </c>
      <c r="C75" s="8">
        <f t="shared" ref="C75:I75" si="179">SUM(C72:C74)</f>
        <v>337075.37700000009</v>
      </c>
      <c r="D75" s="8">
        <f t="shared" si="179"/>
        <v>-248389.70800000004</v>
      </c>
      <c r="E75" s="8">
        <f t="shared" si="179"/>
        <v>-23254.238000000012</v>
      </c>
      <c r="F75" s="8">
        <f t="shared" si="179"/>
        <v>34205.672999999952</v>
      </c>
      <c r="G75" s="8">
        <f t="shared" si="179"/>
        <v>-73527.13</v>
      </c>
      <c r="H75" s="8">
        <f t="shared" si="179"/>
        <v>378186.3870000001</v>
      </c>
      <c r="I75" s="8">
        <f t="shared" si="179"/>
        <v>-234387.85300000012</v>
      </c>
      <c r="J75" s="8">
        <f t="shared" ref="J75:O75" si="180">SUM(J72:J74)</f>
        <v>-98690.118999999948</v>
      </c>
      <c r="K75" s="8">
        <f t="shared" si="180"/>
        <v>81746.942000000039</v>
      </c>
      <c r="L75" s="8">
        <f t="shared" si="180"/>
        <v>343694.95400000014</v>
      </c>
      <c r="M75" s="8">
        <f t="shared" si="180"/>
        <v>-453261.83600000001</v>
      </c>
      <c r="N75" s="8">
        <f t="shared" si="180"/>
        <v>152907.49799999999</v>
      </c>
      <c r="O75" s="8">
        <f t="shared" si="180"/>
        <v>34586.880999999885</v>
      </c>
      <c r="P75" s="8"/>
      <c r="Q75" s="8">
        <f t="shared" ref="Q75:Y75" si="181">SUM(Q72:Q74)</f>
        <v>1161.7490000000107</v>
      </c>
      <c r="R75" s="8">
        <f t="shared" si="181"/>
        <v>-63876.884999999995</v>
      </c>
      <c r="S75" s="8">
        <f t="shared" si="181"/>
        <v>12850.887999999977</v>
      </c>
      <c r="T75" s="8">
        <f t="shared" si="181"/>
        <v>26610.010000000126</v>
      </c>
      <c r="U75" s="8">
        <f t="shared" si="181"/>
        <v>-32689.437000000005</v>
      </c>
      <c r="V75" s="8">
        <f t="shared" si="181"/>
        <v>29589.012000000017</v>
      </c>
      <c r="W75" s="8">
        <f t="shared" si="181"/>
        <v>29319.468999999983</v>
      </c>
      <c r="X75" s="8">
        <f t="shared" si="181"/>
        <v>7986.6290000000154</v>
      </c>
      <c r="Y75" s="8">
        <f t="shared" si="181"/>
        <v>-96014.511999999988</v>
      </c>
      <c r="Z75" s="8">
        <f t="shared" ref="Z75:AE75" si="182">SUM(Z72:Z74)</f>
        <v>-17316.589000000007</v>
      </c>
      <c r="AA75" s="8">
        <f t="shared" si="182"/>
        <v>-23203.510000000009</v>
      </c>
      <c r="AB75" s="8">
        <f t="shared" si="182"/>
        <v>63007.480999999825</v>
      </c>
      <c r="AC75" s="8">
        <f t="shared" si="182"/>
        <v>-36151.03</v>
      </c>
      <c r="AD75" s="8">
        <f t="shared" si="182"/>
        <v>-8525.7099999999919</v>
      </c>
      <c r="AE75" s="8">
        <f t="shared" si="182"/>
        <v>8385.8329999999842</v>
      </c>
      <c r="AF75" s="8">
        <f t="shared" ref="AF75:AL75" si="183">SUM(AF72:AF74)</f>
        <v>414477.29400000034</v>
      </c>
      <c r="AG75" s="8">
        <f t="shared" si="183"/>
        <v>-148621.08800000002</v>
      </c>
      <c r="AH75" s="8">
        <f t="shared" si="183"/>
        <v>43303.715000000026</v>
      </c>
      <c r="AI75" s="8">
        <f t="shared" si="183"/>
        <v>-34821.122999999992</v>
      </c>
      <c r="AJ75" s="8">
        <f t="shared" si="183"/>
        <v>-94249.356999999844</v>
      </c>
      <c r="AK75" s="8">
        <f t="shared" si="183"/>
        <v>-152987.171</v>
      </c>
      <c r="AL75" s="8">
        <f t="shared" si="183"/>
        <v>55626.679999999993</v>
      </c>
      <c r="AM75" s="8">
        <f t="shared" ref="AM75:AR75" si="184">SUM(AM72:AM74)</f>
        <v>5729.7939999999944</v>
      </c>
      <c r="AN75" s="8">
        <f t="shared" si="184"/>
        <v>-7059.4220000003697</v>
      </c>
      <c r="AO75" s="8">
        <f t="shared" si="184"/>
        <v>2715.9699999999721</v>
      </c>
      <c r="AP75" s="8">
        <f t="shared" si="184"/>
        <v>99837.792000000016</v>
      </c>
      <c r="AQ75" s="8">
        <f t="shared" si="184"/>
        <v>62393.634000000078</v>
      </c>
      <c r="AR75" s="8">
        <f t="shared" si="184"/>
        <v>-83200.453999999794</v>
      </c>
      <c r="AS75" s="8">
        <f t="shared" ref="AS75:AX75" si="185">SUM(AS72:AS74)</f>
        <v>-85209.170999999988</v>
      </c>
      <c r="AT75" s="8">
        <f t="shared" si="185"/>
        <v>-15301.689000000013</v>
      </c>
      <c r="AU75" s="8">
        <f t="shared" si="185"/>
        <v>119734.00600000001</v>
      </c>
      <c r="AV75" s="8">
        <f t="shared" si="185"/>
        <v>324471.80800000043</v>
      </c>
      <c r="AW75" s="8">
        <f t="shared" si="185"/>
        <v>-247933.785</v>
      </c>
      <c r="AX75" s="8">
        <f t="shared" si="185"/>
        <v>-194714.98499999999</v>
      </c>
      <c r="AY75" s="8">
        <f t="shared" ref="AY75:BE75" si="186">SUM(AY72:AY74)</f>
        <v>132306.71900000001</v>
      </c>
      <c r="AZ75" s="8">
        <f t="shared" si="186"/>
        <v>-142919.78500000006</v>
      </c>
      <c r="BA75" s="8">
        <f t="shared" si="186"/>
        <v>100249.814</v>
      </c>
      <c r="BB75" s="8">
        <f t="shared" si="186"/>
        <v>92510.246999999974</v>
      </c>
      <c r="BC75" s="8">
        <f t="shared" si="186"/>
        <v>-33825.337999999974</v>
      </c>
      <c r="BD75" s="8">
        <f t="shared" si="186"/>
        <v>-6027.2250000001113</v>
      </c>
      <c r="BE75" s="8">
        <f t="shared" si="186"/>
        <v>-18070.803</v>
      </c>
    </row>
    <row r="76" spans="2:58">
      <c r="B76" s="15" t="s">
        <v>24</v>
      </c>
      <c r="C76" s="99">
        <f>19250.402+C75+C73</f>
        <v>378919.37600000011</v>
      </c>
      <c r="D76" s="100">
        <f t="shared" ref="D76:N76" si="187">+C76+D75+D73</f>
        <v>136492.47200000007</v>
      </c>
      <c r="E76" s="100">
        <f t="shared" si="187"/>
        <v>110914.83000000006</v>
      </c>
      <c r="F76" s="100">
        <f t="shared" si="187"/>
        <v>145646.46500000003</v>
      </c>
      <c r="G76" s="100">
        <f t="shared" si="187"/>
        <v>72748.250000000015</v>
      </c>
      <c r="H76" s="8">
        <f t="shared" si="187"/>
        <v>447411.76000000013</v>
      </c>
      <c r="I76" s="8">
        <f t="shared" si="187"/>
        <v>202481.23699999999</v>
      </c>
      <c r="J76" s="8">
        <f t="shared" si="187"/>
        <v>108604.76800000004</v>
      </c>
      <c r="K76" s="8">
        <f t="shared" si="187"/>
        <v>186542.39600000007</v>
      </c>
      <c r="L76" s="8">
        <f t="shared" si="187"/>
        <v>530862.38700000022</v>
      </c>
      <c r="M76" s="8">
        <f t="shared" si="187"/>
        <v>79918.872000000207</v>
      </c>
      <c r="N76" s="8">
        <f t="shared" si="187"/>
        <v>233650.1910000002</v>
      </c>
      <c r="O76" s="8">
        <f>O75+BA76+O73</f>
        <v>215586.37500000049</v>
      </c>
      <c r="P76" s="8"/>
      <c r="Q76" s="8">
        <f>D76+Q75+Q73</f>
        <v>137784.60700000008</v>
      </c>
      <c r="R76" s="8">
        <f>Q76+R75+R73</f>
        <v>73636.00200000008</v>
      </c>
      <c r="S76" s="8">
        <f>R76+S75+S73</f>
        <v>86180.472000000053</v>
      </c>
      <c r="T76" s="8">
        <f>S76+T75+T73</f>
        <v>110914.83000000018</v>
      </c>
      <c r="U76" s="8">
        <f>E76+U75+U73</f>
        <v>78413.667000000059</v>
      </c>
      <c r="V76" s="8">
        <f>+U76+V75+V73</f>
        <v>108111.62900000007</v>
      </c>
      <c r="W76" s="8">
        <f>+V76+W75+W73</f>
        <v>137463.20200000005</v>
      </c>
      <c r="X76" s="8">
        <f>+W76+X75+X73</f>
        <v>145646.46500000005</v>
      </c>
      <c r="Y76" s="8">
        <f>F76+Y75+Y73</f>
        <v>49631.282000000036</v>
      </c>
      <c r="Z76" s="8">
        <f>+Y76+Z75+Z73</f>
        <v>32416.123000000029</v>
      </c>
      <c r="AA76" s="8">
        <f>+Z76+AA75+AA73</f>
        <v>9116.1180000000186</v>
      </c>
      <c r="AB76" s="8">
        <f>+AA76+AB75+AB73</f>
        <v>72748.24999999984</v>
      </c>
      <c r="AC76" s="8">
        <f t="shared" ref="AC76:BE76" si="188">AB76+AC75+AC73</f>
        <v>34322.866999999838</v>
      </c>
      <c r="AD76" s="8">
        <f t="shared" si="188"/>
        <v>25875.341999999848</v>
      </c>
      <c r="AE76" s="8">
        <f t="shared" si="188"/>
        <v>34301.079999999827</v>
      </c>
      <c r="AF76" s="8">
        <f t="shared" si="188"/>
        <v>447411.76000000018</v>
      </c>
      <c r="AG76" s="8">
        <f t="shared" si="188"/>
        <v>299895.77900000016</v>
      </c>
      <c r="AH76" s="8">
        <f t="shared" si="188"/>
        <v>340573.7420000002</v>
      </c>
      <c r="AI76" s="8">
        <f t="shared" si="188"/>
        <v>302844.25400000019</v>
      </c>
      <c r="AJ76" s="8">
        <f t="shared" si="188"/>
        <v>202481.23700000034</v>
      </c>
      <c r="AK76" s="8">
        <f>AJ76+AK75+AK73</f>
        <v>50590.505000000339</v>
      </c>
      <c r="AL76" s="8">
        <f t="shared" si="188"/>
        <v>106677.79400000033</v>
      </c>
      <c r="AM76" s="8">
        <f t="shared" si="188"/>
        <v>115646.35300000032</v>
      </c>
      <c r="AN76" s="8">
        <f t="shared" si="188"/>
        <v>108604.76799999995</v>
      </c>
      <c r="AO76" s="8">
        <f>AN76+AO75+AO73</f>
        <v>111155.43599999993</v>
      </c>
      <c r="AP76" s="8">
        <f t="shared" si="188"/>
        <v>211823.31899999993</v>
      </c>
      <c r="AQ76" s="8">
        <f t="shared" si="188"/>
        <v>273598.99400000001</v>
      </c>
      <c r="AR76" s="8">
        <f t="shared" si="188"/>
        <v>186542.39600000021</v>
      </c>
      <c r="AS76" s="8">
        <f>AR76+AS75+AS73</f>
        <v>101060.41700000022</v>
      </c>
      <c r="AT76" s="8">
        <f t="shared" si="188"/>
        <v>85735.115000000209</v>
      </c>
      <c r="AU76" s="8">
        <f t="shared" si="188"/>
        <v>206689.54400000023</v>
      </c>
      <c r="AV76" s="8">
        <f t="shared" si="188"/>
        <v>530862.38700000069</v>
      </c>
      <c r="AW76" s="8">
        <f>AV76+AW75+AW73</f>
        <v>284520.86900000065</v>
      </c>
      <c r="AX76" s="8">
        <f t="shared" si="188"/>
        <v>87463.977000000654</v>
      </c>
      <c r="AY76" s="8">
        <f t="shared" si="188"/>
        <v>219167.09700000068</v>
      </c>
      <c r="AZ76" s="8">
        <f t="shared" si="188"/>
        <v>79918.872000000614</v>
      </c>
      <c r="BA76" s="8">
        <f>AZ76+BA75+BA73</f>
        <v>180279.97100000063</v>
      </c>
      <c r="BB76" s="8">
        <f t="shared" si="188"/>
        <v>272786.95200000057</v>
      </c>
      <c r="BC76" s="8">
        <f t="shared" si="188"/>
        <v>239893.3330000006</v>
      </c>
      <c r="BD76" s="8">
        <f t="shared" si="188"/>
        <v>233650.19100000049</v>
      </c>
      <c r="BE76" s="8">
        <f t="shared" si="188"/>
        <v>215586.37500000049</v>
      </c>
    </row>
    <row r="77" spans="2:58">
      <c r="C77" s="43"/>
      <c r="D77" s="43"/>
      <c r="E77" s="43"/>
      <c r="F77" s="43"/>
      <c r="G77" s="43"/>
      <c r="H77" s="43"/>
      <c r="I77" s="43"/>
      <c r="J77" s="43"/>
      <c r="K77" s="43"/>
      <c r="L77" s="43"/>
      <c r="M77" s="43"/>
      <c r="N77" s="43"/>
      <c r="O77" s="252"/>
      <c r="P77" s="325"/>
      <c r="Q77" s="43"/>
      <c r="U77" s="43"/>
      <c r="V77" s="43"/>
      <c r="Y77" s="43"/>
      <c r="Z77" s="43"/>
      <c r="AA77" s="43"/>
      <c r="AC77" s="43"/>
      <c r="AD77" s="43"/>
      <c r="AE77" s="43"/>
      <c r="AF77" s="43"/>
      <c r="AG77" s="43"/>
      <c r="AH77" s="43"/>
      <c r="AI77" s="43"/>
      <c r="AJ77" s="43"/>
      <c r="AK77" s="43"/>
      <c r="AL77" s="43"/>
      <c r="AM77" s="43"/>
      <c r="AN77" s="43"/>
      <c r="AO77" s="43"/>
      <c r="AP77" s="43"/>
      <c r="AQ77" s="43"/>
      <c r="AR77" s="43"/>
      <c r="AS77" s="43"/>
      <c r="AT77" s="43"/>
      <c r="AU77" s="43"/>
      <c r="AV77" s="43"/>
      <c r="AW77" s="43"/>
      <c r="AX77" s="43"/>
      <c r="AY77" s="43"/>
      <c r="AZ77" s="43"/>
      <c r="BA77" s="43"/>
      <c r="BB77" s="43"/>
      <c r="BC77" s="43"/>
      <c r="BD77" s="43"/>
      <c r="BE77" s="43"/>
    </row>
    <row r="78" spans="2:58" s="355" customFormat="1" ht="11.25">
      <c r="B78" s="90" t="s">
        <v>22</v>
      </c>
      <c r="C78" s="351">
        <f t="shared" ref="C78:K78" si="189">C76-C118</f>
        <v>0</v>
      </c>
      <c r="D78" s="351">
        <f t="shared" si="189"/>
        <v>0</v>
      </c>
      <c r="E78" s="351">
        <f t="shared" si="189"/>
        <v>0</v>
      </c>
      <c r="F78" s="351">
        <f t="shared" si="189"/>
        <v>0</v>
      </c>
      <c r="G78" s="351">
        <f t="shared" si="189"/>
        <v>0</v>
      </c>
      <c r="H78" s="351">
        <f t="shared" si="189"/>
        <v>0</v>
      </c>
      <c r="I78" s="351">
        <f t="shared" si="189"/>
        <v>0</v>
      </c>
      <c r="J78" s="351">
        <f t="shared" si="189"/>
        <v>0</v>
      </c>
      <c r="K78" s="351">
        <f t="shared" si="189"/>
        <v>0</v>
      </c>
      <c r="L78" s="351">
        <f>L76-L118</f>
        <v>0</v>
      </c>
      <c r="M78" s="352">
        <f>M76-M118</f>
        <v>2.0372681319713593E-10</v>
      </c>
      <c r="N78" s="352">
        <f>N76-N118</f>
        <v>0</v>
      </c>
      <c r="O78" s="353">
        <f>O76-O118</f>
        <v>4.9476511776447296E-10</v>
      </c>
      <c r="P78" s="354"/>
      <c r="Q78" s="351">
        <f t="shared" ref="Q78:AS78" si="190">Q76-Q118</f>
        <v>0</v>
      </c>
      <c r="R78" s="351">
        <f t="shared" si="190"/>
        <v>0</v>
      </c>
      <c r="S78" s="351">
        <f t="shared" si="190"/>
        <v>0</v>
      </c>
      <c r="T78" s="351">
        <f t="shared" si="190"/>
        <v>1.7462298274040222E-10</v>
      </c>
      <c r="U78" s="351">
        <f t="shared" si="190"/>
        <v>0</v>
      </c>
      <c r="V78" s="351">
        <f t="shared" si="190"/>
        <v>0</v>
      </c>
      <c r="W78" s="351">
        <f t="shared" si="190"/>
        <v>0</v>
      </c>
      <c r="X78" s="351">
        <f t="shared" si="190"/>
        <v>0</v>
      </c>
      <c r="Y78" s="351">
        <f t="shared" si="190"/>
        <v>0</v>
      </c>
      <c r="Z78" s="351">
        <f t="shared" si="190"/>
        <v>2.9103830456733704E-11</v>
      </c>
      <c r="AA78" s="351">
        <f t="shared" si="190"/>
        <v>1.8189894035458565E-11</v>
      </c>
      <c r="AB78" s="351">
        <f t="shared" si="190"/>
        <v>-1.6007106751203537E-10</v>
      </c>
      <c r="AC78" s="351">
        <f t="shared" si="190"/>
        <v>-1.6007106751203537E-10</v>
      </c>
      <c r="AD78" s="351">
        <f t="shared" si="190"/>
        <v>-1.5279510989785194E-10</v>
      </c>
      <c r="AE78" s="352">
        <f t="shared" si="190"/>
        <v>-1.7462298274040222E-10</v>
      </c>
      <c r="AF78" s="352">
        <f t="shared" si="190"/>
        <v>0</v>
      </c>
      <c r="AG78" s="351">
        <f t="shared" si="190"/>
        <v>0</v>
      </c>
      <c r="AH78" s="351">
        <f t="shared" si="190"/>
        <v>0</v>
      </c>
      <c r="AI78" s="352">
        <f t="shared" si="190"/>
        <v>0</v>
      </c>
      <c r="AJ78" s="352">
        <f t="shared" si="190"/>
        <v>3.4924596548080444E-10</v>
      </c>
      <c r="AK78" s="351">
        <f t="shared" si="190"/>
        <v>3.4197000786662102E-10</v>
      </c>
      <c r="AL78" s="351">
        <f t="shared" si="190"/>
        <v>3.3469405025243759E-10</v>
      </c>
      <c r="AM78" s="352">
        <f t="shared" si="190"/>
        <v>3.2014213502407074E-10</v>
      </c>
      <c r="AN78" s="352">
        <f t="shared" si="190"/>
        <v>0</v>
      </c>
      <c r="AO78" s="351">
        <f t="shared" si="190"/>
        <v>0</v>
      </c>
      <c r="AP78" s="351">
        <f t="shared" si="190"/>
        <v>0</v>
      </c>
      <c r="AQ78" s="352">
        <f t="shared" si="190"/>
        <v>0</v>
      </c>
      <c r="AR78" s="352">
        <f t="shared" si="190"/>
        <v>0</v>
      </c>
      <c r="AS78" s="351">
        <f t="shared" si="190"/>
        <v>2.1827872842550278E-10</v>
      </c>
      <c r="AT78" s="351">
        <f t="shared" ref="AT78:AY78" si="191">AT76-AT118</f>
        <v>2.0372681319713593E-10</v>
      </c>
      <c r="AU78" s="352">
        <f t="shared" si="191"/>
        <v>2.3283064365386963E-10</v>
      </c>
      <c r="AV78" s="352">
        <f t="shared" si="191"/>
        <v>0</v>
      </c>
      <c r="AW78" s="351">
        <f t="shared" si="191"/>
        <v>6.4028427004814148E-10</v>
      </c>
      <c r="AX78" s="351">
        <f t="shared" si="191"/>
        <v>6.5483618527650833E-10</v>
      </c>
      <c r="AY78" s="351">
        <f t="shared" si="191"/>
        <v>6.6938810050487518E-10</v>
      </c>
      <c r="AZ78" s="351">
        <f t="shared" ref="AZ78:BE78" si="192">AZ76-AZ118</f>
        <v>6.1118043959140778E-10</v>
      </c>
      <c r="BA78" s="351">
        <f t="shared" si="192"/>
        <v>6.4028427004814148E-10</v>
      </c>
      <c r="BB78" s="351">
        <f t="shared" si="192"/>
        <v>5.8207660913467407E-10</v>
      </c>
      <c r="BC78" s="351">
        <f t="shared" si="192"/>
        <v>5.8207660913467407E-10</v>
      </c>
      <c r="BD78" s="351">
        <f t="shared" si="192"/>
        <v>4.9476511776447296E-10</v>
      </c>
      <c r="BE78" s="351">
        <f t="shared" si="192"/>
        <v>4.9476511776447296E-10</v>
      </c>
    </row>
    <row r="79" spans="2:58">
      <c r="C79" s="43"/>
      <c r="D79" s="43"/>
      <c r="E79" s="43"/>
      <c r="F79" s="43"/>
      <c r="G79" s="43"/>
      <c r="H79" s="43"/>
      <c r="I79" s="43"/>
      <c r="J79" s="43"/>
      <c r="K79" s="43"/>
      <c r="L79" s="43"/>
      <c r="M79" s="43"/>
      <c r="N79" s="43"/>
      <c r="O79" s="43"/>
      <c r="P79" s="325"/>
      <c r="Q79" s="43"/>
      <c r="R79" s="43"/>
      <c r="S79" s="43"/>
      <c r="T79" s="43"/>
      <c r="U79" s="43"/>
      <c r="V79" s="43"/>
      <c r="W79" s="43"/>
      <c r="X79" s="43"/>
      <c r="Y79" s="43"/>
      <c r="Z79" s="43"/>
      <c r="AA79" s="43"/>
      <c r="AB79" s="43"/>
      <c r="AC79" s="43"/>
      <c r="AD79" s="43"/>
      <c r="AE79" s="43"/>
      <c r="AF79" s="43"/>
      <c r="AG79" s="43"/>
      <c r="AH79" s="43"/>
      <c r="AI79" s="43"/>
      <c r="AJ79" s="43"/>
      <c r="AK79" s="43"/>
      <c r="AL79" s="43"/>
      <c r="AM79" s="43"/>
      <c r="AN79" s="43"/>
      <c r="AO79" s="43"/>
      <c r="AP79" s="43"/>
      <c r="AQ79" s="43"/>
      <c r="AR79" s="43"/>
      <c r="AS79" s="43"/>
      <c r="AT79" s="43"/>
      <c r="AU79" s="43"/>
      <c r="AV79" s="43"/>
      <c r="AW79" s="43"/>
      <c r="AX79" s="43"/>
      <c r="AY79" s="43"/>
      <c r="AZ79" s="43"/>
      <c r="BA79" s="43"/>
      <c r="BB79" s="43"/>
      <c r="BC79" s="43"/>
      <c r="BD79" s="43"/>
      <c r="BE79" s="43"/>
    </row>
    <row r="80" spans="2:58">
      <c r="B80" s="16" t="s">
        <v>326</v>
      </c>
      <c r="C80" s="34">
        <f t="shared" ref="C80:Y80" si="193">+C56</f>
        <v>41974</v>
      </c>
      <c r="D80" s="34">
        <f t="shared" si="193"/>
        <v>42340</v>
      </c>
      <c r="E80" s="34">
        <f t="shared" si="193"/>
        <v>42707</v>
      </c>
      <c r="F80" s="75">
        <f t="shared" si="193"/>
        <v>43073</v>
      </c>
      <c r="G80" s="75">
        <f t="shared" ref="G80:L80" si="194">G3</f>
        <v>43438</v>
      </c>
      <c r="H80" s="75">
        <f t="shared" si="194"/>
        <v>43803</v>
      </c>
      <c r="I80" s="75">
        <f t="shared" si="194"/>
        <v>44169</v>
      </c>
      <c r="J80" s="75">
        <f t="shared" si="194"/>
        <v>44534</v>
      </c>
      <c r="K80" s="75">
        <f t="shared" si="194"/>
        <v>44926</v>
      </c>
      <c r="L80" s="75">
        <f t="shared" si="194"/>
        <v>45291</v>
      </c>
      <c r="M80" s="75">
        <f>M3</f>
        <v>45657</v>
      </c>
      <c r="N80" s="75">
        <f>N3</f>
        <v>46022</v>
      </c>
      <c r="O80" s="34">
        <f>+O56</f>
        <v>46112</v>
      </c>
      <c r="P80" s="323"/>
      <c r="Q80" s="34">
        <f t="shared" si="193"/>
        <v>42437</v>
      </c>
      <c r="R80" s="34">
        <f t="shared" si="193"/>
        <v>42527</v>
      </c>
      <c r="S80" s="34">
        <f t="shared" si="193"/>
        <v>42622</v>
      </c>
      <c r="T80" s="34">
        <f t="shared" si="193"/>
        <v>42714</v>
      </c>
      <c r="U80" s="34">
        <f t="shared" si="193"/>
        <v>42801</v>
      </c>
      <c r="V80" s="34">
        <f t="shared" si="193"/>
        <v>42892</v>
      </c>
      <c r="W80" s="34">
        <f t="shared" si="193"/>
        <v>42987</v>
      </c>
      <c r="X80" s="34">
        <f t="shared" si="193"/>
        <v>43079</v>
      </c>
      <c r="Y80" s="34">
        <f t="shared" si="193"/>
        <v>43190</v>
      </c>
      <c r="Z80" s="34">
        <f>Z56</f>
        <v>43281</v>
      </c>
      <c r="AA80" s="34">
        <f>AA56</f>
        <v>43373</v>
      </c>
      <c r="AB80" s="34">
        <f>AB3</f>
        <v>43465</v>
      </c>
      <c r="AC80" s="34">
        <f t="shared" ref="AC80:AH80" si="195">+AC56</f>
        <v>43555</v>
      </c>
      <c r="AD80" s="34">
        <f t="shared" si="195"/>
        <v>43646</v>
      </c>
      <c r="AE80" s="34">
        <f t="shared" si="195"/>
        <v>43738</v>
      </c>
      <c r="AF80" s="34">
        <f t="shared" si="195"/>
        <v>43830</v>
      </c>
      <c r="AG80" s="34">
        <f t="shared" si="195"/>
        <v>43921</v>
      </c>
      <c r="AH80" s="34">
        <f t="shared" si="195"/>
        <v>44012</v>
      </c>
      <c r="AI80" s="34">
        <f t="shared" ref="AI80:AN80" si="196">+AI56</f>
        <v>44104</v>
      </c>
      <c r="AJ80" s="34">
        <f t="shared" si="196"/>
        <v>44196</v>
      </c>
      <c r="AK80" s="34">
        <f t="shared" si="196"/>
        <v>44286</v>
      </c>
      <c r="AL80" s="34">
        <f t="shared" si="196"/>
        <v>44377</v>
      </c>
      <c r="AM80" s="34">
        <f t="shared" si="196"/>
        <v>44469</v>
      </c>
      <c r="AN80" s="34">
        <f t="shared" si="196"/>
        <v>44560</v>
      </c>
      <c r="AO80" s="34">
        <f t="shared" ref="AO80:AT80" si="197">+AO56</f>
        <v>44651</v>
      </c>
      <c r="AP80" s="34">
        <f t="shared" si="197"/>
        <v>44742</v>
      </c>
      <c r="AQ80" s="34">
        <f t="shared" si="197"/>
        <v>44834</v>
      </c>
      <c r="AR80" s="34">
        <f t="shared" si="197"/>
        <v>44926</v>
      </c>
      <c r="AS80" s="34">
        <f t="shared" si="197"/>
        <v>45016</v>
      </c>
      <c r="AT80" s="34">
        <f t="shared" si="197"/>
        <v>45107</v>
      </c>
      <c r="AU80" s="34">
        <f t="shared" ref="AU80:AZ80" si="198">+AU56</f>
        <v>45199</v>
      </c>
      <c r="AV80" s="34">
        <f t="shared" si="198"/>
        <v>45291</v>
      </c>
      <c r="AW80" s="34">
        <f t="shared" si="198"/>
        <v>45382</v>
      </c>
      <c r="AX80" s="34">
        <f t="shared" si="198"/>
        <v>45473</v>
      </c>
      <c r="AY80" s="34">
        <f t="shared" si="198"/>
        <v>45565</v>
      </c>
      <c r="AZ80" s="34">
        <f t="shared" si="198"/>
        <v>45657</v>
      </c>
      <c r="BA80" s="34">
        <f>+BA56</f>
        <v>45747</v>
      </c>
      <c r="BB80" s="34">
        <f>+BB56</f>
        <v>45838</v>
      </c>
      <c r="BC80" s="34">
        <f>+BC56</f>
        <v>45930</v>
      </c>
      <c r="BD80" s="34">
        <f>+BD56</f>
        <v>46022</v>
      </c>
      <c r="BE80" s="34">
        <f>+BE56</f>
        <v>46112</v>
      </c>
    </row>
    <row r="81" spans="2:58">
      <c r="B81" s="1" t="str">
        <f t="shared" ref="B81:G81" si="199">+B7</f>
        <v>Revenues</v>
      </c>
      <c r="C81" s="6">
        <f t="shared" si="199"/>
        <v>1657770.3729999999</v>
      </c>
      <c r="D81" s="6">
        <f t="shared" si="199"/>
        <v>1784612.6629999999</v>
      </c>
      <c r="E81" s="6">
        <f t="shared" si="199"/>
        <v>1867697.07</v>
      </c>
      <c r="F81" s="6">
        <f t="shared" si="199"/>
        <v>1943071.1980000001</v>
      </c>
      <c r="G81" s="6">
        <f t="shared" si="199"/>
        <v>1913174.2819999999</v>
      </c>
      <c r="H81" s="6">
        <f t="shared" ref="H81:O81" si="200">+H7</f>
        <v>1978791.9879999999</v>
      </c>
      <c r="I81" s="6">
        <f t="shared" si="200"/>
        <v>2092644.2320000001</v>
      </c>
      <c r="J81" s="6">
        <f t="shared" si="200"/>
        <v>2408809.5970000001</v>
      </c>
      <c r="K81" s="6">
        <f t="shared" si="200"/>
        <v>2540682.9040000001</v>
      </c>
      <c r="L81" s="6">
        <f t="shared" si="200"/>
        <v>2473692.31</v>
      </c>
      <c r="M81" s="6">
        <f>+M7</f>
        <v>2703236.7280000001</v>
      </c>
      <c r="N81" s="6">
        <f>+N7</f>
        <v>2954930.2779999999</v>
      </c>
      <c r="O81" s="6">
        <f t="shared" si="200"/>
        <v>3002583.4279999998</v>
      </c>
      <c r="P81" s="6"/>
      <c r="Q81" s="160"/>
      <c r="R81" s="160"/>
      <c r="S81" s="160"/>
      <c r="T81" s="6">
        <f t="shared" ref="T81:BE81" si="201">+T7+S7+R7+Q7</f>
        <v>1867697.07</v>
      </c>
      <c r="U81" s="6">
        <f t="shared" si="201"/>
        <v>1881848.781</v>
      </c>
      <c r="V81" s="6">
        <f t="shared" si="201"/>
        <v>1903743.4130000002</v>
      </c>
      <c r="W81" s="6">
        <f t="shared" si="201"/>
        <v>1915748.7760000001</v>
      </c>
      <c r="X81" s="6">
        <f t="shared" si="201"/>
        <v>1943071.1980000001</v>
      </c>
      <c r="Y81" s="6">
        <f t="shared" si="201"/>
        <v>1930637.4300000002</v>
      </c>
      <c r="Z81" s="6">
        <f t="shared" si="201"/>
        <v>1917582.4890000003</v>
      </c>
      <c r="AA81" s="6">
        <f t="shared" si="201"/>
        <v>1919000.2820000001</v>
      </c>
      <c r="AB81" s="6">
        <f>+AB7+AA7+Z7+Y7</f>
        <v>1913174.2819999999</v>
      </c>
      <c r="AC81" s="6">
        <f t="shared" si="201"/>
        <v>1923546.004</v>
      </c>
      <c r="AD81" s="6">
        <f t="shared" si="201"/>
        <v>1940540.0649999999</v>
      </c>
      <c r="AE81" s="6">
        <f t="shared" si="201"/>
        <v>1955272.3399999999</v>
      </c>
      <c r="AF81" s="6">
        <f t="shared" si="201"/>
        <v>1978791.9879999999</v>
      </c>
      <c r="AG81" s="6">
        <f t="shared" si="201"/>
        <v>2020680.9709999999</v>
      </c>
      <c r="AH81" s="6">
        <f t="shared" si="201"/>
        <v>1995650.0149999997</v>
      </c>
      <c r="AI81" s="6">
        <f t="shared" si="201"/>
        <v>2034048.0699999998</v>
      </c>
      <c r="AJ81" s="6">
        <f t="shared" si="201"/>
        <v>2092644.2320000001</v>
      </c>
      <c r="AK81" s="6">
        <f>+AK7+AJ7+AI7+AH7</f>
        <v>2136931.4619999998</v>
      </c>
      <c r="AL81" s="6">
        <f t="shared" si="201"/>
        <v>2270973.5060000001</v>
      </c>
      <c r="AM81" s="6">
        <f t="shared" si="201"/>
        <v>2344725.6189999999</v>
      </c>
      <c r="AN81" s="6">
        <f t="shared" si="201"/>
        <v>2408809.5970000001</v>
      </c>
      <c r="AO81" s="6">
        <f>+AO7+AN7+AM7+AL7</f>
        <v>2491865.6689999998</v>
      </c>
      <c r="AP81" s="6">
        <f t="shared" si="201"/>
        <v>2546813.429</v>
      </c>
      <c r="AQ81" s="6">
        <f t="shared" si="201"/>
        <v>2561388.7779999999</v>
      </c>
      <c r="AR81" s="6">
        <f t="shared" si="201"/>
        <v>2540682.9040000001</v>
      </c>
      <c r="AS81" s="6">
        <f>+AS7+AR7+AQ7+AP7</f>
        <v>2501306.9850000003</v>
      </c>
      <c r="AT81" s="6">
        <f t="shared" si="201"/>
        <v>2461900.9980000001</v>
      </c>
      <c r="AU81" s="6">
        <f t="shared" si="201"/>
        <v>2442925.844</v>
      </c>
      <c r="AV81" s="6">
        <f t="shared" si="201"/>
        <v>2473692.31</v>
      </c>
      <c r="AW81" s="6">
        <f>+AW7+AV7+AU7+AT7</f>
        <v>2522027.21</v>
      </c>
      <c r="AX81" s="6">
        <f t="shared" si="201"/>
        <v>2575468.91</v>
      </c>
      <c r="AY81" s="6">
        <f t="shared" si="201"/>
        <v>2631227.7880000002</v>
      </c>
      <c r="AZ81" s="6">
        <f t="shared" si="201"/>
        <v>2703236.7280000001</v>
      </c>
      <c r="BA81" s="6">
        <f>+BA7+AZ7+AY7+AX7</f>
        <v>2760576.0949999997</v>
      </c>
      <c r="BB81" s="6">
        <f t="shared" si="201"/>
        <v>2805548.5630000001</v>
      </c>
      <c r="BC81" s="6">
        <f t="shared" si="201"/>
        <v>2876419.6469999999</v>
      </c>
      <c r="BD81" s="6">
        <f t="shared" si="201"/>
        <v>2954930.2779999999</v>
      </c>
      <c r="BE81" s="6">
        <f t="shared" si="201"/>
        <v>3002583.4280000003</v>
      </c>
    </row>
    <row r="82" spans="2:58">
      <c r="B82" s="1" t="s">
        <v>300</v>
      </c>
      <c r="C82" s="6">
        <f t="shared" ref="C82:K82" si="202">C15</f>
        <v>182019.63999999966</v>
      </c>
      <c r="D82" s="6">
        <f t="shared" si="202"/>
        <v>80843.798999999883</v>
      </c>
      <c r="E82" s="6">
        <f t="shared" si="202"/>
        <v>114395.32100000023</v>
      </c>
      <c r="F82" s="6">
        <f t="shared" si="202"/>
        <v>117385.33600000013</v>
      </c>
      <c r="G82" s="6">
        <f t="shared" si="202"/>
        <v>90913.070999999763</v>
      </c>
      <c r="H82" s="6">
        <f t="shared" si="202"/>
        <v>343916.5689999999</v>
      </c>
      <c r="I82" s="6">
        <f t="shared" si="202"/>
        <v>212469.03600000031</v>
      </c>
      <c r="J82" s="6">
        <f t="shared" si="202"/>
        <v>294374.68500000006</v>
      </c>
      <c r="K82" s="6">
        <f t="shared" si="202"/>
        <v>757608.67599999998</v>
      </c>
      <c r="L82" s="6">
        <f>L15</f>
        <v>249569.34000000032</v>
      </c>
      <c r="M82" s="6">
        <f>M15</f>
        <v>230852.59400000004</v>
      </c>
      <c r="N82" s="6">
        <f>N15</f>
        <v>249853.48400000017</v>
      </c>
      <c r="O82" s="6">
        <f>O15</f>
        <v>262841.65299999993</v>
      </c>
      <c r="P82" s="6"/>
      <c r="Q82" s="160"/>
      <c r="R82" s="160"/>
      <c r="S82" s="160"/>
      <c r="T82" s="6">
        <f t="shared" ref="T82:BE82" si="203">T15+S15+R15+Q15</f>
        <v>114395.32100000005</v>
      </c>
      <c r="U82" s="6">
        <f t="shared" si="203"/>
        <v>110554.83099999995</v>
      </c>
      <c r="V82" s="6">
        <f t="shared" si="203"/>
        <v>105428.50500000006</v>
      </c>
      <c r="W82" s="6">
        <f t="shared" si="203"/>
        <v>107618.53600000014</v>
      </c>
      <c r="X82" s="6">
        <f t="shared" si="203"/>
        <v>117385.33600000013</v>
      </c>
      <c r="Y82" s="6">
        <f t="shared" si="203"/>
        <v>103146.69400000013</v>
      </c>
      <c r="Z82" s="6">
        <f t="shared" si="203"/>
        <v>95006.301000000152</v>
      </c>
      <c r="AA82" s="6">
        <f t="shared" si="203"/>
        <v>85054.156000000017</v>
      </c>
      <c r="AB82" s="6">
        <f>AB15+AA15+Z15+Y15</f>
        <v>90913.070999999822</v>
      </c>
      <c r="AC82" s="6">
        <f t="shared" si="203"/>
        <v>109650.6759999998</v>
      </c>
      <c r="AD82" s="6">
        <f t="shared" si="203"/>
        <v>132053.68099999969</v>
      </c>
      <c r="AE82" s="6">
        <f t="shared" si="203"/>
        <v>148958.86199999967</v>
      </c>
      <c r="AF82" s="6">
        <f t="shared" si="203"/>
        <v>343916.56899999978</v>
      </c>
      <c r="AG82" s="6">
        <f t="shared" si="203"/>
        <v>364300.44199999986</v>
      </c>
      <c r="AH82" s="6">
        <f t="shared" si="203"/>
        <v>377447.72799999989</v>
      </c>
      <c r="AI82" s="6">
        <f t="shared" si="203"/>
        <v>384867.12499999983</v>
      </c>
      <c r="AJ82" s="6">
        <f t="shared" si="203"/>
        <v>212469.03600000014</v>
      </c>
      <c r="AK82" s="6">
        <f t="shared" si="203"/>
        <v>217852.14100000012</v>
      </c>
      <c r="AL82" s="6">
        <f t="shared" si="203"/>
        <v>260508.72300000017</v>
      </c>
      <c r="AM82" s="6">
        <f t="shared" si="203"/>
        <v>299691.87700000027</v>
      </c>
      <c r="AN82" s="6">
        <f t="shared" si="203"/>
        <v>294374.68500000011</v>
      </c>
      <c r="AO82" s="6">
        <f t="shared" si="203"/>
        <v>298179.81500000006</v>
      </c>
      <c r="AP82" s="6">
        <f t="shared" si="203"/>
        <v>756009.16299999994</v>
      </c>
      <c r="AQ82" s="6">
        <f t="shared" si="203"/>
        <v>773846.78999999992</v>
      </c>
      <c r="AR82" s="6">
        <f t="shared" si="203"/>
        <v>757608.67600000021</v>
      </c>
      <c r="AS82" s="6">
        <f t="shared" si="203"/>
        <v>698751.39800000004</v>
      </c>
      <c r="AT82" s="6">
        <f t="shared" si="203"/>
        <v>218693.48300000007</v>
      </c>
      <c r="AU82" s="6">
        <f t="shared" si="203"/>
        <v>175639.20600000001</v>
      </c>
      <c r="AV82" s="6">
        <f t="shared" si="203"/>
        <v>249569.33999999985</v>
      </c>
      <c r="AW82" s="6">
        <f t="shared" si="203"/>
        <v>294974.54499999993</v>
      </c>
      <c r="AX82" s="6">
        <f t="shared" si="203"/>
        <v>286183.402</v>
      </c>
      <c r="AY82" s="6">
        <f t="shared" si="203"/>
        <v>277962.86800000002</v>
      </c>
      <c r="AZ82" s="6">
        <f t="shared" si="203"/>
        <v>230852.59400000004</v>
      </c>
      <c r="BA82" s="6">
        <f t="shared" si="203"/>
        <v>229739.2300000001</v>
      </c>
      <c r="BB82" s="6">
        <f t="shared" si="203"/>
        <v>229827.97300000011</v>
      </c>
      <c r="BC82" s="6">
        <f t="shared" si="203"/>
        <v>248155.98900000018</v>
      </c>
      <c r="BD82" s="6">
        <f t="shared" si="203"/>
        <v>249853.48400000017</v>
      </c>
      <c r="BE82" s="6">
        <f t="shared" si="203"/>
        <v>262841.65300000017</v>
      </c>
    </row>
    <row r="83" spans="2:58">
      <c r="B83" s="1" t="s">
        <v>327</v>
      </c>
      <c r="C83" s="6">
        <f t="shared" ref="C83:K83" si="204">C43</f>
        <v>425400.36499999964</v>
      </c>
      <c r="D83" s="6">
        <f t="shared" si="204"/>
        <v>356585.29299999989</v>
      </c>
      <c r="E83" s="6">
        <f t="shared" si="204"/>
        <v>424780.73400000023</v>
      </c>
      <c r="F83" s="6">
        <f t="shared" si="204"/>
        <v>437102.69900000014</v>
      </c>
      <c r="G83" s="6">
        <f t="shared" si="204"/>
        <v>426930.55299999978</v>
      </c>
      <c r="H83" s="6">
        <f t="shared" si="204"/>
        <v>770411.15599999996</v>
      </c>
      <c r="I83" s="6">
        <f t="shared" si="204"/>
        <v>684231.88900000032</v>
      </c>
      <c r="J83" s="6">
        <f t="shared" si="204"/>
        <v>772452.25800000003</v>
      </c>
      <c r="K83" s="6">
        <f t="shared" si="204"/>
        <v>1282012.8939999999</v>
      </c>
      <c r="L83" s="6">
        <f>L43</f>
        <v>762562.17100000032</v>
      </c>
      <c r="M83" s="6">
        <f>M43</f>
        <v>788612.90100000007</v>
      </c>
      <c r="N83" s="6">
        <f>N43</f>
        <v>835473.09600000014</v>
      </c>
      <c r="O83" s="6">
        <f>O43</f>
        <v>855384.79399999988</v>
      </c>
      <c r="P83" s="6"/>
      <c r="Q83" s="160"/>
      <c r="R83" s="160"/>
      <c r="S83" s="160"/>
      <c r="T83" s="6">
        <f t="shared" ref="T83:BE83" si="205">T43+S43+R43+Q43</f>
        <v>424780.73400000005</v>
      </c>
      <c r="U83" s="6">
        <f t="shared" si="205"/>
        <v>425722.88099999994</v>
      </c>
      <c r="V83" s="6">
        <f t="shared" si="205"/>
        <v>425777.31900000008</v>
      </c>
      <c r="W83" s="6">
        <f t="shared" si="205"/>
        <v>431934.85400000017</v>
      </c>
      <c r="X83" s="6">
        <f t="shared" si="205"/>
        <v>437102.69900000014</v>
      </c>
      <c r="Y83" s="6">
        <f t="shared" si="205"/>
        <v>426469.66500000015</v>
      </c>
      <c r="Z83" s="6">
        <f t="shared" si="205"/>
        <v>422072.38000000012</v>
      </c>
      <c r="AA83" s="6">
        <f t="shared" si="205"/>
        <v>417123.24200000003</v>
      </c>
      <c r="AB83" s="6">
        <f>AB43+AA43+Z43+Y43</f>
        <v>426930.55299999984</v>
      </c>
      <c r="AC83" s="6">
        <f t="shared" si="205"/>
        <v>465393.66799999983</v>
      </c>
      <c r="AD83" s="6">
        <f t="shared" si="205"/>
        <v>508821.82299999968</v>
      </c>
      <c r="AE83" s="6">
        <f t="shared" si="205"/>
        <v>549111.48599999968</v>
      </c>
      <c r="AF83" s="6">
        <f t="shared" si="205"/>
        <v>770411.15599999973</v>
      </c>
      <c r="AG83" s="6">
        <f t="shared" si="205"/>
        <v>805303.67399999988</v>
      </c>
      <c r="AH83" s="6">
        <f t="shared" si="205"/>
        <v>831274.4439999999</v>
      </c>
      <c r="AI83" s="6">
        <f t="shared" si="205"/>
        <v>848540.46199999982</v>
      </c>
      <c r="AJ83" s="6">
        <f t="shared" si="205"/>
        <v>684231.8890000002</v>
      </c>
      <c r="AK83" s="6">
        <f t="shared" si="205"/>
        <v>689131.44900000026</v>
      </c>
      <c r="AL83" s="6">
        <f t="shared" si="205"/>
        <v>729813.04600000009</v>
      </c>
      <c r="AM83" s="6">
        <f t="shared" si="205"/>
        <v>769091.49100000015</v>
      </c>
      <c r="AN83" s="6">
        <f t="shared" si="205"/>
        <v>772452.25800000015</v>
      </c>
      <c r="AO83" s="6">
        <f t="shared" si="205"/>
        <v>784442.35800000001</v>
      </c>
      <c r="AP83" s="6">
        <f t="shared" si="205"/>
        <v>1266934.01</v>
      </c>
      <c r="AQ83" s="6">
        <f t="shared" si="205"/>
        <v>1293172.5209999997</v>
      </c>
      <c r="AR83" s="6">
        <f t="shared" si="205"/>
        <v>1282012.8940000003</v>
      </c>
      <c r="AS83" s="6">
        <f>AS43+AR43+AQ43+AP43</f>
        <v>1224549.1430000002</v>
      </c>
      <c r="AT83" s="6">
        <f t="shared" si="205"/>
        <v>730987.93800000008</v>
      </c>
      <c r="AU83" s="6">
        <f t="shared" si="205"/>
        <v>690960.05099999998</v>
      </c>
      <c r="AV83" s="6">
        <f t="shared" si="205"/>
        <v>762562.17099999986</v>
      </c>
      <c r="AW83" s="6">
        <f>AW43+AV43+AU43+AT43</f>
        <v>818209.28899999987</v>
      </c>
      <c r="AX83" s="6">
        <f t="shared" si="205"/>
        <v>824912.59499999997</v>
      </c>
      <c r="AY83" s="6">
        <f t="shared" si="205"/>
        <v>829468.57799999998</v>
      </c>
      <c r="AZ83" s="6">
        <f t="shared" si="205"/>
        <v>788612.90100000007</v>
      </c>
      <c r="BA83" s="6">
        <f>BA43+AZ43+AY43+AX43</f>
        <v>794407.92300000007</v>
      </c>
      <c r="BB83" s="6">
        <f t="shared" si="205"/>
        <v>797119.8330000001</v>
      </c>
      <c r="BC83" s="6">
        <f t="shared" si="205"/>
        <v>816037.70100000023</v>
      </c>
      <c r="BD83" s="6">
        <f t="shared" si="205"/>
        <v>835473.09600000014</v>
      </c>
      <c r="BE83" s="6">
        <f t="shared" si="205"/>
        <v>855384.79400000011</v>
      </c>
    </row>
    <row r="84" spans="2:58" s="5" customFormat="1">
      <c r="B84" s="1" t="s">
        <v>328</v>
      </c>
      <c r="C84" s="6">
        <f t="shared" ref="C84:K84" si="206">+C48</f>
        <v>425400.36499999964</v>
      </c>
      <c r="D84" s="6">
        <f t="shared" si="206"/>
        <v>356585.29300000001</v>
      </c>
      <c r="E84" s="6">
        <f t="shared" si="206"/>
        <v>424780.734</v>
      </c>
      <c r="F84" s="6">
        <f t="shared" si="206"/>
        <v>437102.69900000002</v>
      </c>
      <c r="G84" s="6">
        <f t="shared" si="206"/>
        <v>426921</v>
      </c>
      <c r="H84" s="6">
        <f t="shared" si="206"/>
        <v>770411</v>
      </c>
      <c r="I84" s="6">
        <f t="shared" si="206"/>
        <v>684231.88899999997</v>
      </c>
      <c r="J84" s="6">
        <f t="shared" si="206"/>
        <v>772452.25800000003</v>
      </c>
      <c r="K84" s="6">
        <f t="shared" si="206"/>
        <v>1282013</v>
      </c>
      <c r="L84" s="6">
        <f>+L48</f>
        <v>762562.17099999997</v>
      </c>
      <c r="M84" s="6">
        <f>+M48</f>
        <v>788612.90099999995</v>
      </c>
      <c r="N84" s="6">
        <f>+N48</f>
        <v>835473.09600000002</v>
      </c>
      <c r="O84" s="6">
        <f>+O48</f>
        <v>855384.79400000011</v>
      </c>
      <c r="P84" s="6"/>
      <c r="Q84" s="160"/>
      <c r="R84" s="160"/>
      <c r="S84" s="160"/>
      <c r="T84" s="6">
        <f t="shared" ref="T84:AR84" si="207">+T48+S48+R48+Q48</f>
        <v>424780.734</v>
      </c>
      <c r="U84" s="6">
        <f t="shared" si="207"/>
        <v>425722.734</v>
      </c>
      <c r="V84" s="6">
        <f t="shared" si="207"/>
        <v>425777.734</v>
      </c>
      <c r="W84" s="6">
        <f t="shared" si="207"/>
        <v>431935.734</v>
      </c>
      <c r="X84" s="6">
        <f t="shared" si="207"/>
        <v>437102.69900000002</v>
      </c>
      <c r="Y84" s="6">
        <f t="shared" si="207"/>
        <v>426469.69900000002</v>
      </c>
      <c r="Z84" s="6">
        <f t="shared" si="207"/>
        <v>422071.69900000002</v>
      </c>
      <c r="AA84" s="6">
        <f t="shared" si="207"/>
        <v>417122.69900000002</v>
      </c>
      <c r="AB84" s="6">
        <f>+AB48+AA48+Z48+Y48</f>
        <v>426921</v>
      </c>
      <c r="AC84" s="6">
        <f t="shared" si="207"/>
        <v>465384</v>
      </c>
      <c r="AD84" s="6">
        <f t="shared" si="207"/>
        <v>508813</v>
      </c>
      <c r="AE84" s="6">
        <f t="shared" si="207"/>
        <v>549102</v>
      </c>
      <c r="AF84" s="6">
        <f t="shared" si="207"/>
        <v>770411</v>
      </c>
      <c r="AG84" s="6">
        <f t="shared" si="207"/>
        <v>805303</v>
      </c>
      <c r="AH84" s="6">
        <f t="shared" si="207"/>
        <v>831273</v>
      </c>
      <c r="AI84" s="6">
        <f t="shared" si="207"/>
        <v>848539</v>
      </c>
      <c r="AJ84" s="6">
        <f t="shared" si="207"/>
        <v>684231.88899999997</v>
      </c>
      <c r="AK84" s="6">
        <f t="shared" si="207"/>
        <v>689131.88899999997</v>
      </c>
      <c r="AL84" s="6">
        <f t="shared" si="207"/>
        <v>729813.88899999997</v>
      </c>
      <c r="AM84" s="6">
        <f t="shared" si="207"/>
        <v>769092.88899999997</v>
      </c>
      <c r="AN84" s="6">
        <f t="shared" si="207"/>
        <v>772452.25800000003</v>
      </c>
      <c r="AO84" s="6">
        <f t="shared" si="207"/>
        <v>784442.25800000003</v>
      </c>
      <c r="AP84" s="6">
        <f t="shared" si="207"/>
        <v>1266934.2579999999</v>
      </c>
      <c r="AQ84" s="6">
        <f t="shared" si="207"/>
        <v>1296172.2579999999</v>
      </c>
      <c r="AR84" s="6">
        <f t="shared" si="207"/>
        <v>1282013</v>
      </c>
      <c r="AS84" s="6">
        <f t="shared" ref="AS84:BE84" si="208">+AS48+AR48+AQ48+AP48</f>
        <v>1224549</v>
      </c>
      <c r="AT84" s="6">
        <f t="shared" si="208"/>
        <v>730987</v>
      </c>
      <c r="AU84" s="6">
        <f t="shared" si="208"/>
        <v>687960</v>
      </c>
      <c r="AV84" s="6">
        <f t="shared" si="208"/>
        <v>762562.17099999997</v>
      </c>
      <c r="AW84" s="6">
        <f t="shared" si="208"/>
        <v>818209.17099999997</v>
      </c>
      <c r="AX84" s="6">
        <f t="shared" si="208"/>
        <v>824913.17099999997</v>
      </c>
      <c r="AY84" s="6">
        <f t="shared" si="208"/>
        <v>829469.17099999997</v>
      </c>
      <c r="AZ84" s="6">
        <f t="shared" si="208"/>
        <v>788612.90099999995</v>
      </c>
      <c r="BA84" s="6">
        <f t="shared" si="208"/>
        <v>794408.29899999988</v>
      </c>
      <c r="BB84" s="6">
        <f t="shared" si="208"/>
        <v>797119.90099999995</v>
      </c>
      <c r="BC84" s="6">
        <f t="shared" si="208"/>
        <v>816036.90099999995</v>
      </c>
      <c r="BD84" s="6">
        <f t="shared" si="208"/>
        <v>835473.09600000014</v>
      </c>
      <c r="BE84" s="6">
        <f t="shared" si="208"/>
        <v>855384.79399999999</v>
      </c>
    </row>
    <row r="85" spans="2:58" s="5" customFormat="1">
      <c r="B85" s="345" t="s">
        <v>329</v>
      </c>
      <c r="C85" s="316">
        <f t="shared" ref="C85:H85" si="209">+C51</f>
        <v>425400.36499999964</v>
      </c>
      <c r="D85" s="316">
        <f t="shared" si="209"/>
        <v>356585.29300000001</v>
      </c>
      <c r="E85" s="316">
        <f t="shared" si="209"/>
        <v>424780.734</v>
      </c>
      <c r="F85" s="316">
        <f t="shared" si="209"/>
        <v>437102.69900000002</v>
      </c>
      <c r="G85" s="316">
        <f t="shared" si="209"/>
        <v>426921</v>
      </c>
      <c r="H85" s="316">
        <f t="shared" si="209"/>
        <v>687180</v>
      </c>
      <c r="I85" s="316">
        <f t="shared" ref="I85:O85" si="210">+I51</f>
        <v>684231.88899999997</v>
      </c>
      <c r="J85" s="316">
        <f t="shared" si="210"/>
        <v>772452.25800000003</v>
      </c>
      <c r="K85" s="316">
        <f t="shared" si="210"/>
        <v>1282013</v>
      </c>
      <c r="L85" s="316">
        <f t="shared" si="210"/>
        <v>762562.17099999997</v>
      </c>
      <c r="M85" s="316">
        <f t="shared" si="210"/>
        <v>788612.90099999995</v>
      </c>
      <c r="N85" s="316">
        <f>+N51</f>
        <v>835473.09600000002</v>
      </c>
      <c r="O85" s="316">
        <f t="shared" si="210"/>
        <v>855384.79400000011</v>
      </c>
      <c r="P85" s="6"/>
      <c r="Q85" s="160"/>
      <c r="R85" s="160"/>
      <c r="S85" s="160"/>
      <c r="T85" s="198">
        <f t="shared" ref="T85:AF85" si="211">+T51+S51+R51+Q51</f>
        <v>424780.734</v>
      </c>
      <c r="U85" s="198">
        <f t="shared" si="211"/>
        <v>425722.734</v>
      </c>
      <c r="V85" s="198">
        <f t="shared" si="211"/>
        <v>425777.734</v>
      </c>
      <c r="W85" s="198">
        <f t="shared" si="211"/>
        <v>431935.734</v>
      </c>
      <c r="X85" s="198">
        <f t="shared" si="211"/>
        <v>437102.69900000002</v>
      </c>
      <c r="Y85" s="198">
        <f t="shared" si="211"/>
        <v>426469.69900000002</v>
      </c>
      <c r="Z85" s="198">
        <f t="shared" si="211"/>
        <v>422071.69900000002</v>
      </c>
      <c r="AA85" s="198">
        <f t="shared" si="211"/>
        <v>417122.69900000002</v>
      </c>
      <c r="AB85" s="198">
        <f t="shared" si="211"/>
        <v>426921</v>
      </c>
      <c r="AC85" s="198">
        <f t="shared" si="211"/>
        <v>445670</v>
      </c>
      <c r="AD85" s="198">
        <f t="shared" si="211"/>
        <v>468359</v>
      </c>
      <c r="AE85" s="198">
        <f t="shared" si="211"/>
        <v>488023</v>
      </c>
      <c r="AF85" s="198">
        <f t="shared" si="211"/>
        <v>687180</v>
      </c>
      <c r="AG85" s="232"/>
      <c r="AH85" s="232"/>
      <c r="AI85" s="232"/>
      <c r="AJ85" s="198">
        <f>+AJ51+AI51+AH51+AG51</f>
        <v>0</v>
      </c>
      <c r="AK85" s="232"/>
      <c r="AL85" s="232"/>
      <c r="AM85" s="232"/>
      <c r="AN85" s="232"/>
      <c r="AO85" s="232"/>
      <c r="AP85" s="232"/>
      <c r="AQ85" s="232"/>
      <c r="AR85" s="232"/>
      <c r="AS85" s="232"/>
      <c r="AT85" s="232"/>
      <c r="AU85" s="232"/>
      <c r="AV85" s="232"/>
      <c r="AW85" s="316"/>
      <c r="AX85" s="316"/>
      <c r="AY85" s="316"/>
      <c r="AZ85" s="316"/>
      <c r="BA85" s="316"/>
      <c r="BB85" s="316"/>
      <c r="BC85" s="316"/>
      <c r="BD85" s="316"/>
      <c r="BE85" s="316"/>
    </row>
    <row r="86" spans="2:58">
      <c r="B86" s="1" t="s">
        <v>310</v>
      </c>
      <c r="C86" s="6">
        <f t="shared" ref="C86:K86" si="212">-C60</f>
        <v>38230.205999999998</v>
      </c>
      <c r="D86" s="6">
        <f t="shared" si="212"/>
        <v>63085.944000000003</v>
      </c>
      <c r="E86" s="6">
        <f t="shared" si="212"/>
        <v>67686.202000000005</v>
      </c>
      <c r="F86" s="6">
        <f t="shared" si="212"/>
        <v>70675.87</v>
      </c>
      <c r="G86" s="6">
        <f t="shared" si="212"/>
        <v>77123.244000000006</v>
      </c>
      <c r="H86" s="6">
        <f t="shared" si="212"/>
        <v>86893.145000000004</v>
      </c>
      <c r="I86" s="6">
        <f t="shared" si="212"/>
        <v>94388.228000000003</v>
      </c>
      <c r="J86" s="6">
        <f t="shared" si="212"/>
        <v>148370.217</v>
      </c>
      <c r="K86" s="6">
        <f t="shared" si="212"/>
        <v>107881.512</v>
      </c>
      <c r="L86" s="6">
        <f>-L60</f>
        <v>112936.64200000001</v>
      </c>
      <c r="M86" s="6">
        <f>-M60</f>
        <v>119124.6</v>
      </c>
      <c r="N86" s="6">
        <f>-N60</f>
        <v>110625.803</v>
      </c>
      <c r="O86" s="6">
        <f>-O60</f>
        <v>105448.004</v>
      </c>
      <c r="P86" s="6"/>
      <c r="Q86" s="160"/>
      <c r="R86" s="160"/>
      <c r="S86" s="160"/>
      <c r="T86" s="6">
        <f t="shared" ref="T86:BE86" si="213">-T60-S60-R60-Q60</f>
        <v>67686.202000000005</v>
      </c>
      <c r="U86" s="6">
        <f t="shared" si="213"/>
        <v>67853.251000000004</v>
      </c>
      <c r="V86" s="6">
        <f t="shared" si="213"/>
        <v>68382.004000000015</v>
      </c>
      <c r="W86" s="6">
        <f t="shared" si="213"/>
        <v>69110.175000000003</v>
      </c>
      <c r="X86" s="6">
        <f t="shared" si="213"/>
        <v>70675.87</v>
      </c>
      <c r="Y86" s="6">
        <f t="shared" si="213"/>
        <v>71853.021999999997</v>
      </c>
      <c r="Z86" s="6">
        <f t="shared" si="213"/>
        <v>74084.540999999997</v>
      </c>
      <c r="AA86" s="6">
        <f t="shared" si="213"/>
        <v>75284.406999999992</v>
      </c>
      <c r="AB86" s="6">
        <f>-AB60-AA60-Z60-Y60</f>
        <v>77123.244000000006</v>
      </c>
      <c r="AC86" s="6">
        <f t="shared" si="213"/>
        <v>81075.06700000001</v>
      </c>
      <c r="AD86" s="6">
        <f t="shared" si="213"/>
        <v>85879.669000000009</v>
      </c>
      <c r="AE86" s="6">
        <f t="shared" si="213"/>
        <v>83555.214000000007</v>
      </c>
      <c r="AF86" s="6">
        <f t="shared" si="213"/>
        <v>86893.145000000004</v>
      </c>
      <c r="AG86" s="6">
        <f t="shared" si="213"/>
        <v>87195.618000000017</v>
      </c>
      <c r="AH86" s="6">
        <f t="shared" si="213"/>
        <v>88093.695000000007</v>
      </c>
      <c r="AI86" s="6">
        <f t="shared" si="213"/>
        <v>94914.775000000023</v>
      </c>
      <c r="AJ86" s="6">
        <f t="shared" si="213"/>
        <v>94388.228000000017</v>
      </c>
      <c r="AK86" s="6">
        <f t="shared" si="213"/>
        <v>92971.996000000014</v>
      </c>
      <c r="AL86" s="6">
        <f t="shared" si="213"/>
        <v>92318.837999999989</v>
      </c>
      <c r="AM86" s="6">
        <f t="shared" si="213"/>
        <v>152346.77900000001</v>
      </c>
      <c r="AN86" s="6">
        <f t="shared" si="213"/>
        <v>148370.217</v>
      </c>
      <c r="AO86" s="6">
        <f t="shared" si="213"/>
        <v>159084.348</v>
      </c>
      <c r="AP86" s="6">
        <f t="shared" si="213"/>
        <v>150852.019</v>
      </c>
      <c r="AQ86" s="6">
        <f t="shared" si="213"/>
        <v>102411.94600000001</v>
      </c>
      <c r="AR86" s="6">
        <f t="shared" si="213"/>
        <v>107881.512</v>
      </c>
      <c r="AS86" s="6">
        <f t="shared" si="213"/>
        <v>113015.00600000001</v>
      </c>
      <c r="AT86" s="6">
        <f t="shared" si="213"/>
        <v>117751.96199999998</v>
      </c>
      <c r="AU86" s="6">
        <f t="shared" si="213"/>
        <v>118928.944</v>
      </c>
      <c r="AV86" s="6">
        <f t="shared" si="213"/>
        <v>112936.64199999999</v>
      </c>
      <c r="AW86" s="6">
        <f t="shared" si="213"/>
        <v>113110.817</v>
      </c>
      <c r="AX86" s="6">
        <f t="shared" si="213"/>
        <v>111425.72200000001</v>
      </c>
      <c r="AY86" s="6">
        <f t="shared" si="213"/>
        <v>113628.42300000001</v>
      </c>
      <c r="AZ86" s="6">
        <f t="shared" si="213"/>
        <v>119124.6</v>
      </c>
      <c r="BA86" s="6">
        <f t="shared" si="213"/>
        <v>118559.47099999999</v>
      </c>
      <c r="BB86" s="6">
        <f t="shared" si="213"/>
        <v>115399.448</v>
      </c>
      <c r="BC86" s="6">
        <f t="shared" si="213"/>
        <v>116328.43799999999</v>
      </c>
      <c r="BD86" s="6">
        <f t="shared" si="213"/>
        <v>110625.803</v>
      </c>
      <c r="BE86" s="6">
        <f t="shared" si="213"/>
        <v>105448.00400000002</v>
      </c>
    </row>
    <row r="87" spans="2:58">
      <c r="B87" s="1" t="s">
        <v>330</v>
      </c>
      <c r="C87" s="6">
        <f t="shared" ref="C87:K87" si="214">+C24</f>
        <v>111720.84499999965</v>
      </c>
      <c r="D87" s="6">
        <f t="shared" si="214"/>
        <v>-1101.9970000001122</v>
      </c>
      <c r="E87" s="6">
        <f t="shared" si="214"/>
        <v>34158.100000000224</v>
      </c>
      <c r="F87" s="6">
        <f t="shared" si="214"/>
        <v>43409.541000000143</v>
      </c>
      <c r="G87" s="6">
        <f t="shared" si="214"/>
        <v>-23614.092000000237</v>
      </c>
      <c r="H87" s="6">
        <f t="shared" si="214"/>
        <v>154152.10599999988</v>
      </c>
      <c r="I87" s="6">
        <f t="shared" si="214"/>
        <v>84466.248000000298</v>
      </c>
      <c r="J87" s="6">
        <f t="shared" si="214"/>
        <v>74975.311000000045</v>
      </c>
      <c r="K87" s="6">
        <f t="shared" si="214"/>
        <v>456787.33199999994</v>
      </c>
      <c r="L87" s="6">
        <f>+L24</f>
        <v>88884.366000000286</v>
      </c>
      <c r="M87" s="6">
        <f>+M24</f>
        <v>67672.129000000044</v>
      </c>
      <c r="N87" s="6">
        <f>+N24</f>
        <v>191396.46900000016</v>
      </c>
      <c r="O87" s="6">
        <f>+O24</f>
        <v>196160.25299999994</v>
      </c>
      <c r="P87" s="6"/>
      <c r="Q87" s="160"/>
      <c r="R87" s="160"/>
      <c r="S87" s="160"/>
      <c r="T87" s="6">
        <f t="shared" ref="T87:BE87" si="215">+T24+S24+R24+Q24</f>
        <v>34158.100000000049</v>
      </c>
      <c r="U87" s="6">
        <f t="shared" si="215"/>
        <v>24315.110999999946</v>
      </c>
      <c r="V87" s="6">
        <f t="shared" si="215"/>
        <v>12876.519000000058</v>
      </c>
      <c r="W87" s="6">
        <f t="shared" si="215"/>
        <v>21083.513000000137</v>
      </c>
      <c r="X87" s="6">
        <f t="shared" si="215"/>
        <v>43409.541000000128</v>
      </c>
      <c r="Y87" s="6">
        <f t="shared" si="215"/>
        <v>29306.571000000135</v>
      </c>
      <c r="Z87" s="6">
        <f t="shared" si="215"/>
        <v>8310.9710000001487</v>
      </c>
      <c r="AA87" s="6">
        <f t="shared" si="215"/>
        <v>-14620.303999999984</v>
      </c>
      <c r="AB87" s="6">
        <f>+AB24+AA24+Z24+Y24</f>
        <v>-23614.092000000179</v>
      </c>
      <c r="AC87" s="6">
        <f t="shared" si="215"/>
        <v>-13499.188000000191</v>
      </c>
      <c r="AD87" s="6">
        <f t="shared" si="215"/>
        <v>14514.952999999699</v>
      </c>
      <c r="AE87" s="6">
        <f t="shared" si="215"/>
        <v>5030.876999999673</v>
      </c>
      <c r="AF87" s="6">
        <f t="shared" si="215"/>
        <v>154152.10599999983</v>
      </c>
      <c r="AG87" s="6">
        <f t="shared" si="215"/>
        <v>121549.6439999999</v>
      </c>
      <c r="AH87" s="6">
        <f t="shared" si="215"/>
        <v>139691.99399999995</v>
      </c>
      <c r="AI87" s="6">
        <f t="shared" si="215"/>
        <v>181707.43899999987</v>
      </c>
      <c r="AJ87" s="6">
        <f t="shared" si="215"/>
        <v>84466.248000000138</v>
      </c>
      <c r="AK87" s="6">
        <f t="shared" si="215"/>
        <v>124254.19300000012</v>
      </c>
      <c r="AL87" s="6">
        <f t="shared" si="215"/>
        <v>146408.1500000002</v>
      </c>
      <c r="AM87" s="6">
        <f t="shared" si="215"/>
        <v>121340.84600000028</v>
      </c>
      <c r="AN87" s="6">
        <f t="shared" si="215"/>
        <v>74975.311000000118</v>
      </c>
      <c r="AO87" s="6">
        <f t="shared" si="215"/>
        <v>109959.40100000007</v>
      </c>
      <c r="AP87" s="6">
        <f t="shared" si="215"/>
        <v>373934.46899999992</v>
      </c>
      <c r="AQ87" s="6">
        <f t="shared" si="215"/>
        <v>414539.86499999993</v>
      </c>
      <c r="AR87" s="6">
        <f t="shared" si="215"/>
        <v>456787.33200000011</v>
      </c>
      <c r="AS87" s="6">
        <f t="shared" si="215"/>
        <v>407512.25300000003</v>
      </c>
      <c r="AT87" s="6">
        <f t="shared" si="215"/>
        <v>121209.68600000007</v>
      </c>
      <c r="AU87" s="6">
        <f t="shared" si="215"/>
        <v>66312.915999999997</v>
      </c>
      <c r="AV87" s="6">
        <f t="shared" si="215"/>
        <v>88884.365999999834</v>
      </c>
      <c r="AW87" s="6">
        <f t="shared" si="215"/>
        <v>65420.475999999915</v>
      </c>
      <c r="AX87" s="6">
        <f t="shared" si="215"/>
        <v>87160.968999999997</v>
      </c>
      <c r="AY87" s="6">
        <f t="shared" si="215"/>
        <v>140455.6</v>
      </c>
      <c r="AZ87" s="6">
        <f t="shared" si="215"/>
        <v>67672.129000000044</v>
      </c>
      <c r="BA87" s="6">
        <f t="shared" si="215"/>
        <v>111104.60100000011</v>
      </c>
      <c r="BB87" s="6">
        <f t="shared" si="215"/>
        <v>85589.036000000124</v>
      </c>
      <c r="BC87" s="6">
        <f t="shared" si="215"/>
        <v>75086.002000000182</v>
      </c>
      <c r="BD87" s="6">
        <f t="shared" si="215"/>
        <v>191396.46900000016</v>
      </c>
      <c r="BE87" s="6">
        <f t="shared" si="215"/>
        <v>196160.25300000017</v>
      </c>
    </row>
    <row r="88" spans="2:58">
      <c r="B88" s="1" t="s">
        <v>331</v>
      </c>
      <c r="C88" s="6">
        <f t="shared" ref="C88:K88" si="216">-C63</f>
        <v>551380.21799999999</v>
      </c>
      <c r="D88" s="6">
        <f t="shared" si="216"/>
        <v>523186.87</v>
      </c>
      <c r="E88" s="6">
        <f t="shared" si="216"/>
        <v>454189.44299999997</v>
      </c>
      <c r="F88" s="6">
        <f t="shared" si="216"/>
        <v>497128.95600000001</v>
      </c>
      <c r="G88" s="6">
        <f t="shared" si="216"/>
        <v>507874.09</v>
      </c>
      <c r="H88" s="6">
        <f t="shared" si="216"/>
        <v>-12814.071999999986</v>
      </c>
      <c r="I88" s="6">
        <f t="shared" si="216"/>
        <v>291709.94700000004</v>
      </c>
      <c r="J88" s="6">
        <f t="shared" si="216"/>
        <v>260440.52799999999</v>
      </c>
      <c r="K88" s="6">
        <f t="shared" si="216"/>
        <v>-12860.123000000021</v>
      </c>
      <c r="L88" s="6">
        <f>-L63</f>
        <v>-949742.07199999993</v>
      </c>
      <c r="M88" s="6">
        <f>-M63</f>
        <v>539724.12</v>
      </c>
      <c r="N88" s="6">
        <f>-N63</f>
        <v>533826.28399999999</v>
      </c>
      <c r="O88" s="6">
        <f>-O63</f>
        <v>493971.73300000001</v>
      </c>
      <c r="P88" s="6"/>
      <c r="Q88" s="160"/>
      <c r="R88" s="160"/>
      <c r="S88" s="160"/>
      <c r="T88" s="6">
        <f t="shared" ref="T88:BE88" si="217">-T63-S63-R63-Q63</f>
        <v>454189.44299999997</v>
      </c>
      <c r="U88" s="6">
        <f t="shared" si="217"/>
        <v>465147.97399999993</v>
      </c>
      <c r="V88" s="6">
        <f t="shared" si="217"/>
        <v>466767.93999999994</v>
      </c>
      <c r="W88" s="6">
        <f t="shared" si="217"/>
        <v>490639.66200000001</v>
      </c>
      <c r="X88" s="6">
        <f t="shared" si="217"/>
        <v>497128.95600000001</v>
      </c>
      <c r="Y88" s="6">
        <f t="shared" si="217"/>
        <v>519260.60600000003</v>
      </c>
      <c r="Z88" s="6">
        <f t="shared" si="217"/>
        <v>532705.32200000004</v>
      </c>
      <c r="AA88" s="6">
        <f t="shared" si="217"/>
        <v>520586.48300000001</v>
      </c>
      <c r="AB88" s="6">
        <f>-AB63-AA63-Z63-Y63</f>
        <v>507874.09</v>
      </c>
      <c r="AC88" s="6">
        <f t="shared" si="217"/>
        <v>518136.25700000004</v>
      </c>
      <c r="AD88" s="6">
        <f t="shared" si="217"/>
        <v>522549.87200000003</v>
      </c>
      <c r="AE88" s="6">
        <f t="shared" si="217"/>
        <v>488577.58</v>
      </c>
      <c r="AF88" s="6">
        <f t="shared" si="217"/>
        <v>-12814.071999999986</v>
      </c>
      <c r="AG88" s="6">
        <f t="shared" si="217"/>
        <v>-97611.718999999954</v>
      </c>
      <c r="AH88" s="6">
        <f t="shared" si="217"/>
        <v>-152239.511</v>
      </c>
      <c r="AI88" s="6">
        <f t="shared" si="217"/>
        <v>-126673.228</v>
      </c>
      <c r="AJ88" s="6">
        <f t="shared" si="217"/>
        <v>291709.94700000004</v>
      </c>
      <c r="AK88" s="6">
        <f t="shared" si="217"/>
        <v>338996.86500000011</v>
      </c>
      <c r="AL88" s="6">
        <f t="shared" si="217"/>
        <v>366636.17300000007</v>
      </c>
      <c r="AM88" s="6">
        <f t="shared" si="217"/>
        <v>340672.82400000002</v>
      </c>
      <c r="AN88" s="6">
        <f t="shared" si="217"/>
        <v>260440.52799999999</v>
      </c>
      <c r="AO88" s="6">
        <f t="shared" si="217"/>
        <v>299605.353</v>
      </c>
      <c r="AP88" s="6">
        <f t="shared" si="217"/>
        <v>-226196.554</v>
      </c>
      <c r="AQ88" s="6">
        <f t="shared" si="217"/>
        <v>-229546.86999999994</v>
      </c>
      <c r="AR88" s="6">
        <f t="shared" si="217"/>
        <v>-12860.123000000021</v>
      </c>
      <c r="AS88" s="6">
        <f t="shared" si="217"/>
        <v>5995.4949999999953</v>
      </c>
      <c r="AT88" s="6">
        <f t="shared" si="217"/>
        <v>566214.90899999999</v>
      </c>
      <c r="AU88" s="6">
        <f t="shared" si="217"/>
        <v>597443.56499999994</v>
      </c>
      <c r="AV88" s="6">
        <f t="shared" si="217"/>
        <v>-949742.07199999993</v>
      </c>
      <c r="AW88" s="6">
        <f t="shared" si="217"/>
        <v>-999256.65899999975</v>
      </c>
      <c r="AX88" s="6">
        <f t="shared" si="217"/>
        <v>-968661.23100000003</v>
      </c>
      <c r="AY88" s="6">
        <f t="shared" si="217"/>
        <v>-947733.97500000009</v>
      </c>
      <c r="AZ88" s="6">
        <f t="shared" si="217"/>
        <v>539724.12</v>
      </c>
      <c r="BA88" s="6">
        <f t="shared" si="217"/>
        <v>567646.04499999993</v>
      </c>
      <c r="BB88" s="6">
        <f t="shared" si="217"/>
        <v>516055.86300000001</v>
      </c>
      <c r="BC88" s="6">
        <f t="shared" si="217"/>
        <v>486353.40499999997</v>
      </c>
      <c r="BD88" s="6">
        <f t="shared" si="217"/>
        <v>533826.28399999999</v>
      </c>
      <c r="BE88" s="6">
        <f t="shared" si="217"/>
        <v>493971.73300000001</v>
      </c>
    </row>
    <row r="89" spans="2:58">
      <c r="B89" s="1" t="s">
        <v>316</v>
      </c>
      <c r="C89" s="6">
        <f t="shared" ref="C89:K89" si="218">+C66</f>
        <v>616403.83299999975</v>
      </c>
      <c r="D89" s="6">
        <f t="shared" si="218"/>
        <v>433732.54200000019</v>
      </c>
      <c r="E89" s="6">
        <f t="shared" si="218"/>
        <v>392037.82600000012</v>
      </c>
      <c r="F89" s="6">
        <f t="shared" si="218"/>
        <v>774396.86999999988</v>
      </c>
      <c r="G89" s="6">
        <f t="shared" si="218"/>
        <v>698161.20099999988</v>
      </c>
      <c r="H89" s="6">
        <f t="shared" si="218"/>
        <v>1673637.5140000002</v>
      </c>
      <c r="I89" s="6">
        <f t="shared" si="218"/>
        <v>1284359.8119999999</v>
      </c>
      <c r="J89" s="6">
        <f t="shared" si="218"/>
        <v>1210696.1310000001</v>
      </c>
      <c r="K89" s="6">
        <f t="shared" si="218"/>
        <v>2178405.8759999997</v>
      </c>
      <c r="L89" s="6">
        <f>+L66</f>
        <v>1732745.3509999998</v>
      </c>
      <c r="M89" s="6">
        <f>+M66</f>
        <v>28000.193999999956</v>
      </c>
      <c r="N89" s="6">
        <f>+N66</f>
        <v>192494.35600000009</v>
      </c>
      <c r="O89" s="6">
        <f>+O66</f>
        <v>247062.75500000006</v>
      </c>
      <c r="P89" s="6"/>
      <c r="Q89" s="160"/>
      <c r="R89" s="160"/>
      <c r="S89" s="160"/>
      <c r="T89" s="6">
        <f t="shared" ref="T89:BE89" si="219">+T66+S66+R66+Q66</f>
        <v>392037.82600000023</v>
      </c>
      <c r="U89" s="6">
        <f t="shared" si="219"/>
        <v>365993.60000000021</v>
      </c>
      <c r="V89" s="6">
        <f t="shared" si="219"/>
        <v>376493.83100000024</v>
      </c>
      <c r="W89" s="6">
        <f t="shared" si="219"/>
        <v>712721.201</v>
      </c>
      <c r="X89" s="6">
        <f t="shared" si="219"/>
        <v>774396.87</v>
      </c>
      <c r="Y89" s="6">
        <f t="shared" si="219"/>
        <v>707187.05499999993</v>
      </c>
      <c r="Z89" s="6">
        <f t="shared" si="219"/>
        <v>759070.78200000001</v>
      </c>
      <c r="AA89" s="6">
        <f t="shared" si="219"/>
        <v>705690.26300000027</v>
      </c>
      <c r="AB89" s="6">
        <f>+AB66+AA66+Z66+Y66</f>
        <v>698161.20099999988</v>
      </c>
      <c r="AC89" s="6">
        <f t="shared" si="219"/>
        <v>802979.20299999975</v>
      </c>
      <c r="AD89" s="6">
        <f t="shared" si="219"/>
        <v>814884.08599999978</v>
      </c>
      <c r="AE89" s="6">
        <f t="shared" si="219"/>
        <v>903676.45099999965</v>
      </c>
      <c r="AF89" s="6">
        <f t="shared" si="219"/>
        <v>1673637.5140000002</v>
      </c>
      <c r="AG89" s="6">
        <f t="shared" si="219"/>
        <v>1752998.1370000003</v>
      </c>
      <c r="AH89" s="6">
        <f t="shared" si="219"/>
        <v>1787479.9610000004</v>
      </c>
      <c r="AI89" s="6">
        <f t="shared" si="219"/>
        <v>1924155.6300000004</v>
      </c>
      <c r="AJ89" s="6">
        <f t="shared" si="219"/>
        <v>1284359.8119999999</v>
      </c>
      <c r="AK89" s="6">
        <f>+AK66+AJ66+AI66+AH66</f>
        <v>1180322.7179999999</v>
      </c>
      <c r="AL89" s="6">
        <f t="shared" si="219"/>
        <v>1368471.747</v>
      </c>
      <c r="AM89" s="6">
        <f t="shared" si="219"/>
        <v>1246578.747</v>
      </c>
      <c r="AN89" s="6">
        <f t="shared" si="219"/>
        <v>1210696.1309999996</v>
      </c>
      <c r="AO89" s="6">
        <f>+AO66+AN66+AM66+AL66</f>
        <v>1304177.3109999998</v>
      </c>
      <c r="AP89" s="6">
        <f t="shared" si="219"/>
        <v>2103160.0209999997</v>
      </c>
      <c r="AQ89" s="6">
        <f t="shared" si="219"/>
        <v>2131695.7599999998</v>
      </c>
      <c r="AR89" s="6">
        <f t="shared" si="219"/>
        <v>2178405.8759999997</v>
      </c>
      <c r="AS89" s="6">
        <f>+AS66+AR66+AQ66+AP66</f>
        <v>1767118.5149999997</v>
      </c>
      <c r="AT89" s="6">
        <f t="shared" si="219"/>
        <v>563078.06899999967</v>
      </c>
      <c r="AU89" s="6">
        <f t="shared" si="219"/>
        <v>411966.78599999979</v>
      </c>
      <c r="AV89" s="6">
        <f t="shared" si="219"/>
        <v>1732745.3509999998</v>
      </c>
      <c r="AW89" s="6">
        <f>+AW66+AV66+AU66+AT66</f>
        <v>1832809.132</v>
      </c>
      <c r="AX89" s="6">
        <f t="shared" si="219"/>
        <v>1788543.9839999999</v>
      </c>
      <c r="AY89" s="6">
        <f t="shared" si="219"/>
        <v>1600528.0109999999</v>
      </c>
      <c r="AZ89" s="6">
        <f t="shared" si="219"/>
        <v>28000.193999999952</v>
      </c>
      <c r="BA89" s="6">
        <f>+BA66+AZ66+AY66+AX66</f>
        <v>34419.994999999952</v>
      </c>
      <c r="BB89" s="6">
        <f t="shared" si="219"/>
        <v>110419.8259999999</v>
      </c>
      <c r="BC89" s="6">
        <f t="shared" si="219"/>
        <v>209824.26399999997</v>
      </c>
      <c r="BD89" s="6">
        <f t="shared" si="219"/>
        <v>192494.35600000003</v>
      </c>
      <c r="BE89" s="6">
        <f t="shared" si="219"/>
        <v>247062.75500000003</v>
      </c>
    </row>
    <row r="90" spans="2:58"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</row>
    <row r="91" spans="2:58">
      <c r="B91" s="16" t="s">
        <v>332</v>
      </c>
      <c r="C91" s="34">
        <f t="shared" ref="C91:Y91" si="220">+C80</f>
        <v>41974</v>
      </c>
      <c r="D91" s="34">
        <f t="shared" si="220"/>
        <v>42340</v>
      </c>
      <c r="E91" s="34">
        <f t="shared" si="220"/>
        <v>42707</v>
      </c>
      <c r="F91" s="75">
        <f t="shared" si="220"/>
        <v>43073</v>
      </c>
      <c r="G91" s="75">
        <f t="shared" ref="G91:L91" si="221">G3</f>
        <v>43438</v>
      </c>
      <c r="H91" s="75">
        <f t="shared" si="221"/>
        <v>43803</v>
      </c>
      <c r="I91" s="75">
        <f t="shared" si="221"/>
        <v>44169</v>
      </c>
      <c r="J91" s="75">
        <f t="shared" si="221"/>
        <v>44534</v>
      </c>
      <c r="K91" s="75">
        <f t="shared" si="221"/>
        <v>44926</v>
      </c>
      <c r="L91" s="75">
        <f t="shared" si="221"/>
        <v>45291</v>
      </c>
      <c r="M91" s="75">
        <f>M3</f>
        <v>45657</v>
      </c>
      <c r="N91" s="75">
        <f>N3</f>
        <v>46022</v>
      </c>
      <c r="O91" s="34">
        <f>+O80</f>
        <v>46112</v>
      </c>
      <c r="P91" s="323"/>
      <c r="Q91" s="34">
        <f t="shared" si="220"/>
        <v>42437</v>
      </c>
      <c r="R91" s="34">
        <f t="shared" si="220"/>
        <v>42527</v>
      </c>
      <c r="S91" s="34">
        <f t="shared" si="220"/>
        <v>42622</v>
      </c>
      <c r="T91" s="34">
        <f t="shared" si="220"/>
        <v>42714</v>
      </c>
      <c r="U91" s="34">
        <f t="shared" si="220"/>
        <v>42801</v>
      </c>
      <c r="V91" s="34">
        <f t="shared" si="220"/>
        <v>42892</v>
      </c>
      <c r="W91" s="34">
        <f t="shared" si="220"/>
        <v>42987</v>
      </c>
      <c r="X91" s="34">
        <f t="shared" si="220"/>
        <v>43079</v>
      </c>
      <c r="Y91" s="34">
        <f t="shared" si="220"/>
        <v>43190</v>
      </c>
      <c r="Z91" s="34">
        <f>Z3</f>
        <v>43281</v>
      </c>
      <c r="AA91" s="34">
        <f>AA3</f>
        <v>43373</v>
      </c>
      <c r="AB91" s="34">
        <f>AB3</f>
        <v>43465</v>
      </c>
      <c r="AC91" s="34">
        <f t="shared" ref="AC91:AH91" si="222">+AC80</f>
        <v>43555</v>
      </c>
      <c r="AD91" s="34">
        <f t="shared" si="222"/>
        <v>43646</v>
      </c>
      <c r="AE91" s="34">
        <f t="shared" si="222"/>
        <v>43738</v>
      </c>
      <c r="AF91" s="34">
        <f t="shared" si="222"/>
        <v>43830</v>
      </c>
      <c r="AG91" s="34">
        <f t="shared" si="222"/>
        <v>43921</v>
      </c>
      <c r="AH91" s="34">
        <f t="shared" si="222"/>
        <v>44012</v>
      </c>
      <c r="AI91" s="34">
        <f t="shared" ref="AI91:AN91" si="223">+AI80</f>
        <v>44104</v>
      </c>
      <c r="AJ91" s="34">
        <f t="shared" si="223"/>
        <v>44196</v>
      </c>
      <c r="AK91" s="34">
        <f t="shared" si="223"/>
        <v>44286</v>
      </c>
      <c r="AL91" s="34">
        <f t="shared" si="223"/>
        <v>44377</v>
      </c>
      <c r="AM91" s="34">
        <f t="shared" si="223"/>
        <v>44469</v>
      </c>
      <c r="AN91" s="34">
        <f t="shared" si="223"/>
        <v>44560</v>
      </c>
      <c r="AO91" s="34">
        <f t="shared" ref="AO91:AT91" si="224">+AO80</f>
        <v>44651</v>
      </c>
      <c r="AP91" s="34">
        <f t="shared" si="224"/>
        <v>44742</v>
      </c>
      <c r="AQ91" s="34">
        <f t="shared" si="224"/>
        <v>44834</v>
      </c>
      <c r="AR91" s="34">
        <f t="shared" si="224"/>
        <v>44926</v>
      </c>
      <c r="AS91" s="34">
        <f t="shared" si="224"/>
        <v>45016</v>
      </c>
      <c r="AT91" s="34">
        <f t="shared" si="224"/>
        <v>45107</v>
      </c>
      <c r="AU91" s="34">
        <f t="shared" ref="AU91:AZ91" si="225">+AU80</f>
        <v>45199</v>
      </c>
      <c r="AV91" s="34">
        <f t="shared" si="225"/>
        <v>45291</v>
      </c>
      <c r="AW91" s="34">
        <f t="shared" si="225"/>
        <v>45382</v>
      </c>
      <c r="AX91" s="34">
        <f t="shared" si="225"/>
        <v>45473</v>
      </c>
      <c r="AY91" s="34">
        <f t="shared" si="225"/>
        <v>45565</v>
      </c>
      <c r="AZ91" s="34">
        <f t="shared" si="225"/>
        <v>45657</v>
      </c>
      <c r="BA91" s="34">
        <f>+BA80</f>
        <v>45747</v>
      </c>
      <c r="BB91" s="34">
        <f>+BB80</f>
        <v>45838</v>
      </c>
      <c r="BC91" s="34">
        <f>+BC80</f>
        <v>45930</v>
      </c>
      <c r="BD91" s="34">
        <f>+BD80</f>
        <v>46022</v>
      </c>
      <c r="BE91" s="34">
        <f>+BE80</f>
        <v>46112</v>
      </c>
    </row>
    <row r="92" spans="2:58">
      <c r="C92" s="86"/>
      <c r="D92" s="86"/>
      <c r="E92" s="86"/>
      <c r="F92" s="86"/>
      <c r="G92" s="86"/>
      <c r="H92" s="86"/>
      <c r="I92" s="86"/>
      <c r="J92" s="86"/>
      <c r="K92" s="86"/>
      <c r="L92" s="86"/>
      <c r="M92" s="86"/>
    </row>
    <row r="93" spans="2:58" s="5" customFormat="1">
      <c r="B93" s="1" t="s">
        <v>333</v>
      </c>
      <c r="C93" s="4">
        <v>1614978.5149999999</v>
      </c>
      <c r="D93" s="4">
        <v>1785575.3389999999</v>
      </c>
      <c r="E93" s="4">
        <v>1829611.3470000001</v>
      </c>
      <c r="F93" s="4">
        <v>1876555.1629999999</v>
      </c>
      <c r="G93" s="4">
        <v>2035133.173</v>
      </c>
      <c r="H93" s="4">
        <f>2042852.51+385861.761</f>
        <v>2428714.2710000002</v>
      </c>
      <c r="I93" s="4">
        <f>1940341.846+362410.839</f>
        <v>2302752.6850000001</v>
      </c>
      <c r="J93" s="4">
        <f>2049999.322+442122.455</f>
        <v>2492121.7769999998</v>
      </c>
      <c r="K93" s="4">
        <f>2017214.172+472828.691</f>
        <v>2490042.8629999999</v>
      </c>
      <c r="L93" s="4">
        <f>2136965.468+485851.073</f>
        <v>2622816.5409999997</v>
      </c>
      <c r="M93" s="4">
        <f>2290984.914+580796.729</f>
        <v>2871781.6430000002</v>
      </c>
      <c r="N93" s="4">
        <f>2326734.435+612919.721</f>
        <v>2939654.156</v>
      </c>
      <c r="O93" s="6">
        <f>BE93</f>
        <v>2888468.05</v>
      </c>
      <c r="P93" s="6"/>
      <c r="Q93" s="65">
        <v>1759890.4280000001</v>
      </c>
      <c r="R93" s="65">
        <v>1768739.561</v>
      </c>
      <c r="S93" s="65">
        <v>1778871.2930000001</v>
      </c>
      <c r="T93" s="68">
        <f>+E93</f>
        <v>1829611.3470000001</v>
      </c>
      <c r="U93" s="65">
        <v>1845811.6359999999</v>
      </c>
      <c r="V93" s="65">
        <v>1849052.493</v>
      </c>
      <c r="W93" s="65">
        <v>1850630.861</v>
      </c>
      <c r="X93" s="68">
        <f>+F93</f>
        <v>1876555.1629999999</v>
      </c>
      <c r="Y93" s="65">
        <v>1880226.9669999999</v>
      </c>
      <c r="Z93" s="65">
        <v>1944974.6510000001</v>
      </c>
      <c r="AA93" s="65">
        <v>1981661.1950000001</v>
      </c>
      <c r="AB93" s="68">
        <f>G93</f>
        <v>2035133.173</v>
      </c>
      <c r="AC93" s="65">
        <f>2058772.69+355744.282</f>
        <v>2414516.9720000001</v>
      </c>
      <c r="AD93" s="65">
        <f>2084972.147+368806.648</f>
        <v>2453778.7949999999</v>
      </c>
      <c r="AE93" s="65">
        <f>2128251.684+366917.97</f>
        <v>2495169.6540000001</v>
      </c>
      <c r="AF93" s="68">
        <f>H93</f>
        <v>2428714.2710000002</v>
      </c>
      <c r="AG93" s="65">
        <f>2126115.385+408083.01</f>
        <v>2534198.3949999996</v>
      </c>
      <c r="AH93" s="65">
        <f>2075238.356+388644.477</f>
        <v>2463882.8330000001</v>
      </c>
      <c r="AI93" s="65">
        <f>2029702.082+377882.486</f>
        <v>2407584.568</v>
      </c>
      <c r="AJ93" s="68">
        <f>I93</f>
        <v>2302752.6850000001</v>
      </c>
      <c r="AK93" s="65">
        <f>1934259.558+352384.193</f>
        <v>2286643.7510000002</v>
      </c>
      <c r="AL93" s="4">
        <f>1932945.698+339898.311</f>
        <v>2272844.0090000001</v>
      </c>
      <c r="AM93" s="65">
        <f>1967387.664+381086.875</f>
        <v>2348474.5389999999</v>
      </c>
      <c r="AN93" s="68">
        <f>J93</f>
        <v>2492121.7769999998</v>
      </c>
      <c r="AO93" s="65">
        <f>2025652.313+430287.928</f>
        <v>2455940.2409999999</v>
      </c>
      <c r="AP93" s="4">
        <f>2134002.322+462301.697</f>
        <v>2596304.0190000003</v>
      </c>
      <c r="AQ93" s="65">
        <f>1967387.664+381086.875</f>
        <v>2348474.5389999999</v>
      </c>
      <c r="AR93" s="68">
        <f>K93</f>
        <v>2490042.8629999999</v>
      </c>
      <c r="AS93" s="65">
        <f>1985279.196+447184.664</f>
        <v>2432463.86</v>
      </c>
      <c r="AT93" s="4">
        <f>2047894.211+464212.168</f>
        <v>2512106.3789999997</v>
      </c>
      <c r="AU93" s="65">
        <f>2104916.584+484905.371</f>
        <v>2589821.9549999996</v>
      </c>
      <c r="AV93" s="68">
        <f>L93</f>
        <v>2622816.5409999997</v>
      </c>
      <c r="AW93" s="65">
        <f>2236288.403+504591.654</f>
        <v>2740880.057</v>
      </c>
      <c r="AX93" s="4">
        <f>2207209.005+545062.1</f>
        <v>2752271.105</v>
      </c>
      <c r="AY93" s="65">
        <f>2200709.398+559639.64</f>
        <v>2760349.0380000002</v>
      </c>
      <c r="AZ93" s="68">
        <f>M93</f>
        <v>2871781.6430000002</v>
      </c>
      <c r="BA93" s="65">
        <f>2286181.41+576492.441</f>
        <v>2862673.8510000003</v>
      </c>
      <c r="BB93" s="4">
        <f>2300377.008+587537.844</f>
        <v>2887914.852</v>
      </c>
      <c r="BC93" s="65">
        <f>2333464.83+605785.393</f>
        <v>2939250.2230000002</v>
      </c>
      <c r="BD93" s="68">
        <f>N93</f>
        <v>2939654.156</v>
      </c>
      <c r="BE93" s="65">
        <f>2296001.366+592466.684</f>
        <v>2888468.05</v>
      </c>
      <c r="BF93" s="1"/>
    </row>
    <row r="94" spans="2:58" s="5" customFormat="1">
      <c r="B94" s="7" t="s">
        <v>334</v>
      </c>
      <c r="C94" s="4">
        <v>107121.667</v>
      </c>
      <c r="D94" s="4">
        <v>94434.998000000007</v>
      </c>
      <c r="E94" s="4">
        <v>91416.725999999995</v>
      </c>
      <c r="F94" s="4">
        <v>96928.834000000003</v>
      </c>
      <c r="G94" s="4">
        <v>120229.70299999999</v>
      </c>
      <c r="H94" s="4">
        <v>82615.111000000004</v>
      </c>
      <c r="I94" s="4">
        <v>77736.315000000002</v>
      </c>
      <c r="J94" s="4">
        <v>121126.311</v>
      </c>
      <c r="K94" s="4">
        <v>120441.247</v>
      </c>
      <c r="L94" s="4">
        <v>107545.48</v>
      </c>
      <c r="M94" s="4">
        <v>108113.74800000001</v>
      </c>
      <c r="N94" s="4">
        <v>125739.11900000001</v>
      </c>
      <c r="O94" s="6">
        <f>BE94</f>
        <v>155330.22200000001</v>
      </c>
      <c r="P94" s="6"/>
      <c r="Q94" s="65">
        <v>98816.001000000004</v>
      </c>
      <c r="R94" s="65">
        <v>105282.829</v>
      </c>
      <c r="S94" s="65">
        <v>101435.269</v>
      </c>
      <c r="T94" s="68">
        <f>+E94</f>
        <v>91416.725999999995</v>
      </c>
      <c r="U94" s="65">
        <v>108875.575</v>
      </c>
      <c r="V94" s="65">
        <v>108898.217</v>
      </c>
      <c r="W94" s="65">
        <v>103748.308</v>
      </c>
      <c r="X94" s="68">
        <f>+F94</f>
        <v>96928.834000000003</v>
      </c>
      <c r="Y94" s="65">
        <v>100329.379</v>
      </c>
      <c r="Z94" s="65">
        <v>109569.69500000001</v>
      </c>
      <c r="AA94" s="65">
        <v>97852.006999999998</v>
      </c>
      <c r="AB94" s="68">
        <f>G94</f>
        <v>120229.70299999999</v>
      </c>
      <c r="AC94" s="65">
        <v>113361.158</v>
      </c>
      <c r="AD94" s="65">
        <v>106915.692</v>
      </c>
      <c r="AE94" s="65">
        <v>101965.201</v>
      </c>
      <c r="AF94" s="68">
        <f>H94</f>
        <v>82615.111000000004</v>
      </c>
      <c r="AG94" s="65">
        <v>103170.66099999999</v>
      </c>
      <c r="AH94" s="65">
        <v>86894.804000000004</v>
      </c>
      <c r="AI94" s="65">
        <v>81924.813999999998</v>
      </c>
      <c r="AJ94" s="68">
        <f>I94</f>
        <v>77736.315000000002</v>
      </c>
      <c r="AK94" s="65">
        <v>110294.056</v>
      </c>
      <c r="AL94" s="4">
        <v>107066.201</v>
      </c>
      <c r="AM94" s="65">
        <v>109462.314</v>
      </c>
      <c r="AN94" s="68">
        <f>J94</f>
        <v>121126.311</v>
      </c>
      <c r="AO94" s="65">
        <v>163986.24600000001</v>
      </c>
      <c r="AP94" s="4">
        <f>171328.1</f>
        <v>171328.1</v>
      </c>
      <c r="AQ94" s="65">
        <v>109462.314</v>
      </c>
      <c r="AR94" s="68">
        <f>K94</f>
        <v>120441.247</v>
      </c>
      <c r="AS94" s="65">
        <v>126613.121</v>
      </c>
      <c r="AT94" s="4">
        <v>105618.89599999999</v>
      </c>
      <c r="AU94" s="4">
        <v>100933.034</v>
      </c>
      <c r="AV94" s="68">
        <f>L94</f>
        <v>107545.48</v>
      </c>
      <c r="AW94" s="65">
        <v>121357.95600000001</v>
      </c>
      <c r="AX94" s="4">
        <v>101706.796</v>
      </c>
      <c r="AY94" s="4">
        <v>112304.90300000001</v>
      </c>
      <c r="AZ94" s="68">
        <f>M94</f>
        <v>108113.74800000001</v>
      </c>
      <c r="BA94" s="65">
        <v>127606.012</v>
      </c>
      <c r="BB94" s="4">
        <v>124712.87300000001</v>
      </c>
      <c r="BC94" s="4">
        <v>132993.685</v>
      </c>
      <c r="BD94" s="68">
        <f>N94</f>
        <v>125739.11900000001</v>
      </c>
      <c r="BE94" s="4">
        <v>155330.22200000001</v>
      </c>
      <c r="BF94" s="1"/>
    </row>
    <row r="95" spans="2:58" s="5" customFormat="1">
      <c r="B95" s="7" t="s">
        <v>335</v>
      </c>
      <c r="C95" s="4">
        <v>300744.17</v>
      </c>
      <c r="D95" s="4">
        <v>308517.48800000001</v>
      </c>
      <c r="E95" s="4">
        <v>330626.21000000002</v>
      </c>
      <c r="F95" s="4">
        <v>346455.962</v>
      </c>
      <c r="G95" s="4">
        <v>438739.76899999997</v>
      </c>
      <c r="H95" s="4">
        <v>508571.10499999998</v>
      </c>
      <c r="I95" s="4">
        <v>489258.43599999999</v>
      </c>
      <c r="J95" s="4">
        <v>620457.32299999997</v>
      </c>
      <c r="K95" s="4">
        <v>627345.55900000001</v>
      </c>
      <c r="L95" s="4">
        <v>633257.35800000001</v>
      </c>
      <c r="M95" s="4">
        <v>681565.86199999996</v>
      </c>
      <c r="N95" s="4">
        <v>736169.98400000005</v>
      </c>
      <c r="O95" s="6">
        <f>BE95</f>
        <v>715967.46299999999</v>
      </c>
      <c r="P95" s="6"/>
      <c r="Q95" s="65">
        <v>293225.90899999999</v>
      </c>
      <c r="R95" s="65">
        <v>292962.56099999999</v>
      </c>
      <c r="S95" s="65">
        <v>310744.55</v>
      </c>
      <c r="T95" s="68">
        <f>+E95</f>
        <v>330626.21000000002</v>
      </c>
      <c r="U95" s="65">
        <v>308272.71000000002</v>
      </c>
      <c r="V95" s="65">
        <v>321258.17499999999</v>
      </c>
      <c r="W95" s="65">
        <v>322523.38699999999</v>
      </c>
      <c r="X95" s="68">
        <f>+F95</f>
        <v>346455.962</v>
      </c>
      <c r="Y95" s="65">
        <v>394089.28100000002</v>
      </c>
      <c r="Z95" s="65">
        <v>408691.83100000001</v>
      </c>
      <c r="AA95" s="65">
        <v>432868.10499999998</v>
      </c>
      <c r="AB95" s="68">
        <f>G95</f>
        <v>438739.76899999997</v>
      </c>
      <c r="AC95" s="65">
        <v>420776.14799999999</v>
      </c>
      <c r="AD95" s="65">
        <v>425442.658</v>
      </c>
      <c r="AE95" s="65">
        <v>443425.29499999998</v>
      </c>
      <c r="AF95" s="68">
        <f>H95</f>
        <v>508571.10499999998</v>
      </c>
      <c r="AG95" s="65">
        <v>514699.467</v>
      </c>
      <c r="AH95" s="65">
        <v>478422.23499999999</v>
      </c>
      <c r="AI95" s="65">
        <v>462450.53399999999</v>
      </c>
      <c r="AJ95" s="68">
        <f>I95</f>
        <v>489258.43599999999</v>
      </c>
      <c r="AK95" s="65">
        <v>491252.78899999999</v>
      </c>
      <c r="AL95" s="4">
        <v>548225.473</v>
      </c>
      <c r="AM95" s="65">
        <v>578980.50600000005</v>
      </c>
      <c r="AN95" s="68">
        <f>J95</f>
        <v>620457.32299999997</v>
      </c>
      <c r="AO95" s="65">
        <v>639666.755</v>
      </c>
      <c r="AP95" s="4">
        <f>711871.506</f>
        <v>711871.50600000005</v>
      </c>
      <c r="AQ95" s="65">
        <v>578980.50600000005</v>
      </c>
      <c r="AR95" s="68">
        <f>K95</f>
        <v>627345.55900000001</v>
      </c>
      <c r="AS95" s="65">
        <v>568740.755</v>
      </c>
      <c r="AT95" s="4">
        <v>572365.25600000005</v>
      </c>
      <c r="AU95" s="4">
        <v>587206.34299999999</v>
      </c>
      <c r="AV95" s="68">
        <f>L95</f>
        <v>633257.35800000001</v>
      </c>
      <c r="AW95" s="65">
        <v>642310.19200000004</v>
      </c>
      <c r="AX95" s="4">
        <v>637205.38100000005</v>
      </c>
      <c r="AY95" s="4">
        <v>640630.12199999997</v>
      </c>
      <c r="AZ95" s="68">
        <f>M95</f>
        <v>681565.86199999996</v>
      </c>
      <c r="BA95" s="65">
        <v>661827.17000000004</v>
      </c>
      <c r="BB95" s="4">
        <v>650214.66599999997</v>
      </c>
      <c r="BC95" s="4">
        <v>660331.50199999998</v>
      </c>
      <c r="BD95" s="68">
        <f>N95</f>
        <v>736169.98400000005</v>
      </c>
      <c r="BE95" s="4">
        <v>715967.46299999999</v>
      </c>
      <c r="BF95" s="1"/>
    </row>
    <row r="96" spans="2:58" s="5" customFormat="1">
      <c r="B96" s="7" t="s">
        <v>336</v>
      </c>
      <c r="C96" s="4">
        <v>529009.41200000001</v>
      </c>
      <c r="D96" s="4">
        <v>525128.91</v>
      </c>
      <c r="E96" s="4">
        <v>505044.06</v>
      </c>
      <c r="F96" s="4">
        <v>545150.72100000002</v>
      </c>
      <c r="G96" s="4">
        <v>553734.57900000003</v>
      </c>
      <c r="H96" s="4">
        <v>660395.152</v>
      </c>
      <c r="I96" s="4">
        <v>662449.10699999996</v>
      </c>
      <c r="J96" s="4">
        <v>746239.147</v>
      </c>
      <c r="K96" s="4">
        <v>694816.61499999999</v>
      </c>
      <c r="L96" s="4">
        <v>791220.46699999995</v>
      </c>
      <c r="M96" s="4">
        <v>791182.59400000004</v>
      </c>
      <c r="N96" s="4">
        <v>869092.64</v>
      </c>
      <c r="O96" s="6">
        <f>BE96</f>
        <v>847968.43500000006</v>
      </c>
      <c r="P96" s="6"/>
      <c r="Q96" s="65">
        <v>499438.02500000002</v>
      </c>
      <c r="R96" s="65">
        <v>483567.962</v>
      </c>
      <c r="S96" s="65">
        <v>440253.701</v>
      </c>
      <c r="T96" s="68">
        <f>+E96</f>
        <v>505044.06</v>
      </c>
      <c r="U96" s="65">
        <v>485300.58600000001</v>
      </c>
      <c r="V96" s="65">
        <v>465226.11099999998</v>
      </c>
      <c r="W96" s="65">
        <v>487163.41899999999</v>
      </c>
      <c r="X96" s="68">
        <f>+F96</f>
        <v>545150.72100000002</v>
      </c>
      <c r="Y96" s="65">
        <v>466171.63099999999</v>
      </c>
      <c r="Z96" s="65">
        <v>480685.60700000002</v>
      </c>
      <c r="AA96" s="65">
        <v>516462.21</v>
      </c>
      <c r="AB96" s="68">
        <f>G96</f>
        <v>553734.57900000003</v>
      </c>
      <c r="AC96" s="65">
        <v>501078.08600000001</v>
      </c>
      <c r="AD96" s="65">
        <v>486374.44199999998</v>
      </c>
      <c r="AE96" s="65">
        <v>493059.25099999999</v>
      </c>
      <c r="AF96" s="68">
        <f>H96</f>
        <v>660395.152</v>
      </c>
      <c r="AG96" s="65">
        <v>593149.96699999995</v>
      </c>
      <c r="AH96" s="65">
        <v>508909.94</v>
      </c>
      <c r="AI96" s="65">
        <v>603796.22</v>
      </c>
      <c r="AJ96" s="68">
        <f>I96</f>
        <v>662449.10699999996</v>
      </c>
      <c r="AK96" s="65">
        <v>660124.76599999995</v>
      </c>
      <c r="AL96" s="4">
        <v>661828.39899999998</v>
      </c>
      <c r="AM96" s="65">
        <v>667551.125</v>
      </c>
      <c r="AN96" s="68">
        <f>J96</f>
        <v>746239.147</v>
      </c>
      <c r="AO96" s="65">
        <v>730843.26199999999</v>
      </c>
      <c r="AP96" s="4">
        <v>710856.33600000001</v>
      </c>
      <c r="AQ96" s="65">
        <v>667551.125</v>
      </c>
      <c r="AR96" s="68">
        <f>K96</f>
        <v>694816.61499999999</v>
      </c>
      <c r="AS96" s="65">
        <v>636198.55900000001</v>
      </c>
      <c r="AT96" s="4">
        <v>615875.84499999997</v>
      </c>
      <c r="AU96" s="4">
        <v>631002.36100000003</v>
      </c>
      <c r="AV96" s="68">
        <f>L96</f>
        <v>791220.46699999995</v>
      </c>
      <c r="AW96" s="65">
        <v>756695.38899999997</v>
      </c>
      <c r="AX96" s="4">
        <v>715212.71200000006</v>
      </c>
      <c r="AY96" s="4">
        <v>700470.91</v>
      </c>
      <c r="AZ96" s="68">
        <f>M96</f>
        <v>791182.59400000004</v>
      </c>
      <c r="BA96" s="65">
        <v>774523.92700000003</v>
      </c>
      <c r="BB96" s="4">
        <v>743803.48800000001</v>
      </c>
      <c r="BC96" s="4">
        <v>755105.549</v>
      </c>
      <c r="BD96" s="68">
        <f>N96</f>
        <v>869092.64</v>
      </c>
      <c r="BE96" s="4">
        <v>847968.43500000006</v>
      </c>
    </row>
    <row r="97" spans="2:58" s="5" customFormat="1">
      <c r="B97" s="5" t="s">
        <v>337</v>
      </c>
      <c r="C97" s="8">
        <f t="shared" ref="C97:V97" si="226">C94+C95-C96</f>
        <v>-121143.57500000001</v>
      </c>
      <c r="D97" s="8">
        <f t="shared" si="226"/>
        <v>-122176.424</v>
      </c>
      <c r="E97" s="8">
        <f t="shared" si="226"/>
        <v>-83001.124000000011</v>
      </c>
      <c r="F97" s="70">
        <f t="shared" si="226"/>
        <v>-101765.92500000005</v>
      </c>
      <c r="G97" s="70">
        <f t="shared" ref="G97:L97" si="227">G94+G95-G96</f>
        <v>5234.8929999999236</v>
      </c>
      <c r="H97" s="70">
        <f t="shared" si="227"/>
        <v>-69208.935999999987</v>
      </c>
      <c r="I97" s="70">
        <f t="shared" si="227"/>
        <v>-95454.356000000029</v>
      </c>
      <c r="J97" s="70">
        <f t="shared" si="227"/>
        <v>-4655.5130000000354</v>
      </c>
      <c r="K97" s="70">
        <f t="shared" si="227"/>
        <v>52970.190999999992</v>
      </c>
      <c r="L97" s="70">
        <f t="shared" si="227"/>
        <v>-50417.628999999957</v>
      </c>
      <c r="M97" s="70">
        <f>M94+M95-M96</f>
        <v>-1502.9840000000549</v>
      </c>
      <c r="N97" s="70">
        <f>N94+N95-N96</f>
        <v>-7183.5369999998948</v>
      </c>
      <c r="O97" s="253">
        <f>O94+O95-O96</f>
        <v>23329.25</v>
      </c>
      <c r="P97" s="6"/>
      <c r="Q97" s="70">
        <f t="shared" si="226"/>
        <v>-107396.11500000005</v>
      </c>
      <c r="R97" s="70">
        <f t="shared" si="226"/>
        <v>-85322.571999999986</v>
      </c>
      <c r="S97" s="70">
        <f t="shared" si="226"/>
        <v>-28073.881999999983</v>
      </c>
      <c r="T97" s="70">
        <f t="shared" si="226"/>
        <v>-83001.124000000011</v>
      </c>
      <c r="U97" s="70">
        <f t="shared" si="226"/>
        <v>-68152.300999999978</v>
      </c>
      <c r="V97" s="70">
        <f t="shared" si="226"/>
        <v>-35069.718999999983</v>
      </c>
      <c r="W97" s="70">
        <f t="shared" ref="W97:AB97" si="228">W94+W95-W96</f>
        <v>-60891.723999999987</v>
      </c>
      <c r="X97" s="70">
        <f t="shared" si="228"/>
        <v>-101765.92500000005</v>
      </c>
      <c r="Y97" s="70">
        <f t="shared" si="228"/>
        <v>28247.029000000039</v>
      </c>
      <c r="Z97" s="70">
        <f t="shared" si="228"/>
        <v>37575.918999999994</v>
      </c>
      <c r="AA97" s="70">
        <f t="shared" si="228"/>
        <v>14257.901999999944</v>
      </c>
      <c r="AB97" s="70">
        <f t="shared" si="228"/>
        <v>5234.8929999999236</v>
      </c>
      <c r="AC97" s="70">
        <f t="shared" ref="AC97:AH97" si="229">AC94+AC95-AC96</f>
        <v>33059.219999999972</v>
      </c>
      <c r="AD97" s="70">
        <f t="shared" si="229"/>
        <v>45983.907999999996</v>
      </c>
      <c r="AE97" s="70">
        <f t="shared" si="229"/>
        <v>52331.245000000054</v>
      </c>
      <c r="AF97" s="70">
        <f t="shared" si="229"/>
        <v>-69208.935999999987</v>
      </c>
      <c r="AG97" s="70">
        <f t="shared" si="229"/>
        <v>24720.16100000008</v>
      </c>
      <c r="AH97" s="70">
        <f t="shared" si="229"/>
        <v>56407.098999999987</v>
      </c>
      <c r="AI97" s="70">
        <f t="shared" ref="AI97:AN97" si="230">AI94+AI95-AI96</f>
        <v>-59420.871999999974</v>
      </c>
      <c r="AJ97" s="70">
        <f t="shared" si="230"/>
        <v>-95454.356000000029</v>
      </c>
      <c r="AK97" s="70">
        <f t="shared" si="230"/>
        <v>-58577.920999999973</v>
      </c>
      <c r="AL97" s="70">
        <f t="shared" si="230"/>
        <v>-6536.7249999999767</v>
      </c>
      <c r="AM97" s="70">
        <f t="shared" si="230"/>
        <v>20891.695000000065</v>
      </c>
      <c r="AN97" s="70">
        <f t="shared" si="230"/>
        <v>-4655.5130000000354</v>
      </c>
      <c r="AO97" s="70">
        <f t="shared" ref="AO97:AU97" si="231">AO94+AO95-AO96</f>
        <v>72809.73900000006</v>
      </c>
      <c r="AP97" s="70">
        <f t="shared" si="231"/>
        <v>172343.27000000002</v>
      </c>
      <c r="AQ97" s="70">
        <f t="shared" si="231"/>
        <v>20891.695000000065</v>
      </c>
      <c r="AR97" s="70">
        <f t="shared" si="231"/>
        <v>52970.190999999992</v>
      </c>
      <c r="AS97" s="70">
        <f t="shared" si="231"/>
        <v>59155.317000000039</v>
      </c>
      <c r="AT97" s="70">
        <f t="shared" si="231"/>
        <v>62108.30700000003</v>
      </c>
      <c r="AU97" s="70">
        <f t="shared" si="231"/>
        <v>57137.015999999945</v>
      </c>
      <c r="AV97" s="70">
        <f t="shared" ref="AV97:BB97" si="232">AV94+AV95-AV96</f>
        <v>-50417.628999999957</v>
      </c>
      <c r="AW97" s="70">
        <f t="shared" si="232"/>
        <v>6972.7590000000782</v>
      </c>
      <c r="AX97" s="70">
        <f t="shared" si="232"/>
        <v>23699.464999999967</v>
      </c>
      <c r="AY97" s="70">
        <f t="shared" si="232"/>
        <v>52464.114999999991</v>
      </c>
      <c r="AZ97" s="70">
        <f t="shared" si="232"/>
        <v>-1502.9840000000549</v>
      </c>
      <c r="BA97" s="70">
        <f t="shared" si="232"/>
        <v>14909.255000000005</v>
      </c>
      <c r="BB97" s="70">
        <f t="shared" si="232"/>
        <v>31124.050999999978</v>
      </c>
      <c r="BC97" s="70">
        <f>BC94+BC95-BC96</f>
        <v>38219.637999999919</v>
      </c>
      <c r="BD97" s="70">
        <f>BD94+BD95-BD96</f>
        <v>-7183.5369999998948</v>
      </c>
      <c r="BE97" s="70">
        <f>BE94+BE95-BE96</f>
        <v>23329.25</v>
      </c>
    </row>
    <row r="98" spans="2:58" s="35" customFormat="1">
      <c r="B98" s="20" t="s">
        <v>338</v>
      </c>
      <c r="C98" s="33">
        <f t="shared" ref="C98:K98" si="233">+C97/C81</f>
        <v>-7.3076209451596957E-2</v>
      </c>
      <c r="D98" s="33">
        <f t="shared" si="233"/>
        <v>-6.8461031647403484E-2</v>
      </c>
      <c r="E98" s="33">
        <f t="shared" si="233"/>
        <v>-4.444035670088619E-2</v>
      </c>
      <c r="F98" s="33">
        <f t="shared" si="233"/>
        <v>-5.2373749919584801E-2</v>
      </c>
      <c r="G98" s="33">
        <f t="shared" si="233"/>
        <v>2.7362342517627068E-3</v>
      </c>
      <c r="H98" s="33">
        <f t="shared" si="233"/>
        <v>-3.4975346787183371E-2</v>
      </c>
      <c r="I98" s="33">
        <f t="shared" si="233"/>
        <v>-4.5614230331340919E-2</v>
      </c>
      <c r="J98" s="33">
        <f t="shared" si="233"/>
        <v>-1.9327027780851353E-3</v>
      </c>
      <c r="K98" s="33">
        <f t="shared" si="233"/>
        <v>2.0848800500292575E-2</v>
      </c>
      <c r="L98" s="33">
        <f>+L97/L81</f>
        <v>-2.038152796780128E-2</v>
      </c>
      <c r="M98" s="33">
        <f>+M97/M81</f>
        <v>-5.5599422145763877E-4</v>
      </c>
      <c r="N98" s="33">
        <f>+N97/N81</f>
        <v>-2.4310343474032705E-3</v>
      </c>
      <c r="O98" s="33">
        <f>+O97/O81</f>
        <v>7.769725824251103E-3</v>
      </c>
      <c r="P98" s="6"/>
      <c r="Q98" s="33"/>
      <c r="R98" s="33"/>
      <c r="S98" s="33"/>
      <c r="T98" s="33">
        <f t="shared" ref="T98:AA98" si="234">+T97/T81</f>
        <v>-4.444035670088619E-2</v>
      </c>
      <c r="U98" s="33">
        <f t="shared" si="234"/>
        <v>-3.6215609717473882E-2</v>
      </c>
      <c r="V98" s="33">
        <f t="shared" si="234"/>
        <v>-1.8421452576287904E-2</v>
      </c>
      <c r="W98" s="33">
        <f t="shared" si="234"/>
        <v>-3.1784816862646913E-2</v>
      </c>
      <c r="X98" s="33">
        <f t="shared" si="234"/>
        <v>-5.2373749919584801E-2</v>
      </c>
      <c r="Y98" s="33">
        <f t="shared" si="234"/>
        <v>1.4630934095170856E-2</v>
      </c>
      <c r="Z98" s="33">
        <f t="shared" si="234"/>
        <v>1.9595464192831386E-2</v>
      </c>
      <c r="AA98" s="33">
        <f t="shared" si="234"/>
        <v>7.4298592520998614E-3</v>
      </c>
      <c r="AB98" s="33">
        <f t="shared" ref="AB98:AH98" si="235">+AB97/AB81</f>
        <v>2.7362342517627068E-3</v>
      </c>
      <c r="AC98" s="33">
        <f t="shared" si="235"/>
        <v>1.7186602208241218E-2</v>
      </c>
      <c r="AD98" s="33">
        <f t="shared" si="235"/>
        <v>2.3696448648175682E-2</v>
      </c>
      <c r="AE98" s="33">
        <f t="shared" si="235"/>
        <v>2.6764171890244229E-2</v>
      </c>
      <c r="AF98" s="33">
        <f t="shared" si="235"/>
        <v>-3.4975346787183371E-2</v>
      </c>
      <c r="AG98" s="33">
        <f t="shared" si="235"/>
        <v>1.2233579350117057E-2</v>
      </c>
      <c r="AH98" s="33">
        <f t="shared" si="235"/>
        <v>2.8265025718951023E-2</v>
      </c>
      <c r="AI98" s="33">
        <f t="shared" ref="AI98:AN98" si="236">+AI97/AI81</f>
        <v>-2.92131109762809E-2</v>
      </c>
      <c r="AJ98" s="33">
        <f t="shared" si="236"/>
        <v>-4.5614230331340919E-2</v>
      </c>
      <c r="AK98" s="33">
        <f t="shared" si="236"/>
        <v>-2.7412166483419008E-2</v>
      </c>
      <c r="AL98" s="33">
        <f t="shared" si="236"/>
        <v>-2.8783801232069401E-3</v>
      </c>
      <c r="AM98" s="33">
        <f t="shared" si="236"/>
        <v>8.91008091979229E-3</v>
      </c>
      <c r="AN98" s="33">
        <f t="shared" si="236"/>
        <v>-1.9327027780851353E-3</v>
      </c>
      <c r="AO98" s="33">
        <f t="shared" ref="AO98:AU98" si="237">+AO97/AO81</f>
        <v>2.9218966297336179E-2</v>
      </c>
      <c r="AP98" s="33">
        <f t="shared" si="237"/>
        <v>6.7670159124168822E-2</v>
      </c>
      <c r="AQ98" s="33">
        <f t="shared" si="237"/>
        <v>8.1563935859486555E-3</v>
      </c>
      <c r="AR98" s="33">
        <f t="shared" si="237"/>
        <v>2.0848800500292575E-2</v>
      </c>
      <c r="AS98" s="33">
        <f t="shared" si="237"/>
        <v>2.3649762845882761E-2</v>
      </c>
      <c r="AT98" s="33">
        <f t="shared" si="237"/>
        <v>2.5227784159661822E-2</v>
      </c>
      <c r="AU98" s="33">
        <f t="shared" si="237"/>
        <v>2.3388763985747879E-2</v>
      </c>
      <c r="AV98" s="33">
        <f t="shared" ref="AV98:BB98" si="238">+AV97/AV81</f>
        <v>-2.038152796780128E-2</v>
      </c>
      <c r="AW98" s="33">
        <f t="shared" si="238"/>
        <v>2.7647437634108945E-3</v>
      </c>
      <c r="AX98" s="33">
        <f t="shared" si="238"/>
        <v>9.2020000350149702E-3</v>
      </c>
      <c r="AY98" s="33">
        <f t="shared" si="238"/>
        <v>1.9939024374578392E-2</v>
      </c>
      <c r="AZ98" s="33">
        <f t="shared" si="238"/>
        <v>-5.5599422145763877E-4</v>
      </c>
      <c r="BA98" s="33">
        <f t="shared" si="238"/>
        <v>5.4007766809992626E-3</v>
      </c>
      <c r="BB98" s="33">
        <f t="shared" si="238"/>
        <v>1.1093748798530412E-2</v>
      </c>
      <c r="BC98" s="33">
        <f>+BC97/BC81</f>
        <v>1.328722602762834E-2</v>
      </c>
      <c r="BD98" s="33">
        <f>+BD97/BD81</f>
        <v>-2.4310343474032705E-3</v>
      </c>
      <c r="BE98" s="33">
        <f>+BE97/BE81</f>
        <v>7.7697258242511013E-3</v>
      </c>
    </row>
    <row r="99" spans="2:58"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U99" s="31"/>
      <c r="V99" s="31"/>
      <c r="Y99" s="31"/>
      <c r="Z99" s="31"/>
      <c r="AA99" s="31"/>
      <c r="AC99" s="31"/>
      <c r="AD99" s="31"/>
      <c r="AE99" s="31"/>
      <c r="AF99" s="31"/>
      <c r="AG99" s="31"/>
      <c r="AH99" s="31"/>
      <c r="AI99" s="31"/>
      <c r="AJ99" s="31"/>
      <c r="AK99" s="31"/>
      <c r="AL99" s="31"/>
      <c r="AM99" s="31"/>
      <c r="AN99" s="31"/>
      <c r="AO99" s="31"/>
      <c r="AP99" s="31"/>
      <c r="AQ99" s="31"/>
      <c r="AR99" s="31"/>
      <c r="AS99" s="31"/>
      <c r="AT99" s="31"/>
      <c r="AU99" s="31"/>
      <c r="AV99" s="31"/>
      <c r="AW99" s="31"/>
      <c r="AX99" s="31"/>
      <c r="AY99" s="31"/>
      <c r="AZ99" s="31"/>
      <c r="BA99" s="31"/>
      <c r="BB99" s="31"/>
      <c r="BC99" s="31"/>
      <c r="BD99" s="31"/>
      <c r="BE99" s="31"/>
    </row>
    <row r="100" spans="2:58"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U100" s="31"/>
      <c r="V100" s="31"/>
      <c r="Y100" s="31"/>
      <c r="Z100" s="31"/>
      <c r="AA100" s="31"/>
      <c r="AC100" s="31"/>
      <c r="AD100" s="31"/>
      <c r="AE100" s="31"/>
      <c r="AF100" s="31"/>
      <c r="AG100" s="31"/>
      <c r="AH100" s="31"/>
      <c r="AI100" s="31"/>
      <c r="AJ100" s="31"/>
      <c r="AK100" s="31"/>
      <c r="AL100" s="31"/>
      <c r="AM100" s="31"/>
      <c r="AN100" s="31"/>
      <c r="AO100" s="31"/>
      <c r="AP100" s="31"/>
      <c r="AQ100" s="31"/>
      <c r="AR100" s="31"/>
      <c r="AS100" s="31"/>
      <c r="AT100" s="31"/>
      <c r="AU100" s="31"/>
      <c r="AV100" s="31"/>
      <c r="AW100" s="31"/>
      <c r="AX100" s="31"/>
      <c r="AY100" s="31"/>
      <c r="AZ100" s="31"/>
      <c r="BA100" s="31"/>
      <c r="BB100" s="31"/>
      <c r="BC100" s="31"/>
      <c r="BD100" s="31"/>
      <c r="BE100" s="31"/>
    </row>
    <row r="101" spans="2:58">
      <c r="B101" s="356" t="s">
        <v>339</v>
      </c>
      <c r="C101" s="357"/>
      <c r="D101" s="357"/>
      <c r="E101" s="357"/>
      <c r="F101" s="357"/>
      <c r="G101" s="357"/>
      <c r="H101" s="358">
        <f>H94/-H10*365</f>
        <v>115.90395252396357</v>
      </c>
      <c r="I101" s="358">
        <f t="shared" ref="I101:O101" si="239">I94/-I10*365</f>
        <v>110.58351734036354</v>
      </c>
      <c r="J101" s="358">
        <f t="shared" si="239"/>
        <v>171.80403618035078</v>
      </c>
      <c r="K101" s="358">
        <f t="shared" si="239"/>
        <v>148.45395921393583</v>
      </c>
      <c r="L101" s="358">
        <f t="shared" si="239"/>
        <v>130.00493831376806</v>
      </c>
      <c r="M101" s="358">
        <f t="shared" si="239"/>
        <v>121.81711552303699</v>
      </c>
      <c r="N101" s="358">
        <f>N94/-N10*365</f>
        <v>130.9626014689695</v>
      </c>
      <c r="O101" s="358">
        <f t="shared" si="239"/>
        <v>160.78847578941165</v>
      </c>
      <c r="P101" s="357"/>
      <c r="Q101" s="358">
        <f>Q94/-Q10*(365/4)</f>
        <v>148.82423778488345</v>
      </c>
      <c r="R101" s="358">
        <f t="shared" ref="R101:BB101" si="240">R94/-R10*(365/4)</f>
        <v>157.36244749081794</v>
      </c>
      <c r="S101" s="358">
        <f t="shared" si="240"/>
        <v>148.80138269126618</v>
      </c>
      <c r="T101" s="358">
        <f t="shared" si="240"/>
        <v>135.0587529834302</v>
      </c>
      <c r="U101" s="358">
        <f t="shared" si="240"/>
        <v>153.59549978804836</v>
      </c>
      <c r="V101" s="358">
        <f t="shared" si="240"/>
        <v>161.00831057261513</v>
      </c>
      <c r="W101" s="358">
        <f t="shared" si="240"/>
        <v>155.07075932465125</v>
      </c>
      <c r="X101" s="358">
        <f t="shared" si="240"/>
        <v>143.31728868652266</v>
      </c>
      <c r="Y101" s="358">
        <f t="shared" si="240"/>
        <v>146.4470980360804</v>
      </c>
      <c r="Z101" s="358">
        <f t="shared" si="240"/>
        <v>142.00572035767277</v>
      </c>
      <c r="AA101" s="358">
        <f t="shared" si="240"/>
        <v>133.48694638227849</v>
      </c>
      <c r="AB101" s="358">
        <f t="shared" si="240"/>
        <v>181.81440993445733</v>
      </c>
      <c r="AC101" s="358">
        <f t="shared" si="240"/>
        <v>170.58890769826178</v>
      </c>
      <c r="AD101" s="358">
        <f t="shared" si="240"/>
        <v>141.16002705001588</v>
      </c>
      <c r="AE101" s="358">
        <f t="shared" si="240"/>
        <v>148.51708677440186</v>
      </c>
      <c r="AF101" s="358">
        <f t="shared" si="240"/>
        <v>111.24122587564943</v>
      </c>
      <c r="AG101" s="358">
        <f t="shared" si="240"/>
        <v>146.47839392135197</v>
      </c>
      <c r="AH101" s="358">
        <f t="shared" si="240"/>
        <v>125.37585936527438</v>
      </c>
      <c r="AI101" s="358">
        <f t="shared" si="240"/>
        <v>113.99797498200128</v>
      </c>
      <c r="AJ101" s="358">
        <f t="shared" si="240"/>
        <v>111.72339784806923</v>
      </c>
      <c r="AK101" s="358">
        <f t="shared" si="240"/>
        <v>156.35020782674087</v>
      </c>
      <c r="AL101" s="358">
        <f t="shared" si="240"/>
        <v>153.98194229525322</v>
      </c>
      <c r="AM101" s="358">
        <f t="shared" si="240"/>
        <v>161.35725431216025</v>
      </c>
      <c r="AN101" s="358">
        <f t="shared" si="240"/>
        <v>163.46926708436754</v>
      </c>
      <c r="AO101" s="358">
        <f t="shared" si="240"/>
        <v>204.50430384757135</v>
      </c>
      <c r="AP101" s="358">
        <f t="shared" si="240"/>
        <v>219.49301139392711</v>
      </c>
      <c r="AQ101" s="358">
        <f t="shared" si="240"/>
        <v>127.72061157881281</v>
      </c>
      <c r="AR101" s="358">
        <f t="shared" si="240"/>
        <v>149.4799655444028</v>
      </c>
      <c r="AS101" s="358">
        <f t="shared" si="240"/>
        <v>137.57707618639677</v>
      </c>
      <c r="AT101" s="358">
        <f t="shared" si="240"/>
        <v>134.46212376960602</v>
      </c>
      <c r="AU101" s="358">
        <f t="shared" si="240"/>
        <v>128.25705824397716</v>
      </c>
      <c r="AV101" s="358">
        <f t="shared" si="240"/>
        <v>131.76226882030932</v>
      </c>
      <c r="AW101" s="358">
        <f t="shared" si="240"/>
        <v>143.71244305379156</v>
      </c>
      <c r="AX101" s="358">
        <f t="shared" si="240"/>
        <v>119.43942947078526</v>
      </c>
      <c r="AY101" s="358">
        <f t="shared" si="240"/>
        <v>120.01611530907385</v>
      </c>
      <c r="AZ101" s="358">
        <f t="shared" si="240"/>
        <v>117.73225941854963</v>
      </c>
      <c r="BA101" s="358">
        <f t="shared" si="240"/>
        <v>131.47133108758868</v>
      </c>
      <c r="BB101" s="358">
        <f t="shared" si="240"/>
        <v>139.279288651272</v>
      </c>
      <c r="BC101" s="358">
        <f>BC94/-BC10*(365/4)</f>
        <v>138.34599357369234</v>
      </c>
      <c r="BD101" s="358">
        <f>BD94/-BD10*(365/4)</f>
        <v>124.10939601767414</v>
      </c>
      <c r="BE101" s="358">
        <f>BE94/-BE10*(365/4)</f>
        <v>156.2122692284633</v>
      </c>
    </row>
    <row r="102" spans="2:58">
      <c r="B102" s="356" t="s">
        <v>340</v>
      </c>
      <c r="C102" s="358">
        <f t="shared" ref="C102:K102" si="241">C95/C7*365</f>
        <v>66.216421669637356</v>
      </c>
      <c r="D102" s="358">
        <f t="shared" si="241"/>
        <v>63.099901426621223</v>
      </c>
      <c r="E102" s="358">
        <f t="shared" si="241"/>
        <v>64.613565330484775</v>
      </c>
      <c r="F102" s="358">
        <f t="shared" si="241"/>
        <v>65.080696096036718</v>
      </c>
      <c r="G102" s="358">
        <f t="shared" si="241"/>
        <v>83.70383043075006</v>
      </c>
      <c r="H102" s="358">
        <f t="shared" si="241"/>
        <v>93.808977624079617</v>
      </c>
      <c r="I102" s="358">
        <f t="shared" si="241"/>
        <v>85.336688582428849</v>
      </c>
      <c r="J102" s="358">
        <f t="shared" si="241"/>
        <v>94.01611616669426</v>
      </c>
      <c r="K102" s="358">
        <f t="shared" si="241"/>
        <v>90.125819587519842</v>
      </c>
      <c r="L102" s="358">
        <f>L95/L7*365</f>
        <v>93.438838264408076</v>
      </c>
      <c r="M102" s="358">
        <f>M95/M7*365</f>
        <v>92.027286050546735</v>
      </c>
      <c r="N102" s="358">
        <f>N95/N7*365</f>
        <v>90.933463358014308</v>
      </c>
      <c r="O102" s="358">
        <f>(O95/O7)*365</f>
        <v>87.034425607640443</v>
      </c>
      <c r="P102" s="357"/>
      <c r="Q102" s="358">
        <f>Q95/Q7*(365/4)</f>
        <v>58.234999607520614</v>
      </c>
      <c r="R102" s="358">
        <f t="shared" ref="R102:AS102" si="242">R95/R7*(365/4)</f>
        <v>58.517334771601021</v>
      </c>
      <c r="S102" s="358">
        <f t="shared" si="242"/>
        <v>60.601330793754876</v>
      </c>
      <c r="T102" s="358">
        <f t="shared" si="242"/>
        <v>62.398945599793855</v>
      </c>
      <c r="U102" s="358">
        <f t="shared" si="242"/>
        <v>59.393947938624521</v>
      </c>
      <c r="V102" s="358">
        <f t="shared" si="242"/>
        <v>61.23443450036546</v>
      </c>
      <c r="W102" s="358">
        <f t="shared" si="242"/>
        <v>61.324967166739043</v>
      </c>
      <c r="X102" s="358">
        <f t="shared" si="242"/>
        <v>61.889125604763073</v>
      </c>
      <c r="Y102" s="358">
        <f t="shared" si="242"/>
        <v>77.975030123764427</v>
      </c>
      <c r="Z102" s="358">
        <f t="shared" si="242"/>
        <v>80.083883714048056</v>
      </c>
      <c r="AA102" s="358">
        <f t="shared" si="242"/>
        <v>82.063597251716487</v>
      </c>
      <c r="AB102" s="358">
        <f t="shared" si="242"/>
        <v>79.278422466143127</v>
      </c>
      <c r="AC102" s="358">
        <f t="shared" si="242"/>
        <v>81.424144577016023</v>
      </c>
      <c r="AD102" s="358">
        <f t="shared" si="242"/>
        <v>80.431041387420436</v>
      </c>
      <c r="AE102" s="358">
        <f t="shared" si="242"/>
        <v>81.568412145357328</v>
      </c>
      <c r="AF102" s="358">
        <f t="shared" si="242"/>
        <v>87.807099350690933</v>
      </c>
      <c r="AG102" s="358">
        <f t="shared" si="242"/>
        <v>91.47343052785547</v>
      </c>
      <c r="AH102" s="358">
        <f t="shared" si="242"/>
        <v>95.394043070202713</v>
      </c>
      <c r="AI102" s="358">
        <f t="shared" si="242"/>
        <v>78.956375714041954</v>
      </c>
      <c r="AJ102" s="358">
        <f t="shared" si="242"/>
        <v>76.041909411155274</v>
      </c>
      <c r="AK102" s="358">
        <f t="shared" si="242"/>
        <v>80.37375916821226</v>
      </c>
      <c r="AL102" s="358">
        <f t="shared" si="242"/>
        <v>84.548220400731267</v>
      </c>
      <c r="AM102" s="358">
        <f t="shared" si="242"/>
        <v>86.865132709827719</v>
      </c>
      <c r="AN102" s="358">
        <f t="shared" si="242"/>
        <v>86.943191850706782</v>
      </c>
      <c r="AO102" s="358">
        <f t="shared" si="242"/>
        <v>91.090675879334484</v>
      </c>
      <c r="AP102" s="358">
        <f t="shared" si="242"/>
        <v>100.45683141111081</v>
      </c>
      <c r="AQ102" s="358">
        <f t="shared" si="242"/>
        <v>84.83217548933041</v>
      </c>
      <c r="AR102" s="358">
        <f t="shared" si="242"/>
        <v>90.795434328377908</v>
      </c>
      <c r="AS102" s="358">
        <f t="shared" si="242"/>
        <v>86.293249729382879</v>
      </c>
      <c r="AT102" s="358">
        <f>AT95/AT7*(365/4)</f>
        <v>86.011811704837655</v>
      </c>
      <c r="AU102" s="358">
        <f>AU95/AU7*(365/4)</f>
        <v>88.741224133937891</v>
      </c>
      <c r="AV102" s="358">
        <f>AV95/AV7*(365/4)</f>
        <v>87.386748694526162</v>
      </c>
      <c r="AW102" s="358">
        <f>AW95/AW7*365/4</f>
        <v>90.205918938676334</v>
      </c>
      <c r="AX102" s="358">
        <f>AX95/AX7*(365/4)</f>
        <v>88.009866769978615</v>
      </c>
      <c r="AY102" s="358">
        <f>AY95/AY7*(365/4)</f>
        <v>88.630255312406192</v>
      </c>
      <c r="AZ102" s="358">
        <f>AZ95/AZ7*(365/4)</f>
        <v>84.816757650524053</v>
      </c>
      <c r="BA102" s="358">
        <f>BA95/BA7*365/4</f>
        <v>85.409563195897064</v>
      </c>
      <c r="BB102" s="358">
        <f>BB95/BB7*(365/4)</f>
        <v>84.083026273510214</v>
      </c>
      <c r="BC102" s="358">
        <f>BC95/BC7*(365/4)</f>
        <v>82.492051566771934</v>
      </c>
      <c r="BD102" s="358">
        <f>BD95/BD7*(365/4)</f>
        <v>82.751657813836218</v>
      </c>
      <c r="BE102" s="358">
        <f>BE95/BE7*(365/4)</f>
        <v>86.562636282558884</v>
      </c>
    </row>
    <row r="103" spans="2:58">
      <c r="B103" s="356" t="s">
        <v>341</v>
      </c>
      <c r="C103" s="357"/>
      <c r="D103" s="357"/>
      <c r="E103" s="357"/>
      <c r="F103" s="357"/>
      <c r="G103" s="357"/>
      <c r="H103" s="358">
        <f>H96/-H10*365</f>
        <v>926.49404470888749</v>
      </c>
      <c r="I103" s="358">
        <f t="shared" ref="I103:O103" si="243">I96/-I10*365</f>
        <v>942.36461184251959</v>
      </c>
      <c r="J103" s="358">
        <f t="shared" si="243"/>
        <v>1058.4562210466568</v>
      </c>
      <c r="K103" s="358">
        <f t="shared" si="243"/>
        <v>856.4198727066896</v>
      </c>
      <c r="L103" s="358">
        <f t="shared" si="243"/>
        <v>956.4564499124067</v>
      </c>
      <c r="M103" s="358">
        <f t="shared" si="243"/>
        <v>891.46462162345972</v>
      </c>
      <c r="N103" s="358">
        <f>N96/-N10*365</f>
        <v>905.19667989668801</v>
      </c>
      <c r="O103" s="358">
        <f t="shared" si="243"/>
        <v>877.76577169369386</v>
      </c>
      <c r="P103" s="357"/>
      <c r="Q103" s="358">
        <f>Q96/-Q10*(365/4)</f>
        <v>752.19076505041483</v>
      </c>
      <c r="R103" s="358">
        <f t="shared" ref="R103:BB103" si="244">R96/-R10*(365/4)</f>
        <v>722.77159296761351</v>
      </c>
      <c r="S103" s="358">
        <f t="shared" si="244"/>
        <v>645.83413727376501</v>
      </c>
      <c r="T103" s="358">
        <f t="shared" si="244"/>
        <v>746.15033736045973</v>
      </c>
      <c r="U103" s="358">
        <f t="shared" si="244"/>
        <v>684.63460288593421</v>
      </c>
      <c r="V103" s="358">
        <f t="shared" si="244"/>
        <v>687.84661705138762</v>
      </c>
      <c r="W103" s="358">
        <f t="shared" si="244"/>
        <v>728.15453818796959</v>
      </c>
      <c r="X103" s="358">
        <f t="shared" si="244"/>
        <v>806.05037773613344</v>
      </c>
      <c r="Y103" s="358">
        <f t="shared" si="244"/>
        <v>680.45355435416877</v>
      </c>
      <c r="Z103" s="358">
        <f t="shared" si="244"/>
        <v>622.98344343844519</v>
      </c>
      <c r="AA103" s="358">
        <f t="shared" si="244"/>
        <v>704.54317135000679</v>
      </c>
      <c r="AB103" s="358">
        <f t="shared" si="244"/>
        <v>837.37149164537288</v>
      </c>
      <c r="AC103" s="358">
        <f t="shared" si="244"/>
        <v>754.03572855418156</v>
      </c>
      <c r="AD103" s="358">
        <f t="shared" si="244"/>
        <v>642.15671343320093</v>
      </c>
      <c r="AE103" s="358">
        <f t="shared" si="244"/>
        <v>718.16387206149466</v>
      </c>
      <c r="AF103" s="358">
        <f t="shared" si="244"/>
        <v>889.22190361537901</v>
      </c>
      <c r="AG103" s="358">
        <f t="shared" si="244"/>
        <v>842.13528999938194</v>
      </c>
      <c r="AH103" s="358">
        <f t="shared" si="244"/>
        <v>734.27889965699467</v>
      </c>
      <c r="AI103" s="358">
        <f t="shared" si="244"/>
        <v>840.17946481742331</v>
      </c>
      <c r="AJ103" s="358">
        <f t="shared" si="244"/>
        <v>952.07838364166321</v>
      </c>
      <c r="AK103" s="358">
        <f t="shared" si="244"/>
        <v>935.77703186179565</v>
      </c>
      <c r="AL103" s="358">
        <f t="shared" si="244"/>
        <v>951.83747431346535</v>
      </c>
      <c r="AM103" s="358">
        <f t="shared" si="244"/>
        <v>984.03014431974884</v>
      </c>
      <c r="AN103" s="358">
        <f t="shared" si="244"/>
        <v>1007.1070886469382</v>
      </c>
      <c r="AO103" s="358">
        <f t="shared" si="244"/>
        <v>911.42151346642925</v>
      </c>
      <c r="AP103" s="358">
        <f t="shared" si="244"/>
        <v>910.69706520467628</v>
      </c>
      <c r="AQ103" s="358">
        <f t="shared" si="244"/>
        <v>778.89855265735116</v>
      </c>
      <c r="AR103" s="358">
        <f t="shared" si="244"/>
        <v>862.33882707872135</v>
      </c>
      <c r="AS103" s="358">
        <f t="shared" si="244"/>
        <v>691.28963041057045</v>
      </c>
      <c r="AT103" s="358">
        <f t="shared" si="244"/>
        <v>784.06400022492846</v>
      </c>
      <c r="AU103" s="358">
        <f t="shared" si="244"/>
        <v>801.82377720721342</v>
      </c>
      <c r="AV103" s="358">
        <f t="shared" si="244"/>
        <v>969.38526722819677</v>
      </c>
      <c r="AW103" s="358">
        <f t="shared" si="244"/>
        <v>896.08087170427575</v>
      </c>
      <c r="AX103" s="358">
        <f t="shared" si="244"/>
        <v>839.91042517486312</v>
      </c>
      <c r="AY103" s="358">
        <f t="shared" si="244"/>
        <v>748.56747354309084</v>
      </c>
      <c r="AZ103" s="358">
        <f t="shared" si="244"/>
        <v>861.57141092036716</v>
      </c>
      <c r="BA103" s="358">
        <f t="shared" si="244"/>
        <v>797.98506391592559</v>
      </c>
      <c r="BB103" s="358">
        <f t="shared" si="244"/>
        <v>830.67944962646277</v>
      </c>
      <c r="BC103" s="358">
        <f>BC96/-BC10*(365/4)</f>
        <v>785.49464532404988</v>
      </c>
      <c r="BD103" s="358">
        <f>BD96/-BD10*(365/4)</f>
        <v>857.82820407550253</v>
      </c>
      <c r="BE103" s="358">
        <f>BE96/-BE10*(365/4)</f>
        <v>852.78364866728043</v>
      </c>
    </row>
    <row r="104" spans="2:58"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U104" s="31"/>
      <c r="V104" s="31"/>
      <c r="Y104" s="31"/>
      <c r="Z104" s="31"/>
      <c r="AA104" s="31"/>
      <c r="AC104" s="31"/>
      <c r="AD104" s="31"/>
      <c r="AE104" s="31"/>
      <c r="AF104" s="31"/>
      <c r="AG104" s="31"/>
      <c r="AH104" s="31"/>
      <c r="AI104" s="31"/>
      <c r="AJ104" s="31"/>
      <c r="AK104" s="31"/>
      <c r="AL104" s="31"/>
      <c r="AM104" s="31"/>
      <c r="AN104" s="31"/>
      <c r="AO104" s="31"/>
      <c r="AP104" s="31"/>
      <c r="AQ104" s="31"/>
      <c r="AR104" s="31"/>
      <c r="AS104" s="31"/>
      <c r="AT104" s="31"/>
      <c r="AU104" s="31"/>
      <c r="AV104" s="31"/>
      <c r="AW104" s="31"/>
      <c r="AX104" s="31"/>
      <c r="AY104" s="31"/>
      <c r="AZ104" s="31"/>
      <c r="BA104" s="31"/>
      <c r="BB104" s="31"/>
      <c r="BC104" s="31"/>
      <c r="BD104" s="31"/>
      <c r="BE104" s="31"/>
    </row>
    <row r="105" spans="2:58">
      <c r="B105" s="5" t="s">
        <v>342</v>
      </c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  <c r="AB105" s="31"/>
      <c r="AC105" s="31"/>
      <c r="AD105" s="31"/>
      <c r="AE105" s="31"/>
      <c r="AF105" s="31"/>
      <c r="AG105" s="31"/>
      <c r="AH105" s="31"/>
      <c r="AI105" s="31"/>
      <c r="AJ105" s="31"/>
      <c r="AK105" s="31"/>
      <c r="AL105" s="31"/>
      <c r="AM105" s="31"/>
      <c r="AN105" s="31"/>
      <c r="AO105" s="31"/>
      <c r="AP105" s="31"/>
      <c r="AQ105" s="31"/>
      <c r="AR105" s="31"/>
      <c r="AS105" s="31"/>
      <c r="AT105" s="31"/>
      <c r="AU105" s="31"/>
      <c r="AV105" s="31"/>
      <c r="AW105" s="31"/>
      <c r="AX105" s="31"/>
      <c r="AY105" s="31"/>
      <c r="AZ105" s="31"/>
      <c r="BA105" s="31"/>
      <c r="BB105" s="31"/>
      <c r="BC105" s="31"/>
      <c r="BD105" s="31"/>
      <c r="BE105" s="31"/>
      <c r="BF105" s="31"/>
    </row>
    <row r="106" spans="2:58" s="5" customFormat="1">
      <c r="B106" s="5" t="s">
        <v>10</v>
      </c>
      <c r="C106" s="8">
        <f t="shared" ref="C106:AB106" si="245">C107+C108+C109+C110</f>
        <v>17246.351999999999</v>
      </c>
      <c r="D106" s="8">
        <f t="shared" si="245"/>
        <v>19255.78</v>
      </c>
      <c r="E106" s="8">
        <f t="shared" si="245"/>
        <v>18433.492000000002</v>
      </c>
      <c r="F106" s="8">
        <f t="shared" si="245"/>
        <v>17568.440000000002</v>
      </c>
      <c r="G106" s="8">
        <f t="shared" si="245"/>
        <v>18032.774999999998</v>
      </c>
      <c r="H106" s="8">
        <f t="shared" ref="H106:O106" si="246">H107+H108+H109+H110</f>
        <v>88927.514999999999</v>
      </c>
      <c r="I106" s="8">
        <f t="shared" si="246"/>
        <v>94730.718999999997</v>
      </c>
      <c r="J106" s="8">
        <f t="shared" si="246"/>
        <v>296390.20500000002</v>
      </c>
      <c r="K106" s="8">
        <f t="shared" si="246"/>
        <v>343556.71499999997</v>
      </c>
      <c r="L106" s="8">
        <f t="shared" si="246"/>
        <v>418995.41899999999</v>
      </c>
      <c r="M106" s="8">
        <f>M107+M108+M109+M110</f>
        <v>520938.75699999993</v>
      </c>
      <c r="N106" s="8">
        <f>N107+N108+N109+N110</f>
        <v>172595.09900000002</v>
      </c>
      <c r="O106" s="8">
        <f t="shared" si="246"/>
        <v>172332.14500000002</v>
      </c>
      <c r="P106" s="8"/>
      <c r="Q106" s="8">
        <f t="shared" si="245"/>
        <v>22143.040999999997</v>
      </c>
      <c r="R106" s="8">
        <f t="shared" si="245"/>
        <v>18177.669999999998</v>
      </c>
      <c r="S106" s="8">
        <f t="shared" si="245"/>
        <v>21446.400000000001</v>
      </c>
      <c r="T106" s="8">
        <f t="shared" si="245"/>
        <v>18433.492000000002</v>
      </c>
      <c r="U106" s="8">
        <f t="shared" si="245"/>
        <v>21771.074999999997</v>
      </c>
      <c r="V106" s="8">
        <f t="shared" si="245"/>
        <v>18988.120000000003</v>
      </c>
      <c r="W106" s="8">
        <f t="shared" si="245"/>
        <v>22048.758999999998</v>
      </c>
      <c r="X106" s="8">
        <f t="shared" si="245"/>
        <v>17568.440000000002</v>
      </c>
      <c r="Y106" s="8">
        <f t="shared" si="245"/>
        <v>20122.517</v>
      </c>
      <c r="Z106" s="8">
        <f t="shared" si="245"/>
        <v>17322.34</v>
      </c>
      <c r="AA106" s="8">
        <f t="shared" si="245"/>
        <v>21104.39</v>
      </c>
      <c r="AB106" s="8">
        <f t="shared" si="245"/>
        <v>18032.774999999998</v>
      </c>
      <c r="AC106" s="8">
        <f t="shared" ref="AC106:AH106" si="247">AC107+AC108+AC109+AC110</f>
        <v>21562.984</v>
      </c>
      <c r="AD106" s="8">
        <f t="shared" si="247"/>
        <v>115517.78599999999</v>
      </c>
      <c r="AE106" s="8">
        <f t="shared" si="247"/>
        <v>100434.02799999999</v>
      </c>
      <c r="AF106" s="8">
        <f t="shared" si="247"/>
        <v>88927.514999999999</v>
      </c>
      <c r="AG106" s="8">
        <f t="shared" si="247"/>
        <v>107708.45700000001</v>
      </c>
      <c r="AH106" s="8">
        <f t="shared" si="247"/>
        <v>104703.613</v>
      </c>
      <c r="AI106" s="8">
        <f t="shared" ref="AI106:AN106" si="248">AI107+AI108+AI109+AI110</f>
        <v>104430.753</v>
      </c>
      <c r="AJ106" s="8">
        <f t="shared" si="248"/>
        <v>94730.718999999997</v>
      </c>
      <c r="AK106" s="8">
        <f t="shared" si="248"/>
        <v>104451.29300000001</v>
      </c>
      <c r="AL106" s="8">
        <f t="shared" si="248"/>
        <v>122974.914</v>
      </c>
      <c r="AM106" s="8">
        <f t="shared" si="248"/>
        <v>150858.318</v>
      </c>
      <c r="AN106" s="8">
        <f t="shared" si="248"/>
        <v>296390.20500000002</v>
      </c>
      <c r="AO106" s="8">
        <f t="shared" ref="AO106:AU106" si="249">AO107+AO108+AO109+AO110</f>
        <v>313501.10499999998</v>
      </c>
      <c r="AP106" s="8">
        <f t="shared" si="249"/>
        <v>373775.37400000001</v>
      </c>
      <c r="AQ106" s="8">
        <f t="shared" si="249"/>
        <v>404301.89399999997</v>
      </c>
      <c r="AR106" s="8">
        <f t="shared" si="249"/>
        <v>343556.71499999997</v>
      </c>
      <c r="AS106" s="8">
        <f t="shared" si="249"/>
        <v>321578.027</v>
      </c>
      <c r="AT106" s="8">
        <f t="shared" si="249"/>
        <v>364918.31900000002</v>
      </c>
      <c r="AU106" s="8">
        <f t="shared" si="249"/>
        <v>403202.72499999998</v>
      </c>
      <c r="AV106" s="8">
        <f t="shared" ref="AV106:BB106" si="250">AV107+AV108+AV109+AV110</f>
        <v>418995.41899999999</v>
      </c>
      <c r="AW106" s="8">
        <f t="shared" si="250"/>
        <v>412712.114</v>
      </c>
      <c r="AX106" s="8">
        <f t="shared" si="250"/>
        <v>412668.071</v>
      </c>
      <c r="AY106" s="8">
        <f t="shared" si="250"/>
        <v>646264.196</v>
      </c>
      <c r="AZ106" s="8">
        <f t="shared" si="250"/>
        <v>520938.75699999993</v>
      </c>
      <c r="BA106" s="8">
        <f t="shared" si="250"/>
        <v>499774.83799999999</v>
      </c>
      <c r="BB106" s="8">
        <f t="shared" si="250"/>
        <v>450522.23399999994</v>
      </c>
      <c r="BC106" s="8">
        <f>BC107+BC108+BC109+BC110</f>
        <v>188186.35499999998</v>
      </c>
      <c r="BD106" s="8">
        <f>BD107+BD108+BD109+BD110</f>
        <v>172595.09900000002</v>
      </c>
      <c r="BE106" s="8">
        <f>BE107+BE108+BE109+BE110</f>
        <v>172332.14500000002</v>
      </c>
    </row>
    <row r="107" spans="2:58">
      <c r="B107" s="178" t="s">
        <v>12</v>
      </c>
      <c r="C107" s="66">
        <v>482.43099999999998</v>
      </c>
      <c r="D107" s="66">
        <v>417.69900000000001</v>
      </c>
      <c r="E107" s="66">
        <v>468.59800000000001</v>
      </c>
      <c r="F107" s="66">
        <v>1109.07</v>
      </c>
      <c r="G107" s="66">
        <v>795.39</v>
      </c>
      <c r="H107" s="66">
        <v>504.73500000000001</v>
      </c>
      <c r="I107" s="66">
        <v>641.55799999999999</v>
      </c>
      <c r="J107" s="66">
        <v>47784.171000000002</v>
      </c>
      <c r="K107" s="66">
        <v>90137.673999999999</v>
      </c>
      <c r="L107" s="66">
        <v>151077.57800000001</v>
      </c>
      <c r="M107" s="66">
        <v>77024.649999999994</v>
      </c>
      <c r="N107" s="66">
        <v>14630.288</v>
      </c>
      <c r="O107" s="6">
        <f>BE107</f>
        <v>14561.932000000001</v>
      </c>
      <c r="P107" s="6"/>
      <c r="Q107" s="66">
        <v>876.76499999999999</v>
      </c>
      <c r="R107" s="66">
        <v>456.44099999999997</v>
      </c>
      <c r="S107" s="66">
        <v>466.39800000000002</v>
      </c>
      <c r="T107" s="68">
        <f>E107</f>
        <v>468.59800000000001</v>
      </c>
      <c r="U107" s="66">
        <v>515.6</v>
      </c>
      <c r="V107" s="66">
        <v>1145.1849999999999</v>
      </c>
      <c r="W107" s="66">
        <v>1548.172</v>
      </c>
      <c r="X107" s="68">
        <f>F107</f>
        <v>1109.07</v>
      </c>
      <c r="Y107" s="66">
        <v>1005.008</v>
      </c>
      <c r="Z107" s="66">
        <v>651.49800000000005</v>
      </c>
      <c r="AA107" s="66">
        <v>1080.4449999999999</v>
      </c>
      <c r="AB107" s="68">
        <f>G107</f>
        <v>795.39</v>
      </c>
      <c r="AC107" s="66">
        <v>1221.547</v>
      </c>
      <c r="AD107" s="66">
        <v>36481.927000000003</v>
      </c>
      <c r="AE107" s="66">
        <v>13890.117</v>
      </c>
      <c r="AF107" s="68">
        <f>H107</f>
        <v>504.73500000000001</v>
      </c>
      <c r="AG107" s="66">
        <v>198.59800000000001</v>
      </c>
      <c r="AH107" s="66">
        <v>3091.453</v>
      </c>
      <c r="AI107" s="66">
        <v>422.23200000000003</v>
      </c>
      <c r="AJ107" s="68">
        <f>I107</f>
        <v>641.55799999999999</v>
      </c>
      <c r="AK107" s="66">
        <v>880.97500000000002</v>
      </c>
      <c r="AL107" s="66">
        <v>23982.593000000001</v>
      </c>
      <c r="AM107" s="66">
        <v>40755.654000000002</v>
      </c>
      <c r="AN107" s="68">
        <f>J107</f>
        <v>47784.171000000002</v>
      </c>
      <c r="AO107" s="66">
        <v>75441.069000000003</v>
      </c>
      <c r="AP107" s="66">
        <f>99872.456</f>
        <v>99872.456000000006</v>
      </c>
      <c r="AQ107" s="66">
        <v>125892.923</v>
      </c>
      <c r="AR107" s="68">
        <f>K107</f>
        <v>90137.673999999999</v>
      </c>
      <c r="AS107" s="66">
        <v>83043.452000000005</v>
      </c>
      <c r="AT107" s="66">
        <v>116285.109</v>
      </c>
      <c r="AU107" s="66">
        <v>128875.257</v>
      </c>
      <c r="AV107" s="68">
        <f>L107</f>
        <v>151077.57800000001</v>
      </c>
      <c r="AW107" s="66">
        <v>128906.264</v>
      </c>
      <c r="AX107" s="66">
        <v>122030.213</v>
      </c>
      <c r="AY107" s="66">
        <v>112612.27499999999</v>
      </c>
      <c r="AZ107" s="68">
        <f>M107</f>
        <v>77024.649999999994</v>
      </c>
      <c r="BA107" s="66">
        <v>74953.774999999994</v>
      </c>
      <c r="BB107" s="66">
        <v>28955.56</v>
      </c>
      <c r="BC107" s="66">
        <v>31868.848000000002</v>
      </c>
      <c r="BD107" s="68">
        <f>N107</f>
        <v>14630.288</v>
      </c>
      <c r="BE107" s="66">
        <v>14561.932000000001</v>
      </c>
    </row>
    <row r="108" spans="2:58">
      <c r="B108" s="178" t="s">
        <v>13</v>
      </c>
      <c r="C108" s="66">
        <v>15611.596</v>
      </c>
      <c r="D108" s="66">
        <v>17532.995999999999</v>
      </c>
      <c r="E108" s="66">
        <v>16587.414000000001</v>
      </c>
      <c r="F108" s="66">
        <v>15303.757</v>
      </c>
      <c r="G108" s="66">
        <v>17237.384999999998</v>
      </c>
      <c r="H108" s="66">
        <v>19479.763999999999</v>
      </c>
      <c r="I108" s="66">
        <v>18636.013999999999</v>
      </c>
      <c r="J108" s="66">
        <v>143291.9</v>
      </c>
      <c r="K108" s="66">
        <v>144370.75599999999</v>
      </c>
      <c r="L108" s="66">
        <v>146937.94899999999</v>
      </c>
      <c r="M108" s="66">
        <v>299932.55699999997</v>
      </c>
      <c r="N108" s="66">
        <v>9337.5669999999991</v>
      </c>
      <c r="O108" s="6">
        <f t="shared" ref="O108:O115" si="251">BE108</f>
        <v>8921.7219999999998</v>
      </c>
      <c r="P108" s="6"/>
      <c r="Q108" s="66">
        <v>19937.173999999999</v>
      </c>
      <c r="R108" s="66">
        <v>16361.166999999999</v>
      </c>
      <c r="S108" s="66">
        <v>19645.124</v>
      </c>
      <c r="T108" s="68">
        <f>E108</f>
        <v>16587.414000000001</v>
      </c>
      <c r="U108" s="66">
        <v>19841.175999999999</v>
      </c>
      <c r="V108" s="66">
        <v>16478.462</v>
      </c>
      <c r="W108" s="66">
        <v>19179.822</v>
      </c>
      <c r="X108" s="68">
        <f>F108</f>
        <v>15303.757</v>
      </c>
      <c r="Y108" s="66">
        <v>18285.248</v>
      </c>
      <c r="Z108" s="66">
        <v>16175.513999999999</v>
      </c>
      <c r="AA108" s="66">
        <v>19836.43</v>
      </c>
      <c r="AB108" s="68">
        <f>G108</f>
        <v>17237.384999999998</v>
      </c>
      <c r="AC108" s="66">
        <v>20336.437000000002</v>
      </c>
      <c r="AD108" s="66">
        <v>16860.633999999998</v>
      </c>
      <c r="AE108" s="66">
        <v>21699.311000000002</v>
      </c>
      <c r="AF108" s="68">
        <f>H108</f>
        <v>19479.763999999999</v>
      </c>
      <c r="AG108" s="66">
        <v>27431.491000000002</v>
      </c>
      <c r="AH108" s="66">
        <v>21231.725999999999</v>
      </c>
      <c r="AI108" s="66">
        <v>25741.787</v>
      </c>
      <c r="AJ108" s="68">
        <f>I108</f>
        <v>18636.013999999999</v>
      </c>
      <c r="AK108" s="66">
        <v>24096.222000000002</v>
      </c>
      <c r="AL108" s="66">
        <v>19047.305</v>
      </c>
      <c r="AM108" s="66">
        <v>16626.663</v>
      </c>
      <c r="AN108" s="68">
        <f>J108</f>
        <v>143291.9</v>
      </c>
      <c r="AO108" s="66">
        <v>131521.073</v>
      </c>
      <c r="AP108" s="66">
        <v>158151.764</v>
      </c>
      <c r="AQ108" s="66">
        <v>159675.32999999999</v>
      </c>
      <c r="AR108" s="68">
        <f>K108</f>
        <v>144370.75599999999</v>
      </c>
      <c r="AS108" s="66">
        <v>130198.644</v>
      </c>
      <c r="AT108" s="66">
        <v>135483.34899999999</v>
      </c>
      <c r="AU108" s="66">
        <v>146969.99900000001</v>
      </c>
      <c r="AV108" s="68">
        <f>L108</f>
        <v>146937.94899999999</v>
      </c>
      <c r="AW108" s="66">
        <v>157633.90400000001</v>
      </c>
      <c r="AX108" s="66">
        <v>158205.64600000001</v>
      </c>
      <c r="AY108" s="66">
        <v>396771.23800000001</v>
      </c>
      <c r="AZ108" s="68">
        <f>M108</f>
        <v>299932.55699999997</v>
      </c>
      <c r="BA108" s="66">
        <v>279327.40100000001</v>
      </c>
      <c r="BB108" s="66">
        <v>282006.76799999998</v>
      </c>
      <c r="BC108" s="66">
        <v>8877.9709999999995</v>
      </c>
      <c r="BD108" s="68">
        <f>N108</f>
        <v>9337.5669999999991</v>
      </c>
      <c r="BE108" s="66">
        <v>8921.7219999999998</v>
      </c>
    </row>
    <row r="109" spans="2:58">
      <c r="B109" s="178" t="s">
        <v>343</v>
      </c>
      <c r="C109" s="66">
        <v>1152.325</v>
      </c>
      <c r="D109" s="66">
        <v>1305.085</v>
      </c>
      <c r="E109" s="66">
        <v>1377.48</v>
      </c>
      <c r="F109" s="66">
        <v>1155.6130000000001</v>
      </c>
      <c r="G109" s="66">
        <v>0</v>
      </c>
      <c r="H109" s="66">
        <v>0</v>
      </c>
      <c r="I109" s="66">
        <v>0</v>
      </c>
      <c r="J109" s="66">
        <v>0</v>
      </c>
      <c r="K109" s="66">
        <v>0</v>
      </c>
      <c r="L109" s="66">
        <v>0</v>
      </c>
      <c r="M109" s="66">
        <v>0</v>
      </c>
      <c r="N109" s="66">
        <v>0</v>
      </c>
      <c r="O109" s="6">
        <f t="shared" si="251"/>
        <v>0</v>
      </c>
      <c r="P109" s="6"/>
      <c r="Q109" s="66">
        <v>1329.1020000000001</v>
      </c>
      <c r="R109" s="66">
        <v>1360.0619999999999</v>
      </c>
      <c r="S109" s="66">
        <v>1334.8779999999999</v>
      </c>
      <c r="T109" s="68">
        <f>E109</f>
        <v>1377.48</v>
      </c>
      <c r="U109" s="66">
        <v>1414.299</v>
      </c>
      <c r="V109" s="66">
        <v>1364.473</v>
      </c>
      <c r="W109" s="66">
        <v>1320.7650000000001</v>
      </c>
      <c r="X109" s="68">
        <f>F109</f>
        <v>1155.6130000000001</v>
      </c>
      <c r="Y109" s="66">
        <v>832.26099999999997</v>
      </c>
      <c r="Z109" s="66">
        <v>495.32799999999997</v>
      </c>
      <c r="AA109" s="66">
        <v>187.51499999999999</v>
      </c>
      <c r="AB109" s="68">
        <f>G109</f>
        <v>0</v>
      </c>
      <c r="AC109" s="66">
        <v>0</v>
      </c>
      <c r="AD109" s="66">
        <v>0</v>
      </c>
      <c r="AE109" s="66">
        <v>0</v>
      </c>
      <c r="AF109" s="68">
        <f>H109</f>
        <v>0</v>
      </c>
      <c r="AG109" s="66">
        <v>0</v>
      </c>
      <c r="AH109" s="66">
        <v>0</v>
      </c>
      <c r="AI109" s="66">
        <v>0</v>
      </c>
      <c r="AJ109" s="68">
        <f>I109</f>
        <v>0</v>
      </c>
      <c r="AK109" s="66">
        <v>0</v>
      </c>
      <c r="AL109" s="66">
        <v>0</v>
      </c>
      <c r="AM109" s="66">
        <v>0</v>
      </c>
      <c r="AN109" s="68">
        <f>J109</f>
        <v>0</v>
      </c>
      <c r="AO109" s="66">
        <v>0</v>
      </c>
      <c r="AP109" s="66">
        <v>0</v>
      </c>
      <c r="AQ109" s="66">
        <v>0</v>
      </c>
      <c r="AR109" s="68">
        <f>K109</f>
        <v>0</v>
      </c>
      <c r="AS109" s="66">
        <v>0</v>
      </c>
      <c r="AT109" s="66">
        <v>0</v>
      </c>
      <c r="AU109" s="66">
        <v>0</v>
      </c>
      <c r="AV109" s="68">
        <f>L109</f>
        <v>0</v>
      </c>
      <c r="AW109" s="66">
        <v>0</v>
      </c>
      <c r="AX109" s="66">
        <v>0</v>
      </c>
      <c r="AY109" s="66">
        <v>0</v>
      </c>
      <c r="AZ109" s="68">
        <f>M109</f>
        <v>0</v>
      </c>
      <c r="BA109" s="66">
        <v>0</v>
      </c>
      <c r="BB109" s="66">
        <v>0</v>
      </c>
      <c r="BC109" s="66">
        <v>0</v>
      </c>
      <c r="BD109" s="68">
        <f>N109</f>
        <v>0</v>
      </c>
      <c r="BE109" s="66">
        <v>0</v>
      </c>
    </row>
    <row r="110" spans="2:58">
      <c r="B110" s="178" t="s">
        <v>14</v>
      </c>
      <c r="C110" s="66"/>
      <c r="D110" s="66"/>
      <c r="E110" s="66"/>
      <c r="F110" s="66"/>
      <c r="G110" s="66"/>
      <c r="H110" s="66">
        <v>68943.016000000003</v>
      </c>
      <c r="I110" s="66">
        <v>75453.146999999997</v>
      </c>
      <c r="J110" s="66">
        <v>105314.13400000001</v>
      </c>
      <c r="K110" s="66">
        <v>109048.285</v>
      </c>
      <c r="L110" s="66">
        <v>120979.89200000001</v>
      </c>
      <c r="M110" s="66">
        <v>143981.54999999999</v>
      </c>
      <c r="N110" s="66">
        <v>148627.24400000001</v>
      </c>
      <c r="O110" s="6">
        <f t="shared" si="251"/>
        <v>148848.49100000001</v>
      </c>
      <c r="P110" s="6"/>
      <c r="Q110" s="66"/>
      <c r="R110" s="66"/>
      <c r="S110" s="66"/>
      <c r="T110" s="68"/>
      <c r="U110" s="66"/>
      <c r="V110" s="66"/>
      <c r="W110" s="66"/>
      <c r="X110" s="68"/>
      <c r="Y110" s="66"/>
      <c r="Z110" s="66"/>
      <c r="AA110" s="66"/>
      <c r="AB110" s="68"/>
      <c r="AC110" s="66">
        <v>5</v>
      </c>
      <c r="AD110" s="66">
        <v>62175.224999999999</v>
      </c>
      <c r="AE110" s="66">
        <v>64844.6</v>
      </c>
      <c r="AF110" s="68">
        <f>H110</f>
        <v>68943.016000000003</v>
      </c>
      <c r="AG110" s="66">
        <v>80078.368000000002</v>
      </c>
      <c r="AH110" s="66">
        <v>80380.433999999994</v>
      </c>
      <c r="AI110" s="66">
        <v>78266.733999999997</v>
      </c>
      <c r="AJ110" s="68">
        <f>I110</f>
        <v>75453.146999999997</v>
      </c>
      <c r="AK110" s="66">
        <v>79474.096000000005</v>
      </c>
      <c r="AL110" s="66">
        <v>79945.016000000003</v>
      </c>
      <c r="AM110" s="66">
        <v>93476.001000000004</v>
      </c>
      <c r="AN110" s="68">
        <f>J110</f>
        <v>105314.13400000001</v>
      </c>
      <c r="AO110" s="66">
        <v>106538.963</v>
      </c>
      <c r="AP110" s="66">
        <v>115751.15399999999</v>
      </c>
      <c r="AQ110" s="66">
        <v>118733.641</v>
      </c>
      <c r="AR110" s="68">
        <f>K110</f>
        <v>109048.285</v>
      </c>
      <c r="AS110" s="66">
        <v>108335.931</v>
      </c>
      <c r="AT110" s="66">
        <v>113149.861</v>
      </c>
      <c r="AU110" s="66">
        <v>127357.469</v>
      </c>
      <c r="AV110" s="68">
        <f>L110</f>
        <v>120979.89200000001</v>
      </c>
      <c r="AW110" s="66">
        <v>126171.946</v>
      </c>
      <c r="AX110" s="66">
        <v>132432.212</v>
      </c>
      <c r="AY110" s="66">
        <v>136880.68299999999</v>
      </c>
      <c r="AZ110" s="68">
        <f>M110</f>
        <v>143981.54999999999</v>
      </c>
      <c r="BA110" s="66">
        <v>145493.66200000001</v>
      </c>
      <c r="BB110" s="66">
        <v>139559.90599999999</v>
      </c>
      <c r="BC110" s="66">
        <v>147439.53599999999</v>
      </c>
      <c r="BD110" s="68">
        <f>N110</f>
        <v>148627.24400000001</v>
      </c>
      <c r="BE110" s="66">
        <v>148848.49100000001</v>
      </c>
    </row>
    <row r="111" spans="2:58" s="5" customFormat="1">
      <c r="B111" s="5" t="s">
        <v>15</v>
      </c>
      <c r="C111" s="8">
        <f t="shared" ref="C111:AB111" si="252">C112+C113+C114+C115</f>
        <v>1434258.4659999998</v>
      </c>
      <c r="D111" s="8">
        <f t="shared" si="252"/>
        <v>1654135.1220000002</v>
      </c>
      <c r="E111" s="8">
        <f t="shared" si="252"/>
        <v>1575575.274</v>
      </c>
      <c r="F111" s="8">
        <f t="shared" si="252"/>
        <v>1567108.662</v>
      </c>
      <c r="G111" s="8">
        <f t="shared" si="252"/>
        <v>1789546.9310000001</v>
      </c>
      <c r="H111" s="8">
        <f t="shared" ref="H111:O111" si="253">H112+H113+H114+H115</f>
        <v>2400054.8319999999</v>
      </c>
      <c r="I111" s="8">
        <f t="shared" si="253"/>
        <v>2279019.4550000001</v>
      </c>
      <c r="J111" s="8">
        <f t="shared" si="253"/>
        <v>2421613.1710000001</v>
      </c>
      <c r="K111" s="8">
        <f t="shared" si="253"/>
        <v>2396314.3849999998</v>
      </c>
      <c r="L111" s="8">
        <f t="shared" si="253"/>
        <v>2236320.4530000002</v>
      </c>
      <c r="M111" s="8">
        <f>M112+M113+M114+M115</f>
        <v>2171410.068</v>
      </c>
      <c r="N111" s="8">
        <f>N112+N113+N114+N115</f>
        <v>2097931.2579999999</v>
      </c>
      <c r="O111" s="8">
        <f t="shared" si="253"/>
        <v>2096865.8859999999</v>
      </c>
      <c r="P111" s="8"/>
      <c r="Q111" s="8">
        <f t="shared" si="252"/>
        <v>1571602.341</v>
      </c>
      <c r="R111" s="8">
        <f t="shared" si="252"/>
        <v>1556107.1089999999</v>
      </c>
      <c r="S111" s="8">
        <f t="shared" si="252"/>
        <v>1550661.9839999999</v>
      </c>
      <c r="T111" s="8">
        <f t="shared" si="252"/>
        <v>1575575.274</v>
      </c>
      <c r="U111" s="8">
        <f t="shared" si="252"/>
        <v>1564767.9920000001</v>
      </c>
      <c r="V111" s="8">
        <f t="shared" si="252"/>
        <v>1664803.0519999997</v>
      </c>
      <c r="W111" s="8">
        <f t="shared" si="252"/>
        <v>1612278.673</v>
      </c>
      <c r="X111" s="8">
        <f t="shared" si="252"/>
        <v>1567108.662</v>
      </c>
      <c r="Y111" s="8">
        <f t="shared" si="252"/>
        <v>1545977.6600000001</v>
      </c>
      <c r="Z111" s="8">
        <f t="shared" si="252"/>
        <v>1643773.9639999999</v>
      </c>
      <c r="AA111" s="8">
        <f t="shared" si="252"/>
        <v>1664209.77</v>
      </c>
      <c r="AB111" s="8">
        <f t="shared" si="252"/>
        <v>1789546.9310000001</v>
      </c>
      <c r="AC111" s="8">
        <f t="shared" ref="AC111:AH111" si="254">AC112+AC113+AC114+AC115</f>
        <v>2056496.1209999998</v>
      </c>
      <c r="AD111" s="8">
        <f t="shared" si="254"/>
        <v>2042774.9650000001</v>
      </c>
      <c r="AE111" s="8">
        <f t="shared" si="254"/>
        <v>2145344.3849999998</v>
      </c>
      <c r="AF111" s="8">
        <f t="shared" si="254"/>
        <v>2400054.8319999999</v>
      </c>
      <c r="AG111" s="8">
        <f t="shared" si="254"/>
        <v>2568590.5559999999</v>
      </c>
      <c r="AH111" s="8">
        <f t="shared" si="254"/>
        <v>2502988.1949999998</v>
      </c>
      <c r="AI111" s="8">
        <f t="shared" ref="AI111:AN111" si="255">AI112+AI113+AI114+AI115</f>
        <v>2431261.4</v>
      </c>
      <c r="AJ111" s="8">
        <f t="shared" si="255"/>
        <v>2279019.4550000001</v>
      </c>
      <c r="AK111" s="8">
        <f t="shared" si="255"/>
        <v>2292442.4169999999</v>
      </c>
      <c r="AL111" s="8">
        <f t="shared" si="255"/>
        <v>2271471.6770000001</v>
      </c>
      <c r="AM111" s="8">
        <f t="shared" si="255"/>
        <v>2421659.8589999997</v>
      </c>
      <c r="AN111" s="8">
        <f t="shared" si="255"/>
        <v>2421613.1710000001</v>
      </c>
      <c r="AO111" s="8">
        <f t="shared" ref="AO111:AU111" si="256">AO112+AO113+AO114+AO115</f>
        <v>2318001.6310000001</v>
      </c>
      <c r="AP111" s="8">
        <f t="shared" si="256"/>
        <v>2609790.4440000001</v>
      </c>
      <c r="AQ111" s="8">
        <f t="shared" si="256"/>
        <v>2677281.9560000002</v>
      </c>
      <c r="AR111" s="8">
        <f t="shared" si="256"/>
        <v>2396314.3849999998</v>
      </c>
      <c r="AS111" s="8">
        <f t="shared" si="256"/>
        <v>2273608.6569999997</v>
      </c>
      <c r="AT111" s="8">
        <f t="shared" si="256"/>
        <v>2264515.486</v>
      </c>
      <c r="AU111" s="8">
        <f t="shared" si="256"/>
        <v>2414556.9500000002</v>
      </c>
      <c r="AV111" s="8">
        <f t="shared" ref="AV111:BB111" si="257">AV112+AV113+AV114+AV115</f>
        <v>2236320.4530000002</v>
      </c>
      <c r="AW111" s="8">
        <f t="shared" si="257"/>
        <v>2398792.9950000001</v>
      </c>
      <c r="AX111" s="8">
        <f t="shared" si="257"/>
        <v>2347549.8569999998</v>
      </c>
      <c r="AY111" s="8">
        <f t="shared" si="257"/>
        <v>2045759.3829999999</v>
      </c>
      <c r="AZ111" s="8">
        <f t="shared" si="257"/>
        <v>2171410.068</v>
      </c>
      <c r="BA111" s="8">
        <f t="shared" si="257"/>
        <v>2126763.6839999999</v>
      </c>
      <c r="BB111" s="8">
        <f t="shared" si="257"/>
        <v>2198561.608</v>
      </c>
      <c r="BC111" s="8">
        <f>BC112+BC113+BC114+BC115</f>
        <v>2141442.8909999998</v>
      </c>
      <c r="BD111" s="8">
        <f>BD112+BD113+BD114+BD115</f>
        <v>2097931.2579999999</v>
      </c>
      <c r="BE111" s="8">
        <f>BE112+BE113+BE114+BE115</f>
        <v>2096865.8859999999</v>
      </c>
    </row>
    <row r="112" spans="2:58">
      <c r="B112" s="178" t="s">
        <v>12</v>
      </c>
      <c r="C112" s="66">
        <v>181302.04199999999</v>
      </c>
      <c r="D112" s="66">
        <v>210199.31700000001</v>
      </c>
      <c r="E112" s="66">
        <v>198837.79800000001</v>
      </c>
      <c r="F112" s="66">
        <v>284462.62699999998</v>
      </c>
      <c r="G112" s="66">
        <v>357283.98300000001</v>
      </c>
      <c r="H112" s="66">
        <v>170638.984</v>
      </c>
      <c r="I112" s="66">
        <v>110230.753</v>
      </c>
      <c r="J112" s="66">
        <v>97044.861999999994</v>
      </c>
      <c r="K112" s="66">
        <v>97704.797999999995</v>
      </c>
      <c r="L112" s="66">
        <v>35038.659</v>
      </c>
      <c r="M112" s="66">
        <v>0</v>
      </c>
      <c r="N112" s="66">
        <v>168379.24299999999</v>
      </c>
      <c r="O112" s="6">
        <f t="shared" si="251"/>
        <v>170467.76500000001</v>
      </c>
      <c r="P112" s="6"/>
      <c r="Q112" s="66">
        <v>198117.77900000001</v>
      </c>
      <c r="R112" s="66">
        <v>195896.818</v>
      </c>
      <c r="S112" s="66">
        <v>195175.78899999999</v>
      </c>
      <c r="T112" s="68">
        <f>E112</f>
        <v>198837.79800000001</v>
      </c>
      <c r="U112" s="66">
        <v>196963.54</v>
      </c>
      <c r="V112" s="66">
        <v>295026.09999999998</v>
      </c>
      <c r="W112" s="66">
        <v>289456.87599999999</v>
      </c>
      <c r="X112" s="68">
        <f>F112</f>
        <v>284462.62699999998</v>
      </c>
      <c r="Y112" s="66">
        <v>282088.20500000002</v>
      </c>
      <c r="Z112" s="66">
        <v>292883.54399999999</v>
      </c>
      <c r="AA112" s="66">
        <v>295099.16800000001</v>
      </c>
      <c r="AB112" s="68">
        <f>G112</f>
        <v>357283.98300000001</v>
      </c>
      <c r="AC112" s="66">
        <v>352587.37900000002</v>
      </c>
      <c r="AD112" s="66">
        <v>352980.81300000002</v>
      </c>
      <c r="AE112" s="66">
        <v>368020.75099999999</v>
      </c>
      <c r="AF112" s="68">
        <f>H112</f>
        <v>170638.984</v>
      </c>
      <c r="AG112" s="66">
        <v>119792.549</v>
      </c>
      <c r="AH112" s="66">
        <v>119672.394</v>
      </c>
      <c r="AI112" s="66">
        <v>116719.048</v>
      </c>
      <c r="AJ112" s="68">
        <f>I112</f>
        <v>110230.753</v>
      </c>
      <c r="AK112" s="66">
        <v>110882.355</v>
      </c>
      <c r="AL112" s="66">
        <v>88175.346999999994</v>
      </c>
      <c r="AM112" s="66">
        <v>93949.43</v>
      </c>
      <c r="AN112" s="68">
        <f>J112</f>
        <v>97044.861999999994</v>
      </c>
      <c r="AO112" s="66">
        <v>92327.005999999994</v>
      </c>
      <c r="AP112" s="66">
        <v>103648.666</v>
      </c>
      <c r="AQ112" s="66">
        <v>105948.598</v>
      </c>
      <c r="AR112" s="68">
        <f>K112</f>
        <v>97704.797999999995</v>
      </c>
      <c r="AS112" s="66">
        <v>92550.369000000006</v>
      </c>
      <c r="AT112" s="66">
        <v>61606.932999999997</v>
      </c>
      <c r="AU112" s="66">
        <v>65367.786999999997</v>
      </c>
      <c r="AV112" s="68">
        <f>L112</f>
        <v>35038.659</v>
      </c>
      <c r="AW112" s="66">
        <v>39135.815000000002</v>
      </c>
      <c r="AX112" s="66">
        <v>0</v>
      </c>
      <c r="AY112" s="66">
        <v>0</v>
      </c>
      <c r="AZ112" s="68">
        <f>M112</f>
        <v>0</v>
      </c>
      <c r="BA112" s="66">
        <v>0</v>
      </c>
      <c r="BB112" s="66">
        <v>0</v>
      </c>
      <c r="BC112" s="66">
        <v>173046.13200000001</v>
      </c>
      <c r="BD112" s="68">
        <f>N112</f>
        <v>168379.24299999999</v>
      </c>
      <c r="BE112" s="66">
        <v>170467.76500000001</v>
      </c>
    </row>
    <row r="113" spans="2:57">
      <c r="B113" s="178" t="s">
        <v>13</v>
      </c>
      <c r="C113" s="66">
        <v>1249373.9169999999</v>
      </c>
      <c r="D113" s="66">
        <v>1441510.4450000001</v>
      </c>
      <c r="E113" s="66">
        <v>1375601.182</v>
      </c>
      <c r="F113" s="66">
        <v>1282646.0349999999</v>
      </c>
      <c r="G113" s="66">
        <v>1432262.9480000001</v>
      </c>
      <c r="H113" s="66">
        <v>1796470.078</v>
      </c>
      <c r="I113" s="66">
        <v>1740014.993</v>
      </c>
      <c r="J113" s="66">
        <v>1838465.7439999999</v>
      </c>
      <c r="K113" s="66">
        <v>1798566.5049999999</v>
      </c>
      <c r="L113" s="66">
        <v>1729378.7150000001</v>
      </c>
      <c r="M113" s="66">
        <v>1633380.9920000001</v>
      </c>
      <c r="N113" s="66">
        <v>1386290.236</v>
      </c>
      <c r="O113" s="6">
        <f t="shared" si="251"/>
        <v>1403972.4680000001</v>
      </c>
      <c r="P113" s="6"/>
      <c r="Q113" s="66">
        <v>1371363.375</v>
      </c>
      <c r="R113" s="66">
        <v>1358401.8419999999</v>
      </c>
      <c r="S113" s="66">
        <v>1354007.0179999999</v>
      </c>
      <c r="T113" s="68">
        <f>E113</f>
        <v>1375601.182</v>
      </c>
      <c r="U113" s="66">
        <v>1367005.206</v>
      </c>
      <c r="V113" s="66">
        <v>1369290.5349999999</v>
      </c>
      <c r="W113" s="66">
        <v>1322638.986</v>
      </c>
      <c r="X113" s="68">
        <f>F113</f>
        <v>1282646.0349999999</v>
      </c>
      <c r="Y113" s="66">
        <v>1263889.4550000001</v>
      </c>
      <c r="Z113" s="66">
        <v>1350890.42</v>
      </c>
      <c r="AA113" s="66">
        <v>1369110.602</v>
      </c>
      <c r="AB113" s="68">
        <f>G113</f>
        <v>1432262.9480000001</v>
      </c>
      <c r="AC113" s="66">
        <v>1403652.423</v>
      </c>
      <c r="AD113" s="66">
        <v>1407528.1410000001</v>
      </c>
      <c r="AE113" s="66">
        <v>1496643.449</v>
      </c>
      <c r="AF113" s="68">
        <f>H113</f>
        <v>1796470.078</v>
      </c>
      <c r="AG113" s="66">
        <v>1985563.22</v>
      </c>
      <c r="AH113" s="66">
        <v>1931878.3049999999</v>
      </c>
      <c r="AI113" s="66">
        <v>1872657.0049999999</v>
      </c>
      <c r="AJ113" s="68">
        <f>I113</f>
        <v>1740014.993</v>
      </c>
      <c r="AK113" s="66">
        <v>1764360.0190000001</v>
      </c>
      <c r="AL113" s="66">
        <v>1779756.85</v>
      </c>
      <c r="AM113" s="66">
        <v>1889335.906</v>
      </c>
      <c r="AN113" s="68">
        <f>J113</f>
        <v>1838465.7439999999</v>
      </c>
      <c r="AO113" s="66">
        <v>1760325.773</v>
      </c>
      <c r="AP113" s="66">
        <v>2011913.6669999999</v>
      </c>
      <c r="AQ113" s="66">
        <v>2075960.6470000001</v>
      </c>
      <c r="AR113" s="68">
        <f>K113</f>
        <v>1798566.5049999999</v>
      </c>
      <c r="AS113" s="66">
        <v>1711182.281</v>
      </c>
      <c r="AT113" s="66">
        <v>1735876.473</v>
      </c>
      <c r="AU113" s="66">
        <v>1874491.361</v>
      </c>
      <c r="AV113" s="68">
        <f>L113</f>
        <v>1729378.7150000001</v>
      </c>
      <c r="AW113" s="66">
        <v>1871673.8030000001</v>
      </c>
      <c r="AX113" s="66">
        <v>1830526.5889999999</v>
      </c>
      <c r="AY113" s="66">
        <v>1522911.5919999999</v>
      </c>
      <c r="AZ113" s="68">
        <f>M113</f>
        <v>1633380.9920000001</v>
      </c>
      <c r="BA113" s="66">
        <v>1596195.3629999999</v>
      </c>
      <c r="BB113" s="66">
        <v>1659653.932</v>
      </c>
      <c r="BC113" s="66">
        <v>1423842.0290000001</v>
      </c>
      <c r="BD113" s="68">
        <f>N113</f>
        <v>1386290.236</v>
      </c>
      <c r="BE113" s="66">
        <v>1403972.4680000001</v>
      </c>
    </row>
    <row r="114" spans="2:57">
      <c r="B114" s="178" t="s">
        <v>343</v>
      </c>
      <c r="C114" s="66">
        <v>3582.5070000000001</v>
      </c>
      <c r="D114" s="66">
        <v>2425.36</v>
      </c>
      <c r="E114" s="66">
        <v>1136.2940000000001</v>
      </c>
      <c r="F114" s="66">
        <v>0</v>
      </c>
      <c r="G114" s="66">
        <v>0</v>
      </c>
      <c r="H114" s="66">
        <v>0</v>
      </c>
      <c r="I114" s="66">
        <v>0</v>
      </c>
      <c r="J114" s="66">
        <v>0</v>
      </c>
      <c r="K114" s="66">
        <v>0</v>
      </c>
      <c r="L114" s="66">
        <v>0</v>
      </c>
      <c r="M114" s="66">
        <v>0</v>
      </c>
      <c r="N114" s="66">
        <v>0</v>
      </c>
      <c r="O114" s="6">
        <f t="shared" si="251"/>
        <v>0</v>
      </c>
      <c r="P114" s="6"/>
      <c r="Q114" s="66">
        <v>2121.1869999999999</v>
      </c>
      <c r="R114" s="66">
        <v>1808.4490000000001</v>
      </c>
      <c r="S114" s="66">
        <v>1479.1769999999999</v>
      </c>
      <c r="T114" s="68">
        <f>E114</f>
        <v>1136.2940000000001</v>
      </c>
      <c r="U114" s="66">
        <v>799.24599999999998</v>
      </c>
      <c r="V114" s="66">
        <v>486.41699999999997</v>
      </c>
      <c r="W114" s="66">
        <v>182.81100000000001</v>
      </c>
      <c r="X114" s="68">
        <f>F114</f>
        <v>0</v>
      </c>
      <c r="Y114" s="66">
        <v>0</v>
      </c>
      <c r="Z114" s="66">
        <v>0</v>
      </c>
      <c r="AA114" s="66">
        <v>0</v>
      </c>
      <c r="AB114" s="68">
        <f>G114</f>
        <v>0</v>
      </c>
      <c r="AC114" s="66"/>
      <c r="AD114" s="66">
        <v>0</v>
      </c>
      <c r="AE114" s="66">
        <v>0</v>
      </c>
      <c r="AF114" s="68">
        <f>H114</f>
        <v>0</v>
      </c>
      <c r="AG114" s="66">
        <v>0</v>
      </c>
      <c r="AH114" s="66">
        <v>0</v>
      </c>
      <c r="AI114" s="66">
        <v>0</v>
      </c>
      <c r="AJ114" s="68">
        <f>I114</f>
        <v>0</v>
      </c>
      <c r="AK114" s="66">
        <v>0</v>
      </c>
      <c r="AL114" s="66">
        <v>0</v>
      </c>
      <c r="AM114" s="66">
        <v>0</v>
      </c>
      <c r="AN114" s="68">
        <f>J114</f>
        <v>0</v>
      </c>
      <c r="AO114" s="66">
        <v>0</v>
      </c>
      <c r="AP114" s="66">
        <v>0</v>
      </c>
      <c r="AQ114" s="66">
        <v>0</v>
      </c>
      <c r="AR114" s="68">
        <f>K114</f>
        <v>0</v>
      </c>
      <c r="AS114" s="66">
        <v>0</v>
      </c>
      <c r="AT114" s="66">
        <v>0</v>
      </c>
      <c r="AU114" s="66">
        <v>0</v>
      </c>
      <c r="AV114" s="68">
        <f>L114</f>
        <v>0</v>
      </c>
      <c r="AW114" s="66">
        <v>0</v>
      </c>
      <c r="AX114" s="66">
        <v>0</v>
      </c>
      <c r="AY114" s="66">
        <v>0</v>
      </c>
      <c r="AZ114" s="68">
        <f>M114</f>
        <v>0</v>
      </c>
      <c r="BA114" s="66">
        <v>0</v>
      </c>
      <c r="BB114" s="66">
        <v>0</v>
      </c>
      <c r="BC114" s="66">
        <v>0</v>
      </c>
      <c r="BD114" s="68">
        <f>N114</f>
        <v>0</v>
      </c>
      <c r="BE114" s="66">
        <v>0</v>
      </c>
    </row>
    <row r="115" spans="2:57">
      <c r="B115" s="178" t="s">
        <v>16</v>
      </c>
      <c r="C115" s="66"/>
      <c r="D115" s="66"/>
      <c r="E115" s="66"/>
      <c r="F115" s="66"/>
      <c r="G115" s="66"/>
      <c r="H115" s="66">
        <v>432945.77</v>
      </c>
      <c r="I115" s="66">
        <v>428773.70899999997</v>
      </c>
      <c r="J115" s="66">
        <v>486102.565</v>
      </c>
      <c r="K115" s="66">
        <v>500043.08199999999</v>
      </c>
      <c r="L115" s="66">
        <v>471903.07900000003</v>
      </c>
      <c r="M115" s="66">
        <v>538029.076</v>
      </c>
      <c r="N115" s="66">
        <v>543261.77899999998</v>
      </c>
      <c r="O115" s="6">
        <f t="shared" si="251"/>
        <v>522425.65299999999</v>
      </c>
      <c r="P115" s="6"/>
      <c r="Q115" s="66"/>
      <c r="R115" s="66"/>
      <c r="S115" s="66"/>
      <c r="T115" s="68"/>
      <c r="U115" s="66"/>
      <c r="V115" s="66"/>
      <c r="W115" s="66"/>
      <c r="X115" s="68"/>
      <c r="Y115" s="66"/>
      <c r="Z115" s="66"/>
      <c r="AA115" s="66"/>
      <c r="AB115" s="68"/>
      <c r="AC115" s="66">
        <v>300256.31900000002</v>
      </c>
      <c r="AD115" s="66">
        <v>282266.011</v>
      </c>
      <c r="AE115" s="66">
        <v>280680.185</v>
      </c>
      <c r="AF115" s="68">
        <f>H115</f>
        <v>432945.77</v>
      </c>
      <c r="AG115" s="66">
        <v>463234.78700000001</v>
      </c>
      <c r="AH115" s="66">
        <v>451437.49599999998</v>
      </c>
      <c r="AI115" s="66">
        <v>441885.34700000001</v>
      </c>
      <c r="AJ115" s="68">
        <f>I115</f>
        <v>428773.70899999997</v>
      </c>
      <c r="AK115" s="66">
        <v>417200.04300000001</v>
      </c>
      <c r="AL115" s="66">
        <v>403539.48</v>
      </c>
      <c r="AM115" s="66">
        <v>438374.52299999999</v>
      </c>
      <c r="AN115" s="68">
        <f>J115</f>
        <v>486102.565</v>
      </c>
      <c r="AO115" s="66">
        <v>465348.85200000001</v>
      </c>
      <c r="AP115" s="66">
        <v>494228.11099999998</v>
      </c>
      <c r="AQ115" s="66">
        <v>495372.71100000001</v>
      </c>
      <c r="AR115" s="68">
        <f>K115</f>
        <v>500043.08199999999</v>
      </c>
      <c r="AS115" s="66">
        <v>469876.00699999998</v>
      </c>
      <c r="AT115" s="66">
        <v>467032.08</v>
      </c>
      <c r="AU115" s="66">
        <v>474697.80200000003</v>
      </c>
      <c r="AV115" s="68">
        <f>L115</f>
        <v>471903.07900000003</v>
      </c>
      <c r="AW115" s="66">
        <v>487983.37699999998</v>
      </c>
      <c r="AX115" s="66">
        <v>517023.26799999998</v>
      </c>
      <c r="AY115" s="66">
        <v>522847.79100000003</v>
      </c>
      <c r="AZ115" s="68">
        <f>M115</f>
        <v>538029.076</v>
      </c>
      <c r="BA115" s="66">
        <v>530568.321</v>
      </c>
      <c r="BB115" s="66">
        <v>538907.67599999998</v>
      </c>
      <c r="BC115" s="66">
        <v>544554.73</v>
      </c>
      <c r="BD115" s="68">
        <f>N115</f>
        <v>543261.77899999998</v>
      </c>
      <c r="BE115" s="66">
        <v>522425.65299999999</v>
      </c>
    </row>
    <row r="116" spans="2:57">
      <c r="B116" s="5" t="s">
        <v>344</v>
      </c>
      <c r="C116" s="8">
        <f t="shared" ref="C116:AB116" si="258">+C106+C111</f>
        <v>1451504.8179999997</v>
      </c>
      <c r="D116" s="8">
        <f t="shared" si="258"/>
        <v>1673390.9020000002</v>
      </c>
      <c r="E116" s="8">
        <f t="shared" si="258"/>
        <v>1594008.7660000001</v>
      </c>
      <c r="F116" s="8">
        <f t="shared" si="258"/>
        <v>1584677.102</v>
      </c>
      <c r="G116" s="8">
        <f t="shared" si="258"/>
        <v>1807579.706</v>
      </c>
      <c r="H116" s="8">
        <f t="shared" ref="H116:O116" si="259">+H106+H111</f>
        <v>2488982.3470000001</v>
      </c>
      <c r="I116" s="8">
        <f t="shared" si="259"/>
        <v>2373750.1740000001</v>
      </c>
      <c r="J116" s="8">
        <f t="shared" si="259"/>
        <v>2718003.3760000002</v>
      </c>
      <c r="K116" s="8">
        <f t="shared" si="259"/>
        <v>2739871.0999999996</v>
      </c>
      <c r="L116" s="8">
        <f t="shared" si="259"/>
        <v>2655315.8720000004</v>
      </c>
      <c r="M116" s="8">
        <f>+M106+M111</f>
        <v>2692348.8249999997</v>
      </c>
      <c r="N116" s="8">
        <f>+N106+N111</f>
        <v>2270526.3569999998</v>
      </c>
      <c r="O116" s="8">
        <f t="shared" si="259"/>
        <v>2269198.031</v>
      </c>
      <c r="P116" s="8"/>
      <c r="Q116" s="8">
        <f t="shared" si="258"/>
        <v>1593745.382</v>
      </c>
      <c r="R116" s="8">
        <f t="shared" si="258"/>
        <v>1574284.7789999999</v>
      </c>
      <c r="S116" s="8">
        <f t="shared" si="258"/>
        <v>1572108.3839999998</v>
      </c>
      <c r="T116" s="8">
        <f t="shared" si="258"/>
        <v>1594008.7660000001</v>
      </c>
      <c r="U116" s="8">
        <f t="shared" si="258"/>
        <v>1586539.067</v>
      </c>
      <c r="V116" s="8">
        <f t="shared" si="258"/>
        <v>1683791.1719999998</v>
      </c>
      <c r="W116" s="8">
        <f t="shared" si="258"/>
        <v>1634327.432</v>
      </c>
      <c r="X116" s="8">
        <f t="shared" si="258"/>
        <v>1584677.102</v>
      </c>
      <c r="Y116" s="8">
        <f t="shared" si="258"/>
        <v>1566100.1770000001</v>
      </c>
      <c r="Z116" s="8">
        <f t="shared" si="258"/>
        <v>1661096.304</v>
      </c>
      <c r="AA116" s="8">
        <f t="shared" si="258"/>
        <v>1685314.16</v>
      </c>
      <c r="AB116" s="8">
        <f t="shared" si="258"/>
        <v>1807579.706</v>
      </c>
      <c r="AC116" s="8">
        <f t="shared" ref="AC116:AH116" si="260">+AC106+AC111</f>
        <v>2078059.1049999997</v>
      </c>
      <c r="AD116" s="8">
        <f t="shared" si="260"/>
        <v>2158292.7510000002</v>
      </c>
      <c r="AE116" s="8">
        <f t="shared" si="260"/>
        <v>2245778.4129999997</v>
      </c>
      <c r="AF116" s="8">
        <f t="shared" si="260"/>
        <v>2488982.3470000001</v>
      </c>
      <c r="AG116" s="8">
        <f t="shared" si="260"/>
        <v>2676299.0129999998</v>
      </c>
      <c r="AH116" s="8">
        <f t="shared" si="260"/>
        <v>2607691.8079999997</v>
      </c>
      <c r="AI116" s="8">
        <f t="shared" ref="AI116:AN116" si="261">+AI106+AI111</f>
        <v>2535692.1529999999</v>
      </c>
      <c r="AJ116" s="8">
        <f t="shared" si="261"/>
        <v>2373750.1740000001</v>
      </c>
      <c r="AK116" s="8">
        <f t="shared" si="261"/>
        <v>2396893.71</v>
      </c>
      <c r="AL116" s="8">
        <f t="shared" si="261"/>
        <v>2394446.591</v>
      </c>
      <c r="AM116" s="8">
        <f t="shared" si="261"/>
        <v>2572518.1769999997</v>
      </c>
      <c r="AN116" s="8">
        <f t="shared" si="261"/>
        <v>2718003.3760000002</v>
      </c>
      <c r="AO116" s="8">
        <f t="shared" ref="AO116:AT116" si="262">+AO106+AO111</f>
        <v>2631502.736</v>
      </c>
      <c r="AP116" s="8">
        <f t="shared" si="262"/>
        <v>2983565.818</v>
      </c>
      <c r="AQ116" s="8">
        <f t="shared" si="262"/>
        <v>3081583.85</v>
      </c>
      <c r="AR116" s="8">
        <f t="shared" si="262"/>
        <v>2739871.0999999996</v>
      </c>
      <c r="AS116" s="8">
        <f t="shared" si="262"/>
        <v>2595186.6839999994</v>
      </c>
      <c r="AT116" s="8">
        <f t="shared" si="262"/>
        <v>2629433.8050000002</v>
      </c>
      <c r="AU116" s="8">
        <f t="shared" ref="AU116:AZ116" si="263">+AU106+AU111</f>
        <v>2817759.6750000003</v>
      </c>
      <c r="AV116" s="8">
        <f t="shared" si="263"/>
        <v>2655315.8720000004</v>
      </c>
      <c r="AW116" s="8">
        <f t="shared" si="263"/>
        <v>2811505.1090000002</v>
      </c>
      <c r="AX116" s="8">
        <f t="shared" si="263"/>
        <v>2760217.9279999998</v>
      </c>
      <c r="AY116" s="8">
        <f t="shared" si="263"/>
        <v>2692023.5789999999</v>
      </c>
      <c r="AZ116" s="8">
        <f t="shared" si="263"/>
        <v>2692348.8249999997</v>
      </c>
      <c r="BA116" s="8">
        <f>+BA106+BA111</f>
        <v>2626538.5219999999</v>
      </c>
      <c r="BB116" s="8">
        <f>+BB106+BB111</f>
        <v>2649083.8420000002</v>
      </c>
      <c r="BC116" s="8">
        <f>+BC106+BC111</f>
        <v>2329629.2459999998</v>
      </c>
      <c r="BD116" s="8">
        <f>+BD106+BD111</f>
        <v>2270526.3569999998</v>
      </c>
      <c r="BE116" s="8">
        <f>+BE106+BE111</f>
        <v>2269198.031</v>
      </c>
    </row>
    <row r="117" spans="2:57">
      <c r="B117" s="5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O117" s="8"/>
      <c r="AP117" s="8"/>
      <c r="AQ117" s="8"/>
      <c r="AS117" s="8"/>
      <c r="AT117" s="8"/>
      <c r="AU117" s="8"/>
      <c r="AW117" s="8"/>
      <c r="AX117" s="8"/>
      <c r="AY117" s="8"/>
      <c r="BA117" s="8"/>
      <c r="BB117" s="8"/>
      <c r="BC117" s="8"/>
      <c r="BE117" s="8"/>
    </row>
    <row r="118" spans="2:57">
      <c r="B118" s="7" t="s">
        <v>345</v>
      </c>
      <c r="C118" s="4">
        <v>378919.37599999999</v>
      </c>
      <c r="D118" s="4">
        <v>136492.47200000001</v>
      </c>
      <c r="E118" s="4">
        <v>110914.83</v>
      </c>
      <c r="F118" s="4">
        <v>145646.465</v>
      </c>
      <c r="G118" s="4">
        <v>72748.25</v>
      </c>
      <c r="H118" s="4">
        <v>447411.76</v>
      </c>
      <c r="I118" s="4">
        <v>202481.23699999999</v>
      </c>
      <c r="J118" s="4">
        <v>108604.768</v>
      </c>
      <c r="K118" s="4">
        <v>186542.39600000001</v>
      </c>
      <c r="L118" s="4">
        <v>530862.38699999999</v>
      </c>
      <c r="M118" s="4">
        <v>79918.872000000003</v>
      </c>
      <c r="N118" s="4">
        <v>233650.19099999999</v>
      </c>
      <c r="O118" s="6">
        <f>BE118</f>
        <v>215586.375</v>
      </c>
      <c r="P118" s="6"/>
      <c r="Q118" s="4">
        <v>137784.60699999999</v>
      </c>
      <c r="R118" s="4">
        <v>73636.001999999993</v>
      </c>
      <c r="S118" s="4">
        <v>86180.471999999994</v>
      </c>
      <c r="T118" s="68">
        <f>+E118</f>
        <v>110914.83</v>
      </c>
      <c r="U118" s="89">
        <v>78413.667000000001</v>
      </c>
      <c r="V118" s="4">
        <v>108111.629</v>
      </c>
      <c r="W118" s="4">
        <v>137463.20199999999</v>
      </c>
      <c r="X118" s="68">
        <f>+F118</f>
        <v>145646.465</v>
      </c>
      <c r="Y118" s="89">
        <v>49631.281999999999</v>
      </c>
      <c r="Z118" s="4">
        <v>32416.123</v>
      </c>
      <c r="AA118" s="4">
        <v>9116.1180000000004</v>
      </c>
      <c r="AB118" s="68">
        <f>G118</f>
        <v>72748.25</v>
      </c>
      <c r="AC118" s="89">
        <v>34322.866999999998</v>
      </c>
      <c r="AD118" s="89">
        <v>25875.342000000001</v>
      </c>
      <c r="AE118" s="89">
        <v>34301.08</v>
      </c>
      <c r="AF118" s="68">
        <f>H118</f>
        <v>447411.76</v>
      </c>
      <c r="AG118" s="89">
        <v>299895.77899999998</v>
      </c>
      <c r="AH118" s="89">
        <v>340573.74200000003</v>
      </c>
      <c r="AI118" s="89">
        <v>302844.25400000002</v>
      </c>
      <c r="AJ118" s="68">
        <f>I118</f>
        <v>202481.23699999999</v>
      </c>
      <c r="AK118" s="89">
        <v>50590.504999999997</v>
      </c>
      <c r="AL118" s="4">
        <v>106677.79399999999</v>
      </c>
      <c r="AM118" s="89">
        <v>115646.353</v>
      </c>
      <c r="AN118" s="68">
        <f>J118</f>
        <v>108604.768</v>
      </c>
      <c r="AO118" s="89">
        <v>111155.436</v>
      </c>
      <c r="AP118" s="4">
        <v>211823.31899999999</v>
      </c>
      <c r="AQ118" s="89">
        <v>273598.99400000001</v>
      </c>
      <c r="AR118" s="68">
        <f>K118</f>
        <v>186542.39600000001</v>
      </c>
      <c r="AS118" s="89">
        <v>101060.417</v>
      </c>
      <c r="AT118" s="4">
        <v>85735.115000000005</v>
      </c>
      <c r="AU118" s="89">
        <v>206689.54399999999</v>
      </c>
      <c r="AV118" s="68">
        <f>L118</f>
        <v>530862.38699999999</v>
      </c>
      <c r="AW118" s="89">
        <v>284520.86900000001</v>
      </c>
      <c r="AX118" s="4">
        <v>87463.976999999999</v>
      </c>
      <c r="AY118" s="89">
        <v>219167.09700000001</v>
      </c>
      <c r="AZ118" s="68">
        <f>M118</f>
        <v>79918.872000000003</v>
      </c>
      <c r="BA118" s="89">
        <v>180279.97099999999</v>
      </c>
      <c r="BB118" s="4">
        <v>272786.95199999999</v>
      </c>
      <c r="BC118" s="89">
        <v>239893.33300000001</v>
      </c>
      <c r="BD118" s="68">
        <f>N118</f>
        <v>233650.19099999999</v>
      </c>
      <c r="BE118" s="89">
        <v>215586.375</v>
      </c>
    </row>
    <row r="119" spans="2:57">
      <c r="B119" s="7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</row>
    <row r="120" spans="2:57">
      <c r="B120" s="5" t="s">
        <v>9</v>
      </c>
      <c r="C120" s="8">
        <f t="shared" ref="C120:AA120" si="264">C116-C118</f>
        <v>1072585.4419999998</v>
      </c>
      <c r="D120" s="8">
        <f t="shared" si="264"/>
        <v>1536898.4300000002</v>
      </c>
      <c r="E120" s="8">
        <f t="shared" si="264"/>
        <v>1483093.936</v>
      </c>
      <c r="F120" s="8">
        <f t="shared" si="264"/>
        <v>1439030.6369999999</v>
      </c>
      <c r="G120" s="8">
        <f t="shared" ref="G120:O120" si="265">G116-G118</f>
        <v>1734831.456</v>
      </c>
      <c r="H120" s="8">
        <f t="shared" si="265"/>
        <v>2041570.5870000001</v>
      </c>
      <c r="I120" s="8">
        <f t="shared" si="265"/>
        <v>2171268.9369999999</v>
      </c>
      <c r="J120" s="8">
        <f t="shared" si="265"/>
        <v>2609398.608</v>
      </c>
      <c r="K120" s="8">
        <f t="shared" si="265"/>
        <v>2553328.7039999994</v>
      </c>
      <c r="L120" s="8">
        <f t="shared" si="265"/>
        <v>2124453.4850000003</v>
      </c>
      <c r="M120" s="8">
        <f>M116-M118</f>
        <v>2612429.9529999997</v>
      </c>
      <c r="N120" s="8">
        <f>N116-N118</f>
        <v>2036876.1659999997</v>
      </c>
      <c r="O120" s="8">
        <f t="shared" si="265"/>
        <v>2053611.656</v>
      </c>
      <c r="P120" s="8"/>
      <c r="Q120" s="8">
        <f t="shared" si="264"/>
        <v>1455960.7749999999</v>
      </c>
      <c r="R120" s="8">
        <f t="shared" si="264"/>
        <v>1500648.7769999998</v>
      </c>
      <c r="S120" s="8">
        <f t="shared" si="264"/>
        <v>1485927.9119999998</v>
      </c>
      <c r="T120" s="8">
        <f t="shared" si="264"/>
        <v>1483093.936</v>
      </c>
      <c r="U120" s="8">
        <f t="shared" si="264"/>
        <v>1508125.4000000001</v>
      </c>
      <c r="V120" s="8">
        <f t="shared" si="264"/>
        <v>1575679.5429999998</v>
      </c>
      <c r="W120" s="8">
        <f t="shared" si="264"/>
        <v>1496864.23</v>
      </c>
      <c r="X120" s="8">
        <f t="shared" si="264"/>
        <v>1439030.6369999999</v>
      </c>
      <c r="Y120" s="8">
        <f t="shared" si="264"/>
        <v>1516468.8950000003</v>
      </c>
      <c r="Z120" s="8">
        <f t="shared" si="264"/>
        <v>1628680.1810000001</v>
      </c>
      <c r="AA120" s="8">
        <f t="shared" si="264"/>
        <v>1676198.0419999999</v>
      </c>
      <c r="AB120" s="8">
        <f t="shared" ref="AB120:AG120" si="266">AB116-AB118</f>
        <v>1734831.456</v>
      </c>
      <c r="AC120" s="8">
        <f t="shared" si="266"/>
        <v>2043736.2379999997</v>
      </c>
      <c r="AD120" s="8">
        <f t="shared" si="266"/>
        <v>2132417.409</v>
      </c>
      <c r="AE120" s="8">
        <f t="shared" si="266"/>
        <v>2211477.3329999996</v>
      </c>
      <c r="AF120" s="8">
        <f t="shared" si="266"/>
        <v>2041570.5870000001</v>
      </c>
      <c r="AG120" s="8">
        <f t="shared" si="266"/>
        <v>2376403.2339999997</v>
      </c>
      <c r="AH120" s="8">
        <f t="shared" ref="AH120:AM120" si="267">AH116-AH118</f>
        <v>2267118.0659999996</v>
      </c>
      <c r="AI120" s="8">
        <f t="shared" si="267"/>
        <v>2232847.8989999997</v>
      </c>
      <c r="AJ120" s="8">
        <f t="shared" si="267"/>
        <v>2171268.9369999999</v>
      </c>
      <c r="AK120" s="8">
        <f t="shared" si="267"/>
        <v>2346303.2050000001</v>
      </c>
      <c r="AL120" s="8">
        <f t="shared" si="267"/>
        <v>2287768.7970000003</v>
      </c>
      <c r="AM120" s="8">
        <f t="shared" si="267"/>
        <v>2456871.8239999996</v>
      </c>
      <c r="AN120" s="8">
        <f t="shared" ref="AN120:AS120" si="268">AN116-AN118</f>
        <v>2609398.608</v>
      </c>
      <c r="AO120" s="8">
        <f t="shared" si="268"/>
        <v>2520347.2999999998</v>
      </c>
      <c r="AP120" s="8">
        <f t="shared" si="268"/>
        <v>2771742.4989999998</v>
      </c>
      <c r="AQ120" s="8">
        <f t="shared" si="268"/>
        <v>2807984.8560000001</v>
      </c>
      <c r="AR120" s="8">
        <f t="shared" si="268"/>
        <v>2553328.7039999994</v>
      </c>
      <c r="AS120" s="8">
        <f t="shared" si="268"/>
        <v>2494126.2669999995</v>
      </c>
      <c r="AT120" s="8">
        <f t="shared" ref="AT120:AY120" si="269">AT116-AT118</f>
        <v>2543698.69</v>
      </c>
      <c r="AU120" s="8">
        <f t="shared" si="269"/>
        <v>2611070.1310000001</v>
      </c>
      <c r="AV120" s="8">
        <f t="shared" si="269"/>
        <v>2124453.4850000003</v>
      </c>
      <c r="AW120" s="8">
        <f t="shared" si="269"/>
        <v>2526984.2400000002</v>
      </c>
      <c r="AX120" s="8">
        <f t="shared" si="269"/>
        <v>2672753.9509999999</v>
      </c>
      <c r="AY120" s="8">
        <f t="shared" si="269"/>
        <v>2472856.4819999998</v>
      </c>
      <c r="AZ120" s="8">
        <f t="shared" ref="AZ120:BE120" si="270">AZ116-AZ118</f>
        <v>2612429.9529999997</v>
      </c>
      <c r="BA120" s="8">
        <f t="shared" si="270"/>
        <v>2446258.551</v>
      </c>
      <c r="BB120" s="8">
        <f t="shared" si="270"/>
        <v>2376296.89</v>
      </c>
      <c r="BC120" s="8">
        <f t="shared" si="270"/>
        <v>2089735.9129999997</v>
      </c>
      <c r="BD120" s="8">
        <f t="shared" si="270"/>
        <v>2036876.1659999997</v>
      </c>
      <c r="BE120" s="8">
        <f t="shared" si="270"/>
        <v>2053611.656</v>
      </c>
    </row>
    <row r="121" spans="2:57">
      <c r="B121" s="1" t="s">
        <v>346</v>
      </c>
      <c r="C121" s="6">
        <f t="shared" ref="C121:AA121" si="271">C116</f>
        <v>1451504.8179999997</v>
      </c>
      <c r="D121" s="6">
        <f t="shared" si="271"/>
        <v>1673390.9020000002</v>
      </c>
      <c r="E121" s="6">
        <f t="shared" si="271"/>
        <v>1594008.7660000001</v>
      </c>
      <c r="F121" s="6">
        <f t="shared" si="271"/>
        <v>1584677.102</v>
      </c>
      <c r="G121" s="6">
        <f t="shared" ref="G121:L121" si="272">G116</f>
        <v>1807579.706</v>
      </c>
      <c r="H121" s="6">
        <f t="shared" si="272"/>
        <v>2488982.3470000001</v>
      </c>
      <c r="I121" s="6">
        <f t="shared" si="272"/>
        <v>2373750.1740000001</v>
      </c>
      <c r="J121" s="6">
        <f t="shared" si="272"/>
        <v>2718003.3760000002</v>
      </c>
      <c r="K121" s="6">
        <f t="shared" si="272"/>
        <v>2739871.0999999996</v>
      </c>
      <c r="L121" s="6">
        <f t="shared" si="272"/>
        <v>2655315.8720000004</v>
      </c>
      <c r="M121" s="6">
        <f>M116</f>
        <v>2692348.8249999997</v>
      </c>
      <c r="N121" s="6">
        <f>N116</f>
        <v>2270526.3569999998</v>
      </c>
      <c r="O121" s="6">
        <f>O116</f>
        <v>2269198.031</v>
      </c>
      <c r="P121" s="6"/>
      <c r="Q121" s="6">
        <f t="shared" si="271"/>
        <v>1593745.382</v>
      </c>
      <c r="R121" s="6">
        <f t="shared" si="271"/>
        <v>1574284.7789999999</v>
      </c>
      <c r="S121" s="6">
        <f t="shared" si="271"/>
        <v>1572108.3839999998</v>
      </c>
      <c r="T121" s="6">
        <f t="shared" si="271"/>
        <v>1594008.7660000001</v>
      </c>
      <c r="U121" s="6">
        <f t="shared" si="271"/>
        <v>1586539.067</v>
      </c>
      <c r="V121" s="6">
        <f t="shared" si="271"/>
        <v>1683791.1719999998</v>
      </c>
      <c r="W121" s="6">
        <f t="shared" si="271"/>
        <v>1634327.432</v>
      </c>
      <c r="X121" s="6">
        <f t="shared" si="271"/>
        <v>1584677.102</v>
      </c>
      <c r="Y121" s="6">
        <f t="shared" si="271"/>
        <v>1566100.1770000001</v>
      </c>
      <c r="Z121" s="6">
        <f t="shared" si="271"/>
        <v>1661096.304</v>
      </c>
      <c r="AA121" s="6">
        <f t="shared" si="271"/>
        <v>1685314.16</v>
      </c>
      <c r="AB121" s="6">
        <f t="shared" ref="AB121:AG121" si="273">AB116</f>
        <v>1807579.706</v>
      </c>
      <c r="AC121" s="6">
        <f t="shared" si="273"/>
        <v>2078059.1049999997</v>
      </c>
      <c r="AD121" s="6">
        <f t="shared" si="273"/>
        <v>2158292.7510000002</v>
      </c>
      <c r="AE121" s="6">
        <f t="shared" si="273"/>
        <v>2245778.4129999997</v>
      </c>
      <c r="AF121" s="6">
        <f t="shared" si="273"/>
        <v>2488982.3470000001</v>
      </c>
      <c r="AG121" s="6">
        <f t="shared" si="273"/>
        <v>2676299.0129999998</v>
      </c>
      <c r="AH121" s="6">
        <f t="shared" ref="AH121:AM121" si="274">AH116</f>
        <v>2607691.8079999997</v>
      </c>
      <c r="AI121" s="6">
        <f t="shared" si="274"/>
        <v>2535692.1529999999</v>
      </c>
      <c r="AJ121" s="6">
        <f t="shared" si="274"/>
        <v>2373750.1740000001</v>
      </c>
      <c r="AK121" s="6">
        <f t="shared" si="274"/>
        <v>2396893.71</v>
      </c>
      <c r="AL121" s="6">
        <f t="shared" si="274"/>
        <v>2394446.591</v>
      </c>
      <c r="AM121" s="6">
        <f t="shared" si="274"/>
        <v>2572518.1769999997</v>
      </c>
      <c r="AN121" s="6">
        <f t="shared" ref="AN121:AS121" si="275">AN116</f>
        <v>2718003.3760000002</v>
      </c>
      <c r="AO121" s="6">
        <f t="shared" si="275"/>
        <v>2631502.736</v>
      </c>
      <c r="AP121" s="6">
        <f t="shared" si="275"/>
        <v>2983565.818</v>
      </c>
      <c r="AQ121" s="6">
        <f t="shared" si="275"/>
        <v>3081583.85</v>
      </c>
      <c r="AR121" s="6">
        <f t="shared" si="275"/>
        <v>2739871.0999999996</v>
      </c>
      <c r="AS121" s="6">
        <f t="shared" si="275"/>
        <v>2595186.6839999994</v>
      </c>
      <c r="AT121" s="6">
        <f t="shared" ref="AT121:AY121" si="276">AT116</f>
        <v>2629433.8050000002</v>
      </c>
      <c r="AU121" s="6">
        <f t="shared" si="276"/>
        <v>2817759.6750000003</v>
      </c>
      <c r="AV121" s="6">
        <f t="shared" si="276"/>
        <v>2655315.8720000004</v>
      </c>
      <c r="AW121" s="6">
        <f t="shared" si="276"/>
        <v>2811505.1090000002</v>
      </c>
      <c r="AX121" s="6">
        <f t="shared" si="276"/>
        <v>2760217.9279999998</v>
      </c>
      <c r="AY121" s="6">
        <f t="shared" si="276"/>
        <v>2692023.5789999999</v>
      </c>
      <c r="AZ121" s="6">
        <f t="shared" ref="AZ121:BE121" si="277">AZ116</f>
        <v>2692348.8249999997</v>
      </c>
      <c r="BA121" s="6">
        <f t="shared" si="277"/>
        <v>2626538.5219999999</v>
      </c>
      <c r="BB121" s="6">
        <f t="shared" si="277"/>
        <v>2649083.8420000002</v>
      </c>
      <c r="BC121" s="6">
        <f t="shared" si="277"/>
        <v>2329629.2459999998</v>
      </c>
      <c r="BD121" s="6">
        <f t="shared" si="277"/>
        <v>2270526.3569999998</v>
      </c>
      <c r="BE121" s="6">
        <f t="shared" si="277"/>
        <v>2269198.031</v>
      </c>
    </row>
    <row r="122" spans="2:57"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</row>
    <row r="123" spans="2:57" s="5" customFormat="1">
      <c r="B123" s="5" t="s">
        <v>347</v>
      </c>
      <c r="C123" s="69">
        <v>954238</v>
      </c>
      <c r="D123" s="69">
        <v>1267873</v>
      </c>
      <c r="E123" s="69">
        <v>1374110</v>
      </c>
      <c r="F123" s="69">
        <v>1443171</v>
      </c>
      <c r="G123" s="69">
        <v>1638100</v>
      </c>
      <c r="H123" s="69">
        <v>1211900</v>
      </c>
      <c r="I123" s="69">
        <v>1156900</v>
      </c>
      <c r="J123" s="69">
        <v>1299800</v>
      </c>
      <c r="K123" s="69">
        <v>1911200</v>
      </c>
      <c r="L123" s="69">
        <v>1147700</v>
      </c>
      <c r="M123" s="69">
        <v>1322700</v>
      </c>
      <c r="N123" s="69">
        <v>1369000</v>
      </c>
      <c r="O123" s="8">
        <f>BE123</f>
        <v>1335700</v>
      </c>
      <c r="P123" s="8"/>
      <c r="Q123" s="69">
        <v>1265595</v>
      </c>
      <c r="R123" s="69">
        <v>1309107</v>
      </c>
      <c r="S123" s="69">
        <v>1294791</v>
      </c>
      <c r="T123" s="8">
        <f>E123</f>
        <v>1374110</v>
      </c>
      <c r="U123" s="69">
        <v>1426818</v>
      </c>
      <c r="V123" s="69">
        <v>1474722</v>
      </c>
      <c r="W123" s="69">
        <v>1451096</v>
      </c>
      <c r="X123" s="8">
        <f>F123</f>
        <v>1443171</v>
      </c>
      <c r="Y123" s="69">
        <v>1577139</v>
      </c>
      <c r="Z123" s="69">
        <v>1612175</v>
      </c>
      <c r="AA123" s="69">
        <v>1661894</v>
      </c>
      <c r="AB123" s="8">
        <f>G123</f>
        <v>1638100</v>
      </c>
      <c r="AC123" s="69">
        <v>1672290</v>
      </c>
      <c r="AD123" s="69">
        <v>1729800</v>
      </c>
      <c r="AE123" s="69">
        <v>1738400</v>
      </c>
      <c r="AF123" s="8">
        <f>H123</f>
        <v>1211900</v>
      </c>
      <c r="AG123" s="69">
        <v>1238000</v>
      </c>
      <c r="AH123" s="69">
        <v>1303800</v>
      </c>
      <c r="AI123" s="69">
        <v>1185400</v>
      </c>
      <c r="AJ123" s="8">
        <f>I123</f>
        <v>1156900</v>
      </c>
      <c r="AK123" s="69">
        <v>1282300</v>
      </c>
      <c r="AL123" s="69">
        <v>1670000</v>
      </c>
      <c r="AM123" s="69">
        <v>1614900</v>
      </c>
      <c r="AN123" s="8">
        <f>J123</f>
        <v>1299800</v>
      </c>
      <c r="AO123" s="69">
        <v>1282300</v>
      </c>
      <c r="AP123" s="69">
        <v>1426100</v>
      </c>
      <c r="AQ123" s="69">
        <v>1528400</v>
      </c>
      <c r="AR123" s="8">
        <f>K123</f>
        <v>1911200</v>
      </c>
      <c r="AS123" s="69">
        <v>2227500</v>
      </c>
      <c r="AT123" s="69">
        <v>2329100</v>
      </c>
      <c r="AU123" s="69">
        <v>1592000</v>
      </c>
      <c r="AV123" s="8">
        <f>L123</f>
        <v>1147700</v>
      </c>
      <c r="AW123" s="69">
        <v>1208000</v>
      </c>
      <c r="AX123" s="69">
        <v>1337800</v>
      </c>
      <c r="AY123" s="69">
        <v>1352900</v>
      </c>
      <c r="AZ123" s="8">
        <f>M123</f>
        <v>1322700</v>
      </c>
      <c r="BA123" s="69">
        <v>1363400</v>
      </c>
      <c r="BB123" s="69">
        <v>1423000</v>
      </c>
      <c r="BC123" s="69">
        <v>1358000</v>
      </c>
      <c r="BD123" s="70">
        <f>N123</f>
        <v>1369000</v>
      </c>
      <c r="BE123" s="69">
        <f>1335.7*1000</f>
        <v>1335700</v>
      </c>
    </row>
    <row r="124" spans="2:57"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  <c r="AA124" s="24"/>
      <c r="AB124" s="24"/>
      <c r="AC124" s="24"/>
      <c r="AD124" s="24"/>
      <c r="AE124" s="24"/>
      <c r="AF124" s="24"/>
      <c r="AG124" s="24"/>
      <c r="AH124" s="24"/>
      <c r="AI124" s="24"/>
      <c r="AJ124" s="24"/>
      <c r="AK124" s="24"/>
      <c r="AL124" s="24"/>
      <c r="AM124" s="24"/>
      <c r="AN124" s="24"/>
      <c r="AO124" s="24"/>
      <c r="AP124" s="24"/>
      <c r="AQ124" s="24"/>
      <c r="AR124" s="24"/>
      <c r="AS124" s="24"/>
      <c r="AT124" s="24"/>
      <c r="AU124" s="24"/>
      <c r="AV124" s="24"/>
      <c r="AW124" s="24"/>
      <c r="AX124" s="24"/>
      <c r="AY124" s="24"/>
      <c r="AZ124" s="24"/>
      <c r="BA124" s="24"/>
      <c r="BB124" s="24"/>
      <c r="BC124" s="24"/>
      <c r="BD124" s="24"/>
      <c r="BE124" s="24"/>
    </row>
    <row r="125" spans="2:57" outlineLevel="1">
      <c r="B125" s="1" t="s">
        <v>348</v>
      </c>
      <c r="C125" s="71">
        <v>956344.86199999996</v>
      </c>
      <c r="D125" s="71">
        <v>955346.88</v>
      </c>
      <c r="E125" s="71">
        <v>1261872.7409999999</v>
      </c>
      <c r="F125" s="65">
        <v>1238351.17</v>
      </c>
      <c r="G125" s="65">
        <v>1366421.9620000001</v>
      </c>
      <c r="H125" s="65">
        <v>1608674</v>
      </c>
      <c r="I125" s="65">
        <v>1508490.4269999999</v>
      </c>
      <c r="J125" s="65">
        <v>1503045.3670000001</v>
      </c>
      <c r="K125" s="65">
        <v>1554515.7760000001</v>
      </c>
      <c r="L125" s="65">
        <v>1675452.96</v>
      </c>
      <c r="M125" s="65">
        <v>1836019.6370000001</v>
      </c>
      <c r="N125" s="65">
        <v>1943296.8810000001</v>
      </c>
      <c r="O125" s="6">
        <f>BE125</f>
        <v>1969186.767</v>
      </c>
      <c r="P125" s="6"/>
      <c r="Q125" s="67">
        <v>971940.85900000005</v>
      </c>
      <c r="R125" s="67">
        <v>998870.97699999996</v>
      </c>
      <c r="S125" s="67">
        <v>1301558.6240000001</v>
      </c>
      <c r="T125" s="65">
        <f>E125</f>
        <v>1261872.7409999999</v>
      </c>
      <c r="U125" s="67">
        <v>1286277.679</v>
      </c>
      <c r="V125" s="67">
        <v>1297709.845</v>
      </c>
      <c r="W125" s="65">
        <v>1268018.226</v>
      </c>
      <c r="X125" s="65">
        <f>F125</f>
        <v>1238351.17</v>
      </c>
      <c r="Y125" s="67">
        <v>1298893.6440000001</v>
      </c>
      <c r="Z125" s="67">
        <v>1326136.4480000001</v>
      </c>
      <c r="AA125" s="67">
        <v>1317907.608</v>
      </c>
      <c r="AB125" s="65">
        <f>G125</f>
        <v>1366421.9620000001</v>
      </c>
      <c r="AC125" s="67">
        <v>1375941.398</v>
      </c>
      <c r="AD125" s="67">
        <v>1387616.12</v>
      </c>
      <c r="AE125" s="67">
        <v>1413058.483</v>
      </c>
      <c r="AF125" s="6">
        <f>H125</f>
        <v>1608674</v>
      </c>
      <c r="AG125" s="67">
        <v>1756674.0460000001</v>
      </c>
      <c r="AH125" s="67">
        <v>1685352.888</v>
      </c>
      <c r="AI125" s="67">
        <v>1619600.2479999999</v>
      </c>
      <c r="AJ125" s="6">
        <f>I125</f>
        <v>1508490.4269999999</v>
      </c>
      <c r="AK125" s="67">
        <v>1499330.567</v>
      </c>
      <c r="AL125" s="65">
        <v>1528900.5149999999</v>
      </c>
      <c r="AM125" s="67">
        <v>1624197.0279999999</v>
      </c>
      <c r="AN125" s="6">
        <f>J125</f>
        <v>1503045.3670000001</v>
      </c>
      <c r="AO125" s="67">
        <v>1548008.23</v>
      </c>
      <c r="AP125" s="65">
        <v>1678314.706</v>
      </c>
      <c r="AQ125" s="67">
        <v>1666264.8810000001</v>
      </c>
      <c r="AR125" s="6">
        <f>K125</f>
        <v>1554515.7760000001</v>
      </c>
      <c r="AS125" s="67">
        <v>1495361.7649999999</v>
      </c>
      <c r="AT125" s="65">
        <v>1529804.2830000001</v>
      </c>
      <c r="AU125" s="65">
        <v>1611812.977</v>
      </c>
      <c r="AV125" s="6">
        <f>L125</f>
        <v>1675452.96</v>
      </c>
      <c r="AW125" s="67">
        <v>1807589.6270000001</v>
      </c>
      <c r="AX125" s="65">
        <v>1703658.8289999999</v>
      </c>
      <c r="AY125" s="65">
        <v>1735812.2139999999</v>
      </c>
      <c r="AZ125" s="6">
        <f>M125</f>
        <v>1836019.6370000001</v>
      </c>
      <c r="BA125" s="67">
        <v>1836843.7930000001</v>
      </c>
      <c r="BB125" s="65">
        <v>1849131.602</v>
      </c>
      <c r="BC125" s="65">
        <v>1960812.6880000001</v>
      </c>
      <c r="BD125" s="68">
        <f>N125</f>
        <v>1943296.8810000001</v>
      </c>
      <c r="BE125" s="65">
        <v>1969186.767</v>
      </c>
    </row>
    <row r="126" spans="2:57" s="5" customFormat="1" outlineLevel="1">
      <c r="B126" s="5" t="s">
        <v>349</v>
      </c>
      <c r="C126" s="70">
        <f t="shared" ref="C126:AB126" si="278">C121+C125</f>
        <v>2407849.6799999997</v>
      </c>
      <c r="D126" s="70">
        <f t="shared" si="278"/>
        <v>2628737.7820000001</v>
      </c>
      <c r="E126" s="70">
        <f t="shared" si="278"/>
        <v>2855881.5070000002</v>
      </c>
      <c r="F126" s="70">
        <f t="shared" si="278"/>
        <v>2823028.2719999999</v>
      </c>
      <c r="G126" s="70">
        <f t="shared" si="278"/>
        <v>3174001.6680000001</v>
      </c>
      <c r="H126" s="70">
        <f t="shared" ref="H126:O126" si="279">H121+H125</f>
        <v>4097656.3470000001</v>
      </c>
      <c r="I126" s="70">
        <f t="shared" si="279"/>
        <v>3882240.6009999998</v>
      </c>
      <c r="J126" s="70">
        <f t="shared" si="279"/>
        <v>4221048.7430000007</v>
      </c>
      <c r="K126" s="70">
        <f t="shared" si="279"/>
        <v>4294386.8760000002</v>
      </c>
      <c r="L126" s="70">
        <f t="shared" si="279"/>
        <v>4330768.8320000004</v>
      </c>
      <c r="M126" s="70">
        <f>M121+M125</f>
        <v>4528368.4619999994</v>
      </c>
      <c r="N126" s="70">
        <f>N121+N125</f>
        <v>4213823.2379999999</v>
      </c>
      <c r="O126" s="253">
        <f t="shared" si="279"/>
        <v>4238384.7980000004</v>
      </c>
      <c r="P126" s="70"/>
      <c r="Q126" s="70">
        <f t="shared" si="278"/>
        <v>2565686.2409999999</v>
      </c>
      <c r="R126" s="70">
        <f t="shared" si="278"/>
        <v>2573155.7560000001</v>
      </c>
      <c r="S126" s="70">
        <f t="shared" si="278"/>
        <v>2873667.0079999999</v>
      </c>
      <c r="T126" s="70">
        <f t="shared" si="278"/>
        <v>2855881.5070000002</v>
      </c>
      <c r="U126" s="70">
        <f t="shared" si="278"/>
        <v>2872816.7460000003</v>
      </c>
      <c r="V126" s="70">
        <f t="shared" si="278"/>
        <v>2981501.017</v>
      </c>
      <c r="W126" s="70">
        <f t="shared" si="278"/>
        <v>2902345.6579999998</v>
      </c>
      <c r="X126" s="70">
        <f t="shared" si="278"/>
        <v>2823028.2719999999</v>
      </c>
      <c r="Y126" s="70">
        <f t="shared" si="278"/>
        <v>2864993.8210000005</v>
      </c>
      <c r="Z126" s="70">
        <f t="shared" si="278"/>
        <v>2987232.7520000003</v>
      </c>
      <c r="AA126" s="70">
        <f t="shared" si="278"/>
        <v>3003221.7680000002</v>
      </c>
      <c r="AB126" s="70">
        <f t="shared" si="278"/>
        <v>3174001.6680000001</v>
      </c>
      <c r="AC126" s="70">
        <f t="shared" ref="AC126:AH126" si="280">AC121+AC125</f>
        <v>3454000.5029999996</v>
      </c>
      <c r="AD126" s="70">
        <f t="shared" si="280"/>
        <v>3545908.8710000003</v>
      </c>
      <c r="AE126" s="70">
        <f t="shared" si="280"/>
        <v>3658836.8959999997</v>
      </c>
      <c r="AF126" s="70">
        <f t="shared" si="280"/>
        <v>4097656.3470000001</v>
      </c>
      <c r="AG126" s="70">
        <f t="shared" si="280"/>
        <v>4432973.0590000004</v>
      </c>
      <c r="AH126" s="70">
        <f t="shared" si="280"/>
        <v>4293044.6959999995</v>
      </c>
      <c r="AI126" s="70">
        <f t="shared" ref="AI126:AN126" si="281">AI121+AI125</f>
        <v>4155292.4009999996</v>
      </c>
      <c r="AJ126" s="70">
        <f t="shared" si="281"/>
        <v>3882240.6009999998</v>
      </c>
      <c r="AK126" s="70">
        <f t="shared" si="281"/>
        <v>3896224.2769999998</v>
      </c>
      <c r="AL126" s="70">
        <f t="shared" si="281"/>
        <v>3923347.1059999997</v>
      </c>
      <c r="AM126" s="70">
        <f t="shared" si="281"/>
        <v>4196715.2050000001</v>
      </c>
      <c r="AN126" s="70">
        <f t="shared" si="281"/>
        <v>4221048.7430000007</v>
      </c>
      <c r="AO126" s="70">
        <f t="shared" ref="AO126:AU126" si="282">AO121+AO125</f>
        <v>4179510.966</v>
      </c>
      <c r="AP126" s="70">
        <f t="shared" si="282"/>
        <v>4661880.5240000002</v>
      </c>
      <c r="AQ126" s="70">
        <f t="shared" si="282"/>
        <v>4747848.7310000006</v>
      </c>
      <c r="AR126" s="70">
        <f t="shared" si="282"/>
        <v>4294386.8760000002</v>
      </c>
      <c r="AS126" s="70">
        <f t="shared" si="282"/>
        <v>4090548.4489999991</v>
      </c>
      <c r="AT126" s="70">
        <f t="shared" si="282"/>
        <v>4159238.0880000005</v>
      </c>
      <c r="AU126" s="70">
        <f t="shared" si="282"/>
        <v>4429572.6520000007</v>
      </c>
      <c r="AV126" s="70">
        <f t="shared" ref="AV126:BB126" si="283">AV121+AV125</f>
        <v>4330768.8320000004</v>
      </c>
      <c r="AW126" s="70">
        <f t="shared" si="283"/>
        <v>4619094.7360000005</v>
      </c>
      <c r="AX126" s="70">
        <f t="shared" si="283"/>
        <v>4463876.7569999993</v>
      </c>
      <c r="AY126" s="70">
        <f t="shared" si="283"/>
        <v>4427835.7929999996</v>
      </c>
      <c r="AZ126" s="70">
        <f t="shared" si="283"/>
        <v>4528368.4619999994</v>
      </c>
      <c r="BA126" s="70">
        <f t="shared" si="283"/>
        <v>4463382.3149999995</v>
      </c>
      <c r="BB126" s="70">
        <f t="shared" si="283"/>
        <v>4498215.4440000001</v>
      </c>
      <c r="BC126" s="70">
        <f>BC121+BC125</f>
        <v>4290441.9340000004</v>
      </c>
      <c r="BD126" s="70">
        <f>BD121+BD125</f>
        <v>4213823.2379999999</v>
      </c>
      <c r="BE126" s="70">
        <f>BE121+BE125</f>
        <v>4238384.7980000004</v>
      </c>
    </row>
    <row r="128" spans="2:57">
      <c r="B128" s="16" t="s">
        <v>350</v>
      </c>
      <c r="C128" s="34">
        <f>+C91</f>
        <v>41974</v>
      </c>
      <c r="D128" s="34">
        <f>+D91</f>
        <v>42340</v>
      </c>
      <c r="E128" s="34">
        <f>+E91</f>
        <v>42707</v>
      </c>
      <c r="F128" s="75">
        <f>+F91</f>
        <v>43073</v>
      </c>
      <c r="G128" s="75">
        <f t="shared" ref="G128:L128" si="284">G3</f>
        <v>43438</v>
      </c>
      <c r="H128" s="75">
        <f t="shared" si="284"/>
        <v>43803</v>
      </c>
      <c r="I128" s="75">
        <f t="shared" si="284"/>
        <v>44169</v>
      </c>
      <c r="J128" s="75">
        <f t="shared" si="284"/>
        <v>44534</v>
      </c>
      <c r="K128" s="75">
        <f t="shared" si="284"/>
        <v>44926</v>
      </c>
      <c r="L128" s="75">
        <f t="shared" si="284"/>
        <v>45291</v>
      </c>
      <c r="M128" s="75">
        <f>M3</f>
        <v>45657</v>
      </c>
      <c r="N128" s="75">
        <f>N3</f>
        <v>46022</v>
      </c>
      <c r="O128" s="34">
        <f>+O91</f>
        <v>46112</v>
      </c>
      <c r="P128" s="323"/>
      <c r="Q128" s="34">
        <f t="shared" ref="Q128:Y128" si="285">+Q91</f>
        <v>42437</v>
      </c>
      <c r="R128" s="34">
        <f t="shared" si="285"/>
        <v>42527</v>
      </c>
      <c r="S128" s="34">
        <f t="shared" si="285"/>
        <v>42622</v>
      </c>
      <c r="T128" s="34">
        <f t="shared" si="285"/>
        <v>42714</v>
      </c>
      <c r="U128" s="34">
        <f t="shared" si="285"/>
        <v>42801</v>
      </c>
      <c r="V128" s="34">
        <f t="shared" si="285"/>
        <v>42892</v>
      </c>
      <c r="W128" s="34">
        <f t="shared" si="285"/>
        <v>42987</v>
      </c>
      <c r="X128" s="34">
        <f t="shared" si="285"/>
        <v>43079</v>
      </c>
      <c r="Y128" s="34">
        <f t="shared" si="285"/>
        <v>43190</v>
      </c>
      <c r="Z128" s="34">
        <f>Z3</f>
        <v>43281</v>
      </c>
      <c r="AA128" s="34">
        <f>AA3</f>
        <v>43373</v>
      </c>
      <c r="AB128" s="34">
        <f>AB3</f>
        <v>43465</v>
      </c>
      <c r="AC128" s="34">
        <f t="shared" ref="AC128:AS128" si="286">+AC91</f>
        <v>43555</v>
      </c>
      <c r="AD128" s="34">
        <f t="shared" si="286"/>
        <v>43646</v>
      </c>
      <c r="AE128" s="34">
        <f t="shared" si="286"/>
        <v>43738</v>
      </c>
      <c r="AF128" s="34">
        <f t="shared" si="286"/>
        <v>43830</v>
      </c>
      <c r="AG128" s="34">
        <f t="shared" si="286"/>
        <v>43921</v>
      </c>
      <c r="AH128" s="34">
        <f t="shared" si="286"/>
        <v>44012</v>
      </c>
      <c r="AI128" s="34">
        <f t="shared" si="286"/>
        <v>44104</v>
      </c>
      <c r="AJ128" s="34">
        <f t="shared" si="286"/>
        <v>44196</v>
      </c>
      <c r="AK128" s="34">
        <f t="shared" si="286"/>
        <v>44286</v>
      </c>
      <c r="AL128" s="34">
        <f t="shared" si="286"/>
        <v>44377</v>
      </c>
      <c r="AM128" s="34">
        <f t="shared" si="286"/>
        <v>44469</v>
      </c>
      <c r="AN128" s="34">
        <f t="shared" si="286"/>
        <v>44560</v>
      </c>
      <c r="AO128" s="34">
        <f t="shared" si="286"/>
        <v>44651</v>
      </c>
      <c r="AP128" s="34">
        <f t="shared" si="286"/>
        <v>44742</v>
      </c>
      <c r="AQ128" s="34">
        <f t="shared" si="286"/>
        <v>44834</v>
      </c>
      <c r="AR128" s="34">
        <f t="shared" si="286"/>
        <v>44926</v>
      </c>
      <c r="AS128" s="34">
        <f t="shared" si="286"/>
        <v>45016</v>
      </c>
      <c r="AT128" s="34">
        <f t="shared" ref="AT128:AY128" si="287">+AT91</f>
        <v>45107</v>
      </c>
      <c r="AU128" s="34">
        <f t="shared" si="287"/>
        <v>45199</v>
      </c>
      <c r="AV128" s="34">
        <f t="shared" si="287"/>
        <v>45291</v>
      </c>
      <c r="AW128" s="34">
        <f t="shared" si="287"/>
        <v>45382</v>
      </c>
      <c r="AX128" s="34">
        <f t="shared" si="287"/>
        <v>45473</v>
      </c>
      <c r="AY128" s="34">
        <f t="shared" si="287"/>
        <v>45565</v>
      </c>
      <c r="AZ128" s="34">
        <f t="shared" ref="AZ128:BE128" si="288">+AZ91</f>
        <v>45657</v>
      </c>
      <c r="BA128" s="34">
        <f t="shared" si="288"/>
        <v>45747</v>
      </c>
      <c r="BB128" s="34">
        <f t="shared" si="288"/>
        <v>45838</v>
      </c>
      <c r="BC128" s="34">
        <f t="shared" si="288"/>
        <v>45930</v>
      </c>
      <c r="BD128" s="34">
        <f t="shared" si="288"/>
        <v>46022</v>
      </c>
      <c r="BE128" s="34">
        <f t="shared" si="288"/>
        <v>46112</v>
      </c>
    </row>
    <row r="129" spans="2:57">
      <c r="B129" s="5"/>
    </row>
    <row r="130" spans="2:57" s="5" customFormat="1">
      <c r="B130" s="5" t="s">
        <v>351</v>
      </c>
      <c r="C130" s="27">
        <f t="shared" ref="C130:K130" si="289">+C120/C84</f>
        <v>2.5213552461338407</v>
      </c>
      <c r="D130" s="27">
        <f t="shared" si="289"/>
        <v>4.3100443573257525</v>
      </c>
      <c r="E130" s="27">
        <f t="shared" si="289"/>
        <v>3.4914340912646007</v>
      </c>
      <c r="F130" s="27">
        <f t="shared" si="289"/>
        <v>3.2922025882983621</v>
      </c>
      <c r="G130" s="27">
        <f t="shared" si="289"/>
        <v>4.0635889450273002</v>
      </c>
      <c r="H130" s="27">
        <f t="shared" si="289"/>
        <v>2.6499759050688527</v>
      </c>
      <c r="I130" s="27">
        <f t="shared" si="289"/>
        <v>3.173293983963966</v>
      </c>
      <c r="J130" s="27">
        <f t="shared" si="289"/>
        <v>3.378071047078226</v>
      </c>
      <c r="K130" s="27">
        <f t="shared" si="289"/>
        <v>1.991655859963978</v>
      </c>
      <c r="L130" s="27">
        <f>+L120/L84</f>
        <v>2.7859413511347659</v>
      </c>
      <c r="M130" s="27">
        <f>+M120/M84</f>
        <v>3.3126898503528284</v>
      </c>
      <c r="N130" s="27">
        <f>+N120/N84</f>
        <v>2.4379913317998687</v>
      </c>
      <c r="O130" s="27">
        <f>+O120/O84</f>
        <v>2.4008044922061118</v>
      </c>
      <c r="P130" s="27"/>
      <c r="Q130" s="27"/>
      <c r="R130" s="27"/>
      <c r="S130" s="27"/>
      <c r="T130" s="27">
        <f t="shared" ref="T130:AR130" si="290">+T120/T84</f>
        <v>3.4914340912646007</v>
      </c>
      <c r="U130" s="27">
        <f t="shared" si="290"/>
        <v>3.5425061420375079</v>
      </c>
      <c r="V130" s="27">
        <f t="shared" si="290"/>
        <v>3.7007091192795909</v>
      </c>
      <c r="W130" s="27">
        <f t="shared" si="290"/>
        <v>3.4654790335082581</v>
      </c>
      <c r="X130" s="27">
        <f t="shared" si="290"/>
        <v>3.2922025882983621</v>
      </c>
      <c r="Y130" s="27">
        <f t="shared" si="290"/>
        <v>3.5558655129681327</v>
      </c>
      <c r="Z130" s="27">
        <f t="shared" si="290"/>
        <v>3.8587760915000366</v>
      </c>
      <c r="AA130" s="27">
        <f t="shared" si="290"/>
        <v>4.0184771675539999</v>
      </c>
      <c r="AB130" s="27">
        <f t="shared" si="290"/>
        <v>4.0635889450273002</v>
      </c>
      <c r="AC130" s="27">
        <f t="shared" si="290"/>
        <v>4.391505161329138</v>
      </c>
      <c r="AD130" s="27">
        <f t="shared" si="290"/>
        <v>4.1909648711805714</v>
      </c>
      <c r="AE130" s="27">
        <f t="shared" si="290"/>
        <v>4.0274435951790375</v>
      </c>
      <c r="AF130" s="27">
        <f t="shared" si="290"/>
        <v>2.6499759050688527</v>
      </c>
      <c r="AG130" s="27">
        <f t="shared" si="290"/>
        <v>2.9509429792264523</v>
      </c>
      <c r="AH130" s="27">
        <f t="shared" si="290"/>
        <v>2.7272846176887735</v>
      </c>
      <c r="AI130" s="27">
        <f t="shared" si="290"/>
        <v>2.6314027982214134</v>
      </c>
      <c r="AJ130" s="27">
        <f t="shared" si="290"/>
        <v>3.173293983963966</v>
      </c>
      <c r="AK130" s="27">
        <f t="shared" si="290"/>
        <v>3.4047230181217172</v>
      </c>
      <c r="AL130" s="27">
        <f t="shared" si="290"/>
        <v>3.1347290473393556</v>
      </c>
      <c r="AM130" s="27">
        <f t="shared" si="290"/>
        <v>3.194505968186113</v>
      </c>
      <c r="AN130" s="27">
        <f t="shared" si="290"/>
        <v>3.378071047078226</v>
      </c>
      <c r="AO130" s="27">
        <f t="shared" si="290"/>
        <v>3.212916278153898</v>
      </c>
      <c r="AP130" s="27">
        <f t="shared" si="290"/>
        <v>2.1877555851836474</v>
      </c>
      <c r="AQ130" s="27">
        <f t="shared" si="290"/>
        <v>2.1663670385391014</v>
      </c>
      <c r="AR130" s="27">
        <f t="shared" si="290"/>
        <v>1.991655859963978</v>
      </c>
      <c r="AS130" s="27">
        <f t="shared" ref="AS130:AX130" si="291">+AS120/AS84</f>
        <v>2.0367713068239812</v>
      </c>
      <c r="AT130" s="27">
        <f t="shared" si="291"/>
        <v>3.4798138544187514</v>
      </c>
      <c r="AU130" s="27">
        <f t="shared" si="291"/>
        <v>3.7953807357985929</v>
      </c>
      <c r="AV130" s="27">
        <f t="shared" si="291"/>
        <v>2.7859413511347659</v>
      </c>
      <c r="AW130" s="27">
        <f t="shared" si="291"/>
        <v>3.0884330432419467</v>
      </c>
      <c r="AX130" s="27">
        <f t="shared" si="291"/>
        <v>3.2400427644523573</v>
      </c>
      <c r="AY130" s="27">
        <f t="shared" ref="AY130:BD130" si="292">+AY120/AY84</f>
        <v>2.9812518276221742</v>
      </c>
      <c r="AZ130" s="27">
        <f t="shared" si="292"/>
        <v>3.3126898503528284</v>
      </c>
      <c r="BA130" s="27">
        <f t="shared" si="292"/>
        <v>3.0793466710749962</v>
      </c>
      <c r="BB130" s="27">
        <f t="shared" si="292"/>
        <v>2.981103453845396</v>
      </c>
      <c r="BC130" s="27">
        <f t="shared" si="292"/>
        <v>2.5608350681680752</v>
      </c>
      <c r="BD130" s="27">
        <f t="shared" si="292"/>
        <v>2.4379913317998687</v>
      </c>
      <c r="BE130" s="27">
        <f>+BE120/BE84</f>
        <v>2.4008044922061123</v>
      </c>
    </row>
    <row r="131" spans="2:57">
      <c r="B131" s="1" t="s">
        <v>352</v>
      </c>
      <c r="C131" s="28">
        <f t="shared" ref="C131:K131" si="293">+C121/C84</f>
        <v>3.4120911438334121</v>
      </c>
      <c r="D131" s="28">
        <f t="shared" si="293"/>
        <v>4.6928208617958909</v>
      </c>
      <c r="E131" s="28">
        <f t="shared" si="293"/>
        <v>3.7525448741279308</v>
      </c>
      <c r="F131" s="28">
        <f t="shared" si="293"/>
        <v>3.6254113864439894</v>
      </c>
      <c r="G131" s="28">
        <f t="shared" si="293"/>
        <v>4.2339910803169669</v>
      </c>
      <c r="H131" s="28">
        <f t="shared" si="293"/>
        <v>3.2307201571628652</v>
      </c>
      <c r="I131" s="28">
        <f t="shared" si="293"/>
        <v>3.4692188600990508</v>
      </c>
      <c r="J131" s="28">
        <f t="shared" si="293"/>
        <v>3.5186684327097923</v>
      </c>
      <c r="K131" s="28">
        <f t="shared" si="293"/>
        <v>2.1371632736953523</v>
      </c>
      <c r="L131" s="28">
        <f>+L121/L84</f>
        <v>3.4820975560824148</v>
      </c>
      <c r="M131" s="28">
        <f>+M121/M84</f>
        <v>3.4140309162910838</v>
      </c>
      <c r="N131" s="28">
        <f>+N121/N84</f>
        <v>2.7176534682811613</v>
      </c>
      <c r="O131" s="28">
        <f>+O121/O84</f>
        <v>2.6528388707831061</v>
      </c>
      <c r="P131" s="28"/>
      <c r="Q131" s="28"/>
      <c r="R131" s="28"/>
      <c r="S131" s="28"/>
      <c r="T131" s="28">
        <f t="shared" ref="T131:AS131" si="294">+T121/T84</f>
        <v>3.7525448741279308</v>
      </c>
      <c r="U131" s="28">
        <f t="shared" si="294"/>
        <v>3.7266956643193971</v>
      </c>
      <c r="V131" s="28">
        <f t="shared" si="294"/>
        <v>3.9546247667333394</v>
      </c>
      <c r="W131" s="28">
        <f t="shared" si="294"/>
        <v>3.783728233978437</v>
      </c>
      <c r="X131" s="28">
        <f t="shared" si="294"/>
        <v>3.6254113864439894</v>
      </c>
      <c r="Y131" s="28">
        <f t="shared" si="294"/>
        <v>3.6722425547987174</v>
      </c>
      <c r="Z131" s="28">
        <f t="shared" si="294"/>
        <v>3.9355784998984258</v>
      </c>
      <c r="AA131" s="28">
        <f t="shared" si="294"/>
        <v>4.0403319312047312</v>
      </c>
      <c r="AB131" s="28">
        <f t="shared" si="294"/>
        <v>4.2339910803169669</v>
      </c>
      <c r="AC131" s="28">
        <f t="shared" si="294"/>
        <v>4.4652568738933862</v>
      </c>
      <c r="AD131" s="28">
        <f t="shared" si="294"/>
        <v>4.2418191968365591</v>
      </c>
      <c r="AE131" s="28">
        <f t="shared" si="294"/>
        <v>4.0899111877210421</v>
      </c>
      <c r="AF131" s="28">
        <f t="shared" si="294"/>
        <v>3.2307201571628652</v>
      </c>
      <c r="AG131" s="28">
        <f t="shared" si="294"/>
        <v>3.3233441487241446</v>
      </c>
      <c r="AH131" s="28">
        <f t="shared" si="294"/>
        <v>3.1369860539197107</v>
      </c>
      <c r="AI131" s="28">
        <f t="shared" si="294"/>
        <v>2.9883036053734711</v>
      </c>
      <c r="AJ131" s="28">
        <f t="shared" si="294"/>
        <v>3.4692188600990508</v>
      </c>
      <c r="AK131" s="28">
        <f t="shared" si="294"/>
        <v>3.4781349524807728</v>
      </c>
      <c r="AL131" s="28">
        <f t="shared" si="294"/>
        <v>3.28090027757748</v>
      </c>
      <c r="AM131" s="28">
        <f t="shared" si="294"/>
        <v>3.3448731795516573</v>
      </c>
      <c r="AN131" s="28">
        <f t="shared" si="294"/>
        <v>3.5186684327097923</v>
      </c>
      <c r="AO131" s="28">
        <f t="shared" si="294"/>
        <v>3.3546162374133597</v>
      </c>
      <c r="AP131" s="28">
        <f t="shared" si="294"/>
        <v>2.3549492005290777</v>
      </c>
      <c r="AQ131" s="28">
        <f t="shared" si="294"/>
        <v>2.3774493173884919</v>
      </c>
      <c r="AR131" s="28">
        <f t="shared" si="294"/>
        <v>2.1371632736953523</v>
      </c>
      <c r="AS131" s="28">
        <f t="shared" si="294"/>
        <v>2.1192999904454615</v>
      </c>
      <c r="AT131" s="28">
        <f t="shared" ref="AT131:AY131" si="295">+AT121/AT84</f>
        <v>3.597100639272655</v>
      </c>
      <c r="AU131" s="28">
        <f t="shared" si="295"/>
        <v>4.0958190519797668</v>
      </c>
      <c r="AV131" s="28">
        <f t="shared" si="295"/>
        <v>3.4820975560824148</v>
      </c>
      <c r="AW131" s="28">
        <f t="shared" si="295"/>
        <v>3.4361691467767725</v>
      </c>
      <c r="AX131" s="28">
        <f t="shared" si="295"/>
        <v>3.3460708654390001</v>
      </c>
      <c r="AY131" s="28">
        <f t="shared" si="295"/>
        <v>3.2454775573569812</v>
      </c>
      <c r="AZ131" s="28">
        <f t="shared" ref="AZ131:BE131" si="296">+AZ121/AZ84</f>
        <v>3.4140309162910838</v>
      </c>
      <c r="BA131" s="28">
        <f t="shared" si="296"/>
        <v>3.3062828337849481</v>
      </c>
      <c r="BB131" s="28">
        <f t="shared" si="296"/>
        <v>3.3233191627466345</v>
      </c>
      <c r="BC131" s="28">
        <f t="shared" si="296"/>
        <v>2.8548087018432513</v>
      </c>
      <c r="BD131" s="28">
        <f t="shared" si="296"/>
        <v>2.7176534682811613</v>
      </c>
      <c r="BE131" s="28">
        <f t="shared" si="296"/>
        <v>2.6528388707831061</v>
      </c>
    </row>
    <row r="132" spans="2:57"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  <c r="AA132" s="28"/>
      <c r="AB132" s="28"/>
      <c r="AC132" s="28"/>
      <c r="AD132" s="28"/>
      <c r="AE132" s="28"/>
      <c r="AF132" s="28"/>
      <c r="AG132" s="28"/>
      <c r="AH132" s="28"/>
      <c r="AI132" s="28"/>
      <c r="AJ132" s="28"/>
      <c r="AK132" s="28"/>
      <c r="AL132" s="28"/>
      <c r="AM132" s="28"/>
      <c r="AN132" s="28"/>
      <c r="AO132" s="28"/>
      <c r="AP132" s="28"/>
      <c r="AQ132" s="28"/>
      <c r="AR132" s="28"/>
      <c r="AS132" s="28"/>
      <c r="AT132" s="28"/>
      <c r="AU132" s="28"/>
      <c r="AV132" s="28"/>
      <c r="AW132" s="28"/>
      <c r="AX132" s="28"/>
      <c r="AY132" s="28"/>
      <c r="AZ132" s="28"/>
      <c r="BA132" s="28"/>
      <c r="BB132" s="28"/>
      <c r="BC132" s="28"/>
      <c r="BD132" s="28"/>
      <c r="BE132" s="28"/>
    </row>
    <row r="133" spans="2:57">
      <c r="B133" s="5" t="s">
        <v>353</v>
      </c>
      <c r="C133" s="27">
        <f t="shared" ref="C133:K133" si="297">C123/C84</f>
        <v>2.2431527532892472</v>
      </c>
      <c r="D133" s="27">
        <f t="shared" si="297"/>
        <v>3.5555953228839416</v>
      </c>
      <c r="E133" s="27">
        <f t="shared" si="297"/>
        <v>3.2348689335802128</v>
      </c>
      <c r="F133" s="27">
        <f t="shared" si="297"/>
        <v>3.3016748770979332</v>
      </c>
      <c r="G133" s="27">
        <f t="shared" si="297"/>
        <v>3.8370096575244599</v>
      </c>
      <c r="H133" s="27">
        <f t="shared" si="297"/>
        <v>1.5730564594742287</v>
      </c>
      <c r="I133" s="27">
        <f t="shared" si="297"/>
        <v>1.6908010553129891</v>
      </c>
      <c r="J133" s="27">
        <f t="shared" si="297"/>
        <v>1.6826929904579293</v>
      </c>
      <c r="K133" s="27">
        <f t="shared" si="297"/>
        <v>1.4907805147061692</v>
      </c>
      <c r="L133" s="27">
        <f>L123/L84</f>
        <v>1.5050576118861789</v>
      </c>
      <c r="M133" s="27">
        <f>M123/M84</f>
        <v>1.6772487469108752</v>
      </c>
      <c r="N133" s="27">
        <f>N123/N84</f>
        <v>1.6385925609745786</v>
      </c>
      <c r="O133" s="27">
        <f>O123/O84</f>
        <v>1.5615194581071776</v>
      </c>
      <c r="P133" s="27"/>
      <c r="Q133" s="27"/>
      <c r="R133" s="27"/>
      <c r="S133" s="27"/>
      <c r="T133" s="27">
        <f t="shared" ref="T133:AS133" si="298">T123/T84</f>
        <v>3.2348689335802128</v>
      </c>
      <c r="U133" s="27">
        <f t="shared" si="298"/>
        <v>3.351519395250337</v>
      </c>
      <c r="V133" s="27">
        <f t="shared" si="298"/>
        <v>3.4635958676035417</v>
      </c>
      <c r="W133" s="27">
        <f t="shared" si="298"/>
        <v>3.3595182935246566</v>
      </c>
      <c r="X133" s="27">
        <f t="shared" si="298"/>
        <v>3.3016748770979332</v>
      </c>
      <c r="Y133" s="27">
        <f t="shared" si="298"/>
        <v>3.6981267454595876</v>
      </c>
      <c r="Z133" s="27">
        <f t="shared" si="298"/>
        <v>3.8196709322602556</v>
      </c>
      <c r="AA133" s="27">
        <f t="shared" si="298"/>
        <v>3.9841849987645959</v>
      </c>
      <c r="AB133" s="27">
        <f t="shared" si="298"/>
        <v>3.8370096575244599</v>
      </c>
      <c r="AC133" s="27">
        <f t="shared" si="298"/>
        <v>3.5933551647671602</v>
      </c>
      <c r="AD133" s="27">
        <f t="shared" si="298"/>
        <v>3.3996772881196038</v>
      </c>
      <c r="AE133" s="27">
        <f t="shared" si="298"/>
        <v>3.1658963179882789</v>
      </c>
      <c r="AF133" s="27">
        <f t="shared" si="298"/>
        <v>1.5730564594742287</v>
      </c>
      <c r="AG133" s="27">
        <f t="shared" si="298"/>
        <v>1.5373095592590615</v>
      </c>
      <c r="AH133" s="27">
        <f t="shared" si="298"/>
        <v>1.5684378056306412</v>
      </c>
      <c r="AI133" s="27">
        <f t="shared" si="298"/>
        <v>1.3969894135684984</v>
      </c>
      <c r="AJ133" s="27">
        <f t="shared" si="298"/>
        <v>1.6908010553129891</v>
      </c>
      <c r="AK133" s="27">
        <f t="shared" si="298"/>
        <v>1.8607468620567638</v>
      </c>
      <c r="AL133" s="27">
        <f t="shared" si="298"/>
        <v>2.2882546155544596</v>
      </c>
      <c r="AM133" s="27">
        <f t="shared" si="298"/>
        <v>2.0997463675678323</v>
      </c>
      <c r="AN133" s="27">
        <f t="shared" si="298"/>
        <v>1.6826929904579293</v>
      </c>
      <c r="AO133" s="27">
        <f t="shared" si="298"/>
        <v>1.6346646128796392</v>
      </c>
      <c r="AP133" s="27">
        <f t="shared" si="298"/>
        <v>1.1256306244739656</v>
      </c>
      <c r="AQ133" s="27">
        <f t="shared" si="298"/>
        <v>1.1791642588912747</v>
      </c>
      <c r="AR133" s="27">
        <f t="shared" si="298"/>
        <v>1.4907805147061692</v>
      </c>
      <c r="AS133" s="27">
        <f t="shared" si="298"/>
        <v>1.8190370495586539</v>
      </c>
      <c r="AT133" s="27">
        <f t="shared" ref="AT133:AY133" si="299">AT123/AT84</f>
        <v>3.1862399741719072</v>
      </c>
      <c r="AU133" s="27">
        <f t="shared" si="299"/>
        <v>2.3140880283737428</v>
      </c>
      <c r="AV133" s="27">
        <f t="shared" si="299"/>
        <v>1.5050576118861789</v>
      </c>
      <c r="AW133" s="27">
        <f t="shared" si="299"/>
        <v>1.4763950867522115</v>
      </c>
      <c r="AX133" s="27">
        <f t="shared" si="299"/>
        <v>1.6217464419658296</v>
      </c>
      <c r="AY133" s="27">
        <f t="shared" si="299"/>
        <v>1.6310431385520416</v>
      </c>
      <c r="AZ133" s="27">
        <f t="shared" ref="AZ133:BE133" si="300">AZ123/AZ84</f>
        <v>1.6772487469108752</v>
      </c>
      <c r="BA133" s="27">
        <f t="shared" si="300"/>
        <v>1.7162459175165292</v>
      </c>
      <c r="BB133" s="27">
        <f t="shared" si="300"/>
        <v>1.7851768576030072</v>
      </c>
      <c r="BC133" s="27">
        <f t="shared" si="300"/>
        <v>1.664140430825934</v>
      </c>
      <c r="BD133" s="27">
        <f t="shared" si="300"/>
        <v>1.6385925609745784</v>
      </c>
      <c r="BE133" s="27">
        <f t="shared" si="300"/>
        <v>1.5615194581071778</v>
      </c>
    </row>
    <row r="134" spans="2:57">
      <c r="B134" s="5" t="s">
        <v>354</v>
      </c>
      <c r="C134" s="27">
        <f t="shared" ref="C134:K134" si="301">C123/C85</f>
        <v>2.2431527532892472</v>
      </c>
      <c r="D134" s="27">
        <f t="shared" si="301"/>
        <v>3.5555953228839416</v>
      </c>
      <c r="E134" s="27">
        <f t="shared" si="301"/>
        <v>3.2348689335802128</v>
      </c>
      <c r="F134" s="27">
        <f t="shared" si="301"/>
        <v>3.3016748770979332</v>
      </c>
      <c r="G134" s="27">
        <f t="shared" si="301"/>
        <v>3.8370096575244599</v>
      </c>
      <c r="H134" s="27">
        <f t="shared" si="301"/>
        <v>1.763584504787683</v>
      </c>
      <c r="I134" s="27">
        <f t="shared" si="301"/>
        <v>1.6908010553129891</v>
      </c>
      <c r="J134" s="27">
        <f t="shared" si="301"/>
        <v>1.6826929904579293</v>
      </c>
      <c r="K134" s="27">
        <f t="shared" si="301"/>
        <v>1.4907805147061692</v>
      </c>
      <c r="L134" s="27">
        <f>L123/L85</f>
        <v>1.5050576118861789</v>
      </c>
      <c r="M134" s="27">
        <f>M123/M85</f>
        <v>1.6772487469108752</v>
      </c>
      <c r="N134" s="27">
        <f>N123/N85</f>
        <v>1.6385925609745786</v>
      </c>
      <c r="O134" s="27">
        <f>O123/O85</f>
        <v>1.5615194581071776</v>
      </c>
      <c r="P134" s="27"/>
      <c r="Q134" s="197"/>
      <c r="R134" s="197"/>
      <c r="S134" s="197"/>
      <c r="T134" s="197">
        <f t="shared" ref="T134:AF134" si="302">T123/T85</f>
        <v>3.2348689335802128</v>
      </c>
      <c r="U134" s="197">
        <f t="shared" si="302"/>
        <v>3.351519395250337</v>
      </c>
      <c r="V134" s="197">
        <f t="shared" si="302"/>
        <v>3.4635958676035417</v>
      </c>
      <c r="W134" s="197">
        <f t="shared" si="302"/>
        <v>3.3595182935246566</v>
      </c>
      <c r="X134" s="197">
        <f t="shared" si="302"/>
        <v>3.3016748770979332</v>
      </c>
      <c r="Y134" s="197">
        <f t="shared" si="302"/>
        <v>3.6981267454595876</v>
      </c>
      <c r="Z134" s="197">
        <f t="shared" si="302"/>
        <v>3.8196709322602556</v>
      </c>
      <c r="AA134" s="197">
        <f t="shared" si="302"/>
        <v>3.9841849987645959</v>
      </c>
      <c r="AB134" s="197">
        <f t="shared" si="302"/>
        <v>3.8370096575244599</v>
      </c>
      <c r="AC134" s="197">
        <f t="shared" si="302"/>
        <v>3.7523055175353961</v>
      </c>
      <c r="AD134" s="197">
        <f t="shared" si="302"/>
        <v>3.6933207219248483</v>
      </c>
      <c r="AE134" s="197">
        <f t="shared" si="302"/>
        <v>3.5621271948248339</v>
      </c>
      <c r="AF134" s="197">
        <f t="shared" si="302"/>
        <v>1.763584504787683</v>
      </c>
      <c r="AG134" s="233"/>
      <c r="AH134" s="233"/>
      <c r="AI134" s="233"/>
      <c r="AJ134" s="233"/>
      <c r="AK134" s="233"/>
      <c r="AL134" s="233"/>
      <c r="AM134" s="233"/>
      <c r="AN134" s="233"/>
      <c r="AO134" s="233"/>
      <c r="AP134" s="233"/>
      <c r="AQ134" s="233"/>
      <c r="AR134" s="233"/>
      <c r="AS134" s="233"/>
      <c r="AT134" s="233"/>
      <c r="AU134" s="233"/>
      <c r="AV134" s="233"/>
      <c r="AW134" s="318"/>
      <c r="AX134" s="318"/>
      <c r="AY134" s="318"/>
      <c r="AZ134" s="318"/>
      <c r="BA134" s="318"/>
      <c r="BB134" s="318"/>
      <c r="BC134" s="318"/>
      <c r="BD134" s="318"/>
      <c r="BE134" s="318"/>
    </row>
    <row r="135" spans="2:57">
      <c r="B135" s="5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  <c r="AA135" s="27"/>
      <c r="AB135" s="27"/>
      <c r="AC135" s="27"/>
      <c r="AD135" s="27"/>
      <c r="AE135" s="27"/>
      <c r="AF135" s="27"/>
      <c r="AG135" s="27"/>
      <c r="AH135" s="27"/>
      <c r="AI135" s="27"/>
      <c r="AJ135" s="27"/>
      <c r="AK135" s="27"/>
      <c r="AL135" s="27"/>
      <c r="AM135" s="27"/>
      <c r="AN135" s="27"/>
      <c r="AO135" s="27"/>
      <c r="AP135" s="27"/>
      <c r="AQ135" s="27"/>
      <c r="AR135" s="27"/>
      <c r="AS135" s="27"/>
      <c r="AT135" s="27"/>
      <c r="AU135" s="27"/>
      <c r="AV135" s="27"/>
      <c r="AW135" s="27"/>
      <c r="AX135" s="27"/>
      <c r="AY135" s="27"/>
      <c r="AZ135" s="27"/>
      <c r="BA135" s="27"/>
      <c r="BB135" s="27"/>
      <c r="BC135" s="27"/>
      <c r="BD135" s="27"/>
      <c r="BE135" s="27"/>
    </row>
    <row r="136" spans="2:57" s="5" customFormat="1">
      <c r="B136" s="5" t="s">
        <v>355</v>
      </c>
      <c r="C136" s="27">
        <f t="shared" ref="C136:K136" si="303">+(C84-C88)/C86</f>
        <v>-3.2952962115872553</v>
      </c>
      <c r="D136" s="27">
        <f t="shared" si="303"/>
        <v>-2.6408668308109964</v>
      </c>
      <c r="E136" s="27">
        <f t="shared" si="303"/>
        <v>-0.43448602715218049</v>
      </c>
      <c r="F136" s="27">
        <f t="shared" si="303"/>
        <v>-0.84931755350164051</v>
      </c>
      <c r="G136" s="27">
        <f t="shared" si="303"/>
        <v>-1.0496587773201036</v>
      </c>
      <c r="H136" s="27">
        <f t="shared" si="303"/>
        <v>9.013657774730099</v>
      </c>
      <c r="I136" s="27">
        <f t="shared" si="303"/>
        <v>4.1585900097626576</v>
      </c>
      <c r="J136" s="27">
        <f t="shared" si="303"/>
        <v>3.4509063904651431</v>
      </c>
      <c r="K136" s="27">
        <f t="shared" si="303"/>
        <v>12.002734286853526</v>
      </c>
      <c r="L136" s="27">
        <f>+(L84-L88)/L86</f>
        <v>15.161635875449525</v>
      </c>
      <c r="M136" s="27">
        <f>+(M84-M88)/M86</f>
        <v>2.0893147259256271</v>
      </c>
      <c r="N136" s="27">
        <f>+(N84-N88)/N86</f>
        <v>2.7267310502595858</v>
      </c>
      <c r="O136" s="27">
        <f>+(O84-O88)/O86</f>
        <v>3.4274054253317123</v>
      </c>
      <c r="P136" s="27"/>
      <c r="Q136" s="27"/>
      <c r="R136" s="27"/>
      <c r="S136" s="27"/>
      <c r="T136" s="27">
        <f t="shared" ref="T136:AS136" si="304">+(T84-T88)/T86</f>
        <v>-0.43448602715218049</v>
      </c>
      <c r="U136" s="27">
        <f t="shared" si="304"/>
        <v>-0.58103686144677036</v>
      </c>
      <c r="V136" s="27">
        <f t="shared" si="304"/>
        <v>-0.59942972715452936</v>
      </c>
      <c r="W136" s="27">
        <f t="shared" si="304"/>
        <v>-0.84942525467487262</v>
      </c>
      <c r="X136" s="27">
        <f t="shared" si="304"/>
        <v>-0.84931755350164051</v>
      </c>
      <c r="Y136" s="27">
        <f t="shared" si="304"/>
        <v>-1.2913988085288886</v>
      </c>
      <c r="Z136" s="27">
        <f t="shared" si="304"/>
        <v>-1.4933428959221065</v>
      </c>
      <c r="AA136" s="27">
        <f t="shared" si="304"/>
        <v>-1.374305624802225</v>
      </c>
      <c r="AB136" s="27">
        <f t="shared" si="304"/>
        <v>-1.0496587773201036</v>
      </c>
      <c r="AC136" s="27">
        <f t="shared" si="304"/>
        <v>-0.65065943146244987</v>
      </c>
      <c r="AD136" s="27">
        <f t="shared" si="304"/>
        <v>-0.15995487826111709</v>
      </c>
      <c r="AE136" s="27">
        <f t="shared" si="304"/>
        <v>0.72436437060648273</v>
      </c>
      <c r="AF136" s="27">
        <f t="shared" si="304"/>
        <v>9.013657774730099</v>
      </c>
      <c r="AG136" s="27">
        <f t="shared" si="304"/>
        <v>10.355046958896487</v>
      </c>
      <c r="AH136" s="27">
        <f t="shared" si="304"/>
        <v>11.164391628708501</v>
      </c>
      <c r="AI136" s="27">
        <f t="shared" si="304"/>
        <v>10.27460927974596</v>
      </c>
      <c r="AJ136" s="27">
        <f t="shared" si="304"/>
        <v>4.1585900097626567</v>
      </c>
      <c r="AK136" s="27">
        <f t="shared" si="304"/>
        <v>3.7660267506787721</v>
      </c>
      <c r="AL136" s="27">
        <f t="shared" si="304"/>
        <v>3.9339502518435072</v>
      </c>
      <c r="AM136" s="27">
        <f t="shared" si="304"/>
        <v>2.812137334390246</v>
      </c>
      <c r="AN136" s="27">
        <f t="shared" si="304"/>
        <v>3.4509063904651431</v>
      </c>
      <c r="AO136" s="27">
        <f t="shared" si="304"/>
        <v>3.0476719494742501</v>
      </c>
      <c r="AP136" s="27">
        <f t="shared" si="304"/>
        <v>9.8979836126687832</v>
      </c>
      <c r="AQ136" s="27">
        <f t="shared" si="304"/>
        <v>14.897862872364515</v>
      </c>
      <c r="AR136" s="27">
        <f t="shared" si="304"/>
        <v>12.002734286853526</v>
      </c>
      <c r="AS136" s="27">
        <f t="shared" si="304"/>
        <v>10.782227494639073</v>
      </c>
      <c r="AT136" s="27">
        <f t="shared" ref="AT136:AY136" si="305">+(AT84-AT88)/AT86</f>
        <v>1.3993150364662292</v>
      </c>
      <c r="AU136" s="27">
        <f t="shared" si="305"/>
        <v>0.76109676884039312</v>
      </c>
      <c r="AV136" s="27">
        <f t="shared" si="305"/>
        <v>15.161635875449528</v>
      </c>
      <c r="AW136" s="27">
        <f t="shared" si="305"/>
        <v>16.068010807489788</v>
      </c>
      <c r="AX136" s="27">
        <f t="shared" si="305"/>
        <v>16.096592149521811</v>
      </c>
      <c r="AY136" s="27">
        <f t="shared" si="305"/>
        <v>15.640480604047458</v>
      </c>
      <c r="AZ136" s="27">
        <f t="shared" ref="AZ136:BE136" si="306">+(AZ84-AZ88)/AZ86</f>
        <v>2.0893147259256271</v>
      </c>
      <c r="BA136" s="27">
        <f t="shared" si="306"/>
        <v>1.9126456291290299</v>
      </c>
      <c r="BB136" s="27">
        <f t="shared" si="306"/>
        <v>2.4355752377602355</v>
      </c>
      <c r="BC136" s="27">
        <f t="shared" si="306"/>
        <v>2.8340748115263095</v>
      </c>
      <c r="BD136" s="27">
        <f t="shared" si="306"/>
        <v>2.7267310502595867</v>
      </c>
      <c r="BE136" s="27">
        <f t="shared" si="306"/>
        <v>3.4274054253317106</v>
      </c>
    </row>
    <row r="137" spans="2:57">
      <c r="B137" s="1" t="s">
        <v>356</v>
      </c>
      <c r="C137" s="28">
        <f t="shared" ref="C137:K137" si="307">+C84/C86</f>
        <v>11.127336457459833</v>
      </c>
      <c r="D137" s="28">
        <f t="shared" si="307"/>
        <v>5.6523731023189567</v>
      </c>
      <c r="E137" s="28">
        <f t="shared" si="307"/>
        <v>6.2757359912142796</v>
      </c>
      <c r="F137" s="28">
        <f t="shared" si="307"/>
        <v>6.1846100939401252</v>
      </c>
      <c r="G137" s="28">
        <f t="shared" si="307"/>
        <v>5.5355684986487335</v>
      </c>
      <c r="H137" s="28">
        <f t="shared" si="307"/>
        <v>8.8661884663053687</v>
      </c>
      <c r="I137" s="28">
        <f t="shared" si="307"/>
        <v>7.2491231533661162</v>
      </c>
      <c r="J137" s="28">
        <f t="shared" si="307"/>
        <v>5.2062487581318289</v>
      </c>
      <c r="K137" s="28">
        <f t="shared" si="307"/>
        <v>11.883528291668734</v>
      </c>
      <c r="L137" s="28">
        <f>+L84/L86</f>
        <v>6.7521236464601095</v>
      </c>
      <c r="M137" s="28">
        <f>+M84/M86</f>
        <v>6.6200675679078875</v>
      </c>
      <c r="N137" s="28">
        <f>+N84/N86</f>
        <v>7.5522443529743235</v>
      </c>
      <c r="O137" s="28">
        <f>+O84/O86</f>
        <v>8.1119107195239089</v>
      </c>
      <c r="P137" s="28"/>
      <c r="Q137" s="28"/>
      <c r="R137" s="28"/>
      <c r="S137" s="28"/>
      <c r="T137" s="28">
        <f t="shared" ref="T137:AS137" si="308">+T84/T86</f>
        <v>6.2757359912142796</v>
      </c>
      <c r="U137" s="28">
        <f t="shared" si="308"/>
        <v>6.2741685582611213</v>
      </c>
      <c r="V137" s="28">
        <f t="shared" si="308"/>
        <v>6.2264588501969014</v>
      </c>
      <c r="W137" s="28">
        <f t="shared" si="308"/>
        <v>6.2499586204202204</v>
      </c>
      <c r="X137" s="28">
        <f t="shared" si="308"/>
        <v>6.1846100939401252</v>
      </c>
      <c r="Y137" s="28">
        <f t="shared" si="308"/>
        <v>5.9353063674900133</v>
      </c>
      <c r="Z137" s="28">
        <f t="shared" si="308"/>
        <v>5.6971629074411085</v>
      </c>
      <c r="AA137" s="28">
        <f t="shared" si="308"/>
        <v>5.5406254179567362</v>
      </c>
      <c r="AB137" s="28">
        <f t="shared" si="308"/>
        <v>5.5355684986487335</v>
      </c>
      <c r="AC137" s="28">
        <f t="shared" si="308"/>
        <v>5.7401617688456543</v>
      </c>
      <c r="AD137" s="28">
        <f t="shared" si="308"/>
        <v>5.9247200871256265</v>
      </c>
      <c r="AE137" s="28">
        <f t="shared" si="308"/>
        <v>6.5717263317642862</v>
      </c>
      <c r="AF137" s="28">
        <f t="shared" si="308"/>
        <v>8.8661884663053687</v>
      </c>
      <c r="AG137" s="28">
        <f t="shared" si="308"/>
        <v>9.2355902563819186</v>
      </c>
      <c r="AH137" s="28">
        <f t="shared" si="308"/>
        <v>9.4362371790625872</v>
      </c>
      <c r="AI137" s="28">
        <f t="shared" si="308"/>
        <v>8.940009603352058</v>
      </c>
      <c r="AJ137" s="28">
        <f t="shared" si="308"/>
        <v>7.2491231533661153</v>
      </c>
      <c r="AK137" s="28">
        <f t="shared" si="308"/>
        <v>7.4122522764811878</v>
      </c>
      <c r="AL137" s="28">
        <f t="shared" si="308"/>
        <v>7.9053625978264597</v>
      </c>
      <c r="AM137" s="28">
        <f t="shared" si="308"/>
        <v>5.048304230967692</v>
      </c>
      <c r="AN137" s="28">
        <f t="shared" si="308"/>
        <v>5.2062487581318289</v>
      </c>
      <c r="AO137" s="28">
        <f t="shared" si="308"/>
        <v>4.9309832668139046</v>
      </c>
      <c r="AP137" s="28">
        <f t="shared" si="308"/>
        <v>8.3985237081911368</v>
      </c>
      <c r="AQ137" s="28">
        <f t="shared" si="308"/>
        <v>12.656455702931373</v>
      </c>
      <c r="AR137" s="28">
        <f t="shared" si="308"/>
        <v>11.883528291668734</v>
      </c>
      <c r="AS137" s="28">
        <f t="shared" si="308"/>
        <v>10.835277927605471</v>
      </c>
      <c r="AT137" s="28">
        <f t="shared" ref="AT137:AY137" si="309">+AT84/AT86</f>
        <v>6.2078540992803166</v>
      </c>
      <c r="AU137" s="28">
        <f t="shared" si="309"/>
        <v>5.7846305269472502</v>
      </c>
      <c r="AV137" s="28">
        <f t="shared" si="309"/>
        <v>6.7521236464601104</v>
      </c>
      <c r="AW137" s="28">
        <f t="shared" si="309"/>
        <v>7.2336951734686874</v>
      </c>
      <c r="AX137" s="28">
        <f t="shared" si="309"/>
        <v>7.4032562337805619</v>
      </c>
      <c r="AY137" s="28">
        <f t="shared" si="309"/>
        <v>7.2998388000157313</v>
      </c>
      <c r="AZ137" s="28">
        <f t="shared" ref="AZ137:BE137" si="310">+AZ84/AZ86</f>
        <v>6.6200675679078875</v>
      </c>
      <c r="BA137" s="28">
        <f t="shared" si="310"/>
        <v>6.7005047534329831</v>
      </c>
      <c r="BB137" s="28">
        <f t="shared" si="310"/>
        <v>6.9074845228029158</v>
      </c>
      <c r="BC137" s="28">
        <f t="shared" si="310"/>
        <v>7.0149390383802794</v>
      </c>
      <c r="BD137" s="28">
        <f t="shared" si="310"/>
        <v>7.5522443529743253</v>
      </c>
      <c r="BE137" s="28">
        <f t="shared" si="310"/>
        <v>8.1119107195239071</v>
      </c>
    </row>
    <row r="138" spans="2:57"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28"/>
      <c r="P138" s="28"/>
      <c r="Q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9"/>
      <c r="AT138" s="9"/>
      <c r="AU138" s="9"/>
      <c r="AV138" s="9"/>
      <c r="AW138" s="9"/>
      <c r="AX138" s="9"/>
      <c r="AY138" s="9"/>
      <c r="AZ138" s="9"/>
      <c r="BA138" s="9"/>
      <c r="BB138" s="9"/>
      <c r="BC138" s="9"/>
      <c r="BD138" s="9"/>
      <c r="BE138" s="9"/>
    </row>
    <row r="139" spans="2:57" s="5" customFormat="1">
      <c r="B139" s="5" t="s">
        <v>357</v>
      </c>
      <c r="C139" s="72">
        <f t="shared" ref="C139:Z139" si="311">C120/C125</f>
        <v>1.1215467187818695</v>
      </c>
      <c r="D139" s="72">
        <f t="shared" si="311"/>
        <v>1.6087333953505978</v>
      </c>
      <c r="E139" s="72">
        <f t="shared" si="311"/>
        <v>1.1753118106225897</v>
      </c>
      <c r="F139" s="72">
        <f t="shared" si="311"/>
        <v>1.1620537629887329</v>
      </c>
      <c r="G139" s="72">
        <f t="shared" ref="G139:O139" si="312">G120/G125</f>
        <v>1.2696161978110829</v>
      </c>
      <c r="H139" s="72">
        <f t="shared" si="312"/>
        <v>1.2691015003661401</v>
      </c>
      <c r="I139" s="72">
        <f t="shared" si="312"/>
        <v>1.4393654067252493</v>
      </c>
      <c r="J139" s="72">
        <f t="shared" si="312"/>
        <v>1.736074416175623</v>
      </c>
      <c r="K139" s="72">
        <f t="shared" si="312"/>
        <v>1.6425235069470272</v>
      </c>
      <c r="L139" s="72">
        <f t="shared" si="312"/>
        <v>1.2679875446935858</v>
      </c>
      <c r="M139" s="72">
        <f>M120/M125</f>
        <v>1.4228769128355458</v>
      </c>
      <c r="N139" s="72">
        <f>N120/N125</f>
        <v>1.0481549092755424</v>
      </c>
      <c r="O139" s="254">
        <f t="shared" si="312"/>
        <v>1.0428729719368461</v>
      </c>
      <c r="P139" s="326"/>
      <c r="Q139" s="72">
        <f t="shared" si="311"/>
        <v>1.4979931767638548</v>
      </c>
      <c r="R139" s="73">
        <f t="shared" si="311"/>
        <v>1.5023449590126592</v>
      </c>
      <c r="S139" s="73">
        <f t="shared" si="311"/>
        <v>1.1416526959295838</v>
      </c>
      <c r="T139" s="72">
        <f t="shared" si="311"/>
        <v>1.1753118106225897</v>
      </c>
      <c r="U139" s="72">
        <f t="shared" si="311"/>
        <v>1.1724726508295416</v>
      </c>
      <c r="V139" s="72">
        <f t="shared" si="311"/>
        <v>1.2142001920313703</v>
      </c>
      <c r="W139" s="72">
        <f t="shared" si="311"/>
        <v>1.1804753270163169</v>
      </c>
      <c r="X139" s="72">
        <f t="shared" si="311"/>
        <v>1.1620537629887329</v>
      </c>
      <c r="Y139" s="72">
        <f t="shared" si="311"/>
        <v>1.1675081343303579</v>
      </c>
      <c r="Z139" s="72">
        <f t="shared" si="311"/>
        <v>1.2281392185972102</v>
      </c>
      <c r="AA139" s="72">
        <f t="shared" ref="AA139:AF139" si="313">AA120/AA125</f>
        <v>1.2718630895102929</v>
      </c>
      <c r="AB139" s="72">
        <f t="shared" si="313"/>
        <v>1.2696161978110829</v>
      </c>
      <c r="AC139" s="72">
        <f t="shared" si="313"/>
        <v>1.4853366872823748</v>
      </c>
      <c r="AD139" s="72">
        <f t="shared" si="313"/>
        <v>1.5367488012462696</v>
      </c>
      <c r="AE139" s="72">
        <f t="shared" si="313"/>
        <v>1.5650288785676534</v>
      </c>
      <c r="AF139" s="72">
        <f t="shared" si="313"/>
        <v>1.2691015003661401</v>
      </c>
      <c r="AG139" s="72">
        <f t="shared" ref="AG139:AL139" si="314">AG120/AG125</f>
        <v>1.3527855320747419</v>
      </c>
      <c r="AH139" s="72">
        <f t="shared" si="314"/>
        <v>1.3451889406321174</v>
      </c>
      <c r="AI139" s="72">
        <f t="shared" si="314"/>
        <v>1.3786413664466171</v>
      </c>
      <c r="AJ139" s="72">
        <f t="shared" si="314"/>
        <v>1.4393654067252493</v>
      </c>
      <c r="AK139" s="72">
        <f t="shared" si="314"/>
        <v>1.564900534039469</v>
      </c>
      <c r="AL139" s="72">
        <f t="shared" si="314"/>
        <v>1.4963490263459034</v>
      </c>
      <c r="AM139" s="72">
        <f t="shared" ref="AM139:AR139" si="315">AM120/AM125</f>
        <v>1.5126685873975134</v>
      </c>
      <c r="AN139" s="72">
        <f t="shared" si="315"/>
        <v>1.736074416175623</v>
      </c>
      <c r="AO139" s="72">
        <f t="shared" si="315"/>
        <v>1.6281226747741515</v>
      </c>
      <c r="AP139" s="72">
        <f t="shared" si="315"/>
        <v>1.6515034332303586</v>
      </c>
      <c r="AQ139" s="72">
        <f t="shared" si="315"/>
        <v>1.6851971664401899</v>
      </c>
      <c r="AR139" s="72">
        <f t="shared" si="315"/>
        <v>1.6425235069470272</v>
      </c>
      <c r="AS139" s="72">
        <f t="shared" ref="AS139:AX139" si="316">AS120/AS125</f>
        <v>1.6679082783690138</v>
      </c>
      <c r="AT139" s="72">
        <f t="shared" si="316"/>
        <v>1.6627608631162394</v>
      </c>
      <c r="AU139" s="72">
        <f t="shared" si="316"/>
        <v>1.6199584990684686</v>
      </c>
      <c r="AV139" s="72">
        <f t="shared" si="316"/>
        <v>1.2679875446935858</v>
      </c>
      <c r="AW139" s="72">
        <f t="shared" si="316"/>
        <v>1.3979855838152584</v>
      </c>
      <c r="AX139" s="72">
        <f t="shared" si="316"/>
        <v>1.5688316847856396</v>
      </c>
      <c r="AY139" s="72">
        <f t="shared" ref="AY139:BD139" si="317">AY120/AY125</f>
        <v>1.4246106013400825</v>
      </c>
      <c r="AZ139" s="72">
        <f t="shared" si="317"/>
        <v>1.4228769128355458</v>
      </c>
      <c r="BA139" s="72">
        <f t="shared" si="317"/>
        <v>1.3317727725800144</v>
      </c>
      <c r="BB139" s="72">
        <f t="shared" si="317"/>
        <v>1.2850880312844279</v>
      </c>
      <c r="BC139" s="72">
        <f t="shared" si="317"/>
        <v>1.065749893291184</v>
      </c>
      <c r="BD139" s="72">
        <f t="shared" si="317"/>
        <v>1.0481549092755424</v>
      </c>
      <c r="BE139" s="72">
        <f>BE120/BE125</f>
        <v>1.0428729719368461</v>
      </c>
    </row>
    <row r="140" spans="2:57" s="5" customFormat="1">
      <c r="C140" s="72"/>
      <c r="D140" s="72"/>
      <c r="E140" s="72"/>
      <c r="F140" s="72"/>
      <c r="G140" s="72"/>
      <c r="H140" s="72"/>
      <c r="I140" s="72"/>
      <c r="J140" s="72"/>
      <c r="K140" s="72"/>
      <c r="L140" s="72"/>
      <c r="M140" s="72"/>
      <c r="N140" s="72"/>
      <c r="O140" s="254"/>
      <c r="P140" s="326"/>
      <c r="Q140" s="72"/>
      <c r="R140" s="73"/>
      <c r="S140" s="73"/>
      <c r="T140" s="72"/>
      <c r="U140" s="72"/>
      <c r="V140" s="72"/>
      <c r="W140" s="72"/>
      <c r="X140" s="72"/>
      <c r="Y140" s="72"/>
      <c r="Z140" s="72"/>
      <c r="AA140" s="72"/>
      <c r="AB140" s="72"/>
      <c r="AC140" s="72"/>
      <c r="AD140" s="72"/>
      <c r="AE140" s="72"/>
      <c r="AF140" s="72"/>
      <c r="AG140" s="72"/>
      <c r="AH140" s="72"/>
      <c r="AI140" s="72"/>
      <c r="AJ140" s="72"/>
      <c r="AK140" s="72"/>
      <c r="AL140" s="72"/>
      <c r="AM140" s="72"/>
      <c r="AN140" s="72"/>
      <c r="AO140" s="72"/>
      <c r="AP140" s="72"/>
      <c r="AQ140" s="72"/>
      <c r="AR140" s="72"/>
      <c r="AS140" s="72"/>
      <c r="AT140" s="72"/>
      <c r="AU140" s="72"/>
      <c r="AV140" s="72"/>
      <c r="AW140" s="72"/>
      <c r="AX140" s="72"/>
      <c r="AY140" s="72"/>
      <c r="AZ140" s="72"/>
      <c r="BA140" s="72"/>
      <c r="BB140" s="72"/>
      <c r="BC140" s="72"/>
      <c r="BD140" s="72"/>
      <c r="BE140" s="72"/>
    </row>
    <row r="141" spans="2:57">
      <c r="B141" s="16" t="s">
        <v>358</v>
      </c>
      <c r="C141" s="75">
        <f>+C227</f>
        <v>41974</v>
      </c>
      <c r="D141" s="75">
        <f t="shared" ref="D141:K141" si="318">D3</f>
        <v>42340</v>
      </c>
      <c r="E141" s="75">
        <f t="shared" si="318"/>
        <v>42707</v>
      </c>
      <c r="F141" s="75">
        <f t="shared" si="318"/>
        <v>43073</v>
      </c>
      <c r="G141" s="75">
        <f t="shared" si="318"/>
        <v>43438</v>
      </c>
      <c r="H141" s="75">
        <f t="shared" si="318"/>
        <v>43803</v>
      </c>
      <c r="I141" s="75">
        <f t="shared" si="318"/>
        <v>44169</v>
      </c>
      <c r="J141" s="75">
        <f t="shared" si="318"/>
        <v>44534</v>
      </c>
      <c r="K141" s="75">
        <f t="shared" si="318"/>
        <v>44926</v>
      </c>
      <c r="L141" s="75">
        <f>L3</f>
        <v>45291</v>
      </c>
      <c r="M141" s="75">
        <f>M3</f>
        <v>45657</v>
      </c>
      <c r="N141" s="75">
        <f>N3</f>
        <v>46022</v>
      </c>
      <c r="O141" s="75">
        <f>O3</f>
        <v>46112</v>
      </c>
      <c r="P141" s="327"/>
      <c r="Q141" s="75">
        <f t="shared" ref="Q141:AS141" si="319">Q3</f>
        <v>42437</v>
      </c>
      <c r="R141" s="75">
        <f t="shared" si="319"/>
        <v>42527</v>
      </c>
      <c r="S141" s="75">
        <f t="shared" si="319"/>
        <v>42622</v>
      </c>
      <c r="T141" s="75">
        <f t="shared" si="319"/>
        <v>42714</v>
      </c>
      <c r="U141" s="75">
        <f t="shared" si="319"/>
        <v>42801</v>
      </c>
      <c r="V141" s="75">
        <f t="shared" si="319"/>
        <v>42892</v>
      </c>
      <c r="W141" s="75">
        <f t="shared" si="319"/>
        <v>42987</v>
      </c>
      <c r="X141" s="75">
        <f t="shared" si="319"/>
        <v>43079</v>
      </c>
      <c r="Y141" s="75">
        <f t="shared" si="319"/>
        <v>43190</v>
      </c>
      <c r="Z141" s="75">
        <f t="shared" si="319"/>
        <v>43281</v>
      </c>
      <c r="AA141" s="75">
        <f t="shared" si="319"/>
        <v>43373</v>
      </c>
      <c r="AB141" s="75">
        <f t="shared" si="319"/>
        <v>43465</v>
      </c>
      <c r="AC141" s="75">
        <f t="shared" si="319"/>
        <v>43555</v>
      </c>
      <c r="AD141" s="75">
        <f t="shared" si="319"/>
        <v>43646</v>
      </c>
      <c r="AE141" s="75">
        <f t="shared" si="319"/>
        <v>43738</v>
      </c>
      <c r="AF141" s="75">
        <f t="shared" si="319"/>
        <v>43830</v>
      </c>
      <c r="AG141" s="75">
        <f t="shared" si="319"/>
        <v>43921</v>
      </c>
      <c r="AH141" s="75">
        <f t="shared" si="319"/>
        <v>44012</v>
      </c>
      <c r="AI141" s="75">
        <f t="shared" si="319"/>
        <v>44104</v>
      </c>
      <c r="AJ141" s="75">
        <f t="shared" si="319"/>
        <v>44196</v>
      </c>
      <c r="AK141" s="75">
        <f t="shared" si="319"/>
        <v>44286</v>
      </c>
      <c r="AL141" s="75">
        <f t="shared" si="319"/>
        <v>44377</v>
      </c>
      <c r="AM141" s="75">
        <f t="shared" si="319"/>
        <v>44469</v>
      </c>
      <c r="AN141" s="75">
        <f t="shared" si="319"/>
        <v>44560</v>
      </c>
      <c r="AO141" s="75">
        <f t="shared" si="319"/>
        <v>44651</v>
      </c>
      <c r="AP141" s="75">
        <f t="shared" si="319"/>
        <v>44742</v>
      </c>
      <c r="AQ141" s="75">
        <f t="shared" si="319"/>
        <v>44834</v>
      </c>
      <c r="AR141" s="75">
        <f t="shared" si="319"/>
        <v>44926</v>
      </c>
      <c r="AS141" s="75">
        <f t="shared" si="319"/>
        <v>45016</v>
      </c>
      <c r="AT141" s="75">
        <f t="shared" ref="AT141:AY141" si="320">AT3</f>
        <v>45107</v>
      </c>
      <c r="AU141" s="75">
        <f t="shared" si="320"/>
        <v>45199</v>
      </c>
      <c r="AV141" s="75">
        <f t="shared" si="320"/>
        <v>45291</v>
      </c>
      <c r="AW141" s="75">
        <f t="shared" si="320"/>
        <v>45382</v>
      </c>
      <c r="AX141" s="75">
        <f t="shared" si="320"/>
        <v>45473</v>
      </c>
      <c r="AY141" s="75">
        <f t="shared" si="320"/>
        <v>45565</v>
      </c>
      <c r="AZ141" s="75">
        <f t="shared" ref="AZ141:BE141" si="321">AZ3</f>
        <v>45657</v>
      </c>
      <c r="BA141" s="75">
        <f t="shared" si="321"/>
        <v>45747</v>
      </c>
      <c r="BB141" s="75">
        <f t="shared" si="321"/>
        <v>45838</v>
      </c>
      <c r="BC141" s="75">
        <f t="shared" si="321"/>
        <v>45930</v>
      </c>
      <c r="BD141" s="75">
        <f t="shared" si="321"/>
        <v>46022</v>
      </c>
      <c r="BE141" s="75">
        <f t="shared" si="321"/>
        <v>46112</v>
      </c>
    </row>
    <row r="142" spans="2:57">
      <c r="B142" s="1" t="str">
        <f t="shared" ref="B142:K142" si="322">B81</f>
        <v>Revenues</v>
      </c>
      <c r="C142" s="22">
        <f t="shared" si="322"/>
        <v>1657770.3729999999</v>
      </c>
      <c r="D142" s="22">
        <f t="shared" si="322"/>
        <v>1784612.6629999999</v>
      </c>
      <c r="E142" s="22">
        <f t="shared" si="322"/>
        <v>1867697.07</v>
      </c>
      <c r="F142" s="22">
        <f t="shared" si="322"/>
        <v>1943071.1980000001</v>
      </c>
      <c r="G142" s="22">
        <f t="shared" si="322"/>
        <v>1913174.2819999999</v>
      </c>
      <c r="H142" s="22">
        <f t="shared" si="322"/>
        <v>1978791.9879999999</v>
      </c>
      <c r="I142" s="22">
        <f t="shared" si="322"/>
        <v>2092644.2320000001</v>
      </c>
      <c r="J142" s="22">
        <f t="shared" si="322"/>
        <v>2408809.5970000001</v>
      </c>
      <c r="K142" s="22">
        <f t="shared" si="322"/>
        <v>2540682.9040000001</v>
      </c>
      <c r="L142" s="22">
        <f>L81</f>
        <v>2473692.31</v>
      </c>
      <c r="M142" s="22">
        <f>M81</f>
        <v>2703236.7280000001</v>
      </c>
      <c r="N142" s="22">
        <f>N81</f>
        <v>2954930.2779999999</v>
      </c>
      <c r="O142" s="22">
        <f>O81</f>
        <v>3002583.4279999998</v>
      </c>
      <c r="P142" s="22"/>
      <c r="Q142" s="22"/>
      <c r="R142" s="22"/>
      <c r="S142" s="22"/>
      <c r="T142" s="22">
        <f t="shared" ref="T142:AS142" si="323">T81</f>
        <v>1867697.07</v>
      </c>
      <c r="U142" s="22">
        <f t="shared" si="323"/>
        <v>1881848.781</v>
      </c>
      <c r="V142" s="22">
        <f t="shared" si="323"/>
        <v>1903743.4130000002</v>
      </c>
      <c r="W142" s="22">
        <f t="shared" si="323"/>
        <v>1915748.7760000001</v>
      </c>
      <c r="X142" s="22">
        <f t="shared" si="323"/>
        <v>1943071.1980000001</v>
      </c>
      <c r="Y142" s="22">
        <f t="shared" si="323"/>
        <v>1930637.4300000002</v>
      </c>
      <c r="Z142" s="22">
        <f t="shared" si="323"/>
        <v>1917582.4890000003</v>
      </c>
      <c r="AA142" s="22">
        <f t="shared" si="323"/>
        <v>1919000.2820000001</v>
      </c>
      <c r="AB142" s="22">
        <f t="shared" si="323"/>
        <v>1913174.2819999999</v>
      </c>
      <c r="AC142" s="22">
        <f t="shared" si="323"/>
        <v>1923546.004</v>
      </c>
      <c r="AD142" s="22">
        <f t="shared" si="323"/>
        <v>1940540.0649999999</v>
      </c>
      <c r="AE142" s="22">
        <f t="shared" si="323"/>
        <v>1955272.3399999999</v>
      </c>
      <c r="AF142" s="22">
        <f t="shared" si="323"/>
        <v>1978791.9879999999</v>
      </c>
      <c r="AG142" s="22">
        <f t="shared" si="323"/>
        <v>2020680.9709999999</v>
      </c>
      <c r="AH142" s="22">
        <f t="shared" si="323"/>
        <v>1995650.0149999997</v>
      </c>
      <c r="AI142" s="22">
        <f t="shared" si="323"/>
        <v>2034048.0699999998</v>
      </c>
      <c r="AJ142" s="22">
        <f t="shared" si="323"/>
        <v>2092644.2320000001</v>
      </c>
      <c r="AK142" s="22">
        <f t="shared" si="323"/>
        <v>2136931.4619999998</v>
      </c>
      <c r="AL142" s="22">
        <f t="shared" si="323"/>
        <v>2270973.5060000001</v>
      </c>
      <c r="AM142" s="22">
        <f t="shared" si="323"/>
        <v>2344725.6189999999</v>
      </c>
      <c r="AN142" s="22">
        <f t="shared" si="323"/>
        <v>2408809.5970000001</v>
      </c>
      <c r="AO142" s="22">
        <f t="shared" si="323"/>
        <v>2491865.6689999998</v>
      </c>
      <c r="AP142" s="22">
        <f t="shared" si="323"/>
        <v>2546813.429</v>
      </c>
      <c r="AQ142" s="22">
        <f t="shared" si="323"/>
        <v>2561388.7779999999</v>
      </c>
      <c r="AR142" s="22">
        <f t="shared" si="323"/>
        <v>2540682.9040000001</v>
      </c>
      <c r="AS142" s="22">
        <f t="shared" si="323"/>
        <v>2501306.9850000003</v>
      </c>
      <c r="AT142" s="22">
        <f t="shared" ref="AT142:AY142" si="324">AT81</f>
        <v>2461900.9980000001</v>
      </c>
      <c r="AU142" s="22">
        <f t="shared" si="324"/>
        <v>2442925.844</v>
      </c>
      <c r="AV142" s="22">
        <f t="shared" si="324"/>
        <v>2473692.31</v>
      </c>
      <c r="AW142" s="22">
        <f t="shared" si="324"/>
        <v>2522027.21</v>
      </c>
      <c r="AX142" s="22">
        <f t="shared" si="324"/>
        <v>2575468.91</v>
      </c>
      <c r="AY142" s="22">
        <f t="shared" si="324"/>
        <v>2631227.7880000002</v>
      </c>
      <c r="AZ142" s="22">
        <f t="shared" ref="AZ142:BE142" si="325">AZ81</f>
        <v>2703236.7280000001</v>
      </c>
      <c r="BA142" s="22">
        <f t="shared" si="325"/>
        <v>2760576.0949999997</v>
      </c>
      <c r="BB142" s="22">
        <f t="shared" si="325"/>
        <v>2805548.5630000001</v>
      </c>
      <c r="BC142" s="22">
        <f t="shared" si="325"/>
        <v>2876419.6469999999</v>
      </c>
      <c r="BD142" s="22">
        <f t="shared" si="325"/>
        <v>2954930.2779999999</v>
      </c>
      <c r="BE142" s="22">
        <f t="shared" si="325"/>
        <v>3002583.4280000003</v>
      </c>
    </row>
    <row r="143" spans="2:57">
      <c r="B143" s="1" t="str">
        <f t="shared" ref="B143:K143" si="326">B84</f>
        <v>Adjusted EBITDA</v>
      </c>
      <c r="C143" s="22">
        <f t="shared" si="326"/>
        <v>425400.36499999964</v>
      </c>
      <c r="D143" s="22">
        <f t="shared" si="326"/>
        <v>356585.29300000001</v>
      </c>
      <c r="E143" s="22">
        <f t="shared" si="326"/>
        <v>424780.734</v>
      </c>
      <c r="F143" s="22">
        <f t="shared" si="326"/>
        <v>437102.69900000002</v>
      </c>
      <c r="G143" s="22">
        <f t="shared" si="326"/>
        <v>426921</v>
      </c>
      <c r="H143" s="22">
        <f t="shared" si="326"/>
        <v>770411</v>
      </c>
      <c r="I143" s="22">
        <f t="shared" si="326"/>
        <v>684231.88899999997</v>
      </c>
      <c r="J143" s="22">
        <f t="shared" si="326"/>
        <v>772452.25800000003</v>
      </c>
      <c r="K143" s="22">
        <f t="shared" si="326"/>
        <v>1282013</v>
      </c>
      <c r="L143" s="22">
        <f>L84</f>
        <v>762562.17099999997</v>
      </c>
      <c r="M143" s="22">
        <f>M84</f>
        <v>788612.90099999995</v>
      </c>
      <c r="N143" s="22">
        <f>N84</f>
        <v>835473.09600000002</v>
      </c>
      <c r="O143" s="22">
        <f>O84</f>
        <v>855384.79400000011</v>
      </c>
      <c r="P143" s="22"/>
      <c r="Q143" s="22"/>
      <c r="R143" s="22"/>
      <c r="S143" s="22"/>
      <c r="T143" s="22">
        <f t="shared" ref="T143:AS143" si="327">T84</f>
        <v>424780.734</v>
      </c>
      <c r="U143" s="22">
        <f t="shared" si="327"/>
        <v>425722.734</v>
      </c>
      <c r="V143" s="22">
        <f t="shared" si="327"/>
        <v>425777.734</v>
      </c>
      <c r="W143" s="22">
        <f t="shared" si="327"/>
        <v>431935.734</v>
      </c>
      <c r="X143" s="22">
        <f t="shared" si="327"/>
        <v>437102.69900000002</v>
      </c>
      <c r="Y143" s="22">
        <f t="shared" si="327"/>
        <v>426469.69900000002</v>
      </c>
      <c r="Z143" s="22">
        <f t="shared" si="327"/>
        <v>422071.69900000002</v>
      </c>
      <c r="AA143" s="22">
        <f t="shared" si="327"/>
        <v>417122.69900000002</v>
      </c>
      <c r="AB143" s="22">
        <f t="shared" si="327"/>
        <v>426921</v>
      </c>
      <c r="AC143" s="22">
        <f t="shared" si="327"/>
        <v>465384</v>
      </c>
      <c r="AD143" s="22">
        <f t="shared" si="327"/>
        <v>508813</v>
      </c>
      <c r="AE143" s="22">
        <f t="shared" si="327"/>
        <v>549102</v>
      </c>
      <c r="AF143" s="22">
        <f t="shared" si="327"/>
        <v>770411</v>
      </c>
      <c r="AG143" s="22">
        <f t="shared" si="327"/>
        <v>805303</v>
      </c>
      <c r="AH143" s="22">
        <f t="shared" si="327"/>
        <v>831273</v>
      </c>
      <c r="AI143" s="22">
        <f t="shared" si="327"/>
        <v>848539</v>
      </c>
      <c r="AJ143" s="22">
        <f t="shared" si="327"/>
        <v>684231.88899999997</v>
      </c>
      <c r="AK143" s="22">
        <f t="shared" si="327"/>
        <v>689131.88899999997</v>
      </c>
      <c r="AL143" s="22">
        <f t="shared" si="327"/>
        <v>729813.88899999997</v>
      </c>
      <c r="AM143" s="22">
        <f t="shared" si="327"/>
        <v>769092.88899999997</v>
      </c>
      <c r="AN143" s="22">
        <f t="shared" si="327"/>
        <v>772452.25800000003</v>
      </c>
      <c r="AO143" s="22">
        <f t="shared" si="327"/>
        <v>784442.25800000003</v>
      </c>
      <c r="AP143" s="22">
        <f t="shared" si="327"/>
        <v>1266934.2579999999</v>
      </c>
      <c r="AQ143" s="22">
        <f t="shared" si="327"/>
        <v>1296172.2579999999</v>
      </c>
      <c r="AR143" s="22">
        <f t="shared" si="327"/>
        <v>1282013</v>
      </c>
      <c r="AS143" s="22">
        <f t="shared" si="327"/>
        <v>1224549</v>
      </c>
      <c r="AT143" s="22">
        <f t="shared" ref="AT143:AY143" si="328">AT84</f>
        <v>730987</v>
      </c>
      <c r="AU143" s="22">
        <f t="shared" si="328"/>
        <v>687960</v>
      </c>
      <c r="AV143" s="22">
        <f t="shared" si="328"/>
        <v>762562.17099999997</v>
      </c>
      <c r="AW143" s="22">
        <f t="shared" si="328"/>
        <v>818209.17099999997</v>
      </c>
      <c r="AX143" s="22">
        <f t="shared" si="328"/>
        <v>824913.17099999997</v>
      </c>
      <c r="AY143" s="22">
        <f t="shared" si="328"/>
        <v>829469.17099999997</v>
      </c>
      <c r="AZ143" s="22">
        <f t="shared" ref="AZ143:BE143" si="329">AZ84</f>
        <v>788612.90099999995</v>
      </c>
      <c r="BA143" s="22">
        <f t="shared" si="329"/>
        <v>794408.29899999988</v>
      </c>
      <c r="BB143" s="22">
        <f t="shared" si="329"/>
        <v>797119.90099999995</v>
      </c>
      <c r="BC143" s="22">
        <f t="shared" si="329"/>
        <v>816036.90099999995</v>
      </c>
      <c r="BD143" s="22">
        <f t="shared" si="329"/>
        <v>835473.09600000014</v>
      </c>
      <c r="BE143" s="22">
        <f t="shared" si="329"/>
        <v>855384.79399999999</v>
      </c>
    </row>
    <row r="144" spans="2:57">
      <c r="B144" s="1" t="s">
        <v>359</v>
      </c>
      <c r="C144" s="42">
        <f t="shared" ref="C144:K144" si="330">C143/C142</f>
        <v>0.25660994545955712</v>
      </c>
      <c r="D144" s="42">
        <f t="shared" si="330"/>
        <v>0.19981102924629424</v>
      </c>
      <c r="E144" s="42">
        <f t="shared" si="330"/>
        <v>0.22743556266327494</v>
      </c>
      <c r="F144" s="42">
        <f t="shared" si="330"/>
        <v>0.22495454590130773</v>
      </c>
      <c r="G144" s="42">
        <f t="shared" si="330"/>
        <v>0.22314799232702628</v>
      </c>
      <c r="H144" s="42">
        <f t="shared" si="330"/>
        <v>0.38933400007277574</v>
      </c>
      <c r="I144" s="42">
        <f t="shared" si="330"/>
        <v>0.32697000213268929</v>
      </c>
      <c r="J144" s="42">
        <f t="shared" si="330"/>
        <v>0.32067800583409917</v>
      </c>
      <c r="K144" s="42">
        <f t="shared" si="330"/>
        <v>0.50459386253263816</v>
      </c>
      <c r="L144" s="42">
        <f>L143/L142</f>
        <v>0.30826880445773791</v>
      </c>
      <c r="M144" s="42">
        <f>M143/M142</f>
        <v>0.29172913079775231</v>
      </c>
      <c r="N144" s="42">
        <f>N143/N142</f>
        <v>0.28273868328476348</v>
      </c>
      <c r="O144" s="251">
        <f>O143/O142</f>
        <v>0.28488293981218898</v>
      </c>
      <c r="P144" s="325"/>
      <c r="Q144" s="42"/>
      <c r="R144" s="42"/>
      <c r="S144" s="42"/>
      <c r="T144" s="42">
        <f>T143/T142</f>
        <v>0.22743556266327494</v>
      </c>
      <c r="U144" s="42">
        <f>U143/U142</f>
        <v>0.22622579364414935</v>
      </c>
      <c r="V144" s="42">
        <f>V143/V142</f>
        <v>0.22365289938366287</v>
      </c>
      <c r="W144" s="42">
        <f>W143/W142</f>
        <v>0.22546574969076216</v>
      </c>
      <c r="X144" s="42">
        <f>X143/X142</f>
        <v>0.22495454590130773</v>
      </c>
      <c r="Y144" s="42">
        <f t="shared" ref="Y144:AD144" si="331">Y143/Y142</f>
        <v>0.22089579968414888</v>
      </c>
      <c r="Z144" s="42">
        <f t="shared" si="331"/>
        <v>0.22010615002022996</v>
      </c>
      <c r="AA144" s="42">
        <f t="shared" si="331"/>
        <v>0.21736458452485</v>
      </c>
      <c r="AB144" s="42">
        <f t="shared" si="331"/>
        <v>0.22314799232702628</v>
      </c>
      <c r="AC144" s="42">
        <f t="shared" si="331"/>
        <v>0.2419406653296762</v>
      </c>
      <c r="AD144" s="42">
        <f t="shared" si="331"/>
        <v>0.26220174949080477</v>
      </c>
      <c r="AE144" s="42">
        <f t="shared" ref="AE144:AJ144" si="332">AE143/AE142</f>
        <v>0.28083146719090807</v>
      </c>
      <c r="AF144" s="42">
        <f t="shared" si="332"/>
        <v>0.38933400007277574</v>
      </c>
      <c r="AG144" s="42">
        <f t="shared" si="332"/>
        <v>0.39853050113173955</v>
      </c>
      <c r="AH144" s="42">
        <f t="shared" si="332"/>
        <v>0.4165424767628908</v>
      </c>
      <c r="AI144" s="42">
        <f t="shared" si="332"/>
        <v>0.41716762377203803</v>
      </c>
      <c r="AJ144" s="42">
        <f t="shared" si="332"/>
        <v>0.32697000213268929</v>
      </c>
      <c r="AK144" s="42">
        <f t="shared" ref="AK144:AP144" si="333">AK143/AK142</f>
        <v>0.32248665961192163</v>
      </c>
      <c r="AL144" s="42">
        <f t="shared" si="333"/>
        <v>0.32136609567298052</v>
      </c>
      <c r="AM144" s="42">
        <f t="shared" si="333"/>
        <v>0.32800976061668563</v>
      </c>
      <c r="AN144" s="42">
        <f t="shared" si="333"/>
        <v>0.32067800583409917</v>
      </c>
      <c r="AO144" s="42">
        <f t="shared" si="333"/>
        <v>0.31480118200544949</v>
      </c>
      <c r="AP144" s="42">
        <f t="shared" si="333"/>
        <v>0.49745860594800562</v>
      </c>
      <c r="AQ144" s="42">
        <f t="shared" ref="AQ144:AV144" si="334">AQ143/AQ142</f>
        <v>0.50604276443035157</v>
      </c>
      <c r="AR144" s="42">
        <f t="shared" si="334"/>
        <v>0.50459386253263816</v>
      </c>
      <c r="AS144" s="42">
        <f t="shared" si="334"/>
        <v>0.48956365905642718</v>
      </c>
      <c r="AT144" s="42">
        <f t="shared" si="334"/>
        <v>0.29691973828104357</v>
      </c>
      <c r="AU144" s="42">
        <f t="shared" si="334"/>
        <v>0.28161313274804423</v>
      </c>
      <c r="AV144" s="42">
        <f t="shared" si="334"/>
        <v>0.30826880445773791</v>
      </c>
      <c r="AW144" s="42">
        <f t="shared" ref="AW144:BB144" si="335">AW143/AW142</f>
        <v>0.32442519563458633</v>
      </c>
      <c r="AX144" s="42">
        <f t="shared" si="335"/>
        <v>0.32029630324677455</v>
      </c>
      <c r="AY144" s="42">
        <f t="shared" si="335"/>
        <v>0.31524035082894919</v>
      </c>
      <c r="AZ144" s="42">
        <f t="shared" si="335"/>
        <v>0.29172913079775231</v>
      </c>
      <c r="BA144" s="42">
        <f t="shared" si="335"/>
        <v>0.28776902779055613</v>
      </c>
      <c r="BB144" s="42">
        <f t="shared" si="335"/>
        <v>0.2841226530570663</v>
      </c>
      <c r="BC144" s="42">
        <f>BC143/BC142</f>
        <v>0.28369883436552679</v>
      </c>
      <c r="BD144" s="42">
        <f>BD143/BD142</f>
        <v>0.28273868328476348</v>
      </c>
      <c r="BE144" s="42">
        <f>BE143/BE142</f>
        <v>0.28488293981218893</v>
      </c>
    </row>
    <row r="145" spans="2:57">
      <c r="B145" s="1" t="str">
        <f t="shared" ref="B145:K145" si="336">B86</f>
        <v>Cash interest paid</v>
      </c>
      <c r="C145" s="22">
        <f t="shared" si="336"/>
        <v>38230.205999999998</v>
      </c>
      <c r="D145" s="22">
        <f t="shared" si="336"/>
        <v>63085.944000000003</v>
      </c>
      <c r="E145" s="22">
        <f t="shared" si="336"/>
        <v>67686.202000000005</v>
      </c>
      <c r="F145" s="22">
        <f t="shared" si="336"/>
        <v>70675.87</v>
      </c>
      <c r="G145" s="22">
        <f t="shared" si="336"/>
        <v>77123.244000000006</v>
      </c>
      <c r="H145" s="22">
        <f t="shared" si="336"/>
        <v>86893.145000000004</v>
      </c>
      <c r="I145" s="22">
        <f t="shared" si="336"/>
        <v>94388.228000000003</v>
      </c>
      <c r="J145" s="22">
        <f t="shared" si="336"/>
        <v>148370.217</v>
      </c>
      <c r="K145" s="22">
        <f t="shared" si="336"/>
        <v>107881.512</v>
      </c>
      <c r="L145" s="22">
        <f>L86</f>
        <v>112936.64200000001</v>
      </c>
      <c r="M145" s="22">
        <f>M86</f>
        <v>119124.6</v>
      </c>
      <c r="N145" s="22">
        <f>N86</f>
        <v>110625.803</v>
      </c>
      <c r="O145" s="22">
        <f>O86</f>
        <v>105448.004</v>
      </c>
      <c r="P145" s="22"/>
      <c r="Q145" s="22"/>
      <c r="R145" s="22"/>
      <c r="S145" s="22"/>
      <c r="T145" s="22">
        <f t="shared" ref="T145:AS145" si="337">T86</f>
        <v>67686.202000000005</v>
      </c>
      <c r="U145" s="22">
        <f t="shared" si="337"/>
        <v>67853.251000000004</v>
      </c>
      <c r="V145" s="22">
        <f t="shared" si="337"/>
        <v>68382.004000000015</v>
      </c>
      <c r="W145" s="22">
        <f t="shared" si="337"/>
        <v>69110.175000000003</v>
      </c>
      <c r="X145" s="22">
        <f t="shared" si="337"/>
        <v>70675.87</v>
      </c>
      <c r="Y145" s="22">
        <f t="shared" si="337"/>
        <v>71853.021999999997</v>
      </c>
      <c r="Z145" s="22">
        <f t="shared" si="337"/>
        <v>74084.540999999997</v>
      </c>
      <c r="AA145" s="22">
        <f t="shared" si="337"/>
        <v>75284.406999999992</v>
      </c>
      <c r="AB145" s="22">
        <f t="shared" si="337"/>
        <v>77123.244000000006</v>
      </c>
      <c r="AC145" s="22">
        <f t="shared" si="337"/>
        <v>81075.06700000001</v>
      </c>
      <c r="AD145" s="22">
        <f t="shared" si="337"/>
        <v>85879.669000000009</v>
      </c>
      <c r="AE145" s="22">
        <f t="shared" si="337"/>
        <v>83555.214000000007</v>
      </c>
      <c r="AF145" s="22">
        <f t="shared" si="337"/>
        <v>86893.145000000004</v>
      </c>
      <c r="AG145" s="22">
        <f t="shared" si="337"/>
        <v>87195.618000000017</v>
      </c>
      <c r="AH145" s="22">
        <f t="shared" si="337"/>
        <v>88093.695000000007</v>
      </c>
      <c r="AI145" s="22">
        <f t="shared" si="337"/>
        <v>94914.775000000023</v>
      </c>
      <c r="AJ145" s="22">
        <f t="shared" si="337"/>
        <v>94388.228000000017</v>
      </c>
      <c r="AK145" s="22">
        <f t="shared" si="337"/>
        <v>92971.996000000014</v>
      </c>
      <c r="AL145" s="22">
        <f t="shared" si="337"/>
        <v>92318.837999999989</v>
      </c>
      <c r="AM145" s="22">
        <f t="shared" si="337"/>
        <v>152346.77900000001</v>
      </c>
      <c r="AN145" s="22">
        <f t="shared" si="337"/>
        <v>148370.217</v>
      </c>
      <c r="AO145" s="22">
        <f t="shared" si="337"/>
        <v>159084.348</v>
      </c>
      <c r="AP145" s="22">
        <f t="shared" si="337"/>
        <v>150852.019</v>
      </c>
      <c r="AQ145" s="22">
        <f t="shared" si="337"/>
        <v>102411.94600000001</v>
      </c>
      <c r="AR145" s="22">
        <f t="shared" si="337"/>
        <v>107881.512</v>
      </c>
      <c r="AS145" s="22">
        <f t="shared" si="337"/>
        <v>113015.00600000001</v>
      </c>
      <c r="AT145" s="22">
        <f t="shared" ref="AT145:AY145" si="338">AT86</f>
        <v>117751.96199999998</v>
      </c>
      <c r="AU145" s="22">
        <f t="shared" si="338"/>
        <v>118928.944</v>
      </c>
      <c r="AV145" s="22">
        <f t="shared" si="338"/>
        <v>112936.64199999999</v>
      </c>
      <c r="AW145" s="22">
        <f t="shared" si="338"/>
        <v>113110.817</v>
      </c>
      <c r="AX145" s="22">
        <f t="shared" si="338"/>
        <v>111425.72200000001</v>
      </c>
      <c r="AY145" s="22">
        <f t="shared" si="338"/>
        <v>113628.42300000001</v>
      </c>
      <c r="AZ145" s="22">
        <f t="shared" ref="AZ145:BE145" si="339">AZ86</f>
        <v>119124.6</v>
      </c>
      <c r="BA145" s="22">
        <f t="shared" si="339"/>
        <v>118559.47099999999</v>
      </c>
      <c r="BB145" s="22">
        <f t="shared" si="339"/>
        <v>115399.448</v>
      </c>
      <c r="BC145" s="22">
        <f t="shared" si="339"/>
        <v>116328.43799999999</v>
      </c>
      <c r="BD145" s="22">
        <f t="shared" si="339"/>
        <v>110625.803</v>
      </c>
      <c r="BE145" s="22">
        <f t="shared" si="339"/>
        <v>105448.00400000002</v>
      </c>
    </row>
    <row r="146" spans="2:57">
      <c r="B146" s="1" t="str">
        <f t="shared" ref="B146:K146" si="340">B88</f>
        <v>Capex</v>
      </c>
      <c r="C146" s="22">
        <f t="shared" si="340"/>
        <v>551380.21799999999</v>
      </c>
      <c r="D146" s="22">
        <f t="shared" si="340"/>
        <v>523186.87</v>
      </c>
      <c r="E146" s="22">
        <f t="shared" si="340"/>
        <v>454189.44299999997</v>
      </c>
      <c r="F146" s="22">
        <f t="shared" si="340"/>
        <v>497128.95600000001</v>
      </c>
      <c r="G146" s="22">
        <f t="shared" si="340"/>
        <v>507874.09</v>
      </c>
      <c r="H146" s="22">
        <f t="shared" si="340"/>
        <v>-12814.071999999986</v>
      </c>
      <c r="I146" s="22">
        <f t="shared" si="340"/>
        <v>291709.94700000004</v>
      </c>
      <c r="J146" s="22">
        <f t="shared" si="340"/>
        <v>260440.52799999999</v>
      </c>
      <c r="K146" s="22">
        <f t="shared" si="340"/>
        <v>-12860.123000000021</v>
      </c>
      <c r="L146" s="22">
        <f t="shared" ref="L146:O147" si="341">L88</f>
        <v>-949742.07199999993</v>
      </c>
      <c r="M146" s="22">
        <f t="shared" si="341"/>
        <v>539724.12</v>
      </c>
      <c r="N146" s="22">
        <f>N88</f>
        <v>533826.28399999999</v>
      </c>
      <c r="O146" s="22">
        <f t="shared" si="341"/>
        <v>493971.73300000001</v>
      </c>
      <c r="P146" s="22"/>
      <c r="Q146" s="22"/>
      <c r="R146" s="22"/>
      <c r="S146" s="22"/>
      <c r="T146" s="22">
        <f t="shared" ref="T146:AS146" si="342">T88</f>
        <v>454189.44299999997</v>
      </c>
      <c r="U146" s="22">
        <f t="shared" si="342"/>
        <v>465147.97399999993</v>
      </c>
      <c r="V146" s="22">
        <f t="shared" si="342"/>
        <v>466767.93999999994</v>
      </c>
      <c r="W146" s="22">
        <f t="shared" si="342"/>
        <v>490639.66200000001</v>
      </c>
      <c r="X146" s="22">
        <f t="shared" si="342"/>
        <v>497128.95600000001</v>
      </c>
      <c r="Y146" s="22">
        <f t="shared" si="342"/>
        <v>519260.60600000003</v>
      </c>
      <c r="Z146" s="22">
        <f t="shared" si="342"/>
        <v>532705.32200000004</v>
      </c>
      <c r="AA146" s="22">
        <f t="shared" si="342"/>
        <v>520586.48300000001</v>
      </c>
      <c r="AB146" s="22">
        <f t="shared" si="342"/>
        <v>507874.09</v>
      </c>
      <c r="AC146" s="22">
        <f t="shared" si="342"/>
        <v>518136.25700000004</v>
      </c>
      <c r="AD146" s="22">
        <f t="shared" si="342"/>
        <v>522549.87200000003</v>
      </c>
      <c r="AE146" s="22">
        <f t="shared" si="342"/>
        <v>488577.58</v>
      </c>
      <c r="AF146" s="22">
        <f t="shared" si="342"/>
        <v>-12814.071999999986</v>
      </c>
      <c r="AG146" s="22">
        <f t="shared" si="342"/>
        <v>-97611.718999999954</v>
      </c>
      <c r="AH146" s="22">
        <f t="shared" si="342"/>
        <v>-152239.511</v>
      </c>
      <c r="AI146" s="22">
        <f t="shared" si="342"/>
        <v>-126673.228</v>
      </c>
      <c r="AJ146" s="22">
        <f t="shared" si="342"/>
        <v>291709.94700000004</v>
      </c>
      <c r="AK146" s="22">
        <f t="shared" si="342"/>
        <v>338996.86500000011</v>
      </c>
      <c r="AL146" s="22">
        <f t="shared" si="342"/>
        <v>366636.17300000007</v>
      </c>
      <c r="AM146" s="22">
        <f t="shared" si="342"/>
        <v>340672.82400000002</v>
      </c>
      <c r="AN146" s="22">
        <f t="shared" si="342"/>
        <v>260440.52799999999</v>
      </c>
      <c r="AO146" s="22">
        <f t="shared" si="342"/>
        <v>299605.353</v>
      </c>
      <c r="AP146" s="22">
        <f t="shared" si="342"/>
        <v>-226196.554</v>
      </c>
      <c r="AQ146" s="22">
        <f t="shared" si="342"/>
        <v>-229546.86999999994</v>
      </c>
      <c r="AR146" s="22">
        <f t="shared" si="342"/>
        <v>-12860.123000000021</v>
      </c>
      <c r="AS146" s="22">
        <f t="shared" si="342"/>
        <v>5995.4949999999953</v>
      </c>
      <c r="AT146" s="22">
        <f t="shared" ref="AT146:AW147" si="343">AT88</f>
        <v>566214.90899999999</v>
      </c>
      <c r="AU146" s="22">
        <f t="shared" si="343"/>
        <v>597443.56499999994</v>
      </c>
      <c r="AV146" s="22">
        <f t="shared" si="343"/>
        <v>-949742.07199999993</v>
      </c>
      <c r="AW146" s="22">
        <f t="shared" si="343"/>
        <v>-999256.65899999975</v>
      </c>
      <c r="AX146" s="22">
        <f t="shared" ref="AX146:BA147" si="344">AX88</f>
        <v>-968661.23100000003</v>
      </c>
      <c r="AY146" s="22">
        <f t="shared" si="344"/>
        <v>-947733.97500000009</v>
      </c>
      <c r="AZ146" s="22">
        <f t="shared" si="344"/>
        <v>539724.12</v>
      </c>
      <c r="BA146" s="22">
        <f t="shared" si="344"/>
        <v>567646.04499999993</v>
      </c>
      <c r="BB146" s="22">
        <f t="shared" ref="BB146:BD147" si="345">BB88</f>
        <v>516055.86300000001</v>
      </c>
      <c r="BC146" s="22">
        <f t="shared" si="345"/>
        <v>486353.40499999997</v>
      </c>
      <c r="BD146" s="22">
        <f t="shared" si="345"/>
        <v>533826.28399999999</v>
      </c>
      <c r="BE146" s="22">
        <f>BE88</f>
        <v>493971.73300000001</v>
      </c>
    </row>
    <row r="147" spans="2:57">
      <c r="B147" s="1" t="str">
        <f t="shared" ref="B147:K147" si="346">B89</f>
        <v xml:space="preserve">Free cash flow </v>
      </c>
      <c r="C147" s="22">
        <f t="shared" si="346"/>
        <v>616403.83299999975</v>
      </c>
      <c r="D147" s="22">
        <f t="shared" si="346"/>
        <v>433732.54200000019</v>
      </c>
      <c r="E147" s="22">
        <f t="shared" si="346"/>
        <v>392037.82600000012</v>
      </c>
      <c r="F147" s="22">
        <f t="shared" si="346"/>
        <v>774396.86999999988</v>
      </c>
      <c r="G147" s="22">
        <f t="shared" si="346"/>
        <v>698161.20099999988</v>
      </c>
      <c r="H147" s="22">
        <f t="shared" si="346"/>
        <v>1673637.5140000002</v>
      </c>
      <c r="I147" s="22">
        <f t="shared" si="346"/>
        <v>1284359.8119999999</v>
      </c>
      <c r="J147" s="22">
        <f t="shared" si="346"/>
        <v>1210696.1310000001</v>
      </c>
      <c r="K147" s="22">
        <f t="shared" si="346"/>
        <v>2178405.8759999997</v>
      </c>
      <c r="L147" s="22">
        <f t="shared" si="341"/>
        <v>1732745.3509999998</v>
      </c>
      <c r="M147" s="22">
        <f t="shared" si="341"/>
        <v>28000.193999999956</v>
      </c>
      <c r="N147" s="22">
        <f>N89</f>
        <v>192494.35600000009</v>
      </c>
      <c r="O147" s="22">
        <f t="shared" si="341"/>
        <v>247062.75500000006</v>
      </c>
      <c r="P147" s="22"/>
      <c r="Q147" s="22"/>
      <c r="R147" s="22"/>
      <c r="S147" s="22"/>
      <c r="T147" s="22">
        <f t="shared" ref="T147:AS147" si="347">T89</f>
        <v>392037.82600000023</v>
      </c>
      <c r="U147" s="22">
        <f t="shared" si="347"/>
        <v>365993.60000000021</v>
      </c>
      <c r="V147" s="22">
        <f t="shared" si="347"/>
        <v>376493.83100000024</v>
      </c>
      <c r="W147" s="22">
        <f t="shared" si="347"/>
        <v>712721.201</v>
      </c>
      <c r="X147" s="22">
        <f t="shared" si="347"/>
        <v>774396.87</v>
      </c>
      <c r="Y147" s="22">
        <f t="shared" si="347"/>
        <v>707187.05499999993</v>
      </c>
      <c r="Z147" s="22">
        <f t="shared" si="347"/>
        <v>759070.78200000001</v>
      </c>
      <c r="AA147" s="22">
        <f t="shared" si="347"/>
        <v>705690.26300000027</v>
      </c>
      <c r="AB147" s="22">
        <f t="shared" si="347"/>
        <v>698161.20099999988</v>
      </c>
      <c r="AC147" s="22">
        <f t="shared" si="347"/>
        <v>802979.20299999975</v>
      </c>
      <c r="AD147" s="22">
        <f t="shared" si="347"/>
        <v>814884.08599999978</v>
      </c>
      <c r="AE147" s="22">
        <f t="shared" si="347"/>
        <v>903676.45099999965</v>
      </c>
      <c r="AF147" s="22">
        <f t="shared" si="347"/>
        <v>1673637.5140000002</v>
      </c>
      <c r="AG147" s="22">
        <f t="shared" si="347"/>
        <v>1752998.1370000003</v>
      </c>
      <c r="AH147" s="22">
        <f t="shared" si="347"/>
        <v>1787479.9610000004</v>
      </c>
      <c r="AI147" s="22">
        <f t="shared" si="347"/>
        <v>1924155.6300000004</v>
      </c>
      <c r="AJ147" s="22">
        <f t="shared" si="347"/>
        <v>1284359.8119999999</v>
      </c>
      <c r="AK147" s="22">
        <f t="shared" si="347"/>
        <v>1180322.7179999999</v>
      </c>
      <c r="AL147" s="22">
        <f t="shared" si="347"/>
        <v>1368471.747</v>
      </c>
      <c r="AM147" s="22">
        <f t="shared" si="347"/>
        <v>1246578.747</v>
      </c>
      <c r="AN147" s="22">
        <f t="shared" si="347"/>
        <v>1210696.1309999996</v>
      </c>
      <c r="AO147" s="22">
        <f t="shared" si="347"/>
        <v>1304177.3109999998</v>
      </c>
      <c r="AP147" s="22">
        <f t="shared" si="347"/>
        <v>2103160.0209999997</v>
      </c>
      <c r="AQ147" s="22">
        <f t="shared" si="347"/>
        <v>2131695.7599999998</v>
      </c>
      <c r="AR147" s="22">
        <f t="shared" si="347"/>
        <v>2178405.8759999997</v>
      </c>
      <c r="AS147" s="22">
        <f t="shared" si="347"/>
        <v>1767118.5149999997</v>
      </c>
      <c r="AT147" s="22">
        <f t="shared" si="343"/>
        <v>563078.06899999967</v>
      </c>
      <c r="AU147" s="22">
        <f t="shared" si="343"/>
        <v>411966.78599999979</v>
      </c>
      <c r="AV147" s="22">
        <f t="shared" si="343"/>
        <v>1732745.3509999998</v>
      </c>
      <c r="AW147" s="22">
        <f t="shared" si="343"/>
        <v>1832809.132</v>
      </c>
      <c r="AX147" s="22">
        <f t="shared" si="344"/>
        <v>1788543.9839999999</v>
      </c>
      <c r="AY147" s="22">
        <f t="shared" si="344"/>
        <v>1600528.0109999999</v>
      </c>
      <c r="AZ147" s="22">
        <f t="shared" si="344"/>
        <v>28000.193999999952</v>
      </c>
      <c r="BA147" s="22">
        <f t="shared" si="344"/>
        <v>34419.994999999952</v>
      </c>
      <c r="BB147" s="22">
        <f t="shared" si="345"/>
        <v>110419.8259999999</v>
      </c>
      <c r="BC147" s="22">
        <f t="shared" si="345"/>
        <v>209824.26399999997</v>
      </c>
      <c r="BD147" s="22">
        <f t="shared" si="345"/>
        <v>192494.35600000003</v>
      </c>
      <c r="BE147" s="22">
        <f>BE89</f>
        <v>247062.75500000003</v>
      </c>
    </row>
    <row r="148" spans="2:57">
      <c r="B148" s="1" t="s">
        <v>360</v>
      </c>
      <c r="C148" s="22">
        <f t="shared" ref="C148:K148" si="348">C118</f>
        <v>378919.37599999999</v>
      </c>
      <c r="D148" s="22">
        <f t="shared" si="348"/>
        <v>136492.47200000001</v>
      </c>
      <c r="E148" s="22">
        <f t="shared" si="348"/>
        <v>110914.83</v>
      </c>
      <c r="F148" s="22">
        <f t="shared" si="348"/>
        <v>145646.465</v>
      </c>
      <c r="G148" s="22">
        <f t="shared" si="348"/>
        <v>72748.25</v>
      </c>
      <c r="H148" s="22">
        <f t="shared" si="348"/>
        <v>447411.76</v>
      </c>
      <c r="I148" s="22">
        <f t="shared" si="348"/>
        <v>202481.23699999999</v>
      </c>
      <c r="J148" s="22">
        <f t="shared" si="348"/>
        <v>108604.768</v>
      </c>
      <c r="K148" s="22">
        <f t="shared" si="348"/>
        <v>186542.39600000001</v>
      </c>
      <c r="L148" s="22">
        <f>L118</f>
        <v>530862.38699999999</v>
      </c>
      <c r="M148" s="22">
        <f>M118</f>
        <v>79918.872000000003</v>
      </c>
      <c r="N148" s="22">
        <f>N118</f>
        <v>233650.19099999999</v>
      </c>
      <c r="O148" s="22">
        <f>O118</f>
        <v>215586.375</v>
      </c>
      <c r="P148" s="22"/>
      <c r="Q148" s="22"/>
      <c r="R148" s="22"/>
      <c r="S148" s="22"/>
      <c r="T148" s="22">
        <f t="shared" ref="T148:AB148" si="349">T118</f>
        <v>110914.83</v>
      </c>
      <c r="U148" s="22">
        <f t="shared" si="349"/>
        <v>78413.667000000001</v>
      </c>
      <c r="V148" s="22">
        <f t="shared" si="349"/>
        <v>108111.629</v>
      </c>
      <c r="W148" s="22">
        <f t="shared" si="349"/>
        <v>137463.20199999999</v>
      </c>
      <c r="X148" s="22">
        <f t="shared" si="349"/>
        <v>145646.465</v>
      </c>
      <c r="Y148" s="22">
        <f t="shared" si="349"/>
        <v>49631.281999999999</v>
      </c>
      <c r="Z148" s="22">
        <f t="shared" si="349"/>
        <v>32416.123</v>
      </c>
      <c r="AA148" s="22">
        <f t="shared" si="349"/>
        <v>9116.1180000000004</v>
      </c>
      <c r="AB148" s="22">
        <f t="shared" si="349"/>
        <v>72748.25</v>
      </c>
      <c r="AC148" s="22">
        <f t="shared" ref="AC148:AH148" si="350">AC118</f>
        <v>34322.866999999998</v>
      </c>
      <c r="AD148" s="22">
        <f t="shared" si="350"/>
        <v>25875.342000000001</v>
      </c>
      <c r="AE148" s="22">
        <f t="shared" si="350"/>
        <v>34301.08</v>
      </c>
      <c r="AF148" s="22">
        <f t="shared" si="350"/>
        <v>447411.76</v>
      </c>
      <c r="AG148" s="22">
        <f t="shared" si="350"/>
        <v>299895.77899999998</v>
      </c>
      <c r="AH148" s="22">
        <f t="shared" si="350"/>
        <v>340573.74200000003</v>
      </c>
      <c r="AI148" s="22">
        <f t="shared" ref="AI148:AN148" si="351">AI118</f>
        <v>302844.25400000002</v>
      </c>
      <c r="AJ148" s="22">
        <f t="shared" si="351"/>
        <v>202481.23699999999</v>
      </c>
      <c r="AK148" s="22">
        <f t="shared" si="351"/>
        <v>50590.504999999997</v>
      </c>
      <c r="AL148" s="22">
        <f t="shared" si="351"/>
        <v>106677.79399999999</v>
      </c>
      <c r="AM148" s="22">
        <f t="shared" si="351"/>
        <v>115646.353</v>
      </c>
      <c r="AN148" s="22">
        <f t="shared" si="351"/>
        <v>108604.768</v>
      </c>
      <c r="AO148" s="22">
        <f t="shared" ref="AO148:AT148" si="352">AO118</f>
        <v>111155.436</v>
      </c>
      <c r="AP148" s="22">
        <f t="shared" si="352"/>
        <v>211823.31899999999</v>
      </c>
      <c r="AQ148" s="22">
        <f t="shared" si="352"/>
        <v>273598.99400000001</v>
      </c>
      <c r="AR148" s="22">
        <f t="shared" si="352"/>
        <v>186542.39600000001</v>
      </c>
      <c r="AS148" s="22">
        <f t="shared" si="352"/>
        <v>101060.417</v>
      </c>
      <c r="AT148" s="22">
        <f t="shared" si="352"/>
        <v>85735.115000000005</v>
      </c>
      <c r="AU148" s="22">
        <f t="shared" ref="AU148:AZ148" si="353">AU118</f>
        <v>206689.54399999999</v>
      </c>
      <c r="AV148" s="22">
        <f t="shared" si="353"/>
        <v>530862.38699999999</v>
      </c>
      <c r="AW148" s="22">
        <f t="shared" si="353"/>
        <v>284520.86900000001</v>
      </c>
      <c r="AX148" s="22">
        <f t="shared" si="353"/>
        <v>87463.976999999999</v>
      </c>
      <c r="AY148" s="22">
        <f t="shared" si="353"/>
        <v>219167.09700000001</v>
      </c>
      <c r="AZ148" s="22">
        <f t="shared" si="353"/>
        <v>79918.872000000003</v>
      </c>
      <c r="BA148" s="22">
        <f>BA118</f>
        <v>180279.97099999999</v>
      </c>
      <c r="BB148" s="22">
        <f>BB118</f>
        <v>272786.95199999999</v>
      </c>
      <c r="BC148" s="22">
        <f>BC118</f>
        <v>239893.33300000001</v>
      </c>
      <c r="BD148" s="22">
        <f>BD118</f>
        <v>233650.19099999999</v>
      </c>
      <c r="BE148" s="22">
        <f>BE118</f>
        <v>215586.375</v>
      </c>
    </row>
    <row r="149" spans="2:57">
      <c r="B149" s="1" t="s">
        <v>344</v>
      </c>
      <c r="C149" s="22">
        <f t="shared" ref="C149:K149" si="354">C121</f>
        <v>1451504.8179999997</v>
      </c>
      <c r="D149" s="22">
        <f t="shared" si="354"/>
        <v>1673390.9020000002</v>
      </c>
      <c r="E149" s="22">
        <f t="shared" si="354"/>
        <v>1594008.7660000001</v>
      </c>
      <c r="F149" s="22">
        <f t="shared" si="354"/>
        <v>1584677.102</v>
      </c>
      <c r="G149" s="22">
        <f t="shared" si="354"/>
        <v>1807579.706</v>
      </c>
      <c r="H149" s="22">
        <f t="shared" si="354"/>
        <v>2488982.3470000001</v>
      </c>
      <c r="I149" s="22">
        <f t="shared" si="354"/>
        <v>2373750.1740000001</v>
      </c>
      <c r="J149" s="22">
        <f t="shared" si="354"/>
        <v>2718003.3760000002</v>
      </c>
      <c r="K149" s="22">
        <f t="shared" si="354"/>
        <v>2739871.0999999996</v>
      </c>
      <c r="L149" s="22">
        <f>L121</f>
        <v>2655315.8720000004</v>
      </c>
      <c r="M149" s="22">
        <f>M121</f>
        <v>2692348.8249999997</v>
      </c>
      <c r="N149" s="22">
        <f>N121</f>
        <v>2270526.3569999998</v>
      </c>
      <c r="O149" s="22">
        <f>O121</f>
        <v>2269198.031</v>
      </c>
      <c r="P149" s="22"/>
      <c r="Q149" s="22"/>
      <c r="R149" s="22"/>
      <c r="S149" s="22"/>
      <c r="T149" s="22">
        <f t="shared" ref="T149:AB149" si="355">T121</f>
        <v>1594008.7660000001</v>
      </c>
      <c r="U149" s="22">
        <f t="shared" si="355"/>
        <v>1586539.067</v>
      </c>
      <c r="V149" s="22">
        <f t="shared" si="355"/>
        <v>1683791.1719999998</v>
      </c>
      <c r="W149" s="22">
        <f t="shared" si="355"/>
        <v>1634327.432</v>
      </c>
      <c r="X149" s="22">
        <f t="shared" si="355"/>
        <v>1584677.102</v>
      </c>
      <c r="Y149" s="22">
        <f t="shared" si="355"/>
        <v>1566100.1770000001</v>
      </c>
      <c r="Z149" s="22">
        <f t="shared" si="355"/>
        <v>1661096.304</v>
      </c>
      <c r="AA149" s="22">
        <f t="shared" si="355"/>
        <v>1685314.16</v>
      </c>
      <c r="AB149" s="22">
        <f t="shared" si="355"/>
        <v>1807579.706</v>
      </c>
      <c r="AC149" s="22">
        <f t="shared" ref="AC149:AH149" si="356">AC121</f>
        <v>2078059.1049999997</v>
      </c>
      <c r="AD149" s="22">
        <f t="shared" si="356"/>
        <v>2158292.7510000002</v>
      </c>
      <c r="AE149" s="22">
        <f t="shared" si="356"/>
        <v>2245778.4129999997</v>
      </c>
      <c r="AF149" s="22">
        <f t="shared" si="356"/>
        <v>2488982.3470000001</v>
      </c>
      <c r="AG149" s="22">
        <f t="shared" si="356"/>
        <v>2676299.0129999998</v>
      </c>
      <c r="AH149" s="22">
        <f t="shared" si="356"/>
        <v>2607691.8079999997</v>
      </c>
      <c r="AI149" s="22">
        <f t="shared" ref="AI149:AN149" si="357">AI121</f>
        <v>2535692.1529999999</v>
      </c>
      <c r="AJ149" s="22">
        <f t="shared" si="357"/>
        <v>2373750.1740000001</v>
      </c>
      <c r="AK149" s="22">
        <f t="shared" si="357"/>
        <v>2396893.71</v>
      </c>
      <c r="AL149" s="22">
        <f t="shared" si="357"/>
        <v>2394446.591</v>
      </c>
      <c r="AM149" s="22">
        <f t="shared" si="357"/>
        <v>2572518.1769999997</v>
      </c>
      <c r="AN149" s="22">
        <f t="shared" si="357"/>
        <v>2718003.3760000002</v>
      </c>
      <c r="AO149" s="22">
        <f t="shared" ref="AO149:AT149" si="358">AO121</f>
        <v>2631502.736</v>
      </c>
      <c r="AP149" s="22">
        <f t="shared" si="358"/>
        <v>2983565.818</v>
      </c>
      <c r="AQ149" s="22">
        <f t="shared" si="358"/>
        <v>3081583.85</v>
      </c>
      <c r="AR149" s="22">
        <f t="shared" si="358"/>
        <v>2739871.0999999996</v>
      </c>
      <c r="AS149" s="22">
        <f t="shared" si="358"/>
        <v>2595186.6839999994</v>
      </c>
      <c r="AT149" s="22">
        <f t="shared" si="358"/>
        <v>2629433.8050000002</v>
      </c>
      <c r="AU149" s="22">
        <f t="shared" ref="AU149:AZ149" si="359">AU121</f>
        <v>2817759.6750000003</v>
      </c>
      <c r="AV149" s="22">
        <f t="shared" si="359"/>
        <v>2655315.8720000004</v>
      </c>
      <c r="AW149" s="22">
        <f t="shared" si="359"/>
        <v>2811505.1090000002</v>
      </c>
      <c r="AX149" s="22">
        <f t="shared" si="359"/>
        <v>2760217.9279999998</v>
      </c>
      <c r="AY149" s="22">
        <f t="shared" si="359"/>
        <v>2692023.5789999999</v>
      </c>
      <c r="AZ149" s="22">
        <f t="shared" si="359"/>
        <v>2692348.8249999997</v>
      </c>
      <c r="BA149" s="22">
        <f>BA121</f>
        <v>2626538.5219999999</v>
      </c>
      <c r="BB149" s="22">
        <f>BB121</f>
        <v>2649083.8420000002</v>
      </c>
      <c r="BC149" s="22">
        <f>BC121</f>
        <v>2329629.2459999998</v>
      </c>
      <c r="BD149" s="22">
        <f>BD121</f>
        <v>2270526.3569999998</v>
      </c>
      <c r="BE149" s="22">
        <f>BE121</f>
        <v>2269198.031</v>
      </c>
    </row>
    <row r="150" spans="2:57">
      <c r="B150" s="1" t="s">
        <v>361</v>
      </c>
      <c r="C150" s="22">
        <f t="shared" ref="C150:K150" si="360">C120</f>
        <v>1072585.4419999998</v>
      </c>
      <c r="D150" s="22">
        <f t="shared" si="360"/>
        <v>1536898.4300000002</v>
      </c>
      <c r="E150" s="22">
        <f t="shared" si="360"/>
        <v>1483093.936</v>
      </c>
      <c r="F150" s="22">
        <f t="shared" si="360"/>
        <v>1439030.6369999999</v>
      </c>
      <c r="G150" s="22">
        <f t="shared" si="360"/>
        <v>1734831.456</v>
      </c>
      <c r="H150" s="22">
        <f t="shared" si="360"/>
        <v>2041570.5870000001</v>
      </c>
      <c r="I150" s="22">
        <f t="shared" si="360"/>
        <v>2171268.9369999999</v>
      </c>
      <c r="J150" s="22">
        <f t="shared" si="360"/>
        <v>2609398.608</v>
      </c>
      <c r="K150" s="22">
        <f t="shared" si="360"/>
        <v>2553328.7039999994</v>
      </c>
      <c r="L150" s="22">
        <f>L120</f>
        <v>2124453.4850000003</v>
      </c>
      <c r="M150" s="22">
        <f>M120</f>
        <v>2612429.9529999997</v>
      </c>
      <c r="N150" s="22">
        <f>N120</f>
        <v>2036876.1659999997</v>
      </c>
      <c r="O150" s="22">
        <f>O120</f>
        <v>2053611.656</v>
      </c>
      <c r="P150" s="22"/>
      <c r="Q150" s="22"/>
      <c r="R150" s="22"/>
      <c r="S150" s="22"/>
      <c r="T150" s="22">
        <f t="shared" ref="T150:AB150" si="361">T120</f>
        <v>1483093.936</v>
      </c>
      <c r="U150" s="22">
        <f t="shared" si="361"/>
        <v>1508125.4000000001</v>
      </c>
      <c r="V150" s="22">
        <f t="shared" si="361"/>
        <v>1575679.5429999998</v>
      </c>
      <c r="W150" s="22">
        <f t="shared" si="361"/>
        <v>1496864.23</v>
      </c>
      <c r="X150" s="22">
        <f t="shared" si="361"/>
        <v>1439030.6369999999</v>
      </c>
      <c r="Y150" s="22">
        <f t="shared" si="361"/>
        <v>1516468.8950000003</v>
      </c>
      <c r="Z150" s="22">
        <f t="shared" si="361"/>
        <v>1628680.1810000001</v>
      </c>
      <c r="AA150" s="22">
        <f t="shared" si="361"/>
        <v>1676198.0419999999</v>
      </c>
      <c r="AB150" s="22">
        <f t="shared" si="361"/>
        <v>1734831.456</v>
      </c>
      <c r="AC150" s="22">
        <f t="shared" ref="AC150:AH150" si="362">AC120</f>
        <v>2043736.2379999997</v>
      </c>
      <c r="AD150" s="22">
        <f t="shared" si="362"/>
        <v>2132417.409</v>
      </c>
      <c r="AE150" s="22">
        <f t="shared" si="362"/>
        <v>2211477.3329999996</v>
      </c>
      <c r="AF150" s="22">
        <f t="shared" si="362"/>
        <v>2041570.5870000001</v>
      </c>
      <c r="AG150" s="22">
        <f t="shared" si="362"/>
        <v>2376403.2339999997</v>
      </c>
      <c r="AH150" s="22">
        <f t="shared" si="362"/>
        <v>2267118.0659999996</v>
      </c>
      <c r="AI150" s="22">
        <f t="shared" ref="AI150:AN150" si="363">AI120</f>
        <v>2232847.8989999997</v>
      </c>
      <c r="AJ150" s="22">
        <f t="shared" si="363"/>
        <v>2171268.9369999999</v>
      </c>
      <c r="AK150" s="22">
        <f t="shared" si="363"/>
        <v>2346303.2050000001</v>
      </c>
      <c r="AL150" s="22">
        <f t="shared" si="363"/>
        <v>2287768.7970000003</v>
      </c>
      <c r="AM150" s="22">
        <f t="shared" si="363"/>
        <v>2456871.8239999996</v>
      </c>
      <c r="AN150" s="22">
        <f t="shared" si="363"/>
        <v>2609398.608</v>
      </c>
      <c r="AO150" s="22">
        <f t="shared" ref="AO150:AT150" si="364">AO120</f>
        <v>2520347.2999999998</v>
      </c>
      <c r="AP150" s="22">
        <f t="shared" si="364"/>
        <v>2771742.4989999998</v>
      </c>
      <c r="AQ150" s="22">
        <f t="shared" si="364"/>
        <v>2807984.8560000001</v>
      </c>
      <c r="AR150" s="22">
        <f t="shared" si="364"/>
        <v>2553328.7039999994</v>
      </c>
      <c r="AS150" s="22">
        <f t="shared" si="364"/>
        <v>2494126.2669999995</v>
      </c>
      <c r="AT150" s="22">
        <f t="shared" si="364"/>
        <v>2543698.69</v>
      </c>
      <c r="AU150" s="22">
        <f t="shared" ref="AU150:AZ150" si="365">AU120</f>
        <v>2611070.1310000001</v>
      </c>
      <c r="AV150" s="22">
        <f t="shared" si="365"/>
        <v>2124453.4850000003</v>
      </c>
      <c r="AW150" s="22">
        <f t="shared" si="365"/>
        <v>2526984.2400000002</v>
      </c>
      <c r="AX150" s="22">
        <f t="shared" si="365"/>
        <v>2672753.9509999999</v>
      </c>
      <c r="AY150" s="22">
        <f t="shared" si="365"/>
        <v>2472856.4819999998</v>
      </c>
      <c r="AZ150" s="22">
        <f t="shared" si="365"/>
        <v>2612429.9529999997</v>
      </c>
      <c r="BA150" s="22">
        <f>BA120</f>
        <v>2446258.551</v>
      </c>
      <c r="BB150" s="22">
        <f>BB120</f>
        <v>2376296.89</v>
      </c>
      <c r="BC150" s="22">
        <f>BC120</f>
        <v>2089735.9129999997</v>
      </c>
      <c r="BD150" s="22">
        <f>BD120</f>
        <v>2036876.1659999997</v>
      </c>
      <c r="BE150" s="22">
        <f>BE120</f>
        <v>2053611.656</v>
      </c>
    </row>
    <row r="151" spans="2:57">
      <c r="B151" s="1" t="s">
        <v>362</v>
      </c>
      <c r="C151" s="22">
        <f t="shared" ref="C151:K151" si="366">+C123</f>
        <v>954238</v>
      </c>
      <c r="D151" s="22">
        <f t="shared" si="366"/>
        <v>1267873</v>
      </c>
      <c r="E151" s="22">
        <f t="shared" si="366"/>
        <v>1374110</v>
      </c>
      <c r="F151" s="22">
        <f t="shared" si="366"/>
        <v>1443171</v>
      </c>
      <c r="G151" s="22">
        <f t="shared" si="366"/>
        <v>1638100</v>
      </c>
      <c r="H151" s="22">
        <f t="shared" si="366"/>
        <v>1211900</v>
      </c>
      <c r="I151" s="22">
        <f t="shared" si="366"/>
        <v>1156900</v>
      </c>
      <c r="J151" s="22">
        <f t="shared" si="366"/>
        <v>1299800</v>
      </c>
      <c r="K151" s="22">
        <f t="shared" si="366"/>
        <v>1911200</v>
      </c>
      <c r="L151" s="22">
        <f>+L123</f>
        <v>1147700</v>
      </c>
      <c r="M151" s="22">
        <f>+M123</f>
        <v>1322700</v>
      </c>
      <c r="N151" s="22">
        <f>+N123</f>
        <v>1369000</v>
      </c>
      <c r="O151" s="22">
        <f>+O123</f>
        <v>1335700</v>
      </c>
      <c r="P151" s="22"/>
      <c r="Q151" s="22"/>
      <c r="R151" s="22"/>
      <c r="S151" s="22"/>
      <c r="T151" s="22">
        <f t="shared" ref="T151:AB151" si="367">+T123</f>
        <v>1374110</v>
      </c>
      <c r="U151" s="22">
        <f t="shared" si="367"/>
        <v>1426818</v>
      </c>
      <c r="V151" s="22">
        <f t="shared" si="367"/>
        <v>1474722</v>
      </c>
      <c r="W151" s="22">
        <f t="shared" si="367"/>
        <v>1451096</v>
      </c>
      <c r="X151" s="22">
        <f t="shared" si="367"/>
        <v>1443171</v>
      </c>
      <c r="Y151" s="22">
        <f t="shared" si="367"/>
        <v>1577139</v>
      </c>
      <c r="Z151" s="22">
        <f t="shared" si="367"/>
        <v>1612175</v>
      </c>
      <c r="AA151" s="22">
        <f t="shared" si="367"/>
        <v>1661894</v>
      </c>
      <c r="AB151" s="22">
        <f t="shared" si="367"/>
        <v>1638100</v>
      </c>
      <c r="AC151" s="22">
        <f t="shared" ref="AC151:AH151" si="368">+AC123</f>
        <v>1672290</v>
      </c>
      <c r="AD151" s="22">
        <f t="shared" si="368"/>
        <v>1729800</v>
      </c>
      <c r="AE151" s="22">
        <f t="shared" si="368"/>
        <v>1738400</v>
      </c>
      <c r="AF151" s="22">
        <f t="shared" si="368"/>
        <v>1211900</v>
      </c>
      <c r="AG151" s="22">
        <f t="shared" si="368"/>
        <v>1238000</v>
      </c>
      <c r="AH151" s="22">
        <f t="shared" si="368"/>
        <v>1303800</v>
      </c>
      <c r="AI151" s="22">
        <f t="shared" ref="AI151:AN151" si="369">+AI123</f>
        <v>1185400</v>
      </c>
      <c r="AJ151" s="22">
        <f t="shared" si="369"/>
        <v>1156900</v>
      </c>
      <c r="AK151" s="22">
        <f t="shared" si="369"/>
        <v>1282300</v>
      </c>
      <c r="AL151" s="22">
        <f t="shared" si="369"/>
        <v>1670000</v>
      </c>
      <c r="AM151" s="22">
        <f t="shared" si="369"/>
        <v>1614900</v>
      </c>
      <c r="AN151" s="22">
        <f t="shared" si="369"/>
        <v>1299800</v>
      </c>
      <c r="AO151" s="22">
        <f t="shared" ref="AO151:AT151" si="370">+AO123</f>
        <v>1282300</v>
      </c>
      <c r="AP151" s="22">
        <f t="shared" si="370"/>
        <v>1426100</v>
      </c>
      <c r="AQ151" s="22">
        <f t="shared" si="370"/>
        <v>1528400</v>
      </c>
      <c r="AR151" s="22">
        <f t="shared" si="370"/>
        <v>1911200</v>
      </c>
      <c r="AS151" s="22">
        <f t="shared" si="370"/>
        <v>2227500</v>
      </c>
      <c r="AT151" s="22">
        <f t="shared" si="370"/>
        <v>2329100</v>
      </c>
      <c r="AU151" s="22">
        <f t="shared" ref="AU151:AZ151" si="371">+AU123</f>
        <v>1592000</v>
      </c>
      <c r="AV151" s="22">
        <f t="shared" si="371"/>
        <v>1147700</v>
      </c>
      <c r="AW151" s="22">
        <f t="shared" si="371"/>
        <v>1208000</v>
      </c>
      <c r="AX151" s="22">
        <f t="shared" si="371"/>
        <v>1337800</v>
      </c>
      <c r="AY151" s="22">
        <f t="shared" si="371"/>
        <v>1352900</v>
      </c>
      <c r="AZ151" s="22">
        <f t="shared" si="371"/>
        <v>1322700</v>
      </c>
      <c r="BA151" s="22">
        <f>+BA123</f>
        <v>1363400</v>
      </c>
      <c r="BB151" s="22">
        <f>+BB123</f>
        <v>1423000</v>
      </c>
      <c r="BC151" s="22">
        <f>+BC123</f>
        <v>1358000</v>
      </c>
      <c r="BD151" s="22">
        <f>+BD123</f>
        <v>1369000</v>
      </c>
      <c r="BE151" s="22">
        <f>+BE123</f>
        <v>1335700</v>
      </c>
    </row>
    <row r="152" spans="2:57">
      <c r="B152" s="1" t="s">
        <v>363</v>
      </c>
      <c r="C152" s="38">
        <f t="shared" ref="C152:K152" si="372">C131</f>
        <v>3.4120911438334121</v>
      </c>
      <c r="D152" s="38">
        <f t="shared" si="372"/>
        <v>4.6928208617958909</v>
      </c>
      <c r="E152" s="38">
        <f t="shared" si="372"/>
        <v>3.7525448741279308</v>
      </c>
      <c r="F152" s="38">
        <f t="shared" si="372"/>
        <v>3.6254113864439894</v>
      </c>
      <c r="G152" s="38">
        <f t="shared" si="372"/>
        <v>4.2339910803169669</v>
      </c>
      <c r="H152" s="38">
        <f t="shared" si="372"/>
        <v>3.2307201571628652</v>
      </c>
      <c r="I152" s="38">
        <f t="shared" si="372"/>
        <v>3.4692188600990508</v>
      </c>
      <c r="J152" s="38">
        <f t="shared" si="372"/>
        <v>3.5186684327097923</v>
      </c>
      <c r="K152" s="38">
        <f t="shared" si="372"/>
        <v>2.1371632736953523</v>
      </c>
      <c r="L152" s="38">
        <f>L131</f>
        <v>3.4820975560824148</v>
      </c>
      <c r="M152" s="38">
        <f>M131</f>
        <v>3.4140309162910838</v>
      </c>
      <c r="N152" s="38">
        <f>N131</f>
        <v>2.7176534682811613</v>
      </c>
      <c r="O152" s="38">
        <f>O131</f>
        <v>2.6528388707831061</v>
      </c>
      <c r="P152" s="38"/>
      <c r="Q152" s="38"/>
      <c r="R152" s="38"/>
      <c r="S152" s="38"/>
      <c r="T152" s="38">
        <f t="shared" ref="T152:AB152" si="373">T131</f>
        <v>3.7525448741279308</v>
      </c>
      <c r="U152" s="38">
        <f t="shared" si="373"/>
        <v>3.7266956643193971</v>
      </c>
      <c r="V152" s="38">
        <f t="shared" si="373"/>
        <v>3.9546247667333394</v>
      </c>
      <c r="W152" s="38">
        <f t="shared" si="373"/>
        <v>3.783728233978437</v>
      </c>
      <c r="X152" s="38">
        <f t="shared" si="373"/>
        <v>3.6254113864439894</v>
      </c>
      <c r="Y152" s="38">
        <f t="shared" si="373"/>
        <v>3.6722425547987174</v>
      </c>
      <c r="Z152" s="38">
        <f t="shared" si="373"/>
        <v>3.9355784998984258</v>
      </c>
      <c r="AA152" s="38">
        <f t="shared" si="373"/>
        <v>4.0403319312047312</v>
      </c>
      <c r="AB152" s="38">
        <f t="shared" si="373"/>
        <v>4.2339910803169669</v>
      </c>
      <c r="AC152" s="38">
        <f t="shared" ref="AC152:AH152" si="374">AC131</f>
        <v>4.4652568738933862</v>
      </c>
      <c r="AD152" s="38">
        <f t="shared" si="374"/>
        <v>4.2418191968365591</v>
      </c>
      <c r="AE152" s="38">
        <f t="shared" si="374"/>
        <v>4.0899111877210421</v>
      </c>
      <c r="AF152" s="38">
        <f t="shared" si="374"/>
        <v>3.2307201571628652</v>
      </c>
      <c r="AG152" s="38">
        <f t="shared" si="374"/>
        <v>3.3233441487241446</v>
      </c>
      <c r="AH152" s="38">
        <f t="shared" si="374"/>
        <v>3.1369860539197107</v>
      </c>
      <c r="AI152" s="38">
        <f t="shared" ref="AI152:AN152" si="375">AI131</f>
        <v>2.9883036053734711</v>
      </c>
      <c r="AJ152" s="38">
        <f t="shared" si="375"/>
        <v>3.4692188600990508</v>
      </c>
      <c r="AK152" s="38">
        <f t="shared" si="375"/>
        <v>3.4781349524807728</v>
      </c>
      <c r="AL152" s="38">
        <f t="shared" si="375"/>
        <v>3.28090027757748</v>
      </c>
      <c r="AM152" s="38">
        <f t="shared" si="375"/>
        <v>3.3448731795516573</v>
      </c>
      <c r="AN152" s="38">
        <f t="shared" si="375"/>
        <v>3.5186684327097923</v>
      </c>
      <c r="AO152" s="38">
        <f t="shared" ref="AO152:AT152" si="376">AO131</f>
        <v>3.3546162374133597</v>
      </c>
      <c r="AP152" s="38">
        <f t="shared" si="376"/>
        <v>2.3549492005290777</v>
      </c>
      <c r="AQ152" s="38">
        <f t="shared" si="376"/>
        <v>2.3774493173884919</v>
      </c>
      <c r="AR152" s="38">
        <f t="shared" si="376"/>
        <v>2.1371632736953523</v>
      </c>
      <c r="AS152" s="38">
        <f t="shared" si="376"/>
        <v>2.1192999904454615</v>
      </c>
      <c r="AT152" s="38">
        <f t="shared" si="376"/>
        <v>3.597100639272655</v>
      </c>
      <c r="AU152" s="38">
        <f t="shared" ref="AU152:AZ152" si="377">AU131</f>
        <v>4.0958190519797668</v>
      </c>
      <c r="AV152" s="38">
        <f t="shared" si="377"/>
        <v>3.4820975560824148</v>
      </c>
      <c r="AW152" s="38">
        <f t="shared" si="377"/>
        <v>3.4361691467767725</v>
      </c>
      <c r="AX152" s="38">
        <f t="shared" si="377"/>
        <v>3.3460708654390001</v>
      </c>
      <c r="AY152" s="38">
        <f t="shared" si="377"/>
        <v>3.2454775573569812</v>
      </c>
      <c r="AZ152" s="38">
        <f t="shared" si="377"/>
        <v>3.4140309162910838</v>
      </c>
      <c r="BA152" s="38">
        <f>BA131</f>
        <v>3.3062828337849481</v>
      </c>
      <c r="BB152" s="38">
        <f>BB131</f>
        <v>3.3233191627466345</v>
      </c>
      <c r="BC152" s="38">
        <f>BC131</f>
        <v>2.8548087018432513</v>
      </c>
      <c r="BD152" s="38">
        <f>BD131</f>
        <v>2.7176534682811613</v>
      </c>
      <c r="BE152" s="38">
        <f>BE131</f>
        <v>2.6528388707831061</v>
      </c>
    </row>
    <row r="153" spans="2:57">
      <c r="B153" s="5" t="s">
        <v>364</v>
      </c>
      <c r="C153" s="37">
        <f t="shared" ref="C153:K153" si="378">C130</f>
        <v>2.5213552461338407</v>
      </c>
      <c r="D153" s="37">
        <f t="shared" si="378"/>
        <v>4.3100443573257525</v>
      </c>
      <c r="E153" s="37">
        <f t="shared" si="378"/>
        <v>3.4914340912646007</v>
      </c>
      <c r="F153" s="37">
        <f t="shared" si="378"/>
        <v>3.2922025882983621</v>
      </c>
      <c r="G153" s="37">
        <f t="shared" si="378"/>
        <v>4.0635889450273002</v>
      </c>
      <c r="H153" s="37">
        <f t="shared" si="378"/>
        <v>2.6499759050688527</v>
      </c>
      <c r="I153" s="37">
        <f t="shared" si="378"/>
        <v>3.173293983963966</v>
      </c>
      <c r="J153" s="37">
        <f t="shared" si="378"/>
        <v>3.378071047078226</v>
      </c>
      <c r="K153" s="37">
        <f t="shared" si="378"/>
        <v>1.991655859963978</v>
      </c>
      <c r="L153" s="37">
        <f>L130</f>
        <v>2.7859413511347659</v>
      </c>
      <c r="M153" s="37">
        <f>M130</f>
        <v>3.3126898503528284</v>
      </c>
      <c r="N153" s="37">
        <f>N130</f>
        <v>2.4379913317998687</v>
      </c>
      <c r="O153" s="37">
        <f>O130</f>
        <v>2.4008044922061118</v>
      </c>
      <c r="P153" s="37"/>
      <c r="Q153" s="37"/>
      <c r="R153" s="37"/>
      <c r="S153" s="37"/>
      <c r="T153" s="37">
        <f t="shared" ref="T153:AB153" si="379">T130</f>
        <v>3.4914340912646007</v>
      </c>
      <c r="U153" s="37">
        <f t="shared" si="379"/>
        <v>3.5425061420375079</v>
      </c>
      <c r="V153" s="37">
        <f t="shared" si="379"/>
        <v>3.7007091192795909</v>
      </c>
      <c r="W153" s="37">
        <f t="shared" si="379"/>
        <v>3.4654790335082581</v>
      </c>
      <c r="X153" s="37">
        <f t="shared" si="379"/>
        <v>3.2922025882983621</v>
      </c>
      <c r="Y153" s="37">
        <f t="shared" si="379"/>
        <v>3.5558655129681327</v>
      </c>
      <c r="Z153" s="37">
        <f t="shared" si="379"/>
        <v>3.8587760915000366</v>
      </c>
      <c r="AA153" s="37">
        <f t="shared" si="379"/>
        <v>4.0184771675539999</v>
      </c>
      <c r="AB153" s="37">
        <f t="shared" si="379"/>
        <v>4.0635889450273002</v>
      </c>
      <c r="AC153" s="37">
        <f t="shared" ref="AC153:AH153" si="380">AC130</f>
        <v>4.391505161329138</v>
      </c>
      <c r="AD153" s="37">
        <f t="shared" si="380"/>
        <v>4.1909648711805714</v>
      </c>
      <c r="AE153" s="37">
        <f t="shared" si="380"/>
        <v>4.0274435951790375</v>
      </c>
      <c r="AF153" s="37">
        <f t="shared" si="380"/>
        <v>2.6499759050688527</v>
      </c>
      <c r="AG153" s="37">
        <f t="shared" si="380"/>
        <v>2.9509429792264523</v>
      </c>
      <c r="AH153" s="37">
        <f t="shared" si="380"/>
        <v>2.7272846176887735</v>
      </c>
      <c r="AI153" s="37">
        <f t="shared" ref="AI153:AN153" si="381">AI130</f>
        <v>2.6314027982214134</v>
      </c>
      <c r="AJ153" s="37">
        <f t="shared" si="381"/>
        <v>3.173293983963966</v>
      </c>
      <c r="AK153" s="37">
        <f t="shared" si="381"/>
        <v>3.4047230181217172</v>
      </c>
      <c r="AL153" s="37">
        <f t="shared" si="381"/>
        <v>3.1347290473393556</v>
      </c>
      <c r="AM153" s="37">
        <f t="shared" si="381"/>
        <v>3.194505968186113</v>
      </c>
      <c r="AN153" s="37">
        <f t="shared" si="381"/>
        <v>3.378071047078226</v>
      </c>
      <c r="AO153" s="37">
        <f t="shared" ref="AO153:AT153" si="382">AO130</f>
        <v>3.212916278153898</v>
      </c>
      <c r="AP153" s="37">
        <f t="shared" si="382"/>
        <v>2.1877555851836474</v>
      </c>
      <c r="AQ153" s="37">
        <f t="shared" si="382"/>
        <v>2.1663670385391014</v>
      </c>
      <c r="AR153" s="37">
        <f t="shared" si="382"/>
        <v>1.991655859963978</v>
      </c>
      <c r="AS153" s="37">
        <f t="shared" si="382"/>
        <v>2.0367713068239812</v>
      </c>
      <c r="AT153" s="37">
        <f t="shared" si="382"/>
        <v>3.4798138544187514</v>
      </c>
      <c r="AU153" s="37">
        <f t="shared" ref="AU153:AZ153" si="383">AU130</f>
        <v>3.7953807357985929</v>
      </c>
      <c r="AV153" s="37">
        <f t="shared" si="383"/>
        <v>2.7859413511347659</v>
      </c>
      <c r="AW153" s="37">
        <f t="shared" si="383"/>
        <v>3.0884330432419467</v>
      </c>
      <c r="AX153" s="37">
        <f t="shared" si="383"/>
        <v>3.2400427644523573</v>
      </c>
      <c r="AY153" s="37">
        <f t="shared" si="383"/>
        <v>2.9812518276221742</v>
      </c>
      <c r="AZ153" s="37">
        <f t="shared" si="383"/>
        <v>3.3126898503528284</v>
      </c>
      <c r="BA153" s="37">
        <f>BA130</f>
        <v>3.0793466710749962</v>
      </c>
      <c r="BB153" s="37">
        <f>BB130</f>
        <v>2.981103453845396</v>
      </c>
      <c r="BC153" s="37">
        <f>BC130</f>
        <v>2.5608350681680752</v>
      </c>
      <c r="BD153" s="37">
        <f>BD130</f>
        <v>2.4379913317998687</v>
      </c>
      <c r="BE153" s="37">
        <f>BE130</f>
        <v>2.4008044922061123</v>
      </c>
    </row>
    <row r="154" spans="2:57" s="5" customFormat="1">
      <c r="B154" s="5" t="s">
        <v>365</v>
      </c>
      <c r="C154" s="37">
        <f t="shared" ref="C154:K154" si="384">+C133</f>
        <v>2.2431527532892472</v>
      </c>
      <c r="D154" s="37">
        <f t="shared" si="384"/>
        <v>3.5555953228839416</v>
      </c>
      <c r="E154" s="37">
        <f t="shared" si="384"/>
        <v>3.2348689335802128</v>
      </c>
      <c r="F154" s="37">
        <f t="shared" si="384"/>
        <v>3.3016748770979332</v>
      </c>
      <c r="G154" s="37">
        <f t="shared" si="384"/>
        <v>3.8370096575244599</v>
      </c>
      <c r="H154" s="37">
        <f t="shared" si="384"/>
        <v>1.5730564594742287</v>
      </c>
      <c r="I154" s="37">
        <f t="shared" si="384"/>
        <v>1.6908010553129891</v>
      </c>
      <c r="J154" s="37">
        <f t="shared" si="384"/>
        <v>1.6826929904579293</v>
      </c>
      <c r="K154" s="37">
        <f t="shared" si="384"/>
        <v>1.4907805147061692</v>
      </c>
      <c r="L154" s="37">
        <f>+L133</f>
        <v>1.5050576118861789</v>
      </c>
      <c r="M154" s="37">
        <f>+M133</f>
        <v>1.6772487469108752</v>
      </c>
      <c r="N154" s="37">
        <f>+N133</f>
        <v>1.6385925609745786</v>
      </c>
      <c r="O154" s="37">
        <f>+O133</f>
        <v>1.5615194581071776</v>
      </c>
      <c r="P154" s="37"/>
      <c r="Q154" s="37"/>
      <c r="R154" s="37"/>
      <c r="S154" s="37"/>
      <c r="T154" s="37">
        <f t="shared" ref="T154:AB154" si="385">+T133</f>
        <v>3.2348689335802128</v>
      </c>
      <c r="U154" s="37">
        <f t="shared" si="385"/>
        <v>3.351519395250337</v>
      </c>
      <c r="V154" s="37">
        <f t="shared" si="385"/>
        <v>3.4635958676035417</v>
      </c>
      <c r="W154" s="37">
        <f t="shared" si="385"/>
        <v>3.3595182935246566</v>
      </c>
      <c r="X154" s="37">
        <f t="shared" si="385"/>
        <v>3.3016748770979332</v>
      </c>
      <c r="Y154" s="37">
        <f t="shared" si="385"/>
        <v>3.6981267454595876</v>
      </c>
      <c r="Z154" s="37">
        <f t="shared" si="385"/>
        <v>3.8196709322602556</v>
      </c>
      <c r="AA154" s="37">
        <f t="shared" si="385"/>
        <v>3.9841849987645959</v>
      </c>
      <c r="AB154" s="37">
        <f t="shared" si="385"/>
        <v>3.8370096575244599</v>
      </c>
      <c r="AC154" s="37">
        <f t="shared" ref="AC154:AH154" si="386">+AC133</f>
        <v>3.5933551647671602</v>
      </c>
      <c r="AD154" s="37">
        <f t="shared" si="386"/>
        <v>3.3996772881196038</v>
      </c>
      <c r="AE154" s="37">
        <f t="shared" si="386"/>
        <v>3.1658963179882789</v>
      </c>
      <c r="AF154" s="37">
        <f t="shared" si="386"/>
        <v>1.5730564594742287</v>
      </c>
      <c r="AG154" s="37">
        <f t="shared" si="386"/>
        <v>1.5373095592590615</v>
      </c>
      <c r="AH154" s="37">
        <f t="shared" si="386"/>
        <v>1.5684378056306412</v>
      </c>
      <c r="AI154" s="37">
        <f t="shared" ref="AI154:AN154" si="387">+AI133</f>
        <v>1.3969894135684984</v>
      </c>
      <c r="AJ154" s="37">
        <f t="shared" si="387"/>
        <v>1.6908010553129891</v>
      </c>
      <c r="AK154" s="37">
        <f t="shared" si="387"/>
        <v>1.8607468620567638</v>
      </c>
      <c r="AL154" s="37">
        <f t="shared" si="387"/>
        <v>2.2882546155544596</v>
      </c>
      <c r="AM154" s="37">
        <f t="shared" si="387"/>
        <v>2.0997463675678323</v>
      </c>
      <c r="AN154" s="37">
        <f t="shared" si="387"/>
        <v>1.6826929904579293</v>
      </c>
      <c r="AO154" s="37">
        <f t="shared" ref="AO154:AT154" si="388">+AO133</f>
        <v>1.6346646128796392</v>
      </c>
      <c r="AP154" s="37">
        <f t="shared" si="388"/>
        <v>1.1256306244739656</v>
      </c>
      <c r="AQ154" s="37">
        <f t="shared" si="388"/>
        <v>1.1791642588912747</v>
      </c>
      <c r="AR154" s="37">
        <f t="shared" si="388"/>
        <v>1.4907805147061692</v>
      </c>
      <c r="AS154" s="37">
        <f t="shared" si="388"/>
        <v>1.8190370495586539</v>
      </c>
      <c r="AT154" s="37">
        <f t="shared" si="388"/>
        <v>3.1862399741719072</v>
      </c>
      <c r="AU154" s="37">
        <f t="shared" ref="AU154:AZ154" si="389">+AU133</f>
        <v>2.3140880283737428</v>
      </c>
      <c r="AV154" s="37">
        <f t="shared" si="389"/>
        <v>1.5050576118861789</v>
      </c>
      <c r="AW154" s="37">
        <f t="shared" si="389"/>
        <v>1.4763950867522115</v>
      </c>
      <c r="AX154" s="37">
        <f t="shared" si="389"/>
        <v>1.6217464419658296</v>
      </c>
      <c r="AY154" s="37">
        <f t="shared" si="389"/>
        <v>1.6310431385520416</v>
      </c>
      <c r="AZ154" s="37">
        <f t="shared" si="389"/>
        <v>1.6772487469108752</v>
      </c>
      <c r="BA154" s="37">
        <f>+BA133</f>
        <v>1.7162459175165292</v>
      </c>
      <c r="BB154" s="37">
        <f>+BB133</f>
        <v>1.7851768576030072</v>
      </c>
      <c r="BC154" s="37">
        <f>+BC133</f>
        <v>1.664140430825934</v>
      </c>
      <c r="BD154" s="37">
        <f>+BD133</f>
        <v>1.6385925609745784</v>
      </c>
      <c r="BE154" s="37">
        <f>+BE133</f>
        <v>1.5615194581071778</v>
      </c>
    </row>
    <row r="155" spans="2:57" s="5" customFormat="1"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U155" s="30"/>
      <c r="V155" s="30"/>
      <c r="Y155" s="30"/>
      <c r="Z155" s="30"/>
      <c r="AA155" s="30"/>
      <c r="AC155" s="30"/>
      <c r="AD155" s="30"/>
      <c r="AE155" s="30"/>
      <c r="AF155" s="30"/>
      <c r="AG155" s="30"/>
      <c r="AH155" s="30"/>
      <c r="AI155" s="30"/>
      <c r="AJ155" s="30"/>
      <c r="AK155" s="30"/>
      <c r="AL155" s="30"/>
      <c r="AM155" s="30"/>
      <c r="AN155" s="30"/>
      <c r="AO155" s="30"/>
      <c r="AP155" s="30"/>
      <c r="AQ155" s="30"/>
      <c r="AR155" s="30"/>
      <c r="AS155" s="30"/>
      <c r="AT155" s="30"/>
      <c r="AU155" s="30"/>
      <c r="AV155" s="30"/>
      <c r="AW155" s="30"/>
      <c r="AX155" s="30"/>
      <c r="AY155" s="30"/>
      <c r="AZ155" s="30"/>
      <c r="BA155" s="30"/>
      <c r="BB155" s="30"/>
      <c r="BC155" s="30"/>
      <c r="BD155" s="30"/>
      <c r="BE155" s="30"/>
    </row>
    <row r="156" spans="2:57">
      <c r="B156" s="16" t="s">
        <v>366</v>
      </c>
      <c r="C156" s="34"/>
      <c r="D156" s="34"/>
      <c r="E156" s="34"/>
      <c r="F156" s="34"/>
      <c r="G156" s="34"/>
      <c r="H156" s="34"/>
      <c r="I156" s="34"/>
      <c r="J156" s="34"/>
      <c r="K156" s="34"/>
      <c r="L156" s="34"/>
      <c r="M156" s="34"/>
      <c r="N156" s="34"/>
      <c r="O156" s="34"/>
      <c r="P156" s="305"/>
      <c r="Q156" s="34"/>
      <c r="R156" s="17"/>
      <c r="S156" s="17"/>
      <c r="T156" s="17"/>
      <c r="U156" s="34"/>
      <c r="V156" s="34"/>
      <c r="W156" s="17"/>
      <c r="X156" s="17"/>
      <c r="Y156" s="34"/>
      <c r="Z156" s="34"/>
      <c r="AA156" s="34"/>
      <c r="AB156" s="17"/>
      <c r="AC156" s="34"/>
      <c r="AD156" s="34"/>
      <c r="AE156" s="34"/>
      <c r="AF156" s="34"/>
      <c r="AG156" s="34"/>
      <c r="AH156" s="34"/>
      <c r="AI156" s="34"/>
      <c r="AJ156" s="34"/>
      <c r="AK156" s="34"/>
      <c r="AL156" s="34"/>
      <c r="AM156" s="34"/>
      <c r="AN156" s="34"/>
      <c r="AO156" s="34"/>
      <c r="AP156" s="34"/>
      <c r="AQ156" s="34"/>
      <c r="AR156" s="34"/>
      <c r="AS156" s="34"/>
      <c r="AT156" s="34"/>
      <c r="AU156" s="34"/>
      <c r="AV156" s="34"/>
      <c r="AW156" s="34"/>
      <c r="AX156" s="34"/>
      <c r="AY156" s="34"/>
      <c r="AZ156" s="34"/>
      <c r="BA156" s="34"/>
      <c r="BB156" s="34"/>
      <c r="BC156" s="34"/>
      <c r="BD156" s="34"/>
      <c r="BE156" s="34"/>
    </row>
    <row r="157" spans="2:57" s="2" customFormat="1">
      <c r="B157" s="58" t="s">
        <v>367</v>
      </c>
      <c r="C157" s="83">
        <f>+C80</f>
        <v>41974</v>
      </c>
      <c r="D157" s="83">
        <f>+D80</f>
        <v>42340</v>
      </c>
      <c r="E157" s="75">
        <f>+E80</f>
        <v>42707</v>
      </c>
      <c r="F157" s="75">
        <f>+F80</f>
        <v>43073</v>
      </c>
      <c r="G157" s="75">
        <f t="shared" ref="G157:N159" si="390">G3</f>
        <v>43438</v>
      </c>
      <c r="H157" s="75">
        <f t="shared" si="390"/>
        <v>43803</v>
      </c>
      <c r="I157" s="75">
        <f t="shared" si="390"/>
        <v>44169</v>
      </c>
      <c r="J157" s="75">
        <f t="shared" si="390"/>
        <v>44534</v>
      </c>
      <c r="K157" s="75">
        <f t="shared" si="390"/>
        <v>44926</v>
      </c>
      <c r="L157" s="75">
        <f t="shared" si="390"/>
        <v>45291</v>
      </c>
      <c r="M157" s="75">
        <f t="shared" si="390"/>
        <v>45657</v>
      </c>
      <c r="N157" s="75">
        <f t="shared" si="390"/>
        <v>46022</v>
      </c>
      <c r="O157" s="75">
        <f>+O80</f>
        <v>46112</v>
      </c>
      <c r="P157" s="327"/>
      <c r="Q157" s="34">
        <f t="shared" ref="Q157:Y157" si="391">+Q80</f>
        <v>42437</v>
      </c>
      <c r="R157" s="34">
        <f t="shared" si="391"/>
        <v>42527</v>
      </c>
      <c r="S157" s="34">
        <f t="shared" si="391"/>
        <v>42622</v>
      </c>
      <c r="T157" s="34">
        <f t="shared" si="391"/>
        <v>42714</v>
      </c>
      <c r="U157" s="34">
        <f t="shared" si="391"/>
        <v>42801</v>
      </c>
      <c r="V157" s="34">
        <f t="shared" si="391"/>
        <v>42892</v>
      </c>
      <c r="W157" s="34">
        <f t="shared" si="391"/>
        <v>42987</v>
      </c>
      <c r="X157" s="34">
        <f t="shared" si="391"/>
        <v>43079</v>
      </c>
      <c r="Y157" s="34">
        <f t="shared" si="391"/>
        <v>43190</v>
      </c>
      <c r="Z157" s="34">
        <f t="shared" ref="Z157:AB159" si="392">Z3</f>
        <v>43281</v>
      </c>
      <c r="AA157" s="34">
        <f t="shared" si="392"/>
        <v>43373</v>
      </c>
      <c r="AB157" s="34">
        <f t="shared" si="392"/>
        <v>43465</v>
      </c>
      <c r="AC157" s="34">
        <f t="shared" ref="AC157:AS157" si="393">+AC80</f>
        <v>43555</v>
      </c>
      <c r="AD157" s="34">
        <f t="shared" si="393"/>
        <v>43646</v>
      </c>
      <c r="AE157" s="34">
        <f t="shared" si="393"/>
        <v>43738</v>
      </c>
      <c r="AF157" s="34">
        <f t="shared" si="393"/>
        <v>43830</v>
      </c>
      <c r="AG157" s="34">
        <f t="shared" si="393"/>
        <v>43921</v>
      </c>
      <c r="AH157" s="34">
        <f t="shared" si="393"/>
        <v>44012</v>
      </c>
      <c r="AI157" s="34">
        <f t="shared" si="393"/>
        <v>44104</v>
      </c>
      <c r="AJ157" s="34">
        <f t="shared" si="393"/>
        <v>44196</v>
      </c>
      <c r="AK157" s="34">
        <f t="shared" si="393"/>
        <v>44286</v>
      </c>
      <c r="AL157" s="34">
        <f t="shared" si="393"/>
        <v>44377</v>
      </c>
      <c r="AM157" s="34">
        <f t="shared" si="393"/>
        <v>44469</v>
      </c>
      <c r="AN157" s="34">
        <f t="shared" si="393"/>
        <v>44560</v>
      </c>
      <c r="AO157" s="34">
        <f t="shared" si="393"/>
        <v>44651</v>
      </c>
      <c r="AP157" s="34">
        <f t="shared" si="393"/>
        <v>44742</v>
      </c>
      <c r="AQ157" s="34">
        <f t="shared" si="393"/>
        <v>44834</v>
      </c>
      <c r="AR157" s="34">
        <f t="shared" si="393"/>
        <v>44926</v>
      </c>
      <c r="AS157" s="34">
        <f t="shared" si="393"/>
        <v>45016</v>
      </c>
      <c r="AT157" s="34">
        <f t="shared" ref="AT157:AY157" si="394">+AT80</f>
        <v>45107</v>
      </c>
      <c r="AU157" s="34">
        <f t="shared" si="394"/>
        <v>45199</v>
      </c>
      <c r="AV157" s="34">
        <f t="shared" si="394"/>
        <v>45291</v>
      </c>
      <c r="AW157" s="34">
        <f t="shared" si="394"/>
        <v>45382</v>
      </c>
      <c r="AX157" s="34">
        <f t="shared" si="394"/>
        <v>45473</v>
      </c>
      <c r="AY157" s="34">
        <f t="shared" si="394"/>
        <v>45565</v>
      </c>
      <c r="AZ157" s="34">
        <f t="shared" ref="AZ157:BE157" si="395">+AZ80</f>
        <v>45657</v>
      </c>
      <c r="BA157" s="34">
        <f t="shared" si="395"/>
        <v>45747</v>
      </c>
      <c r="BB157" s="34">
        <f t="shared" si="395"/>
        <v>45838</v>
      </c>
      <c r="BC157" s="34">
        <f t="shared" si="395"/>
        <v>45930</v>
      </c>
      <c r="BD157" s="34">
        <f t="shared" si="395"/>
        <v>46022</v>
      </c>
      <c r="BE157" s="34">
        <f t="shared" si="395"/>
        <v>46112</v>
      </c>
    </row>
    <row r="158" spans="2:57" s="5" customFormat="1">
      <c r="B158" s="11"/>
      <c r="C158" s="14" t="str">
        <f t="shared" ref="C158:F159" si="396">C4</f>
        <v>Act</v>
      </c>
      <c r="D158" s="14" t="str">
        <f t="shared" si="396"/>
        <v>Act</v>
      </c>
      <c r="E158" s="14" t="str">
        <f t="shared" si="396"/>
        <v>Act</v>
      </c>
      <c r="F158" s="14" t="str">
        <f t="shared" si="396"/>
        <v>Act</v>
      </c>
      <c r="G158" s="14" t="str">
        <f t="shared" si="390"/>
        <v>Act</v>
      </c>
      <c r="H158" s="14" t="str">
        <f t="shared" si="390"/>
        <v>Act</v>
      </c>
      <c r="I158" s="14" t="str">
        <f t="shared" si="390"/>
        <v>Act</v>
      </c>
      <c r="J158" s="14" t="str">
        <f t="shared" si="390"/>
        <v>Act</v>
      </c>
      <c r="K158" s="14" t="str">
        <f t="shared" si="390"/>
        <v>Act</v>
      </c>
      <c r="L158" s="14" t="str">
        <f t="shared" si="390"/>
        <v>Act</v>
      </c>
      <c r="M158" s="14" t="str">
        <f t="shared" si="390"/>
        <v>Act</v>
      </c>
      <c r="N158" s="14" t="str">
        <f t="shared" si="390"/>
        <v>Act</v>
      </c>
      <c r="O158" s="14" t="str">
        <f>O4</f>
        <v>Act</v>
      </c>
      <c r="P158" s="242"/>
      <c r="Q158" s="14" t="str">
        <f t="shared" ref="Q158:Y158" si="397">Q4</f>
        <v>Act</v>
      </c>
      <c r="R158" s="14" t="str">
        <f t="shared" si="397"/>
        <v>Act</v>
      </c>
      <c r="S158" s="14" t="str">
        <f t="shared" si="397"/>
        <v>Act</v>
      </c>
      <c r="T158" s="14" t="str">
        <f t="shared" si="397"/>
        <v>Act</v>
      </c>
      <c r="U158" s="14" t="str">
        <f t="shared" si="397"/>
        <v>Act</v>
      </c>
      <c r="V158" s="14" t="str">
        <f t="shared" si="397"/>
        <v>Act</v>
      </c>
      <c r="W158" s="14" t="str">
        <f t="shared" si="397"/>
        <v>Act</v>
      </c>
      <c r="X158" s="14" t="str">
        <f t="shared" si="397"/>
        <v>Act</v>
      </c>
      <c r="Y158" s="14" t="str">
        <f t="shared" si="397"/>
        <v>Act</v>
      </c>
      <c r="Z158" s="14" t="str">
        <f t="shared" si="392"/>
        <v>Act</v>
      </c>
      <c r="AA158" s="14" t="str">
        <f t="shared" si="392"/>
        <v>Act</v>
      </c>
      <c r="AB158" s="14" t="str">
        <f t="shared" si="392"/>
        <v>Act</v>
      </c>
      <c r="AC158" s="14" t="str">
        <f t="shared" ref="AC158:AS158" si="398">AC4</f>
        <v>Act</v>
      </c>
      <c r="AD158" s="14" t="str">
        <f t="shared" si="398"/>
        <v>Act</v>
      </c>
      <c r="AE158" s="14" t="str">
        <f t="shared" si="398"/>
        <v>Act</v>
      </c>
      <c r="AF158" s="14" t="str">
        <f t="shared" si="398"/>
        <v>Act</v>
      </c>
      <c r="AG158" s="14" t="str">
        <f t="shared" si="398"/>
        <v>Act</v>
      </c>
      <c r="AH158" s="14" t="str">
        <f t="shared" si="398"/>
        <v>Act</v>
      </c>
      <c r="AI158" s="14" t="str">
        <f t="shared" si="398"/>
        <v>Act</v>
      </c>
      <c r="AJ158" s="14" t="str">
        <f t="shared" si="398"/>
        <v>Act</v>
      </c>
      <c r="AK158" s="14" t="str">
        <f t="shared" si="398"/>
        <v>Act</v>
      </c>
      <c r="AL158" s="14" t="str">
        <f t="shared" si="398"/>
        <v>Act</v>
      </c>
      <c r="AM158" s="14" t="str">
        <f t="shared" si="398"/>
        <v>Act</v>
      </c>
      <c r="AN158" s="14" t="str">
        <f t="shared" si="398"/>
        <v>Act</v>
      </c>
      <c r="AO158" s="14" t="str">
        <f t="shared" si="398"/>
        <v>Act</v>
      </c>
      <c r="AP158" s="14" t="str">
        <f t="shared" si="398"/>
        <v>Act</v>
      </c>
      <c r="AQ158" s="14" t="str">
        <f t="shared" si="398"/>
        <v>Act</v>
      </c>
      <c r="AR158" s="14" t="str">
        <f t="shared" si="398"/>
        <v>Act</v>
      </c>
      <c r="AS158" s="14" t="str">
        <f t="shared" si="398"/>
        <v>Act</v>
      </c>
      <c r="AT158" s="14" t="str">
        <f t="shared" ref="AT158:BE158" si="399">AT4</f>
        <v>Act</v>
      </c>
      <c r="AU158" s="14" t="str">
        <f t="shared" si="399"/>
        <v>Act</v>
      </c>
      <c r="AV158" s="14" t="str">
        <f t="shared" si="399"/>
        <v>Act</v>
      </c>
      <c r="AW158" s="14" t="str">
        <f t="shared" si="399"/>
        <v>Act</v>
      </c>
      <c r="AX158" s="14" t="str">
        <f t="shared" si="399"/>
        <v>Act</v>
      </c>
      <c r="AY158" s="14" t="str">
        <f t="shared" si="399"/>
        <v>Act</v>
      </c>
      <c r="AZ158" s="14" t="str">
        <f t="shared" si="399"/>
        <v>Act</v>
      </c>
      <c r="BA158" s="14" t="str">
        <f t="shared" si="399"/>
        <v>Act</v>
      </c>
      <c r="BB158" s="14" t="str">
        <f t="shared" si="399"/>
        <v>Act</v>
      </c>
      <c r="BC158" s="14" t="str">
        <f t="shared" si="399"/>
        <v>Act</v>
      </c>
      <c r="BD158" s="14" t="str">
        <f t="shared" si="399"/>
        <v>Act</v>
      </c>
      <c r="BE158" s="14" t="str">
        <f t="shared" si="399"/>
        <v>Act</v>
      </c>
    </row>
    <row r="159" spans="2:57" s="3" customFormat="1">
      <c r="C159" s="21" t="str">
        <f t="shared" si="396"/>
        <v>FY</v>
      </c>
      <c r="D159" s="21" t="str">
        <f t="shared" si="396"/>
        <v>FY</v>
      </c>
      <c r="E159" s="21" t="str">
        <f t="shared" si="396"/>
        <v>FY</v>
      </c>
      <c r="F159" s="21" t="str">
        <f t="shared" si="396"/>
        <v>FY</v>
      </c>
      <c r="G159" s="21" t="str">
        <f t="shared" si="390"/>
        <v>FY</v>
      </c>
      <c r="H159" s="21" t="str">
        <f t="shared" si="390"/>
        <v>FY</v>
      </c>
      <c r="I159" s="21" t="str">
        <f t="shared" si="390"/>
        <v>FY</v>
      </c>
      <c r="J159" s="21" t="str">
        <f t="shared" si="390"/>
        <v>FY</v>
      </c>
      <c r="K159" s="21" t="str">
        <f t="shared" si="390"/>
        <v>FY</v>
      </c>
      <c r="L159" s="21" t="str">
        <f t="shared" si="390"/>
        <v>FY</v>
      </c>
      <c r="M159" s="21" t="str">
        <f t="shared" si="390"/>
        <v>FY</v>
      </c>
      <c r="N159" s="21" t="str">
        <f t="shared" si="390"/>
        <v>FY</v>
      </c>
      <c r="O159" s="246" t="str">
        <f>O5</f>
        <v>LTM</v>
      </c>
      <c r="P159" s="21"/>
      <c r="Q159" s="21" t="str">
        <f t="shared" ref="Q159:Y159" si="400">Q5</f>
        <v>Q1</v>
      </c>
      <c r="R159" s="21" t="str">
        <f t="shared" si="400"/>
        <v>Q2</v>
      </c>
      <c r="S159" s="21" t="str">
        <f t="shared" si="400"/>
        <v>Q3</v>
      </c>
      <c r="T159" s="21" t="str">
        <f t="shared" si="400"/>
        <v>Q4</v>
      </c>
      <c r="U159" s="21" t="str">
        <f t="shared" si="400"/>
        <v>Q1</v>
      </c>
      <c r="V159" s="21" t="str">
        <f t="shared" si="400"/>
        <v>Q2</v>
      </c>
      <c r="W159" s="21" t="str">
        <f t="shared" si="400"/>
        <v>Q3</v>
      </c>
      <c r="X159" s="21" t="str">
        <f t="shared" si="400"/>
        <v>Q4</v>
      </c>
      <c r="Y159" s="21" t="str">
        <f t="shared" si="400"/>
        <v>Q1</v>
      </c>
      <c r="Z159" s="21" t="str">
        <f t="shared" si="392"/>
        <v>Q2</v>
      </c>
      <c r="AA159" s="21" t="str">
        <f t="shared" si="392"/>
        <v>Q3</v>
      </c>
      <c r="AB159" s="21" t="str">
        <f t="shared" si="392"/>
        <v>Q4</v>
      </c>
      <c r="AC159" s="21" t="str">
        <f t="shared" ref="AC159:AS159" si="401">AC5</f>
        <v>Q1</v>
      </c>
      <c r="AD159" s="21" t="str">
        <f t="shared" si="401"/>
        <v>Q2</v>
      </c>
      <c r="AE159" s="21" t="str">
        <f t="shared" si="401"/>
        <v>Q3</v>
      </c>
      <c r="AF159" s="21" t="str">
        <f t="shared" si="401"/>
        <v>Q4</v>
      </c>
      <c r="AG159" s="21" t="str">
        <f t="shared" si="401"/>
        <v>Q1</v>
      </c>
      <c r="AH159" s="21" t="str">
        <f t="shared" si="401"/>
        <v>Q2</v>
      </c>
      <c r="AI159" s="21" t="str">
        <f t="shared" si="401"/>
        <v>Q3</v>
      </c>
      <c r="AJ159" s="21" t="str">
        <f t="shared" si="401"/>
        <v>Q4</v>
      </c>
      <c r="AK159" s="21" t="str">
        <f t="shared" si="401"/>
        <v>Q1</v>
      </c>
      <c r="AL159" s="21" t="str">
        <f t="shared" si="401"/>
        <v>Q2</v>
      </c>
      <c r="AM159" s="21" t="str">
        <f t="shared" si="401"/>
        <v>Q3</v>
      </c>
      <c r="AN159" s="21" t="str">
        <f t="shared" si="401"/>
        <v>Q4</v>
      </c>
      <c r="AO159" s="21" t="str">
        <f t="shared" si="401"/>
        <v>Q1</v>
      </c>
      <c r="AP159" s="21" t="str">
        <f t="shared" si="401"/>
        <v>Q2</v>
      </c>
      <c r="AQ159" s="21" t="str">
        <f t="shared" si="401"/>
        <v>Q3</v>
      </c>
      <c r="AR159" s="21" t="str">
        <f t="shared" si="401"/>
        <v>Q4</v>
      </c>
      <c r="AS159" s="21" t="str">
        <f t="shared" si="401"/>
        <v>Q1</v>
      </c>
      <c r="AT159" s="21" t="str">
        <f t="shared" ref="AT159:BE159" si="402">AT5</f>
        <v>Q2</v>
      </c>
      <c r="AU159" s="21" t="str">
        <f t="shared" si="402"/>
        <v>Q3</v>
      </c>
      <c r="AV159" s="21" t="str">
        <f t="shared" si="402"/>
        <v>Q4</v>
      </c>
      <c r="AW159" s="21" t="str">
        <f t="shared" si="402"/>
        <v>Q1</v>
      </c>
      <c r="AX159" s="21" t="str">
        <f t="shared" si="402"/>
        <v>Q2</v>
      </c>
      <c r="AY159" s="21" t="str">
        <f t="shared" si="402"/>
        <v>Q3</v>
      </c>
      <c r="AZ159" s="21" t="str">
        <f t="shared" si="402"/>
        <v>Q4</v>
      </c>
      <c r="BA159" s="21" t="str">
        <f t="shared" si="402"/>
        <v>Q1</v>
      </c>
      <c r="BB159" s="21" t="str">
        <f t="shared" si="402"/>
        <v>Q2</v>
      </c>
      <c r="BC159" s="21" t="str">
        <f t="shared" si="402"/>
        <v>Q3</v>
      </c>
      <c r="BD159" s="21" t="str">
        <f t="shared" si="402"/>
        <v>Q4</v>
      </c>
      <c r="BE159" s="21" t="str">
        <f t="shared" si="402"/>
        <v>Q1</v>
      </c>
    </row>
    <row r="160" spans="2:57" s="5" customFormat="1">
      <c r="B160" s="5" t="str">
        <f t="shared" ref="B160:K160" si="403">+B7</f>
        <v>Revenues</v>
      </c>
      <c r="C160" s="41">
        <f t="shared" si="403"/>
        <v>1657770.3729999999</v>
      </c>
      <c r="D160" s="41">
        <f t="shared" si="403"/>
        <v>1784612.6629999999</v>
      </c>
      <c r="E160" s="41">
        <f t="shared" si="403"/>
        <v>1867697.07</v>
      </c>
      <c r="F160" s="41">
        <f t="shared" si="403"/>
        <v>1943071.1980000001</v>
      </c>
      <c r="G160" s="41">
        <f t="shared" si="403"/>
        <v>1913174.2819999999</v>
      </c>
      <c r="H160" s="41">
        <f t="shared" si="403"/>
        <v>1978791.9879999999</v>
      </c>
      <c r="I160" s="41">
        <f t="shared" si="403"/>
        <v>2092644.2320000001</v>
      </c>
      <c r="J160" s="41">
        <f t="shared" si="403"/>
        <v>2408809.5970000001</v>
      </c>
      <c r="K160" s="41">
        <f t="shared" si="403"/>
        <v>2540682.9040000001</v>
      </c>
      <c r="L160" s="41">
        <f>+L7</f>
        <v>2473692.31</v>
      </c>
      <c r="M160" s="41">
        <f>+M7</f>
        <v>2703236.7280000001</v>
      </c>
      <c r="N160" s="41">
        <f>+N7</f>
        <v>2954930.2779999999</v>
      </c>
      <c r="O160" s="41">
        <f>+O7</f>
        <v>3002583.4279999998</v>
      </c>
      <c r="P160" s="41"/>
      <c r="Q160" s="41">
        <f t="shared" ref="Q160:AS160" si="404">+Q7</f>
        <v>459463.62800000003</v>
      </c>
      <c r="R160" s="41">
        <f t="shared" si="404"/>
        <v>456836.14599999995</v>
      </c>
      <c r="S160" s="41">
        <f t="shared" si="404"/>
        <v>467901.2790000001</v>
      </c>
      <c r="T160" s="41">
        <f t="shared" si="404"/>
        <v>483496.01699999999</v>
      </c>
      <c r="U160" s="41">
        <f t="shared" si="404"/>
        <v>473615.33899999998</v>
      </c>
      <c r="V160" s="41">
        <f t="shared" si="404"/>
        <v>478730.77799999999</v>
      </c>
      <c r="W160" s="41">
        <f t="shared" si="404"/>
        <v>479906.64200000017</v>
      </c>
      <c r="X160" s="41">
        <f t="shared" si="404"/>
        <v>510818.43899999995</v>
      </c>
      <c r="Y160" s="41">
        <f t="shared" si="404"/>
        <v>461181.571</v>
      </c>
      <c r="Z160" s="41">
        <f t="shared" si="404"/>
        <v>465675.83700000006</v>
      </c>
      <c r="AA160" s="41">
        <f t="shared" si="404"/>
        <v>481324.43500000006</v>
      </c>
      <c r="AB160" s="41">
        <f t="shared" si="404"/>
        <v>504992.43899999978</v>
      </c>
      <c r="AC160" s="41">
        <f t="shared" si="404"/>
        <v>471553.29300000001</v>
      </c>
      <c r="AD160" s="41">
        <f t="shared" si="404"/>
        <v>482669.89799999999</v>
      </c>
      <c r="AE160" s="41">
        <f t="shared" si="404"/>
        <v>496056.71</v>
      </c>
      <c r="AF160" s="41">
        <f t="shared" si="404"/>
        <v>528512.08699999982</v>
      </c>
      <c r="AG160" s="41">
        <f t="shared" si="404"/>
        <v>513442.27600000001</v>
      </c>
      <c r="AH160" s="41">
        <f t="shared" si="404"/>
        <v>457638.94199999998</v>
      </c>
      <c r="AI160" s="41">
        <f t="shared" si="404"/>
        <v>534454.76500000001</v>
      </c>
      <c r="AJ160" s="41">
        <f t="shared" si="404"/>
        <v>587108.24900000007</v>
      </c>
      <c r="AK160" s="41">
        <f t="shared" si="404"/>
        <v>557729.50600000005</v>
      </c>
      <c r="AL160" s="41">
        <f t="shared" si="404"/>
        <v>591680.98600000003</v>
      </c>
      <c r="AM160" s="41">
        <f t="shared" si="404"/>
        <v>608206.87800000003</v>
      </c>
      <c r="AN160" s="41">
        <f t="shared" si="404"/>
        <v>651192.22699999996</v>
      </c>
      <c r="AO160" s="41">
        <f t="shared" si="404"/>
        <v>640785.57799999998</v>
      </c>
      <c r="AP160" s="41">
        <f t="shared" si="404"/>
        <v>646628.74600000004</v>
      </c>
      <c r="AQ160" s="41">
        <f t="shared" si="404"/>
        <v>622782.22699999996</v>
      </c>
      <c r="AR160" s="41">
        <f t="shared" si="404"/>
        <v>630486.35300000012</v>
      </c>
      <c r="AS160" s="41">
        <f t="shared" si="404"/>
        <v>601409.65899999999</v>
      </c>
      <c r="AT160" s="41">
        <f t="shared" ref="AT160:AY160" si="405">+AT7</f>
        <v>607222.75899999996</v>
      </c>
      <c r="AU160" s="41">
        <f t="shared" si="405"/>
        <v>603807.07299999997</v>
      </c>
      <c r="AV160" s="41">
        <f t="shared" si="405"/>
        <v>661252.81900000002</v>
      </c>
      <c r="AW160" s="41">
        <f t="shared" si="405"/>
        <v>649744.55900000001</v>
      </c>
      <c r="AX160" s="41">
        <f t="shared" si="405"/>
        <v>660664.45900000003</v>
      </c>
      <c r="AY160" s="41">
        <f t="shared" si="405"/>
        <v>659565.951</v>
      </c>
      <c r="AZ160" s="41">
        <f t="shared" ref="AZ160:BE160" si="406">+AZ7</f>
        <v>733261.75900000019</v>
      </c>
      <c r="BA160" s="41">
        <f t="shared" si="406"/>
        <v>707083.92599999998</v>
      </c>
      <c r="BB160" s="41">
        <f t="shared" si="406"/>
        <v>705636.92699999991</v>
      </c>
      <c r="BC160" s="41">
        <f t="shared" si="406"/>
        <v>730437.03500000003</v>
      </c>
      <c r="BD160" s="41">
        <f t="shared" si="406"/>
        <v>811772.39</v>
      </c>
      <c r="BE160" s="41">
        <f t="shared" si="406"/>
        <v>754737.076</v>
      </c>
    </row>
    <row r="161" spans="2:57" s="35" customFormat="1">
      <c r="B161" s="25" t="s">
        <v>276</v>
      </c>
      <c r="C161" s="51"/>
      <c r="D161" s="51"/>
      <c r="E161" s="51">
        <f t="shared" ref="E161:N161" si="407">+E160/D160-1</f>
        <v>4.6555988715406782E-2</v>
      </c>
      <c r="F161" s="51">
        <f t="shared" si="407"/>
        <v>4.035672016126246E-2</v>
      </c>
      <c r="G161" s="51">
        <f t="shared" si="407"/>
        <v>-1.5386423323434095E-2</v>
      </c>
      <c r="H161" s="51">
        <f t="shared" si="407"/>
        <v>3.4297819397511642E-2</v>
      </c>
      <c r="I161" s="51">
        <f t="shared" si="407"/>
        <v>5.7536236598103807E-2</v>
      </c>
      <c r="J161" s="51">
        <f t="shared" si="407"/>
        <v>0.15108414520027225</v>
      </c>
      <c r="K161" s="51">
        <f t="shared" si="407"/>
        <v>5.4746256061184218E-2</v>
      </c>
      <c r="L161" s="51">
        <f t="shared" si="407"/>
        <v>-2.6367160535669898E-2</v>
      </c>
      <c r="M161" s="51">
        <f t="shared" si="407"/>
        <v>9.2794248125386281E-2</v>
      </c>
      <c r="N161" s="51">
        <f t="shared" si="407"/>
        <v>9.3108216307129066E-2</v>
      </c>
      <c r="O161" s="255"/>
      <c r="P161" s="328"/>
      <c r="Q161" s="51"/>
      <c r="R161" s="51"/>
      <c r="S161" s="51"/>
      <c r="T161" s="51"/>
      <c r="U161" s="39">
        <f t="shared" ref="U161:BE161" si="408">U160/Q160-1</f>
        <v>3.0800503320798089E-2</v>
      </c>
      <c r="V161" s="39">
        <f t="shared" si="408"/>
        <v>4.7926662965938061E-2</v>
      </c>
      <c r="W161" s="39">
        <f t="shared" si="408"/>
        <v>2.565789737881885E-2</v>
      </c>
      <c r="X161" s="51">
        <f t="shared" si="408"/>
        <v>5.6510128396776382E-2</v>
      </c>
      <c r="Y161" s="39">
        <f t="shared" si="408"/>
        <v>-2.6252882827344393E-2</v>
      </c>
      <c r="Z161" s="39">
        <f t="shared" si="408"/>
        <v>-2.726990116353023E-2</v>
      </c>
      <c r="AA161" s="39">
        <f t="shared" si="408"/>
        <v>2.9543100176552262E-3</v>
      </c>
      <c r="AB161" s="51">
        <f>AB160/X160-1</f>
        <v>-1.1405226505537658E-2</v>
      </c>
      <c r="AC161" s="39">
        <f t="shared" si="408"/>
        <v>2.2489454592711899E-2</v>
      </c>
      <c r="AD161" s="39">
        <f t="shared" si="408"/>
        <v>3.6493327868329928E-2</v>
      </c>
      <c r="AE161" s="39">
        <f t="shared" si="408"/>
        <v>3.0607785370381224E-2</v>
      </c>
      <c r="AF161" s="39">
        <f t="shared" si="408"/>
        <v>4.6574257718738021E-2</v>
      </c>
      <c r="AG161" s="39">
        <f t="shared" si="408"/>
        <v>8.8831917032122121E-2</v>
      </c>
      <c r="AH161" s="39">
        <f t="shared" si="408"/>
        <v>-5.1859368284035812E-2</v>
      </c>
      <c r="AI161" s="39">
        <f t="shared" si="408"/>
        <v>7.7406583211020452E-2</v>
      </c>
      <c r="AJ161" s="39">
        <f t="shared" si="408"/>
        <v>0.1108700509246825</v>
      </c>
      <c r="AK161" s="39">
        <f t="shared" si="408"/>
        <v>8.625551901378703E-2</v>
      </c>
      <c r="AL161" s="39">
        <f t="shared" si="408"/>
        <v>0.29289912133395335</v>
      </c>
      <c r="AM161" s="39">
        <f t="shared" si="408"/>
        <v>0.13799505183567784</v>
      </c>
      <c r="AN161" s="39">
        <f t="shared" si="408"/>
        <v>0.10915189508774881</v>
      </c>
      <c r="AO161" s="39">
        <f t="shared" si="408"/>
        <v>0.14891819619814028</v>
      </c>
      <c r="AP161" s="39">
        <f t="shared" si="408"/>
        <v>9.2867205977783529E-2</v>
      </c>
      <c r="AQ161" s="39">
        <f t="shared" si="408"/>
        <v>2.3964459343059241E-2</v>
      </c>
      <c r="AR161" s="39">
        <f t="shared" si="408"/>
        <v>-3.179686909868451E-2</v>
      </c>
      <c r="AS161" s="39">
        <f t="shared" si="408"/>
        <v>-6.1449446354424619E-2</v>
      </c>
      <c r="AT161" s="39">
        <f t="shared" si="408"/>
        <v>-6.0940666872239646E-2</v>
      </c>
      <c r="AU161" s="39">
        <f t="shared" si="408"/>
        <v>-3.046836145502263E-2</v>
      </c>
      <c r="AV161" s="39">
        <f t="shared" si="408"/>
        <v>4.8797988812296911E-2</v>
      </c>
      <c r="AW161" s="39">
        <f t="shared" si="408"/>
        <v>8.0369344383941943E-2</v>
      </c>
      <c r="AX161" s="39">
        <f t="shared" si="408"/>
        <v>8.801004113879074E-2</v>
      </c>
      <c r="AY161" s="39">
        <f t="shared" si="408"/>
        <v>9.2345519774989393E-2</v>
      </c>
      <c r="AZ161" s="39">
        <f t="shared" si="408"/>
        <v>0.1088977436934</v>
      </c>
      <c r="BA161" s="39">
        <f t="shared" si="408"/>
        <v>8.8249091440256278E-2</v>
      </c>
      <c r="BB161" s="39">
        <f t="shared" si="408"/>
        <v>6.8071571563076638E-2</v>
      </c>
      <c r="BC161" s="39">
        <f t="shared" si="408"/>
        <v>0.10745109551599641</v>
      </c>
      <c r="BD161" s="39">
        <f t="shared" si="408"/>
        <v>0.10707040158083547</v>
      </c>
      <c r="BE161" s="39">
        <f t="shared" si="408"/>
        <v>6.7393909333472779E-2</v>
      </c>
    </row>
    <row r="162" spans="2:57" s="5" customFormat="1" ht="13.5" thickBot="1">
      <c r="B162" s="23"/>
      <c r="C162" s="46"/>
      <c r="D162" s="46"/>
      <c r="E162" s="46"/>
      <c r="F162" s="46"/>
      <c r="G162" s="46"/>
      <c r="H162" s="46"/>
      <c r="I162" s="46"/>
      <c r="J162" s="46"/>
      <c r="K162" s="46"/>
      <c r="L162" s="46"/>
      <c r="M162" s="46"/>
      <c r="N162" s="46"/>
      <c r="O162" s="46"/>
      <c r="P162" s="8"/>
      <c r="Q162" s="46"/>
      <c r="R162" s="46"/>
      <c r="S162" s="46"/>
      <c r="T162" s="46"/>
      <c r="U162" s="46"/>
      <c r="V162" s="46"/>
      <c r="W162" s="46"/>
      <c r="X162" s="46"/>
      <c r="Y162" s="46"/>
      <c r="Z162" s="46"/>
      <c r="AA162" s="46"/>
      <c r="AB162" s="46"/>
      <c r="AC162" s="46"/>
      <c r="AD162" s="46"/>
      <c r="AE162" s="46"/>
      <c r="AF162" s="46"/>
      <c r="AG162" s="46"/>
      <c r="AH162" s="46"/>
      <c r="AI162" s="46"/>
      <c r="AJ162" s="46"/>
      <c r="AK162" s="46"/>
      <c r="AL162" s="46"/>
      <c r="AM162" s="46"/>
      <c r="AN162" s="46"/>
      <c r="AO162" s="46"/>
      <c r="AP162" s="46"/>
      <c r="AQ162" s="46"/>
      <c r="AR162" s="46"/>
      <c r="AS162" s="46"/>
      <c r="AT162" s="46"/>
      <c r="AU162" s="46"/>
      <c r="AV162" s="46"/>
      <c r="AW162" s="46"/>
      <c r="AX162" s="46"/>
      <c r="AY162" s="46"/>
      <c r="AZ162" s="46"/>
      <c r="BA162" s="46"/>
      <c r="BB162" s="46"/>
      <c r="BC162" s="46"/>
      <c r="BD162" s="46"/>
      <c r="BE162" s="46"/>
    </row>
    <row r="163" spans="2:57" s="5" customFormat="1" ht="14.25" thickTop="1" thickBot="1">
      <c r="B163" s="319" t="str">
        <f t="shared" ref="B163:O163" si="409">+B48</f>
        <v xml:space="preserve">Adj. EBITDA </v>
      </c>
      <c r="C163" s="320">
        <f t="shared" si="409"/>
        <v>425400.36499999964</v>
      </c>
      <c r="D163" s="320">
        <f t="shared" si="409"/>
        <v>356585.29300000001</v>
      </c>
      <c r="E163" s="320">
        <f t="shared" si="409"/>
        <v>424780.734</v>
      </c>
      <c r="F163" s="320">
        <f t="shared" si="409"/>
        <v>437102.69900000002</v>
      </c>
      <c r="G163" s="320">
        <f t="shared" si="409"/>
        <v>426921</v>
      </c>
      <c r="H163" s="320">
        <f t="shared" si="409"/>
        <v>770411</v>
      </c>
      <c r="I163" s="320">
        <f t="shared" si="409"/>
        <v>684231.88899999997</v>
      </c>
      <c r="J163" s="320">
        <f t="shared" si="409"/>
        <v>772452.25800000003</v>
      </c>
      <c r="K163" s="320">
        <f t="shared" si="409"/>
        <v>1282013</v>
      </c>
      <c r="L163" s="320">
        <f t="shared" si="409"/>
        <v>762562.17099999997</v>
      </c>
      <c r="M163" s="320">
        <f t="shared" si="409"/>
        <v>788612.90099999995</v>
      </c>
      <c r="N163" s="320">
        <f t="shared" si="409"/>
        <v>835473.09600000002</v>
      </c>
      <c r="O163" s="320">
        <f t="shared" si="409"/>
        <v>855384.79400000011</v>
      </c>
      <c r="P163" s="8"/>
      <c r="Q163" s="321">
        <f t="shared" ref="Q163:AY163" si="410">+Q48</f>
        <v>109033</v>
      </c>
      <c r="R163" s="321">
        <f t="shared" si="410"/>
        <v>98565</v>
      </c>
      <c r="S163" s="321">
        <f t="shared" si="410"/>
        <v>105899</v>
      </c>
      <c r="T163" s="321">
        <f t="shared" si="410"/>
        <v>111283.734</v>
      </c>
      <c r="U163" s="321">
        <f t="shared" si="410"/>
        <v>109975</v>
      </c>
      <c r="V163" s="321">
        <f t="shared" si="410"/>
        <v>98620</v>
      </c>
      <c r="W163" s="321">
        <f t="shared" si="410"/>
        <v>112057</v>
      </c>
      <c r="X163" s="321">
        <f t="shared" si="410"/>
        <v>116450.69900000002</v>
      </c>
      <c r="Y163" s="321">
        <f t="shared" si="410"/>
        <v>99342</v>
      </c>
      <c r="Z163" s="321">
        <f t="shared" si="410"/>
        <v>94222</v>
      </c>
      <c r="AA163" s="321">
        <f t="shared" si="410"/>
        <v>107108</v>
      </c>
      <c r="AB163" s="321">
        <f t="shared" si="410"/>
        <v>126249</v>
      </c>
      <c r="AC163" s="321">
        <f t="shared" si="410"/>
        <v>137805</v>
      </c>
      <c r="AD163" s="321">
        <f t="shared" si="410"/>
        <v>137651</v>
      </c>
      <c r="AE163" s="321">
        <f t="shared" si="410"/>
        <v>147397</v>
      </c>
      <c r="AF163" s="321">
        <f t="shared" si="410"/>
        <v>347558</v>
      </c>
      <c r="AG163" s="321">
        <f t="shared" si="410"/>
        <v>172697</v>
      </c>
      <c r="AH163" s="321">
        <f t="shared" si="410"/>
        <v>163621</v>
      </c>
      <c r="AI163" s="321">
        <f t="shared" si="410"/>
        <v>164663</v>
      </c>
      <c r="AJ163" s="321">
        <f t="shared" si="410"/>
        <v>183250.88899999997</v>
      </c>
      <c r="AK163" s="321">
        <f t="shared" si="410"/>
        <v>177597</v>
      </c>
      <c r="AL163" s="321">
        <f t="shared" si="410"/>
        <v>204303</v>
      </c>
      <c r="AM163" s="321">
        <f t="shared" si="410"/>
        <v>203942</v>
      </c>
      <c r="AN163" s="321">
        <f t="shared" si="410"/>
        <v>186610.25800000003</v>
      </c>
      <c r="AO163" s="321">
        <f t="shared" si="410"/>
        <v>189587</v>
      </c>
      <c r="AP163" s="321">
        <f t="shared" si="410"/>
        <v>686795</v>
      </c>
      <c r="AQ163" s="321">
        <f t="shared" si="410"/>
        <v>233180</v>
      </c>
      <c r="AR163" s="321">
        <f t="shared" si="410"/>
        <v>172451</v>
      </c>
      <c r="AS163" s="321">
        <f t="shared" si="410"/>
        <v>132123</v>
      </c>
      <c r="AT163" s="321">
        <f t="shared" si="410"/>
        <v>193233</v>
      </c>
      <c r="AU163" s="321">
        <f t="shared" si="410"/>
        <v>190153</v>
      </c>
      <c r="AV163" s="321">
        <f t="shared" si="410"/>
        <v>247053.17099999997</v>
      </c>
      <c r="AW163" s="320">
        <f t="shared" si="410"/>
        <v>187770</v>
      </c>
      <c r="AX163" s="320">
        <f t="shared" si="410"/>
        <v>199937</v>
      </c>
      <c r="AY163" s="320">
        <f t="shared" si="410"/>
        <v>194709</v>
      </c>
      <c r="AZ163" s="320">
        <f t="shared" ref="AZ163:BE163" si="411">+AZ48</f>
        <v>206196.90099999995</v>
      </c>
      <c r="BA163" s="320">
        <f t="shared" si="411"/>
        <v>193565.39799999999</v>
      </c>
      <c r="BB163" s="320">
        <f t="shared" si="411"/>
        <v>202648.60200000001</v>
      </c>
      <c r="BC163" s="320">
        <f t="shared" si="411"/>
        <v>213626</v>
      </c>
      <c r="BD163" s="320">
        <f t="shared" si="411"/>
        <v>225633.09600000008</v>
      </c>
      <c r="BE163" s="320">
        <f t="shared" si="411"/>
        <v>213477.09599999999</v>
      </c>
    </row>
    <row r="164" spans="2:57" s="35" customFormat="1" ht="13.5" thickTop="1">
      <c r="B164" s="25" t="s">
        <v>302</v>
      </c>
      <c r="C164" s="51"/>
      <c r="D164" s="51"/>
      <c r="E164" s="51">
        <f t="shared" ref="E164:N164" si="412">+E163/D163-1</f>
        <v>0.19124580384755241</v>
      </c>
      <c r="F164" s="51">
        <f t="shared" si="412"/>
        <v>2.9007824540366434E-2</v>
      </c>
      <c r="G164" s="51">
        <f t="shared" si="412"/>
        <v>-2.3293608168729274E-2</v>
      </c>
      <c r="H164" s="51">
        <f t="shared" si="412"/>
        <v>0.80457508532023492</v>
      </c>
      <c r="I164" s="51">
        <f t="shared" si="412"/>
        <v>-0.11186121563684848</v>
      </c>
      <c r="J164" s="51">
        <f t="shared" si="412"/>
        <v>0.12893343677526281</v>
      </c>
      <c r="K164" s="51">
        <f t="shared" si="412"/>
        <v>0.65966632464682351</v>
      </c>
      <c r="L164" s="51">
        <f t="shared" si="412"/>
        <v>-0.40518374540663782</v>
      </c>
      <c r="M164" s="51">
        <f t="shared" si="412"/>
        <v>3.4162106370734246E-2</v>
      </c>
      <c r="N164" s="51">
        <f t="shared" si="412"/>
        <v>5.9421035264042743E-2</v>
      </c>
      <c r="O164" s="255"/>
      <c r="P164" s="328"/>
      <c r="Q164" s="51"/>
      <c r="R164" s="51"/>
      <c r="S164" s="51"/>
      <c r="T164" s="51"/>
      <c r="U164" s="39">
        <f t="shared" ref="U164:BE164" si="413">U163/Q163-1</f>
        <v>8.6395861803307827E-3</v>
      </c>
      <c r="V164" s="39">
        <f t="shared" si="413"/>
        <v>5.5800740628009216E-4</v>
      </c>
      <c r="W164" s="39">
        <f t="shared" si="413"/>
        <v>5.8149746456529261E-2</v>
      </c>
      <c r="X164" s="51">
        <f t="shared" si="413"/>
        <v>4.6430550218597322E-2</v>
      </c>
      <c r="Y164" s="39">
        <f t="shared" si="413"/>
        <v>-9.6685610365992325E-2</v>
      </c>
      <c r="Z164" s="39">
        <f t="shared" si="413"/>
        <v>-4.4595416751166073E-2</v>
      </c>
      <c r="AA164" s="39">
        <f t="shared" si="413"/>
        <v>-4.4165023157857197E-2</v>
      </c>
      <c r="AB164" s="51">
        <f>AB163/X163-1</f>
        <v>8.4141195236620892E-2</v>
      </c>
      <c r="AC164" s="39">
        <f t="shared" si="413"/>
        <v>0.38717762879748752</v>
      </c>
      <c r="AD164" s="39">
        <f t="shared" si="413"/>
        <v>0.46092207764640958</v>
      </c>
      <c r="AE164" s="39">
        <f t="shared" si="413"/>
        <v>0.37615304178959552</v>
      </c>
      <c r="AF164" s="39">
        <f t="shared" si="413"/>
        <v>1.7529564590610618</v>
      </c>
      <c r="AG164" s="39">
        <f t="shared" si="413"/>
        <v>0.25319836000145135</v>
      </c>
      <c r="AH164" s="39">
        <f t="shared" si="413"/>
        <v>0.18866553820894882</v>
      </c>
      <c r="AI164" s="39">
        <f t="shared" si="413"/>
        <v>0.11713942617556672</v>
      </c>
      <c r="AJ164" s="39">
        <f t="shared" si="413"/>
        <v>-0.47274731411735604</v>
      </c>
      <c r="AK164" s="39">
        <f t="shared" si="413"/>
        <v>2.8373393863240226E-2</v>
      </c>
      <c r="AL164" s="39">
        <f t="shared" si="413"/>
        <v>0.24863556633928408</v>
      </c>
      <c r="AM164" s="39">
        <f t="shared" si="413"/>
        <v>0.23854174890534008</v>
      </c>
      <c r="AN164" s="39">
        <f t="shared" si="413"/>
        <v>1.8332074776456153E-2</v>
      </c>
      <c r="AO164" s="39">
        <f t="shared" si="413"/>
        <v>6.7512401673451627E-2</v>
      </c>
      <c r="AP164" s="39">
        <f t="shared" si="413"/>
        <v>2.3616491192004032</v>
      </c>
      <c r="AQ164" s="39">
        <f t="shared" si="413"/>
        <v>0.14336428984711347</v>
      </c>
      <c r="AR164" s="39">
        <f t="shared" si="413"/>
        <v>-7.5876096800638004E-2</v>
      </c>
      <c r="AS164" s="39">
        <f t="shared" si="413"/>
        <v>-0.30310095101457379</v>
      </c>
      <c r="AT164" s="39">
        <f t="shared" si="413"/>
        <v>-0.71864530172758978</v>
      </c>
      <c r="AU164" s="39">
        <f t="shared" si="413"/>
        <v>-0.18452268633673552</v>
      </c>
      <c r="AV164" s="39">
        <f t="shared" si="413"/>
        <v>0.43259923688468005</v>
      </c>
      <c r="AW164" s="39">
        <f t="shared" si="413"/>
        <v>0.42117572262210223</v>
      </c>
      <c r="AX164" s="39">
        <f t="shared" si="413"/>
        <v>3.469386698959287E-2</v>
      </c>
      <c r="AY164" s="39">
        <f t="shared" si="413"/>
        <v>2.3959653542147574E-2</v>
      </c>
      <c r="AZ164" s="39">
        <f t="shared" si="413"/>
        <v>-0.16537440031482142</v>
      </c>
      <c r="BA164" s="39">
        <f t="shared" si="413"/>
        <v>3.0864344676998279E-2</v>
      </c>
      <c r="BB164" s="39">
        <f t="shared" si="413"/>
        <v>1.3562282118867452E-2</v>
      </c>
      <c r="BC164" s="39">
        <f t="shared" si="413"/>
        <v>9.7155241925129365E-2</v>
      </c>
      <c r="BD164" s="39">
        <f t="shared" si="413"/>
        <v>9.4260364271915753E-2</v>
      </c>
      <c r="BE164" s="39">
        <f t="shared" si="413"/>
        <v>0.10286806529336401</v>
      </c>
    </row>
    <row r="165" spans="2:57" s="35" customFormat="1">
      <c r="B165" s="25" t="s">
        <v>303</v>
      </c>
      <c r="C165" s="51">
        <f t="shared" ref="C165:O165" si="414">C163/C160</f>
        <v>0.25660994545955712</v>
      </c>
      <c r="D165" s="51">
        <f t="shared" si="414"/>
        <v>0.19981102924629424</v>
      </c>
      <c r="E165" s="51">
        <f t="shared" si="414"/>
        <v>0.22743556266327494</v>
      </c>
      <c r="F165" s="51">
        <f t="shared" si="414"/>
        <v>0.22495454590130773</v>
      </c>
      <c r="G165" s="51">
        <f t="shared" si="414"/>
        <v>0.22314799232702628</v>
      </c>
      <c r="H165" s="51">
        <f t="shared" si="414"/>
        <v>0.38933400007277574</v>
      </c>
      <c r="I165" s="51">
        <f t="shared" si="414"/>
        <v>0.32697000213268929</v>
      </c>
      <c r="J165" s="51">
        <f t="shared" si="414"/>
        <v>0.32067800583409917</v>
      </c>
      <c r="K165" s="51">
        <f t="shared" si="414"/>
        <v>0.50459386253263816</v>
      </c>
      <c r="L165" s="51">
        <f t="shared" si="414"/>
        <v>0.30826880445773791</v>
      </c>
      <c r="M165" s="51">
        <f t="shared" si="414"/>
        <v>0.29172913079775231</v>
      </c>
      <c r="N165" s="51">
        <f t="shared" si="414"/>
        <v>0.28273868328476348</v>
      </c>
      <c r="O165" s="255">
        <f t="shared" si="414"/>
        <v>0.28488293981218898</v>
      </c>
      <c r="P165" s="328"/>
      <c r="Q165" s="51">
        <f t="shared" ref="Q165:BE165" si="415">Q163/Q160</f>
        <v>0.23730496464891013</v>
      </c>
      <c r="R165" s="51">
        <f t="shared" si="415"/>
        <v>0.21575569460302735</v>
      </c>
      <c r="S165" s="51">
        <f t="shared" si="415"/>
        <v>0.22632765660809398</v>
      </c>
      <c r="T165" s="51">
        <f t="shared" si="415"/>
        <v>0.23016473784105651</v>
      </c>
      <c r="U165" s="51">
        <f t="shared" si="415"/>
        <v>0.23220320573274339</v>
      </c>
      <c r="V165" s="51">
        <f t="shared" si="415"/>
        <v>0.20600304917098938</v>
      </c>
      <c r="W165" s="51">
        <f t="shared" si="415"/>
        <v>0.23349749762371483</v>
      </c>
      <c r="X165" s="51">
        <f t="shared" si="415"/>
        <v>0.22796886351238396</v>
      </c>
      <c r="Y165" s="51">
        <f t="shared" si="415"/>
        <v>0.21540756666532107</v>
      </c>
      <c r="Z165" s="51">
        <f t="shared" si="415"/>
        <v>0.20233388231393246</v>
      </c>
      <c r="AA165" s="51">
        <f t="shared" si="415"/>
        <v>0.22252765954007714</v>
      </c>
      <c r="AB165" s="51">
        <f t="shared" si="415"/>
        <v>0.25000176289768183</v>
      </c>
      <c r="AC165" s="51">
        <f t="shared" si="415"/>
        <v>0.29223632205660366</v>
      </c>
      <c r="AD165" s="51">
        <f t="shared" si="415"/>
        <v>0.28518662665803951</v>
      </c>
      <c r="AE165" s="51">
        <f t="shared" si="415"/>
        <v>0.29713739785920845</v>
      </c>
      <c r="AF165" s="51">
        <f t="shared" si="415"/>
        <v>0.65761599128763182</v>
      </c>
      <c r="AG165" s="51">
        <f t="shared" si="415"/>
        <v>0.33635134478096618</v>
      </c>
      <c r="AH165" s="51">
        <f t="shared" si="415"/>
        <v>0.35753294788449191</v>
      </c>
      <c r="AI165" s="51">
        <f t="shared" si="415"/>
        <v>0.30809529783123929</v>
      </c>
      <c r="AJ165" s="51">
        <f t="shared" si="415"/>
        <v>0.31212453463586054</v>
      </c>
      <c r="AK165" s="51">
        <f t="shared" si="415"/>
        <v>0.31842855378714713</v>
      </c>
      <c r="AL165" s="51">
        <f t="shared" si="415"/>
        <v>0.3452924884086101</v>
      </c>
      <c r="AM165" s="51">
        <f t="shared" si="415"/>
        <v>0.33531682619347158</v>
      </c>
      <c r="AN165" s="51">
        <f t="shared" si="415"/>
        <v>0.28656708459144437</v>
      </c>
      <c r="AO165" s="51">
        <f t="shared" si="415"/>
        <v>0.29586652151525172</v>
      </c>
      <c r="AP165" s="51">
        <f t="shared" si="415"/>
        <v>1.0621164064364066</v>
      </c>
      <c r="AQ165" s="51">
        <f t="shared" si="415"/>
        <v>0.3744165936193295</v>
      </c>
      <c r="AR165" s="51">
        <f t="shared" si="415"/>
        <v>0.27352059117447697</v>
      </c>
      <c r="AS165" s="51">
        <f t="shared" si="415"/>
        <v>0.2196888560447946</v>
      </c>
      <c r="AT165" s="51">
        <f t="shared" si="415"/>
        <v>0.31822423836389835</v>
      </c>
      <c r="AU165" s="51">
        <f t="shared" si="415"/>
        <v>0.31492343912970361</v>
      </c>
      <c r="AV165" s="51">
        <f t="shared" si="415"/>
        <v>0.37361378870734158</v>
      </c>
      <c r="AW165" s="51">
        <f t="shared" si="415"/>
        <v>0.28899049233900548</v>
      </c>
      <c r="AX165" s="51">
        <f t="shared" si="415"/>
        <v>0.30263017372333023</v>
      </c>
      <c r="AY165" s="51">
        <f t="shared" si="415"/>
        <v>0.29520777975999551</v>
      </c>
      <c r="AZ165" s="51">
        <f t="shared" si="415"/>
        <v>0.28120503826792348</v>
      </c>
      <c r="BA165" s="51">
        <f t="shared" si="415"/>
        <v>0.27375165929030043</v>
      </c>
      <c r="BB165" s="51">
        <f t="shared" si="415"/>
        <v>0.28718537004795958</v>
      </c>
      <c r="BC165" s="51">
        <f t="shared" si="415"/>
        <v>0.29246326481789081</v>
      </c>
      <c r="BD165" s="51">
        <f t="shared" si="415"/>
        <v>0.27795118284325987</v>
      </c>
      <c r="BE165" s="51">
        <f t="shared" si="415"/>
        <v>0.28284962113084267</v>
      </c>
    </row>
    <row r="166" spans="2:57">
      <c r="C166" s="40"/>
      <c r="D166" s="40"/>
      <c r="R166" s="40"/>
      <c r="S166" s="40"/>
      <c r="T166" s="40"/>
      <c r="W166" s="40"/>
      <c r="X166" s="40"/>
      <c r="AB166" s="40"/>
    </row>
    <row r="167" spans="2:57" s="5" customFormat="1">
      <c r="B167" s="5" t="str">
        <f t="shared" ref="B167:O167" si="416">+B57</f>
        <v xml:space="preserve">Adjusted EBITDA </v>
      </c>
      <c r="C167" s="74">
        <f t="shared" si="416"/>
        <v>425400.36499999964</v>
      </c>
      <c r="D167" s="74">
        <f t="shared" si="416"/>
        <v>356585.29300000001</v>
      </c>
      <c r="E167" s="74">
        <f t="shared" si="416"/>
        <v>424780.734</v>
      </c>
      <c r="F167" s="74">
        <f t="shared" si="416"/>
        <v>437102.69900000002</v>
      </c>
      <c r="G167" s="74">
        <f t="shared" si="416"/>
        <v>426921</v>
      </c>
      <c r="H167" s="74">
        <f t="shared" si="416"/>
        <v>770411</v>
      </c>
      <c r="I167" s="74">
        <f t="shared" si="416"/>
        <v>684231.88899999997</v>
      </c>
      <c r="J167" s="74">
        <f t="shared" si="416"/>
        <v>772452.25800000003</v>
      </c>
      <c r="K167" s="74">
        <f t="shared" si="416"/>
        <v>1282013</v>
      </c>
      <c r="L167" s="74">
        <f t="shared" si="416"/>
        <v>762562.17099999997</v>
      </c>
      <c r="M167" s="74">
        <f t="shared" si="416"/>
        <v>788612.90099999995</v>
      </c>
      <c r="N167" s="74">
        <f t="shared" si="416"/>
        <v>835473.09600000002</v>
      </c>
      <c r="O167" s="256">
        <f t="shared" si="416"/>
        <v>855384.79400000011</v>
      </c>
      <c r="P167" s="70"/>
      <c r="Q167" s="74">
        <f t="shared" ref="Q167:BD167" si="417">+Q57</f>
        <v>109033</v>
      </c>
      <c r="R167" s="74">
        <f t="shared" si="417"/>
        <v>98565</v>
      </c>
      <c r="S167" s="74">
        <f t="shared" si="417"/>
        <v>105899</v>
      </c>
      <c r="T167" s="74">
        <f t="shared" si="417"/>
        <v>111283.734</v>
      </c>
      <c r="U167" s="74">
        <f t="shared" si="417"/>
        <v>109975</v>
      </c>
      <c r="V167" s="74">
        <f t="shared" si="417"/>
        <v>98620</v>
      </c>
      <c r="W167" s="74">
        <f t="shared" si="417"/>
        <v>112057</v>
      </c>
      <c r="X167" s="74">
        <f t="shared" si="417"/>
        <v>116450.69900000002</v>
      </c>
      <c r="Y167" s="74">
        <f t="shared" si="417"/>
        <v>99342</v>
      </c>
      <c r="Z167" s="74">
        <f t="shared" si="417"/>
        <v>94222</v>
      </c>
      <c r="AA167" s="74">
        <f t="shared" si="417"/>
        <v>107108</v>
      </c>
      <c r="AB167" s="74">
        <f t="shared" si="417"/>
        <v>126249</v>
      </c>
      <c r="AC167" s="74">
        <f t="shared" si="417"/>
        <v>137805</v>
      </c>
      <c r="AD167" s="74">
        <f t="shared" si="417"/>
        <v>137651</v>
      </c>
      <c r="AE167" s="74">
        <f t="shared" si="417"/>
        <v>147397</v>
      </c>
      <c r="AF167" s="74">
        <f t="shared" si="417"/>
        <v>347558</v>
      </c>
      <c r="AG167" s="74">
        <f t="shared" si="417"/>
        <v>172697</v>
      </c>
      <c r="AH167" s="74">
        <f t="shared" si="417"/>
        <v>163621</v>
      </c>
      <c r="AI167" s="74">
        <f t="shared" si="417"/>
        <v>164663</v>
      </c>
      <c r="AJ167" s="74">
        <f t="shared" si="417"/>
        <v>183250.88899999997</v>
      </c>
      <c r="AK167" s="74">
        <f t="shared" si="417"/>
        <v>177597</v>
      </c>
      <c r="AL167" s="74">
        <f t="shared" si="417"/>
        <v>204303</v>
      </c>
      <c r="AM167" s="74">
        <f t="shared" si="417"/>
        <v>203942</v>
      </c>
      <c r="AN167" s="74">
        <f t="shared" si="417"/>
        <v>186610.25800000003</v>
      </c>
      <c r="AO167" s="74">
        <f t="shared" si="417"/>
        <v>189587</v>
      </c>
      <c r="AP167" s="74">
        <f t="shared" si="417"/>
        <v>686795</v>
      </c>
      <c r="AQ167" s="74">
        <f t="shared" si="417"/>
        <v>233180</v>
      </c>
      <c r="AR167" s="74">
        <f t="shared" si="417"/>
        <v>172451</v>
      </c>
      <c r="AS167" s="74">
        <f t="shared" si="417"/>
        <v>132123</v>
      </c>
      <c r="AT167" s="74">
        <f t="shared" si="417"/>
        <v>193233</v>
      </c>
      <c r="AU167" s="74">
        <f t="shared" si="417"/>
        <v>190153</v>
      </c>
      <c r="AV167" s="74">
        <f t="shared" si="417"/>
        <v>247053.17099999997</v>
      </c>
      <c r="AW167" s="74">
        <f t="shared" si="417"/>
        <v>187770</v>
      </c>
      <c r="AX167" s="74">
        <f t="shared" si="417"/>
        <v>199937</v>
      </c>
      <c r="AY167" s="74">
        <f t="shared" si="417"/>
        <v>194709</v>
      </c>
      <c r="AZ167" s="74">
        <f t="shared" si="417"/>
        <v>206196.90099999995</v>
      </c>
      <c r="BA167" s="74">
        <f t="shared" si="417"/>
        <v>193565.39799999999</v>
      </c>
      <c r="BB167" s="74">
        <f t="shared" si="417"/>
        <v>202648.60200000001</v>
      </c>
      <c r="BC167" s="74">
        <f t="shared" si="417"/>
        <v>213626</v>
      </c>
      <c r="BD167" s="74">
        <f t="shared" si="417"/>
        <v>225633.09600000008</v>
      </c>
      <c r="BE167" s="74">
        <f t="shared" ref="BE167:BE185" si="418">+BE57</f>
        <v>213477.09599999999</v>
      </c>
    </row>
    <row r="168" spans="2:57">
      <c r="B168" s="1" t="str">
        <f t="shared" ref="B168:O168" si="419">+B58</f>
        <v>Working Capital</v>
      </c>
      <c r="C168" s="81">
        <f t="shared" si="419"/>
        <v>815202.6540000001</v>
      </c>
      <c r="D168" s="81">
        <f t="shared" si="419"/>
        <v>741578.93800000008</v>
      </c>
      <c r="E168" s="81">
        <f t="shared" si="419"/>
        <v>766170.00400000019</v>
      </c>
      <c r="F168" s="76">
        <f t="shared" si="419"/>
        <v>926369.56700000004</v>
      </c>
      <c r="G168" s="76">
        <f t="shared" si="419"/>
        <v>839987.42099999986</v>
      </c>
      <c r="H168" s="76">
        <f t="shared" si="419"/>
        <v>1013614.1870000002</v>
      </c>
      <c r="I168" s="76">
        <f t="shared" si="419"/>
        <v>1158689.3700000001</v>
      </c>
      <c r="J168" s="76">
        <f t="shared" si="419"/>
        <v>912766.48999999976</v>
      </c>
      <c r="K168" s="76">
        <f t="shared" si="419"/>
        <v>1126983.4159999997</v>
      </c>
      <c r="L168" s="76">
        <f t="shared" si="419"/>
        <v>95491</v>
      </c>
      <c r="M168" s="76">
        <f t="shared" si="419"/>
        <v>-57898</v>
      </c>
      <c r="N168" s="76">
        <f t="shared" si="419"/>
        <v>26000</v>
      </c>
      <c r="O168" s="257">
        <f t="shared" si="419"/>
        <v>20854</v>
      </c>
      <c r="P168" s="329"/>
      <c r="Q168" s="76">
        <f t="shared" ref="Q168:BD168" si="420">+Q58</f>
        <v>225415.40000000002</v>
      </c>
      <c r="R168" s="76">
        <f t="shared" si="420"/>
        <v>184143.94899999991</v>
      </c>
      <c r="S168" s="76">
        <f t="shared" si="420"/>
        <v>136607.4580000001</v>
      </c>
      <c r="T168" s="76">
        <f t="shared" si="420"/>
        <v>220003.19700000016</v>
      </c>
      <c r="U168" s="76">
        <f t="shared" si="420"/>
        <v>218881.424</v>
      </c>
      <c r="V168" s="76">
        <f t="shared" si="420"/>
        <v>194001.83700000006</v>
      </c>
      <c r="W168" s="76">
        <f t="shared" si="420"/>
        <v>256643.19099999988</v>
      </c>
      <c r="X168" s="76">
        <f t="shared" si="420"/>
        <v>256843.11500000011</v>
      </c>
      <c r="Y168" s="76">
        <f t="shared" si="420"/>
        <v>176717.12599999999</v>
      </c>
      <c r="Z168" s="76">
        <f t="shared" si="420"/>
        <v>213976.79800000001</v>
      </c>
      <c r="AA168" s="76">
        <f t="shared" si="420"/>
        <v>225937.02500000014</v>
      </c>
      <c r="AB168" s="76">
        <f t="shared" si="420"/>
        <v>223356.47199999978</v>
      </c>
      <c r="AC168" s="76">
        <f t="shared" si="420"/>
        <v>234763.85899999994</v>
      </c>
      <c r="AD168" s="76">
        <f t="shared" si="420"/>
        <v>254158.9580000001</v>
      </c>
      <c r="AE168" s="76">
        <f t="shared" si="420"/>
        <v>230655.67999999993</v>
      </c>
      <c r="AF168" s="76">
        <f t="shared" si="420"/>
        <v>294035.69000000018</v>
      </c>
      <c r="AG168" s="76">
        <f t="shared" si="420"/>
        <v>230158.94799999997</v>
      </c>
      <c r="AH168" s="76">
        <f t="shared" si="420"/>
        <v>270382.03899999999</v>
      </c>
      <c r="AI168" s="76">
        <f t="shared" si="420"/>
        <v>399770.11600000004</v>
      </c>
      <c r="AJ168" s="76">
        <f t="shared" si="420"/>
        <v>258378.26700000011</v>
      </c>
      <c r="AK168" s="76">
        <f t="shared" si="420"/>
        <v>261107.66700000002</v>
      </c>
      <c r="AL168" s="76">
        <f t="shared" si="420"/>
        <v>284626.31699999992</v>
      </c>
      <c r="AM168" s="76">
        <f t="shared" si="420"/>
        <v>251571.73200000008</v>
      </c>
      <c r="AN168" s="76">
        <f t="shared" si="420"/>
        <v>115460.77399999974</v>
      </c>
      <c r="AO168" s="76">
        <f t="shared" si="420"/>
        <v>275828.67700000003</v>
      </c>
      <c r="AP168" s="76">
        <f t="shared" si="420"/>
        <v>181412.27600000007</v>
      </c>
      <c r="AQ168" s="76">
        <f t="shared" si="420"/>
        <v>231755.84399999992</v>
      </c>
      <c r="AR168" s="76">
        <f t="shared" si="420"/>
        <v>437986.61899999972</v>
      </c>
      <c r="AS168" s="76">
        <f t="shared" si="420"/>
        <v>-9422</v>
      </c>
      <c r="AT168" s="76">
        <f t="shared" si="420"/>
        <v>9334</v>
      </c>
      <c r="AU168" s="76">
        <f t="shared" si="420"/>
        <v>18759</v>
      </c>
      <c r="AV168" s="76">
        <f t="shared" si="420"/>
        <v>76820</v>
      </c>
      <c r="AW168" s="76">
        <f t="shared" si="420"/>
        <v>-63898</v>
      </c>
      <c r="AX168" s="76">
        <f t="shared" si="420"/>
        <v>4449</v>
      </c>
      <c r="AY168" s="76">
        <f t="shared" si="420"/>
        <v>-37657</v>
      </c>
      <c r="AZ168" s="76">
        <f t="shared" si="420"/>
        <v>39208</v>
      </c>
      <c r="BA168" s="76">
        <f t="shared" si="420"/>
        <v>-28854</v>
      </c>
      <c r="BB168" s="76">
        <f t="shared" si="420"/>
        <v>8280</v>
      </c>
      <c r="BC168" s="76">
        <f t="shared" si="420"/>
        <v>-3426</v>
      </c>
      <c r="BD168" s="76">
        <f t="shared" si="420"/>
        <v>50000</v>
      </c>
      <c r="BE168" s="76">
        <f t="shared" si="418"/>
        <v>-34000</v>
      </c>
    </row>
    <row r="169" spans="2:57">
      <c r="B169" s="1" t="str">
        <f t="shared" ref="B169:O169" si="421">+B59</f>
        <v>Taxes, net</v>
      </c>
      <c r="C169" s="81">
        <f t="shared" si="421"/>
        <v>-38853.279000000002</v>
      </c>
      <c r="D169" s="81">
        <f t="shared" si="421"/>
        <v>-77538.637000000002</v>
      </c>
      <c r="E169" s="81">
        <f t="shared" si="421"/>
        <v>-86929.865000000005</v>
      </c>
      <c r="F169" s="76">
        <f t="shared" si="421"/>
        <v>-23661.061000000002</v>
      </c>
      <c r="G169" s="76">
        <f t="shared" si="421"/>
        <v>17586.026000000002</v>
      </c>
      <c r="H169" s="76">
        <f t="shared" si="421"/>
        <v>-36425.480000000003</v>
      </c>
      <c r="I169" s="76">
        <f t="shared" si="421"/>
        <v>-176907.77</v>
      </c>
      <c r="J169" s="76">
        <f t="shared" si="421"/>
        <v>31681.633999999998</v>
      </c>
      <c r="K169" s="76">
        <f t="shared" si="421"/>
        <v>-162133.038</v>
      </c>
      <c r="L169" s="76">
        <f t="shared" si="421"/>
        <v>14581.583000000001</v>
      </c>
      <c r="M169" s="76">
        <f t="shared" si="421"/>
        <v>-72752.673999999999</v>
      </c>
      <c r="N169" s="76">
        <f t="shared" si="421"/>
        <v>-35874.521999999997</v>
      </c>
      <c r="O169" s="257">
        <f t="shared" si="421"/>
        <v>-39960.968999999997</v>
      </c>
      <c r="P169" s="329"/>
      <c r="Q169" s="76">
        <f t="shared" ref="Q169:BD169" si="422">+Q59</f>
        <v>-14808.188</v>
      </c>
      <c r="R169" s="76">
        <f t="shared" si="422"/>
        <v>-25166.873</v>
      </c>
      <c r="S169" s="76">
        <f t="shared" si="422"/>
        <v>-20469.417000000001</v>
      </c>
      <c r="T169" s="76">
        <f t="shared" si="422"/>
        <v>-26485.387000000002</v>
      </c>
      <c r="U169" s="76">
        <f t="shared" si="422"/>
        <v>-24048.451000000001</v>
      </c>
      <c r="V169" s="76">
        <f t="shared" si="422"/>
        <v>-22374.481</v>
      </c>
      <c r="W169" s="76">
        <f t="shared" si="422"/>
        <v>20933.629000000001</v>
      </c>
      <c r="X169" s="76">
        <f t="shared" si="422"/>
        <v>1828.2419999999984</v>
      </c>
      <c r="Y169" s="76">
        <f t="shared" si="422"/>
        <v>-14742.535</v>
      </c>
      <c r="Z169" s="76">
        <f t="shared" si="422"/>
        <v>31967.865999999998</v>
      </c>
      <c r="AA169" s="76">
        <f t="shared" si="422"/>
        <v>-7118.6819999999971</v>
      </c>
      <c r="AB169" s="76">
        <f t="shared" si="422"/>
        <v>7479.3770000000004</v>
      </c>
      <c r="AC169" s="76">
        <f t="shared" si="422"/>
        <v>8044.41</v>
      </c>
      <c r="AD169" s="76">
        <f t="shared" si="422"/>
        <v>-32165.190999999999</v>
      </c>
      <c r="AE169" s="76">
        <f t="shared" si="422"/>
        <v>771.34100000000035</v>
      </c>
      <c r="AF169" s="76">
        <f t="shared" si="422"/>
        <v>-13076.040000000005</v>
      </c>
      <c r="AG169" s="76">
        <f t="shared" si="422"/>
        <v>-29859.098000000002</v>
      </c>
      <c r="AH169" s="76">
        <f t="shared" si="422"/>
        <v>-95217.832999999999</v>
      </c>
      <c r="AI169" s="76">
        <f t="shared" si="422"/>
        <v>-17386.688000000006</v>
      </c>
      <c r="AJ169" s="76">
        <f t="shared" si="422"/>
        <v>-34444.150999999998</v>
      </c>
      <c r="AK169" s="76">
        <f t="shared" si="422"/>
        <v>-20678.626</v>
      </c>
      <c r="AL169" s="76">
        <f t="shared" si="422"/>
        <v>66021.233000000007</v>
      </c>
      <c r="AM169" s="76">
        <f t="shared" si="422"/>
        <v>-5226.0190000000039</v>
      </c>
      <c r="AN169" s="76">
        <f t="shared" si="422"/>
        <v>-8434.9540000000015</v>
      </c>
      <c r="AO169" s="76">
        <f t="shared" si="422"/>
        <v>-8089.1890000000003</v>
      </c>
      <c r="AP169" s="76">
        <f t="shared" si="422"/>
        <v>-56342.099000000002</v>
      </c>
      <c r="AQ169" s="76">
        <f t="shared" si="422"/>
        <v>-37188.17</v>
      </c>
      <c r="AR169" s="76">
        <f t="shared" si="422"/>
        <v>-60513.579999999987</v>
      </c>
      <c r="AS169" s="76">
        <f t="shared" si="422"/>
        <v>-55090.51</v>
      </c>
      <c r="AT169" s="76">
        <f t="shared" si="422"/>
        <v>-25512.673999999992</v>
      </c>
      <c r="AU169" s="76">
        <f t="shared" si="422"/>
        <v>102127.21899999998</v>
      </c>
      <c r="AV169" s="76">
        <f t="shared" si="422"/>
        <v>-6942.4519999999902</v>
      </c>
      <c r="AW169" s="76">
        <f t="shared" si="422"/>
        <v>-11094.646000000001</v>
      </c>
      <c r="AX169" s="76">
        <f t="shared" si="422"/>
        <v>-46488.720999999998</v>
      </c>
      <c r="AY169" s="76">
        <f t="shared" si="422"/>
        <v>-9785.1739999999991</v>
      </c>
      <c r="AZ169" s="76">
        <f t="shared" si="422"/>
        <v>-5384.1330000000016</v>
      </c>
      <c r="BA169" s="76">
        <f t="shared" si="422"/>
        <v>-10152.6</v>
      </c>
      <c r="BB169" s="76">
        <f t="shared" si="422"/>
        <v>-27185.378000000004</v>
      </c>
      <c r="BC169" s="76">
        <f t="shared" si="422"/>
        <v>9899.8510000000042</v>
      </c>
      <c r="BD169" s="76">
        <f t="shared" si="422"/>
        <v>-8436.3949999999986</v>
      </c>
      <c r="BE169" s="76">
        <f t="shared" si="418"/>
        <v>-14239.047</v>
      </c>
    </row>
    <row r="170" spans="2:57">
      <c r="B170" s="1" t="str">
        <f t="shared" ref="B170:O170" si="423">+B60</f>
        <v>Cash interest paid</v>
      </c>
      <c r="C170" s="81">
        <f t="shared" si="423"/>
        <v>-38230.205999999998</v>
      </c>
      <c r="D170" s="81">
        <f t="shared" si="423"/>
        <v>-63085.944000000003</v>
      </c>
      <c r="E170" s="81">
        <f t="shared" si="423"/>
        <v>-67686.202000000005</v>
      </c>
      <c r="F170" s="76">
        <f t="shared" si="423"/>
        <v>-70675.87</v>
      </c>
      <c r="G170" s="76">
        <f t="shared" si="423"/>
        <v>-77123.244000000006</v>
      </c>
      <c r="H170" s="76">
        <f t="shared" si="423"/>
        <v>-86893.145000000004</v>
      </c>
      <c r="I170" s="76">
        <f t="shared" si="423"/>
        <v>-94388.228000000003</v>
      </c>
      <c r="J170" s="76">
        <f t="shared" si="423"/>
        <v>-148370.217</v>
      </c>
      <c r="K170" s="76">
        <f t="shared" si="423"/>
        <v>-107881.512</v>
      </c>
      <c r="L170" s="76">
        <f t="shared" si="423"/>
        <v>-112936.64200000001</v>
      </c>
      <c r="M170" s="76">
        <f t="shared" si="423"/>
        <v>-119124.6</v>
      </c>
      <c r="N170" s="76">
        <f t="shared" si="423"/>
        <v>-110625.803</v>
      </c>
      <c r="O170" s="257">
        <f t="shared" si="423"/>
        <v>-105448.004</v>
      </c>
      <c r="P170" s="329"/>
      <c r="Q170" s="76">
        <f t="shared" ref="Q170:BD170" si="424">+Q60</f>
        <v>-14972.798000000001</v>
      </c>
      <c r="R170" s="76">
        <f t="shared" si="424"/>
        <v>-18693.805999999997</v>
      </c>
      <c r="S170" s="76">
        <f t="shared" si="424"/>
        <v>-14965.836000000005</v>
      </c>
      <c r="T170" s="76">
        <f t="shared" si="424"/>
        <v>-19053.762000000002</v>
      </c>
      <c r="U170" s="76">
        <f t="shared" si="424"/>
        <v>-15139.847</v>
      </c>
      <c r="V170" s="76">
        <f t="shared" si="424"/>
        <v>-19222.559000000001</v>
      </c>
      <c r="W170" s="76">
        <f t="shared" si="424"/>
        <v>-15694.007</v>
      </c>
      <c r="X170" s="76">
        <f t="shared" si="424"/>
        <v>-20619.456999999995</v>
      </c>
      <c r="Y170" s="76">
        <f t="shared" si="424"/>
        <v>-16316.999</v>
      </c>
      <c r="Z170" s="76">
        <f t="shared" si="424"/>
        <v>-21454.077999999998</v>
      </c>
      <c r="AA170" s="76">
        <f t="shared" si="424"/>
        <v>-16893.873000000003</v>
      </c>
      <c r="AB170" s="76">
        <f t="shared" si="424"/>
        <v>-22458.294000000005</v>
      </c>
      <c r="AC170" s="76">
        <f t="shared" si="424"/>
        <v>-20268.822</v>
      </c>
      <c r="AD170" s="76">
        <f t="shared" si="424"/>
        <v>-26258.68</v>
      </c>
      <c r="AE170" s="76">
        <f t="shared" si="424"/>
        <v>-14569.417999999998</v>
      </c>
      <c r="AF170" s="76">
        <f t="shared" si="424"/>
        <v>-25796.225000000013</v>
      </c>
      <c r="AG170" s="76">
        <f t="shared" si="424"/>
        <v>-20571.294999999998</v>
      </c>
      <c r="AH170" s="76">
        <f t="shared" si="424"/>
        <v>-27156.757000000005</v>
      </c>
      <c r="AI170" s="76">
        <f t="shared" si="424"/>
        <v>-21390.498</v>
      </c>
      <c r="AJ170" s="76">
        <f t="shared" si="424"/>
        <v>-25269.678000000007</v>
      </c>
      <c r="AK170" s="76">
        <f t="shared" si="424"/>
        <v>-19155.062999999998</v>
      </c>
      <c r="AL170" s="76">
        <f t="shared" si="424"/>
        <v>-26503.598999999998</v>
      </c>
      <c r="AM170" s="76">
        <f t="shared" si="424"/>
        <v>-81418.438999999998</v>
      </c>
      <c r="AN170" s="76">
        <f t="shared" si="424"/>
        <v>-21293.116000000005</v>
      </c>
      <c r="AO170" s="76">
        <f t="shared" si="424"/>
        <v>-29869.194</v>
      </c>
      <c r="AP170" s="76">
        <f t="shared" si="424"/>
        <v>-18271.27</v>
      </c>
      <c r="AQ170" s="76">
        <f t="shared" si="424"/>
        <v>-32978.365999999995</v>
      </c>
      <c r="AR170" s="76">
        <f t="shared" si="424"/>
        <v>-26762.682000000001</v>
      </c>
      <c r="AS170" s="76">
        <f t="shared" si="424"/>
        <v>-35002.688000000002</v>
      </c>
      <c r="AT170" s="76">
        <f t="shared" si="424"/>
        <v>-23008.225999999995</v>
      </c>
      <c r="AU170" s="76">
        <f t="shared" si="424"/>
        <v>-34155.348000000005</v>
      </c>
      <c r="AV170" s="76">
        <f t="shared" si="424"/>
        <v>-20770.379999999997</v>
      </c>
      <c r="AW170" s="76">
        <f t="shared" si="424"/>
        <v>-35176.862999999998</v>
      </c>
      <c r="AX170" s="76">
        <f t="shared" si="424"/>
        <v>-21323.131000000001</v>
      </c>
      <c r="AY170" s="76">
        <f t="shared" si="424"/>
        <v>-36358.049000000014</v>
      </c>
      <c r="AZ170" s="76">
        <f t="shared" si="424"/>
        <v>-26266.556999999993</v>
      </c>
      <c r="BA170" s="76">
        <f t="shared" si="424"/>
        <v>-34611.733999999997</v>
      </c>
      <c r="BB170" s="76">
        <f t="shared" si="424"/>
        <v>-18163.108</v>
      </c>
      <c r="BC170" s="76">
        <f t="shared" si="424"/>
        <v>-37287.03899999999</v>
      </c>
      <c r="BD170" s="76">
        <f t="shared" si="424"/>
        <v>-20563.922000000013</v>
      </c>
      <c r="BE170" s="76">
        <f t="shared" si="418"/>
        <v>-29433.935000000001</v>
      </c>
    </row>
    <row r="171" spans="2:57">
      <c r="B171" s="1" t="str">
        <f t="shared" ref="B171:O171" si="425">+B61</f>
        <v>Cash interest received</v>
      </c>
      <c r="C171" s="81">
        <f t="shared" si="425"/>
        <v>4507.4589999999998</v>
      </c>
      <c r="D171" s="81">
        <f t="shared" si="425"/>
        <v>6880.2460000000001</v>
      </c>
      <c r="E171" s="81">
        <f t="shared" si="425"/>
        <v>3601.8449999999998</v>
      </c>
      <c r="F171" s="76">
        <f t="shared" si="425"/>
        <v>3129.5050000000001</v>
      </c>
      <c r="G171" s="76">
        <f t="shared" si="425"/>
        <v>1129.5999999999999</v>
      </c>
      <c r="H171" s="76">
        <f t="shared" si="425"/>
        <v>1375.222</v>
      </c>
      <c r="I171" s="76">
        <f t="shared" si="425"/>
        <v>5309.384</v>
      </c>
      <c r="J171" s="76">
        <f t="shared" si="425"/>
        <v>3451.1370000000002</v>
      </c>
      <c r="K171" s="76">
        <f t="shared" si="425"/>
        <v>26563.886999999999</v>
      </c>
      <c r="L171" s="76">
        <f t="shared" si="425"/>
        <v>23305.167000000001</v>
      </c>
      <c r="M171" s="76">
        <f t="shared" si="425"/>
        <v>28910.144</v>
      </c>
      <c r="N171" s="76">
        <f t="shared" si="425"/>
        <v>12839.054</v>
      </c>
      <c r="O171" s="257">
        <f t="shared" si="425"/>
        <v>11680.672999999999</v>
      </c>
      <c r="P171" s="329"/>
      <c r="Q171" s="76">
        <f t="shared" ref="Q171:BD171" si="426">+Q61</f>
        <v>1194.8779999999999</v>
      </c>
      <c r="R171" s="76">
        <f t="shared" si="426"/>
        <v>516.84699999999998</v>
      </c>
      <c r="S171" s="76">
        <f t="shared" si="426"/>
        <v>989.4530000000002</v>
      </c>
      <c r="T171" s="76">
        <f t="shared" si="426"/>
        <v>900.66699999999992</v>
      </c>
      <c r="U171" s="76">
        <f t="shared" si="426"/>
        <v>796.67</v>
      </c>
      <c r="V171" s="76">
        <f t="shared" si="426"/>
        <v>618.55900000000008</v>
      </c>
      <c r="W171" s="76">
        <f t="shared" si="426"/>
        <v>872.6189999999998</v>
      </c>
      <c r="X171" s="76">
        <f t="shared" si="426"/>
        <v>841.65700000000004</v>
      </c>
      <c r="Y171" s="76">
        <f t="shared" si="426"/>
        <v>496.024</v>
      </c>
      <c r="Z171" s="76">
        <f t="shared" si="426"/>
        <v>222.96900000000005</v>
      </c>
      <c r="AA171" s="76">
        <f t="shared" si="426"/>
        <v>185.25699999999995</v>
      </c>
      <c r="AB171" s="76">
        <f t="shared" si="426"/>
        <v>225.34999999999991</v>
      </c>
      <c r="AC171" s="76">
        <f t="shared" si="426"/>
        <v>376.92399999999998</v>
      </c>
      <c r="AD171" s="76">
        <f t="shared" si="426"/>
        <v>161.98400000000004</v>
      </c>
      <c r="AE171" s="76">
        <f t="shared" si="426"/>
        <v>148.149</v>
      </c>
      <c r="AF171" s="76">
        <f t="shared" si="426"/>
        <v>688.16499999999996</v>
      </c>
      <c r="AG171" s="76">
        <f t="shared" si="426"/>
        <v>2661.9679999999998</v>
      </c>
      <c r="AH171" s="76">
        <f t="shared" si="426"/>
        <v>1492.9610000000002</v>
      </c>
      <c r="AI171" s="76">
        <f t="shared" si="426"/>
        <v>587.65099999999984</v>
      </c>
      <c r="AJ171" s="76">
        <f t="shared" si="426"/>
        <v>566.80400000000009</v>
      </c>
      <c r="AK171" s="76">
        <f t="shared" si="426"/>
        <v>588.54999999999995</v>
      </c>
      <c r="AL171" s="76">
        <f t="shared" si="426"/>
        <v>516.26300000000015</v>
      </c>
      <c r="AM171" s="76">
        <f t="shared" si="426"/>
        <v>1009.3489999999997</v>
      </c>
      <c r="AN171" s="76">
        <f t="shared" si="426"/>
        <v>1336.9750000000004</v>
      </c>
      <c r="AO171" s="76">
        <f t="shared" si="426"/>
        <v>3384.0970000000002</v>
      </c>
      <c r="AP171" s="76">
        <f t="shared" si="426"/>
        <v>8608.77</v>
      </c>
      <c r="AQ171" s="76">
        <f t="shared" si="426"/>
        <v>8591.2260000000006</v>
      </c>
      <c r="AR171" s="76">
        <f t="shared" si="426"/>
        <v>5979.7939999999962</v>
      </c>
      <c r="AS171" s="76">
        <f t="shared" si="426"/>
        <v>5825.1189999999997</v>
      </c>
      <c r="AT171" s="76">
        <f t="shared" si="426"/>
        <v>4203.1629999999996</v>
      </c>
      <c r="AU171" s="76">
        <f t="shared" si="426"/>
        <v>6803.0209999999997</v>
      </c>
      <c r="AV171" s="76">
        <f t="shared" si="426"/>
        <v>6473.8640000000023</v>
      </c>
      <c r="AW171" s="76">
        <f t="shared" si="426"/>
        <v>11361.421</v>
      </c>
      <c r="AX171" s="76">
        <f t="shared" si="426"/>
        <v>8004.9339999999993</v>
      </c>
      <c r="AY171" s="76">
        <f t="shared" si="426"/>
        <v>5633.146999999999</v>
      </c>
      <c r="AZ171" s="76">
        <f t="shared" si="426"/>
        <v>3910.6419999999998</v>
      </c>
      <c r="BA171" s="76">
        <f t="shared" si="426"/>
        <v>3368.683</v>
      </c>
      <c r="BB171" s="76">
        <f t="shared" si="426"/>
        <v>3394.2129999999997</v>
      </c>
      <c r="BC171" s="76">
        <f t="shared" si="426"/>
        <v>3439.1150000000007</v>
      </c>
      <c r="BD171" s="76">
        <f t="shared" si="426"/>
        <v>2637.0429999999988</v>
      </c>
      <c r="BE171" s="76">
        <f t="shared" si="418"/>
        <v>2210.3020000000001</v>
      </c>
    </row>
    <row r="172" spans="2:57" s="5" customFormat="1" ht="13.5" thickBot="1">
      <c r="B172" s="23" t="str">
        <f t="shared" ref="B172:O172" si="427">+B62</f>
        <v xml:space="preserve">Net cash from operations </v>
      </c>
      <c r="C172" s="77">
        <f t="shared" si="427"/>
        <v>1168026.9929999998</v>
      </c>
      <c r="D172" s="77">
        <f t="shared" si="427"/>
        <v>964419.89600000018</v>
      </c>
      <c r="E172" s="77">
        <f t="shared" si="427"/>
        <v>1039936.5160000001</v>
      </c>
      <c r="F172" s="77">
        <f t="shared" si="427"/>
        <v>1272264.8399999999</v>
      </c>
      <c r="G172" s="77">
        <f t="shared" si="427"/>
        <v>1208500.8030000001</v>
      </c>
      <c r="H172" s="77">
        <f t="shared" si="427"/>
        <v>1662081.7840000002</v>
      </c>
      <c r="I172" s="77">
        <f t="shared" si="427"/>
        <v>1576934.645</v>
      </c>
      <c r="J172" s="77">
        <f t="shared" si="427"/>
        <v>1571981.3019999999</v>
      </c>
      <c r="K172" s="77">
        <f t="shared" si="427"/>
        <v>2165545.7529999996</v>
      </c>
      <c r="L172" s="77">
        <f t="shared" si="427"/>
        <v>783003.27899999998</v>
      </c>
      <c r="M172" s="77">
        <f t="shared" si="427"/>
        <v>567747.77099999995</v>
      </c>
      <c r="N172" s="77">
        <f t="shared" si="427"/>
        <v>727811.82500000007</v>
      </c>
      <c r="O172" s="258">
        <f t="shared" si="427"/>
        <v>742510.49400000006</v>
      </c>
      <c r="P172" s="309"/>
      <c r="Q172" s="77">
        <f t="shared" ref="Q172:BD172" si="428">+Q62</f>
        <v>305862.29200000002</v>
      </c>
      <c r="R172" s="77">
        <f t="shared" si="428"/>
        <v>239365.11699999991</v>
      </c>
      <c r="S172" s="77">
        <f t="shared" si="428"/>
        <v>208060.65800000008</v>
      </c>
      <c r="T172" s="77">
        <f t="shared" si="428"/>
        <v>286648.4490000002</v>
      </c>
      <c r="U172" s="77">
        <f t="shared" si="428"/>
        <v>290464.79599999997</v>
      </c>
      <c r="V172" s="77">
        <f t="shared" si="428"/>
        <v>251643.35600000003</v>
      </c>
      <c r="W172" s="77">
        <f t="shared" si="428"/>
        <v>374812.43199999991</v>
      </c>
      <c r="X172" s="77">
        <f t="shared" si="428"/>
        <v>355344.25600000011</v>
      </c>
      <c r="Y172" s="77">
        <f t="shared" si="428"/>
        <v>245495.61599999998</v>
      </c>
      <c r="Z172" s="77">
        <f t="shared" si="428"/>
        <v>318935.55499999999</v>
      </c>
      <c r="AA172" s="77">
        <f t="shared" si="428"/>
        <v>309217.72700000013</v>
      </c>
      <c r="AB172" s="77">
        <f t="shared" si="428"/>
        <v>334851.90499999974</v>
      </c>
      <c r="AC172" s="77">
        <f t="shared" si="428"/>
        <v>360721.37099999993</v>
      </c>
      <c r="AD172" s="77">
        <f t="shared" si="428"/>
        <v>333548.07100000011</v>
      </c>
      <c r="AE172" s="77">
        <f t="shared" si="428"/>
        <v>364402.75199999992</v>
      </c>
      <c r="AF172" s="77">
        <f t="shared" si="428"/>
        <v>603409.5900000002</v>
      </c>
      <c r="AG172" s="77">
        <f t="shared" si="428"/>
        <v>355087.52299999999</v>
      </c>
      <c r="AH172" s="77">
        <f t="shared" si="428"/>
        <v>313121.41000000003</v>
      </c>
      <c r="AI172" s="77">
        <f t="shared" si="428"/>
        <v>526243.58100000001</v>
      </c>
      <c r="AJ172" s="77">
        <f t="shared" si="428"/>
        <v>382482.13100000005</v>
      </c>
      <c r="AK172" s="77">
        <f t="shared" si="428"/>
        <v>399459.52799999999</v>
      </c>
      <c r="AL172" s="77">
        <f t="shared" si="428"/>
        <v>528963.21399999992</v>
      </c>
      <c r="AM172" s="77">
        <f t="shared" si="428"/>
        <v>369878.62300000002</v>
      </c>
      <c r="AN172" s="77">
        <f t="shared" si="428"/>
        <v>273679.93699999974</v>
      </c>
      <c r="AO172" s="77">
        <f t="shared" si="428"/>
        <v>430841.391</v>
      </c>
      <c r="AP172" s="77">
        <f t="shared" si="428"/>
        <v>802202.67700000003</v>
      </c>
      <c r="AQ172" s="77">
        <f t="shared" si="428"/>
        <v>403360.53399999999</v>
      </c>
      <c r="AR172" s="77">
        <f t="shared" si="428"/>
        <v>529141.15099999972</v>
      </c>
      <c r="AS172" s="77">
        <f t="shared" si="428"/>
        <v>38432.920999999988</v>
      </c>
      <c r="AT172" s="77">
        <f t="shared" si="428"/>
        <v>158249.26300000001</v>
      </c>
      <c r="AU172" s="77">
        <f t="shared" si="428"/>
        <v>283686.89199999999</v>
      </c>
      <c r="AV172" s="77">
        <f t="shared" si="428"/>
        <v>302634.20299999998</v>
      </c>
      <c r="AW172" s="77">
        <f t="shared" si="428"/>
        <v>88961.911999999997</v>
      </c>
      <c r="AX172" s="77">
        <f t="shared" si="428"/>
        <v>144579.08200000002</v>
      </c>
      <c r="AY172" s="77">
        <f t="shared" si="428"/>
        <v>116541.92399999998</v>
      </c>
      <c r="AZ172" s="77">
        <f t="shared" si="428"/>
        <v>217664.85299999994</v>
      </c>
      <c r="BA172" s="77">
        <f t="shared" si="428"/>
        <v>123315.74699999999</v>
      </c>
      <c r="BB172" s="77">
        <f t="shared" si="428"/>
        <v>168974.329</v>
      </c>
      <c r="BC172" s="77">
        <f t="shared" si="428"/>
        <v>186251.927</v>
      </c>
      <c r="BD172" s="77">
        <f t="shared" si="428"/>
        <v>249269.82200000004</v>
      </c>
      <c r="BE172" s="77">
        <f t="shared" si="418"/>
        <v>138014.416</v>
      </c>
    </row>
    <row r="173" spans="2:57" s="5" customFormat="1" ht="13.5" thickTop="1">
      <c r="B173" s="1" t="str">
        <f t="shared" ref="B173:O173" si="429">+B63</f>
        <v>Net Capex</v>
      </c>
      <c r="C173" s="78">
        <f t="shared" si="429"/>
        <v>-551380.21799999999</v>
      </c>
      <c r="D173" s="78">
        <f t="shared" si="429"/>
        <v>-523186.87</v>
      </c>
      <c r="E173" s="78">
        <f t="shared" si="429"/>
        <v>-454189.44299999997</v>
      </c>
      <c r="F173" s="78">
        <f t="shared" si="429"/>
        <v>-497128.95600000001</v>
      </c>
      <c r="G173" s="78">
        <f t="shared" si="429"/>
        <v>-507874.09</v>
      </c>
      <c r="H173" s="78">
        <f t="shared" si="429"/>
        <v>12814.071999999986</v>
      </c>
      <c r="I173" s="78">
        <f t="shared" si="429"/>
        <v>-291709.94700000004</v>
      </c>
      <c r="J173" s="78">
        <f t="shared" si="429"/>
        <v>-260440.52799999999</v>
      </c>
      <c r="K173" s="78">
        <f t="shared" si="429"/>
        <v>12860.123000000021</v>
      </c>
      <c r="L173" s="78">
        <f t="shared" si="429"/>
        <v>949742.07199999993</v>
      </c>
      <c r="M173" s="78">
        <f t="shared" si="429"/>
        <v>-539724.12</v>
      </c>
      <c r="N173" s="78">
        <f t="shared" si="429"/>
        <v>-533826.28399999999</v>
      </c>
      <c r="O173" s="259">
        <f t="shared" si="429"/>
        <v>-493971.73300000001</v>
      </c>
      <c r="P173" s="68"/>
      <c r="Q173" s="78">
        <f t="shared" ref="Q173:BD173" si="430">+Q63</f>
        <v>-106220.253</v>
      </c>
      <c r="R173" s="78">
        <f t="shared" si="430"/>
        <v>-108628.128</v>
      </c>
      <c r="S173" s="78">
        <f t="shared" si="430"/>
        <v>-111423.772</v>
      </c>
      <c r="T173" s="78">
        <f t="shared" si="430"/>
        <v>-127917.28999999998</v>
      </c>
      <c r="U173" s="78">
        <f t="shared" si="430"/>
        <v>-117178.784</v>
      </c>
      <c r="V173" s="78">
        <f t="shared" si="430"/>
        <v>-110248.094</v>
      </c>
      <c r="W173" s="78">
        <f t="shared" si="430"/>
        <v>-135295.49400000006</v>
      </c>
      <c r="X173" s="78">
        <f t="shared" si="430"/>
        <v>-134406.58399999997</v>
      </c>
      <c r="Y173" s="78">
        <f t="shared" si="430"/>
        <v>-139310.43400000001</v>
      </c>
      <c r="Z173" s="78">
        <f t="shared" si="430"/>
        <v>-123692.81</v>
      </c>
      <c r="AA173" s="78">
        <f t="shared" si="430"/>
        <v>-123176.65500000003</v>
      </c>
      <c r="AB173" s="78">
        <f t="shared" si="430"/>
        <v>-121694.19099999999</v>
      </c>
      <c r="AC173" s="78">
        <f t="shared" si="430"/>
        <v>-149572.601</v>
      </c>
      <c r="AD173" s="78">
        <f t="shared" si="430"/>
        <v>-128106.42500000002</v>
      </c>
      <c r="AE173" s="78">
        <f t="shared" si="430"/>
        <v>-89204.363000000012</v>
      </c>
      <c r="AF173" s="78">
        <f t="shared" si="430"/>
        <v>379697.46100000001</v>
      </c>
      <c r="AG173" s="78">
        <f t="shared" si="430"/>
        <v>-64774.953999999998</v>
      </c>
      <c r="AH173" s="78">
        <f t="shared" si="430"/>
        <v>-73478.633000000002</v>
      </c>
      <c r="AI173" s="78">
        <f t="shared" si="430"/>
        <v>-114770.64600000001</v>
      </c>
      <c r="AJ173" s="78">
        <f t="shared" si="430"/>
        <v>-38685.714000000036</v>
      </c>
      <c r="AK173" s="78">
        <f t="shared" si="430"/>
        <v>-112061.872</v>
      </c>
      <c r="AL173" s="78">
        <f t="shared" si="430"/>
        <v>-101117.94100000002</v>
      </c>
      <c r="AM173" s="78">
        <f t="shared" si="430"/>
        <v>-88807.296999999962</v>
      </c>
      <c r="AN173" s="78">
        <f t="shared" si="430"/>
        <v>41546.581999999995</v>
      </c>
      <c r="AO173" s="78">
        <f t="shared" si="430"/>
        <v>-151226.69699999999</v>
      </c>
      <c r="AP173" s="78">
        <f t="shared" si="430"/>
        <v>424683.96599999996</v>
      </c>
      <c r="AQ173" s="78">
        <f t="shared" si="430"/>
        <v>-85456.981000000029</v>
      </c>
      <c r="AR173" s="78">
        <f t="shared" si="430"/>
        <v>-175140.16499999992</v>
      </c>
      <c r="AS173" s="78">
        <f t="shared" si="430"/>
        <v>-170082.315</v>
      </c>
      <c r="AT173" s="78">
        <f t="shared" si="430"/>
        <v>-135535.44800000003</v>
      </c>
      <c r="AU173" s="78">
        <f t="shared" si="430"/>
        <v>-116685.63699999999</v>
      </c>
      <c r="AV173" s="78">
        <f t="shared" si="430"/>
        <v>1372045.4720000001</v>
      </c>
      <c r="AW173" s="78">
        <f t="shared" si="430"/>
        <v>-120567.728</v>
      </c>
      <c r="AX173" s="78">
        <f t="shared" si="430"/>
        <v>-166130.87599999999</v>
      </c>
      <c r="AY173" s="78">
        <f t="shared" si="430"/>
        <v>-137612.89299999998</v>
      </c>
      <c r="AZ173" s="78">
        <f t="shared" si="430"/>
        <v>-115412.62300000002</v>
      </c>
      <c r="BA173" s="78">
        <f t="shared" si="430"/>
        <v>-148489.65299999999</v>
      </c>
      <c r="BB173" s="78">
        <f t="shared" si="430"/>
        <v>-114540.69400000002</v>
      </c>
      <c r="BC173" s="78">
        <f t="shared" si="430"/>
        <v>-107910.43499999994</v>
      </c>
      <c r="BD173" s="78">
        <f t="shared" si="430"/>
        <v>-162885.50200000004</v>
      </c>
      <c r="BE173" s="78">
        <f t="shared" si="418"/>
        <v>-108635.102</v>
      </c>
    </row>
    <row r="174" spans="2:57">
      <c r="B174" s="1" t="str">
        <f t="shared" ref="B174:O174" si="431">+B64</f>
        <v>Purchase and development of intangible assets</v>
      </c>
      <c r="C174" s="78">
        <f t="shared" si="431"/>
        <v>-242.94200000000001</v>
      </c>
      <c r="D174" s="78">
        <f t="shared" si="431"/>
        <v>-7500.4840000000004</v>
      </c>
      <c r="E174" s="78">
        <f t="shared" si="431"/>
        <v>-193709.247</v>
      </c>
      <c r="F174" s="78">
        <f t="shared" si="431"/>
        <v>-739.01400000000001</v>
      </c>
      <c r="G174" s="78">
        <f t="shared" si="431"/>
        <v>-592.00599999999997</v>
      </c>
      <c r="H174" s="78">
        <f t="shared" si="431"/>
        <v>-1258.3420000000001</v>
      </c>
      <c r="I174" s="78">
        <f t="shared" si="431"/>
        <v>-864.88599999999997</v>
      </c>
      <c r="J174" s="78">
        <f t="shared" si="431"/>
        <v>-100844.643</v>
      </c>
      <c r="K174" s="78">
        <f t="shared" si="431"/>
        <v>0</v>
      </c>
      <c r="L174" s="78">
        <f t="shared" si="431"/>
        <v>0</v>
      </c>
      <c r="M174" s="78">
        <f t="shared" si="431"/>
        <v>-23.457000000000001</v>
      </c>
      <c r="N174" s="78">
        <f t="shared" si="431"/>
        <v>-1491.1849999999999</v>
      </c>
      <c r="O174" s="259">
        <f t="shared" si="431"/>
        <v>-1476.0059999999999</v>
      </c>
      <c r="P174" s="68"/>
      <c r="Q174" s="78">
        <f t="shared" ref="Q174:BD174" si="432">+Q64</f>
        <v>-396.01499999999999</v>
      </c>
      <c r="R174" s="78">
        <f t="shared" si="432"/>
        <v>114.26599999999996</v>
      </c>
      <c r="S174" s="78">
        <f t="shared" si="432"/>
        <v>-193557.973</v>
      </c>
      <c r="T174" s="78">
        <f t="shared" si="432"/>
        <v>130.47500000000582</v>
      </c>
      <c r="U174" s="78">
        <f t="shared" si="432"/>
        <v>-84.213999999999999</v>
      </c>
      <c r="V174" s="78">
        <f t="shared" si="432"/>
        <v>-43.775999999999996</v>
      </c>
      <c r="W174" s="78">
        <f t="shared" si="432"/>
        <v>-210.65499999999997</v>
      </c>
      <c r="X174" s="78">
        <f t="shared" si="432"/>
        <v>-400.36900000000003</v>
      </c>
      <c r="Y174" s="78">
        <f t="shared" si="432"/>
        <v>-193.19900000000001</v>
      </c>
      <c r="Z174" s="78">
        <f t="shared" si="432"/>
        <v>-134.02600000000001</v>
      </c>
      <c r="AA174" s="78">
        <f t="shared" si="432"/>
        <v>-115.30799999999999</v>
      </c>
      <c r="AB174" s="78">
        <f t="shared" si="432"/>
        <v>-149.47299999999996</v>
      </c>
      <c r="AC174" s="78">
        <f t="shared" si="432"/>
        <v>-338.78500000000003</v>
      </c>
      <c r="AD174" s="78">
        <f t="shared" si="432"/>
        <v>-301.55</v>
      </c>
      <c r="AE174" s="78">
        <f t="shared" si="432"/>
        <v>-480.26000000000005</v>
      </c>
      <c r="AF174" s="78">
        <f t="shared" si="432"/>
        <v>-137.74700000000007</v>
      </c>
      <c r="AG174" s="78">
        <f t="shared" si="432"/>
        <v>-141.96100000000001</v>
      </c>
      <c r="AH174" s="78">
        <f t="shared" si="432"/>
        <v>-20.856999999999999</v>
      </c>
      <c r="AI174" s="78">
        <f t="shared" si="432"/>
        <v>-79.137</v>
      </c>
      <c r="AJ174" s="78">
        <f t="shared" si="432"/>
        <v>-622.93100000000004</v>
      </c>
      <c r="AK174" s="78">
        <f t="shared" si="432"/>
        <v>-101264.14200000001</v>
      </c>
      <c r="AL174" s="78">
        <f t="shared" si="432"/>
        <v>-74.323999999993248</v>
      </c>
      <c r="AM174" s="78">
        <f t="shared" si="432"/>
        <v>8429.4719999999943</v>
      </c>
      <c r="AN174" s="78">
        <f t="shared" si="432"/>
        <v>-7935.6489999999903</v>
      </c>
      <c r="AO174" s="78">
        <f t="shared" si="432"/>
        <v>0</v>
      </c>
      <c r="AP174" s="78">
        <f t="shared" si="432"/>
        <v>-132.98400000000001</v>
      </c>
      <c r="AQ174" s="78">
        <f t="shared" si="432"/>
        <v>132.98400000000001</v>
      </c>
      <c r="AR174" s="78">
        <f t="shared" si="432"/>
        <v>0</v>
      </c>
      <c r="AS174" s="78">
        <f t="shared" si="432"/>
        <v>-23.273</v>
      </c>
      <c r="AT174" s="78">
        <f t="shared" si="432"/>
        <v>-0.60200000000000031</v>
      </c>
      <c r="AU174" s="78">
        <f t="shared" si="432"/>
        <v>-76.001000000000005</v>
      </c>
      <c r="AV174" s="78">
        <f t="shared" si="432"/>
        <v>99.876000000000005</v>
      </c>
      <c r="AW174" s="78">
        <f t="shared" si="432"/>
        <v>-3.07</v>
      </c>
      <c r="AX174" s="78">
        <f t="shared" si="432"/>
        <v>-0.14100000000000001</v>
      </c>
      <c r="AY174" s="78">
        <f t="shared" si="432"/>
        <v>-19.75</v>
      </c>
      <c r="AZ174" s="78">
        <f t="shared" si="432"/>
        <v>-0.49600000000000222</v>
      </c>
      <c r="BA174" s="78">
        <f t="shared" si="432"/>
        <v>-15.179</v>
      </c>
      <c r="BB174" s="78">
        <f t="shared" si="432"/>
        <v>14.261000000000001</v>
      </c>
      <c r="BC174" s="78">
        <f t="shared" si="432"/>
        <v>-27.772999999999996</v>
      </c>
      <c r="BD174" s="78">
        <f t="shared" si="432"/>
        <v>-1462.4939999999999</v>
      </c>
      <c r="BE174" s="78">
        <f t="shared" si="418"/>
        <v>0</v>
      </c>
    </row>
    <row r="175" spans="2:57">
      <c r="B175" s="1" t="str">
        <f t="shared" ref="B175:O175" si="433">+B65</f>
        <v>Disposals/ Acquistion, of subsidiaries</v>
      </c>
      <c r="C175" s="78">
        <f t="shared" si="433"/>
        <v>0</v>
      </c>
      <c r="D175" s="78">
        <f t="shared" si="433"/>
        <v>0</v>
      </c>
      <c r="E175" s="78">
        <f t="shared" si="433"/>
        <v>0</v>
      </c>
      <c r="F175" s="78">
        <f t="shared" si="433"/>
        <v>0</v>
      </c>
      <c r="G175" s="78">
        <f t="shared" si="433"/>
        <v>-1873.5060000000001</v>
      </c>
      <c r="H175" s="78">
        <f t="shared" si="433"/>
        <v>0</v>
      </c>
      <c r="I175" s="78">
        <f t="shared" si="433"/>
        <v>0</v>
      </c>
      <c r="J175" s="78">
        <f t="shared" si="433"/>
        <v>0</v>
      </c>
      <c r="K175" s="78">
        <f t="shared" si="433"/>
        <v>0</v>
      </c>
      <c r="L175" s="78">
        <f t="shared" si="433"/>
        <v>0</v>
      </c>
      <c r="M175" s="78">
        <f t="shared" si="433"/>
        <v>0</v>
      </c>
      <c r="N175" s="78">
        <f t="shared" si="433"/>
        <v>0</v>
      </c>
      <c r="O175" s="259">
        <f t="shared" si="433"/>
        <v>0</v>
      </c>
      <c r="P175" s="68"/>
      <c r="Q175" s="78">
        <f t="shared" ref="Q175:BD175" si="434">+Q65</f>
        <v>0</v>
      </c>
      <c r="R175" s="78">
        <f t="shared" si="434"/>
        <v>0</v>
      </c>
      <c r="S175" s="78">
        <f t="shared" si="434"/>
        <v>0</v>
      </c>
      <c r="T175" s="78">
        <f t="shared" si="434"/>
        <v>0</v>
      </c>
      <c r="U175" s="78">
        <f t="shared" si="434"/>
        <v>0</v>
      </c>
      <c r="V175" s="78">
        <f t="shared" si="434"/>
        <v>0</v>
      </c>
      <c r="W175" s="78">
        <f t="shared" si="434"/>
        <v>0</v>
      </c>
      <c r="X175" s="78">
        <f t="shared" si="434"/>
        <v>0</v>
      </c>
      <c r="Y175" s="78">
        <f t="shared" si="434"/>
        <v>0</v>
      </c>
      <c r="Z175" s="78">
        <f t="shared" si="434"/>
        <v>-1873.5060000000001</v>
      </c>
      <c r="AA175" s="78">
        <f t="shared" si="434"/>
        <v>0</v>
      </c>
      <c r="AB175" s="78">
        <f t="shared" si="434"/>
        <v>0</v>
      </c>
      <c r="AC175" s="78">
        <f t="shared" si="434"/>
        <v>0</v>
      </c>
      <c r="AD175" s="78">
        <f t="shared" si="434"/>
        <v>0</v>
      </c>
      <c r="AE175" s="78">
        <f t="shared" si="434"/>
        <v>0</v>
      </c>
      <c r="AF175" s="78">
        <f t="shared" si="434"/>
        <v>0</v>
      </c>
      <c r="AG175" s="78">
        <f t="shared" si="434"/>
        <v>0</v>
      </c>
      <c r="AH175" s="78">
        <f t="shared" si="434"/>
        <v>0</v>
      </c>
      <c r="AI175" s="78">
        <f t="shared" si="434"/>
        <v>0</v>
      </c>
      <c r="AJ175" s="78">
        <f t="shared" si="434"/>
        <v>0</v>
      </c>
      <c r="AK175" s="78">
        <f t="shared" si="434"/>
        <v>0</v>
      </c>
      <c r="AL175" s="78">
        <f t="shared" si="434"/>
        <v>0</v>
      </c>
      <c r="AM175" s="78">
        <f t="shared" si="434"/>
        <v>0</v>
      </c>
      <c r="AN175" s="78">
        <f t="shared" si="434"/>
        <v>0</v>
      </c>
      <c r="AO175" s="78">
        <f t="shared" si="434"/>
        <v>0</v>
      </c>
      <c r="AP175" s="78">
        <f t="shared" si="434"/>
        <v>0</v>
      </c>
      <c r="AQ175" s="78">
        <f t="shared" si="434"/>
        <v>0</v>
      </c>
      <c r="AR175" s="78">
        <f t="shared" si="434"/>
        <v>0</v>
      </c>
      <c r="AS175" s="78">
        <f t="shared" si="434"/>
        <v>0</v>
      </c>
      <c r="AT175" s="78">
        <f t="shared" si="434"/>
        <v>0</v>
      </c>
      <c r="AU175" s="78">
        <f t="shared" si="434"/>
        <v>0</v>
      </c>
      <c r="AV175" s="78">
        <f t="shared" si="434"/>
        <v>0</v>
      </c>
      <c r="AW175" s="78">
        <f t="shared" si="434"/>
        <v>0</v>
      </c>
      <c r="AX175" s="78">
        <f t="shared" si="434"/>
        <v>0</v>
      </c>
      <c r="AY175" s="78">
        <f t="shared" si="434"/>
        <v>0</v>
      </c>
      <c r="AZ175" s="78">
        <f t="shared" si="434"/>
        <v>0</v>
      </c>
      <c r="BA175" s="78">
        <f t="shared" si="434"/>
        <v>0</v>
      </c>
      <c r="BB175" s="78">
        <f t="shared" si="434"/>
        <v>0</v>
      </c>
      <c r="BC175" s="78">
        <f t="shared" si="434"/>
        <v>0</v>
      </c>
      <c r="BD175" s="78">
        <f t="shared" si="434"/>
        <v>0</v>
      </c>
      <c r="BE175" s="78">
        <f t="shared" si="418"/>
        <v>0</v>
      </c>
    </row>
    <row r="176" spans="2:57" ht="13.5" thickBot="1">
      <c r="B176" s="50" t="str">
        <f t="shared" ref="B176:O176" si="435">+B66</f>
        <v xml:space="preserve">Free cash flow </v>
      </c>
      <c r="C176" s="243">
        <f t="shared" si="435"/>
        <v>616403.83299999975</v>
      </c>
      <c r="D176" s="243">
        <f t="shared" si="435"/>
        <v>433732.54200000019</v>
      </c>
      <c r="E176" s="243">
        <f t="shared" si="435"/>
        <v>392037.82600000012</v>
      </c>
      <c r="F176" s="243">
        <f t="shared" si="435"/>
        <v>774396.86999999988</v>
      </c>
      <c r="G176" s="243">
        <f t="shared" si="435"/>
        <v>698161.20099999988</v>
      </c>
      <c r="H176" s="243">
        <f t="shared" si="435"/>
        <v>1673637.5140000002</v>
      </c>
      <c r="I176" s="243">
        <f t="shared" si="435"/>
        <v>1284359.8119999999</v>
      </c>
      <c r="J176" s="243">
        <f t="shared" si="435"/>
        <v>1210696.1310000001</v>
      </c>
      <c r="K176" s="243">
        <f t="shared" si="435"/>
        <v>2178405.8759999997</v>
      </c>
      <c r="L176" s="243">
        <f t="shared" si="435"/>
        <v>1732745.3509999998</v>
      </c>
      <c r="M176" s="243">
        <f t="shared" si="435"/>
        <v>28000.193999999956</v>
      </c>
      <c r="N176" s="243">
        <f t="shared" si="435"/>
        <v>192494.35600000009</v>
      </c>
      <c r="O176" s="330">
        <f t="shared" si="435"/>
        <v>247062.75500000006</v>
      </c>
      <c r="P176" s="70"/>
      <c r="Q176" s="243">
        <f t="shared" ref="Q176:BD176" si="436">+Q66</f>
        <v>199246.024</v>
      </c>
      <c r="R176" s="243">
        <f t="shared" si="436"/>
        <v>130851.25499999992</v>
      </c>
      <c r="S176" s="243">
        <f t="shared" si="436"/>
        <v>-96921.086999999912</v>
      </c>
      <c r="T176" s="243">
        <f t="shared" si="436"/>
        <v>158861.63400000022</v>
      </c>
      <c r="U176" s="243">
        <f t="shared" si="436"/>
        <v>173201.79799999998</v>
      </c>
      <c r="V176" s="243">
        <f t="shared" si="436"/>
        <v>141351.48600000003</v>
      </c>
      <c r="W176" s="243">
        <f t="shared" si="436"/>
        <v>239306.28299999985</v>
      </c>
      <c r="X176" s="243">
        <f t="shared" si="436"/>
        <v>220537.30300000013</v>
      </c>
      <c r="Y176" s="243">
        <f t="shared" si="436"/>
        <v>105991.98299999998</v>
      </c>
      <c r="Z176" s="243">
        <f t="shared" si="436"/>
        <v>193235.21299999999</v>
      </c>
      <c r="AA176" s="243">
        <f t="shared" si="436"/>
        <v>185925.76400000011</v>
      </c>
      <c r="AB176" s="243">
        <f t="shared" si="436"/>
        <v>213008.24099999975</v>
      </c>
      <c r="AC176" s="243">
        <f t="shared" si="436"/>
        <v>210809.98499999993</v>
      </c>
      <c r="AD176" s="243">
        <f t="shared" si="436"/>
        <v>205140.09600000011</v>
      </c>
      <c r="AE176" s="243">
        <f t="shared" si="436"/>
        <v>274718.1289999999</v>
      </c>
      <c r="AF176" s="243">
        <f t="shared" si="436"/>
        <v>982969.30400000024</v>
      </c>
      <c r="AG176" s="243">
        <f t="shared" si="436"/>
        <v>290170.60800000001</v>
      </c>
      <c r="AH176" s="243">
        <f t="shared" si="436"/>
        <v>239621.92000000004</v>
      </c>
      <c r="AI176" s="243">
        <f t="shared" si="436"/>
        <v>411393.79800000001</v>
      </c>
      <c r="AJ176" s="243">
        <f t="shared" si="436"/>
        <v>343173.48600000003</v>
      </c>
      <c r="AK176" s="243">
        <f t="shared" si="436"/>
        <v>186133.51399999997</v>
      </c>
      <c r="AL176" s="243">
        <f t="shared" si="436"/>
        <v>427770.94899999991</v>
      </c>
      <c r="AM176" s="243">
        <f t="shared" si="436"/>
        <v>289500.79800000007</v>
      </c>
      <c r="AN176" s="243">
        <f t="shared" si="436"/>
        <v>307290.86999999976</v>
      </c>
      <c r="AO176" s="243">
        <f t="shared" si="436"/>
        <v>279614.69400000002</v>
      </c>
      <c r="AP176" s="243">
        <f t="shared" si="436"/>
        <v>1226753.659</v>
      </c>
      <c r="AQ176" s="243">
        <f t="shared" si="436"/>
        <v>318036.53699999995</v>
      </c>
      <c r="AR176" s="243">
        <f t="shared" si="436"/>
        <v>354000.9859999998</v>
      </c>
      <c r="AS176" s="243">
        <f t="shared" si="436"/>
        <v>-131672.66700000002</v>
      </c>
      <c r="AT176" s="243">
        <f t="shared" si="436"/>
        <v>22713.212999999974</v>
      </c>
      <c r="AU176" s="243">
        <f t="shared" si="436"/>
        <v>166925.25400000002</v>
      </c>
      <c r="AV176" s="243">
        <f t="shared" si="436"/>
        <v>1674779.551</v>
      </c>
      <c r="AW176" s="243">
        <f t="shared" si="436"/>
        <v>-31608.886000000006</v>
      </c>
      <c r="AX176" s="243">
        <f t="shared" si="436"/>
        <v>-21551.934999999965</v>
      </c>
      <c r="AY176" s="243">
        <f t="shared" si="436"/>
        <v>-21090.718999999997</v>
      </c>
      <c r="AZ176" s="243">
        <f t="shared" si="436"/>
        <v>102251.73399999992</v>
      </c>
      <c r="BA176" s="243">
        <f t="shared" si="436"/>
        <v>-25189.085000000003</v>
      </c>
      <c r="BB176" s="243">
        <f t="shared" si="436"/>
        <v>54447.895999999979</v>
      </c>
      <c r="BC176" s="243">
        <f t="shared" si="436"/>
        <v>78313.719000000056</v>
      </c>
      <c r="BD176" s="243">
        <f t="shared" si="436"/>
        <v>84921.826000000001</v>
      </c>
      <c r="BE176" s="243">
        <f t="shared" si="418"/>
        <v>29379.313999999998</v>
      </c>
    </row>
    <row r="177" spans="2:57" ht="13.5" thickTop="1">
      <c r="B177" s="87" t="str">
        <f t="shared" ref="B177:O177" si="437">+B67</f>
        <v>Other investing activities</v>
      </c>
      <c r="C177" s="88">
        <f t="shared" si="437"/>
        <v>5006.6189999999997</v>
      </c>
      <c r="D177" s="88">
        <f t="shared" si="437"/>
        <v>2018.4259999999999</v>
      </c>
      <c r="E177" s="88">
        <f t="shared" si="437"/>
        <v>1701.201</v>
      </c>
      <c r="F177" s="88">
        <f t="shared" si="437"/>
        <v>1996.0419999999999</v>
      </c>
      <c r="G177" s="88">
        <f t="shared" si="437"/>
        <v>0</v>
      </c>
      <c r="H177" s="88">
        <f t="shared" si="437"/>
        <v>-153141.44899999999</v>
      </c>
      <c r="I177" s="88">
        <f t="shared" si="437"/>
        <v>-233660.003</v>
      </c>
      <c r="J177" s="88">
        <f t="shared" si="437"/>
        <v>147177.84</v>
      </c>
      <c r="K177" s="88">
        <f t="shared" si="437"/>
        <v>121892.01300000001</v>
      </c>
      <c r="L177" s="88">
        <f t="shared" si="437"/>
        <v>767.36500000000001</v>
      </c>
      <c r="M177" s="88">
        <f t="shared" si="437"/>
        <v>-79714.429999999993</v>
      </c>
      <c r="N177" s="88">
        <f t="shared" si="437"/>
        <v>178081.53099999999</v>
      </c>
      <c r="O177" s="261">
        <f t="shared" si="437"/>
        <v>88520.659999999989</v>
      </c>
      <c r="P177" s="68"/>
      <c r="Q177" s="88">
        <f t="shared" ref="Q177:BD177" si="438">+Q67</f>
        <v>1701.201</v>
      </c>
      <c r="R177" s="88">
        <f t="shared" si="438"/>
        <v>0</v>
      </c>
      <c r="S177" s="88">
        <f t="shared" si="438"/>
        <v>-39302.241999999998</v>
      </c>
      <c r="T177" s="88">
        <f t="shared" si="438"/>
        <v>39302.241999999998</v>
      </c>
      <c r="U177" s="88">
        <f t="shared" si="438"/>
        <v>1996.0419999999999</v>
      </c>
      <c r="V177" s="88">
        <f t="shared" si="438"/>
        <v>0</v>
      </c>
      <c r="W177" s="88">
        <f t="shared" si="438"/>
        <v>0</v>
      </c>
      <c r="X177" s="88">
        <f t="shared" si="438"/>
        <v>0</v>
      </c>
      <c r="Y177" s="88">
        <f t="shared" si="438"/>
        <v>0</v>
      </c>
      <c r="Z177" s="88">
        <f t="shared" si="438"/>
        <v>0</v>
      </c>
      <c r="AA177" s="88">
        <f t="shared" si="438"/>
        <v>0</v>
      </c>
      <c r="AB177" s="88">
        <f t="shared" si="438"/>
        <v>0</v>
      </c>
      <c r="AC177" s="88">
        <f t="shared" si="438"/>
        <v>0</v>
      </c>
      <c r="AD177" s="88">
        <f t="shared" si="438"/>
        <v>0</v>
      </c>
      <c r="AE177" s="88">
        <f t="shared" si="438"/>
        <v>0</v>
      </c>
      <c r="AF177" s="88">
        <f t="shared" si="438"/>
        <v>-153141.44899999999</v>
      </c>
      <c r="AG177" s="88">
        <f t="shared" si="438"/>
        <v>-17486.672999999999</v>
      </c>
      <c r="AH177" s="88">
        <f t="shared" si="438"/>
        <v>99688.19</v>
      </c>
      <c r="AI177" s="88">
        <f t="shared" si="438"/>
        <v>-172672.99599999998</v>
      </c>
      <c r="AJ177" s="88">
        <f t="shared" si="438"/>
        <v>-143188.524</v>
      </c>
      <c r="AK177" s="88">
        <f t="shared" si="438"/>
        <v>-30033.462</v>
      </c>
      <c r="AL177" s="88">
        <f t="shared" si="438"/>
        <v>3426.5830000000024</v>
      </c>
      <c r="AM177" s="88">
        <f t="shared" si="438"/>
        <v>158.4639999999963</v>
      </c>
      <c r="AN177" s="88">
        <f t="shared" si="438"/>
        <v>173626.25499999998</v>
      </c>
      <c r="AO177" s="88">
        <f t="shared" si="438"/>
        <v>27515.073</v>
      </c>
      <c r="AP177" s="88">
        <f t="shared" si="438"/>
        <v>-8268.2439999999988</v>
      </c>
      <c r="AQ177" s="88">
        <f t="shared" si="438"/>
        <v>70455.119000000006</v>
      </c>
      <c r="AR177" s="88">
        <f t="shared" si="438"/>
        <v>32190.065000000002</v>
      </c>
      <c r="AS177" s="88">
        <f t="shared" si="438"/>
        <v>2050.145</v>
      </c>
      <c r="AT177" s="88">
        <f t="shared" si="438"/>
        <v>21580.631999999998</v>
      </c>
      <c r="AU177" s="88">
        <f t="shared" si="438"/>
        <v>-25821.008999999998</v>
      </c>
      <c r="AV177" s="88">
        <f t="shared" si="438"/>
        <v>2957.5970000000016</v>
      </c>
      <c r="AW177" s="88">
        <f t="shared" si="438"/>
        <v>-180029.97</v>
      </c>
      <c r="AX177" s="88">
        <f t="shared" si="438"/>
        <v>-27223.250999999989</v>
      </c>
      <c r="AY177" s="88">
        <f t="shared" si="438"/>
        <v>154808.88399999999</v>
      </c>
      <c r="AZ177" s="88">
        <f t="shared" si="438"/>
        <v>-27270.092999999993</v>
      </c>
      <c r="BA177" s="88">
        <f t="shared" si="438"/>
        <v>105338.255</v>
      </c>
      <c r="BB177" s="88">
        <f t="shared" si="438"/>
        <v>88520.66</v>
      </c>
      <c r="BC177" s="88">
        <f t="shared" si="438"/>
        <v>0</v>
      </c>
      <c r="BD177" s="88">
        <f t="shared" si="438"/>
        <v>-15777.38400000002</v>
      </c>
      <c r="BE177" s="88">
        <f t="shared" si="418"/>
        <v>15777.384</v>
      </c>
    </row>
    <row r="178" spans="2:57">
      <c r="B178" s="1" t="str">
        <f t="shared" ref="B178:O178" si="439">+B68</f>
        <v>Equity Issuance/Buyback</v>
      </c>
      <c r="C178" s="81">
        <f t="shared" si="439"/>
        <v>0</v>
      </c>
      <c r="D178" s="81">
        <f t="shared" si="439"/>
        <v>0</v>
      </c>
      <c r="E178" s="81">
        <f t="shared" si="439"/>
        <v>353703.38099999999</v>
      </c>
      <c r="F178" s="81">
        <f t="shared" si="439"/>
        <v>0</v>
      </c>
      <c r="G178" s="81">
        <f t="shared" si="439"/>
        <v>0</v>
      </c>
      <c r="H178" s="81">
        <f t="shared" si="439"/>
        <v>0</v>
      </c>
      <c r="I178" s="81">
        <f t="shared" si="439"/>
        <v>0</v>
      </c>
      <c r="J178" s="81">
        <f t="shared" si="439"/>
        <v>0</v>
      </c>
      <c r="K178" s="81">
        <f t="shared" si="439"/>
        <v>0</v>
      </c>
      <c r="L178" s="81">
        <f t="shared" si="439"/>
        <v>0</v>
      </c>
      <c r="M178" s="81">
        <f t="shared" si="439"/>
        <v>0</v>
      </c>
      <c r="N178" s="81">
        <f t="shared" si="439"/>
        <v>0</v>
      </c>
      <c r="O178" s="262">
        <f t="shared" si="439"/>
        <v>0</v>
      </c>
      <c r="P178" s="68"/>
      <c r="Q178" s="81">
        <f t="shared" ref="Q178:BD178" si="440">+Q68</f>
        <v>0</v>
      </c>
      <c r="R178" s="81">
        <f t="shared" si="440"/>
        <v>3142.2660000000001</v>
      </c>
      <c r="S178" s="81">
        <f t="shared" si="440"/>
        <v>350561.11499999999</v>
      </c>
      <c r="T178" s="81">
        <f t="shared" si="440"/>
        <v>0</v>
      </c>
      <c r="U178" s="81">
        <f t="shared" si="440"/>
        <v>0</v>
      </c>
      <c r="V178" s="81">
        <f t="shared" si="440"/>
        <v>0</v>
      </c>
      <c r="W178" s="81">
        <f t="shared" si="440"/>
        <v>0</v>
      </c>
      <c r="X178" s="81">
        <f t="shared" si="440"/>
        <v>0</v>
      </c>
      <c r="Y178" s="81">
        <f t="shared" si="440"/>
        <v>0</v>
      </c>
      <c r="Z178" s="81">
        <f t="shared" si="440"/>
        <v>0</v>
      </c>
      <c r="AA178" s="81">
        <f t="shared" si="440"/>
        <v>0</v>
      </c>
      <c r="AB178" s="81">
        <f t="shared" si="440"/>
        <v>0</v>
      </c>
      <c r="AC178" s="81">
        <f t="shared" si="440"/>
        <v>0</v>
      </c>
      <c r="AD178" s="81">
        <f t="shared" si="440"/>
        <v>0</v>
      </c>
      <c r="AE178" s="81">
        <f t="shared" si="440"/>
        <v>0</v>
      </c>
      <c r="AF178" s="81">
        <f t="shared" si="440"/>
        <v>0</v>
      </c>
      <c r="AG178" s="81">
        <f t="shared" si="440"/>
        <v>0</v>
      </c>
      <c r="AH178" s="81">
        <f t="shared" si="440"/>
        <v>0</v>
      </c>
      <c r="AI178" s="81">
        <f t="shared" si="440"/>
        <v>0</v>
      </c>
      <c r="AJ178" s="81">
        <f t="shared" si="440"/>
        <v>0</v>
      </c>
      <c r="AK178" s="81">
        <f t="shared" si="440"/>
        <v>0</v>
      </c>
      <c r="AL178" s="81">
        <f t="shared" si="440"/>
        <v>0</v>
      </c>
      <c r="AM178" s="81">
        <f t="shared" si="440"/>
        <v>0</v>
      </c>
      <c r="AN178" s="81">
        <f t="shared" si="440"/>
        <v>0</v>
      </c>
      <c r="AO178" s="81">
        <f t="shared" si="440"/>
        <v>0</v>
      </c>
      <c r="AP178" s="81">
        <f t="shared" si="440"/>
        <v>0</v>
      </c>
      <c r="AQ178" s="81">
        <f t="shared" si="440"/>
        <v>0</v>
      </c>
      <c r="AR178" s="81">
        <f t="shared" si="440"/>
        <v>0</v>
      </c>
      <c r="AS178" s="81">
        <f t="shared" si="440"/>
        <v>0</v>
      </c>
      <c r="AT178" s="81">
        <f t="shared" si="440"/>
        <v>0</v>
      </c>
      <c r="AU178" s="81">
        <f t="shared" si="440"/>
        <v>0</v>
      </c>
      <c r="AV178" s="81">
        <f t="shared" si="440"/>
        <v>0</v>
      </c>
      <c r="AW178" s="81">
        <f t="shared" si="440"/>
        <v>0</v>
      </c>
      <c r="AX178" s="81">
        <f t="shared" si="440"/>
        <v>0</v>
      </c>
      <c r="AY178" s="81">
        <f t="shared" si="440"/>
        <v>0</v>
      </c>
      <c r="AZ178" s="81">
        <f t="shared" si="440"/>
        <v>0</v>
      </c>
      <c r="BA178" s="81">
        <f t="shared" si="440"/>
        <v>0</v>
      </c>
      <c r="BB178" s="81">
        <f t="shared" si="440"/>
        <v>0</v>
      </c>
      <c r="BC178" s="81">
        <f t="shared" si="440"/>
        <v>0</v>
      </c>
      <c r="BD178" s="81">
        <f t="shared" si="440"/>
        <v>0</v>
      </c>
      <c r="BE178" s="81">
        <f t="shared" si="418"/>
        <v>0</v>
      </c>
    </row>
    <row r="179" spans="2:57" s="5" customFormat="1">
      <c r="B179" s="1" t="str">
        <f t="shared" ref="B179:O179" si="441">+B69</f>
        <v xml:space="preserve">Dividends Paid </v>
      </c>
      <c r="C179" s="81">
        <f t="shared" si="441"/>
        <v>-55100.243000000002</v>
      </c>
      <c r="D179" s="81">
        <f t="shared" si="441"/>
        <v>-9091.0589999999993</v>
      </c>
      <c r="E179" s="81">
        <f t="shared" si="441"/>
        <v>-34.582000000000001</v>
      </c>
      <c r="F179" s="81">
        <f t="shared" si="441"/>
        <v>-10307.247000000001</v>
      </c>
      <c r="G179" s="81">
        <f t="shared" si="441"/>
        <v>-13302.851000000001</v>
      </c>
      <c r="H179" s="81">
        <f t="shared" si="441"/>
        <v>-19.388999999999999</v>
      </c>
      <c r="I179" s="81">
        <f t="shared" si="441"/>
        <v>-46474.34</v>
      </c>
      <c r="J179" s="81">
        <f t="shared" si="441"/>
        <v>-253366.851</v>
      </c>
      <c r="K179" s="81">
        <f t="shared" si="441"/>
        <v>-374267.09499999997</v>
      </c>
      <c r="L179" s="81">
        <f t="shared" si="441"/>
        <v>-28442.741000000002</v>
      </c>
      <c r="M179" s="81">
        <f t="shared" si="441"/>
        <v>-86224.531000000003</v>
      </c>
      <c r="N179" s="81">
        <f t="shared" si="441"/>
        <v>-73673.691999999995</v>
      </c>
      <c r="O179" s="262">
        <f t="shared" si="441"/>
        <v>-73669.89</v>
      </c>
      <c r="P179" s="68"/>
      <c r="Q179" s="81">
        <f t="shared" ref="Q179:BD179" si="442">+Q69</f>
        <v>-0.63</v>
      </c>
      <c r="R179" s="81">
        <f t="shared" si="442"/>
        <v>-24.027000000000001</v>
      </c>
      <c r="S179" s="81">
        <f t="shared" si="442"/>
        <v>-5.2459999999999978</v>
      </c>
      <c r="T179" s="81">
        <f t="shared" si="442"/>
        <v>-4.679000000000002</v>
      </c>
      <c r="U179" s="81">
        <f t="shared" si="442"/>
        <v>-13.071</v>
      </c>
      <c r="V179" s="81">
        <f t="shared" si="442"/>
        <v>-10288.848</v>
      </c>
      <c r="W179" s="81">
        <f t="shared" si="442"/>
        <v>6.0720000000002035</v>
      </c>
      <c r="X179" s="81">
        <f t="shared" si="442"/>
        <v>-11.400000000001542</v>
      </c>
      <c r="Y179" s="81">
        <f t="shared" si="442"/>
        <v>-0.56200000000000006</v>
      </c>
      <c r="Z179" s="81">
        <f t="shared" si="442"/>
        <v>-13302.022999999999</v>
      </c>
      <c r="AA179" s="81">
        <f t="shared" si="442"/>
        <v>10.134000000000116</v>
      </c>
      <c r="AB179" s="81">
        <f t="shared" si="442"/>
        <v>-10.400000000001354</v>
      </c>
      <c r="AC179" s="81">
        <f t="shared" si="442"/>
        <v>-44.494999999999997</v>
      </c>
      <c r="AD179" s="81">
        <f t="shared" si="442"/>
        <v>27.883999999999997</v>
      </c>
      <c r="AE179" s="81">
        <f t="shared" si="442"/>
        <v>-0.24799999999999756</v>
      </c>
      <c r="AF179" s="81">
        <f t="shared" si="442"/>
        <v>-2.5300000000000011</v>
      </c>
      <c r="AG179" s="81">
        <f t="shared" si="442"/>
        <v>0</v>
      </c>
      <c r="AH179" s="81">
        <f t="shared" si="442"/>
        <v>-46515.3</v>
      </c>
      <c r="AI179" s="81">
        <f t="shared" si="442"/>
        <v>43.474000000001979</v>
      </c>
      <c r="AJ179" s="81">
        <f t="shared" si="442"/>
        <v>-2.5139999999955762</v>
      </c>
      <c r="AK179" s="81">
        <f t="shared" si="442"/>
        <v>-2.9430000000000001</v>
      </c>
      <c r="AL179" s="81">
        <f t="shared" si="442"/>
        <v>-41984.701999999997</v>
      </c>
      <c r="AM179" s="81">
        <f t="shared" si="442"/>
        <v>37.13299999999505</v>
      </c>
      <c r="AN179" s="81">
        <f t="shared" si="442"/>
        <v>-211416.33900000001</v>
      </c>
      <c r="AO179" s="81">
        <f t="shared" si="442"/>
        <v>0</v>
      </c>
      <c r="AP179" s="81">
        <f t="shared" si="442"/>
        <v>-344167.41499999998</v>
      </c>
      <c r="AQ179" s="81">
        <f t="shared" si="442"/>
        <v>199.2489999999525</v>
      </c>
      <c r="AR179" s="81">
        <f t="shared" si="442"/>
        <v>-30298.928999999946</v>
      </c>
      <c r="AS179" s="81">
        <f t="shared" si="442"/>
        <v>-23.141999999999999</v>
      </c>
      <c r="AT179" s="81">
        <f t="shared" si="442"/>
        <v>-28393.353999999999</v>
      </c>
      <c r="AU179" s="81">
        <f t="shared" si="442"/>
        <v>0.7789999999988062</v>
      </c>
      <c r="AV179" s="81">
        <f t="shared" si="442"/>
        <v>-27.024000000001426</v>
      </c>
      <c r="AW179" s="81">
        <f t="shared" si="442"/>
        <v>-0.20699999999999999</v>
      </c>
      <c r="AX179" s="81">
        <f t="shared" si="442"/>
        <v>-71117.966</v>
      </c>
      <c r="AY179" s="81">
        <f t="shared" si="442"/>
        <v>41.817000000000583</v>
      </c>
      <c r="AZ179" s="81">
        <f t="shared" si="442"/>
        <v>-15148.175000000008</v>
      </c>
      <c r="BA179" s="81">
        <f t="shared" si="442"/>
        <v>-3.802</v>
      </c>
      <c r="BB179" s="81">
        <f t="shared" si="442"/>
        <v>-38961.072999999997</v>
      </c>
      <c r="BC179" s="81">
        <f t="shared" si="442"/>
        <v>23.151999999998544</v>
      </c>
      <c r="BD179" s="81">
        <f t="shared" si="442"/>
        <v>-34731.969000000005</v>
      </c>
      <c r="BE179" s="81">
        <f t="shared" si="418"/>
        <v>0</v>
      </c>
    </row>
    <row r="180" spans="2:57">
      <c r="B180" s="1" t="str">
        <f t="shared" ref="B180:O180" si="443">+B70</f>
        <v>Change in debt</v>
      </c>
      <c r="C180" s="244">
        <f t="shared" si="443"/>
        <v>476329.95599999989</v>
      </c>
      <c r="D180" s="244">
        <f t="shared" si="443"/>
        <v>-1136.67</v>
      </c>
      <c r="E180" s="68">
        <f t="shared" si="443"/>
        <v>-464.42599999999999</v>
      </c>
      <c r="F180" s="68">
        <f t="shared" si="443"/>
        <v>94838.291999999987</v>
      </c>
      <c r="G180" s="68">
        <f t="shared" si="443"/>
        <v>52892.376999999993</v>
      </c>
      <c r="H180" s="68">
        <f t="shared" si="443"/>
        <v>-30286.647999999972</v>
      </c>
      <c r="I180" s="68">
        <f t="shared" si="443"/>
        <v>-157969.77100000001</v>
      </c>
      <c r="J180" s="68">
        <f t="shared" si="443"/>
        <v>-77606.479000000036</v>
      </c>
      <c r="K180" s="68">
        <f t="shared" si="443"/>
        <v>-210639.97</v>
      </c>
      <c r="L180" s="68">
        <f t="shared" si="443"/>
        <v>-284854.95699999994</v>
      </c>
      <c r="M180" s="68">
        <f t="shared" si="443"/>
        <v>-405218.26300000004</v>
      </c>
      <c r="N180" s="68">
        <f t="shared" si="443"/>
        <v>-505625.63100000005</v>
      </c>
      <c r="O180" s="331">
        <f t="shared" si="443"/>
        <v>-508689.53600000008</v>
      </c>
      <c r="P180" s="68"/>
      <c r="Q180" s="68">
        <f t="shared" ref="Q180:BD180" si="444">+Q70</f>
        <v>-306.94799999999998</v>
      </c>
      <c r="R180" s="68">
        <f t="shared" si="444"/>
        <v>-121.20400000000001</v>
      </c>
      <c r="S180" s="68">
        <f t="shared" si="444"/>
        <v>-27.103000000000009</v>
      </c>
      <c r="T180" s="68">
        <f t="shared" si="444"/>
        <v>-9.1709999999999923</v>
      </c>
      <c r="U180" s="68">
        <f t="shared" si="444"/>
        <v>-313.50900000000001</v>
      </c>
      <c r="V180" s="68">
        <f t="shared" si="444"/>
        <v>99033.938000000038</v>
      </c>
      <c r="W180" s="68">
        <f t="shared" si="444"/>
        <v>-323.54000000005726</v>
      </c>
      <c r="X180" s="68">
        <f t="shared" si="444"/>
        <v>-3558.5969999999888</v>
      </c>
      <c r="Y180" s="68">
        <f t="shared" si="444"/>
        <v>-330.22500000000002</v>
      </c>
      <c r="Z180" s="68">
        <f t="shared" si="444"/>
        <v>-241.01599999999837</v>
      </c>
      <c r="AA180" s="68">
        <f t="shared" si="444"/>
        <v>-278.13200000000563</v>
      </c>
      <c r="AB180" s="68">
        <f t="shared" si="444"/>
        <v>53741.749999999993</v>
      </c>
      <c r="AC180" s="68">
        <f t="shared" si="444"/>
        <v>-12851.022000000008</v>
      </c>
      <c r="AD180" s="68">
        <f t="shared" si="444"/>
        <v>13888.842999999997</v>
      </c>
      <c r="AE180" s="68">
        <f t="shared" si="444"/>
        <v>-39440.948999999935</v>
      </c>
      <c r="AF180" s="68">
        <f t="shared" si="444"/>
        <v>8116.4799999999741</v>
      </c>
      <c r="AG180" s="68">
        <f t="shared" si="444"/>
        <v>-78113.417000000001</v>
      </c>
      <c r="AH180" s="68">
        <f t="shared" si="444"/>
        <v>-22215.953999999983</v>
      </c>
      <c r="AI180" s="68">
        <f t="shared" si="444"/>
        <v>-22602.945000000022</v>
      </c>
      <c r="AJ180" s="68">
        <f t="shared" si="444"/>
        <v>-35037.455000000016</v>
      </c>
      <c r="AK180" s="68">
        <f t="shared" si="444"/>
        <v>-24616.184000000005</v>
      </c>
      <c r="AL180" s="68">
        <f t="shared" si="444"/>
        <v>-29487.595999999994</v>
      </c>
      <c r="AM180" s="68">
        <f t="shared" si="444"/>
        <v>602456.01800000004</v>
      </c>
      <c r="AN180" s="68">
        <f t="shared" si="444"/>
        <v>-625958.71700000006</v>
      </c>
      <c r="AO180" s="68">
        <f t="shared" si="444"/>
        <v>2419.6100000000042</v>
      </c>
      <c r="AP180" s="68">
        <f t="shared" si="444"/>
        <v>-2525.6980000000076</v>
      </c>
      <c r="AQ180" s="68">
        <f t="shared" si="444"/>
        <v>-7495.6610000000073</v>
      </c>
      <c r="AR180" s="68">
        <f t="shared" si="444"/>
        <v>-203038.22100000002</v>
      </c>
      <c r="AS180" s="68">
        <f t="shared" si="444"/>
        <v>-41258.664999999994</v>
      </c>
      <c r="AT180" s="68">
        <f t="shared" si="444"/>
        <v>-23815.581000000006</v>
      </c>
      <c r="AU180" s="68">
        <f t="shared" si="444"/>
        <v>-39479.934999999998</v>
      </c>
      <c r="AV180" s="68">
        <f t="shared" si="444"/>
        <v>-180300.77599999995</v>
      </c>
      <c r="AW180" s="68">
        <f t="shared" si="444"/>
        <v>-60071.623</v>
      </c>
      <c r="AX180" s="68">
        <f t="shared" si="444"/>
        <v>-85515.66</v>
      </c>
      <c r="AY180" s="68">
        <f t="shared" si="444"/>
        <v>-46129.295000000006</v>
      </c>
      <c r="AZ180" s="68">
        <f t="shared" si="444"/>
        <v>-213501.685</v>
      </c>
      <c r="BA180" s="68">
        <f t="shared" si="444"/>
        <v>-34617.153999999995</v>
      </c>
      <c r="BB180" s="68">
        <f t="shared" si="444"/>
        <v>-8077.660000000018</v>
      </c>
      <c r="BC180" s="68">
        <f t="shared" si="444"/>
        <v>-405589.71399999992</v>
      </c>
      <c r="BD180" s="68">
        <f t="shared" si="444"/>
        <v>-57341.103000000119</v>
      </c>
      <c r="BE180" s="68">
        <f t="shared" si="418"/>
        <v>-37681.059000000001</v>
      </c>
    </row>
    <row r="181" spans="2:57" ht="13.5" thickBot="1">
      <c r="B181" s="44" t="str">
        <f t="shared" ref="B181:O181" si="445">+B71</f>
        <v>Other financing activities</v>
      </c>
      <c r="C181" s="79">
        <f t="shared" si="445"/>
        <v>24042.985000000001</v>
      </c>
      <c r="D181" s="79">
        <f t="shared" si="445"/>
        <v>39073.892999999996</v>
      </c>
      <c r="E181" s="79">
        <f t="shared" si="445"/>
        <v>-16493.821</v>
      </c>
      <c r="F181" s="79">
        <f t="shared" si="445"/>
        <v>-24769.174999999999</v>
      </c>
      <c r="G181" s="79">
        <f t="shared" si="445"/>
        <v>429.60899999999998</v>
      </c>
      <c r="H181" s="79">
        <f t="shared" si="445"/>
        <v>20287.901999999998</v>
      </c>
      <c r="I181" s="79">
        <f t="shared" si="445"/>
        <v>24813.956999999999</v>
      </c>
      <c r="J181" s="79">
        <f t="shared" si="445"/>
        <v>19468.496999999999</v>
      </c>
      <c r="K181" s="79">
        <f t="shared" si="445"/>
        <v>22521.106</v>
      </c>
      <c r="L181" s="79">
        <f t="shared" si="445"/>
        <v>-2886.1790000000001</v>
      </c>
      <c r="M181" s="79">
        <f t="shared" si="445"/>
        <v>21026.526999999998</v>
      </c>
      <c r="N181" s="79">
        <f t="shared" si="445"/>
        <v>278738.174</v>
      </c>
      <c r="O181" s="263">
        <f t="shared" si="445"/>
        <v>225152.905</v>
      </c>
      <c r="P181" s="68"/>
      <c r="Q181" s="79">
        <f t="shared" ref="Q181:BD181" si="446">+Q71</f>
        <v>8594.2620000000006</v>
      </c>
      <c r="R181" s="79">
        <f t="shared" si="446"/>
        <v>-8464.5960000000014</v>
      </c>
      <c r="S181" s="79">
        <f t="shared" si="446"/>
        <v>-10102.379999999999</v>
      </c>
      <c r="T181" s="79">
        <f t="shared" si="446"/>
        <v>-6521.107</v>
      </c>
      <c r="U181" s="79">
        <f t="shared" si="446"/>
        <v>-4634.4660000000003</v>
      </c>
      <c r="V181" s="79">
        <f t="shared" si="446"/>
        <v>-4988.6360000000004</v>
      </c>
      <c r="W181" s="79">
        <f t="shared" si="446"/>
        <v>-10926.278</v>
      </c>
      <c r="X181" s="79">
        <f t="shared" si="446"/>
        <v>-4219.7949999999983</v>
      </c>
      <c r="Y181" s="79">
        <f t="shared" si="446"/>
        <v>-6124.3729999999996</v>
      </c>
      <c r="Z181" s="79">
        <f t="shared" si="446"/>
        <v>-1666.1620000000003</v>
      </c>
      <c r="AA181" s="79">
        <f t="shared" si="446"/>
        <v>3407.5379999999996</v>
      </c>
      <c r="AB181" s="79">
        <f t="shared" si="446"/>
        <v>4812.6059999999998</v>
      </c>
      <c r="AC181" s="79">
        <f t="shared" si="446"/>
        <v>-706.58500000000004</v>
      </c>
      <c r="AD181" s="79">
        <f t="shared" si="446"/>
        <v>1807.335</v>
      </c>
      <c r="AE181" s="79">
        <f t="shared" si="446"/>
        <v>12265.792999999998</v>
      </c>
      <c r="AF181" s="79">
        <f t="shared" si="446"/>
        <v>6921.3590000000004</v>
      </c>
      <c r="AG181" s="79">
        <f t="shared" si="446"/>
        <v>3496.8850000000002</v>
      </c>
      <c r="AH181" s="79">
        <f t="shared" si="446"/>
        <v>16110.337000000001</v>
      </c>
      <c r="AI181" s="79">
        <f t="shared" si="446"/>
        <v>3369.280999999999</v>
      </c>
      <c r="AJ181" s="79">
        <f t="shared" si="446"/>
        <v>1837.4539999999979</v>
      </c>
      <c r="AK181" s="79">
        <f t="shared" si="446"/>
        <v>-6348.982</v>
      </c>
      <c r="AL181" s="79">
        <f t="shared" si="446"/>
        <v>10807.555</v>
      </c>
      <c r="AM181" s="79">
        <f t="shared" si="446"/>
        <v>-3877.1039999999994</v>
      </c>
      <c r="AN181" s="79">
        <f t="shared" si="446"/>
        <v>18887.027999999998</v>
      </c>
      <c r="AO181" s="79">
        <f t="shared" si="446"/>
        <v>-8602.5969999999998</v>
      </c>
      <c r="AP181" s="79">
        <f t="shared" si="446"/>
        <v>6640.2309999999998</v>
      </c>
      <c r="AQ181" s="79">
        <f t="shared" si="446"/>
        <v>2164.1000000000004</v>
      </c>
      <c r="AR181" s="79">
        <f t="shared" si="446"/>
        <v>22319.372000000003</v>
      </c>
      <c r="AS181" s="79">
        <f t="shared" si="446"/>
        <v>-4312.0429999999997</v>
      </c>
      <c r="AT181" s="79">
        <f t="shared" si="446"/>
        <v>-5580.48</v>
      </c>
      <c r="AU181" s="79">
        <f t="shared" si="446"/>
        <v>-2693.402</v>
      </c>
      <c r="AV181" s="79">
        <f t="shared" si="446"/>
        <v>9699.7459999999992</v>
      </c>
      <c r="AW181" s="79">
        <f t="shared" si="446"/>
        <v>5769.7349999999997</v>
      </c>
      <c r="AX181" s="79">
        <f t="shared" si="446"/>
        <v>-3605.5609999999997</v>
      </c>
      <c r="AY181" s="79">
        <f t="shared" si="446"/>
        <v>10510.503000000001</v>
      </c>
      <c r="AZ181" s="79">
        <f t="shared" si="446"/>
        <v>8351.8499999999949</v>
      </c>
      <c r="BA181" s="79">
        <f t="shared" si="446"/>
        <v>7323.0649999999996</v>
      </c>
      <c r="BB181" s="79">
        <f t="shared" si="446"/>
        <v>-2029.1459999999997</v>
      </c>
      <c r="BC181" s="79">
        <f t="shared" si="446"/>
        <v>277736.54800000001</v>
      </c>
      <c r="BD181" s="79">
        <f t="shared" si="446"/>
        <v>-4292.2930000000051</v>
      </c>
      <c r="BE181" s="79">
        <f t="shared" si="418"/>
        <v>-46262.203999999998</v>
      </c>
    </row>
    <row r="182" spans="2:57" ht="14.25" thickTop="1" thickBot="1">
      <c r="B182" s="59" t="str">
        <f t="shared" ref="B182:O182" si="447">+B72</f>
        <v>Cash flow after financing activities</v>
      </c>
      <c r="C182" s="82">
        <f t="shared" si="447"/>
        <v>1066683.1499999997</v>
      </c>
      <c r="D182" s="82">
        <f t="shared" si="447"/>
        <v>464597.13200000016</v>
      </c>
      <c r="E182" s="80">
        <f t="shared" si="447"/>
        <v>730449.57900000003</v>
      </c>
      <c r="F182" s="80">
        <f t="shared" si="447"/>
        <v>836154.78199999989</v>
      </c>
      <c r="G182" s="80">
        <f t="shared" si="447"/>
        <v>738180.33599999989</v>
      </c>
      <c r="H182" s="80">
        <f t="shared" si="447"/>
        <v>1510477.9300000002</v>
      </c>
      <c r="I182" s="80">
        <f t="shared" si="447"/>
        <v>871069.65499999991</v>
      </c>
      <c r="J182" s="80">
        <f t="shared" si="447"/>
        <v>1046369.138</v>
      </c>
      <c r="K182" s="80">
        <f t="shared" si="447"/>
        <v>1737911.9299999995</v>
      </c>
      <c r="L182" s="80">
        <f t="shared" si="447"/>
        <v>1417328.8389999999</v>
      </c>
      <c r="M182" s="80">
        <f t="shared" si="447"/>
        <v>-522130.50300000003</v>
      </c>
      <c r="N182" s="80">
        <f t="shared" si="447"/>
        <v>70014.73800000007</v>
      </c>
      <c r="O182" s="260">
        <f t="shared" si="447"/>
        <v>-21623.106000000058</v>
      </c>
      <c r="P182" s="70"/>
      <c r="Q182" s="80">
        <f t="shared" ref="Q182:BD182" si="448">+Q72</f>
        <v>209233.90899999999</v>
      </c>
      <c r="R182" s="80">
        <f t="shared" si="448"/>
        <v>125383.69399999992</v>
      </c>
      <c r="S182" s="80">
        <f t="shared" si="448"/>
        <v>204203.05700000006</v>
      </c>
      <c r="T182" s="80">
        <f t="shared" si="448"/>
        <v>191628.91900000023</v>
      </c>
      <c r="U182" s="80">
        <f t="shared" si="448"/>
        <v>170236.79399999999</v>
      </c>
      <c r="V182" s="80">
        <f t="shared" si="448"/>
        <v>225107.94000000006</v>
      </c>
      <c r="W182" s="80">
        <f t="shared" si="448"/>
        <v>228062.53699999981</v>
      </c>
      <c r="X182" s="80">
        <f t="shared" si="448"/>
        <v>212747.51100000017</v>
      </c>
      <c r="Y182" s="80">
        <f t="shared" si="448"/>
        <v>99536.822999999975</v>
      </c>
      <c r="Z182" s="80">
        <f t="shared" si="448"/>
        <v>178026.01199999999</v>
      </c>
      <c r="AA182" s="80">
        <f t="shared" si="448"/>
        <v>189065.30400000009</v>
      </c>
      <c r="AB182" s="80">
        <f t="shared" si="448"/>
        <v>271552.19699999969</v>
      </c>
      <c r="AC182" s="80">
        <f t="shared" si="448"/>
        <v>197207.88299999994</v>
      </c>
      <c r="AD182" s="80">
        <f t="shared" si="448"/>
        <v>220864.15800000008</v>
      </c>
      <c r="AE182" s="80">
        <f t="shared" si="448"/>
        <v>247542.72499999995</v>
      </c>
      <c r="AF182" s="80">
        <f t="shared" si="448"/>
        <v>844863.16400000022</v>
      </c>
      <c r="AG182" s="80">
        <f t="shared" si="448"/>
        <v>198067.40299999999</v>
      </c>
      <c r="AH182" s="80">
        <f t="shared" si="448"/>
        <v>286689.19300000009</v>
      </c>
      <c r="AI182" s="80">
        <f t="shared" si="448"/>
        <v>219530.61199999999</v>
      </c>
      <c r="AJ182" s="80">
        <f t="shared" si="448"/>
        <v>166782.44700000001</v>
      </c>
      <c r="AK182" s="80">
        <f t="shared" si="448"/>
        <v>125131.94299999996</v>
      </c>
      <c r="AL182" s="80">
        <f t="shared" si="448"/>
        <v>370532.78899999987</v>
      </c>
      <c r="AM182" s="80">
        <f t="shared" si="448"/>
        <v>888275.30900000001</v>
      </c>
      <c r="AN182" s="80">
        <f t="shared" si="448"/>
        <v>-337570.90300000034</v>
      </c>
      <c r="AO182" s="80">
        <f t="shared" si="448"/>
        <v>300946.77999999997</v>
      </c>
      <c r="AP182" s="80">
        <f t="shared" si="448"/>
        <v>878432.53300000005</v>
      </c>
      <c r="AQ182" s="80">
        <f t="shared" si="448"/>
        <v>383359.34399999987</v>
      </c>
      <c r="AR182" s="80">
        <f t="shared" si="448"/>
        <v>175173.27299999984</v>
      </c>
      <c r="AS182" s="80">
        <f t="shared" si="448"/>
        <v>-175216.37200000003</v>
      </c>
      <c r="AT182" s="80">
        <f t="shared" si="448"/>
        <v>-13495.570000000032</v>
      </c>
      <c r="AU182" s="80">
        <f t="shared" si="448"/>
        <v>98931.687000000034</v>
      </c>
      <c r="AV182" s="80">
        <f t="shared" si="448"/>
        <v>1507109.0940000003</v>
      </c>
      <c r="AW182" s="80">
        <f t="shared" si="448"/>
        <v>-265940.951</v>
      </c>
      <c r="AX182" s="80">
        <f t="shared" si="448"/>
        <v>-209014.37299999996</v>
      </c>
      <c r="AY182" s="80">
        <f t="shared" si="448"/>
        <v>98141.189999999973</v>
      </c>
      <c r="AZ182" s="80">
        <f t="shared" si="448"/>
        <v>-145316.36900000006</v>
      </c>
      <c r="BA182" s="80">
        <f t="shared" si="448"/>
        <v>52851.27900000001</v>
      </c>
      <c r="BB182" s="80">
        <f t="shared" si="448"/>
        <v>93900.676999999967</v>
      </c>
      <c r="BC182" s="80">
        <f t="shared" si="448"/>
        <v>-49516.294999999867</v>
      </c>
      <c r="BD182" s="80">
        <f t="shared" si="448"/>
        <v>-27220.923000000148</v>
      </c>
      <c r="BE182" s="80">
        <f t="shared" si="418"/>
        <v>-38786.565000000002</v>
      </c>
    </row>
    <row r="183" spans="2:57" ht="13.5" thickTop="1">
      <c r="B183" s="1" t="str">
        <f t="shared" ref="B183:O183" si="449">+B73</f>
        <v>FX</v>
      </c>
      <c r="C183" s="78">
        <f t="shared" si="449"/>
        <v>22593.597000000002</v>
      </c>
      <c r="D183" s="78">
        <f t="shared" si="449"/>
        <v>5962.8040000000001</v>
      </c>
      <c r="E183" s="78">
        <f t="shared" si="449"/>
        <v>-2323.404</v>
      </c>
      <c r="F183" s="78">
        <f t="shared" si="449"/>
        <v>525.96199999999999</v>
      </c>
      <c r="G183" s="78">
        <f t="shared" si="449"/>
        <v>628.91499999999996</v>
      </c>
      <c r="H183" s="78">
        <f t="shared" si="449"/>
        <v>-3522.877</v>
      </c>
      <c r="I183" s="78">
        <f t="shared" si="449"/>
        <v>-10542.67</v>
      </c>
      <c r="J183" s="78">
        <f t="shared" si="449"/>
        <v>4813.6499999999996</v>
      </c>
      <c r="K183" s="78">
        <f t="shared" si="449"/>
        <v>-3809.3139999999999</v>
      </c>
      <c r="L183" s="78">
        <f t="shared" si="449"/>
        <v>625.03700000000003</v>
      </c>
      <c r="M183" s="78">
        <f t="shared" si="449"/>
        <v>2318.3209999999999</v>
      </c>
      <c r="N183" s="78">
        <f t="shared" si="449"/>
        <v>823.82100000000003</v>
      </c>
      <c r="O183" s="259">
        <f t="shared" si="449"/>
        <v>719.52300000000002</v>
      </c>
      <c r="P183" s="68"/>
      <c r="Q183" s="78">
        <f t="shared" ref="Q183:BD183" si="450">+Q73</f>
        <v>130.386</v>
      </c>
      <c r="R183" s="78">
        <f t="shared" si="450"/>
        <v>-271.72000000000003</v>
      </c>
      <c r="S183" s="78">
        <f t="shared" si="450"/>
        <v>-306.41800000000001</v>
      </c>
      <c r="T183" s="78">
        <f t="shared" si="450"/>
        <v>-1875.652</v>
      </c>
      <c r="U183" s="78">
        <f t="shared" si="450"/>
        <v>188.274</v>
      </c>
      <c r="V183" s="78">
        <f t="shared" si="450"/>
        <v>108.94999999999999</v>
      </c>
      <c r="W183" s="78">
        <f t="shared" si="450"/>
        <v>32.103999999999985</v>
      </c>
      <c r="X183" s="78">
        <f t="shared" si="450"/>
        <v>196.63400000000001</v>
      </c>
      <c r="Y183" s="78">
        <f t="shared" si="450"/>
        <v>-0.67100000000000004</v>
      </c>
      <c r="Z183" s="78">
        <f t="shared" si="450"/>
        <v>101.43</v>
      </c>
      <c r="AA183" s="78">
        <f t="shared" si="450"/>
        <v>-96.495000000000005</v>
      </c>
      <c r="AB183" s="78">
        <f t="shared" si="450"/>
        <v>624.65100000000007</v>
      </c>
      <c r="AC183" s="78">
        <f t="shared" si="450"/>
        <v>-2274.3530000000001</v>
      </c>
      <c r="AD183" s="78">
        <f t="shared" si="450"/>
        <v>78.184999999999945</v>
      </c>
      <c r="AE183" s="78">
        <f t="shared" si="450"/>
        <v>39.9050000000002</v>
      </c>
      <c r="AF183" s="78">
        <f t="shared" si="450"/>
        <v>-1366.614</v>
      </c>
      <c r="AG183" s="78">
        <f t="shared" si="450"/>
        <v>1105.107</v>
      </c>
      <c r="AH183" s="78">
        <f t="shared" si="450"/>
        <v>-2625.752</v>
      </c>
      <c r="AI183" s="78">
        <f t="shared" si="450"/>
        <v>-2908.3650000000002</v>
      </c>
      <c r="AJ183" s="78">
        <f t="shared" si="450"/>
        <v>-6113.66</v>
      </c>
      <c r="AK183" s="78">
        <f t="shared" si="450"/>
        <v>1096.4390000000001</v>
      </c>
      <c r="AL183" s="78">
        <f t="shared" si="450"/>
        <v>460.60899999999992</v>
      </c>
      <c r="AM183" s="78">
        <f t="shared" si="450"/>
        <v>3238.7649999999994</v>
      </c>
      <c r="AN183" s="78">
        <f t="shared" si="450"/>
        <v>17.837000000000216</v>
      </c>
      <c r="AO183" s="78">
        <f t="shared" si="450"/>
        <v>-165.30199999999999</v>
      </c>
      <c r="AP183" s="78">
        <f t="shared" si="450"/>
        <v>830.09100000000001</v>
      </c>
      <c r="AQ183" s="78">
        <f t="shared" si="450"/>
        <v>-617.95899999999995</v>
      </c>
      <c r="AR183" s="78">
        <f t="shared" si="450"/>
        <v>-3856.1440000000002</v>
      </c>
      <c r="AS183" s="78">
        <f t="shared" si="450"/>
        <v>-272.80799999999999</v>
      </c>
      <c r="AT183" s="78">
        <f t="shared" si="450"/>
        <v>-23.613</v>
      </c>
      <c r="AU183" s="78">
        <f t="shared" si="450"/>
        <v>1220.423</v>
      </c>
      <c r="AV183" s="78">
        <f t="shared" si="450"/>
        <v>-298.96499999999992</v>
      </c>
      <c r="AW183" s="78">
        <f t="shared" si="450"/>
        <v>1592.2670000000001</v>
      </c>
      <c r="AX183" s="78">
        <f t="shared" si="450"/>
        <v>-2341.9070000000002</v>
      </c>
      <c r="AY183" s="78">
        <f t="shared" si="450"/>
        <v>-603.59899999999993</v>
      </c>
      <c r="AZ183" s="78">
        <f t="shared" si="450"/>
        <v>3671.5600000000004</v>
      </c>
      <c r="BA183" s="78">
        <f t="shared" si="450"/>
        <v>111.285</v>
      </c>
      <c r="BB183" s="78">
        <f t="shared" si="450"/>
        <v>-3.2659999999999911</v>
      </c>
      <c r="BC183" s="78">
        <f t="shared" si="450"/>
        <v>931.71900000000016</v>
      </c>
      <c r="BD183" s="78">
        <f t="shared" si="450"/>
        <v>-215.91700000000014</v>
      </c>
      <c r="BE183" s="78">
        <f t="shared" si="418"/>
        <v>6.9870000000000001</v>
      </c>
    </row>
    <row r="184" spans="2:57">
      <c r="B184" s="1" t="str">
        <f t="shared" ref="B184:O184" si="451">+B74</f>
        <v>Balancing figure</v>
      </c>
      <c r="C184" s="78">
        <f t="shared" si="451"/>
        <v>-752201.36999999965</v>
      </c>
      <c r="D184" s="78">
        <f t="shared" si="451"/>
        <v>-718949.6440000002</v>
      </c>
      <c r="E184" s="78">
        <f t="shared" si="451"/>
        <v>-751380.41300000006</v>
      </c>
      <c r="F184" s="78">
        <f t="shared" si="451"/>
        <v>-802475.071</v>
      </c>
      <c r="G184" s="78">
        <f t="shared" si="451"/>
        <v>-812336.38099999994</v>
      </c>
      <c r="H184" s="78">
        <f t="shared" si="451"/>
        <v>-1128768.666</v>
      </c>
      <c r="I184" s="78">
        <f t="shared" si="451"/>
        <v>-1094914.838</v>
      </c>
      <c r="J184" s="78">
        <f t="shared" si="451"/>
        <v>-1149872.9069999999</v>
      </c>
      <c r="K184" s="78">
        <f t="shared" si="451"/>
        <v>-1652355.6739999994</v>
      </c>
      <c r="L184" s="78">
        <f t="shared" si="451"/>
        <v>-1074258.9219999998</v>
      </c>
      <c r="M184" s="78">
        <f t="shared" si="451"/>
        <v>66550.34600000002</v>
      </c>
      <c r="N184" s="78">
        <f t="shared" si="451"/>
        <v>82068.938999999926</v>
      </c>
      <c r="O184" s="259">
        <f t="shared" si="451"/>
        <v>55490.463999999942</v>
      </c>
      <c r="P184" s="68"/>
      <c r="Q184" s="78">
        <f t="shared" ref="Q184:BD184" si="452">+Q74</f>
        <v>-208202.54599999997</v>
      </c>
      <c r="R184" s="78">
        <f t="shared" si="452"/>
        <v>-188988.85899999991</v>
      </c>
      <c r="S184" s="78">
        <f t="shared" si="452"/>
        <v>-191045.75100000008</v>
      </c>
      <c r="T184" s="78">
        <f t="shared" si="452"/>
        <v>-163143.2570000001</v>
      </c>
      <c r="U184" s="78">
        <f t="shared" si="452"/>
        <v>-203114.505</v>
      </c>
      <c r="V184" s="78">
        <f t="shared" si="452"/>
        <v>-195627.87800000006</v>
      </c>
      <c r="W184" s="78">
        <f t="shared" si="452"/>
        <v>-198775.17199999982</v>
      </c>
      <c r="X184" s="78">
        <f t="shared" si="452"/>
        <v>-204957.51600000015</v>
      </c>
      <c r="Y184" s="78">
        <f t="shared" si="452"/>
        <v>-195550.66399999996</v>
      </c>
      <c r="Z184" s="78">
        <f t="shared" si="452"/>
        <v>-195444.03099999999</v>
      </c>
      <c r="AA184" s="78">
        <f t="shared" si="452"/>
        <v>-212172.31900000011</v>
      </c>
      <c r="AB184" s="78">
        <f t="shared" si="452"/>
        <v>-209169.36699999988</v>
      </c>
      <c r="AC184" s="78">
        <f t="shared" si="452"/>
        <v>-231084.55999999994</v>
      </c>
      <c r="AD184" s="78">
        <f t="shared" si="452"/>
        <v>-229468.05300000007</v>
      </c>
      <c r="AE184" s="78">
        <f t="shared" si="452"/>
        <v>-239196.79699999996</v>
      </c>
      <c r="AF184" s="78">
        <f t="shared" si="452"/>
        <v>-429019.25599999994</v>
      </c>
      <c r="AG184" s="78">
        <f t="shared" si="452"/>
        <v>-347793.598</v>
      </c>
      <c r="AH184" s="78">
        <f t="shared" si="452"/>
        <v>-240759.72600000008</v>
      </c>
      <c r="AI184" s="78">
        <f t="shared" si="452"/>
        <v>-251443.37</v>
      </c>
      <c r="AJ184" s="78">
        <f t="shared" si="452"/>
        <v>-254918.14399999985</v>
      </c>
      <c r="AK184" s="78">
        <f t="shared" si="452"/>
        <v>-279215.55299999996</v>
      </c>
      <c r="AL184" s="78">
        <f t="shared" si="452"/>
        <v>-315366.71799999988</v>
      </c>
      <c r="AM184" s="78">
        <f t="shared" si="452"/>
        <v>-885784.28</v>
      </c>
      <c r="AN184" s="78">
        <f t="shared" si="452"/>
        <v>330493.64399999997</v>
      </c>
      <c r="AO184" s="78">
        <f t="shared" si="452"/>
        <v>-298065.50799999997</v>
      </c>
      <c r="AP184" s="78">
        <f t="shared" si="452"/>
        <v>-779424.83200000005</v>
      </c>
      <c r="AQ184" s="78">
        <f t="shared" si="452"/>
        <v>-320347.75099999981</v>
      </c>
      <c r="AR184" s="78">
        <f t="shared" si="452"/>
        <v>-254517.58299999963</v>
      </c>
      <c r="AS184" s="78">
        <f t="shared" si="452"/>
        <v>90280.009000000035</v>
      </c>
      <c r="AT184" s="78">
        <f t="shared" si="452"/>
        <v>-1782.5059999999805</v>
      </c>
      <c r="AU184" s="78">
        <f t="shared" si="452"/>
        <v>19581.895999999975</v>
      </c>
      <c r="AV184" s="78">
        <f t="shared" si="452"/>
        <v>-1182338.3209999998</v>
      </c>
      <c r="AW184" s="78">
        <f t="shared" si="452"/>
        <v>16414.898999999998</v>
      </c>
      <c r="AX184" s="78">
        <f t="shared" si="452"/>
        <v>16641.294999999976</v>
      </c>
      <c r="AY184" s="78">
        <f t="shared" si="452"/>
        <v>34769.128000000041</v>
      </c>
      <c r="AZ184" s="78">
        <f t="shared" si="452"/>
        <v>-1274.9759999999951</v>
      </c>
      <c r="BA184" s="78">
        <f t="shared" si="452"/>
        <v>47287.249999999985</v>
      </c>
      <c r="BB184" s="78">
        <f t="shared" si="452"/>
        <v>-1387.1639999999929</v>
      </c>
      <c r="BC184" s="78">
        <f t="shared" si="452"/>
        <v>14759.237999999892</v>
      </c>
      <c r="BD184" s="78">
        <f t="shared" si="452"/>
        <v>21409.615000000038</v>
      </c>
      <c r="BE184" s="78">
        <f t="shared" si="418"/>
        <v>20708.775000000001</v>
      </c>
    </row>
    <row r="185" spans="2:57" s="5" customFormat="1" ht="13.5" thickBot="1">
      <c r="B185" s="50" t="str">
        <f t="shared" ref="B185:O185" si="453">+B75</f>
        <v xml:space="preserve">Net change in cash </v>
      </c>
      <c r="C185" s="80">
        <f t="shared" si="453"/>
        <v>337075.37700000009</v>
      </c>
      <c r="D185" s="80">
        <f t="shared" si="453"/>
        <v>-248389.70800000004</v>
      </c>
      <c r="E185" s="80">
        <f t="shared" si="453"/>
        <v>-23254.238000000012</v>
      </c>
      <c r="F185" s="80">
        <f t="shared" si="453"/>
        <v>34205.672999999952</v>
      </c>
      <c r="G185" s="80">
        <f t="shared" si="453"/>
        <v>-73527.13</v>
      </c>
      <c r="H185" s="80">
        <f t="shared" si="453"/>
        <v>378186.3870000001</v>
      </c>
      <c r="I185" s="80">
        <f t="shared" si="453"/>
        <v>-234387.85300000012</v>
      </c>
      <c r="J185" s="80">
        <f t="shared" si="453"/>
        <v>-98690.118999999948</v>
      </c>
      <c r="K185" s="80">
        <f t="shared" si="453"/>
        <v>81746.942000000039</v>
      </c>
      <c r="L185" s="80">
        <f t="shared" si="453"/>
        <v>343694.95400000014</v>
      </c>
      <c r="M185" s="80">
        <f t="shared" si="453"/>
        <v>-453261.83600000001</v>
      </c>
      <c r="N185" s="80">
        <f t="shared" si="453"/>
        <v>152907.49799999999</v>
      </c>
      <c r="O185" s="260">
        <f t="shared" si="453"/>
        <v>34586.880999999885</v>
      </c>
      <c r="P185" s="70"/>
      <c r="Q185" s="80">
        <f t="shared" ref="Q185:BD185" si="454">+Q75</f>
        <v>1161.7490000000107</v>
      </c>
      <c r="R185" s="80">
        <f t="shared" si="454"/>
        <v>-63876.884999999995</v>
      </c>
      <c r="S185" s="80">
        <f t="shared" si="454"/>
        <v>12850.887999999977</v>
      </c>
      <c r="T185" s="80">
        <f t="shared" si="454"/>
        <v>26610.010000000126</v>
      </c>
      <c r="U185" s="80">
        <f t="shared" si="454"/>
        <v>-32689.437000000005</v>
      </c>
      <c r="V185" s="80">
        <f t="shared" si="454"/>
        <v>29589.012000000017</v>
      </c>
      <c r="W185" s="80">
        <f t="shared" si="454"/>
        <v>29319.468999999983</v>
      </c>
      <c r="X185" s="80">
        <f t="shared" si="454"/>
        <v>7986.6290000000154</v>
      </c>
      <c r="Y185" s="80">
        <f t="shared" si="454"/>
        <v>-96014.511999999988</v>
      </c>
      <c r="Z185" s="80">
        <f t="shared" si="454"/>
        <v>-17316.589000000007</v>
      </c>
      <c r="AA185" s="80">
        <f t="shared" si="454"/>
        <v>-23203.510000000009</v>
      </c>
      <c r="AB185" s="80">
        <f t="shared" si="454"/>
        <v>63007.480999999825</v>
      </c>
      <c r="AC185" s="80">
        <f t="shared" si="454"/>
        <v>-36151.03</v>
      </c>
      <c r="AD185" s="80">
        <f t="shared" si="454"/>
        <v>-8525.7099999999919</v>
      </c>
      <c r="AE185" s="80">
        <f t="shared" si="454"/>
        <v>8385.8329999999842</v>
      </c>
      <c r="AF185" s="80">
        <f t="shared" si="454"/>
        <v>414477.29400000034</v>
      </c>
      <c r="AG185" s="80">
        <f t="shared" si="454"/>
        <v>-148621.08800000002</v>
      </c>
      <c r="AH185" s="80">
        <f t="shared" si="454"/>
        <v>43303.715000000026</v>
      </c>
      <c r="AI185" s="80">
        <f t="shared" si="454"/>
        <v>-34821.122999999992</v>
      </c>
      <c r="AJ185" s="80">
        <f t="shared" si="454"/>
        <v>-94249.356999999844</v>
      </c>
      <c r="AK185" s="80">
        <f t="shared" si="454"/>
        <v>-152987.171</v>
      </c>
      <c r="AL185" s="80">
        <f t="shared" si="454"/>
        <v>55626.679999999993</v>
      </c>
      <c r="AM185" s="80">
        <f t="shared" si="454"/>
        <v>5729.7939999999944</v>
      </c>
      <c r="AN185" s="80">
        <f t="shared" si="454"/>
        <v>-7059.4220000003697</v>
      </c>
      <c r="AO185" s="80">
        <f t="shared" si="454"/>
        <v>2715.9699999999721</v>
      </c>
      <c r="AP185" s="80">
        <f t="shared" si="454"/>
        <v>99837.792000000016</v>
      </c>
      <c r="AQ185" s="80">
        <f t="shared" si="454"/>
        <v>62393.634000000078</v>
      </c>
      <c r="AR185" s="80">
        <f t="shared" si="454"/>
        <v>-83200.453999999794</v>
      </c>
      <c r="AS185" s="80">
        <f t="shared" si="454"/>
        <v>-85209.170999999988</v>
      </c>
      <c r="AT185" s="80">
        <f t="shared" si="454"/>
        <v>-15301.689000000013</v>
      </c>
      <c r="AU185" s="80">
        <f t="shared" si="454"/>
        <v>119734.00600000001</v>
      </c>
      <c r="AV185" s="80">
        <f t="shared" si="454"/>
        <v>324471.80800000043</v>
      </c>
      <c r="AW185" s="80">
        <f t="shared" si="454"/>
        <v>-247933.785</v>
      </c>
      <c r="AX185" s="80">
        <f t="shared" si="454"/>
        <v>-194714.98499999999</v>
      </c>
      <c r="AY185" s="80">
        <f t="shared" si="454"/>
        <v>132306.71900000001</v>
      </c>
      <c r="AZ185" s="80">
        <f t="shared" si="454"/>
        <v>-142919.78500000006</v>
      </c>
      <c r="BA185" s="80">
        <f t="shared" si="454"/>
        <v>100249.814</v>
      </c>
      <c r="BB185" s="80">
        <f t="shared" si="454"/>
        <v>92510.246999999974</v>
      </c>
      <c r="BC185" s="80">
        <f t="shared" si="454"/>
        <v>-33825.337999999974</v>
      </c>
      <c r="BD185" s="80">
        <f t="shared" si="454"/>
        <v>-6027.2250000001113</v>
      </c>
      <c r="BE185" s="80">
        <f t="shared" si="418"/>
        <v>-18070.803</v>
      </c>
    </row>
    <row r="186" spans="2:57" ht="13.5" thickTop="1">
      <c r="C186" s="36"/>
      <c r="D186" s="36"/>
      <c r="E186" s="36"/>
      <c r="F186" s="49"/>
      <c r="G186" s="49"/>
      <c r="H186" s="49"/>
      <c r="I186" s="49"/>
      <c r="J186" s="49"/>
      <c r="K186" s="49"/>
      <c r="L186" s="49"/>
      <c r="M186" s="49"/>
      <c r="N186" s="49"/>
      <c r="O186" s="49"/>
      <c r="P186" s="49"/>
      <c r="Q186" s="49"/>
      <c r="R186" s="49"/>
      <c r="S186" s="49"/>
      <c r="T186" s="49"/>
      <c r="U186" s="49"/>
      <c r="V186" s="49"/>
      <c r="W186" s="49"/>
      <c r="X186" s="49"/>
      <c r="Y186" s="49"/>
      <c r="Z186" s="49"/>
      <c r="AA186" s="49"/>
      <c r="AB186" s="49"/>
      <c r="AC186" s="49"/>
      <c r="AD186" s="49"/>
      <c r="AE186" s="49"/>
      <c r="AF186" s="49"/>
      <c r="AG186" s="49"/>
      <c r="AH186" s="49"/>
      <c r="AI186" s="49"/>
      <c r="AJ186" s="49"/>
      <c r="AK186" s="49"/>
      <c r="AL186" s="49"/>
      <c r="AM186" s="49"/>
      <c r="AO186" s="49"/>
      <c r="AP186" s="49"/>
      <c r="AQ186" s="49"/>
      <c r="AS186" s="49"/>
      <c r="AT186" s="49"/>
      <c r="AU186" s="49"/>
      <c r="AW186" s="49"/>
      <c r="AX186" s="49"/>
      <c r="AY186" s="49"/>
      <c r="BA186" s="49"/>
      <c r="BB186" s="49"/>
      <c r="BC186" s="49"/>
    </row>
    <row r="187" spans="2:57">
      <c r="B187" s="7" t="s">
        <v>345</v>
      </c>
      <c r="C187" s="163">
        <f t="shared" ref="C187:O187" si="455">C118</f>
        <v>378919.37599999999</v>
      </c>
      <c r="D187" s="163">
        <f t="shared" si="455"/>
        <v>136492.47200000001</v>
      </c>
      <c r="E187" s="163">
        <f t="shared" si="455"/>
        <v>110914.83</v>
      </c>
      <c r="F187" s="163">
        <f t="shared" si="455"/>
        <v>145646.465</v>
      </c>
      <c r="G187" s="163">
        <f t="shared" si="455"/>
        <v>72748.25</v>
      </c>
      <c r="H187" s="163">
        <f t="shared" si="455"/>
        <v>447411.76</v>
      </c>
      <c r="I187" s="163">
        <f t="shared" si="455"/>
        <v>202481.23699999999</v>
      </c>
      <c r="J187" s="163">
        <f t="shared" si="455"/>
        <v>108604.768</v>
      </c>
      <c r="K187" s="163">
        <f t="shared" si="455"/>
        <v>186542.39600000001</v>
      </c>
      <c r="L187" s="163">
        <f t="shared" si="455"/>
        <v>530862.38699999999</v>
      </c>
      <c r="M187" s="163">
        <f t="shared" si="455"/>
        <v>79918.872000000003</v>
      </c>
      <c r="N187" s="163">
        <f t="shared" si="455"/>
        <v>233650.19099999999</v>
      </c>
      <c r="O187" s="163">
        <f t="shared" si="455"/>
        <v>215586.375</v>
      </c>
      <c r="P187" s="163"/>
      <c r="Q187" s="163">
        <f t="shared" ref="Q187:AY187" si="456">Q118</f>
        <v>137784.60699999999</v>
      </c>
      <c r="R187" s="163">
        <f t="shared" si="456"/>
        <v>73636.001999999993</v>
      </c>
      <c r="S187" s="163">
        <f t="shared" si="456"/>
        <v>86180.471999999994</v>
      </c>
      <c r="T187" s="163">
        <f t="shared" si="456"/>
        <v>110914.83</v>
      </c>
      <c r="U187" s="163">
        <f t="shared" si="456"/>
        <v>78413.667000000001</v>
      </c>
      <c r="V187" s="163">
        <f t="shared" si="456"/>
        <v>108111.629</v>
      </c>
      <c r="W187" s="163">
        <f t="shared" si="456"/>
        <v>137463.20199999999</v>
      </c>
      <c r="X187" s="163">
        <f t="shared" si="456"/>
        <v>145646.465</v>
      </c>
      <c r="Y187" s="163">
        <f t="shared" si="456"/>
        <v>49631.281999999999</v>
      </c>
      <c r="Z187" s="163">
        <f t="shared" si="456"/>
        <v>32416.123</v>
      </c>
      <c r="AA187" s="163">
        <f t="shared" si="456"/>
        <v>9116.1180000000004</v>
      </c>
      <c r="AB187" s="163">
        <f t="shared" si="456"/>
        <v>72748.25</v>
      </c>
      <c r="AC187" s="163">
        <f t="shared" si="456"/>
        <v>34322.866999999998</v>
      </c>
      <c r="AD187" s="163">
        <f t="shared" si="456"/>
        <v>25875.342000000001</v>
      </c>
      <c r="AE187" s="163">
        <f t="shared" si="456"/>
        <v>34301.08</v>
      </c>
      <c r="AF187" s="163">
        <f t="shared" si="456"/>
        <v>447411.76</v>
      </c>
      <c r="AG187" s="163">
        <f t="shared" si="456"/>
        <v>299895.77899999998</v>
      </c>
      <c r="AH187" s="163">
        <f t="shared" si="456"/>
        <v>340573.74200000003</v>
      </c>
      <c r="AI187" s="163">
        <f t="shared" si="456"/>
        <v>302844.25400000002</v>
      </c>
      <c r="AJ187" s="163">
        <f t="shared" si="456"/>
        <v>202481.23699999999</v>
      </c>
      <c r="AK187" s="163">
        <f t="shared" si="456"/>
        <v>50590.504999999997</v>
      </c>
      <c r="AL187" s="163">
        <f t="shared" si="456"/>
        <v>106677.79399999999</v>
      </c>
      <c r="AM187" s="163">
        <f t="shared" si="456"/>
        <v>115646.353</v>
      </c>
      <c r="AN187" s="163">
        <f t="shared" si="456"/>
        <v>108604.768</v>
      </c>
      <c r="AO187" s="163">
        <f t="shared" si="456"/>
        <v>111155.436</v>
      </c>
      <c r="AP187" s="163">
        <f t="shared" si="456"/>
        <v>211823.31899999999</v>
      </c>
      <c r="AQ187" s="163">
        <f t="shared" si="456"/>
        <v>273598.99400000001</v>
      </c>
      <c r="AR187" s="163">
        <f t="shared" si="456"/>
        <v>186542.39600000001</v>
      </c>
      <c r="AS187" s="163">
        <f t="shared" si="456"/>
        <v>101060.417</v>
      </c>
      <c r="AT187" s="163">
        <f t="shared" si="456"/>
        <v>85735.115000000005</v>
      </c>
      <c r="AU187" s="163">
        <f t="shared" si="456"/>
        <v>206689.54399999999</v>
      </c>
      <c r="AV187" s="163">
        <f t="shared" si="456"/>
        <v>530862.38699999999</v>
      </c>
      <c r="AW187" s="163">
        <f t="shared" si="456"/>
        <v>284520.86900000001</v>
      </c>
      <c r="AX187" s="163">
        <f t="shared" si="456"/>
        <v>87463.976999999999</v>
      </c>
      <c r="AY187" s="163">
        <f t="shared" si="456"/>
        <v>219167.09700000001</v>
      </c>
      <c r="AZ187" s="163">
        <f t="shared" ref="AZ187:BE187" si="457">AZ118</f>
        <v>79918.872000000003</v>
      </c>
      <c r="BA187" s="163">
        <f t="shared" si="457"/>
        <v>180279.97099999999</v>
      </c>
      <c r="BB187" s="163">
        <f t="shared" si="457"/>
        <v>272786.95199999999</v>
      </c>
      <c r="BC187" s="163">
        <f t="shared" si="457"/>
        <v>239893.33300000001</v>
      </c>
      <c r="BD187" s="163">
        <f t="shared" si="457"/>
        <v>233650.19099999999</v>
      </c>
      <c r="BE187" s="163">
        <f t="shared" si="457"/>
        <v>215586.375</v>
      </c>
    </row>
    <row r="188" spans="2:57">
      <c r="C188" s="36"/>
      <c r="D188" s="36"/>
      <c r="E188" s="36"/>
      <c r="F188" s="49"/>
      <c r="G188" s="49"/>
      <c r="H188" s="49"/>
      <c r="I188" s="49"/>
      <c r="J188" s="49"/>
      <c r="K188" s="49"/>
      <c r="L188" s="49"/>
      <c r="M188" s="49"/>
      <c r="N188" s="49"/>
      <c r="O188" s="49"/>
      <c r="P188" s="49"/>
      <c r="Q188" s="49"/>
      <c r="R188" s="49"/>
      <c r="S188" s="49"/>
      <c r="T188" s="49"/>
      <c r="U188" s="49"/>
      <c r="V188" s="49"/>
      <c r="W188" s="49"/>
      <c r="X188" s="49"/>
      <c r="Y188" s="49"/>
      <c r="Z188" s="49"/>
      <c r="AA188" s="49"/>
      <c r="AB188" s="49"/>
      <c r="AC188" s="49"/>
      <c r="AD188" s="49"/>
      <c r="AE188" s="49"/>
      <c r="AF188" s="49"/>
      <c r="AG188" s="49"/>
      <c r="AH188" s="49"/>
      <c r="AI188" s="49"/>
      <c r="AJ188" s="49"/>
      <c r="AK188" s="49"/>
      <c r="AL188" s="49"/>
      <c r="AM188" s="49"/>
      <c r="AN188" s="49"/>
      <c r="AO188" s="49"/>
      <c r="AP188" s="49"/>
      <c r="AQ188" s="49"/>
      <c r="AR188" s="49"/>
      <c r="AS188" s="49"/>
      <c r="AT188" s="49"/>
      <c r="AU188" s="49"/>
      <c r="AV188" s="49"/>
      <c r="AW188" s="49"/>
      <c r="AX188" s="49"/>
      <c r="AY188" s="49"/>
      <c r="AZ188" s="49"/>
      <c r="BA188" s="49"/>
      <c r="BB188" s="49"/>
      <c r="BC188" s="49"/>
      <c r="BD188" s="49"/>
      <c r="BE188" s="49"/>
    </row>
    <row r="189" spans="2:57" s="5" customFormat="1">
      <c r="B189" s="5" t="s">
        <v>361</v>
      </c>
      <c r="C189" s="41">
        <f t="shared" ref="C189:O189" si="458">C120</f>
        <v>1072585.4419999998</v>
      </c>
      <c r="D189" s="41">
        <f t="shared" si="458"/>
        <v>1536898.4300000002</v>
      </c>
      <c r="E189" s="41">
        <f t="shared" si="458"/>
        <v>1483093.936</v>
      </c>
      <c r="F189" s="41">
        <f t="shared" si="458"/>
        <v>1439030.6369999999</v>
      </c>
      <c r="G189" s="41">
        <f t="shared" si="458"/>
        <v>1734831.456</v>
      </c>
      <c r="H189" s="41">
        <f t="shared" si="458"/>
        <v>2041570.5870000001</v>
      </c>
      <c r="I189" s="41">
        <f t="shared" si="458"/>
        <v>2171268.9369999999</v>
      </c>
      <c r="J189" s="41">
        <f t="shared" si="458"/>
        <v>2609398.608</v>
      </c>
      <c r="K189" s="41">
        <f t="shared" si="458"/>
        <v>2553328.7039999994</v>
      </c>
      <c r="L189" s="41">
        <f t="shared" si="458"/>
        <v>2124453.4850000003</v>
      </c>
      <c r="M189" s="41">
        <f t="shared" si="458"/>
        <v>2612429.9529999997</v>
      </c>
      <c r="N189" s="41">
        <f t="shared" si="458"/>
        <v>2036876.1659999997</v>
      </c>
      <c r="O189" s="41">
        <f t="shared" si="458"/>
        <v>2053611.656</v>
      </c>
      <c r="P189" s="41"/>
      <c r="Q189" s="41">
        <f t="shared" ref="Q189:BE189" si="459">Q120</f>
        <v>1455960.7749999999</v>
      </c>
      <c r="R189" s="41">
        <f t="shared" si="459"/>
        <v>1500648.7769999998</v>
      </c>
      <c r="S189" s="41">
        <f t="shared" si="459"/>
        <v>1485927.9119999998</v>
      </c>
      <c r="T189" s="41">
        <f t="shared" si="459"/>
        <v>1483093.936</v>
      </c>
      <c r="U189" s="41">
        <f t="shared" si="459"/>
        <v>1508125.4000000001</v>
      </c>
      <c r="V189" s="41">
        <f t="shared" si="459"/>
        <v>1575679.5429999998</v>
      </c>
      <c r="W189" s="41">
        <f t="shared" si="459"/>
        <v>1496864.23</v>
      </c>
      <c r="X189" s="41">
        <f t="shared" si="459"/>
        <v>1439030.6369999999</v>
      </c>
      <c r="Y189" s="41">
        <f t="shared" si="459"/>
        <v>1516468.8950000003</v>
      </c>
      <c r="Z189" s="41">
        <f t="shared" si="459"/>
        <v>1628680.1810000001</v>
      </c>
      <c r="AA189" s="41">
        <f t="shared" si="459"/>
        <v>1676198.0419999999</v>
      </c>
      <c r="AB189" s="41">
        <f t="shared" si="459"/>
        <v>1734831.456</v>
      </c>
      <c r="AC189" s="41">
        <f t="shared" si="459"/>
        <v>2043736.2379999997</v>
      </c>
      <c r="AD189" s="41">
        <f t="shared" si="459"/>
        <v>2132417.409</v>
      </c>
      <c r="AE189" s="41">
        <f t="shared" si="459"/>
        <v>2211477.3329999996</v>
      </c>
      <c r="AF189" s="41">
        <f t="shared" si="459"/>
        <v>2041570.5870000001</v>
      </c>
      <c r="AG189" s="41">
        <f t="shared" si="459"/>
        <v>2376403.2339999997</v>
      </c>
      <c r="AH189" s="41">
        <f t="shared" si="459"/>
        <v>2267118.0659999996</v>
      </c>
      <c r="AI189" s="41">
        <f t="shared" si="459"/>
        <v>2232847.8989999997</v>
      </c>
      <c r="AJ189" s="41">
        <f t="shared" si="459"/>
        <v>2171268.9369999999</v>
      </c>
      <c r="AK189" s="41">
        <f t="shared" si="459"/>
        <v>2346303.2050000001</v>
      </c>
      <c r="AL189" s="41">
        <f t="shared" si="459"/>
        <v>2287768.7970000003</v>
      </c>
      <c r="AM189" s="41">
        <f t="shared" si="459"/>
        <v>2456871.8239999996</v>
      </c>
      <c r="AN189" s="41">
        <f t="shared" si="459"/>
        <v>2609398.608</v>
      </c>
      <c r="AO189" s="41">
        <f t="shared" si="459"/>
        <v>2520347.2999999998</v>
      </c>
      <c r="AP189" s="41">
        <f t="shared" si="459"/>
        <v>2771742.4989999998</v>
      </c>
      <c r="AQ189" s="41">
        <f t="shared" si="459"/>
        <v>2807984.8560000001</v>
      </c>
      <c r="AR189" s="41">
        <f t="shared" si="459"/>
        <v>2553328.7039999994</v>
      </c>
      <c r="AS189" s="41">
        <f t="shared" si="459"/>
        <v>2494126.2669999995</v>
      </c>
      <c r="AT189" s="41">
        <f t="shared" si="459"/>
        <v>2543698.69</v>
      </c>
      <c r="AU189" s="41">
        <f t="shared" si="459"/>
        <v>2611070.1310000001</v>
      </c>
      <c r="AV189" s="41">
        <f t="shared" si="459"/>
        <v>2124453.4850000003</v>
      </c>
      <c r="AW189" s="41">
        <f t="shared" si="459"/>
        <v>2526984.2400000002</v>
      </c>
      <c r="AX189" s="41">
        <f t="shared" si="459"/>
        <v>2672753.9509999999</v>
      </c>
      <c r="AY189" s="41">
        <f t="shared" si="459"/>
        <v>2472856.4819999998</v>
      </c>
      <c r="AZ189" s="41">
        <f t="shared" si="459"/>
        <v>2612429.9529999997</v>
      </c>
      <c r="BA189" s="41">
        <f t="shared" si="459"/>
        <v>2446258.551</v>
      </c>
      <c r="BB189" s="41">
        <f t="shared" si="459"/>
        <v>2376296.89</v>
      </c>
      <c r="BC189" s="41">
        <f t="shared" si="459"/>
        <v>2089735.9129999997</v>
      </c>
      <c r="BD189" s="41">
        <f t="shared" si="459"/>
        <v>2036876.1659999997</v>
      </c>
      <c r="BE189" s="41">
        <f t="shared" si="459"/>
        <v>2053611.656</v>
      </c>
    </row>
    <row r="190" spans="2:57">
      <c r="B190" s="1" t="s">
        <v>368</v>
      </c>
      <c r="C190" s="163">
        <f t="shared" ref="C190:O190" si="460">C121</f>
        <v>1451504.8179999997</v>
      </c>
      <c r="D190" s="163">
        <f t="shared" si="460"/>
        <v>1673390.9020000002</v>
      </c>
      <c r="E190" s="163">
        <f t="shared" si="460"/>
        <v>1594008.7660000001</v>
      </c>
      <c r="F190" s="163">
        <f t="shared" si="460"/>
        <v>1584677.102</v>
      </c>
      <c r="G190" s="163">
        <f t="shared" si="460"/>
        <v>1807579.706</v>
      </c>
      <c r="H190" s="163">
        <f t="shared" si="460"/>
        <v>2488982.3470000001</v>
      </c>
      <c r="I190" s="163">
        <f t="shared" si="460"/>
        <v>2373750.1740000001</v>
      </c>
      <c r="J190" s="163">
        <f t="shared" si="460"/>
        <v>2718003.3760000002</v>
      </c>
      <c r="K190" s="163">
        <f t="shared" si="460"/>
        <v>2739871.0999999996</v>
      </c>
      <c r="L190" s="163">
        <f t="shared" si="460"/>
        <v>2655315.8720000004</v>
      </c>
      <c r="M190" s="163">
        <f t="shared" si="460"/>
        <v>2692348.8249999997</v>
      </c>
      <c r="N190" s="163">
        <f t="shared" si="460"/>
        <v>2270526.3569999998</v>
      </c>
      <c r="O190" s="163">
        <f t="shared" si="460"/>
        <v>2269198.031</v>
      </c>
      <c r="P190" s="163"/>
      <c r="Q190" s="163">
        <f t="shared" ref="Q190:BE190" si="461">Q121</f>
        <v>1593745.382</v>
      </c>
      <c r="R190" s="163">
        <f t="shared" si="461"/>
        <v>1574284.7789999999</v>
      </c>
      <c r="S190" s="163">
        <f t="shared" si="461"/>
        <v>1572108.3839999998</v>
      </c>
      <c r="T190" s="163">
        <f t="shared" si="461"/>
        <v>1594008.7660000001</v>
      </c>
      <c r="U190" s="163">
        <f t="shared" si="461"/>
        <v>1586539.067</v>
      </c>
      <c r="V190" s="163">
        <f t="shared" si="461"/>
        <v>1683791.1719999998</v>
      </c>
      <c r="W190" s="163">
        <f t="shared" si="461"/>
        <v>1634327.432</v>
      </c>
      <c r="X190" s="163">
        <f t="shared" si="461"/>
        <v>1584677.102</v>
      </c>
      <c r="Y190" s="163">
        <f t="shared" si="461"/>
        <v>1566100.1770000001</v>
      </c>
      <c r="Z190" s="163">
        <f t="shared" si="461"/>
        <v>1661096.304</v>
      </c>
      <c r="AA190" s="163">
        <f t="shared" si="461"/>
        <v>1685314.16</v>
      </c>
      <c r="AB190" s="163">
        <f t="shared" si="461"/>
        <v>1807579.706</v>
      </c>
      <c r="AC190" s="163">
        <f t="shared" si="461"/>
        <v>2078059.1049999997</v>
      </c>
      <c r="AD190" s="163">
        <f t="shared" si="461"/>
        <v>2158292.7510000002</v>
      </c>
      <c r="AE190" s="163">
        <f t="shared" si="461"/>
        <v>2245778.4129999997</v>
      </c>
      <c r="AF190" s="163">
        <f t="shared" si="461"/>
        <v>2488982.3470000001</v>
      </c>
      <c r="AG190" s="163">
        <f t="shared" si="461"/>
        <v>2676299.0129999998</v>
      </c>
      <c r="AH190" s="163">
        <f t="shared" si="461"/>
        <v>2607691.8079999997</v>
      </c>
      <c r="AI190" s="163">
        <f t="shared" si="461"/>
        <v>2535692.1529999999</v>
      </c>
      <c r="AJ190" s="163">
        <f t="shared" si="461"/>
        <v>2373750.1740000001</v>
      </c>
      <c r="AK190" s="163">
        <f t="shared" si="461"/>
        <v>2396893.71</v>
      </c>
      <c r="AL190" s="163">
        <f t="shared" si="461"/>
        <v>2394446.591</v>
      </c>
      <c r="AM190" s="163">
        <f t="shared" si="461"/>
        <v>2572518.1769999997</v>
      </c>
      <c r="AN190" s="163">
        <f t="shared" si="461"/>
        <v>2718003.3760000002</v>
      </c>
      <c r="AO190" s="163">
        <f t="shared" si="461"/>
        <v>2631502.736</v>
      </c>
      <c r="AP190" s="163">
        <f t="shared" si="461"/>
        <v>2983565.818</v>
      </c>
      <c r="AQ190" s="163">
        <f t="shared" si="461"/>
        <v>3081583.85</v>
      </c>
      <c r="AR190" s="163">
        <f t="shared" si="461"/>
        <v>2739871.0999999996</v>
      </c>
      <c r="AS190" s="163">
        <f t="shared" si="461"/>
        <v>2595186.6839999994</v>
      </c>
      <c r="AT190" s="163">
        <f t="shared" si="461"/>
        <v>2629433.8050000002</v>
      </c>
      <c r="AU190" s="163">
        <f t="shared" si="461"/>
        <v>2817759.6750000003</v>
      </c>
      <c r="AV190" s="163">
        <f t="shared" si="461"/>
        <v>2655315.8720000004</v>
      </c>
      <c r="AW190" s="163">
        <f t="shared" si="461"/>
        <v>2811505.1090000002</v>
      </c>
      <c r="AX190" s="163">
        <f t="shared" si="461"/>
        <v>2760217.9279999998</v>
      </c>
      <c r="AY190" s="163">
        <f t="shared" si="461"/>
        <v>2692023.5789999999</v>
      </c>
      <c r="AZ190" s="163">
        <f t="shared" si="461"/>
        <v>2692348.8249999997</v>
      </c>
      <c r="BA190" s="163">
        <f t="shared" si="461"/>
        <v>2626538.5219999999</v>
      </c>
      <c r="BB190" s="163">
        <f t="shared" si="461"/>
        <v>2649083.8420000002</v>
      </c>
      <c r="BC190" s="163">
        <f t="shared" si="461"/>
        <v>2329629.2459999998</v>
      </c>
      <c r="BD190" s="163">
        <f t="shared" si="461"/>
        <v>2270526.3569999998</v>
      </c>
      <c r="BE190" s="163">
        <f t="shared" si="461"/>
        <v>2269198.031</v>
      </c>
    </row>
    <row r="191" spans="2:57">
      <c r="C191" s="36"/>
      <c r="D191" s="36"/>
      <c r="E191" s="36"/>
      <c r="F191" s="49"/>
      <c r="G191" s="49"/>
      <c r="H191" s="49"/>
      <c r="I191" s="49"/>
      <c r="J191" s="49"/>
      <c r="K191" s="49"/>
      <c r="L191" s="49"/>
      <c r="M191" s="49"/>
      <c r="N191" s="49"/>
      <c r="O191" s="49"/>
      <c r="P191" s="49"/>
      <c r="Q191" s="49"/>
      <c r="R191" s="49"/>
      <c r="S191" s="49"/>
      <c r="T191" s="49"/>
      <c r="U191" s="49"/>
      <c r="V191" s="49"/>
      <c r="W191" s="49"/>
      <c r="X191" s="49"/>
      <c r="Y191" s="49"/>
      <c r="Z191" s="49"/>
      <c r="AA191" s="49"/>
      <c r="AB191" s="49"/>
      <c r="AC191" s="49"/>
      <c r="AD191" s="49"/>
      <c r="AE191" s="49"/>
      <c r="AF191" s="49"/>
      <c r="AG191" s="49"/>
      <c r="AH191" s="49"/>
      <c r="AI191" s="49"/>
      <c r="AJ191" s="49"/>
      <c r="AK191" s="49"/>
      <c r="AL191" s="49"/>
      <c r="AM191" s="49"/>
      <c r="AN191" s="49"/>
      <c r="AO191" s="49"/>
      <c r="AP191" s="49"/>
      <c r="AQ191" s="49"/>
      <c r="AR191" s="49"/>
      <c r="AS191" s="49"/>
      <c r="AT191" s="49"/>
      <c r="AU191" s="49"/>
      <c r="AV191" s="49"/>
      <c r="AW191" s="49"/>
      <c r="AX191" s="49"/>
      <c r="AY191" s="49"/>
      <c r="AZ191" s="49"/>
      <c r="BA191" s="49"/>
      <c r="BB191" s="49"/>
      <c r="BC191" s="49"/>
      <c r="BD191" s="49"/>
      <c r="BE191" s="49"/>
    </row>
    <row r="192" spans="2:57" s="5" customFormat="1">
      <c r="B192" s="5" t="s">
        <v>347</v>
      </c>
      <c r="C192" s="41">
        <f t="shared" ref="C192:O192" si="462">C123</f>
        <v>954238</v>
      </c>
      <c r="D192" s="41">
        <f t="shared" si="462"/>
        <v>1267873</v>
      </c>
      <c r="E192" s="41">
        <f t="shared" si="462"/>
        <v>1374110</v>
      </c>
      <c r="F192" s="41">
        <f t="shared" si="462"/>
        <v>1443171</v>
      </c>
      <c r="G192" s="41">
        <f t="shared" si="462"/>
        <v>1638100</v>
      </c>
      <c r="H192" s="41">
        <f t="shared" si="462"/>
        <v>1211900</v>
      </c>
      <c r="I192" s="41">
        <f t="shared" si="462"/>
        <v>1156900</v>
      </c>
      <c r="J192" s="41">
        <f t="shared" si="462"/>
        <v>1299800</v>
      </c>
      <c r="K192" s="41">
        <f t="shared" si="462"/>
        <v>1911200</v>
      </c>
      <c r="L192" s="41">
        <f t="shared" si="462"/>
        <v>1147700</v>
      </c>
      <c r="M192" s="41">
        <f t="shared" si="462"/>
        <v>1322700</v>
      </c>
      <c r="N192" s="41">
        <f t="shared" si="462"/>
        <v>1369000</v>
      </c>
      <c r="O192" s="41">
        <f t="shared" si="462"/>
        <v>1335700</v>
      </c>
      <c r="P192" s="41"/>
      <c r="Q192" s="41">
        <f t="shared" ref="Q192:BE192" si="463">Q123</f>
        <v>1265595</v>
      </c>
      <c r="R192" s="41">
        <f t="shared" si="463"/>
        <v>1309107</v>
      </c>
      <c r="S192" s="41">
        <f t="shared" si="463"/>
        <v>1294791</v>
      </c>
      <c r="T192" s="41">
        <f t="shared" si="463"/>
        <v>1374110</v>
      </c>
      <c r="U192" s="41">
        <f t="shared" si="463"/>
        <v>1426818</v>
      </c>
      <c r="V192" s="41">
        <f t="shared" si="463"/>
        <v>1474722</v>
      </c>
      <c r="W192" s="41">
        <f t="shared" si="463"/>
        <v>1451096</v>
      </c>
      <c r="X192" s="41">
        <f t="shared" si="463"/>
        <v>1443171</v>
      </c>
      <c r="Y192" s="41">
        <f t="shared" si="463"/>
        <v>1577139</v>
      </c>
      <c r="Z192" s="41">
        <f t="shared" si="463"/>
        <v>1612175</v>
      </c>
      <c r="AA192" s="41">
        <f t="shared" si="463"/>
        <v>1661894</v>
      </c>
      <c r="AB192" s="41">
        <f t="shared" si="463"/>
        <v>1638100</v>
      </c>
      <c r="AC192" s="41">
        <f t="shared" si="463"/>
        <v>1672290</v>
      </c>
      <c r="AD192" s="41">
        <f t="shared" si="463"/>
        <v>1729800</v>
      </c>
      <c r="AE192" s="41">
        <f t="shared" si="463"/>
        <v>1738400</v>
      </c>
      <c r="AF192" s="41">
        <f t="shared" si="463"/>
        <v>1211900</v>
      </c>
      <c r="AG192" s="41">
        <f t="shared" si="463"/>
        <v>1238000</v>
      </c>
      <c r="AH192" s="41">
        <f t="shared" si="463"/>
        <v>1303800</v>
      </c>
      <c r="AI192" s="41">
        <f t="shared" si="463"/>
        <v>1185400</v>
      </c>
      <c r="AJ192" s="41">
        <f t="shared" si="463"/>
        <v>1156900</v>
      </c>
      <c r="AK192" s="41">
        <f t="shared" si="463"/>
        <v>1282300</v>
      </c>
      <c r="AL192" s="41">
        <f t="shared" si="463"/>
        <v>1670000</v>
      </c>
      <c r="AM192" s="41">
        <f t="shared" si="463"/>
        <v>1614900</v>
      </c>
      <c r="AN192" s="41">
        <f t="shared" si="463"/>
        <v>1299800</v>
      </c>
      <c r="AO192" s="41">
        <f t="shared" si="463"/>
        <v>1282300</v>
      </c>
      <c r="AP192" s="41">
        <f t="shared" si="463"/>
        <v>1426100</v>
      </c>
      <c r="AQ192" s="41">
        <f t="shared" si="463"/>
        <v>1528400</v>
      </c>
      <c r="AR192" s="41">
        <f t="shared" si="463"/>
        <v>1911200</v>
      </c>
      <c r="AS192" s="41">
        <f t="shared" si="463"/>
        <v>2227500</v>
      </c>
      <c r="AT192" s="41">
        <f t="shared" si="463"/>
        <v>2329100</v>
      </c>
      <c r="AU192" s="41">
        <f t="shared" si="463"/>
        <v>1592000</v>
      </c>
      <c r="AV192" s="41">
        <f t="shared" si="463"/>
        <v>1147700</v>
      </c>
      <c r="AW192" s="41">
        <f t="shared" si="463"/>
        <v>1208000</v>
      </c>
      <c r="AX192" s="41">
        <f t="shared" si="463"/>
        <v>1337800</v>
      </c>
      <c r="AY192" s="41">
        <f t="shared" si="463"/>
        <v>1352900</v>
      </c>
      <c r="AZ192" s="41">
        <f t="shared" si="463"/>
        <v>1322700</v>
      </c>
      <c r="BA192" s="41">
        <f t="shared" si="463"/>
        <v>1363400</v>
      </c>
      <c r="BB192" s="41">
        <f t="shared" si="463"/>
        <v>1423000</v>
      </c>
      <c r="BC192" s="41">
        <f t="shared" si="463"/>
        <v>1358000</v>
      </c>
      <c r="BD192" s="41">
        <f t="shared" si="463"/>
        <v>1369000</v>
      </c>
      <c r="BE192" s="41">
        <f t="shared" si="463"/>
        <v>1335700</v>
      </c>
    </row>
    <row r="193" spans="2:57">
      <c r="C193" s="36"/>
      <c r="D193" s="36"/>
      <c r="E193" s="36"/>
      <c r="F193" s="49"/>
      <c r="G193" s="49"/>
      <c r="H193" s="49"/>
      <c r="I193" s="49"/>
      <c r="J193" s="49"/>
      <c r="K193" s="49"/>
      <c r="L193" s="49"/>
      <c r="M193" s="49"/>
      <c r="N193" s="49"/>
      <c r="O193" s="49"/>
      <c r="P193" s="41"/>
      <c r="Q193" s="49"/>
      <c r="R193" s="49"/>
      <c r="S193" s="49"/>
      <c r="T193" s="49"/>
      <c r="U193" s="49"/>
      <c r="V193" s="49"/>
      <c r="W193" s="49"/>
      <c r="X193" s="49"/>
      <c r="Y193" s="49"/>
      <c r="Z193" s="49"/>
      <c r="AA193" s="49"/>
      <c r="AB193" s="49"/>
      <c r="AC193" s="49"/>
      <c r="AD193" s="49"/>
      <c r="AE193" s="49"/>
      <c r="AF193" s="49"/>
      <c r="AG193" s="49"/>
      <c r="AH193" s="49"/>
      <c r="AI193" s="49"/>
      <c r="AJ193" s="49"/>
      <c r="AK193" s="49"/>
      <c r="AL193" s="49"/>
      <c r="AM193" s="49"/>
      <c r="AN193" s="49"/>
      <c r="AO193" s="49"/>
      <c r="AP193" s="49"/>
      <c r="AQ193" s="49"/>
      <c r="AR193" s="49"/>
      <c r="AS193" s="49"/>
      <c r="AT193" s="49"/>
      <c r="AU193" s="49"/>
      <c r="AV193" s="49"/>
      <c r="AW193" s="49"/>
      <c r="AX193" s="49"/>
      <c r="AY193" s="49"/>
      <c r="AZ193" s="49"/>
      <c r="BA193" s="49"/>
      <c r="BB193" s="49"/>
      <c r="BC193" s="49"/>
      <c r="BD193" s="49"/>
      <c r="BE193" s="49"/>
    </row>
    <row r="194" spans="2:57">
      <c r="B194" s="1" t="s">
        <v>328</v>
      </c>
      <c r="C194" s="163">
        <f t="shared" ref="C194:O194" si="464">C84</f>
        <v>425400.36499999964</v>
      </c>
      <c r="D194" s="163">
        <f t="shared" si="464"/>
        <v>356585.29300000001</v>
      </c>
      <c r="E194" s="163">
        <f t="shared" si="464"/>
        <v>424780.734</v>
      </c>
      <c r="F194" s="163">
        <f t="shared" si="464"/>
        <v>437102.69900000002</v>
      </c>
      <c r="G194" s="163">
        <f t="shared" si="464"/>
        <v>426921</v>
      </c>
      <c r="H194" s="163">
        <f t="shared" si="464"/>
        <v>770411</v>
      </c>
      <c r="I194" s="163">
        <f t="shared" si="464"/>
        <v>684231.88899999997</v>
      </c>
      <c r="J194" s="163">
        <f t="shared" si="464"/>
        <v>772452.25800000003</v>
      </c>
      <c r="K194" s="163">
        <f t="shared" si="464"/>
        <v>1282013</v>
      </c>
      <c r="L194" s="163">
        <f t="shared" si="464"/>
        <v>762562.17099999997</v>
      </c>
      <c r="M194" s="163">
        <f t="shared" si="464"/>
        <v>788612.90099999995</v>
      </c>
      <c r="N194" s="163">
        <f t="shared" si="464"/>
        <v>835473.09600000002</v>
      </c>
      <c r="O194" s="163">
        <f t="shared" si="464"/>
        <v>855384.79400000011</v>
      </c>
      <c r="P194" s="41"/>
      <c r="Q194" s="163"/>
      <c r="R194" s="163"/>
      <c r="S194" s="163"/>
      <c r="T194" s="163">
        <f t="shared" ref="T194:AY194" si="465">T84</f>
        <v>424780.734</v>
      </c>
      <c r="U194" s="163">
        <f t="shared" si="465"/>
        <v>425722.734</v>
      </c>
      <c r="V194" s="163">
        <f t="shared" si="465"/>
        <v>425777.734</v>
      </c>
      <c r="W194" s="163">
        <f t="shared" si="465"/>
        <v>431935.734</v>
      </c>
      <c r="X194" s="163">
        <f t="shared" si="465"/>
        <v>437102.69900000002</v>
      </c>
      <c r="Y194" s="163">
        <f t="shared" si="465"/>
        <v>426469.69900000002</v>
      </c>
      <c r="Z194" s="163">
        <f t="shared" si="465"/>
        <v>422071.69900000002</v>
      </c>
      <c r="AA194" s="163">
        <f t="shared" si="465"/>
        <v>417122.69900000002</v>
      </c>
      <c r="AB194" s="163">
        <f t="shared" si="465"/>
        <v>426921</v>
      </c>
      <c r="AC194" s="163">
        <f t="shared" si="465"/>
        <v>465384</v>
      </c>
      <c r="AD194" s="163">
        <f t="shared" si="465"/>
        <v>508813</v>
      </c>
      <c r="AE194" s="163">
        <f t="shared" si="465"/>
        <v>549102</v>
      </c>
      <c r="AF194" s="163">
        <f t="shared" si="465"/>
        <v>770411</v>
      </c>
      <c r="AG194" s="163">
        <f t="shared" si="465"/>
        <v>805303</v>
      </c>
      <c r="AH194" s="163">
        <f t="shared" si="465"/>
        <v>831273</v>
      </c>
      <c r="AI194" s="163">
        <f t="shared" si="465"/>
        <v>848539</v>
      </c>
      <c r="AJ194" s="163">
        <f t="shared" si="465"/>
        <v>684231.88899999997</v>
      </c>
      <c r="AK194" s="163">
        <f t="shared" si="465"/>
        <v>689131.88899999997</v>
      </c>
      <c r="AL194" s="163">
        <f t="shared" si="465"/>
        <v>729813.88899999997</v>
      </c>
      <c r="AM194" s="163">
        <f t="shared" si="465"/>
        <v>769092.88899999997</v>
      </c>
      <c r="AN194" s="163">
        <f t="shared" si="465"/>
        <v>772452.25800000003</v>
      </c>
      <c r="AO194" s="163">
        <f t="shared" si="465"/>
        <v>784442.25800000003</v>
      </c>
      <c r="AP194" s="163">
        <f t="shared" si="465"/>
        <v>1266934.2579999999</v>
      </c>
      <c r="AQ194" s="163">
        <f t="shared" si="465"/>
        <v>1296172.2579999999</v>
      </c>
      <c r="AR194" s="163">
        <f t="shared" si="465"/>
        <v>1282013</v>
      </c>
      <c r="AS194" s="163">
        <f t="shared" si="465"/>
        <v>1224549</v>
      </c>
      <c r="AT194" s="163">
        <f t="shared" si="465"/>
        <v>730987</v>
      </c>
      <c r="AU194" s="163">
        <f t="shared" si="465"/>
        <v>687960</v>
      </c>
      <c r="AV194" s="163">
        <f t="shared" si="465"/>
        <v>762562.17099999997</v>
      </c>
      <c r="AW194" s="163">
        <f t="shared" si="465"/>
        <v>818209.17099999997</v>
      </c>
      <c r="AX194" s="163">
        <f t="shared" si="465"/>
        <v>824913.17099999997</v>
      </c>
      <c r="AY194" s="163">
        <f t="shared" si="465"/>
        <v>829469.17099999997</v>
      </c>
      <c r="AZ194" s="163">
        <f t="shared" ref="AZ194:BE194" si="466">AZ84</f>
        <v>788612.90099999995</v>
      </c>
      <c r="BA194" s="163">
        <f t="shared" si="466"/>
        <v>794408.29899999988</v>
      </c>
      <c r="BB194" s="163">
        <f t="shared" si="466"/>
        <v>797119.90099999995</v>
      </c>
      <c r="BC194" s="163">
        <f t="shared" si="466"/>
        <v>816036.90099999995</v>
      </c>
      <c r="BD194" s="163">
        <f t="shared" si="466"/>
        <v>835473.09600000014</v>
      </c>
      <c r="BE194" s="163">
        <f t="shared" si="466"/>
        <v>855384.79399999999</v>
      </c>
    </row>
    <row r="195" spans="2:57">
      <c r="C195" s="36"/>
      <c r="D195" s="36"/>
      <c r="E195" s="36"/>
      <c r="F195" s="49"/>
      <c r="G195" s="49"/>
      <c r="H195" s="49"/>
      <c r="I195" s="49"/>
      <c r="J195" s="49"/>
      <c r="K195" s="49"/>
      <c r="L195" s="49"/>
      <c r="M195" s="49"/>
      <c r="N195" s="49"/>
      <c r="O195" s="49"/>
      <c r="P195" s="41"/>
      <c r="Q195" s="49"/>
      <c r="R195" s="49"/>
      <c r="S195" s="49"/>
      <c r="T195" s="49"/>
      <c r="U195" s="49"/>
      <c r="V195" s="49"/>
      <c r="W195" s="49"/>
      <c r="X195" s="49"/>
      <c r="Y195" s="49"/>
      <c r="Z195" s="49"/>
      <c r="AA195" s="49"/>
      <c r="AB195" s="49"/>
      <c r="AC195" s="49"/>
      <c r="AD195" s="49"/>
      <c r="AE195" s="49"/>
      <c r="AF195" s="49"/>
      <c r="AG195" s="49"/>
      <c r="AH195" s="49"/>
      <c r="AI195" s="49"/>
      <c r="AJ195" s="49"/>
      <c r="AK195" s="49"/>
      <c r="AL195" s="49"/>
      <c r="AM195" s="49"/>
      <c r="AN195" s="49"/>
      <c r="AO195" s="49"/>
      <c r="AP195" s="49"/>
      <c r="AQ195" s="49"/>
      <c r="AR195" s="49"/>
      <c r="AS195" s="49"/>
      <c r="AT195" s="49"/>
      <c r="AU195" s="49"/>
      <c r="AV195" s="49"/>
      <c r="AW195" s="49"/>
      <c r="AX195" s="49"/>
      <c r="AY195" s="49"/>
      <c r="AZ195" s="49"/>
      <c r="BA195" s="49"/>
      <c r="BB195" s="49"/>
      <c r="BC195" s="49"/>
      <c r="BD195" s="49"/>
      <c r="BE195" s="49"/>
    </row>
    <row r="196" spans="2:57" s="5" customFormat="1">
      <c r="B196" s="362" t="s">
        <v>351</v>
      </c>
      <c r="C196" s="363">
        <f t="shared" ref="C196:O196" si="467">+C130</f>
        <v>2.5213552461338407</v>
      </c>
      <c r="D196" s="363">
        <f t="shared" si="467"/>
        <v>4.3100443573257525</v>
      </c>
      <c r="E196" s="363">
        <f t="shared" si="467"/>
        <v>3.4914340912646007</v>
      </c>
      <c r="F196" s="363">
        <f t="shared" si="467"/>
        <v>3.2922025882983621</v>
      </c>
      <c r="G196" s="363">
        <f t="shared" si="467"/>
        <v>4.0635889450273002</v>
      </c>
      <c r="H196" s="363">
        <f t="shared" si="467"/>
        <v>2.6499759050688527</v>
      </c>
      <c r="I196" s="363">
        <f t="shared" si="467"/>
        <v>3.173293983963966</v>
      </c>
      <c r="J196" s="363">
        <f t="shared" si="467"/>
        <v>3.378071047078226</v>
      </c>
      <c r="K196" s="363">
        <f t="shared" si="467"/>
        <v>1.991655859963978</v>
      </c>
      <c r="L196" s="363">
        <f t="shared" si="467"/>
        <v>2.7859413511347659</v>
      </c>
      <c r="M196" s="363">
        <f t="shared" si="467"/>
        <v>3.3126898503528284</v>
      </c>
      <c r="N196" s="363">
        <f t="shared" si="467"/>
        <v>2.4379913317998687</v>
      </c>
      <c r="O196" s="363">
        <f t="shared" si="467"/>
        <v>2.4008044922061118</v>
      </c>
      <c r="P196" s="41"/>
      <c r="Q196" s="363"/>
      <c r="R196" s="363"/>
      <c r="S196" s="363"/>
      <c r="T196" s="363">
        <f t="shared" ref="T196:BE196" si="468">+T130</f>
        <v>3.4914340912646007</v>
      </c>
      <c r="U196" s="363">
        <f t="shared" si="468"/>
        <v>3.5425061420375079</v>
      </c>
      <c r="V196" s="363">
        <f t="shared" si="468"/>
        <v>3.7007091192795909</v>
      </c>
      <c r="W196" s="363">
        <f t="shared" si="468"/>
        <v>3.4654790335082581</v>
      </c>
      <c r="X196" s="363">
        <f t="shared" si="468"/>
        <v>3.2922025882983621</v>
      </c>
      <c r="Y196" s="363">
        <f t="shared" si="468"/>
        <v>3.5558655129681327</v>
      </c>
      <c r="Z196" s="363">
        <f t="shared" si="468"/>
        <v>3.8587760915000366</v>
      </c>
      <c r="AA196" s="363">
        <f t="shared" si="468"/>
        <v>4.0184771675539999</v>
      </c>
      <c r="AB196" s="363">
        <f t="shared" si="468"/>
        <v>4.0635889450273002</v>
      </c>
      <c r="AC196" s="363">
        <f t="shared" si="468"/>
        <v>4.391505161329138</v>
      </c>
      <c r="AD196" s="363">
        <f t="shared" si="468"/>
        <v>4.1909648711805714</v>
      </c>
      <c r="AE196" s="363">
        <f t="shared" si="468"/>
        <v>4.0274435951790375</v>
      </c>
      <c r="AF196" s="363">
        <f t="shared" si="468"/>
        <v>2.6499759050688527</v>
      </c>
      <c r="AG196" s="363">
        <f t="shared" si="468"/>
        <v>2.9509429792264523</v>
      </c>
      <c r="AH196" s="363">
        <f t="shared" si="468"/>
        <v>2.7272846176887735</v>
      </c>
      <c r="AI196" s="363">
        <f t="shared" si="468"/>
        <v>2.6314027982214134</v>
      </c>
      <c r="AJ196" s="363">
        <f t="shared" si="468"/>
        <v>3.173293983963966</v>
      </c>
      <c r="AK196" s="363">
        <f t="shared" si="468"/>
        <v>3.4047230181217172</v>
      </c>
      <c r="AL196" s="363">
        <f t="shared" si="468"/>
        <v>3.1347290473393556</v>
      </c>
      <c r="AM196" s="363">
        <f t="shared" si="468"/>
        <v>3.194505968186113</v>
      </c>
      <c r="AN196" s="363">
        <f t="shared" si="468"/>
        <v>3.378071047078226</v>
      </c>
      <c r="AO196" s="363">
        <f t="shared" si="468"/>
        <v>3.212916278153898</v>
      </c>
      <c r="AP196" s="363">
        <f t="shared" si="468"/>
        <v>2.1877555851836474</v>
      </c>
      <c r="AQ196" s="363">
        <f t="shared" si="468"/>
        <v>2.1663670385391014</v>
      </c>
      <c r="AR196" s="363">
        <f t="shared" si="468"/>
        <v>1.991655859963978</v>
      </c>
      <c r="AS196" s="363">
        <f t="shared" si="468"/>
        <v>2.0367713068239812</v>
      </c>
      <c r="AT196" s="363">
        <f t="shared" si="468"/>
        <v>3.4798138544187514</v>
      </c>
      <c r="AU196" s="363">
        <f t="shared" si="468"/>
        <v>3.7953807357985929</v>
      </c>
      <c r="AV196" s="363">
        <f t="shared" si="468"/>
        <v>2.7859413511347659</v>
      </c>
      <c r="AW196" s="363">
        <f t="shared" si="468"/>
        <v>3.0884330432419467</v>
      </c>
      <c r="AX196" s="363">
        <f t="shared" si="468"/>
        <v>3.2400427644523573</v>
      </c>
      <c r="AY196" s="363">
        <f t="shared" si="468"/>
        <v>2.9812518276221742</v>
      </c>
      <c r="AZ196" s="363">
        <f t="shared" si="468"/>
        <v>3.3126898503528284</v>
      </c>
      <c r="BA196" s="363">
        <f t="shared" si="468"/>
        <v>3.0793466710749962</v>
      </c>
      <c r="BB196" s="363">
        <f t="shared" si="468"/>
        <v>2.981103453845396</v>
      </c>
      <c r="BC196" s="363">
        <f t="shared" si="468"/>
        <v>2.5608350681680752</v>
      </c>
      <c r="BD196" s="363">
        <f t="shared" si="468"/>
        <v>2.4379913317998687</v>
      </c>
      <c r="BE196" s="363">
        <f t="shared" si="468"/>
        <v>2.4008044922061123</v>
      </c>
    </row>
    <row r="197" spans="2:57">
      <c r="B197" s="364" t="s">
        <v>352</v>
      </c>
      <c r="C197" s="365">
        <f t="shared" ref="C197:O197" si="469">+C131</f>
        <v>3.4120911438334121</v>
      </c>
      <c r="D197" s="365">
        <f t="shared" si="469"/>
        <v>4.6928208617958909</v>
      </c>
      <c r="E197" s="365">
        <f t="shared" si="469"/>
        <v>3.7525448741279308</v>
      </c>
      <c r="F197" s="365">
        <f t="shared" si="469"/>
        <v>3.6254113864439894</v>
      </c>
      <c r="G197" s="365">
        <f t="shared" si="469"/>
        <v>4.2339910803169669</v>
      </c>
      <c r="H197" s="365">
        <f t="shared" si="469"/>
        <v>3.2307201571628652</v>
      </c>
      <c r="I197" s="365">
        <f t="shared" si="469"/>
        <v>3.4692188600990508</v>
      </c>
      <c r="J197" s="365">
        <f t="shared" si="469"/>
        <v>3.5186684327097923</v>
      </c>
      <c r="K197" s="365">
        <f t="shared" si="469"/>
        <v>2.1371632736953523</v>
      </c>
      <c r="L197" s="365">
        <f t="shared" si="469"/>
        <v>3.4820975560824148</v>
      </c>
      <c r="M197" s="365">
        <f t="shared" si="469"/>
        <v>3.4140309162910838</v>
      </c>
      <c r="N197" s="365">
        <f t="shared" si="469"/>
        <v>2.7176534682811613</v>
      </c>
      <c r="O197" s="365">
        <f t="shared" si="469"/>
        <v>2.6528388707831061</v>
      </c>
      <c r="P197" s="41"/>
      <c r="Q197" s="365"/>
      <c r="R197" s="365"/>
      <c r="S197" s="365"/>
      <c r="T197" s="365">
        <f t="shared" ref="T197:BE197" si="470">+T131</f>
        <v>3.7525448741279308</v>
      </c>
      <c r="U197" s="365">
        <f t="shared" si="470"/>
        <v>3.7266956643193971</v>
      </c>
      <c r="V197" s="365">
        <f t="shared" si="470"/>
        <v>3.9546247667333394</v>
      </c>
      <c r="W197" s="365">
        <f t="shared" si="470"/>
        <v>3.783728233978437</v>
      </c>
      <c r="X197" s="365">
        <f t="shared" si="470"/>
        <v>3.6254113864439894</v>
      </c>
      <c r="Y197" s="365">
        <f t="shared" si="470"/>
        <v>3.6722425547987174</v>
      </c>
      <c r="Z197" s="365">
        <f t="shared" si="470"/>
        <v>3.9355784998984258</v>
      </c>
      <c r="AA197" s="365">
        <f t="shared" si="470"/>
        <v>4.0403319312047312</v>
      </c>
      <c r="AB197" s="365">
        <f t="shared" si="470"/>
        <v>4.2339910803169669</v>
      </c>
      <c r="AC197" s="365">
        <f t="shared" si="470"/>
        <v>4.4652568738933862</v>
      </c>
      <c r="AD197" s="365">
        <f t="shared" si="470"/>
        <v>4.2418191968365591</v>
      </c>
      <c r="AE197" s="365">
        <f t="shared" si="470"/>
        <v>4.0899111877210421</v>
      </c>
      <c r="AF197" s="365">
        <f t="shared" si="470"/>
        <v>3.2307201571628652</v>
      </c>
      <c r="AG197" s="365">
        <f t="shared" si="470"/>
        <v>3.3233441487241446</v>
      </c>
      <c r="AH197" s="365">
        <f t="shared" si="470"/>
        <v>3.1369860539197107</v>
      </c>
      <c r="AI197" s="365">
        <f t="shared" si="470"/>
        <v>2.9883036053734711</v>
      </c>
      <c r="AJ197" s="365">
        <f t="shared" si="470"/>
        <v>3.4692188600990508</v>
      </c>
      <c r="AK197" s="365">
        <f t="shared" si="470"/>
        <v>3.4781349524807728</v>
      </c>
      <c r="AL197" s="365">
        <f t="shared" si="470"/>
        <v>3.28090027757748</v>
      </c>
      <c r="AM197" s="365">
        <f t="shared" si="470"/>
        <v>3.3448731795516573</v>
      </c>
      <c r="AN197" s="365">
        <f t="shared" si="470"/>
        <v>3.5186684327097923</v>
      </c>
      <c r="AO197" s="365">
        <f t="shared" si="470"/>
        <v>3.3546162374133597</v>
      </c>
      <c r="AP197" s="365">
        <f t="shared" si="470"/>
        <v>2.3549492005290777</v>
      </c>
      <c r="AQ197" s="365">
        <f t="shared" si="470"/>
        <v>2.3774493173884919</v>
      </c>
      <c r="AR197" s="365">
        <f t="shared" si="470"/>
        <v>2.1371632736953523</v>
      </c>
      <c r="AS197" s="365">
        <f t="shared" si="470"/>
        <v>2.1192999904454615</v>
      </c>
      <c r="AT197" s="365">
        <f t="shared" si="470"/>
        <v>3.597100639272655</v>
      </c>
      <c r="AU197" s="365">
        <f t="shared" si="470"/>
        <v>4.0958190519797668</v>
      </c>
      <c r="AV197" s="365">
        <f t="shared" si="470"/>
        <v>3.4820975560824148</v>
      </c>
      <c r="AW197" s="365">
        <f t="shared" si="470"/>
        <v>3.4361691467767725</v>
      </c>
      <c r="AX197" s="365">
        <f t="shared" si="470"/>
        <v>3.3460708654390001</v>
      </c>
      <c r="AY197" s="365">
        <f t="shared" si="470"/>
        <v>3.2454775573569812</v>
      </c>
      <c r="AZ197" s="365">
        <f t="shared" si="470"/>
        <v>3.4140309162910838</v>
      </c>
      <c r="BA197" s="365">
        <f t="shared" si="470"/>
        <v>3.3062828337849481</v>
      </c>
      <c r="BB197" s="365">
        <f t="shared" si="470"/>
        <v>3.3233191627466345</v>
      </c>
      <c r="BC197" s="365">
        <f t="shared" si="470"/>
        <v>2.8548087018432513</v>
      </c>
      <c r="BD197" s="365">
        <f t="shared" si="470"/>
        <v>2.7176534682811613</v>
      </c>
      <c r="BE197" s="365">
        <f t="shared" si="470"/>
        <v>2.6528388707831061</v>
      </c>
    </row>
    <row r="198" spans="2:57">
      <c r="C198" s="38"/>
      <c r="D198" s="38"/>
      <c r="E198" s="57"/>
      <c r="F198" s="57"/>
      <c r="G198" s="57"/>
      <c r="H198" s="57"/>
      <c r="I198" s="57"/>
      <c r="J198" s="57"/>
      <c r="K198" s="57"/>
      <c r="L198" s="57"/>
      <c r="M198" s="57"/>
      <c r="N198" s="57"/>
      <c r="O198" s="57"/>
      <c r="P198" s="41"/>
      <c r="Q198" s="57"/>
      <c r="R198" s="57"/>
      <c r="S198" s="57"/>
      <c r="T198" s="57"/>
      <c r="U198" s="57"/>
      <c r="V198" s="57"/>
      <c r="W198" s="57"/>
      <c r="X198" s="57"/>
      <c r="Y198" s="57"/>
      <c r="Z198" s="57"/>
      <c r="AA198" s="57"/>
      <c r="AB198" s="57"/>
      <c r="AC198" s="57"/>
      <c r="AD198" s="57"/>
      <c r="AE198" s="57"/>
      <c r="AF198" s="57"/>
      <c r="AG198" s="57"/>
      <c r="AH198" s="57"/>
      <c r="AI198" s="57"/>
      <c r="AJ198" s="57"/>
      <c r="AK198" s="57"/>
      <c r="AL198" s="57"/>
      <c r="AM198" s="57"/>
      <c r="AN198" s="57"/>
      <c r="AO198" s="57"/>
      <c r="AP198" s="57"/>
      <c r="AQ198" s="57"/>
      <c r="AR198" s="57"/>
      <c r="AS198" s="57"/>
      <c r="AT198" s="57"/>
      <c r="AU198" s="57"/>
      <c r="AV198" s="57"/>
      <c r="AW198" s="57"/>
      <c r="AX198" s="57"/>
      <c r="AY198" s="57"/>
      <c r="AZ198" s="57"/>
      <c r="BA198" s="57"/>
      <c r="BB198" s="57"/>
      <c r="BC198" s="57"/>
      <c r="BD198" s="57"/>
      <c r="BE198" s="57"/>
    </row>
    <row r="199" spans="2:57" s="5" customFormat="1">
      <c r="B199" s="5" t="s">
        <v>353</v>
      </c>
      <c r="C199" s="37">
        <f t="shared" ref="C199:O199" si="471">+C133</f>
        <v>2.2431527532892472</v>
      </c>
      <c r="D199" s="37">
        <f t="shared" si="471"/>
        <v>3.5555953228839416</v>
      </c>
      <c r="E199" s="37">
        <f t="shared" si="471"/>
        <v>3.2348689335802128</v>
      </c>
      <c r="F199" s="37">
        <f t="shared" si="471"/>
        <v>3.3016748770979332</v>
      </c>
      <c r="G199" s="37">
        <f t="shared" si="471"/>
        <v>3.8370096575244599</v>
      </c>
      <c r="H199" s="37">
        <f t="shared" si="471"/>
        <v>1.5730564594742287</v>
      </c>
      <c r="I199" s="37">
        <f t="shared" si="471"/>
        <v>1.6908010553129891</v>
      </c>
      <c r="J199" s="37">
        <f t="shared" si="471"/>
        <v>1.6826929904579293</v>
      </c>
      <c r="K199" s="37">
        <f t="shared" si="471"/>
        <v>1.4907805147061692</v>
      </c>
      <c r="L199" s="37">
        <f t="shared" si="471"/>
        <v>1.5050576118861789</v>
      </c>
      <c r="M199" s="37">
        <f t="shared" si="471"/>
        <v>1.6772487469108752</v>
      </c>
      <c r="N199" s="37">
        <f t="shared" si="471"/>
        <v>1.6385925609745786</v>
      </c>
      <c r="O199" s="37">
        <f t="shared" si="471"/>
        <v>1.5615194581071776</v>
      </c>
      <c r="P199" s="37"/>
      <c r="Q199" s="37"/>
      <c r="R199" s="37"/>
      <c r="S199" s="37"/>
      <c r="T199" s="37">
        <f t="shared" ref="T199:BE199" si="472">+T133</f>
        <v>3.2348689335802128</v>
      </c>
      <c r="U199" s="37">
        <f t="shared" si="472"/>
        <v>3.351519395250337</v>
      </c>
      <c r="V199" s="37">
        <f t="shared" si="472"/>
        <v>3.4635958676035417</v>
      </c>
      <c r="W199" s="37">
        <f t="shared" si="472"/>
        <v>3.3595182935246566</v>
      </c>
      <c r="X199" s="37">
        <f t="shared" si="472"/>
        <v>3.3016748770979332</v>
      </c>
      <c r="Y199" s="37">
        <f t="shared" si="472"/>
        <v>3.6981267454595876</v>
      </c>
      <c r="Z199" s="37">
        <f t="shared" si="472"/>
        <v>3.8196709322602556</v>
      </c>
      <c r="AA199" s="37">
        <f t="shared" si="472"/>
        <v>3.9841849987645959</v>
      </c>
      <c r="AB199" s="37">
        <f t="shared" si="472"/>
        <v>3.8370096575244599</v>
      </c>
      <c r="AC199" s="37">
        <f t="shared" si="472"/>
        <v>3.5933551647671602</v>
      </c>
      <c r="AD199" s="37">
        <f t="shared" si="472"/>
        <v>3.3996772881196038</v>
      </c>
      <c r="AE199" s="37">
        <f t="shared" si="472"/>
        <v>3.1658963179882789</v>
      </c>
      <c r="AF199" s="37">
        <f t="shared" si="472"/>
        <v>1.5730564594742287</v>
      </c>
      <c r="AG199" s="37">
        <f t="shared" si="472"/>
        <v>1.5373095592590615</v>
      </c>
      <c r="AH199" s="37">
        <f t="shared" si="472"/>
        <v>1.5684378056306412</v>
      </c>
      <c r="AI199" s="37">
        <f t="shared" si="472"/>
        <v>1.3969894135684984</v>
      </c>
      <c r="AJ199" s="37">
        <f t="shared" si="472"/>
        <v>1.6908010553129891</v>
      </c>
      <c r="AK199" s="37">
        <f t="shared" si="472"/>
        <v>1.8607468620567638</v>
      </c>
      <c r="AL199" s="37">
        <f t="shared" si="472"/>
        <v>2.2882546155544596</v>
      </c>
      <c r="AM199" s="37">
        <f t="shared" si="472"/>
        <v>2.0997463675678323</v>
      </c>
      <c r="AN199" s="37">
        <f t="shared" si="472"/>
        <v>1.6826929904579293</v>
      </c>
      <c r="AO199" s="37">
        <f t="shared" si="472"/>
        <v>1.6346646128796392</v>
      </c>
      <c r="AP199" s="37">
        <f t="shared" si="472"/>
        <v>1.1256306244739656</v>
      </c>
      <c r="AQ199" s="37">
        <f t="shared" si="472"/>
        <v>1.1791642588912747</v>
      </c>
      <c r="AR199" s="37">
        <f t="shared" si="472"/>
        <v>1.4907805147061692</v>
      </c>
      <c r="AS199" s="37">
        <f t="shared" si="472"/>
        <v>1.8190370495586539</v>
      </c>
      <c r="AT199" s="37">
        <f t="shared" si="472"/>
        <v>3.1862399741719072</v>
      </c>
      <c r="AU199" s="37">
        <f t="shared" si="472"/>
        <v>2.3140880283737428</v>
      </c>
      <c r="AV199" s="37">
        <f t="shared" si="472"/>
        <v>1.5050576118861789</v>
      </c>
      <c r="AW199" s="37">
        <f t="shared" si="472"/>
        <v>1.4763950867522115</v>
      </c>
      <c r="AX199" s="37">
        <f t="shared" si="472"/>
        <v>1.6217464419658296</v>
      </c>
      <c r="AY199" s="37">
        <f t="shared" si="472"/>
        <v>1.6310431385520416</v>
      </c>
      <c r="AZ199" s="37">
        <f t="shared" si="472"/>
        <v>1.6772487469108752</v>
      </c>
      <c r="BA199" s="37">
        <f t="shared" si="472"/>
        <v>1.7162459175165292</v>
      </c>
      <c r="BB199" s="37">
        <f t="shared" si="472"/>
        <v>1.7851768576030072</v>
      </c>
      <c r="BC199" s="37">
        <f t="shared" si="472"/>
        <v>1.664140430825934</v>
      </c>
      <c r="BD199" s="37">
        <f t="shared" si="472"/>
        <v>1.6385925609745784</v>
      </c>
      <c r="BE199" s="37">
        <f t="shared" si="472"/>
        <v>1.5615194581071778</v>
      </c>
    </row>
    <row r="200" spans="2:57">
      <c r="C200" s="38"/>
      <c r="D200" s="38"/>
      <c r="E200" s="57"/>
      <c r="F200" s="57"/>
      <c r="G200" s="57"/>
      <c r="H200" s="57"/>
      <c r="I200" s="57"/>
      <c r="J200" s="57"/>
      <c r="K200" s="57"/>
      <c r="L200" s="57"/>
      <c r="M200" s="57"/>
      <c r="N200" s="57"/>
      <c r="O200" s="57"/>
      <c r="P200" s="57"/>
      <c r="Q200" s="57"/>
      <c r="R200" s="57"/>
      <c r="S200" s="57"/>
      <c r="T200" s="57"/>
      <c r="U200" s="57"/>
      <c r="V200" s="57"/>
      <c r="W200" s="57"/>
      <c r="X200" s="57"/>
      <c r="Y200" s="57"/>
      <c r="Z200" s="57"/>
      <c r="AA200" s="57"/>
      <c r="AB200" s="57"/>
      <c r="AC200" s="57"/>
      <c r="AD200" s="57"/>
      <c r="AE200" s="57"/>
      <c r="AF200" s="57"/>
      <c r="AG200" s="57"/>
      <c r="AH200" s="57"/>
      <c r="AI200" s="57"/>
      <c r="AJ200" s="57"/>
      <c r="AK200" s="57"/>
      <c r="AL200" s="57"/>
      <c r="AM200" s="57"/>
      <c r="AN200" s="57"/>
      <c r="AO200" s="57"/>
      <c r="AP200" s="57"/>
      <c r="AQ200" s="57"/>
      <c r="AR200" s="57"/>
      <c r="AS200" s="57"/>
      <c r="AT200" s="57"/>
      <c r="AU200" s="57"/>
      <c r="AV200" s="57"/>
      <c r="AW200" s="57"/>
      <c r="AX200" s="57"/>
      <c r="AY200" s="57"/>
      <c r="AZ200" s="57"/>
      <c r="BA200" s="57"/>
      <c r="BB200" s="57"/>
      <c r="BC200" s="57"/>
      <c r="BD200" s="57"/>
      <c r="BE200" s="57"/>
    </row>
    <row r="201" spans="2:57" s="5" customFormat="1">
      <c r="B201" s="5" t="s">
        <v>355</v>
      </c>
      <c r="C201" s="37">
        <f t="shared" ref="C201:O201" si="473">+C136</f>
        <v>-3.2952962115872553</v>
      </c>
      <c r="D201" s="37">
        <f t="shared" si="473"/>
        <v>-2.6408668308109964</v>
      </c>
      <c r="E201" s="37">
        <f t="shared" si="473"/>
        <v>-0.43448602715218049</v>
      </c>
      <c r="F201" s="37">
        <f t="shared" si="473"/>
        <v>-0.84931755350164051</v>
      </c>
      <c r="G201" s="37">
        <f t="shared" si="473"/>
        <v>-1.0496587773201036</v>
      </c>
      <c r="H201" s="37">
        <f t="shared" si="473"/>
        <v>9.013657774730099</v>
      </c>
      <c r="I201" s="37">
        <f t="shared" si="473"/>
        <v>4.1585900097626576</v>
      </c>
      <c r="J201" s="37">
        <f t="shared" si="473"/>
        <v>3.4509063904651431</v>
      </c>
      <c r="K201" s="37">
        <f t="shared" si="473"/>
        <v>12.002734286853526</v>
      </c>
      <c r="L201" s="37">
        <f t="shared" si="473"/>
        <v>15.161635875449525</v>
      </c>
      <c r="M201" s="37">
        <f t="shared" si="473"/>
        <v>2.0893147259256271</v>
      </c>
      <c r="N201" s="37">
        <f t="shared" si="473"/>
        <v>2.7267310502595858</v>
      </c>
      <c r="O201" s="37">
        <f t="shared" si="473"/>
        <v>3.4274054253317123</v>
      </c>
      <c r="P201" s="37"/>
      <c r="Q201" s="37"/>
      <c r="R201" s="37"/>
      <c r="S201" s="37"/>
      <c r="T201" s="37">
        <f t="shared" ref="T201:BE201" si="474">+T136</f>
        <v>-0.43448602715218049</v>
      </c>
      <c r="U201" s="37">
        <f t="shared" si="474"/>
        <v>-0.58103686144677036</v>
      </c>
      <c r="V201" s="37">
        <f t="shared" si="474"/>
        <v>-0.59942972715452936</v>
      </c>
      <c r="W201" s="37">
        <f t="shared" si="474"/>
        <v>-0.84942525467487262</v>
      </c>
      <c r="X201" s="37">
        <f t="shared" si="474"/>
        <v>-0.84931755350164051</v>
      </c>
      <c r="Y201" s="37">
        <f t="shared" si="474"/>
        <v>-1.2913988085288886</v>
      </c>
      <c r="Z201" s="37">
        <f t="shared" si="474"/>
        <v>-1.4933428959221065</v>
      </c>
      <c r="AA201" s="37">
        <f t="shared" si="474"/>
        <v>-1.374305624802225</v>
      </c>
      <c r="AB201" s="37">
        <f t="shared" si="474"/>
        <v>-1.0496587773201036</v>
      </c>
      <c r="AC201" s="37">
        <f t="shared" si="474"/>
        <v>-0.65065943146244987</v>
      </c>
      <c r="AD201" s="37">
        <f t="shared" si="474"/>
        <v>-0.15995487826111709</v>
      </c>
      <c r="AE201" s="37">
        <f t="shared" si="474"/>
        <v>0.72436437060648273</v>
      </c>
      <c r="AF201" s="37">
        <f t="shared" si="474"/>
        <v>9.013657774730099</v>
      </c>
      <c r="AG201" s="37">
        <f t="shared" si="474"/>
        <v>10.355046958896487</v>
      </c>
      <c r="AH201" s="37">
        <f t="shared" si="474"/>
        <v>11.164391628708501</v>
      </c>
      <c r="AI201" s="37">
        <f t="shared" si="474"/>
        <v>10.27460927974596</v>
      </c>
      <c r="AJ201" s="37">
        <f t="shared" si="474"/>
        <v>4.1585900097626567</v>
      </c>
      <c r="AK201" s="37">
        <f t="shared" si="474"/>
        <v>3.7660267506787721</v>
      </c>
      <c r="AL201" s="37">
        <f t="shared" si="474"/>
        <v>3.9339502518435072</v>
      </c>
      <c r="AM201" s="37">
        <f t="shared" si="474"/>
        <v>2.812137334390246</v>
      </c>
      <c r="AN201" s="37">
        <f t="shared" si="474"/>
        <v>3.4509063904651431</v>
      </c>
      <c r="AO201" s="37">
        <f t="shared" si="474"/>
        <v>3.0476719494742501</v>
      </c>
      <c r="AP201" s="37">
        <f t="shared" si="474"/>
        <v>9.8979836126687832</v>
      </c>
      <c r="AQ201" s="37">
        <f t="shared" si="474"/>
        <v>14.897862872364515</v>
      </c>
      <c r="AR201" s="37">
        <f t="shared" si="474"/>
        <v>12.002734286853526</v>
      </c>
      <c r="AS201" s="37">
        <f t="shared" si="474"/>
        <v>10.782227494639073</v>
      </c>
      <c r="AT201" s="37">
        <f t="shared" si="474"/>
        <v>1.3993150364662292</v>
      </c>
      <c r="AU201" s="37">
        <f t="shared" si="474"/>
        <v>0.76109676884039312</v>
      </c>
      <c r="AV201" s="37">
        <f t="shared" si="474"/>
        <v>15.161635875449528</v>
      </c>
      <c r="AW201" s="37">
        <f t="shared" si="474"/>
        <v>16.068010807489788</v>
      </c>
      <c r="AX201" s="37">
        <f t="shared" si="474"/>
        <v>16.096592149521811</v>
      </c>
      <c r="AY201" s="37">
        <f t="shared" si="474"/>
        <v>15.640480604047458</v>
      </c>
      <c r="AZ201" s="37">
        <f t="shared" si="474"/>
        <v>2.0893147259256271</v>
      </c>
      <c r="BA201" s="37">
        <f t="shared" si="474"/>
        <v>1.9126456291290299</v>
      </c>
      <c r="BB201" s="37">
        <f t="shared" si="474"/>
        <v>2.4355752377602355</v>
      </c>
      <c r="BC201" s="37">
        <f t="shared" si="474"/>
        <v>2.8340748115263095</v>
      </c>
      <c r="BD201" s="37">
        <f t="shared" si="474"/>
        <v>2.7267310502595867</v>
      </c>
      <c r="BE201" s="37">
        <f t="shared" si="474"/>
        <v>3.4274054253317106</v>
      </c>
    </row>
    <row r="202" spans="2:57">
      <c r="B202" s="1" t="s">
        <v>356</v>
      </c>
      <c r="C202" s="38">
        <f t="shared" ref="C202:O202" si="475">+C137</f>
        <v>11.127336457459833</v>
      </c>
      <c r="D202" s="38">
        <f t="shared" si="475"/>
        <v>5.6523731023189567</v>
      </c>
      <c r="E202" s="38">
        <f t="shared" si="475"/>
        <v>6.2757359912142796</v>
      </c>
      <c r="F202" s="38">
        <f t="shared" si="475"/>
        <v>6.1846100939401252</v>
      </c>
      <c r="G202" s="38">
        <f t="shared" si="475"/>
        <v>5.5355684986487335</v>
      </c>
      <c r="H202" s="38">
        <f t="shared" si="475"/>
        <v>8.8661884663053687</v>
      </c>
      <c r="I202" s="38">
        <f t="shared" si="475"/>
        <v>7.2491231533661162</v>
      </c>
      <c r="J202" s="38">
        <f t="shared" si="475"/>
        <v>5.2062487581318289</v>
      </c>
      <c r="K202" s="38">
        <f t="shared" si="475"/>
        <v>11.883528291668734</v>
      </c>
      <c r="L202" s="38">
        <f t="shared" si="475"/>
        <v>6.7521236464601095</v>
      </c>
      <c r="M202" s="38">
        <f t="shared" si="475"/>
        <v>6.6200675679078875</v>
      </c>
      <c r="N202" s="38">
        <f t="shared" si="475"/>
        <v>7.5522443529743235</v>
      </c>
      <c r="O202" s="38">
        <f t="shared" si="475"/>
        <v>8.1119107195239089</v>
      </c>
      <c r="P202" s="38"/>
      <c r="Q202" s="38"/>
      <c r="R202" s="38"/>
      <c r="S202" s="38"/>
      <c r="T202" s="38">
        <f t="shared" ref="T202:BE202" si="476">+T137</f>
        <v>6.2757359912142796</v>
      </c>
      <c r="U202" s="38">
        <f t="shared" si="476"/>
        <v>6.2741685582611213</v>
      </c>
      <c r="V202" s="38">
        <f t="shared" si="476"/>
        <v>6.2264588501969014</v>
      </c>
      <c r="W202" s="38">
        <f t="shared" si="476"/>
        <v>6.2499586204202204</v>
      </c>
      <c r="X202" s="38">
        <f t="shared" si="476"/>
        <v>6.1846100939401252</v>
      </c>
      <c r="Y202" s="38">
        <f t="shared" si="476"/>
        <v>5.9353063674900133</v>
      </c>
      <c r="Z202" s="38">
        <f t="shared" si="476"/>
        <v>5.6971629074411085</v>
      </c>
      <c r="AA202" s="38">
        <f t="shared" si="476"/>
        <v>5.5406254179567362</v>
      </c>
      <c r="AB202" s="38">
        <f t="shared" si="476"/>
        <v>5.5355684986487335</v>
      </c>
      <c r="AC202" s="38">
        <f t="shared" si="476"/>
        <v>5.7401617688456543</v>
      </c>
      <c r="AD202" s="38">
        <f t="shared" si="476"/>
        <v>5.9247200871256265</v>
      </c>
      <c r="AE202" s="38">
        <f t="shared" si="476"/>
        <v>6.5717263317642862</v>
      </c>
      <c r="AF202" s="38">
        <f t="shared" si="476"/>
        <v>8.8661884663053687</v>
      </c>
      <c r="AG202" s="38">
        <f t="shared" si="476"/>
        <v>9.2355902563819186</v>
      </c>
      <c r="AH202" s="38">
        <f t="shared" si="476"/>
        <v>9.4362371790625872</v>
      </c>
      <c r="AI202" s="38">
        <f t="shared" si="476"/>
        <v>8.940009603352058</v>
      </c>
      <c r="AJ202" s="38">
        <f t="shared" si="476"/>
        <v>7.2491231533661153</v>
      </c>
      <c r="AK202" s="38">
        <f t="shared" si="476"/>
        <v>7.4122522764811878</v>
      </c>
      <c r="AL202" s="38">
        <f t="shared" si="476"/>
        <v>7.9053625978264597</v>
      </c>
      <c r="AM202" s="38">
        <f t="shared" si="476"/>
        <v>5.048304230967692</v>
      </c>
      <c r="AN202" s="38">
        <f t="shared" si="476"/>
        <v>5.2062487581318289</v>
      </c>
      <c r="AO202" s="38">
        <f t="shared" si="476"/>
        <v>4.9309832668139046</v>
      </c>
      <c r="AP202" s="38">
        <f t="shared" si="476"/>
        <v>8.3985237081911368</v>
      </c>
      <c r="AQ202" s="38">
        <f t="shared" si="476"/>
        <v>12.656455702931373</v>
      </c>
      <c r="AR202" s="38">
        <f t="shared" si="476"/>
        <v>11.883528291668734</v>
      </c>
      <c r="AS202" s="38">
        <f t="shared" si="476"/>
        <v>10.835277927605471</v>
      </c>
      <c r="AT202" s="38">
        <f t="shared" si="476"/>
        <v>6.2078540992803166</v>
      </c>
      <c r="AU202" s="38">
        <f t="shared" si="476"/>
        <v>5.7846305269472502</v>
      </c>
      <c r="AV202" s="38">
        <f t="shared" si="476"/>
        <v>6.7521236464601104</v>
      </c>
      <c r="AW202" s="38">
        <f t="shared" si="476"/>
        <v>7.2336951734686874</v>
      </c>
      <c r="AX202" s="38">
        <f t="shared" si="476"/>
        <v>7.4032562337805619</v>
      </c>
      <c r="AY202" s="38">
        <f t="shared" si="476"/>
        <v>7.2998388000157313</v>
      </c>
      <c r="AZ202" s="38">
        <f t="shared" si="476"/>
        <v>6.6200675679078875</v>
      </c>
      <c r="BA202" s="38">
        <f t="shared" si="476"/>
        <v>6.7005047534329831</v>
      </c>
      <c r="BB202" s="38">
        <f t="shared" si="476"/>
        <v>6.9074845228029158</v>
      </c>
      <c r="BC202" s="38">
        <f t="shared" si="476"/>
        <v>7.0149390383802794</v>
      </c>
      <c r="BD202" s="38">
        <f t="shared" si="476"/>
        <v>7.5522443529743253</v>
      </c>
      <c r="BE202" s="38">
        <f t="shared" si="476"/>
        <v>8.1119107195239071</v>
      </c>
    </row>
    <row r="203" spans="2:57">
      <c r="C203" s="38"/>
      <c r="D203" s="38"/>
      <c r="E203" s="38"/>
      <c r="F203" s="38"/>
      <c r="G203" s="38"/>
      <c r="H203" s="38"/>
      <c r="I203" s="38"/>
      <c r="J203" s="38"/>
      <c r="K203" s="38"/>
      <c r="L203" s="38"/>
      <c r="M203" s="38"/>
      <c r="N203" s="38"/>
      <c r="O203" s="38"/>
      <c r="P203" s="38"/>
      <c r="Q203" s="38"/>
      <c r="R203" s="38"/>
      <c r="S203" s="38"/>
      <c r="T203" s="38"/>
      <c r="U203" s="38"/>
      <c r="V203" s="38"/>
      <c r="W203" s="38"/>
      <c r="X203" s="38"/>
      <c r="Y203" s="38"/>
      <c r="Z203" s="38"/>
      <c r="AA203" s="38"/>
      <c r="AB203" s="38"/>
      <c r="AC203" s="38"/>
      <c r="AD203" s="38"/>
      <c r="AE203" s="38"/>
      <c r="AF203" s="38"/>
      <c r="AG203" s="38"/>
      <c r="AH203" s="38"/>
      <c r="AI203" s="38"/>
      <c r="AJ203" s="38"/>
      <c r="AK203" s="38"/>
      <c r="AL203" s="38"/>
      <c r="AM203" s="38"/>
      <c r="AN203" s="38"/>
      <c r="AO203" s="38"/>
      <c r="AP203" s="38"/>
      <c r="AQ203" s="38"/>
      <c r="AR203" s="38"/>
      <c r="AS203" s="38"/>
      <c r="AT203" s="38"/>
      <c r="AU203" s="38"/>
      <c r="AV203" s="38"/>
      <c r="AW203" s="38"/>
      <c r="AX203" s="38"/>
      <c r="AY203" s="38"/>
      <c r="AZ203" s="38"/>
      <c r="BA203" s="38"/>
      <c r="BB203" s="38"/>
      <c r="BC203" s="38"/>
      <c r="BD203" s="38"/>
      <c r="BE203" s="38"/>
    </row>
    <row r="204" spans="2:57" s="5" customFormat="1">
      <c r="B204" s="5" t="s">
        <v>357</v>
      </c>
      <c r="C204" s="72">
        <f t="shared" ref="C204:O204" si="477">+C139</f>
        <v>1.1215467187818695</v>
      </c>
      <c r="D204" s="72">
        <f t="shared" si="477"/>
        <v>1.6087333953505978</v>
      </c>
      <c r="E204" s="72">
        <f t="shared" si="477"/>
        <v>1.1753118106225897</v>
      </c>
      <c r="F204" s="72">
        <f t="shared" si="477"/>
        <v>1.1620537629887329</v>
      </c>
      <c r="G204" s="72">
        <f t="shared" si="477"/>
        <v>1.2696161978110829</v>
      </c>
      <c r="H204" s="72">
        <f t="shared" si="477"/>
        <v>1.2691015003661401</v>
      </c>
      <c r="I204" s="72">
        <f t="shared" si="477"/>
        <v>1.4393654067252493</v>
      </c>
      <c r="J204" s="72">
        <f t="shared" si="477"/>
        <v>1.736074416175623</v>
      </c>
      <c r="K204" s="72">
        <f t="shared" si="477"/>
        <v>1.6425235069470272</v>
      </c>
      <c r="L204" s="72">
        <f t="shared" si="477"/>
        <v>1.2679875446935858</v>
      </c>
      <c r="M204" s="72">
        <f t="shared" si="477"/>
        <v>1.4228769128355458</v>
      </c>
      <c r="N204" s="72">
        <f t="shared" si="477"/>
        <v>1.0481549092755424</v>
      </c>
      <c r="O204" s="254">
        <f t="shared" si="477"/>
        <v>1.0428729719368461</v>
      </c>
      <c r="P204" s="326"/>
      <c r="Q204" s="72">
        <f t="shared" ref="Q204:BE204" si="478">+Q139</f>
        <v>1.4979931767638548</v>
      </c>
      <c r="R204" s="72">
        <f t="shared" si="478"/>
        <v>1.5023449590126592</v>
      </c>
      <c r="S204" s="72">
        <f t="shared" si="478"/>
        <v>1.1416526959295838</v>
      </c>
      <c r="T204" s="72">
        <f t="shared" si="478"/>
        <v>1.1753118106225897</v>
      </c>
      <c r="U204" s="72">
        <f t="shared" si="478"/>
        <v>1.1724726508295416</v>
      </c>
      <c r="V204" s="72">
        <f t="shared" si="478"/>
        <v>1.2142001920313703</v>
      </c>
      <c r="W204" s="72">
        <f t="shared" si="478"/>
        <v>1.1804753270163169</v>
      </c>
      <c r="X204" s="72">
        <f t="shared" si="478"/>
        <v>1.1620537629887329</v>
      </c>
      <c r="Y204" s="72">
        <f t="shared" si="478"/>
        <v>1.1675081343303579</v>
      </c>
      <c r="Z204" s="72">
        <f t="shared" si="478"/>
        <v>1.2281392185972102</v>
      </c>
      <c r="AA204" s="72">
        <f t="shared" si="478"/>
        <v>1.2718630895102929</v>
      </c>
      <c r="AB204" s="72">
        <f t="shared" si="478"/>
        <v>1.2696161978110829</v>
      </c>
      <c r="AC204" s="72">
        <f t="shared" si="478"/>
        <v>1.4853366872823748</v>
      </c>
      <c r="AD204" s="72">
        <f t="shared" si="478"/>
        <v>1.5367488012462696</v>
      </c>
      <c r="AE204" s="72">
        <f t="shared" si="478"/>
        <v>1.5650288785676534</v>
      </c>
      <c r="AF204" s="72">
        <f t="shared" si="478"/>
        <v>1.2691015003661401</v>
      </c>
      <c r="AG204" s="72">
        <f t="shared" si="478"/>
        <v>1.3527855320747419</v>
      </c>
      <c r="AH204" s="72">
        <f t="shared" si="478"/>
        <v>1.3451889406321174</v>
      </c>
      <c r="AI204" s="72">
        <f t="shared" si="478"/>
        <v>1.3786413664466171</v>
      </c>
      <c r="AJ204" s="72">
        <f t="shared" si="478"/>
        <v>1.4393654067252493</v>
      </c>
      <c r="AK204" s="72">
        <f t="shared" si="478"/>
        <v>1.564900534039469</v>
      </c>
      <c r="AL204" s="72">
        <f t="shared" si="478"/>
        <v>1.4963490263459034</v>
      </c>
      <c r="AM204" s="72">
        <f t="shared" si="478"/>
        <v>1.5126685873975134</v>
      </c>
      <c r="AN204" s="72">
        <f t="shared" si="478"/>
        <v>1.736074416175623</v>
      </c>
      <c r="AO204" s="72">
        <f t="shared" si="478"/>
        <v>1.6281226747741515</v>
      </c>
      <c r="AP204" s="72">
        <f t="shared" si="478"/>
        <v>1.6515034332303586</v>
      </c>
      <c r="AQ204" s="72">
        <f t="shared" si="478"/>
        <v>1.6851971664401899</v>
      </c>
      <c r="AR204" s="72">
        <f t="shared" si="478"/>
        <v>1.6425235069470272</v>
      </c>
      <c r="AS204" s="72">
        <f t="shared" si="478"/>
        <v>1.6679082783690138</v>
      </c>
      <c r="AT204" s="72">
        <f t="shared" si="478"/>
        <v>1.6627608631162394</v>
      </c>
      <c r="AU204" s="72">
        <f t="shared" si="478"/>
        <v>1.6199584990684686</v>
      </c>
      <c r="AV204" s="72">
        <f t="shared" si="478"/>
        <v>1.2679875446935858</v>
      </c>
      <c r="AW204" s="72">
        <f t="shared" si="478"/>
        <v>1.3979855838152584</v>
      </c>
      <c r="AX204" s="72">
        <f t="shared" si="478"/>
        <v>1.5688316847856396</v>
      </c>
      <c r="AY204" s="72">
        <f t="shared" si="478"/>
        <v>1.4246106013400825</v>
      </c>
      <c r="AZ204" s="72">
        <f t="shared" si="478"/>
        <v>1.4228769128355458</v>
      </c>
      <c r="BA204" s="72">
        <f t="shared" si="478"/>
        <v>1.3317727725800144</v>
      </c>
      <c r="BB204" s="72">
        <f t="shared" si="478"/>
        <v>1.2850880312844279</v>
      </c>
      <c r="BC204" s="72">
        <f t="shared" si="478"/>
        <v>1.065749893291184</v>
      </c>
      <c r="BD204" s="72">
        <f t="shared" si="478"/>
        <v>1.0481549092755424</v>
      </c>
      <c r="BE204" s="72">
        <f t="shared" si="478"/>
        <v>1.0428729719368461</v>
      </c>
    </row>
    <row r="205" spans="2:57" s="5" customFormat="1">
      <c r="C205" s="30"/>
      <c r="D205" s="30"/>
      <c r="E205" s="30"/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U205" s="30"/>
      <c r="V205" s="30"/>
      <c r="Y205" s="30"/>
      <c r="Z205" s="30"/>
      <c r="AA205" s="30"/>
      <c r="AC205" s="30"/>
      <c r="AD205" s="30"/>
      <c r="AE205" s="30"/>
      <c r="AF205" s="30"/>
      <c r="AG205" s="30"/>
      <c r="AH205" s="30"/>
      <c r="AI205" s="30"/>
      <c r="AJ205" s="30"/>
      <c r="AK205" s="30"/>
      <c r="AL205" s="30"/>
      <c r="AM205" s="30"/>
      <c r="AN205" s="30"/>
      <c r="AO205" s="30"/>
      <c r="AP205" s="30"/>
      <c r="AQ205" s="30"/>
      <c r="AR205" s="30"/>
      <c r="AS205" s="30"/>
      <c r="AT205" s="30"/>
      <c r="AU205" s="30"/>
      <c r="AV205" s="30"/>
      <c r="AW205" s="30"/>
      <c r="AX205" s="30"/>
      <c r="AY205" s="30"/>
      <c r="AZ205" s="30"/>
      <c r="BA205" s="30"/>
      <c r="BB205" s="30"/>
      <c r="BC205" s="30"/>
      <c r="BD205" s="30"/>
      <c r="BE205" s="30"/>
    </row>
    <row r="206" spans="2:57" s="5" customFormat="1">
      <c r="C206" s="37"/>
      <c r="D206" s="37"/>
      <c r="E206" s="37"/>
      <c r="F206" s="37"/>
      <c r="G206" s="37"/>
      <c r="H206" s="37"/>
      <c r="I206" s="37"/>
      <c r="J206" s="37"/>
      <c r="K206" s="37"/>
      <c r="L206" s="37"/>
      <c r="M206" s="37"/>
      <c r="N206" s="37"/>
      <c r="O206" s="37"/>
      <c r="P206" s="30"/>
      <c r="Q206" s="37"/>
      <c r="R206" s="37"/>
      <c r="S206" s="37"/>
      <c r="T206" s="37"/>
      <c r="U206" s="37"/>
      <c r="V206" s="37"/>
      <c r="W206" s="37"/>
      <c r="X206" s="37"/>
      <c r="Y206" s="37"/>
      <c r="Z206" s="37"/>
      <c r="AA206" s="37"/>
      <c r="AB206" s="37"/>
      <c r="AC206" s="37"/>
      <c r="AD206" s="37"/>
      <c r="AE206" s="37"/>
      <c r="AF206" s="37"/>
      <c r="AG206" s="37"/>
      <c r="AH206" s="37"/>
      <c r="AI206" s="37"/>
      <c r="AJ206" s="37"/>
      <c r="AK206" s="37"/>
      <c r="AL206" s="37"/>
      <c r="AM206" s="37"/>
      <c r="AN206" s="37"/>
      <c r="AO206" s="37"/>
      <c r="AP206" s="37"/>
      <c r="AQ206" s="37"/>
      <c r="AR206" s="37"/>
      <c r="AS206" s="37"/>
      <c r="AT206" s="37"/>
      <c r="AU206" s="37"/>
      <c r="AV206" s="37"/>
      <c r="AW206" s="37"/>
      <c r="AX206" s="37"/>
      <c r="AY206" s="37"/>
      <c r="AZ206" s="37"/>
      <c r="BA206" s="37"/>
      <c r="BB206" s="37"/>
      <c r="BC206" s="37"/>
      <c r="BD206" s="37"/>
      <c r="BE206" s="37"/>
    </row>
    <row r="207" spans="2:57" s="5" customFormat="1">
      <c r="B207" s="315" t="s">
        <v>369</v>
      </c>
      <c r="C207" s="359">
        <v>1.7505137377273776E-3</v>
      </c>
      <c r="D207" s="359">
        <v>1.5278268616507695E-3</v>
      </c>
      <c r="E207" s="359">
        <v>1.4785347199089908E-3</v>
      </c>
      <c r="F207" s="359">
        <v>1.5408144845580958E-3</v>
      </c>
      <c r="G207" s="359">
        <v>1.5613000000000001E-3</v>
      </c>
      <c r="H207" s="359">
        <f>AVERAGE(AC207:AF207)</f>
        <v>1.4267749999999999E-3</v>
      </c>
      <c r="I207" s="359">
        <f>AVERAGE(AG207:AJ207)</f>
        <v>1.2578050402673052E-3</v>
      </c>
      <c r="J207" s="359">
        <f>AVERAGE(AK207:AN207)</f>
        <v>1.3211576053417206E-3</v>
      </c>
      <c r="K207" s="359">
        <f>AVERAGE(AO207:AR207)</f>
        <v>1.138730541403819E-3</v>
      </c>
      <c r="L207" s="359">
        <f>AVERAGE(AS207:AV207)</f>
        <v>1.1950531183338947E-3</v>
      </c>
      <c r="M207" s="359">
        <f>AVERAGE(AW207:AZ207)</f>
        <v>1.0600634197149138E-3</v>
      </c>
      <c r="N207" s="359">
        <f>AVERAGE(BA207:BD207)</f>
        <v>1.0519087934120906E-3</v>
      </c>
      <c r="O207" s="359">
        <f>AVERAGE(BB207:BE207)</f>
        <v>1.0741487663717712E-3</v>
      </c>
      <c r="P207" s="30"/>
      <c r="Q207" s="359">
        <v>1.4263210109763326E-3</v>
      </c>
      <c r="R207" s="359">
        <v>1.4762367403954653E-3</v>
      </c>
      <c r="S207" s="359">
        <v>1.5113249763168508E-3</v>
      </c>
      <c r="T207" s="359">
        <v>1.5021308452877909E-3</v>
      </c>
      <c r="U207" s="359">
        <v>1.5259407424677307E-3</v>
      </c>
      <c r="V207" s="359">
        <v>1.5040588970056856E-3</v>
      </c>
      <c r="W207" s="359">
        <v>1.5567451470384073E-3</v>
      </c>
      <c r="X207" s="359">
        <v>1.5786376713362946E-3</v>
      </c>
      <c r="Y207" s="359">
        <v>1.6604320000000001E-3</v>
      </c>
      <c r="Z207" s="359">
        <v>1.6088000000000001E-3</v>
      </c>
      <c r="AA207" s="359">
        <v>1.5088E-3</v>
      </c>
      <c r="AB207" s="359">
        <v>1.47E-3</v>
      </c>
      <c r="AC207" s="359">
        <v>1.4993999999999999E-3</v>
      </c>
      <c r="AD207" s="359">
        <v>1.4637999999999999E-3</v>
      </c>
      <c r="AE207" s="359">
        <v>1.4168E-3</v>
      </c>
      <c r="AF207" s="359">
        <v>1.3270999999999999E-3</v>
      </c>
      <c r="AG207" s="359">
        <f>AVERAGE(AF208:AG208)</f>
        <v>1.2546223483651071E-3</v>
      </c>
      <c r="AH207" s="359">
        <f>AVERAGE(AG208:AH208)</f>
        <v>1.1956766302430419E-3</v>
      </c>
      <c r="AI207" s="359">
        <f>AVERAGE(AH208:AI208)</f>
        <v>1.2432398389571426E-3</v>
      </c>
      <c r="AJ207" s="359">
        <f>AVERAGE(AI208,AJ208)</f>
        <v>1.3376813435039291E-3</v>
      </c>
      <c r="AK207" s="359">
        <f>AVERAGE(AJ208:AK208)</f>
        <v>1.3959778071437673E-3</v>
      </c>
      <c r="AL207" s="359">
        <f>AVERAGE(AK208:AL208)</f>
        <v>1.3797331526980853E-3</v>
      </c>
      <c r="AM207" s="359">
        <f>AVERAGE(AL208:AM208)</f>
        <v>1.3045523424216237E-3</v>
      </c>
      <c r="AN207" s="359">
        <f>AVERAGE(AM208,AN208)</f>
        <v>1.2043671191034064E-3</v>
      </c>
      <c r="AO207" s="359">
        <f t="shared" ref="AO207:AV207" si="479">AVERAGE(AN208:AO208)</f>
        <v>1.2204315093988626E-3</v>
      </c>
      <c r="AP207" s="359">
        <f t="shared" si="479"/>
        <v>1.1735338527606896E-3</v>
      </c>
      <c r="AQ207" s="359">
        <f t="shared" si="479"/>
        <v>1.0559568034557236E-3</v>
      </c>
      <c r="AR207" s="359">
        <f t="shared" si="479"/>
        <v>1.1050000000000001E-3</v>
      </c>
      <c r="AS207" s="359">
        <f t="shared" si="479"/>
        <v>1.2175E-3</v>
      </c>
      <c r="AT207" s="359">
        <f t="shared" si="479"/>
        <v>1.2505000000000001E-3</v>
      </c>
      <c r="AU207" s="359">
        <f t="shared" si="479"/>
        <v>1.1833562366677895E-3</v>
      </c>
      <c r="AV207" s="359">
        <f t="shared" si="479"/>
        <v>1.1288562366677892E-3</v>
      </c>
      <c r="AW207" s="359">
        <f>1/945.96</f>
        <v>1.0571271512537527E-3</v>
      </c>
      <c r="AX207" s="359">
        <f>1/933.72</f>
        <v>1.0709848776935269E-3</v>
      </c>
      <c r="AY207" s="359">
        <f>1/930.11</f>
        <v>1.075141649912376E-3</v>
      </c>
      <c r="AZ207" s="359">
        <f>0.001037</f>
        <v>1.0369999999999999E-3</v>
      </c>
      <c r="BA207" s="359">
        <f>1/962.48</f>
        <v>1.0389826282104562E-3</v>
      </c>
      <c r="BB207" s="359">
        <f>1/947</f>
        <v>1.0559662090813093E-3</v>
      </c>
      <c r="BC207" s="359">
        <f>1/959.82</f>
        <v>1.0418620157946281E-3</v>
      </c>
      <c r="BD207" s="359">
        <f>1/933.86</f>
        <v>1.0708243205619686E-3</v>
      </c>
      <c r="BE207" s="359">
        <f>1/886.57</f>
        <v>1.1279425200491783E-3</v>
      </c>
    </row>
    <row r="208" spans="2:57" s="5" customFormat="1">
      <c r="B208" s="315" t="s">
        <v>370</v>
      </c>
      <c r="C208" s="359">
        <f>1/606.75</f>
        <v>1.6481252575195715E-3</v>
      </c>
      <c r="D208" s="359">
        <f>1/710.16</f>
        <v>1.4081333783936016E-3</v>
      </c>
      <c r="E208" s="359">
        <f>1/669.47</f>
        <v>1.4937189119751445E-3</v>
      </c>
      <c r="F208" s="359">
        <f>1/614.75</f>
        <v>1.6266775111834079E-3</v>
      </c>
      <c r="G208" s="359">
        <f>1/694.77</f>
        <v>1.4393252443254602E-3</v>
      </c>
      <c r="H208" s="359">
        <f>1/748.74</f>
        <v>1.3355771028661484E-3</v>
      </c>
      <c r="I208" s="359">
        <f>1/710.95</f>
        <v>1.4065686757155917E-3</v>
      </c>
      <c r="J208" s="359">
        <f>1/852</f>
        <v>1.1737089201877935E-3</v>
      </c>
      <c r="K208" s="359">
        <v>1.178E-3</v>
      </c>
      <c r="L208" s="359">
        <v>1.1349999999999999E-3</v>
      </c>
      <c r="M208" s="359">
        <v>1.005E-3</v>
      </c>
      <c r="N208" s="359">
        <f>BD208</f>
        <v>1.1103092211180814E-3</v>
      </c>
      <c r="O208" s="359">
        <f>BE208</f>
        <v>1.0795988210780874E-3</v>
      </c>
      <c r="P208" s="30"/>
      <c r="Q208" s="359">
        <f>1/669.8</f>
        <v>1.4929829799940281E-3</v>
      </c>
      <c r="R208" s="359">
        <f>1/661.37</f>
        <v>1.5120129428307905E-3</v>
      </c>
      <c r="S208" s="359">
        <f>1/652.08</f>
        <v>1.5335541651331124E-3</v>
      </c>
      <c r="T208" s="359">
        <f>1/669.47</f>
        <v>1.4937189119751445E-3</v>
      </c>
      <c r="U208" s="359">
        <f>1/663.97</f>
        <v>1.5060921427172914E-3</v>
      </c>
      <c r="V208" s="359">
        <f>1/664.29</f>
        <v>1.5053666320432341E-3</v>
      </c>
      <c r="W208" s="359">
        <f>1/637.93</f>
        <v>1.5675701095731508E-3</v>
      </c>
      <c r="X208" s="359">
        <f>1/614.75</f>
        <v>1.6266775111834079E-3</v>
      </c>
      <c r="Y208" s="359">
        <f>1/603.39</f>
        <v>1.657302905251993E-3</v>
      </c>
      <c r="Z208" s="359">
        <f>1/651.21</f>
        <v>1.5356029545000843E-3</v>
      </c>
      <c r="AA208" s="359">
        <f>1/660.42</f>
        <v>1.514187941007238E-3</v>
      </c>
      <c r="AB208" s="359">
        <f>G208</f>
        <v>1.4393252443254602E-3</v>
      </c>
      <c r="AC208" s="359">
        <f>1/678.53</f>
        <v>1.4737741883188659E-3</v>
      </c>
      <c r="AD208" s="359">
        <f>1/679.15</f>
        <v>1.4724287712581904E-3</v>
      </c>
      <c r="AE208" s="359">
        <f>1/728.21</f>
        <v>1.3732302495159364E-3</v>
      </c>
      <c r="AF208" s="359">
        <f>H208</f>
        <v>1.3355771028661484E-3</v>
      </c>
      <c r="AG208" s="359">
        <f>1/852.03</f>
        <v>1.1736675938640658E-3</v>
      </c>
      <c r="AH208" s="359">
        <f>1/821.23</f>
        <v>1.2176856666220183E-3</v>
      </c>
      <c r="AI208" s="359">
        <f>1/788.15</f>
        <v>1.2687940112922668E-3</v>
      </c>
      <c r="AJ208" s="359">
        <f>I208</f>
        <v>1.4065686757155917E-3</v>
      </c>
      <c r="AK208" s="359">
        <f>1/721.82</f>
        <v>1.385386938571943E-3</v>
      </c>
      <c r="AL208" s="359">
        <f>1/727.76</f>
        <v>1.3740793668242277E-3</v>
      </c>
      <c r="AM208" s="359">
        <f>1/809.7</f>
        <v>1.2350253180190194E-3</v>
      </c>
      <c r="AN208" s="359">
        <f>J208</f>
        <v>1.1737089201877935E-3</v>
      </c>
      <c r="AO208" s="359">
        <f>1/789.17</f>
        <v>1.267154098609932E-3</v>
      </c>
      <c r="AP208" s="359">
        <f>1/926</f>
        <v>1.0799136069114472E-3</v>
      </c>
      <c r="AQ208" s="359">
        <v>1.0319999999999999E-3</v>
      </c>
      <c r="AR208" s="359">
        <v>1.178E-3</v>
      </c>
      <c r="AS208" s="360">
        <v>1.2570000000000001E-3</v>
      </c>
      <c r="AT208" s="359">
        <v>1.2440000000000001E-3</v>
      </c>
      <c r="AU208" s="359">
        <f>1/890.7</f>
        <v>1.1227124733355787E-3</v>
      </c>
      <c r="AV208" s="359">
        <v>1.1349999999999999E-3</v>
      </c>
      <c r="AW208" s="360">
        <f>1/978.97</f>
        <v>1.0214817614431495E-3</v>
      </c>
      <c r="AX208" s="359">
        <f>1/940.45</f>
        <v>1.06332075070445E-3</v>
      </c>
      <c r="AY208" s="359">
        <f>1/898.6</f>
        <v>1.1128421989761851E-3</v>
      </c>
      <c r="AZ208" s="359">
        <v>1.005E-3</v>
      </c>
      <c r="BA208" s="360">
        <f>1/947.88</f>
        <v>1.0549858631894332E-3</v>
      </c>
      <c r="BB208" s="361">
        <f>1/931.83</f>
        <v>1.0731571209340758E-3</v>
      </c>
      <c r="BC208" s="359">
        <f>1/961.93</f>
        <v>1.0395766843741229E-3</v>
      </c>
      <c r="BD208" s="359">
        <f>1/900.65</f>
        <v>1.1103092211180814E-3</v>
      </c>
      <c r="BE208" s="359">
        <f>1/926.27</f>
        <v>1.0795988210780874E-3</v>
      </c>
    </row>
    <row r="209" spans="2:57" s="5" customFormat="1">
      <c r="B209" s="366" t="s">
        <v>371</v>
      </c>
      <c r="C209" s="367">
        <f>1/C208</f>
        <v>606.75</v>
      </c>
      <c r="D209" s="367">
        <f t="shared" ref="D209:BE209" si="480">1/D208</f>
        <v>710.16</v>
      </c>
      <c r="E209" s="367">
        <f t="shared" si="480"/>
        <v>669.47</v>
      </c>
      <c r="F209" s="367">
        <f t="shared" si="480"/>
        <v>614.75</v>
      </c>
      <c r="G209" s="367">
        <f t="shared" si="480"/>
        <v>694.77</v>
      </c>
      <c r="H209" s="367">
        <f t="shared" si="480"/>
        <v>748.74</v>
      </c>
      <c r="I209" s="367">
        <f t="shared" si="480"/>
        <v>710.95</v>
      </c>
      <c r="J209" s="367">
        <f t="shared" si="480"/>
        <v>852</v>
      </c>
      <c r="K209" s="367">
        <f t="shared" si="480"/>
        <v>848.89643463497453</v>
      </c>
      <c r="L209" s="367">
        <f t="shared" si="480"/>
        <v>881.05726872246703</v>
      </c>
      <c r="M209" s="367">
        <f t="shared" si="480"/>
        <v>995.02487562189049</v>
      </c>
      <c r="N209" s="367">
        <f t="shared" si="480"/>
        <v>900.65</v>
      </c>
      <c r="O209" s="367">
        <f t="shared" si="480"/>
        <v>926.27</v>
      </c>
      <c r="P209" s="30"/>
      <c r="Q209" s="367">
        <f t="shared" si="480"/>
        <v>669.8</v>
      </c>
      <c r="R209" s="367">
        <f t="shared" si="480"/>
        <v>661.37</v>
      </c>
      <c r="S209" s="367">
        <f t="shared" si="480"/>
        <v>652.08000000000004</v>
      </c>
      <c r="T209" s="367">
        <f t="shared" si="480"/>
        <v>669.47</v>
      </c>
      <c r="U209" s="367">
        <f t="shared" si="480"/>
        <v>663.97</v>
      </c>
      <c r="V209" s="367">
        <f t="shared" si="480"/>
        <v>664.29</v>
      </c>
      <c r="W209" s="367">
        <f t="shared" si="480"/>
        <v>637.92999999999995</v>
      </c>
      <c r="X209" s="367">
        <f t="shared" si="480"/>
        <v>614.75</v>
      </c>
      <c r="Y209" s="367">
        <f t="shared" si="480"/>
        <v>603.39</v>
      </c>
      <c r="Z209" s="367">
        <f t="shared" si="480"/>
        <v>651.21</v>
      </c>
      <c r="AA209" s="367">
        <f t="shared" si="480"/>
        <v>660.42</v>
      </c>
      <c r="AB209" s="367">
        <f t="shared" si="480"/>
        <v>694.77</v>
      </c>
      <c r="AC209" s="367">
        <f t="shared" si="480"/>
        <v>678.53</v>
      </c>
      <c r="AD209" s="367">
        <f t="shared" si="480"/>
        <v>679.15</v>
      </c>
      <c r="AE209" s="367">
        <f t="shared" si="480"/>
        <v>728.21</v>
      </c>
      <c r="AF209" s="367">
        <f t="shared" si="480"/>
        <v>748.74</v>
      </c>
      <c r="AG209" s="367">
        <f t="shared" si="480"/>
        <v>852.03000000000009</v>
      </c>
      <c r="AH209" s="367">
        <f t="shared" si="480"/>
        <v>821.2299999999999</v>
      </c>
      <c r="AI209" s="367">
        <f t="shared" si="480"/>
        <v>788.15</v>
      </c>
      <c r="AJ209" s="367">
        <f t="shared" si="480"/>
        <v>710.95</v>
      </c>
      <c r="AK209" s="367">
        <f t="shared" si="480"/>
        <v>721.82</v>
      </c>
      <c r="AL209" s="367">
        <f t="shared" si="480"/>
        <v>727.76</v>
      </c>
      <c r="AM209" s="367">
        <f t="shared" si="480"/>
        <v>809.7</v>
      </c>
      <c r="AN209" s="367">
        <f t="shared" si="480"/>
        <v>852</v>
      </c>
      <c r="AO209" s="367">
        <f t="shared" si="480"/>
        <v>789.17</v>
      </c>
      <c r="AP209" s="367">
        <f t="shared" si="480"/>
        <v>926</v>
      </c>
      <c r="AQ209" s="367">
        <f t="shared" si="480"/>
        <v>968.99224806201562</v>
      </c>
      <c r="AR209" s="367">
        <f t="shared" si="480"/>
        <v>848.89643463497453</v>
      </c>
      <c r="AS209" s="367">
        <f t="shared" si="480"/>
        <v>795.54494828957831</v>
      </c>
      <c r="AT209" s="367">
        <f t="shared" si="480"/>
        <v>803.85852090032154</v>
      </c>
      <c r="AU209" s="367">
        <f t="shared" si="480"/>
        <v>890.7</v>
      </c>
      <c r="AV209" s="367">
        <f t="shared" si="480"/>
        <v>881.05726872246703</v>
      </c>
      <c r="AW209" s="367">
        <f t="shared" si="480"/>
        <v>978.96999999999991</v>
      </c>
      <c r="AX209" s="367">
        <f t="shared" si="480"/>
        <v>940.45</v>
      </c>
      <c r="AY209" s="367">
        <f t="shared" si="480"/>
        <v>898.6</v>
      </c>
      <c r="AZ209" s="367">
        <f t="shared" si="480"/>
        <v>995.02487562189049</v>
      </c>
      <c r="BA209" s="367">
        <f t="shared" si="480"/>
        <v>947.88000000000011</v>
      </c>
      <c r="BB209" s="367">
        <f t="shared" si="480"/>
        <v>931.83000000000015</v>
      </c>
      <c r="BC209" s="367">
        <f t="shared" si="480"/>
        <v>961.93</v>
      </c>
      <c r="BD209" s="367">
        <f t="shared" si="480"/>
        <v>900.65</v>
      </c>
      <c r="BE209" s="367">
        <f t="shared" si="480"/>
        <v>926.27</v>
      </c>
    </row>
    <row r="210" spans="2:57" s="5" customFormat="1">
      <c r="C210" s="176"/>
      <c r="D210" s="176"/>
      <c r="E210" s="176"/>
      <c r="F210" s="176"/>
      <c r="G210" s="176"/>
      <c r="H210" s="176"/>
      <c r="I210" s="176"/>
      <c r="J210" s="176"/>
      <c r="K210" s="176"/>
      <c r="L210" s="176"/>
      <c r="M210" s="176"/>
      <c r="N210" s="176"/>
      <c r="O210" s="176"/>
      <c r="P210" s="30"/>
      <c r="Q210" s="176"/>
      <c r="R210" s="176"/>
      <c r="S210" s="176"/>
      <c r="T210" s="176"/>
      <c r="U210" s="176"/>
      <c r="V210" s="176"/>
      <c r="W210" s="176"/>
      <c r="X210" s="176"/>
      <c r="Y210" s="176"/>
      <c r="Z210" s="176"/>
      <c r="AA210" s="176"/>
      <c r="AB210" s="176"/>
      <c r="AC210" s="176"/>
      <c r="AD210" s="176"/>
      <c r="AE210" s="176"/>
      <c r="AF210" s="176"/>
      <c r="AG210" s="176"/>
      <c r="AH210" s="176"/>
      <c r="AI210" s="176"/>
      <c r="AJ210" s="176"/>
      <c r="AK210" s="176"/>
      <c r="AL210" s="176"/>
      <c r="AM210" s="176"/>
      <c r="AO210" s="176"/>
      <c r="AP210" s="176"/>
      <c r="AQ210" s="176"/>
      <c r="AS210" s="176"/>
      <c r="AT210" s="176"/>
      <c r="AU210" s="176"/>
      <c r="AW210" s="176"/>
      <c r="AX210" s="176"/>
      <c r="AY210" s="176"/>
      <c r="BA210" s="176"/>
      <c r="BB210" s="176"/>
      <c r="BC210" s="176"/>
      <c r="BE210" s="176"/>
    </row>
    <row r="211" spans="2:57">
      <c r="B211" s="16" t="s">
        <v>372</v>
      </c>
      <c r="C211" s="75">
        <f t="shared" ref="C211:O211" si="481">C3</f>
        <v>41974</v>
      </c>
      <c r="D211" s="75">
        <f t="shared" si="481"/>
        <v>42340</v>
      </c>
      <c r="E211" s="75">
        <f t="shared" si="481"/>
        <v>42707</v>
      </c>
      <c r="F211" s="75">
        <f t="shared" si="481"/>
        <v>43073</v>
      </c>
      <c r="G211" s="75">
        <f t="shared" si="481"/>
        <v>43438</v>
      </c>
      <c r="H211" s="75">
        <f t="shared" si="481"/>
        <v>43803</v>
      </c>
      <c r="I211" s="75">
        <f t="shared" si="481"/>
        <v>44169</v>
      </c>
      <c r="J211" s="75">
        <f t="shared" si="481"/>
        <v>44534</v>
      </c>
      <c r="K211" s="75">
        <f t="shared" si="481"/>
        <v>44926</v>
      </c>
      <c r="L211" s="75">
        <f t="shared" si="481"/>
        <v>45291</v>
      </c>
      <c r="M211" s="75">
        <f t="shared" si="481"/>
        <v>45657</v>
      </c>
      <c r="N211" s="75">
        <f t="shared" si="481"/>
        <v>46022</v>
      </c>
      <c r="O211" s="75">
        <f t="shared" si="481"/>
        <v>46112</v>
      </c>
      <c r="P211" s="327"/>
      <c r="Q211" s="75">
        <f t="shared" ref="Q211:AY211" si="482">Q3</f>
        <v>42437</v>
      </c>
      <c r="R211" s="75">
        <f t="shared" si="482"/>
        <v>42527</v>
      </c>
      <c r="S211" s="75">
        <f t="shared" si="482"/>
        <v>42622</v>
      </c>
      <c r="T211" s="75">
        <f t="shared" si="482"/>
        <v>42714</v>
      </c>
      <c r="U211" s="75">
        <f t="shared" si="482"/>
        <v>42801</v>
      </c>
      <c r="V211" s="75">
        <f t="shared" si="482"/>
        <v>42892</v>
      </c>
      <c r="W211" s="75">
        <f t="shared" si="482"/>
        <v>42987</v>
      </c>
      <c r="X211" s="75">
        <f t="shared" si="482"/>
        <v>43079</v>
      </c>
      <c r="Y211" s="75">
        <f t="shared" si="482"/>
        <v>43190</v>
      </c>
      <c r="Z211" s="75">
        <f t="shared" si="482"/>
        <v>43281</v>
      </c>
      <c r="AA211" s="75">
        <f t="shared" si="482"/>
        <v>43373</v>
      </c>
      <c r="AB211" s="75">
        <f t="shared" si="482"/>
        <v>43465</v>
      </c>
      <c r="AC211" s="75">
        <f t="shared" si="482"/>
        <v>43555</v>
      </c>
      <c r="AD211" s="75">
        <f t="shared" si="482"/>
        <v>43646</v>
      </c>
      <c r="AE211" s="75">
        <f t="shared" si="482"/>
        <v>43738</v>
      </c>
      <c r="AF211" s="75">
        <f t="shared" si="482"/>
        <v>43830</v>
      </c>
      <c r="AG211" s="75">
        <f t="shared" si="482"/>
        <v>43921</v>
      </c>
      <c r="AH211" s="75">
        <f t="shared" si="482"/>
        <v>44012</v>
      </c>
      <c r="AI211" s="75">
        <f t="shared" si="482"/>
        <v>44104</v>
      </c>
      <c r="AJ211" s="75">
        <f t="shared" si="482"/>
        <v>44196</v>
      </c>
      <c r="AK211" s="75">
        <f t="shared" si="482"/>
        <v>44286</v>
      </c>
      <c r="AL211" s="75">
        <f t="shared" si="482"/>
        <v>44377</v>
      </c>
      <c r="AM211" s="75">
        <f t="shared" si="482"/>
        <v>44469</v>
      </c>
      <c r="AN211" s="75">
        <f t="shared" si="482"/>
        <v>44560</v>
      </c>
      <c r="AO211" s="75">
        <f t="shared" si="482"/>
        <v>44651</v>
      </c>
      <c r="AP211" s="75">
        <f t="shared" si="482"/>
        <v>44742</v>
      </c>
      <c r="AQ211" s="75">
        <f t="shared" si="482"/>
        <v>44834</v>
      </c>
      <c r="AR211" s="75">
        <f t="shared" si="482"/>
        <v>44926</v>
      </c>
      <c r="AS211" s="75">
        <f t="shared" si="482"/>
        <v>45016</v>
      </c>
      <c r="AT211" s="75">
        <f t="shared" si="482"/>
        <v>45107</v>
      </c>
      <c r="AU211" s="75">
        <f t="shared" si="482"/>
        <v>45199</v>
      </c>
      <c r="AV211" s="75">
        <f t="shared" si="482"/>
        <v>45291</v>
      </c>
      <c r="AW211" s="75">
        <f t="shared" si="482"/>
        <v>45382</v>
      </c>
      <c r="AX211" s="75">
        <f t="shared" si="482"/>
        <v>45473</v>
      </c>
      <c r="AY211" s="75">
        <f t="shared" si="482"/>
        <v>45565</v>
      </c>
      <c r="AZ211" s="75">
        <f t="shared" ref="AZ211:BE211" si="483">AZ3</f>
        <v>45657</v>
      </c>
      <c r="BA211" s="75">
        <f t="shared" si="483"/>
        <v>45747</v>
      </c>
      <c r="BB211" s="75">
        <f t="shared" si="483"/>
        <v>45838</v>
      </c>
      <c r="BC211" s="75">
        <f t="shared" si="483"/>
        <v>45930</v>
      </c>
      <c r="BD211" s="75">
        <f t="shared" si="483"/>
        <v>46022</v>
      </c>
      <c r="BE211" s="75">
        <f t="shared" si="483"/>
        <v>46112</v>
      </c>
    </row>
    <row r="212" spans="2:57">
      <c r="B212" s="1" t="s">
        <v>275</v>
      </c>
      <c r="C212" s="22">
        <f t="shared" ref="C212:O212" si="484">C142*C$207</f>
        <v>2901.9498119339387</v>
      </c>
      <c r="D212" s="22">
        <f t="shared" si="484"/>
        <v>2726.5791641735123</v>
      </c>
      <c r="E212" s="22">
        <f t="shared" si="484"/>
        <v>2761.4549642672928</v>
      </c>
      <c r="F212" s="22">
        <f t="shared" si="484"/>
        <v>2993.912246406052</v>
      </c>
      <c r="G212" s="22">
        <f t="shared" si="484"/>
        <v>2987.0390064866001</v>
      </c>
      <c r="H212" s="22">
        <f t="shared" si="484"/>
        <v>2823.2909386786996</v>
      </c>
      <c r="I212" s="22">
        <f t="shared" si="484"/>
        <v>2632.1384624959042</v>
      </c>
      <c r="J212" s="22">
        <f t="shared" si="484"/>
        <v>3182.4171188966752</v>
      </c>
      <c r="K212" s="22">
        <f t="shared" si="484"/>
        <v>2893.1532188073475</v>
      </c>
      <c r="L212" s="22">
        <f t="shared" si="484"/>
        <v>2956.1937088640752</v>
      </c>
      <c r="M212" s="22">
        <f t="shared" si="484"/>
        <v>2865.6023701826343</v>
      </c>
      <c r="N212" s="22">
        <f t="shared" si="484"/>
        <v>3108.3171433478333</v>
      </c>
      <c r="O212" s="22">
        <f t="shared" si="484"/>
        <v>3225.2212851145237</v>
      </c>
      <c r="P212" s="22"/>
      <c r="Q212" s="22"/>
      <c r="R212" s="22"/>
      <c r="S212" s="22"/>
      <c r="T212" s="22">
        <f t="shared" ref="T212:AC213" si="485">T142*AVERAGE(Q$207:T$207)</f>
        <v>2762.330304082082</v>
      </c>
      <c r="U212" s="22">
        <f t="shared" si="485"/>
        <v>2830.1280502389504</v>
      </c>
      <c r="V212" s="22">
        <f t="shared" si="485"/>
        <v>2876.2971314465581</v>
      </c>
      <c r="W212" s="22">
        <f t="shared" si="485"/>
        <v>2916.189009709085</v>
      </c>
      <c r="X212" s="22">
        <f t="shared" si="485"/>
        <v>2994.944269624782</v>
      </c>
      <c r="Y212" s="22">
        <f t="shared" si="485"/>
        <v>3040.6929997966363</v>
      </c>
      <c r="Z212" s="22">
        <f t="shared" si="485"/>
        <v>3070.3443061263115</v>
      </c>
      <c r="AA212" s="22">
        <f t="shared" si="485"/>
        <v>3049.6127229687995</v>
      </c>
      <c r="AB212" s="22">
        <f t="shared" si="485"/>
        <v>2988.3935338782562</v>
      </c>
      <c r="AC212" s="22">
        <f t="shared" si="485"/>
        <v>2927.1561315869999</v>
      </c>
      <c r="AD212" s="22">
        <f t="shared" ref="AD212:AM213" si="486">AD142*AVERAGE(AA$207:AD$207)</f>
        <v>2882.6722665574998</v>
      </c>
      <c r="AE212" s="22">
        <f t="shared" si="486"/>
        <v>2859.5857972499998</v>
      </c>
      <c r="AF212" s="22">
        <f t="shared" si="486"/>
        <v>2823.2909386786996</v>
      </c>
      <c r="AG212" s="22">
        <f t="shared" si="486"/>
        <v>2759.4027067023512</v>
      </c>
      <c r="AH212" s="22">
        <f t="shared" si="486"/>
        <v>2591.4508173930835</v>
      </c>
      <c r="AI212" s="22">
        <f t="shared" si="486"/>
        <v>2553.0551742589405</v>
      </c>
      <c r="AJ212" s="22">
        <f t="shared" si="486"/>
        <v>2632.1384624959042</v>
      </c>
      <c r="AK212" s="22">
        <f t="shared" si="486"/>
        <v>2763.359895406772</v>
      </c>
      <c r="AL212" s="22">
        <f t="shared" si="486"/>
        <v>3041.1924191394905</v>
      </c>
      <c r="AM212" s="22">
        <f t="shared" si="486"/>
        <v>3175.8984033136785</v>
      </c>
      <c r="AN212" s="22">
        <f t="shared" ref="AN212:AW213" si="487">AN142*AVERAGE(AK$207:AN$207)</f>
        <v>3182.4171188966752</v>
      </c>
      <c r="AO212" s="22">
        <f t="shared" si="487"/>
        <v>3182.7878319216393</v>
      </c>
      <c r="AP212" s="22">
        <f t="shared" si="487"/>
        <v>3121.6832274500475</v>
      </c>
      <c r="AQ212" s="22">
        <f t="shared" si="487"/>
        <v>2980.3610858610195</v>
      </c>
      <c r="AR212" s="22">
        <f t="shared" si="487"/>
        <v>2893.1532188073475</v>
      </c>
      <c r="AS212" s="22">
        <f t="shared" si="487"/>
        <v>2846.4815060122123</v>
      </c>
      <c r="AT212" s="22">
        <f t="shared" si="487"/>
        <v>2849.0083435316342</v>
      </c>
      <c r="AU212" s="22">
        <f t="shared" si="487"/>
        <v>2904.8563934565809</v>
      </c>
      <c r="AV212" s="22">
        <f t="shared" si="487"/>
        <v>2956.1937088640752</v>
      </c>
      <c r="AW212" s="22">
        <f t="shared" si="487"/>
        <v>2912.8403097626197</v>
      </c>
      <c r="AX212" s="22">
        <f t="shared" ref="AX212:BE213" si="488">AX142*AVERAGE(AU$207:AX$207)</f>
        <v>2858.9794264851816</v>
      </c>
      <c r="AY212" s="22">
        <f t="shared" si="488"/>
        <v>2849.6919976015365</v>
      </c>
      <c r="AZ212" s="22">
        <f t="shared" si="488"/>
        <v>2865.6023701826343</v>
      </c>
      <c r="BA212" s="22">
        <f t="shared" si="488"/>
        <v>2913.8634015068178</v>
      </c>
      <c r="BB212" s="22">
        <f t="shared" si="488"/>
        <v>2950.7991676966376</v>
      </c>
      <c r="BC212" s="22">
        <f t="shared" si="488"/>
        <v>3001.4078851698837</v>
      </c>
      <c r="BD212" s="22">
        <f t="shared" si="488"/>
        <v>3108.3171433478333</v>
      </c>
      <c r="BE212" s="22">
        <f t="shared" si="488"/>
        <v>3225.2212851145241</v>
      </c>
    </row>
    <row r="213" spans="2:57">
      <c r="B213" s="1" t="s">
        <v>328</v>
      </c>
      <c r="C213" s="22">
        <f t="shared" ref="C213:O213" si="489">C143*C$207</f>
        <v>744.6691829667401</v>
      </c>
      <c r="D213" s="22">
        <f t="shared" si="489"/>
        <v>544.8005891150101</v>
      </c>
      <c r="E213" s="22">
        <f t="shared" si="489"/>
        <v>628.05306356742551</v>
      </c>
      <c r="F213" s="22">
        <f t="shared" si="489"/>
        <v>673.49416985863752</v>
      </c>
      <c r="G213" s="22">
        <f t="shared" si="489"/>
        <v>666.55175730000008</v>
      </c>
      <c r="H213" s="22">
        <f t="shared" si="489"/>
        <v>1099.2031545249999</v>
      </c>
      <c r="I213" s="22">
        <f t="shared" si="489"/>
        <v>860.63031869581926</v>
      </c>
      <c r="J213" s="22">
        <f t="shared" si="489"/>
        <v>1020.531175420085</v>
      </c>
      <c r="K213" s="22">
        <f t="shared" si="489"/>
        <v>1459.8673575767343</v>
      </c>
      <c r="L213" s="22">
        <f t="shared" si="489"/>
        <v>911.3023003770146</v>
      </c>
      <c r="M213" s="22">
        <f t="shared" si="489"/>
        <v>835.97968866535871</v>
      </c>
      <c r="N213" s="22">
        <f t="shared" si="489"/>
        <v>878.84149634162384</v>
      </c>
      <c r="O213" s="22">
        <f t="shared" si="489"/>
        <v>918.8105212482717</v>
      </c>
      <c r="P213" s="22"/>
      <c r="Q213" s="22"/>
      <c r="R213" s="22"/>
      <c r="S213" s="22"/>
      <c r="T213" s="22">
        <f t="shared" si="485"/>
        <v>628.25214697072374</v>
      </c>
      <c r="U213" s="22">
        <f t="shared" si="485"/>
        <v>640.24796427987553</v>
      </c>
      <c r="V213" s="22">
        <f t="shared" si="485"/>
        <v>643.29219293693518</v>
      </c>
      <c r="W213" s="22">
        <f t="shared" si="485"/>
        <v>657.50074131402005</v>
      </c>
      <c r="X213" s="22">
        <f t="shared" si="485"/>
        <v>673.72632817316662</v>
      </c>
      <c r="Y213" s="22">
        <f t="shared" si="485"/>
        <v>671.67631178407146</v>
      </c>
      <c r="Z213" s="22">
        <f t="shared" si="485"/>
        <v>675.80166445799682</v>
      </c>
      <c r="AA213" s="22">
        <f t="shared" si="485"/>
        <v>662.8778024898096</v>
      </c>
      <c r="AB213" s="22">
        <f t="shared" si="485"/>
        <v>666.85401736800009</v>
      </c>
      <c r="AC213" s="22">
        <f t="shared" si="485"/>
        <v>708.19810199999995</v>
      </c>
      <c r="AD213" s="22">
        <f t="shared" si="486"/>
        <v>755.84171149999997</v>
      </c>
      <c r="AE213" s="22">
        <f t="shared" si="486"/>
        <v>803.06167500000004</v>
      </c>
      <c r="AF213" s="22">
        <f t="shared" si="486"/>
        <v>1099.2031545249999</v>
      </c>
      <c r="AG213" s="22">
        <f t="shared" si="486"/>
        <v>1099.7061435263665</v>
      </c>
      <c r="AH213" s="22">
        <f t="shared" si="486"/>
        <v>1079.4493418861327</v>
      </c>
      <c r="AI213" s="22">
        <f t="shared" si="486"/>
        <v>1065.0519604045087</v>
      </c>
      <c r="AJ213" s="22">
        <f t="shared" si="486"/>
        <v>860.63031869581926</v>
      </c>
      <c r="AK213" s="22">
        <f t="shared" si="486"/>
        <v>891.14670197527903</v>
      </c>
      <c r="AL213" s="22">
        <f t="shared" si="486"/>
        <v>977.33613392912457</v>
      </c>
      <c r="AM213" s="22">
        <f t="shared" si="486"/>
        <v>1041.7256750138338</v>
      </c>
      <c r="AN213" s="22">
        <f t="shared" si="487"/>
        <v>1020.531175420085</v>
      </c>
      <c r="AO213" s="22">
        <f t="shared" si="487"/>
        <v>1001.945371561494</v>
      </c>
      <c r="AP213" s="22">
        <f t="shared" si="487"/>
        <v>1552.9081865385715</v>
      </c>
      <c r="AQ213" s="22">
        <f t="shared" si="487"/>
        <v>1508.1901628897544</v>
      </c>
      <c r="AR213" s="22">
        <f t="shared" si="487"/>
        <v>1459.8673575767343</v>
      </c>
      <c r="AS213" s="22">
        <f t="shared" si="487"/>
        <v>1393.5339015197883</v>
      </c>
      <c r="AT213" s="22">
        <f t="shared" si="487"/>
        <v>845.92681172192226</v>
      </c>
      <c r="AU213" s="22">
        <f t="shared" si="487"/>
        <v>818.04570914449312</v>
      </c>
      <c r="AV213" s="22">
        <f t="shared" si="487"/>
        <v>911.3023003770146</v>
      </c>
      <c r="AW213" s="22">
        <f t="shared" si="487"/>
        <v>944.99878734704703</v>
      </c>
      <c r="AX213" s="22">
        <f t="shared" si="488"/>
        <v>915.72054136178735</v>
      </c>
      <c r="AY213" s="22">
        <f t="shared" si="488"/>
        <v>898.33790507835727</v>
      </c>
      <c r="AZ213" s="22">
        <f t="shared" si="488"/>
        <v>835.97968866535871</v>
      </c>
      <c r="BA213" s="22">
        <f t="shared" si="488"/>
        <v>838.51963816609998</v>
      </c>
      <c r="BB213" s="22">
        <f t="shared" si="488"/>
        <v>838.38888816455176</v>
      </c>
      <c r="BC213" s="22">
        <f t="shared" si="488"/>
        <v>851.49591847819681</v>
      </c>
      <c r="BD213" s="22">
        <f t="shared" si="488"/>
        <v>878.84149634162395</v>
      </c>
      <c r="BE213" s="22">
        <f t="shared" si="488"/>
        <v>918.81052124827158</v>
      </c>
    </row>
    <row r="214" spans="2:57">
      <c r="B214" s="1" t="s">
        <v>359</v>
      </c>
      <c r="C214" s="42">
        <f t="shared" ref="C214:K214" si="490">C213/C212</f>
        <v>0.25660994545955712</v>
      </c>
      <c r="D214" s="42">
        <f t="shared" si="490"/>
        <v>0.19981102924629421</v>
      </c>
      <c r="E214" s="42">
        <f t="shared" si="490"/>
        <v>0.22743556266327494</v>
      </c>
      <c r="F214" s="42">
        <f t="shared" si="490"/>
        <v>0.22495454590130773</v>
      </c>
      <c r="G214" s="42">
        <f t="shared" si="490"/>
        <v>0.22314799232702628</v>
      </c>
      <c r="H214" s="42">
        <f t="shared" si="490"/>
        <v>0.38933400007277574</v>
      </c>
      <c r="I214" s="42">
        <f t="shared" si="490"/>
        <v>0.32697000213268929</v>
      </c>
      <c r="J214" s="42">
        <f t="shared" si="490"/>
        <v>0.32067800583409917</v>
      </c>
      <c r="K214" s="42">
        <f t="shared" si="490"/>
        <v>0.50459386253263816</v>
      </c>
      <c r="L214" s="42">
        <f>L213/L212</f>
        <v>0.30826880445773791</v>
      </c>
      <c r="M214" s="42">
        <f>M213/M212</f>
        <v>0.29172913079775231</v>
      </c>
      <c r="N214" s="42">
        <f>N213/N212</f>
        <v>0.28273868328476348</v>
      </c>
      <c r="O214" s="251">
        <f>O213/O212</f>
        <v>0.28488293981218898</v>
      </c>
      <c r="P214" s="325"/>
      <c r="Q214" s="42"/>
      <c r="R214" s="42"/>
      <c r="S214" s="42"/>
      <c r="T214" s="42">
        <f t="shared" ref="T214:AB214" si="491">T213/T212</f>
        <v>0.22743556266327497</v>
      </c>
      <c r="U214" s="42">
        <f t="shared" si="491"/>
        <v>0.22622579364414935</v>
      </c>
      <c r="V214" s="42">
        <f t="shared" si="491"/>
        <v>0.22365289938366287</v>
      </c>
      <c r="W214" s="42">
        <f t="shared" si="491"/>
        <v>0.22546574969076214</v>
      </c>
      <c r="X214" s="42">
        <f t="shared" si="491"/>
        <v>0.22495454590130776</v>
      </c>
      <c r="Y214" s="42">
        <f t="shared" si="491"/>
        <v>0.22089579968414885</v>
      </c>
      <c r="Z214" s="42">
        <f t="shared" si="491"/>
        <v>0.22010615002022998</v>
      </c>
      <c r="AA214" s="42">
        <f t="shared" si="491"/>
        <v>0.21736458452485</v>
      </c>
      <c r="AB214" s="42">
        <f t="shared" si="491"/>
        <v>0.22314799232702628</v>
      </c>
      <c r="AC214" s="42">
        <f t="shared" ref="AC214:AH214" si="492">AC213/AC212</f>
        <v>0.2419406653296762</v>
      </c>
      <c r="AD214" s="42">
        <f t="shared" si="492"/>
        <v>0.26220174949080477</v>
      </c>
      <c r="AE214" s="42">
        <f t="shared" si="492"/>
        <v>0.28083146719090807</v>
      </c>
      <c r="AF214" s="42">
        <f t="shared" si="492"/>
        <v>0.38933400007277574</v>
      </c>
      <c r="AG214" s="42">
        <f t="shared" si="492"/>
        <v>0.39853050113173955</v>
      </c>
      <c r="AH214" s="42">
        <f t="shared" si="492"/>
        <v>0.41654247676289075</v>
      </c>
      <c r="AI214" s="42">
        <f t="shared" ref="AI214:AN214" si="493">AI213/AI212</f>
        <v>0.41716762377203803</v>
      </c>
      <c r="AJ214" s="42">
        <f t="shared" si="493"/>
        <v>0.32697000213268929</v>
      </c>
      <c r="AK214" s="42">
        <f t="shared" si="493"/>
        <v>0.32248665961192163</v>
      </c>
      <c r="AL214" s="42">
        <f t="shared" si="493"/>
        <v>0.32136609567298052</v>
      </c>
      <c r="AM214" s="42">
        <f t="shared" si="493"/>
        <v>0.32800976061668563</v>
      </c>
      <c r="AN214" s="42">
        <f t="shared" si="493"/>
        <v>0.32067800583409917</v>
      </c>
      <c r="AO214" s="42">
        <f t="shared" ref="AO214:AU214" si="494">AO213/AO212</f>
        <v>0.31480118200544949</v>
      </c>
      <c r="AP214" s="42">
        <f t="shared" si="494"/>
        <v>0.49745860594800562</v>
      </c>
      <c r="AQ214" s="42">
        <f t="shared" si="494"/>
        <v>0.50604276443035145</v>
      </c>
      <c r="AR214" s="42">
        <f t="shared" si="494"/>
        <v>0.50459386253263816</v>
      </c>
      <c r="AS214" s="42">
        <f t="shared" si="494"/>
        <v>0.48956365905642724</v>
      </c>
      <c r="AT214" s="42">
        <f t="shared" si="494"/>
        <v>0.29691973828104357</v>
      </c>
      <c r="AU214" s="42">
        <f t="shared" si="494"/>
        <v>0.28161313274804423</v>
      </c>
      <c r="AV214" s="42">
        <f t="shared" ref="AV214:BB214" si="495">AV213/AV212</f>
        <v>0.30826880445773791</v>
      </c>
      <c r="AW214" s="42">
        <f t="shared" si="495"/>
        <v>0.32442519563458638</v>
      </c>
      <c r="AX214" s="42">
        <f t="shared" si="495"/>
        <v>0.32029630324677455</v>
      </c>
      <c r="AY214" s="42">
        <f t="shared" si="495"/>
        <v>0.31524035082894913</v>
      </c>
      <c r="AZ214" s="42">
        <f t="shared" si="495"/>
        <v>0.29172913079775231</v>
      </c>
      <c r="BA214" s="42">
        <f t="shared" si="495"/>
        <v>0.28776902779055619</v>
      </c>
      <c r="BB214" s="42">
        <f t="shared" si="495"/>
        <v>0.2841226530570663</v>
      </c>
      <c r="BC214" s="42">
        <f>BC213/BC212</f>
        <v>0.28369883436552679</v>
      </c>
      <c r="BD214" s="42">
        <f>BD213/BD212</f>
        <v>0.28273868328476354</v>
      </c>
      <c r="BE214" s="42">
        <f>BE213/BE212</f>
        <v>0.28488293981218893</v>
      </c>
    </row>
    <row r="215" spans="2:57">
      <c r="B215" s="1" t="s">
        <v>310</v>
      </c>
      <c r="C215" s="22">
        <f t="shared" ref="C215:O215" si="496">C145*C$207</f>
        <v>66.922500799147613</v>
      </c>
      <c r="D215" s="22">
        <f t="shared" si="496"/>
        <v>96.384399835796202</v>
      </c>
      <c r="E215" s="22">
        <f t="shared" si="496"/>
        <v>100.07639971577338</v>
      </c>
      <c r="F215" s="22">
        <f t="shared" si="496"/>
        <v>108.89840420474498</v>
      </c>
      <c r="G215" s="22">
        <f t="shared" si="496"/>
        <v>120.41252085720001</v>
      </c>
      <c r="H215" s="22">
        <f t="shared" si="496"/>
        <v>123.976966957375</v>
      </c>
      <c r="I215" s="22">
        <f t="shared" si="496"/>
        <v>118.72198892029958</v>
      </c>
      <c r="J215" s="22">
        <f t="shared" si="496"/>
        <v>196.02044059575147</v>
      </c>
      <c r="K215" s="22">
        <f t="shared" si="496"/>
        <v>122.8479725672226</v>
      </c>
      <c r="L215" s="22">
        <f t="shared" si="496"/>
        <v>134.96528619625872</v>
      </c>
      <c r="M215" s="22">
        <f t="shared" si="496"/>
        <v>126.27963084817124</v>
      </c>
      <c r="N215" s="22">
        <f t="shared" si="496"/>
        <v>116.36825495397363</v>
      </c>
      <c r="O215" s="22">
        <f t="shared" si="496"/>
        <v>113.2668434129656</v>
      </c>
      <c r="P215" s="22"/>
      <c r="Q215" s="22"/>
      <c r="R215" s="22"/>
      <c r="S215" s="22"/>
      <c r="T215" s="22">
        <f t="shared" ref="T215:AC217" si="497">T145*AVERAGE(Q$207:T$207)</f>
        <v>100.10812243380627</v>
      </c>
      <c r="U215" s="22">
        <f t="shared" si="497"/>
        <v>102.04506913300391</v>
      </c>
      <c r="V215" s="22">
        <f t="shared" si="497"/>
        <v>103.31589887831542</v>
      </c>
      <c r="W215" s="22">
        <f t="shared" si="497"/>
        <v>105.20081511672674</v>
      </c>
      <c r="X215" s="22">
        <f t="shared" si="497"/>
        <v>108.93594227278852</v>
      </c>
      <c r="Y215" s="22">
        <f t="shared" si="497"/>
        <v>113.16624116711218</v>
      </c>
      <c r="Z215" s="22">
        <f t="shared" si="497"/>
        <v>118.62073727527205</v>
      </c>
      <c r="AA215" s="22">
        <f t="shared" si="497"/>
        <v>119.63952667535946</v>
      </c>
      <c r="AB215" s="22">
        <f t="shared" si="497"/>
        <v>120.46712411395202</v>
      </c>
      <c r="AC215" s="22">
        <f t="shared" si="497"/>
        <v>123.37598320725</v>
      </c>
      <c r="AD215" s="22">
        <f t="shared" ref="AD215:AM217" si="498">AD145*AVERAGE(AA$207:AD$207)</f>
        <v>127.5742482995</v>
      </c>
      <c r="AE215" s="22">
        <f t="shared" si="498"/>
        <v>122.19950047500001</v>
      </c>
      <c r="AF215" s="22">
        <f t="shared" si="498"/>
        <v>123.976966957375</v>
      </c>
      <c r="AG215" s="22">
        <f t="shared" si="498"/>
        <v>119.07264322022672</v>
      </c>
      <c r="AH215" s="22">
        <f t="shared" si="498"/>
        <v>114.39404514770445</v>
      </c>
      <c r="AI215" s="22">
        <f t="shared" si="498"/>
        <v>119.13320093136895</v>
      </c>
      <c r="AJ215" s="22">
        <f t="shared" si="498"/>
        <v>118.72198892029961</v>
      </c>
      <c r="AK215" s="22">
        <f t="shared" si="498"/>
        <v>120.2261699595487</v>
      </c>
      <c r="AL215" s="22">
        <f t="shared" si="498"/>
        <v>123.62951374271412</v>
      </c>
      <c r="AM215" s="22">
        <f t="shared" si="498"/>
        <v>206.35160389574006</v>
      </c>
      <c r="AN215" s="22">
        <f t="shared" ref="AN215:AW217" si="499">AN145*AVERAGE(AK$207:AN$207)</f>
        <v>196.02044059575147</v>
      </c>
      <c r="AO215" s="22">
        <f t="shared" si="499"/>
        <v>203.19382917088845</v>
      </c>
      <c r="AP215" s="22">
        <f t="shared" si="499"/>
        <v>184.90251864431954</v>
      </c>
      <c r="AQ215" s="22">
        <f t="shared" si="499"/>
        <v>119.16370572374707</v>
      </c>
      <c r="AR215" s="22">
        <f t="shared" si="499"/>
        <v>122.8479725672226</v>
      </c>
      <c r="AS215" s="22">
        <f t="shared" si="499"/>
        <v>128.61081283106049</v>
      </c>
      <c r="AT215" s="22">
        <f t="shared" si="499"/>
        <v>136.26718640503995</v>
      </c>
      <c r="AU215" s="22">
        <f t="shared" si="499"/>
        <v>141.41710612867857</v>
      </c>
      <c r="AV215" s="22">
        <f t="shared" si="499"/>
        <v>134.96528619625869</v>
      </c>
      <c r="AW215" s="22">
        <f t="shared" si="499"/>
        <v>130.63845858656813</v>
      </c>
      <c r="AX215" s="22">
        <f t="shared" ref="AX215:BE217" si="500">AX145*AVERAGE(AU$207:AX$207)</f>
        <v>123.69159089528955</v>
      </c>
      <c r="AY215" s="22">
        <f t="shared" si="500"/>
        <v>123.06270449101169</v>
      </c>
      <c r="AZ215" s="22">
        <f t="shared" si="500"/>
        <v>126.27963084817124</v>
      </c>
      <c r="BA215" s="22">
        <f t="shared" si="500"/>
        <v>125.14275700446103</v>
      </c>
      <c r="BB215" s="22">
        <f t="shared" si="500"/>
        <v>121.37397997735226</v>
      </c>
      <c r="BC215" s="22">
        <f t="shared" si="500"/>
        <v>121.38322426174692</v>
      </c>
      <c r="BD215" s="22">
        <f t="shared" si="500"/>
        <v>116.36825495397363</v>
      </c>
      <c r="BE215" s="22">
        <f t="shared" si="500"/>
        <v>113.26684341296561</v>
      </c>
    </row>
    <row r="216" spans="2:57">
      <c r="B216" s="1" t="s">
        <v>331</v>
      </c>
      <c r="C216" s="22">
        <f t="shared" ref="C216:O216" si="501">C146*C$207</f>
        <v>965.19864632011627</v>
      </c>
      <c r="D216" s="22">
        <f t="shared" si="501"/>
        <v>799.3389536489891</v>
      </c>
      <c r="E216" s="22">
        <f t="shared" si="501"/>
        <v>671.5348608916255</v>
      </c>
      <c r="F216" s="22">
        <f t="shared" si="501"/>
        <v>765.98349609804427</v>
      </c>
      <c r="G216" s="22">
        <f t="shared" si="501"/>
        <v>792.94381671700012</v>
      </c>
      <c r="H216" s="22">
        <f t="shared" si="501"/>
        <v>-18.282797577799979</v>
      </c>
      <c r="I216" s="22">
        <f t="shared" si="501"/>
        <v>366.91424163270852</v>
      </c>
      <c r="J216" s="22">
        <f t="shared" si="501"/>
        <v>344.08298430641332</v>
      </c>
      <c r="K216" s="22">
        <f t="shared" si="501"/>
        <v>-14.64421482630973</v>
      </c>
      <c r="L216" s="22">
        <f t="shared" si="501"/>
        <v>-1134.9922247564944</v>
      </c>
      <c r="M216" s="22">
        <f t="shared" si="501"/>
        <v>572.14179634982247</v>
      </c>
      <c r="N216" s="22">
        <f t="shared" si="501"/>
        <v>561.53656229410001</v>
      </c>
      <c r="O216" s="22">
        <f t="shared" si="501"/>
        <v>530.59912762447595</v>
      </c>
      <c r="P216" s="22"/>
      <c r="Q216" s="22"/>
      <c r="R216" s="22"/>
      <c r="S216" s="22"/>
      <c r="T216" s="22">
        <f t="shared" si="497"/>
        <v>671.74772737265221</v>
      </c>
      <c r="U216" s="22">
        <f t="shared" si="497"/>
        <v>699.53991097503479</v>
      </c>
      <c r="V216" s="22">
        <f t="shared" si="497"/>
        <v>705.22281401228872</v>
      </c>
      <c r="W216" s="22">
        <f t="shared" si="497"/>
        <v>746.86097048654995</v>
      </c>
      <c r="X216" s="22">
        <f t="shared" si="497"/>
        <v>766.2475361526873</v>
      </c>
      <c r="Y216" s="22">
        <f t="shared" si="497"/>
        <v>817.819060792973</v>
      </c>
      <c r="Z216" s="22">
        <f t="shared" si="497"/>
        <v>852.94309977706689</v>
      </c>
      <c r="AA216" s="22">
        <f t="shared" si="497"/>
        <v>827.299076948432</v>
      </c>
      <c r="AB216" s="22">
        <f t="shared" si="497"/>
        <v>793.3033915727201</v>
      </c>
      <c r="AC216" s="22">
        <f t="shared" si="497"/>
        <v>788.47384908975005</v>
      </c>
      <c r="AD216" s="22">
        <f t="shared" si="498"/>
        <v>776.24783485599994</v>
      </c>
      <c r="AE216" s="22">
        <f t="shared" si="498"/>
        <v>714.54471075000004</v>
      </c>
      <c r="AF216" s="22">
        <f t="shared" si="498"/>
        <v>-18.282797577799979</v>
      </c>
      <c r="AG216" s="22">
        <f t="shared" si="498"/>
        <v>-133.29666853900866</v>
      </c>
      <c r="AH216" s="22">
        <f t="shared" si="498"/>
        <v>-197.69057813500098</v>
      </c>
      <c r="AI216" s="22">
        <f t="shared" si="498"/>
        <v>-158.99513141077466</v>
      </c>
      <c r="AJ216" s="22">
        <f t="shared" si="498"/>
        <v>366.91424163270852</v>
      </c>
      <c r="AK216" s="22">
        <f t="shared" si="498"/>
        <v>438.371729775966</v>
      </c>
      <c r="AL216" s="22">
        <f t="shared" si="498"/>
        <v>490.98377720568396</v>
      </c>
      <c r="AM216" s="22">
        <f t="shared" si="498"/>
        <v>461.43662568731537</v>
      </c>
      <c r="AN216" s="22">
        <f t="shared" si="499"/>
        <v>344.08298430641332</v>
      </c>
      <c r="AO216" s="22">
        <f t="shared" si="499"/>
        <v>382.67723809111459</v>
      </c>
      <c r="AP216" s="22">
        <f t="shared" si="499"/>
        <v>-277.25391294408752</v>
      </c>
      <c r="AQ216" s="22">
        <f t="shared" si="499"/>
        <v>-267.09438434542795</v>
      </c>
      <c r="AR216" s="22">
        <f t="shared" si="499"/>
        <v>-14.64421482630973</v>
      </c>
      <c r="AS216" s="22">
        <f t="shared" si="499"/>
        <v>6.822859304848051</v>
      </c>
      <c r="AT216" s="22">
        <f t="shared" si="499"/>
        <v>655.24608880840333</v>
      </c>
      <c r="AU216" s="22">
        <f t="shared" si="499"/>
        <v>710.41360661119688</v>
      </c>
      <c r="AV216" s="22">
        <f t="shared" si="499"/>
        <v>-1134.9922247564944</v>
      </c>
      <c r="AW216" s="22">
        <f t="shared" si="499"/>
        <v>-1154.101377095737</v>
      </c>
      <c r="AX216" s="22">
        <f t="shared" si="500"/>
        <v>-1075.2925496051939</v>
      </c>
      <c r="AY216" s="22">
        <f t="shared" si="500"/>
        <v>-1026.4219375949349</v>
      </c>
      <c r="AZ216" s="22">
        <f t="shared" si="500"/>
        <v>572.14179634982247</v>
      </c>
      <c r="BA216" s="22">
        <f t="shared" si="500"/>
        <v>599.16589096436121</v>
      </c>
      <c r="BB216" s="22">
        <f t="shared" si="500"/>
        <v>542.773428023306</v>
      </c>
      <c r="BC216" s="22">
        <f t="shared" si="500"/>
        <v>507.48678005613061</v>
      </c>
      <c r="BD216" s="22">
        <f t="shared" si="500"/>
        <v>561.53656229410001</v>
      </c>
      <c r="BE216" s="22">
        <f t="shared" si="500"/>
        <v>530.59912762447595</v>
      </c>
    </row>
    <row r="217" spans="2:57">
      <c r="B217" s="1" t="s">
        <v>316</v>
      </c>
      <c r="C217" s="22">
        <f t="shared" ref="C217:O217" si="502">C147*C$207</f>
        <v>1079.0233776543118</v>
      </c>
      <c r="D217" s="22">
        <f t="shared" si="502"/>
        <v>662.66822843967088</v>
      </c>
      <c r="E217" s="22">
        <f t="shared" si="502"/>
        <v>579.6415372586398</v>
      </c>
      <c r="F217" s="22">
        <f t="shared" si="502"/>
        <v>1193.2019140924526</v>
      </c>
      <c r="G217" s="22">
        <f t="shared" si="502"/>
        <v>1090.0390831212999</v>
      </c>
      <c r="H217" s="22">
        <f t="shared" si="502"/>
        <v>2387.9041640373503</v>
      </c>
      <c r="I217" s="22">
        <f t="shared" si="502"/>
        <v>1615.4742450503684</v>
      </c>
      <c r="J217" s="22">
        <f t="shared" si="502"/>
        <v>1599.5204012284462</v>
      </c>
      <c r="K217" s="22">
        <f t="shared" si="502"/>
        <v>2480.6173025747403</v>
      </c>
      <c r="L217" s="22">
        <f t="shared" si="502"/>
        <v>2070.7227349911086</v>
      </c>
      <c r="M217" s="22">
        <f t="shared" si="502"/>
        <v>29.681981404320965</v>
      </c>
      <c r="N217" s="22">
        <f t="shared" si="502"/>
        <v>202.48650575859753</v>
      </c>
      <c r="O217" s="22">
        <f t="shared" si="502"/>
        <v>265.38215349966123</v>
      </c>
      <c r="P217" s="22"/>
      <c r="Q217" s="22"/>
      <c r="R217" s="22"/>
      <c r="S217" s="22"/>
      <c r="T217" s="22">
        <f t="shared" si="497"/>
        <v>579.82527493404427</v>
      </c>
      <c r="U217" s="22">
        <f t="shared" si="497"/>
        <v>550.42082234552026</v>
      </c>
      <c r="V217" s="22">
        <f t="shared" si="497"/>
        <v>568.8309247547877</v>
      </c>
      <c r="W217" s="22">
        <f t="shared" si="497"/>
        <v>1084.9176882589638</v>
      </c>
      <c r="X217" s="22">
        <f t="shared" si="497"/>
        <v>1193.6132194276224</v>
      </c>
      <c r="Y217" s="22">
        <f t="shared" si="497"/>
        <v>1113.797284912941</v>
      </c>
      <c r="Z217" s="22">
        <f t="shared" si="497"/>
        <v>1215.3889946481183</v>
      </c>
      <c r="AA217" s="22">
        <f t="shared" si="497"/>
        <v>1121.4599730423588</v>
      </c>
      <c r="AB217" s="22">
        <f t="shared" si="497"/>
        <v>1090.533381251608</v>
      </c>
      <c r="AC217" s="22">
        <f t="shared" si="497"/>
        <v>1221.9336021652496</v>
      </c>
      <c r="AD217" s="22">
        <f t="shared" si="498"/>
        <v>1210.5103097529995</v>
      </c>
      <c r="AE217" s="22">
        <f t="shared" si="498"/>
        <v>1321.6268095874996</v>
      </c>
      <c r="AF217" s="22">
        <f t="shared" si="498"/>
        <v>2387.9041640373503</v>
      </c>
      <c r="AG217" s="22">
        <f t="shared" si="498"/>
        <v>2393.860225094375</v>
      </c>
      <c r="AH217" s="22">
        <f t="shared" si="498"/>
        <v>2321.1316469271837</v>
      </c>
      <c r="AI217" s="22">
        <f t="shared" si="498"/>
        <v>2415.1226117537003</v>
      </c>
      <c r="AJ217" s="22">
        <f t="shared" si="498"/>
        <v>1615.4742450503684</v>
      </c>
      <c r="AK217" s="22">
        <f t="shared" si="498"/>
        <v>1526.3271286698462</v>
      </c>
      <c r="AL217" s="22">
        <f t="shared" si="498"/>
        <v>1832.5999364534086</v>
      </c>
      <c r="AM217" s="22">
        <f t="shared" si="498"/>
        <v>1688.4736619590226</v>
      </c>
      <c r="AN217" s="22">
        <f t="shared" si="499"/>
        <v>1599.5204012284455</v>
      </c>
      <c r="AO217" s="22">
        <f t="shared" si="499"/>
        <v>1665.7878985045254</v>
      </c>
      <c r="AP217" s="22">
        <f t="shared" si="499"/>
        <v>2577.8878371852616</v>
      </c>
      <c r="AQ217" s="22">
        <f t="shared" si="499"/>
        <v>2480.3821835120611</v>
      </c>
      <c r="AR217" s="22">
        <f t="shared" si="499"/>
        <v>2480.6173025747403</v>
      </c>
      <c r="AS217" s="22">
        <f t="shared" si="499"/>
        <v>2010.9767421767556</v>
      </c>
      <c r="AT217" s="22">
        <f t="shared" si="499"/>
        <v>651.61601459356496</v>
      </c>
      <c r="AU217" s="22">
        <f t="shared" si="499"/>
        <v>489.86519797277089</v>
      </c>
      <c r="AV217" s="22">
        <f t="shared" si="499"/>
        <v>2070.7227349911086</v>
      </c>
      <c r="AW217" s="22">
        <f t="shared" si="499"/>
        <v>2116.8210630806943</v>
      </c>
      <c r="AX217" s="22">
        <f t="shared" si="500"/>
        <v>1985.4289188914502</v>
      </c>
      <c r="AY217" s="22">
        <f t="shared" si="500"/>
        <v>1733.4158166331297</v>
      </c>
      <c r="AZ217" s="22">
        <f t="shared" si="500"/>
        <v>29.681981404320961</v>
      </c>
      <c r="BA217" s="22">
        <f t="shared" si="500"/>
        <v>36.331244008163281</v>
      </c>
      <c r="BB217" s="22">
        <f t="shared" si="500"/>
        <v>116.13654989083403</v>
      </c>
      <c r="BC217" s="22">
        <f t="shared" si="500"/>
        <v>218.94169758101614</v>
      </c>
      <c r="BD217" s="22">
        <f t="shared" si="500"/>
        <v>202.48650575859747</v>
      </c>
      <c r="BE217" s="22">
        <f t="shared" si="500"/>
        <v>265.38215349966117</v>
      </c>
    </row>
    <row r="218" spans="2:57">
      <c r="B218" s="1" t="s">
        <v>360</v>
      </c>
      <c r="C218" s="22">
        <f t="shared" ref="C218:O218" si="503">C148*C$208</f>
        <v>624.50659414915538</v>
      </c>
      <c r="D218" s="22">
        <f t="shared" si="503"/>
        <v>192.1996057226541</v>
      </c>
      <c r="E218" s="22">
        <f t="shared" si="503"/>
        <v>165.67557918950811</v>
      </c>
      <c r="F218" s="22">
        <f t="shared" si="503"/>
        <v>236.91982919886132</v>
      </c>
      <c r="G218" s="22">
        <f t="shared" si="503"/>
        <v>104.70839270549966</v>
      </c>
      <c r="H218" s="22">
        <f t="shared" si="503"/>
        <v>597.55290220904453</v>
      </c>
      <c r="I218" s="22">
        <f t="shared" si="503"/>
        <v>284.80376538434484</v>
      </c>
      <c r="J218" s="22">
        <f t="shared" si="503"/>
        <v>127.47038497652582</v>
      </c>
      <c r="K218" s="22">
        <f t="shared" si="503"/>
        <v>219.746942488</v>
      </c>
      <c r="L218" s="22">
        <f t="shared" si="503"/>
        <v>602.52880924499993</v>
      </c>
      <c r="M218" s="22">
        <f t="shared" si="503"/>
        <v>80.318466360000002</v>
      </c>
      <c r="N218" s="22">
        <f t="shared" si="503"/>
        <v>259.42396158330092</v>
      </c>
      <c r="O218" s="22">
        <f t="shared" si="503"/>
        <v>232.74679629049845</v>
      </c>
      <c r="P218" s="22"/>
      <c r="Q218" s="22"/>
      <c r="R218" s="22"/>
      <c r="S218" s="22"/>
      <c r="T218" s="22">
        <f t="shared" ref="T218:BE218" si="504">T148*T$208</f>
        <v>165.67557918950811</v>
      </c>
      <c r="U218" s="22">
        <f t="shared" si="504"/>
        <v>118.09820775035017</v>
      </c>
      <c r="V218" s="22">
        <f t="shared" si="504"/>
        <v>162.74763883243764</v>
      </c>
      <c r="W218" s="22">
        <f t="shared" si="504"/>
        <v>215.48320662141614</v>
      </c>
      <c r="X218" s="22">
        <f t="shared" si="504"/>
        <v>236.91982919886132</v>
      </c>
      <c r="Y218" s="22">
        <f t="shared" si="504"/>
        <v>82.254067849980942</v>
      </c>
      <c r="Z218" s="22">
        <f t="shared" si="504"/>
        <v>49.778294252238133</v>
      </c>
      <c r="AA218" s="22">
        <f t="shared" si="504"/>
        <v>13.803515944399022</v>
      </c>
      <c r="AB218" s="22">
        <f t="shared" si="504"/>
        <v>104.70839270549966</v>
      </c>
      <c r="AC218" s="22">
        <f t="shared" si="504"/>
        <v>50.584155453701385</v>
      </c>
      <c r="AD218" s="22">
        <f t="shared" si="504"/>
        <v>38.099598026945444</v>
      </c>
      <c r="AE218" s="22">
        <f t="shared" si="504"/>
        <v>47.1032806470661</v>
      </c>
      <c r="AF218" s="22">
        <f t="shared" si="504"/>
        <v>597.55290220904453</v>
      </c>
      <c r="AG218" s="22">
        <f t="shared" si="504"/>
        <v>351.97795734891957</v>
      </c>
      <c r="AH218" s="22">
        <f t="shared" si="504"/>
        <v>414.71176406122527</v>
      </c>
      <c r="AI218" s="22">
        <f t="shared" si="504"/>
        <v>384.24697582947414</v>
      </c>
      <c r="AJ218" s="22">
        <f t="shared" si="504"/>
        <v>284.80376538434484</v>
      </c>
      <c r="AK218" s="22">
        <f t="shared" si="504"/>
        <v>70.087424842758566</v>
      </c>
      <c r="AL218" s="22">
        <f t="shared" si="504"/>
        <v>146.58375563372539</v>
      </c>
      <c r="AM218" s="22">
        <f t="shared" si="504"/>
        <v>142.82617389156479</v>
      </c>
      <c r="AN218" s="22">
        <f t="shared" si="504"/>
        <v>127.47038497652582</v>
      </c>
      <c r="AO218" s="22">
        <f t="shared" si="504"/>
        <v>140.85106631017399</v>
      </c>
      <c r="AP218" s="22">
        <f t="shared" si="504"/>
        <v>228.75088444924407</v>
      </c>
      <c r="AQ218" s="22">
        <f t="shared" si="504"/>
        <v>282.35416180800001</v>
      </c>
      <c r="AR218" s="22">
        <f t="shared" si="504"/>
        <v>219.746942488</v>
      </c>
      <c r="AS218" s="22">
        <f t="shared" si="504"/>
        <v>127.032944169</v>
      </c>
      <c r="AT218" s="22">
        <f t="shared" si="504"/>
        <v>106.65448306000002</v>
      </c>
      <c r="AU218" s="22">
        <f t="shared" si="504"/>
        <v>232.05292915684291</v>
      </c>
      <c r="AV218" s="22">
        <f t="shared" si="504"/>
        <v>602.52880924499993</v>
      </c>
      <c r="AW218" s="22">
        <f t="shared" si="504"/>
        <v>290.63287843345557</v>
      </c>
      <c r="AX218" s="22">
        <f t="shared" si="504"/>
        <v>93.002261683236739</v>
      </c>
      <c r="AY218" s="22">
        <f t="shared" si="504"/>
        <v>243.89839416870686</v>
      </c>
      <c r="AZ218" s="22">
        <f t="shared" si="504"/>
        <v>80.318466360000002</v>
      </c>
      <c r="BA218" s="22">
        <f t="shared" si="504"/>
        <v>190.19282082120097</v>
      </c>
      <c r="BB218" s="22">
        <f t="shared" si="504"/>
        <v>292.74326003670194</v>
      </c>
      <c r="BC218" s="22">
        <f t="shared" si="504"/>
        <v>249.38751572359737</v>
      </c>
      <c r="BD218" s="22">
        <f t="shared" si="504"/>
        <v>259.42396158330092</v>
      </c>
      <c r="BE218" s="22">
        <f t="shared" si="504"/>
        <v>232.74679629049845</v>
      </c>
    </row>
    <row r="219" spans="2:57">
      <c r="B219" s="1" t="s">
        <v>344</v>
      </c>
      <c r="C219" s="22">
        <f t="shared" ref="C219:O219" si="505">C149*C$208</f>
        <v>2392.2617519571481</v>
      </c>
      <c r="D219" s="22">
        <f t="shared" si="505"/>
        <v>2356.3575842063765</v>
      </c>
      <c r="E219" s="22">
        <f t="shared" si="505"/>
        <v>2381.0010396283628</v>
      </c>
      <c r="F219" s="22">
        <f t="shared" si="505"/>
        <v>2577.7586043106953</v>
      </c>
      <c r="G219" s="22">
        <f t="shared" si="505"/>
        <v>2601.6951019761937</v>
      </c>
      <c r="H219" s="22">
        <f t="shared" si="505"/>
        <v>3324.2278320912465</v>
      </c>
      <c r="I219" s="22">
        <f t="shared" si="505"/>
        <v>3338.8426387228355</v>
      </c>
      <c r="J219" s="22">
        <f t="shared" si="505"/>
        <v>3190.1448075117373</v>
      </c>
      <c r="K219" s="22">
        <f t="shared" si="505"/>
        <v>3227.5681557999997</v>
      </c>
      <c r="L219" s="22">
        <f t="shared" si="505"/>
        <v>3013.7835147200003</v>
      </c>
      <c r="M219" s="22">
        <f t="shared" si="505"/>
        <v>2705.8105691249998</v>
      </c>
      <c r="N219" s="22">
        <f t="shared" si="505"/>
        <v>2520.9863509687448</v>
      </c>
      <c r="O219" s="22">
        <f t="shared" si="505"/>
        <v>2449.8235190603173</v>
      </c>
      <c r="P219" s="22"/>
      <c r="Q219" s="22"/>
      <c r="R219" s="22"/>
      <c r="S219" s="22"/>
      <c r="T219" s="22">
        <f t="shared" ref="T219:BE219" si="506">T149*T$208</f>
        <v>2381.0010396283628</v>
      </c>
      <c r="U219" s="22">
        <f t="shared" si="506"/>
        <v>2389.4740229227223</v>
      </c>
      <c r="V219" s="22">
        <f t="shared" si="506"/>
        <v>2534.7230456577695</v>
      </c>
      <c r="W219" s="22">
        <f t="shared" si="506"/>
        <v>2561.9228316586464</v>
      </c>
      <c r="X219" s="22">
        <f t="shared" si="506"/>
        <v>2577.7586043106953</v>
      </c>
      <c r="Y219" s="22">
        <f t="shared" si="506"/>
        <v>2595.5023732577606</v>
      </c>
      <c r="Z219" s="22">
        <f t="shared" si="506"/>
        <v>2550.7843921315703</v>
      </c>
      <c r="AA219" s="22">
        <f t="shared" si="506"/>
        <v>2551.8823778807428</v>
      </c>
      <c r="AB219" s="22">
        <f t="shared" si="506"/>
        <v>2601.6951019761937</v>
      </c>
      <c r="AC219" s="22">
        <f t="shared" si="506"/>
        <v>3062.5898707500037</v>
      </c>
      <c r="AD219" s="22">
        <f t="shared" si="506"/>
        <v>3177.9323433703898</v>
      </c>
      <c r="AE219" s="22">
        <f t="shared" si="506"/>
        <v>3083.970850441493</v>
      </c>
      <c r="AF219" s="22">
        <f t="shared" si="506"/>
        <v>3324.2278320912465</v>
      </c>
      <c r="AG219" s="22">
        <f t="shared" si="506"/>
        <v>3141.0854230484838</v>
      </c>
      <c r="AH219" s="22">
        <f t="shared" si="506"/>
        <v>3175.3489375692557</v>
      </c>
      <c r="AI219" s="22">
        <f t="shared" si="506"/>
        <v>3217.2710182071942</v>
      </c>
      <c r="AJ219" s="22">
        <f t="shared" si="506"/>
        <v>3338.8426387228355</v>
      </c>
      <c r="AK219" s="22">
        <f t="shared" si="506"/>
        <v>3320.6252389792467</v>
      </c>
      <c r="AL219" s="22">
        <f t="shared" si="506"/>
        <v>3290.1596556557106</v>
      </c>
      <c r="AM219" s="22">
        <f t="shared" si="506"/>
        <v>3177.1250796591326</v>
      </c>
      <c r="AN219" s="22">
        <f t="shared" si="506"/>
        <v>3190.1448075117373</v>
      </c>
      <c r="AO219" s="22">
        <f t="shared" si="506"/>
        <v>3334.5194774256497</v>
      </c>
      <c r="AP219" s="22">
        <f t="shared" si="506"/>
        <v>3221.9933239740822</v>
      </c>
      <c r="AQ219" s="22">
        <f t="shared" si="506"/>
        <v>3180.1945332</v>
      </c>
      <c r="AR219" s="22">
        <f t="shared" si="506"/>
        <v>3227.5681557999997</v>
      </c>
      <c r="AS219" s="22">
        <f t="shared" si="506"/>
        <v>3262.1496617879993</v>
      </c>
      <c r="AT219" s="22">
        <f t="shared" si="506"/>
        <v>3271.0156534200005</v>
      </c>
      <c r="AU219" s="22">
        <f t="shared" si="506"/>
        <v>3163.5339339845068</v>
      </c>
      <c r="AV219" s="22">
        <f t="shared" si="506"/>
        <v>3013.7835147200003</v>
      </c>
      <c r="AW219" s="22">
        <f t="shared" si="506"/>
        <v>2871.9011910477343</v>
      </c>
      <c r="AX219" s="22">
        <f t="shared" si="506"/>
        <v>2934.9969993088412</v>
      </c>
      <c r="AY219" s="22">
        <f t="shared" si="506"/>
        <v>2995.7974393500999</v>
      </c>
      <c r="AZ219" s="22">
        <f t="shared" si="506"/>
        <v>2705.8105691249998</v>
      </c>
      <c r="BA219" s="22">
        <f t="shared" si="506"/>
        <v>2770.9610098324679</v>
      </c>
      <c r="BB219" s="22">
        <f t="shared" si="506"/>
        <v>2842.8831889937005</v>
      </c>
      <c r="BC219" s="22">
        <f t="shared" si="506"/>
        <v>2421.8282473776676</v>
      </c>
      <c r="BD219" s="22">
        <f t="shared" si="506"/>
        <v>2520.9863509687448</v>
      </c>
      <c r="BE219" s="22">
        <f t="shared" si="506"/>
        <v>2449.8235190603173</v>
      </c>
    </row>
    <row r="220" spans="2:57">
      <c r="B220" s="1" t="s">
        <v>361</v>
      </c>
      <c r="C220" s="22">
        <f t="shared" ref="C220:O220" si="507">C150*C$208</f>
        <v>1767.7551578079931</v>
      </c>
      <c r="D220" s="22">
        <f t="shared" si="507"/>
        <v>2164.1579784837227</v>
      </c>
      <c r="E220" s="22">
        <f t="shared" si="507"/>
        <v>2215.3254604388544</v>
      </c>
      <c r="F220" s="22">
        <f t="shared" si="507"/>
        <v>2340.8387751118339</v>
      </c>
      <c r="G220" s="22">
        <f t="shared" si="507"/>
        <v>2496.9867092706941</v>
      </c>
      <c r="H220" s="22">
        <f t="shared" si="507"/>
        <v>2726.6749298822019</v>
      </c>
      <c r="I220" s="22">
        <f t="shared" si="507"/>
        <v>3054.0388733384902</v>
      </c>
      <c r="J220" s="22">
        <f t="shared" si="507"/>
        <v>3062.6744225352113</v>
      </c>
      <c r="K220" s="22">
        <f t="shared" si="507"/>
        <v>3007.8212133119996</v>
      </c>
      <c r="L220" s="22">
        <f t="shared" si="507"/>
        <v>2411.2547054750003</v>
      </c>
      <c r="M220" s="22">
        <f t="shared" si="507"/>
        <v>2625.4921027649998</v>
      </c>
      <c r="N220" s="22">
        <f t="shared" si="507"/>
        <v>2261.5623893854436</v>
      </c>
      <c r="O220" s="22">
        <f t="shared" si="507"/>
        <v>2217.0767227698188</v>
      </c>
      <c r="P220" s="22"/>
      <c r="Q220" s="22"/>
      <c r="R220" s="22"/>
      <c r="S220" s="22"/>
      <c r="T220" s="22">
        <f t="shared" ref="T220:BE220" si="508">T150*T$208</f>
        <v>2215.3254604388544</v>
      </c>
      <c r="U220" s="22">
        <f t="shared" si="508"/>
        <v>2271.3758151723723</v>
      </c>
      <c r="V220" s="22">
        <f t="shared" si="508"/>
        <v>2371.9754068253319</v>
      </c>
      <c r="W220" s="22">
        <f t="shared" si="508"/>
        <v>2346.4396250372301</v>
      </c>
      <c r="X220" s="22">
        <f t="shared" si="508"/>
        <v>2340.8387751118339</v>
      </c>
      <c r="Y220" s="22">
        <f t="shared" si="508"/>
        <v>2513.2483054077798</v>
      </c>
      <c r="Z220" s="22">
        <f t="shared" si="508"/>
        <v>2501.0060978793322</v>
      </c>
      <c r="AA220" s="22">
        <f t="shared" si="508"/>
        <v>2538.0788619363439</v>
      </c>
      <c r="AB220" s="22">
        <f t="shared" si="508"/>
        <v>2496.9867092706941</v>
      </c>
      <c r="AC220" s="22">
        <f t="shared" si="508"/>
        <v>3012.0057152963022</v>
      </c>
      <c r="AD220" s="22">
        <f t="shared" si="508"/>
        <v>3139.832745343444</v>
      </c>
      <c r="AE220" s="22">
        <f t="shared" si="508"/>
        <v>3036.8675697944268</v>
      </c>
      <c r="AF220" s="22">
        <f t="shared" si="508"/>
        <v>2726.6749298822019</v>
      </c>
      <c r="AG220" s="22">
        <f t="shared" si="508"/>
        <v>2789.1074656995643</v>
      </c>
      <c r="AH220" s="22">
        <f t="shared" si="508"/>
        <v>2760.6371735080302</v>
      </c>
      <c r="AI220" s="22">
        <f t="shared" si="508"/>
        <v>2833.02404237772</v>
      </c>
      <c r="AJ220" s="22">
        <f t="shared" si="508"/>
        <v>3054.0388733384902</v>
      </c>
      <c r="AK220" s="22">
        <f t="shared" si="508"/>
        <v>3250.5378141364881</v>
      </c>
      <c r="AL220" s="22">
        <f t="shared" si="508"/>
        <v>3143.5759000219855</v>
      </c>
      <c r="AM220" s="22">
        <f t="shared" si="508"/>
        <v>3034.2989057675677</v>
      </c>
      <c r="AN220" s="22">
        <f t="shared" si="508"/>
        <v>3062.6744225352113</v>
      </c>
      <c r="AO220" s="22">
        <f t="shared" si="508"/>
        <v>3193.6684111154755</v>
      </c>
      <c r="AP220" s="22">
        <f t="shared" si="508"/>
        <v>2993.2424395248381</v>
      </c>
      <c r="AQ220" s="22">
        <f t="shared" si="508"/>
        <v>2897.8403713920002</v>
      </c>
      <c r="AR220" s="22">
        <f t="shared" si="508"/>
        <v>3007.8212133119996</v>
      </c>
      <c r="AS220" s="22">
        <f t="shared" si="508"/>
        <v>3135.1167176189997</v>
      </c>
      <c r="AT220" s="22">
        <f t="shared" si="508"/>
        <v>3164.36117036</v>
      </c>
      <c r="AU220" s="22">
        <f t="shared" si="508"/>
        <v>2931.4810048276636</v>
      </c>
      <c r="AV220" s="22">
        <f t="shared" si="508"/>
        <v>2411.2547054750003</v>
      </c>
      <c r="AW220" s="22">
        <f t="shared" si="508"/>
        <v>2581.2683126142788</v>
      </c>
      <c r="AX220" s="22">
        <f t="shared" si="508"/>
        <v>2841.9947376256046</v>
      </c>
      <c r="AY220" s="22">
        <f t="shared" si="508"/>
        <v>2751.8990451813929</v>
      </c>
      <c r="AZ220" s="22">
        <f t="shared" si="508"/>
        <v>2625.4921027649998</v>
      </c>
      <c r="BA220" s="22">
        <f t="shared" si="508"/>
        <v>2580.7681890112672</v>
      </c>
      <c r="BB220" s="22">
        <f t="shared" si="508"/>
        <v>2550.1399289569986</v>
      </c>
      <c r="BC220" s="22">
        <f t="shared" si="508"/>
        <v>2172.4407316540701</v>
      </c>
      <c r="BD220" s="22">
        <f t="shared" si="508"/>
        <v>2261.5623893854436</v>
      </c>
      <c r="BE220" s="22">
        <f t="shared" si="508"/>
        <v>2217.0767227698188</v>
      </c>
    </row>
    <row r="221" spans="2:57">
      <c r="B221" s="1" t="s">
        <v>362</v>
      </c>
      <c r="C221" s="22">
        <f t="shared" ref="C221:O221" si="509">C151*C$208</f>
        <v>1572.7037494849608</v>
      </c>
      <c r="D221" s="22">
        <f t="shared" si="509"/>
        <v>1785.3342908640309</v>
      </c>
      <c r="E221" s="22">
        <f t="shared" si="509"/>
        <v>2052.5340941341656</v>
      </c>
      <c r="F221" s="22">
        <f t="shared" si="509"/>
        <v>2347.5738104920697</v>
      </c>
      <c r="G221" s="22">
        <f t="shared" si="509"/>
        <v>2357.7586827295363</v>
      </c>
      <c r="H221" s="22">
        <f t="shared" si="509"/>
        <v>1618.5858909634853</v>
      </c>
      <c r="I221" s="22">
        <f t="shared" si="509"/>
        <v>1627.2593009353682</v>
      </c>
      <c r="J221" s="22">
        <f t="shared" si="509"/>
        <v>1525.5868544600939</v>
      </c>
      <c r="K221" s="22">
        <f t="shared" si="509"/>
        <v>2251.3935999999999</v>
      </c>
      <c r="L221" s="22">
        <f t="shared" si="509"/>
        <v>1302.6395</v>
      </c>
      <c r="M221" s="22">
        <f t="shared" si="509"/>
        <v>1329.3135</v>
      </c>
      <c r="N221" s="22">
        <f t="shared" si="509"/>
        <v>1520.0133237106534</v>
      </c>
      <c r="O221" s="22">
        <f t="shared" si="509"/>
        <v>1442.0201453140014</v>
      </c>
      <c r="P221" s="22"/>
      <c r="Q221" s="22"/>
      <c r="R221" s="22"/>
      <c r="S221" s="22"/>
      <c r="T221" s="22">
        <f t="shared" ref="T221:BE221" si="510">T151*T$208</f>
        <v>2052.5340941341656</v>
      </c>
      <c r="U221" s="22">
        <f t="shared" si="510"/>
        <v>2148.9193788876005</v>
      </c>
      <c r="V221" s="22">
        <f t="shared" si="510"/>
        <v>2219.9972903400621</v>
      </c>
      <c r="W221" s="22">
        <f t="shared" si="510"/>
        <v>2274.6947157211607</v>
      </c>
      <c r="X221" s="22">
        <f t="shared" si="510"/>
        <v>2347.5738104920697</v>
      </c>
      <c r="Y221" s="22">
        <f t="shared" si="510"/>
        <v>2613.797046686223</v>
      </c>
      <c r="Z221" s="22">
        <f t="shared" si="510"/>
        <v>2475.6606931711735</v>
      </c>
      <c r="AA221" s="22">
        <f t="shared" si="510"/>
        <v>2516.4198540322827</v>
      </c>
      <c r="AB221" s="22">
        <f t="shared" si="510"/>
        <v>2357.7586827295363</v>
      </c>
      <c r="AC221" s="22">
        <f t="shared" si="510"/>
        <v>2464.5778373837561</v>
      </c>
      <c r="AD221" s="22">
        <f t="shared" si="510"/>
        <v>2547.0072885224176</v>
      </c>
      <c r="AE221" s="22">
        <f t="shared" si="510"/>
        <v>2387.2234657585036</v>
      </c>
      <c r="AF221" s="22">
        <f t="shared" si="510"/>
        <v>1618.5858909634853</v>
      </c>
      <c r="AG221" s="22">
        <f t="shared" si="510"/>
        <v>1453.0004812037134</v>
      </c>
      <c r="AH221" s="22">
        <f t="shared" si="510"/>
        <v>1587.6185721417874</v>
      </c>
      <c r="AI221" s="22">
        <f t="shared" si="510"/>
        <v>1504.028420985853</v>
      </c>
      <c r="AJ221" s="22">
        <f t="shared" si="510"/>
        <v>1627.2593009353682</v>
      </c>
      <c r="AK221" s="22">
        <f t="shared" si="510"/>
        <v>1776.4816713308026</v>
      </c>
      <c r="AL221" s="22">
        <f t="shared" si="510"/>
        <v>2294.7125425964605</v>
      </c>
      <c r="AM221" s="22">
        <f t="shared" si="510"/>
        <v>1994.4423860689144</v>
      </c>
      <c r="AN221" s="22">
        <f t="shared" si="510"/>
        <v>1525.5868544600939</v>
      </c>
      <c r="AO221" s="22">
        <f t="shared" si="510"/>
        <v>1624.8717006475158</v>
      </c>
      <c r="AP221" s="22">
        <f t="shared" si="510"/>
        <v>1540.0647948164149</v>
      </c>
      <c r="AQ221" s="22">
        <f t="shared" si="510"/>
        <v>1577.3087999999998</v>
      </c>
      <c r="AR221" s="22">
        <f t="shared" si="510"/>
        <v>2251.3935999999999</v>
      </c>
      <c r="AS221" s="22">
        <f t="shared" si="510"/>
        <v>2799.9675000000002</v>
      </c>
      <c r="AT221" s="22">
        <f t="shared" si="510"/>
        <v>2897.4004000000004</v>
      </c>
      <c r="AU221" s="22">
        <f t="shared" si="510"/>
        <v>1787.3582575502414</v>
      </c>
      <c r="AV221" s="22">
        <f t="shared" si="510"/>
        <v>1302.6395</v>
      </c>
      <c r="AW221" s="22">
        <f t="shared" si="510"/>
        <v>1233.9499678233246</v>
      </c>
      <c r="AX221" s="22">
        <f t="shared" si="510"/>
        <v>1422.5105002924131</v>
      </c>
      <c r="AY221" s="22">
        <f t="shared" si="510"/>
        <v>1505.5642109948808</v>
      </c>
      <c r="AZ221" s="22">
        <f t="shared" si="510"/>
        <v>1329.3135</v>
      </c>
      <c r="BA221" s="22">
        <f t="shared" si="510"/>
        <v>1438.3677258724731</v>
      </c>
      <c r="BB221" s="22">
        <f t="shared" si="510"/>
        <v>1527.1025830891899</v>
      </c>
      <c r="BC221" s="22">
        <f t="shared" si="510"/>
        <v>1411.7451373800588</v>
      </c>
      <c r="BD221" s="22">
        <f t="shared" si="510"/>
        <v>1520.0133237106534</v>
      </c>
      <c r="BE221" s="22">
        <f t="shared" si="510"/>
        <v>1442.0201453140014</v>
      </c>
    </row>
    <row r="222" spans="2:57">
      <c r="B222" s="1" t="s">
        <v>363</v>
      </c>
      <c r="C222" s="38">
        <f t="shared" ref="C222:K222" si="511">C219/C213</f>
        <v>3.2125161167895357</v>
      </c>
      <c r="D222" s="38">
        <f t="shared" si="511"/>
        <v>4.3251744423296463</v>
      </c>
      <c r="E222" s="38">
        <f t="shared" si="511"/>
        <v>3.7910825975498916</v>
      </c>
      <c r="F222" s="38">
        <f t="shared" si="511"/>
        <v>3.8274401170417729</v>
      </c>
      <c r="G222" s="38">
        <f t="shared" si="511"/>
        <v>3.9032154269833073</v>
      </c>
      <c r="H222" s="38">
        <f t="shared" si="511"/>
        <v>3.0242160590666693</v>
      </c>
      <c r="I222" s="38">
        <f t="shared" si="511"/>
        <v>3.8795317410876788</v>
      </c>
      <c r="J222" s="38">
        <f t="shared" si="511"/>
        <v>3.1259650702964232</v>
      </c>
      <c r="K222" s="38">
        <f t="shared" si="511"/>
        <v>2.2108639795587393</v>
      </c>
      <c r="L222" s="38">
        <f>L219/L213</f>
        <v>3.3071172030106464</v>
      </c>
      <c r="M222" s="38">
        <f>M219/M213</f>
        <v>3.2366941515586647</v>
      </c>
      <c r="N222" s="38">
        <f>N219/N213</f>
        <v>2.8685335882100693</v>
      </c>
      <c r="O222" s="38">
        <f>O219/O213</f>
        <v>2.6662989402124517</v>
      </c>
      <c r="P222" s="38"/>
      <c r="Q222" s="38"/>
      <c r="R222" s="38"/>
      <c r="S222" s="38"/>
      <c r="T222" s="38">
        <f t="shared" ref="T222:AC222" si="512">T219/T213</f>
        <v>3.7898812620202893</v>
      </c>
      <c r="U222" s="38">
        <f t="shared" si="512"/>
        <v>3.7321071775843975</v>
      </c>
      <c r="V222" s="38">
        <f t="shared" si="512"/>
        <v>3.9402359821678417</v>
      </c>
      <c r="W222" s="38">
        <f t="shared" si="512"/>
        <v>3.8964561873171806</v>
      </c>
      <c r="X222" s="38">
        <f t="shared" si="512"/>
        <v>3.8261212253651737</v>
      </c>
      <c r="Y222" s="38">
        <f t="shared" si="512"/>
        <v>3.8642160334100857</v>
      </c>
      <c r="Z222" s="38">
        <f t="shared" si="512"/>
        <v>3.7744571022584532</v>
      </c>
      <c r="AA222" s="38">
        <f t="shared" si="512"/>
        <v>3.8497025670428493</v>
      </c>
      <c r="AB222" s="38">
        <f t="shared" si="512"/>
        <v>3.9014462449289873</v>
      </c>
      <c r="AC222" s="38">
        <f t="shared" si="512"/>
        <v>4.3244818958156488</v>
      </c>
      <c r="AD222" s="38">
        <f t="shared" ref="AD222:AI222" si="513">AD219/AD213</f>
        <v>4.2044945324116183</v>
      </c>
      <c r="AE222" s="38">
        <f t="shared" si="513"/>
        <v>3.8402665031194432</v>
      </c>
      <c r="AF222" s="38">
        <f t="shared" si="513"/>
        <v>3.0242160590666693</v>
      </c>
      <c r="AG222" s="38">
        <f t="shared" si="513"/>
        <v>2.8562952399048531</v>
      </c>
      <c r="AH222" s="38">
        <f t="shared" si="513"/>
        <v>2.9416377539504879</v>
      </c>
      <c r="AI222" s="38">
        <f t="shared" si="513"/>
        <v>3.0207643737731527</v>
      </c>
      <c r="AJ222" s="38">
        <f t="shared" ref="AJ222:AO222" si="514">AJ219/AJ213</f>
        <v>3.8795317410876788</v>
      </c>
      <c r="AK222" s="38">
        <f t="shared" si="514"/>
        <v>3.7262385997938225</v>
      </c>
      <c r="AL222" s="38">
        <f t="shared" si="514"/>
        <v>3.3664565766421459</v>
      </c>
      <c r="AM222" s="38">
        <f t="shared" si="514"/>
        <v>3.0498673075490257</v>
      </c>
      <c r="AN222" s="38">
        <f t="shared" si="514"/>
        <v>3.1259650702964232</v>
      </c>
      <c r="AO222" s="38">
        <f t="shared" si="514"/>
        <v>3.3280451929519144</v>
      </c>
      <c r="AP222" s="38">
        <f t="shared" ref="AP222:AU222" si="515">AP219/AP213</f>
        <v>2.0748125046310029</v>
      </c>
      <c r="AQ222" s="38">
        <f t="shared" si="515"/>
        <v>2.1086164141971437</v>
      </c>
      <c r="AR222" s="38">
        <f t="shared" si="515"/>
        <v>2.2108639795587393</v>
      </c>
      <c r="AS222" s="38">
        <f t="shared" si="515"/>
        <v>2.3409187664758631</v>
      </c>
      <c r="AT222" s="38">
        <f t="shared" si="515"/>
        <v>3.8667832820686936</v>
      </c>
      <c r="AU222" s="38">
        <f t="shared" si="515"/>
        <v>3.8671848022929063</v>
      </c>
      <c r="AV222" s="38">
        <f t="shared" ref="AV222:BA222" si="516">AV219/AV213</f>
        <v>3.3071172030106464</v>
      </c>
      <c r="AW222" s="38">
        <f t="shared" si="516"/>
        <v>3.0390527792212287</v>
      </c>
      <c r="AX222" s="38">
        <f t="shared" si="516"/>
        <v>3.2051230334356648</v>
      </c>
      <c r="AY222" s="38">
        <f t="shared" si="516"/>
        <v>3.3348224787295293</v>
      </c>
      <c r="AZ222" s="38">
        <f t="shared" si="516"/>
        <v>3.2366941515586647</v>
      </c>
      <c r="BA222" s="38">
        <f t="shared" si="516"/>
        <v>3.3045868978009265</v>
      </c>
      <c r="BB222" s="38">
        <f>BB219/BB213</f>
        <v>3.3908884398712638</v>
      </c>
      <c r="BC222" s="38">
        <f>BC219/BC213</f>
        <v>2.8442041762290375</v>
      </c>
      <c r="BD222" s="38">
        <f>BD219/BD213</f>
        <v>2.8685335882100689</v>
      </c>
      <c r="BE222" s="38">
        <f>BE219/BE213</f>
        <v>2.6662989402124522</v>
      </c>
    </row>
    <row r="223" spans="2:57">
      <c r="B223" s="5" t="s">
        <v>364</v>
      </c>
      <c r="C223" s="37">
        <f t="shared" ref="C223:K223" si="517">C220/C213</f>
        <v>2.3738798358289901</v>
      </c>
      <c r="D223" s="37">
        <f t="shared" si="517"/>
        <v>3.9723855328410047</v>
      </c>
      <c r="E223" s="37">
        <f t="shared" si="517"/>
        <v>3.5272902704359232</v>
      </c>
      <c r="F223" s="37">
        <f t="shared" si="517"/>
        <v>3.4756630122027072</v>
      </c>
      <c r="G223" s="37">
        <f t="shared" si="517"/>
        <v>3.7461257613140702</v>
      </c>
      <c r="H223" s="37">
        <f t="shared" si="517"/>
        <v>2.4805923442427558</v>
      </c>
      <c r="I223" s="37">
        <f t="shared" si="517"/>
        <v>3.5486071161965516</v>
      </c>
      <c r="J223" s="37">
        <f t="shared" si="517"/>
        <v>3.0010591506668196</v>
      </c>
      <c r="K223" s="37">
        <f t="shared" si="517"/>
        <v>2.0603386997464948</v>
      </c>
      <c r="L223" s="37">
        <f>L220/L213</f>
        <v>2.6459438371629709</v>
      </c>
      <c r="M223" s="37">
        <f>M220/M213</f>
        <v>3.1406170967581724</v>
      </c>
      <c r="N223" s="37">
        <f>N220/N213</f>
        <v>2.5733450215991254</v>
      </c>
      <c r="O223" s="37">
        <f>O220/O213</f>
        <v>2.4129857805260619</v>
      </c>
      <c r="P223" s="37"/>
      <c r="Q223" s="37"/>
      <c r="R223" s="37"/>
      <c r="S223" s="37"/>
      <c r="T223" s="37">
        <f t="shared" ref="T223:AC223" si="518">T220/T213</f>
        <v>3.5261725266210471</v>
      </c>
      <c r="U223" s="37">
        <f t="shared" si="518"/>
        <v>3.5476501947602785</v>
      </c>
      <c r="V223" s="37">
        <f t="shared" si="518"/>
        <v>3.6872441992434801</v>
      </c>
      <c r="W223" s="37">
        <f t="shared" si="518"/>
        <v>3.5687254440928133</v>
      </c>
      <c r="X223" s="37">
        <f t="shared" si="518"/>
        <v>3.4744653388551745</v>
      </c>
      <c r="Y223" s="37">
        <f t="shared" si="518"/>
        <v>3.741755159910614</v>
      </c>
      <c r="Z223" s="37">
        <f t="shared" si="518"/>
        <v>3.7007989613123802</v>
      </c>
      <c r="AA223" s="37">
        <f t="shared" si="518"/>
        <v>3.8288789463203692</v>
      </c>
      <c r="AB223" s="37">
        <f t="shared" si="518"/>
        <v>3.7444277821494238</v>
      </c>
      <c r="AC223" s="37">
        <f t="shared" si="518"/>
        <v>4.253055334079817</v>
      </c>
      <c r="AD223" s="37">
        <f t="shared" ref="AD223:AI223" si="519">AD220/AD213</f>
        <v>4.1540876847247716</v>
      </c>
      <c r="AE223" s="37">
        <f t="shared" si="519"/>
        <v>3.7816118790557733</v>
      </c>
      <c r="AF223" s="37">
        <f t="shared" si="519"/>
        <v>2.4805923442427558</v>
      </c>
      <c r="AG223" s="37">
        <f t="shared" si="519"/>
        <v>2.5362297756706975</v>
      </c>
      <c r="AH223" s="37">
        <f t="shared" si="519"/>
        <v>2.5574494942804273</v>
      </c>
      <c r="AI223" s="37">
        <f t="shared" si="519"/>
        <v>2.6599866933268985</v>
      </c>
      <c r="AJ223" s="37">
        <f t="shared" ref="AJ223:AO223" si="520">AJ220/AJ213</f>
        <v>3.5486071161965516</v>
      </c>
      <c r="AK223" s="37">
        <f t="shared" si="520"/>
        <v>3.6475900173691715</v>
      </c>
      <c r="AL223" s="37">
        <f t="shared" si="520"/>
        <v>3.2164736275369865</v>
      </c>
      <c r="AM223" s="37">
        <f t="shared" si="520"/>
        <v>2.9127619473593884</v>
      </c>
      <c r="AN223" s="37">
        <f t="shared" si="520"/>
        <v>3.0010591506668196</v>
      </c>
      <c r="AO223" s="37">
        <f t="shared" si="520"/>
        <v>3.1874676022887996</v>
      </c>
      <c r="AP223" s="37">
        <f t="shared" ref="AP223:AU223" si="521">AP220/AP213</f>
        <v>1.9275076694629114</v>
      </c>
      <c r="AQ223" s="37">
        <f t="shared" si="521"/>
        <v>1.9214025145473823</v>
      </c>
      <c r="AR223" s="37">
        <f t="shared" si="521"/>
        <v>2.0603386997464948</v>
      </c>
      <c r="AS223" s="37">
        <f t="shared" si="521"/>
        <v>2.2497599191521935</v>
      </c>
      <c r="AT223" s="37">
        <f t="shared" si="521"/>
        <v>3.7407032458503116</v>
      </c>
      <c r="AU223" s="37">
        <f t="shared" si="521"/>
        <v>3.5835173659102586</v>
      </c>
      <c r="AV223" s="37">
        <f t="shared" ref="AV223:BA223" si="522">AV220/AV213</f>
        <v>2.6459438371629709</v>
      </c>
      <c r="AW223" s="37">
        <f t="shared" si="522"/>
        <v>2.7315043650593789</v>
      </c>
      <c r="AX223" s="37">
        <f t="shared" si="522"/>
        <v>3.1035611949899193</v>
      </c>
      <c r="AY223" s="37">
        <f t="shared" si="522"/>
        <v>3.0633228650653002</v>
      </c>
      <c r="AZ223" s="37">
        <f t="shared" si="522"/>
        <v>3.1406170967581724</v>
      </c>
      <c r="BA223" s="37">
        <f t="shared" si="522"/>
        <v>3.0777671404996361</v>
      </c>
      <c r="BB223" s="37">
        <f>BB220/BB213</f>
        <v>3.0417148473185383</v>
      </c>
      <c r="BC223" s="37">
        <f>BC220/BC213</f>
        <v>2.5513225424928412</v>
      </c>
      <c r="BD223" s="37">
        <f>BD220/BD213</f>
        <v>2.5733450215991249</v>
      </c>
      <c r="BE223" s="37">
        <f>BE220/BE213</f>
        <v>2.4129857805260624</v>
      </c>
    </row>
    <row r="224" spans="2:57" s="5" customFormat="1">
      <c r="B224" s="5" t="s">
        <v>365</v>
      </c>
      <c r="C224" s="37">
        <f t="shared" ref="C224:K224" si="523">C221/C213</f>
        <v>2.1119495548605292</v>
      </c>
      <c r="D224" s="37">
        <f t="shared" si="523"/>
        <v>3.2770417773669807</v>
      </c>
      <c r="E224" s="37">
        <f t="shared" si="523"/>
        <v>3.2680902509662113</v>
      </c>
      <c r="F224" s="37">
        <f t="shared" si="523"/>
        <v>3.4856631513006442</v>
      </c>
      <c r="G224" s="37">
        <f t="shared" si="523"/>
        <v>3.5372477184369071</v>
      </c>
      <c r="H224" s="37">
        <f t="shared" si="523"/>
        <v>1.4725084114800662</v>
      </c>
      <c r="I224" s="37">
        <f t="shared" si="523"/>
        <v>1.8907761736784756</v>
      </c>
      <c r="J224" s="37">
        <f t="shared" si="523"/>
        <v>1.4948949049323368</v>
      </c>
      <c r="K224" s="37">
        <f t="shared" si="523"/>
        <v>1.5421905204710771</v>
      </c>
      <c r="L224" s="37">
        <f>L221/L213</f>
        <v>1.4294263269840155</v>
      </c>
      <c r="M224" s="37">
        <f>M221/M213</f>
        <v>1.5901265521441659</v>
      </c>
      <c r="N224" s="37">
        <f>N221/N213</f>
        <v>1.7295648078044243</v>
      </c>
      <c r="O224" s="37">
        <f>O221/O213</f>
        <v>1.5694423517864282</v>
      </c>
      <c r="P224" s="37"/>
      <c r="Q224" s="37"/>
      <c r="R224" s="37"/>
      <c r="S224" s="37"/>
      <c r="T224" s="37">
        <f t="shared" ref="T224:AC224" si="524">T221/T213</f>
        <v>3.2670546436346881</v>
      </c>
      <c r="U224" s="37">
        <f t="shared" si="524"/>
        <v>3.3563861172204059</v>
      </c>
      <c r="V224" s="37">
        <f t="shared" si="524"/>
        <v>3.4509936770796448</v>
      </c>
      <c r="W224" s="37">
        <f t="shared" si="524"/>
        <v>3.4596078343199532</v>
      </c>
      <c r="X224" s="37">
        <f t="shared" si="524"/>
        <v>3.4844620320206294</v>
      </c>
      <c r="Y224" s="37">
        <f t="shared" si="524"/>
        <v>3.8914533694713636</v>
      </c>
      <c r="Z224" s="37">
        <f t="shared" si="524"/>
        <v>3.663294755505953</v>
      </c>
      <c r="AA224" s="37">
        <f t="shared" si="524"/>
        <v>3.7962047372539187</v>
      </c>
      <c r="AB224" s="37">
        <f t="shared" si="524"/>
        <v>3.5356444159028269</v>
      </c>
      <c r="AC224" s="37">
        <f t="shared" si="524"/>
        <v>3.4800684023631514</v>
      </c>
      <c r="AD224" s="37">
        <f t="shared" ref="AD224:AI224" si="525">AD221/AD213</f>
        <v>3.369762808495675</v>
      </c>
      <c r="AE224" s="37">
        <f t="shared" si="525"/>
        <v>2.9726527115847028</v>
      </c>
      <c r="AF224" s="37">
        <f t="shared" si="525"/>
        <v>1.4725084114800662</v>
      </c>
      <c r="AG224" s="37">
        <f t="shared" si="525"/>
        <v>1.3212624934006985</v>
      </c>
      <c r="AH224" s="37">
        <f t="shared" si="525"/>
        <v>1.4707670944221665</v>
      </c>
      <c r="AI224" s="37">
        <f t="shared" si="525"/>
        <v>1.4121643608961767</v>
      </c>
      <c r="AJ224" s="37">
        <f t="shared" ref="AJ224:AO224" si="526">AJ221/AJ213</f>
        <v>1.8907761736784756</v>
      </c>
      <c r="AK224" s="37">
        <f t="shared" si="526"/>
        <v>1.9934783660121578</v>
      </c>
      <c r="AL224" s="37">
        <f t="shared" si="526"/>
        <v>2.3479256142624831</v>
      </c>
      <c r="AM224" s="37">
        <f t="shared" si="526"/>
        <v>1.9145562348191416</v>
      </c>
      <c r="AN224" s="37">
        <f t="shared" si="526"/>
        <v>1.4948949049323368</v>
      </c>
      <c r="AO224" s="37">
        <f t="shared" si="526"/>
        <v>1.6217168587896311</v>
      </c>
      <c r="AP224" s="37">
        <f t="shared" ref="AP224:AU224" si="527">AP221/AP213</f>
        <v>0.99172945842291904</v>
      </c>
      <c r="AQ224" s="37">
        <f t="shared" si="527"/>
        <v>1.0458288608498887</v>
      </c>
      <c r="AR224" s="37">
        <f t="shared" si="527"/>
        <v>1.5421905204710771</v>
      </c>
      <c r="AS224" s="37">
        <f t="shared" si="527"/>
        <v>2.0092568232077852</v>
      </c>
      <c r="AT224" s="37">
        <f t="shared" si="527"/>
        <v>3.4251194782468368</v>
      </c>
      <c r="AU224" s="37">
        <f t="shared" si="527"/>
        <v>2.1849124536322662</v>
      </c>
      <c r="AV224" s="37">
        <f t="shared" ref="AV224:BA224" si="528">AV221/AV213</f>
        <v>1.4294263269840155</v>
      </c>
      <c r="AW224" s="37">
        <f t="shared" si="528"/>
        <v>1.3057688373203822</v>
      </c>
      <c r="AX224" s="37">
        <f t="shared" si="528"/>
        <v>1.553432991878688</v>
      </c>
      <c r="AY224" s="37">
        <f t="shared" si="528"/>
        <v>1.675944210395484</v>
      </c>
      <c r="AZ224" s="37">
        <f t="shared" si="528"/>
        <v>1.5901265521441659</v>
      </c>
      <c r="BA224" s="37">
        <f t="shared" si="528"/>
        <v>1.7153655804869188</v>
      </c>
      <c r="BB224" s="37">
        <f>BB221/BB213</f>
        <v>1.8214728327714469</v>
      </c>
      <c r="BC224" s="37">
        <f>BC221/BC213</f>
        <v>1.6579587837639267</v>
      </c>
      <c r="BD224" s="37">
        <f>BD221/BD213</f>
        <v>1.7295648078044241</v>
      </c>
      <c r="BE224" s="37">
        <f>BE221/BE213</f>
        <v>1.5694423517864282</v>
      </c>
    </row>
    <row r="225" spans="2:57" s="5" customFormat="1">
      <c r="C225" s="37"/>
      <c r="D225" s="37"/>
      <c r="E225" s="37"/>
      <c r="F225" s="37"/>
      <c r="G225" s="37"/>
      <c r="H225" s="37"/>
      <c r="I225" s="37"/>
      <c r="J225" s="37"/>
      <c r="K225" s="37"/>
      <c r="L225" s="37"/>
      <c r="M225" s="37"/>
      <c r="N225" s="37"/>
      <c r="O225" s="37"/>
      <c r="P225" s="37"/>
      <c r="Q225" s="37"/>
      <c r="R225" s="37"/>
      <c r="S225" s="37"/>
      <c r="T225" s="37"/>
      <c r="U225" s="37"/>
      <c r="V225" s="37"/>
      <c r="W225" s="37"/>
      <c r="X225" s="37"/>
      <c r="Y225" s="37"/>
      <c r="Z225" s="37"/>
      <c r="AA225" s="37"/>
      <c r="AB225" s="37"/>
      <c r="AC225" s="37"/>
      <c r="AD225" s="37"/>
      <c r="AE225" s="37"/>
      <c r="AF225" s="37"/>
      <c r="AG225" s="37"/>
      <c r="AH225" s="37"/>
      <c r="AI225" s="37"/>
      <c r="AJ225" s="37"/>
      <c r="AK225" s="37"/>
      <c r="AL225" s="37"/>
      <c r="AM225" s="37"/>
      <c r="AO225" s="37"/>
      <c r="AP225" s="37"/>
      <c r="AQ225" s="37"/>
      <c r="AS225" s="37"/>
      <c r="AT225" s="37"/>
      <c r="AU225" s="37"/>
      <c r="AW225" s="37"/>
      <c r="AX225" s="37"/>
      <c r="AY225" s="37"/>
      <c r="BA225" s="37"/>
      <c r="BB225" s="37"/>
      <c r="BC225" s="37"/>
      <c r="BE225" s="37"/>
    </row>
    <row r="226" spans="2:57">
      <c r="B226" s="16" t="s">
        <v>366</v>
      </c>
      <c r="C226" s="34"/>
      <c r="D226" s="34"/>
      <c r="E226" s="34"/>
      <c r="F226" s="34"/>
      <c r="G226" s="34"/>
      <c r="H226" s="34"/>
      <c r="I226" s="34"/>
      <c r="J226" s="34"/>
      <c r="K226" s="34"/>
      <c r="L226" s="34"/>
      <c r="M226" s="34"/>
      <c r="N226" s="34"/>
      <c r="O226" s="34"/>
      <c r="P226" s="305"/>
      <c r="Q226" s="34"/>
      <c r="R226" s="17"/>
      <c r="S226" s="17"/>
      <c r="T226" s="17"/>
      <c r="U226" s="34"/>
      <c r="V226" s="34"/>
      <c r="W226" s="17"/>
      <c r="X226" s="17"/>
      <c r="Y226" s="34"/>
      <c r="Z226" s="34"/>
      <c r="AA226" s="34"/>
      <c r="AB226" s="17"/>
      <c r="AC226" s="34"/>
      <c r="AD226" s="34"/>
      <c r="AE226" s="34"/>
      <c r="AF226" s="34"/>
      <c r="AG226" s="34"/>
      <c r="AH226" s="34"/>
      <c r="AI226" s="34"/>
      <c r="AJ226" s="34"/>
      <c r="AK226" s="34"/>
      <c r="AL226" s="34"/>
      <c r="AM226" s="34"/>
      <c r="AN226" s="34"/>
      <c r="AO226" s="34"/>
      <c r="AP226" s="34"/>
      <c r="AQ226" s="34"/>
      <c r="AR226" s="34"/>
      <c r="AS226" s="34"/>
      <c r="AT226" s="34"/>
      <c r="AU226" s="34"/>
      <c r="AV226" s="34"/>
      <c r="AW226" s="34"/>
      <c r="AX226" s="34"/>
      <c r="AY226" s="34"/>
      <c r="AZ226" s="34"/>
      <c r="BA226" s="34"/>
      <c r="BB226" s="34"/>
      <c r="BC226" s="34"/>
      <c r="BD226" s="34"/>
      <c r="BE226" s="34"/>
    </row>
    <row r="227" spans="2:57" s="2" customFormat="1">
      <c r="B227" s="58" t="s">
        <v>36</v>
      </c>
      <c r="C227" s="83">
        <f t="shared" ref="C227:O227" si="529">+C128</f>
        <v>41974</v>
      </c>
      <c r="D227" s="83">
        <f t="shared" si="529"/>
        <v>42340</v>
      </c>
      <c r="E227" s="75">
        <f t="shared" si="529"/>
        <v>42707</v>
      </c>
      <c r="F227" s="75">
        <f t="shared" si="529"/>
        <v>43073</v>
      </c>
      <c r="G227" s="75">
        <f t="shared" si="529"/>
        <v>43438</v>
      </c>
      <c r="H227" s="75">
        <f t="shared" si="529"/>
        <v>43803</v>
      </c>
      <c r="I227" s="75">
        <f t="shared" si="529"/>
        <v>44169</v>
      </c>
      <c r="J227" s="75">
        <f t="shared" si="529"/>
        <v>44534</v>
      </c>
      <c r="K227" s="75">
        <f t="shared" si="529"/>
        <v>44926</v>
      </c>
      <c r="L227" s="75">
        <f t="shared" si="529"/>
        <v>45291</v>
      </c>
      <c r="M227" s="75">
        <f t="shared" si="529"/>
        <v>45657</v>
      </c>
      <c r="N227" s="75">
        <f t="shared" si="529"/>
        <v>46022</v>
      </c>
      <c r="O227" s="75">
        <f t="shared" si="529"/>
        <v>46112</v>
      </c>
      <c r="P227" s="327"/>
      <c r="Q227" s="34">
        <f t="shared" ref="Q227:Y227" si="530">+Q128</f>
        <v>42437</v>
      </c>
      <c r="R227" s="34">
        <f t="shared" si="530"/>
        <v>42527</v>
      </c>
      <c r="S227" s="34">
        <f t="shared" si="530"/>
        <v>42622</v>
      </c>
      <c r="T227" s="34">
        <f t="shared" si="530"/>
        <v>42714</v>
      </c>
      <c r="U227" s="34">
        <f t="shared" si="530"/>
        <v>42801</v>
      </c>
      <c r="V227" s="34">
        <f t="shared" si="530"/>
        <v>42892</v>
      </c>
      <c r="W227" s="34">
        <f t="shared" si="530"/>
        <v>42987</v>
      </c>
      <c r="X227" s="34">
        <f t="shared" si="530"/>
        <v>43079</v>
      </c>
      <c r="Y227" s="34">
        <f t="shared" si="530"/>
        <v>43190</v>
      </c>
      <c r="Z227" s="34">
        <f t="shared" ref="Z227:AB229" si="531">Z3</f>
        <v>43281</v>
      </c>
      <c r="AA227" s="34">
        <f t="shared" si="531"/>
        <v>43373</v>
      </c>
      <c r="AB227" s="34">
        <f t="shared" si="531"/>
        <v>43465</v>
      </c>
      <c r="AC227" s="34">
        <f t="shared" ref="AC227:BE227" si="532">+AC128</f>
        <v>43555</v>
      </c>
      <c r="AD227" s="34">
        <f t="shared" si="532"/>
        <v>43646</v>
      </c>
      <c r="AE227" s="34">
        <f t="shared" si="532"/>
        <v>43738</v>
      </c>
      <c r="AF227" s="34">
        <f t="shared" si="532"/>
        <v>43830</v>
      </c>
      <c r="AG227" s="34">
        <f t="shared" si="532"/>
        <v>43921</v>
      </c>
      <c r="AH227" s="34">
        <f t="shared" si="532"/>
        <v>44012</v>
      </c>
      <c r="AI227" s="34">
        <f t="shared" si="532"/>
        <v>44104</v>
      </c>
      <c r="AJ227" s="34">
        <f t="shared" si="532"/>
        <v>44196</v>
      </c>
      <c r="AK227" s="34">
        <f t="shared" si="532"/>
        <v>44286</v>
      </c>
      <c r="AL227" s="34">
        <f t="shared" si="532"/>
        <v>44377</v>
      </c>
      <c r="AM227" s="34">
        <f t="shared" si="532"/>
        <v>44469</v>
      </c>
      <c r="AN227" s="34">
        <f t="shared" si="532"/>
        <v>44560</v>
      </c>
      <c r="AO227" s="34">
        <f t="shared" si="532"/>
        <v>44651</v>
      </c>
      <c r="AP227" s="34">
        <f t="shared" si="532"/>
        <v>44742</v>
      </c>
      <c r="AQ227" s="34">
        <f t="shared" si="532"/>
        <v>44834</v>
      </c>
      <c r="AR227" s="34">
        <f t="shared" si="532"/>
        <v>44926</v>
      </c>
      <c r="AS227" s="34">
        <f t="shared" si="532"/>
        <v>45016</v>
      </c>
      <c r="AT227" s="34">
        <f t="shared" si="532"/>
        <v>45107</v>
      </c>
      <c r="AU227" s="34">
        <f t="shared" si="532"/>
        <v>45199</v>
      </c>
      <c r="AV227" s="34">
        <f t="shared" si="532"/>
        <v>45291</v>
      </c>
      <c r="AW227" s="34">
        <f t="shared" si="532"/>
        <v>45382</v>
      </c>
      <c r="AX227" s="34">
        <f t="shared" si="532"/>
        <v>45473</v>
      </c>
      <c r="AY227" s="34">
        <f t="shared" si="532"/>
        <v>45565</v>
      </c>
      <c r="AZ227" s="34">
        <f t="shared" si="532"/>
        <v>45657</v>
      </c>
      <c r="BA227" s="34">
        <f t="shared" si="532"/>
        <v>45747</v>
      </c>
      <c r="BB227" s="34">
        <f t="shared" si="532"/>
        <v>45838</v>
      </c>
      <c r="BC227" s="34">
        <f t="shared" si="532"/>
        <v>45930</v>
      </c>
      <c r="BD227" s="34">
        <f t="shared" si="532"/>
        <v>46022</v>
      </c>
      <c r="BE227" s="34">
        <f t="shared" si="532"/>
        <v>46112</v>
      </c>
    </row>
    <row r="228" spans="2:57" s="5" customFormat="1">
      <c r="B228" s="11"/>
      <c r="C228" s="14" t="str">
        <f t="shared" ref="C228:O228" si="533">C4</f>
        <v>Act</v>
      </c>
      <c r="D228" s="14" t="str">
        <f t="shared" si="533"/>
        <v>Act</v>
      </c>
      <c r="E228" s="14" t="str">
        <f t="shared" si="533"/>
        <v>Act</v>
      </c>
      <c r="F228" s="14" t="str">
        <f t="shared" si="533"/>
        <v>Act</v>
      </c>
      <c r="G228" s="14" t="str">
        <f t="shared" si="533"/>
        <v>Act</v>
      </c>
      <c r="H228" s="14" t="str">
        <f t="shared" si="533"/>
        <v>Act</v>
      </c>
      <c r="I228" s="14" t="str">
        <f t="shared" si="533"/>
        <v>Act</v>
      </c>
      <c r="J228" s="14" t="str">
        <f t="shared" si="533"/>
        <v>Act</v>
      </c>
      <c r="K228" s="14" t="str">
        <f t="shared" si="533"/>
        <v>Act</v>
      </c>
      <c r="L228" s="14" t="str">
        <f t="shared" si="533"/>
        <v>Act</v>
      </c>
      <c r="M228" s="14" t="str">
        <f t="shared" si="533"/>
        <v>Act</v>
      </c>
      <c r="N228" s="14" t="str">
        <f t="shared" si="533"/>
        <v>Act</v>
      </c>
      <c r="O228" s="14" t="str">
        <f t="shared" si="533"/>
        <v>Act</v>
      </c>
      <c r="P228" s="242"/>
      <c r="Q228" s="14" t="str">
        <f t="shared" ref="Q228:Y228" si="534">Q4</f>
        <v>Act</v>
      </c>
      <c r="R228" s="14" t="str">
        <f t="shared" si="534"/>
        <v>Act</v>
      </c>
      <c r="S228" s="14" t="str">
        <f t="shared" si="534"/>
        <v>Act</v>
      </c>
      <c r="T228" s="14" t="str">
        <f t="shared" si="534"/>
        <v>Act</v>
      </c>
      <c r="U228" s="14" t="str">
        <f t="shared" si="534"/>
        <v>Act</v>
      </c>
      <c r="V228" s="14" t="str">
        <f t="shared" si="534"/>
        <v>Act</v>
      </c>
      <c r="W228" s="14" t="str">
        <f t="shared" si="534"/>
        <v>Act</v>
      </c>
      <c r="X228" s="14" t="str">
        <f t="shared" si="534"/>
        <v>Act</v>
      </c>
      <c r="Y228" s="14" t="str">
        <f t="shared" si="534"/>
        <v>Act</v>
      </c>
      <c r="Z228" s="14" t="str">
        <f t="shared" si="531"/>
        <v>Act</v>
      </c>
      <c r="AA228" s="14" t="str">
        <f t="shared" si="531"/>
        <v>Act</v>
      </c>
      <c r="AB228" s="14" t="str">
        <f t="shared" si="531"/>
        <v>Act</v>
      </c>
      <c r="AC228" s="14" t="str">
        <f t="shared" ref="AC228:BE228" si="535">AC4</f>
        <v>Act</v>
      </c>
      <c r="AD228" s="14" t="str">
        <f t="shared" si="535"/>
        <v>Act</v>
      </c>
      <c r="AE228" s="14" t="str">
        <f t="shared" si="535"/>
        <v>Act</v>
      </c>
      <c r="AF228" s="14" t="str">
        <f t="shared" si="535"/>
        <v>Act</v>
      </c>
      <c r="AG228" s="14" t="str">
        <f t="shared" si="535"/>
        <v>Act</v>
      </c>
      <c r="AH228" s="14" t="str">
        <f t="shared" si="535"/>
        <v>Act</v>
      </c>
      <c r="AI228" s="14" t="str">
        <f t="shared" si="535"/>
        <v>Act</v>
      </c>
      <c r="AJ228" s="14" t="str">
        <f t="shared" si="535"/>
        <v>Act</v>
      </c>
      <c r="AK228" s="14" t="str">
        <f t="shared" si="535"/>
        <v>Act</v>
      </c>
      <c r="AL228" s="14" t="str">
        <f t="shared" si="535"/>
        <v>Act</v>
      </c>
      <c r="AM228" s="14" t="str">
        <f t="shared" si="535"/>
        <v>Act</v>
      </c>
      <c r="AN228" s="14" t="str">
        <f t="shared" si="535"/>
        <v>Act</v>
      </c>
      <c r="AO228" s="14" t="str">
        <f t="shared" si="535"/>
        <v>Act</v>
      </c>
      <c r="AP228" s="14" t="str">
        <f t="shared" si="535"/>
        <v>Act</v>
      </c>
      <c r="AQ228" s="14" t="str">
        <f t="shared" si="535"/>
        <v>Act</v>
      </c>
      <c r="AR228" s="14" t="str">
        <f t="shared" si="535"/>
        <v>Act</v>
      </c>
      <c r="AS228" s="14" t="str">
        <f t="shared" si="535"/>
        <v>Act</v>
      </c>
      <c r="AT228" s="14" t="str">
        <f t="shared" si="535"/>
        <v>Act</v>
      </c>
      <c r="AU228" s="14" t="str">
        <f t="shared" si="535"/>
        <v>Act</v>
      </c>
      <c r="AV228" s="14" t="str">
        <f t="shared" si="535"/>
        <v>Act</v>
      </c>
      <c r="AW228" s="14" t="str">
        <f t="shared" si="535"/>
        <v>Act</v>
      </c>
      <c r="AX228" s="14" t="str">
        <f t="shared" si="535"/>
        <v>Act</v>
      </c>
      <c r="AY228" s="14" t="str">
        <f t="shared" si="535"/>
        <v>Act</v>
      </c>
      <c r="AZ228" s="14" t="str">
        <f t="shared" si="535"/>
        <v>Act</v>
      </c>
      <c r="BA228" s="14" t="str">
        <f t="shared" si="535"/>
        <v>Act</v>
      </c>
      <c r="BB228" s="14" t="str">
        <f t="shared" si="535"/>
        <v>Act</v>
      </c>
      <c r="BC228" s="14" t="str">
        <f t="shared" si="535"/>
        <v>Act</v>
      </c>
      <c r="BD228" s="14" t="str">
        <f t="shared" si="535"/>
        <v>Act</v>
      </c>
      <c r="BE228" s="14" t="str">
        <f t="shared" si="535"/>
        <v>Act</v>
      </c>
    </row>
    <row r="229" spans="2:57" s="3" customFormat="1">
      <c r="C229" s="21" t="str">
        <f t="shared" ref="C229:O229" si="536">C5</f>
        <v>FY</v>
      </c>
      <c r="D229" s="21" t="str">
        <f t="shared" si="536"/>
        <v>FY</v>
      </c>
      <c r="E229" s="21" t="str">
        <f t="shared" si="536"/>
        <v>FY</v>
      </c>
      <c r="F229" s="21" t="str">
        <f t="shared" si="536"/>
        <v>FY</v>
      </c>
      <c r="G229" s="21" t="str">
        <f t="shared" si="536"/>
        <v>FY</v>
      </c>
      <c r="H229" s="21" t="str">
        <f t="shared" si="536"/>
        <v>FY</v>
      </c>
      <c r="I229" s="21" t="str">
        <f t="shared" si="536"/>
        <v>FY</v>
      </c>
      <c r="J229" s="21" t="str">
        <f t="shared" si="536"/>
        <v>FY</v>
      </c>
      <c r="K229" s="21" t="str">
        <f t="shared" si="536"/>
        <v>FY</v>
      </c>
      <c r="L229" s="21" t="str">
        <f t="shared" si="536"/>
        <v>FY</v>
      </c>
      <c r="M229" s="21" t="str">
        <f t="shared" si="536"/>
        <v>FY</v>
      </c>
      <c r="N229" s="21" t="str">
        <f t="shared" si="536"/>
        <v>FY</v>
      </c>
      <c r="O229" s="246" t="str">
        <f t="shared" si="536"/>
        <v>LTM</v>
      </c>
      <c r="P229" s="21"/>
      <c r="Q229" s="21" t="str">
        <f t="shared" ref="Q229:Y229" si="537">Q5</f>
        <v>Q1</v>
      </c>
      <c r="R229" s="21" t="str">
        <f t="shared" si="537"/>
        <v>Q2</v>
      </c>
      <c r="S229" s="21" t="str">
        <f t="shared" si="537"/>
        <v>Q3</v>
      </c>
      <c r="T229" s="21" t="str">
        <f t="shared" si="537"/>
        <v>Q4</v>
      </c>
      <c r="U229" s="21" t="str">
        <f t="shared" si="537"/>
        <v>Q1</v>
      </c>
      <c r="V229" s="21" t="str">
        <f t="shared" si="537"/>
        <v>Q2</v>
      </c>
      <c r="W229" s="21" t="str">
        <f t="shared" si="537"/>
        <v>Q3</v>
      </c>
      <c r="X229" s="21" t="str">
        <f t="shared" si="537"/>
        <v>Q4</v>
      </c>
      <c r="Y229" s="21" t="str">
        <f t="shared" si="537"/>
        <v>Q1</v>
      </c>
      <c r="Z229" s="21" t="str">
        <f t="shared" si="531"/>
        <v>Q2</v>
      </c>
      <c r="AA229" s="21" t="str">
        <f t="shared" si="531"/>
        <v>Q3</v>
      </c>
      <c r="AB229" s="21" t="str">
        <f t="shared" si="531"/>
        <v>Q4</v>
      </c>
      <c r="AC229" s="21" t="str">
        <f t="shared" ref="AC229:BE229" si="538">AC5</f>
        <v>Q1</v>
      </c>
      <c r="AD229" s="21" t="str">
        <f t="shared" si="538"/>
        <v>Q2</v>
      </c>
      <c r="AE229" s="21" t="str">
        <f t="shared" si="538"/>
        <v>Q3</v>
      </c>
      <c r="AF229" s="21" t="str">
        <f t="shared" si="538"/>
        <v>Q4</v>
      </c>
      <c r="AG229" s="21" t="str">
        <f t="shared" si="538"/>
        <v>Q1</v>
      </c>
      <c r="AH229" s="21" t="str">
        <f t="shared" si="538"/>
        <v>Q2</v>
      </c>
      <c r="AI229" s="21" t="str">
        <f t="shared" si="538"/>
        <v>Q3</v>
      </c>
      <c r="AJ229" s="21" t="str">
        <f t="shared" si="538"/>
        <v>Q4</v>
      </c>
      <c r="AK229" s="21" t="str">
        <f t="shared" si="538"/>
        <v>Q1</v>
      </c>
      <c r="AL229" s="21" t="str">
        <f t="shared" si="538"/>
        <v>Q2</v>
      </c>
      <c r="AM229" s="21" t="str">
        <f t="shared" si="538"/>
        <v>Q3</v>
      </c>
      <c r="AN229" s="21" t="str">
        <f t="shared" si="538"/>
        <v>Q4</v>
      </c>
      <c r="AO229" s="21" t="str">
        <f t="shared" si="538"/>
        <v>Q1</v>
      </c>
      <c r="AP229" s="21" t="str">
        <f t="shared" si="538"/>
        <v>Q2</v>
      </c>
      <c r="AQ229" s="21" t="str">
        <f t="shared" si="538"/>
        <v>Q3</v>
      </c>
      <c r="AR229" s="21" t="str">
        <f t="shared" si="538"/>
        <v>Q4</v>
      </c>
      <c r="AS229" s="21" t="str">
        <f t="shared" si="538"/>
        <v>Q1</v>
      </c>
      <c r="AT229" s="21" t="str">
        <f t="shared" si="538"/>
        <v>Q2</v>
      </c>
      <c r="AU229" s="21" t="str">
        <f t="shared" si="538"/>
        <v>Q3</v>
      </c>
      <c r="AV229" s="21" t="str">
        <f t="shared" si="538"/>
        <v>Q4</v>
      </c>
      <c r="AW229" s="21" t="str">
        <f t="shared" si="538"/>
        <v>Q1</v>
      </c>
      <c r="AX229" s="21" t="str">
        <f t="shared" si="538"/>
        <v>Q2</v>
      </c>
      <c r="AY229" s="21" t="str">
        <f t="shared" si="538"/>
        <v>Q3</v>
      </c>
      <c r="AZ229" s="21" t="str">
        <f t="shared" si="538"/>
        <v>Q4</v>
      </c>
      <c r="BA229" s="21" t="str">
        <f t="shared" si="538"/>
        <v>Q1</v>
      </c>
      <c r="BB229" s="21" t="str">
        <f t="shared" si="538"/>
        <v>Q2</v>
      </c>
      <c r="BC229" s="21" t="str">
        <f t="shared" si="538"/>
        <v>Q3</v>
      </c>
      <c r="BD229" s="21" t="str">
        <f t="shared" si="538"/>
        <v>Q4</v>
      </c>
      <c r="BE229" s="21" t="str">
        <f t="shared" si="538"/>
        <v>Q1</v>
      </c>
    </row>
    <row r="230" spans="2:57" s="5" customFormat="1">
      <c r="B230" s="5" t="str">
        <f>+B7</f>
        <v>Revenues</v>
      </c>
      <c r="C230" s="41">
        <f t="shared" ref="C230:O230" si="539">C7*C$207</f>
        <v>2901.9498119339387</v>
      </c>
      <c r="D230" s="41">
        <f t="shared" si="539"/>
        <v>2726.5791641735123</v>
      </c>
      <c r="E230" s="41">
        <f t="shared" si="539"/>
        <v>2761.4549642672928</v>
      </c>
      <c r="F230" s="41">
        <f t="shared" si="539"/>
        <v>2993.912246406052</v>
      </c>
      <c r="G230" s="41">
        <f t="shared" si="539"/>
        <v>2987.0390064866001</v>
      </c>
      <c r="H230" s="41">
        <f t="shared" si="539"/>
        <v>2823.2909386786996</v>
      </c>
      <c r="I230" s="41">
        <f t="shared" si="539"/>
        <v>2632.1384624959042</v>
      </c>
      <c r="J230" s="41">
        <f t="shared" si="539"/>
        <v>3182.4171188966752</v>
      </c>
      <c r="K230" s="41">
        <f t="shared" si="539"/>
        <v>2893.1532188073475</v>
      </c>
      <c r="L230" s="41">
        <f t="shared" si="539"/>
        <v>2956.1937088640752</v>
      </c>
      <c r="M230" s="41">
        <f t="shared" si="539"/>
        <v>2865.6023701826343</v>
      </c>
      <c r="N230" s="41">
        <f t="shared" si="539"/>
        <v>3108.3171433478333</v>
      </c>
      <c r="O230" s="41">
        <f t="shared" si="539"/>
        <v>3225.2212851145237</v>
      </c>
      <c r="P230" s="41"/>
      <c r="Q230" s="41">
        <f t="shared" ref="Q230:BE230" si="540">Q7*Q$207</f>
        <v>655.34262639581368</v>
      </c>
      <c r="R230" s="41">
        <f t="shared" si="540"/>
        <v>674.3983030658668</v>
      </c>
      <c r="S230" s="41">
        <f t="shared" si="540"/>
        <v>707.1508894032994</v>
      </c>
      <c r="T230" s="41">
        <f t="shared" si="540"/>
        <v>726.27428070949009</v>
      </c>
      <c r="U230" s="41">
        <f t="shared" si="540"/>
        <v>722.70894203776595</v>
      </c>
      <c r="V230" s="41">
        <f t="shared" si="540"/>
        <v>720.03928592135378</v>
      </c>
      <c r="W230" s="41">
        <f t="shared" si="540"/>
        <v>747.0923359649986</v>
      </c>
      <c r="X230" s="41">
        <f t="shared" si="540"/>
        <v>806.39723101860102</v>
      </c>
      <c r="Y230" s="41">
        <f t="shared" si="540"/>
        <v>765.76063829867201</v>
      </c>
      <c r="Z230" s="41">
        <f t="shared" si="540"/>
        <v>749.17928656560014</v>
      </c>
      <c r="AA230" s="41">
        <f t="shared" si="540"/>
        <v>726.2223075280001</v>
      </c>
      <c r="AB230" s="41">
        <f t="shared" si="540"/>
        <v>742.3388853299997</v>
      </c>
      <c r="AC230" s="41">
        <f t="shared" si="540"/>
        <v>707.04700752420001</v>
      </c>
      <c r="AD230" s="41">
        <f t="shared" si="540"/>
        <v>706.53219669239991</v>
      </c>
      <c r="AE230" s="41">
        <f t="shared" si="540"/>
        <v>702.81314672799999</v>
      </c>
      <c r="AF230" s="41">
        <f t="shared" si="540"/>
        <v>701.38839065769969</v>
      </c>
      <c r="AG230" s="41">
        <f t="shared" si="540"/>
        <v>644.17615406504547</v>
      </c>
      <c r="AH230" s="41">
        <f t="shared" si="540"/>
        <v>547.18818803855083</v>
      </c>
      <c r="AI230" s="41">
        <f t="shared" si="540"/>
        <v>664.45545596847751</v>
      </c>
      <c r="AJ230" s="41">
        <f t="shared" si="540"/>
        <v>785.36375130455951</v>
      </c>
      <c r="AK230" s="41">
        <f t="shared" si="540"/>
        <v>778.57801276525663</v>
      </c>
      <c r="AL230" s="41">
        <f t="shared" si="540"/>
        <v>816.36187220529166</v>
      </c>
      <c r="AM230" s="41">
        <f t="shared" si="540"/>
        <v>793.43770737184275</v>
      </c>
      <c r="AN230" s="41">
        <f t="shared" si="540"/>
        <v>784.2745064145214</v>
      </c>
      <c r="AO230" s="41">
        <f t="shared" si="540"/>
        <v>782.03491015956263</v>
      </c>
      <c r="AP230" s="41">
        <f t="shared" si="540"/>
        <v>758.84072359919344</v>
      </c>
      <c r="AQ230" s="41">
        <f t="shared" si="540"/>
        <v>657.63112967195684</v>
      </c>
      <c r="AR230" s="41">
        <f t="shared" si="540"/>
        <v>696.6874200650002</v>
      </c>
      <c r="AS230" s="41">
        <f t="shared" si="540"/>
        <v>732.21625983249999</v>
      </c>
      <c r="AT230" s="41">
        <f t="shared" si="540"/>
        <v>759.33206012950006</v>
      </c>
      <c r="AU230" s="41">
        <f t="shared" si="540"/>
        <v>714.51886557867329</v>
      </c>
      <c r="AV230" s="41">
        <f t="shared" si="540"/>
        <v>746.45936874230676</v>
      </c>
      <c r="AW230" s="41">
        <f t="shared" si="540"/>
        <v>686.86261469829583</v>
      </c>
      <c r="AX230" s="41">
        <f t="shared" si="540"/>
        <v>707.56164481857513</v>
      </c>
      <c r="AY230" s="41">
        <f t="shared" si="540"/>
        <v>709.12682478416536</v>
      </c>
      <c r="AZ230" s="41">
        <f t="shared" si="540"/>
        <v>760.39244408300021</v>
      </c>
      <c r="BA230" s="41">
        <f t="shared" si="540"/>
        <v>734.64791580084773</v>
      </c>
      <c r="BB230" s="41">
        <f t="shared" si="540"/>
        <v>745.12875079197454</v>
      </c>
      <c r="BC230" s="41">
        <f t="shared" si="540"/>
        <v>761.01460169615143</v>
      </c>
      <c r="BD230" s="41">
        <f t="shared" si="540"/>
        <v>869.2656179727154</v>
      </c>
      <c r="BE230" s="41">
        <f t="shared" si="540"/>
        <v>851.30003947798821</v>
      </c>
    </row>
    <row r="231" spans="2:57" s="35" customFormat="1">
      <c r="B231" s="25" t="str">
        <f>+B8</f>
        <v xml:space="preserve">% y-o-y growth </v>
      </c>
      <c r="C231" s="51"/>
      <c r="D231" s="51"/>
      <c r="E231" s="51">
        <f t="shared" ref="E231:N231" si="541">+E230/D230-1</f>
        <v>1.2791046213526114E-2</v>
      </c>
      <c r="F231" s="51">
        <f t="shared" si="541"/>
        <v>8.4179276919853052E-2</v>
      </c>
      <c r="G231" s="51">
        <f t="shared" si="541"/>
        <v>-2.2957386034619942E-3</v>
      </c>
      <c r="H231" s="51">
        <f t="shared" si="541"/>
        <v>-5.4819527783972033E-2</v>
      </c>
      <c r="I231" s="51">
        <f t="shared" si="541"/>
        <v>-6.7705553672854801E-2</v>
      </c>
      <c r="J231" s="51">
        <f t="shared" si="541"/>
        <v>0.2090614396778252</v>
      </c>
      <c r="K231" s="51">
        <f t="shared" si="541"/>
        <v>-9.0894401733740637E-2</v>
      </c>
      <c r="L231" s="51">
        <f t="shared" si="541"/>
        <v>2.1789544240838676E-2</v>
      </c>
      <c r="M231" s="51">
        <f t="shared" si="541"/>
        <v>-3.0644588143802998E-2</v>
      </c>
      <c r="N231" s="51">
        <f t="shared" si="541"/>
        <v>8.4699390149419074E-2</v>
      </c>
      <c r="O231" s="255"/>
      <c r="P231" s="328"/>
      <c r="Q231" s="51"/>
      <c r="R231" s="51"/>
      <c r="S231" s="51"/>
      <c r="T231" s="51"/>
      <c r="U231" s="39">
        <f t="shared" ref="U231:BE231" si="542">U230/Q230-1</f>
        <v>0.10279556514192678</v>
      </c>
      <c r="V231" s="39">
        <f t="shared" si="542"/>
        <v>6.7676598010403488E-2</v>
      </c>
      <c r="W231" s="39">
        <f t="shared" si="542"/>
        <v>5.6482212156166778E-2</v>
      </c>
      <c r="X231" s="51">
        <f t="shared" si="542"/>
        <v>0.11032051173675006</v>
      </c>
      <c r="Y231" s="39">
        <f t="shared" si="542"/>
        <v>5.956989564777837E-2</v>
      </c>
      <c r="Z231" s="39">
        <f t="shared" si="542"/>
        <v>4.0470014920031883E-2</v>
      </c>
      <c r="AA231" s="39">
        <f t="shared" si="542"/>
        <v>-2.7935005396677259E-2</v>
      </c>
      <c r="AB231" s="51">
        <f>AB230/X230-1</f>
        <v>-7.9437705419308058E-2</v>
      </c>
      <c r="AC231" s="39">
        <f t="shared" si="542"/>
        <v>-7.6673607701904012E-2</v>
      </c>
      <c r="AD231" s="39">
        <f t="shared" si="542"/>
        <v>-5.6925078733428003E-2</v>
      </c>
      <c r="AE231" s="39">
        <f t="shared" si="542"/>
        <v>-3.2234152761959289E-2</v>
      </c>
      <c r="AF231" s="39">
        <f t="shared" si="542"/>
        <v>-5.5164151415961316E-2</v>
      </c>
      <c r="AG231" s="39">
        <f t="shared" si="542"/>
        <v>-8.8920330317645346E-2</v>
      </c>
      <c r="AH231" s="39">
        <f t="shared" si="542"/>
        <v>-0.2255297202304597</v>
      </c>
      <c r="AI231" s="39">
        <f t="shared" si="542"/>
        <v>-5.4577366598931198E-2</v>
      </c>
      <c r="AJ231" s="39">
        <f t="shared" si="542"/>
        <v>0.11972733191109031</v>
      </c>
      <c r="AK231" s="39">
        <f t="shared" si="542"/>
        <v>0.20864146841213249</v>
      </c>
      <c r="AL231" s="39">
        <f t="shared" si="542"/>
        <v>0.49192159123832702</v>
      </c>
      <c r="AM231" s="39">
        <f t="shared" si="542"/>
        <v>0.19411722824273769</v>
      </c>
      <c r="AN231" s="39">
        <f t="shared" si="542"/>
        <v>-1.3869304360288881E-3</v>
      </c>
      <c r="AO231" s="39">
        <f t="shared" si="542"/>
        <v>4.4400141509624014E-3</v>
      </c>
      <c r="AP231" s="39">
        <f t="shared" si="542"/>
        <v>-7.0460356570441696E-2</v>
      </c>
      <c r="AQ231" s="39">
        <f t="shared" si="542"/>
        <v>-0.17116224303194161</v>
      </c>
      <c r="AR231" s="39">
        <f t="shared" si="542"/>
        <v>-0.11167911953423593</v>
      </c>
      <c r="AS231" s="39">
        <f t="shared" si="542"/>
        <v>-6.3703870095643045E-2</v>
      </c>
      <c r="AT231" s="39">
        <f t="shared" si="542"/>
        <v>6.474830817937427E-4</v>
      </c>
      <c r="AU231" s="39">
        <f t="shared" si="542"/>
        <v>8.6504019259388665E-2</v>
      </c>
      <c r="AV231" s="39">
        <f t="shared" si="542"/>
        <v>7.1440860339724299E-2</v>
      </c>
      <c r="AW231" s="39">
        <f t="shared" si="542"/>
        <v>-6.194023217208966E-2</v>
      </c>
      <c r="AX231" s="39">
        <f t="shared" si="542"/>
        <v>-6.8178887774204777E-2</v>
      </c>
      <c r="AY231" s="39">
        <f t="shared" si="542"/>
        <v>-7.5463938802246E-3</v>
      </c>
      <c r="AZ231" s="39">
        <f t="shared" si="542"/>
        <v>1.8665550898194105E-2</v>
      </c>
      <c r="BA231" s="39">
        <f t="shared" si="542"/>
        <v>6.9570391632890916E-2</v>
      </c>
      <c r="BB231" s="39">
        <f t="shared" si="542"/>
        <v>5.3093756916447798E-2</v>
      </c>
      <c r="BC231" s="39">
        <f t="shared" si="542"/>
        <v>7.3171363849871218E-2</v>
      </c>
      <c r="BD231" s="39">
        <f t="shared" si="542"/>
        <v>0.14318024164615606</v>
      </c>
      <c r="BE231" s="39">
        <f t="shared" si="542"/>
        <v>0.15878643520001923</v>
      </c>
    </row>
    <row r="232" spans="2:57" s="5" customFormat="1" ht="13.5" thickBot="1">
      <c r="B232" s="23"/>
      <c r="C232" s="46"/>
      <c r="D232" s="46"/>
      <c r="E232" s="46"/>
      <c r="F232" s="46"/>
      <c r="G232" s="46"/>
      <c r="H232" s="46"/>
      <c r="I232" s="46"/>
      <c r="J232" s="46"/>
      <c r="K232" s="46"/>
      <c r="L232" s="46"/>
      <c r="M232" s="46"/>
      <c r="N232" s="46"/>
      <c r="O232" s="46"/>
      <c r="P232" s="8"/>
      <c r="Q232" s="46"/>
      <c r="R232" s="46"/>
      <c r="S232" s="46"/>
      <c r="T232" s="46"/>
      <c r="U232" s="46"/>
      <c r="V232" s="46"/>
      <c r="W232" s="46"/>
      <c r="X232" s="46"/>
      <c r="Y232" s="46"/>
      <c r="Z232" s="46"/>
      <c r="AA232" s="46"/>
      <c r="AB232" s="46"/>
      <c r="AC232" s="46"/>
      <c r="AD232" s="46"/>
      <c r="AE232" s="46"/>
      <c r="AF232" s="46"/>
      <c r="AG232" s="46"/>
      <c r="AH232" s="46"/>
      <c r="AI232" s="46"/>
      <c r="AJ232" s="46"/>
      <c r="AK232" s="46"/>
      <c r="AL232" s="46"/>
      <c r="AM232" s="46"/>
      <c r="AN232" s="46"/>
      <c r="AO232" s="46"/>
      <c r="AP232" s="46"/>
      <c r="AQ232" s="46"/>
      <c r="AR232" s="46"/>
      <c r="AS232" s="46"/>
      <c r="AT232" s="46"/>
      <c r="AU232" s="46"/>
      <c r="AV232" s="46"/>
      <c r="AW232" s="46"/>
      <c r="AX232" s="46"/>
      <c r="AY232" s="46"/>
      <c r="AZ232" s="46"/>
      <c r="BA232" s="46"/>
      <c r="BB232" s="46"/>
      <c r="BC232" s="46"/>
      <c r="BD232" s="46"/>
      <c r="BE232" s="46"/>
    </row>
    <row r="233" spans="2:57" s="5" customFormat="1" ht="14.25" thickTop="1" thickBot="1">
      <c r="B233" s="23" t="str">
        <f>B48</f>
        <v xml:space="preserve">Adj. EBITDA </v>
      </c>
      <c r="C233" s="46">
        <f t="shared" ref="C233:O233" si="543">C48*C$207</f>
        <v>744.6691829667401</v>
      </c>
      <c r="D233" s="46">
        <f t="shared" si="543"/>
        <v>544.8005891150101</v>
      </c>
      <c r="E233" s="46">
        <f t="shared" si="543"/>
        <v>628.05306356742551</v>
      </c>
      <c r="F233" s="46">
        <f t="shared" si="543"/>
        <v>673.49416985863752</v>
      </c>
      <c r="G233" s="46">
        <f t="shared" si="543"/>
        <v>666.55175730000008</v>
      </c>
      <c r="H233" s="46">
        <f t="shared" si="543"/>
        <v>1099.2031545249999</v>
      </c>
      <c r="I233" s="46">
        <f t="shared" si="543"/>
        <v>860.63031869581926</v>
      </c>
      <c r="J233" s="46">
        <f t="shared" si="543"/>
        <v>1020.531175420085</v>
      </c>
      <c r="K233" s="46">
        <f t="shared" si="543"/>
        <v>1459.8673575767343</v>
      </c>
      <c r="L233" s="46">
        <f t="shared" si="543"/>
        <v>911.3023003770146</v>
      </c>
      <c r="M233" s="46">
        <f t="shared" si="543"/>
        <v>835.97968866535871</v>
      </c>
      <c r="N233" s="46">
        <f t="shared" si="543"/>
        <v>878.84149634162384</v>
      </c>
      <c r="O233" s="46">
        <f t="shared" si="543"/>
        <v>918.8105212482717</v>
      </c>
      <c r="P233" s="8"/>
      <c r="Q233" s="47">
        <f t="shared" ref="Q233:BE233" si="544">Q48*Q$207</f>
        <v>155.51605878978248</v>
      </c>
      <c r="R233" s="47">
        <f t="shared" si="544"/>
        <v>145.50527431707903</v>
      </c>
      <c r="S233" s="47">
        <f t="shared" si="544"/>
        <v>160.04780366697818</v>
      </c>
      <c r="T233" s="47">
        <f t="shared" si="544"/>
        <v>167.16272942020166</v>
      </c>
      <c r="U233" s="47">
        <f t="shared" si="544"/>
        <v>167.81533315288868</v>
      </c>
      <c r="V233" s="47">
        <f t="shared" si="544"/>
        <v>148.3302884227007</v>
      </c>
      <c r="W233" s="47">
        <f t="shared" si="544"/>
        <v>174.44419094168279</v>
      </c>
      <c r="X233" s="47">
        <f t="shared" si="544"/>
        <v>183.8334602948438</v>
      </c>
      <c r="Y233" s="47">
        <f t="shared" si="544"/>
        <v>164.95063574400001</v>
      </c>
      <c r="Z233" s="47">
        <f t="shared" si="544"/>
        <v>151.58435360000001</v>
      </c>
      <c r="AA233" s="47">
        <f t="shared" si="544"/>
        <v>161.60455039999999</v>
      </c>
      <c r="AB233" s="47">
        <f t="shared" si="544"/>
        <v>185.58602999999999</v>
      </c>
      <c r="AC233" s="47">
        <f t="shared" si="544"/>
        <v>206.62481699999998</v>
      </c>
      <c r="AD233" s="47">
        <f t="shared" si="544"/>
        <v>201.49353379999999</v>
      </c>
      <c r="AE233" s="47">
        <f t="shared" si="544"/>
        <v>208.83206959999998</v>
      </c>
      <c r="AF233" s="47">
        <f t="shared" si="544"/>
        <v>461.24422179999999</v>
      </c>
      <c r="AG233" s="47">
        <f t="shared" si="544"/>
        <v>216.66951569560891</v>
      </c>
      <c r="AH233" s="47">
        <f t="shared" si="544"/>
        <v>195.63780591699677</v>
      </c>
      <c r="AI233" s="47">
        <f t="shared" si="544"/>
        <v>204.71560160219997</v>
      </c>
      <c r="AJ233" s="47">
        <f t="shared" si="544"/>
        <v>245.13129539580936</v>
      </c>
      <c r="AK233" s="47">
        <f t="shared" si="544"/>
        <v>247.92147061531162</v>
      </c>
      <c r="AL233" s="47">
        <f t="shared" si="544"/>
        <v>281.8836222956769</v>
      </c>
      <c r="AM233" s="47">
        <f t="shared" si="544"/>
        <v>266.05301381815076</v>
      </c>
      <c r="AN233" s="47">
        <f t="shared" si="544"/>
        <v>224.74725882260344</v>
      </c>
      <c r="AO233" s="47">
        <f t="shared" si="544"/>
        <v>231.37794857240218</v>
      </c>
      <c r="AP233" s="47">
        <f t="shared" si="544"/>
        <v>805.97718240677784</v>
      </c>
      <c r="AQ233" s="47">
        <f t="shared" si="544"/>
        <v>246.22800742980564</v>
      </c>
      <c r="AR233" s="47">
        <f t="shared" si="544"/>
        <v>190.55835500000001</v>
      </c>
      <c r="AS233" s="47">
        <f t="shared" si="544"/>
        <v>160.85975250000001</v>
      </c>
      <c r="AT233" s="47">
        <f t="shared" si="544"/>
        <v>241.63786650000003</v>
      </c>
      <c r="AU233" s="47">
        <f t="shared" si="544"/>
        <v>225.01873847109019</v>
      </c>
      <c r="AV233" s="47">
        <f t="shared" si="544"/>
        <v>278.88751287190377</v>
      </c>
      <c r="AW233" s="47">
        <f t="shared" si="544"/>
        <v>198.49676519091716</v>
      </c>
      <c r="AX233" s="47">
        <f t="shared" si="544"/>
        <v>214.12950349141067</v>
      </c>
      <c r="AY233" s="47">
        <f t="shared" si="544"/>
        <v>209.33975551278883</v>
      </c>
      <c r="AZ233" s="47">
        <f t="shared" si="544"/>
        <v>213.82618633699994</v>
      </c>
      <c r="BA233" s="47">
        <f t="shared" si="544"/>
        <v>201.11108594464298</v>
      </c>
      <c r="BB233" s="47">
        <f t="shared" si="544"/>
        <v>213.99007602956706</v>
      </c>
      <c r="BC233" s="47">
        <f t="shared" si="544"/>
        <v>222.56881498614322</v>
      </c>
      <c r="BD233" s="47">
        <f t="shared" si="544"/>
        <v>241.61340672049351</v>
      </c>
      <c r="BE233" s="47">
        <f t="shared" si="544"/>
        <v>240.78989363502035</v>
      </c>
    </row>
    <row r="234" spans="2:57" s="35" customFormat="1" ht="13.5" thickTop="1">
      <c r="B234" s="25" t="str">
        <f>B49</f>
        <v xml:space="preserve">% growth </v>
      </c>
      <c r="C234" s="51"/>
      <c r="D234" s="51"/>
      <c r="E234" s="51">
        <f t="shared" ref="E234:N234" si="545">+E233/D233-1</f>
        <v>0.15281274674767364</v>
      </c>
      <c r="F234" s="51">
        <f t="shared" si="545"/>
        <v>7.2352336016164642E-2</v>
      </c>
      <c r="G234" s="51">
        <f t="shared" si="545"/>
        <v>-1.0308051456621503E-2</v>
      </c>
      <c r="H234" s="51">
        <f t="shared" si="545"/>
        <v>0.64908897544211719</v>
      </c>
      <c r="I234" s="51">
        <f t="shared" si="545"/>
        <v>-0.21704162223977197</v>
      </c>
      <c r="J234" s="51">
        <f t="shared" si="545"/>
        <v>0.18579505421860576</v>
      </c>
      <c r="K234" s="51">
        <f t="shared" si="545"/>
        <v>0.43049756120953764</v>
      </c>
      <c r="L234" s="51">
        <f t="shared" si="545"/>
        <v>-0.37576362972475441</v>
      </c>
      <c r="M234" s="51">
        <f t="shared" si="545"/>
        <v>-8.2653814964029126E-2</v>
      </c>
      <c r="N234" s="51">
        <f t="shared" si="545"/>
        <v>5.1271350557205553E-2</v>
      </c>
      <c r="O234" s="255"/>
      <c r="P234" s="328"/>
      <c r="Q234" s="51"/>
      <c r="R234" s="51"/>
      <c r="S234" s="51"/>
      <c r="T234" s="51"/>
      <c r="U234" s="39">
        <f t="shared" ref="U234:BE234" si="546">U233/Q233-1</f>
        <v>7.9086844527944455E-2</v>
      </c>
      <c r="V234" s="39">
        <f t="shared" si="546"/>
        <v>1.9415200712693981E-2</v>
      </c>
      <c r="W234" s="39">
        <f t="shared" si="546"/>
        <v>8.9950545679840177E-2</v>
      </c>
      <c r="X234" s="51">
        <f t="shared" si="546"/>
        <v>9.9727558484262735E-2</v>
      </c>
      <c r="Y234" s="39">
        <f t="shared" si="546"/>
        <v>-1.7070534349079902E-2</v>
      </c>
      <c r="Z234" s="39">
        <f t="shared" si="546"/>
        <v>2.1937968380578488E-2</v>
      </c>
      <c r="AA234" s="39">
        <f t="shared" si="546"/>
        <v>-7.3603141912447656E-2</v>
      </c>
      <c r="AB234" s="51">
        <f>AB233/X233-1</f>
        <v>9.5334641601443337E-3</v>
      </c>
      <c r="AC234" s="39">
        <f t="shared" si="546"/>
        <v>0.25264638155549424</v>
      </c>
      <c r="AD234" s="39">
        <f t="shared" si="546"/>
        <v>0.32925020963377305</v>
      </c>
      <c r="AE234" s="39">
        <f t="shared" si="546"/>
        <v>0.29224127094876651</v>
      </c>
      <c r="AF234" s="39">
        <f t="shared" si="546"/>
        <v>1.4853391270883916</v>
      </c>
      <c r="AG234" s="39">
        <f t="shared" si="546"/>
        <v>4.8613224884835216E-2</v>
      </c>
      <c r="AH234" s="39">
        <f t="shared" si="546"/>
        <v>-2.9061616879554775E-2</v>
      </c>
      <c r="AI234" s="39">
        <f t="shared" si="546"/>
        <v>-1.9711857501986008E-2</v>
      </c>
      <c r="AJ234" s="39">
        <f t="shared" si="546"/>
        <v>-0.46854337938546431</v>
      </c>
      <c r="AK234" s="39">
        <f t="shared" si="546"/>
        <v>0.14423789530045128</v>
      </c>
      <c r="AL234" s="39">
        <f t="shared" si="546"/>
        <v>0.44084432441075139</v>
      </c>
      <c r="AM234" s="39">
        <f t="shared" si="546"/>
        <v>0.29962255800679349</v>
      </c>
      <c r="AN234" s="39">
        <f t="shared" si="546"/>
        <v>-8.3155586235091561E-2</v>
      </c>
      <c r="AO234" s="39">
        <f t="shared" si="546"/>
        <v>-6.6728879922543172E-2</v>
      </c>
      <c r="AP234" s="39">
        <f t="shared" si="546"/>
        <v>1.8592550920229134</v>
      </c>
      <c r="AQ234" s="39">
        <f t="shared" si="546"/>
        <v>-7.4515248310232152E-2</v>
      </c>
      <c r="AR234" s="39">
        <f t="shared" si="546"/>
        <v>-0.15212156091118012</v>
      </c>
      <c r="AS234" s="39">
        <f t="shared" si="546"/>
        <v>-0.30477492132460404</v>
      </c>
      <c r="AT234" s="39">
        <f t="shared" si="546"/>
        <v>-0.70019267074232749</v>
      </c>
      <c r="AU234" s="39">
        <f t="shared" si="546"/>
        <v>-8.6136703862828345E-2</v>
      </c>
      <c r="AV234" s="39">
        <f t="shared" si="546"/>
        <v>0.463528129595282</v>
      </c>
      <c r="AW234" s="39">
        <f t="shared" si="546"/>
        <v>0.23397408056385727</v>
      </c>
      <c r="AX234" s="39">
        <f t="shared" si="546"/>
        <v>-0.11384127581919923</v>
      </c>
      <c r="AY234" s="39">
        <f t="shared" si="546"/>
        <v>-6.9678565726719488E-2</v>
      </c>
      <c r="AZ234" s="39">
        <f t="shared" si="546"/>
        <v>-0.23328877605497966</v>
      </c>
      <c r="BA234" s="39">
        <f t="shared" si="546"/>
        <v>1.3170596262419343E-2</v>
      </c>
      <c r="BB234" s="39">
        <f t="shared" si="546"/>
        <v>-6.51136156252341E-4</v>
      </c>
      <c r="BC234" s="39">
        <f t="shared" si="546"/>
        <v>6.3194205233253919E-2</v>
      </c>
      <c r="BD234" s="39">
        <f t="shared" si="546"/>
        <v>0.12995237327807763</v>
      </c>
      <c r="BE234" s="39">
        <f t="shared" si="546"/>
        <v>0.19729796348123352</v>
      </c>
    </row>
    <row r="235" spans="2:57" s="35" customFormat="1">
      <c r="B235" s="25" t="str">
        <f>B50</f>
        <v>% margin</v>
      </c>
      <c r="C235" s="51">
        <f t="shared" ref="C235:O235" si="547">C233/C230</f>
        <v>0.25660994545955712</v>
      </c>
      <c r="D235" s="51">
        <f t="shared" si="547"/>
        <v>0.19981102924629421</v>
      </c>
      <c r="E235" s="51">
        <f t="shared" si="547"/>
        <v>0.22743556266327494</v>
      </c>
      <c r="F235" s="51">
        <f t="shared" si="547"/>
        <v>0.22495454590130773</v>
      </c>
      <c r="G235" s="51">
        <f t="shared" si="547"/>
        <v>0.22314799232702628</v>
      </c>
      <c r="H235" s="51">
        <f t="shared" si="547"/>
        <v>0.38933400007277574</v>
      </c>
      <c r="I235" s="51">
        <f t="shared" si="547"/>
        <v>0.32697000213268929</v>
      </c>
      <c r="J235" s="51">
        <f t="shared" si="547"/>
        <v>0.32067800583409917</v>
      </c>
      <c r="K235" s="51">
        <f t="shared" si="547"/>
        <v>0.50459386253263816</v>
      </c>
      <c r="L235" s="51">
        <f t="shared" si="547"/>
        <v>0.30826880445773791</v>
      </c>
      <c r="M235" s="51">
        <f t="shared" si="547"/>
        <v>0.29172913079775231</v>
      </c>
      <c r="N235" s="51">
        <f t="shared" si="547"/>
        <v>0.28273868328476348</v>
      </c>
      <c r="O235" s="255">
        <f t="shared" si="547"/>
        <v>0.28488293981218898</v>
      </c>
      <c r="P235" s="328"/>
      <c r="Q235" s="51">
        <f t="shared" ref="Q235:BE235" si="548">Q233/Q230</f>
        <v>0.23730496464891013</v>
      </c>
      <c r="R235" s="51">
        <f t="shared" si="548"/>
        <v>0.21575569460302732</v>
      </c>
      <c r="S235" s="51">
        <f t="shared" si="548"/>
        <v>0.22632765660809398</v>
      </c>
      <c r="T235" s="51">
        <f t="shared" si="548"/>
        <v>0.23016473784105648</v>
      </c>
      <c r="U235" s="51">
        <f t="shared" si="548"/>
        <v>0.23220320573274339</v>
      </c>
      <c r="V235" s="51">
        <f t="shared" si="548"/>
        <v>0.20600304917098936</v>
      </c>
      <c r="W235" s="51">
        <f t="shared" si="548"/>
        <v>0.2334974976237148</v>
      </c>
      <c r="X235" s="51">
        <f t="shared" si="548"/>
        <v>0.22796886351238393</v>
      </c>
      <c r="Y235" s="51">
        <f t="shared" si="548"/>
        <v>0.21540756666532107</v>
      </c>
      <c r="Z235" s="51">
        <f t="shared" si="548"/>
        <v>0.20233388231393246</v>
      </c>
      <c r="AA235" s="51">
        <f t="shared" si="548"/>
        <v>0.22252765954007711</v>
      </c>
      <c r="AB235" s="51">
        <f t="shared" si="548"/>
        <v>0.25000176289768183</v>
      </c>
      <c r="AC235" s="51">
        <f t="shared" si="548"/>
        <v>0.29223632205660366</v>
      </c>
      <c r="AD235" s="51">
        <f t="shared" si="548"/>
        <v>0.28518662665803951</v>
      </c>
      <c r="AE235" s="51">
        <f t="shared" si="548"/>
        <v>0.29713739785920845</v>
      </c>
      <c r="AF235" s="51">
        <f t="shared" si="548"/>
        <v>0.65761599128763193</v>
      </c>
      <c r="AG235" s="51">
        <f t="shared" si="548"/>
        <v>0.33635134478096618</v>
      </c>
      <c r="AH235" s="51">
        <f t="shared" si="548"/>
        <v>0.35753294788449191</v>
      </c>
      <c r="AI235" s="51">
        <f t="shared" si="548"/>
        <v>0.30809529783123929</v>
      </c>
      <c r="AJ235" s="51">
        <f t="shared" si="548"/>
        <v>0.31212453463586054</v>
      </c>
      <c r="AK235" s="51">
        <f t="shared" si="548"/>
        <v>0.31842855378714707</v>
      </c>
      <c r="AL235" s="51">
        <f t="shared" si="548"/>
        <v>0.3452924884086101</v>
      </c>
      <c r="AM235" s="51">
        <f t="shared" si="548"/>
        <v>0.33531682619347158</v>
      </c>
      <c r="AN235" s="51">
        <f t="shared" si="548"/>
        <v>0.28656708459144437</v>
      </c>
      <c r="AO235" s="51">
        <f t="shared" si="548"/>
        <v>0.29586652151525172</v>
      </c>
      <c r="AP235" s="51">
        <f t="shared" si="548"/>
        <v>1.0621164064364066</v>
      </c>
      <c r="AQ235" s="51">
        <f t="shared" si="548"/>
        <v>0.3744165936193295</v>
      </c>
      <c r="AR235" s="51">
        <f t="shared" si="548"/>
        <v>0.27352059117447697</v>
      </c>
      <c r="AS235" s="51">
        <f t="shared" si="548"/>
        <v>0.2196888560447946</v>
      </c>
      <c r="AT235" s="51">
        <f t="shared" si="548"/>
        <v>0.31822423836389835</v>
      </c>
      <c r="AU235" s="51">
        <f t="shared" si="548"/>
        <v>0.31492343912970361</v>
      </c>
      <c r="AV235" s="51">
        <f t="shared" si="548"/>
        <v>0.37361378870734158</v>
      </c>
      <c r="AW235" s="51">
        <f t="shared" si="548"/>
        <v>0.28899049233900553</v>
      </c>
      <c r="AX235" s="51">
        <f t="shared" si="548"/>
        <v>0.30263017372333023</v>
      </c>
      <c r="AY235" s="51">
        <f t="shared" si="548"/>
        <v>0.29520777975999551</v>
      </c>
      <c r="AZ235" s="51">
        <f t="shared" si="548"/>
        <v>0.28120503826792348</v>
      </c>
      <c r="BA235" s="51">
        <f t="shared" si="548"/>
        <v>0.27375165929030043</v>
      </c>
      <c r="BB235" s="51">
        <f t="shared" si="548"/>
        <v>0.28718537004795958</v>
      </c>
      <c r="BC235" s="51">
        <f t="shared" si="548"/>
        <v>0.29246326481789081</v>
      </c>
      <c r="BD235" s="51">
        <f t="shared" si="548"/>
        <v>0.27795118284325987</v>
      </c>
      <c r="BE235" s="51">
        <f t="shared" si="548"/>
        <v>0.28284962113084267</v>
      </c>
    </row>
    <row r="236" spans="2:57">
      <c r="C236" s="40"/>
      <c r="D236" s="40"/>
      <c r="R236" s="40"/>
      <c r="S236" s="40"/>
      <c r="T236" s="40"/>
      <c r="W236" s="40"/>
      <c r="X236" s="40"/>
      <c r="AB236" s="40"/>
    </row>
    <row r="237" spans="2:57" s="5" customFormat="1">
      <c r="B237" s="5" t="str">
        <f t="shared" ref="B237:B255" si="549">B57</f>
        <v xml:space="preserve">Adjusted EBITDA </v>
      </c>
      <c r="C237" s="74">
        <f t="shared" ref="C237:O237" si="550">C57*C$207</f>
        <v>744.6691829667401</v>
      </c>
      <c r="D237" s="74">
        <f t="shared" si="550"/>
        <v>544.8005891150101</v>
      </c>
      <c r="E237" s="74">
        <f t="shared" si="550"/>
        <v>628.05306356742551</v>
      </c>
      <c r="F237" s="74">
        <f t="shared" si="550"/>
        <v>673.49416985863752</v>
      </c>
      <c r="G237" s="74">
        <f t="shared" si="550"/>
        <v>666.55175730000008</v>
      </c>
      <c r="H237" s="74">
        <f t="shared" si="550"/>
        <v>1099.2031545249999</v>
      </c>
      <c r="I237" s="74">
        <f t="shared" si="550"/>
        <v>860.63031869581926</v>
      </c>
      <c r="J237" s="74">
        <f t="shared" si="550"/>
        <v>1020.531175420085</v>
      </c>
      <c r="K237" s="74">
        <f t="shared" si="550"/>
        <v>1459.8673575767343</v>
      </c>
      <c r="L237" s="74">
        <f t="shared" si="550"/>
        <v>911.3023003770146</v>
      </c>
      <c r="M237" s="74">
        <f t="shared" si="550"/>
        <v>835.97968866535871</v>
      </c>
      <c r="N237" s="74">
        <f t="shared" si="550"/>
        <v>878.84149634162384</v>
      </c>
      <c r="O237" s="256">
        <f t="shared" si="550"/>
        <v>918.8105212482717</v>
      </c>
      <c r="P237" s="70"/>
      <c r="Q237" s="74">
        <f t="shared" ref="Q237:BE237" si="551">Q57*Q$207</f>
        <v>155.51605878978248</v>
      </c>
      <c r="R237" s="74">
        <f t="shared" si="551"/>
        <v>145.50527431707903</v>
      </c>
      <c r="S237" s="74">
        <f t="shared" si="551"/>
        <v>160.04780366697818</v>
      </c>
      <c r="T237" s="74">
        <f t="shared" si="551"/>
        <v>167.16272942020166</v>
      </c>
      <c r="U237" s="74">
        <f t="shared" si="551"/>
        <v>167.81533315288868</v>
      </c>
      <c r="V237" s="74">
        <f t="shared" si="551"/>
        <v>148.3302884227007</v>
      </c>
      <c r="W237" s="74">
        <f t="shared" si="551"/>
        <v>174.44419094168279</v>
      </c>
      <c r="X237" s="74">
        <f t="shared" si="551"/>
        <v>183.8334602948438</v>
      </c>
      <c r="Y237" s="74">
        <f t="shared" si="551"/>
        <v>164.95063574400001</v>
      </c>
      <c r="Z237" s="74">
        <f t="shared" si="551"/>
        <v>151.58435360000001</v>
      </c>
      <c r="AA237" s="74">
        <f t="shared" si="551"/>
        <v>161.60455039999999</v>
      </c>
      <c r="AB237" s="74">
        <f t="shared" si="551"/>
        <v>185.58602999999999</v>
      </c>
      <c r="AC237" s="74">
        <f t="shared" si="551"/>
        <v>206.62481699999998</v>
      </c>
      <c r="AD237" s="74">
        <f t="shared" si="551"/>
        <v>201.49353379999999</v>
      </c>
      <c r="AE237" s="74">
        <f t="shared" si="551"/>
        <v>208.83206959999998</v>
      </c>
      <c r="AF237" s="74">
        <f t="shared" si="551"/>
        <v>461.24422179999999</v>
      </c>
      <c r="AG237" s="74">
        <f t="shared" si="551"/>
        <v>216.66951569560891</v>
      </c>
      <c r="AH237" s="74">
        <f t="shared" si="551"/>
        <v>195.63780591699677</v>
      </c>
      <c r="AI237" s="74">
        <f t="shared" si="551"/>
        <v>204.71560160219997</v>
      </c>
      <c r="AJ237" s="74">
        <f t="shared" si="551"/>
        <v>245.13129539580936</v>
      </c>
      <c r="AK237" s="74">
        <f t="shared" si="551"/>
        <v>247.92147061531162</v>
      </c>
      <c r="AL237" s="74">
        <f t="shared" si="551"/>
        <v>281.8836222956769</v>
      </c>
      <c r="AM237" s="74">
        <f t="shared" si="551"/>
        <v>266.05301381815076</v>
      </c>
      <c r="AN237" s="74">
        <f t="shared" si="551"/>
        <v>224.74725882260344</v>
      </c>
      <c r="AO237" s="74">
        <f t="shared" si="551"/>
        <v>231.37794857240218</v>
      </c>
      <c r="AP237" s="74">
        <f t="shared" si="551"/>
        <v>805.97718240677784</v>
      </c>
      <c r="AQ237" s="74">
        <f t="shared" si="551"/>
        <v>246.22800742980564</v>
      </c>
      <c r="AR237" s="74">
        <f t="shared" si="551"/>
        <v>190.55835500000001</v>
      </c>
      <c r="AS237" s="74">
        <f t="shared" si="551"/>
        <v>160.85975250000001</v>
      </c>
      <c r="AT237" s="74">
        <f t="shared" si="551"/>
        <v>241.63786650000003</v>
      </c>
      <c r="AU237" s="74">
        <f t="shared" si="551"/>
        <v>225.01873847109019</v>
      </c>
      <c r="AV237" s="74">
        <f t="shared" si="551"/>
        <v>278.88751287190377</v>
      </c>
      <c r="AW237" s="74">
        <f t="shared" si="551"/>
        <v>198.49676519091716</v>
      </c>
      <c r="AX237" s="74">
        <f t="shared" si="551"/>
        <v>214.12950349141067</v>
      </c>
      <c r="AY237" s="74">
        <f t="shared" si="551"/>
        <v>209.33975551278883</v>
      </c>
      <c r="AZ237" s="74">
        <f t="shared" si="551"/>
        <v>213.82618633699994</v>
      </c>
      <c r="BA237" s="74">
        <f t="shared" si="551"/>
        <v>201.11108594464298</v>
      </c>
      <c r="BB237" s="74">
        <f t="shared" si="551"/>
        <v>213.99007602956706</v>
      </c>
      <c r="BC237" s="74">
        <f t="shared" si="551"/>
        <v>222.56881498614322</v>
      </c>
      <c r="BD237" s="74">
        <f t="shared" si="551"/>
        <v>241.61340672049351</v>
      </c>
      <c r="BE237" s="74">
        <f t="shared" si="551"/>
        <v>240.78989363502035</v>
      </c>
    </row>
    <row r="238" spans="2:57">
      <c r="B238" s="1" t="str">
        <f t="shared" si="549"/>
        <v>Working Capital</v>
      </c>
      <c r="C238" s="81">
        <f t="shared" ref="C238:O238" si="552">C58*C$207</f>
        <v>1427.0234448588183</v>
      </c>
      <c r="D238" s="81">
        <f t="shared" si="552"/>
        <v>1133.0042215108508</v>
      </c>
      <c r="E238" s="81">
        <f t="shared" si="552"/>
        <v>1132.8089522668106</v>
      </c>
      <c r="F238" s="76">
        <f t="shared" si="552"/>
        <v>1427.3636468874115</v>
      </c>
      <c r="G238" s="76">
        <f t="shared" si="552"/>
        <v>1311.4723604072999</v>
      </c>
      <c r="H238" s="76">
        <f t="shared" si="552"/>
        <v>1446.1993816569252</v>
      </c>
      <c r="I238" s="76">
        <f t="shared" si="552"/>
        <v>1457.4053296901486</v>
      </c>
      <c r="J238" s="76">
        <f t="shared" si="552"/>
        <v>1205.9083901645672</v>
      </c>
      <c r="K238" s="76">
        <f t="shared" si="552"/>
        <v>1283.3304354548052</v>
      </c>
      <c r="L238" s="76">
        <f t="shared" si="552"/>
        <v>114.11681732282194</v>
      </c>
      <c r="M238" s="76">
        <f t="shared" si="552"/>
        <v>-61.375551874654079</v>
      </c>
      <c r="N238" s="76">
        <f t="shared" si="552"/>
        <v>27.349628628714356</v>
      </c>
      <c r="O238" s="257">
        <f t="shared" si="552"/>
        <v>22.400298373916918</v>
      </c>
      <c r="P238" s="329"/>
      <c r="Q238" s="76">
        <f t="shared" ref="Q238:BE238" si="553">Q58*Q$207</f>
        <v>321.51472121763442</v>
      </c>
      <c r="R238" s="76">
        <f t="shared" si="553"/>
        <v>271.84006303530867</v>
      </c>
      <c r="S238" s="76">
        <f t="shared" si="553"/>
        <v>206.45826322655535</v>
      </c>
      <c r="T238" s="76">
        <f t="shared" si="553"/>
        <v>330.47358827562664</v>
      </c>
      <c r="U238" s="76">
        <f t="shared" si="553"/>
        <v>334.00008265095414</v>
      </c>
      <c r="V238" s="76">
        <f t="shared" si="553"/>
        <v>291.79018897529687</v>
      </c>
      <c r="W238" s="76">
        <f t="shared" si="553"/>
        <v>399.52804210970083</v>
      </c>
      <c r="X238" s="76">
        <f t="shared" si="553"/>
        <v>405.46221696236029</v>
      </c>
      <c r="Y238" s="76">
        <f t="shared" si="553"/>
        <v>293.42677095843197</v>
      </c>
      <c r="Z238" s="76">
        <f t="shared" si="553"/>
        <v>344.24587262240004</v>
      </c>
      <c r="AA238" s="76">
        <f t="shared" si="553"/>
        <v>340.89378332000024</v>
      </c>
      <c r="AB238" s="76">
        <f t="shared" si="553"/>
        <v>328.33401383999967</v>
      </c>
      <c r="AC238" s="76">
        <f t="shared" si="553"/>
        <v>352.00493018459991</v>
      </c>
      <c r="AD238" s="76">
        <f t="shared" si="553"/>
        <v>372.03788272040015</v>
      </c>
      <c r="AE238" s="76">
        <f t="shared" si="553"/>
        <v>326.79296742399993</v>
      </c>
      <c r="AF238" s="76">
        <f t="shared" si="553"/>
        <v>390.21476419900023</v>
      </c>
      <c r="AG238" s="76">
        <f t="shared" si="553"/>
        <v>288.76255983700253</v>
      </c>
      <c r="AH238" s="76">
        <f t="shared" si="553"/>
        <v>323.28948526976274</v>
      </c>
      <c r="AI238" s="76">
        <f t="shared" si="553"/>
        <v>497.01013463571826</v>
      </c>
      <c r="AJ238" s="76">
        <f t="shared" si="553"/>
        <v>345.62778733277707</v>
      </c>
      <c r="AK238" s="76">
        <f t="shared" si="553"/>
        <v>364.50050840708502</v>
      </c>
      <c r="AL238" s="76">
        <f t="shared" si="553"/>
        <v>392.70836569525449</v>
      </c>
      <c r="AM238" s="76">
        <f t="shared" si="553"/>
        <v>328.18849226766503</v>
      </c>
      <c r="AN238" s="76">
        <f t="shared" si="553"/>
        <v>139.05715975182918</v>
      </c>
      <c r="AO238" s="76">
        <f t="shared" si="553"/>
        <v>336.63000860660139</v>
      </c>
      <c r="AP238" s="76">
        <f t="shared" si="553"/>
        <v>212.89344719236567</v>
      </c>
      <c r="AQ238" s="76">
        <f t="shared" si="553"/>
        <v>244.72416021242327</v>
      </c>
      <c r="AR238" s="76">
        <f t="shared" si="553"/>
        <v>483.97521399499971</v>
      </c>
      <c r="AS238" s="76">
        <f t="shared" si="553"/>
        <v>-11.471285</v>
      </c>
      <c r="AT238" s="76">
        <f t="shared" si="553"/>
        <v>11.672167000000002</v>
      </c>
      <c r="AU238" s="76">
        <f t="shared" si="553"/>
        <v>22.198579643651065</v>
      </c>
      <c r="AV238" s="76">
        <f t="shared" si="553"/>
        <v>86.718736100819569</v>
      </c>
      <c r="AW238" s="76">
        <f t="shared" si="553"/>
        <v>-67.548310710812288</v>
      </c>
      <c r="AX238" s="76">
        <f t="shared" si="553"/>
        <v>4.7648117208585008</v>
      </c>
      <c r="AY238" s="76">
        <f t="shared" si="553"/>
        <v>-40.486609110750344</v>
      </c>
      <c r="AZ238" s="76">
        <f t="shared" si="553"/>
        <v>40.658695999999999</v>
      </c>
      <c r="BA238" s="76">
        <f t="shared" si="553"/>
        <v>-29.978804754384505</v>
      </c>
      <c r="BB238" s="76">
        <f t="shared" si="553"/>
        <v>8.7434002111932418</v>
      </c>
      <c r="BC238" s="76">
        <f t="shared" si="553"/>
        <v>-3.569419266112396</v>
      </c>
      <c r="BD238" s="76">
        <f t="shared" si="553"/>
        <v>53.541216028098432</v>
      </c>
      <c r="BE238" s="76">
        <f t="shared" si="553"/>
        <v>-38.350045681672057</v>
      </c>
    </row>
    <row r="239" spans="2:57">
      <c r="B239" s="1" t="str">
        <f t="shared" si="549"/>
        <v>Taxes, net</v>
      </c>
      <c r="C239" s="81">
        <f t="shared" ref="C239:O239" si="554">C59*C$207</f>
        <v>-68.013198645254633</v>
      </c>
      <c r="D239" s="81">
        <f t="shared" si="554"/>
        <v>-118.46561242438824</v>
      </c>
      <c r="E239" s="81">
        <f t="shared" si="554"/>
        <v>-128.52882359950138</v>
      </c>
      <c r="F239" s="76">
        <f t="shared" si="554"/>
        <v>-36.457305508812667</v>
      </c>
      <c r="G239" s="76">
        <f t="shared" si="554"/>
        <v>27.457062393800005</v>
      </c>
      <c r="H239" s="76">
        <f t="shared" si="554"/>
        <v>-51.970964227000003</v>
      </c>
      <c r="I239" s="76">
        <f t="shared" si="554"/>
        <v>-222.51548476844914</v>
      </c>
      <c r="J239" s="76">
        <f t="shared" si="554"/>
        <v>41.856431708752837</v>
      </c>
      <c r="K239" s="76">
        <f t="shared" si="554"/>
        <v>-184.62584214118596</v>
      </c>
      <c r="L239" s="76">
        <f t="shared" si="554"/>
        <v>17.425766234394509</v>
      </c>
      <c r="M239" s="76">
        <f t="shared" si="554"/>
        <v>-77.122448393844294</v>
      </c>
      <c r="N239" s="76">
        <f t="shared" si="554"/>
        <v>-37.736725151255499</v>
      </c>
      <c r="O239" s="257">
        <f t="shared" si="554"/>
        <v>-42.924025554370587</v>
      </c>
      <c r="P239" s="329"/>
      <c r="Q239" s="76">
        <f t="shared" ref="Q239:BE239" si="555">Q59*Q$207</f>
        <v>-21.121229678887598</v>
      </c>
      <c r="R239" s="76">
        <f t="shared" si="555"/>
        <v>-37.152262563466643</v>
      </c>
      <c r="S239" s="76">
        <f t="shared" si="555"/>
        <v>-30.935941162744744</v>
      </c>
      <c r="T239" s="76">
        <f t="shared" si="555"/>
        <v>-39.784516762084273</v>
      </c>
      <c r="U239" s="76">
        <f t="shared" si="555"/>
        <v>-36.696511174138841</v>
      </c>
      <c r="V239" s="76">
        <f t="shared" si="555"/>
        <v>-33.652537213934671</v>
      </c>
      <c r="W239" s="76">
        <f t="shared" si="555"/>
        <v>32.588325355652465</v>
      </c>
      <c r="X239" s="76">
        <f t="shared" si="555"/>
        <v>2.8861316935192076</v>
      </c>
      <c r="Y239" s="76">
        <f t="shared" si="555"/>
        <v>-24.478976875120001</v>
      </c>
      <c r="Z239" s="76">
        <f t="shared" si="555"/>
        <v>51.429902820800002</v>
      </c>
      <c r="AA239" s="76">
        <f t="shared" si="555"/>
        <v>-10.740667401599996</v>
      </c>
      <c r="AB239" s="76">
        <f t="shared" si="555"/>
        <v>10.994684190000001</v>
      </c>
      <c r="AC239" s="76">
        <f t="shared" si="555"/>
        <v>12.061788353999999</v>
      </c>
      <c r="AD239" s="76">
        <f t="shared" si="555"/>
        <v>-47.083406585799999</v>
      </c>
      <c r="AE239" s="76">
        <f t="shared" si="555"/>
        <v>1.0928359288000005</v>
      </c>
      <c r="AF239" s="76">
        <f t="shared" si="555"/>
        <v>-17.353212684000006</v>
      </c>
      <c r="AG239" s="76">
        <f t="shared" si="555"/>
        <v>-37.461891652823873</v>
      </c>
      <c r="AH239" s="76">
        <f t="shared" si="555"/>
        <v>-113.84973770048471</v>
      </c>
      <c r="AI239" s="76">
        <f t="shared" si="555"/>
        <v>-21.615823189118093</v>
      </c>
      <c r="AJ239" s="76">
        <f t="shared" si="555"/>
        <v>-46.075298185532205</v>
      </c>
      <c r="AK239" s="76">
        <f t="shared" si="555"/>
        <v>-28.86690297822609</v>
      </c>
      <c r="AL239" s="76">
        <f t="shared" si="555"/>
        <v>91.091683952104873</v>
      </c>
      <c r="AM239" s="76">
        <f t="shared" si="555"/>
        <v>-6.8176153279899161</v>
      </c>
      <c r="AN239" s="76">
        <f t="shared" si="555"/>
        <v>-10.158781248749756</v>
      </c>
      <c r="AO239" s="76">
        <f t="shared" si="555"/>
        <v>-9.8723011410826764</v>
      </c>
      <c r="AP239" s="76">
        <f t="shared" si="555"/>
        <v>-66.119360512094204</v>
      </c>
      <c r="AQ239" s="76">
        <f t="shared" si="555"/>
        <v>-39.269101119568035</v>
      </c>
      <c r="AR239" s="76">
        <f t="shared" si="555"/>
        <v>-66.867505899999998</v>
      </c>
      <c r="AS239" s="76">
        <f t="shared" si="555"/>
        <v>-67.072695925000005</v>
      </c>
      <c r="AT239" s="76">
        <f t="shared" si="555"/>
        <v>-31.903598836999993</v>
      </c>
      <c r="AU239" s="76">
        <f t="shared" si="555"/>
        <v>120.85288153718714</v>
      </c>
      <c r="AV239" s="76">
        <f t="shared" si="555"/>
        <v>-7.837030237966756</v>
      </c>
      <c r="AW239" s="76">
        <f t="shared" si="555"/>
        <v>-11.728451520148843</v>
      </c>
      <c r="AX239" s="76">
        <f t="shared" si="555"/>
        <v>-49.78871717431349</v>
      </c>
      <c r="AY239" s="76">
        <f t="shared" si="555"/>
        <v>-10.520448119039683</v>
      </c>
      <c r="AZ239" s="76">
        <f t="shared" si="555"/>
        <v>-5.5833459210000012</v>
      </c>
      <c r="BA239" s="76">
        <f t="shared" si="555"/>
        <v>-10.548375031169478</v>
      </c>
      <c r="BB239" s="76">
        <f t="shared" si="555"/>
        <v>-28.706840549102431</v>
      </c>
      <c r="BC239" s="76">
        <f t="shared" si="555"/>
        <v>10.31427871892647</v>
      </c>
      <c r="BD239" s="76">
        <f t="shared" si="555"/>
        <v>-9.0338969438673882</v>
      </c>
      <c r="BE239" s="76">
        <f t="shared" si="555"/>
        <v>-16.060826556278691</v>
      </c>
    </row>
    <row r="240" spans="2:57">
      <c r="B240" s="1" t="str">
        <f t="shared" si="549"/>
        <v>Cash interest paid</v>
      </c>
      <c r="C240" s="81">
        <f t="shared" ref="C240:O240" si="556">C60*C$207</f>
        <v>-66.922500799147613</v>
      </c>
      <c r="D240" s="81">
        <f t="shared" si="556"/>
        <v>-96.384399835796202</v>
      </c>
      <c r="E240" s="81">
        <f t="shared" si="556"/>
        <v>-100.07639971577338</v>
      </c>
      <c r="F240" s="76">
        <f t="shared" si="556"/>
        <v>-108.89840420474498</v>
      </c>
      <c r="G240" s="76">
        <f t="shared" si="556"/>
        <v>-120.41252085720001</v>
      </c>
      <c r="H240" s="76">
        <f t="shared" si="556"/>
        <v>-123.976966957375</v>
      </c>
      <c r="I240" s="76">
        <f t="shared" si="556"/>
        <v>-118.72198892029958</v>
      </c>
      <c r="J240" s="76">
        <f t="shared" si="556"/>
        <v>-196.02044059575147</v>
      </c>
      <c r="K240" s="76">
        <f t="shared" si="556"/>
        <v>-122.8479725672226</v>
      </c>
      <c r="L240" s="76">
        <f t="shared" si="556"/>
        <v>-134.96528619625872</v>
      </c>
      <c r="M240" s="76">
        <f t="shared" si="556"/>
        <v>-126.27963084817124</v>
      </c>
      <c r="N240" s="76">
        <f t="shared" si="556"/>
        <v>-116.36825495397363</v>
      </c>
      <c r="O240" s="257">
        <f t="shared" si="556"/>
        <v>-113.2668434129656</v>
      </c>
      <c r="P240" s="329"/>
      <c r="Q240" s="76">
        <f t="shared" ref="Q240:BE240" si="557">Q60*Q$207</f>
        <v>-21.356016380504411</v>
      </c>
      <c r="R240" s="76">
        <f t="shared" si="557"/>
        <v>-27.596483235025186</v>
      </c>
      <c r="S240" s="76">
        <f t="shared" si="557"/>
        <v>-22.618241738261879</v>
      </c>
      <c r="T240" s="76">
        <f t="shared" si="557"/>
        <v>-28.621243618972393</v>
      </c>
      <c r="U240" s="76">
        <f t="shared" si="557"/>
        <v>-23.102509372027846</v>
      </c>
      <c r="V240" s="76">
        <f t="shared" si="557"/>
        <v>-28.911860887166718</v>
      </c>
      <c r="W240" s="76">
        <f t="shared" si="557"/>
        <v>-24.431569234836793</v>
      </c>
      <c r="X240" s="76">
        <f t="shared" si="557"/>
        <v>-32.550651582698855</v>
      </c>
      <c r="Y240" s="76">
        <f t="shared" si="557"/>
        <v>-27.093267283568</v>
      </c>
      <c r="Z240" s="76">
        <f t="shared" si="557"/>
        <v>-34.515320686399996</v>
      </c>
      <c r="AA240" s="76">
        <f t="shared" si="557"/>
        <v>-25.489475582400004</v>
      </c>
      <c r="AB240" s="76">
        <f t="shared" si="557"/>
        <v>-33.013692180000007</v>
      </c>
      <c r="AC240" s="76">
        <f t="shared" si="557"/>
        <v>-30.391071706799998</v>
      </c>
      <c r="AD240" s="76">
        <f t="shared" si="557"/>
        <v>-38.437455784000001</v>
      </c>
      <c r="AE240" s="76">
        <f t="shared" si="557"/>
        <v>-20.641951422399995</v>
      </c>
      <c r="AF240" s="76">
        <f t="shared" si="557"/>
        <v>-34.234170197500013</v>
      </c>
      <c r="AG240" s="76">
        <f t="shared" si="557"/>
        <v>-25.809206441811384</v>
      </c>
      <c r="AH240" s="76">
        <f t="shared" si="557"/>
        <v>-32.470699698089149</v>
      </c>
      <c r="AI240" s="76">
        <f t="shared" si="557"/>
        <v>-26.593519288733081</v>
      </c>
      <c r="AJ240" s="76">
        <f t="shared" si="557"/>
        <v>-33.802776816951692</v>
      </c>
      <c r="AK240" s="76">
        <f t="shared" si="557"/>
        <v>-26.740042842440708</v>
      </c>
      <c r="AL240" s="76">
        <f t="shared" si="557"/>
        <v>-36.567894206115817</v>
      </c>
      <c r="AM240" s="76">
        <f t="shared" si="557"/>
        <v>-106.21461531376208</v>
      </c>
      <c r="AN240" s="76">
        <f t="shared" si="557"/>
        <v>-25.644728773654656</v>
      </c>
      <c r="AO240" s="76">
        <f t="shared" si="557"/>
        <v>-36.453305517947449</v>
      </c>
      <c r="AP240" s="76">
        <f t="shared" si="557"/>
        <v>-21.441953877930803</v>
      </c>
      <c r="AQ240" s="76">
        <f t="shared" si="557"/>
        <v>-34.823729944552916</v>
      </c>
      <c r="AR240" s="76">
        <f t="shared" si="557"/>
        <v>-29.572763610000003</v>
      </c>
      <c r="AS240" s="76">
        <f t="shared" si="557"/>
        <v>-42.615772640000003</v>
      </c>
      <c r="AT240" s="76">
        <f t="shared" si="557"/>
        <v>-28.771786612999996</v>
      </c>
      <c r="AU240" s="76">
        <f t="shared" si="557"/>
        <v>-40.417944071358718</v>
      </c>
      <c r="AV240" s="76">
        <f t="shared" si="557"/>
        <v>-23.446773000959912</v>
      </c>
      <c r="AW240" s="76">
        <f t="shared" si="557"/>
        <v>-37.186416973233534</v>
      </c>
      <c r="AX240" s="76">
        <f t="shared" si="557"/>
        <v>-22.836750846078054</v>
      </c>
      <c r="AY240" s="76">
        <f t="shared" si="557"/>
        <v>-39.090052789455029</v>
      </c>
      <c r="AZ240" s="76">
        <f t="shared" si="557"/>
        <v>-27.23841960899999</v>
      </c>
      <c r="BA240" s="76">
        <f t="shared" si="557"/>
        <v>-35.960990358241204</v>
      </c>
      <c r="BB240" s="76">
        <f t="shared" si="557"/>
        <v>-19.179628299894404</v>
      </c>
      <c r="BC240" s="76">
        <f t="shared" si="557"/>
        <v>-38.847949615552906</v>
      </c>
      <c r="BD240" s="76">
        <f t="shared" si="557"/>
        <v>-22.020347803739334</v>
      </c>
      <c r="BE240" s="76">
        <f t="shared" si="557"/>
        <v>-33.199786818863714</v>
      </c>
    </row>
    <row r="241" spans="2:57">
      <c r="B241" s="1" t="str">
        <f t="shared" si="549"/>
        <v>Cash interest received</v>
      </c>
      <c r="C241" s="81">
        <f t="shared" ref="C241:O241" si="558">C61*C$207</f>
        <v>7.8903689017429075</v>
      </c>
      <c r="D241" s="81">
        <f t="shared" si="558"/>
        <v>10.511824653565261</v>
      </c>
      <c r="E241" s="81">
        <f t="shared" si="558"/>
        <v>5.3254528882305987</v>
      </c>
      <c r="F241" s="76">
        <f t="shared" si="558"/>
        <v>4.8219866334969836</v>
      </c>
      <c r="G241" s="76">
        <f t="shared" si="558"/>
        <v>1.76364448</v>
      </c>
      <c r="H241" s="76">
        <f t="shared" si="558"/>
        <v>1.9621323690499999</v>
      </c>
      <c r="I241" s="76">
        <f t="shared" si="558"/>
        <v>6.6781699559145862</v>
      </c>
      <c r="J241" s="76">
        <f t="shared" si="558"/>
        <v>4.5594958946262096</v>
      </c>
      <c r="K241" s="76">
        <f t="shared" si="558"/>
        <v>30.249109425299867</v>
      </c>
      <c r="L241" s="76">
        <f t="shared" si="558"/>
        <v>27.850912496642181</v>
      </c>
      <c r="M241" s="76">
        <f t="shared" si="558"/>
        <v>30.646586113090599</v>
      </c>
      <c r="N241" s="76">
        <f t="shared" si="558"/>
        <v>13.505513801692675</v>
      </c>
      <c r="O241" s="257">
        <f t="shared" si="558"/>
        <v>12.546780493342055</v>
      </c>
      <c r="P241" s="329"/>
      <c r="Q241" s="76">
        <f t="shared" ref="Q241:BE241" si="559">Q61*Q$207</f>
        <v>1.7042795969533782</v>
      </c>
      <c r="R241" s="76">
        <f t="shared" si="559"/>
        <v>0.76298853056317506</v>
      </c>
      <c r="S241" s="76">
        <f t="shared" si="559"/>
        <v>1.4953850317916373</v>
      </c>
      <c r="T241" s="76">
        <f t="shared" si="559"/>
        <v>1.3529196820328186</v>
      </c>
      <c r="U241" s="76">
        <f t="shared" si="559"/>
        <v>1.2156712113017669</v>
      </c>
      <c r="V241" s="76">
        <f t="shared" si="559"/>
        <v>0.93034916727294004</v>
      </c>
      <c r="W241" s="76">
        <f t="shared" si="559"/>
        <v>1.3584453934635077</v>
      </c>
      <c r="X241" s="76">
        <f t="shared" si="559"/>
        <v>1.3286714465438918</v>
      </c>
      <c r="Y241" s="76">
        <f t="shared" si="559"/>
        <v>0.82361412236800002</v>
      </c>
      <c r="Z241" s="76">
        <f t="shared" si="559"/>
        <v>0.35871252720000008</v>
      </c>
      <c r="AA241" s="76">
        <f t="shared" si="559"/>
        <v>0.27951576159999991</v>
      </c>
      <c r="AB241" s="76">
        <f t="shared" si="559"/>
        <v>0.33126449999999985</v>
      </c>
      <c r="AC241" s="76">
        <f t="shared" si="559"/>
        <v>0.56515984559999999</v>
      </c>
      <c r="AD241" s="76">
        <f t="shared" si="559"/>
        <v>0.23711217920000005</v>
      </c>
      <c r="AE241" s="76">
        <f t="shared" si="559"/>
        <v>0.2098975032</v>
      </c>
      <c r="AF241" s="76">
        <f t="shared" si="559"/>
        <v>0.91326377149999993</v>
      </c>
      <c r="AG241" s="76">
        <f t="shared" si="559"/>
        <v>3.3397645434327674</v>
      </c>
      <c r="AH241" s="76">
        <f t="shared" si="559"/>
        <v>1.7850985775642825</v>
      </c>
      <c r="AI241" s="76">
        <f t="shared" si="559"/>
        <v>0.73059113460300362</v>
      </c>
      <c r="AJ241" s="76">
        <f t="shared" si="559"/>
        <v>0.75820313622340119</v>
      </c>
      <c r="AK241" s="76">
        <f t="shared" si="559"/>
        <v>0.82160273839446418</v>
      </c>
      <c r="AL241" s="76">
        <f t="shared" si="559"/>
        <v>0.71230517661137183</v>
      </c>
      <c r="AM241" s="76">
        <f t="shared" si="559"/>
        <v>1.3167486022709229</v>
      </c>
      <c r="AN241" s="76">
        <f t="shared" si="559"/>
        <v>1.6102087290632772</v>
      </c>
      <c r="AO241" s="76">
        <f t="shared" si="559"/>
        <v>4.1300586096621634</v>
      </c>
      <c r="AP241" s="76">
        <f t="shared" si="559"/>
        <v>10.102683025630641</v>
      </c>
      <c r="AQ241" s="76">
        <f t="shared" si="559"/>
        <v>9.071963544725703</v>
      </c>
      <c r="AR241" s="76">
        <f t="shared" si="559"/>
        <v>6.607672369999996</v>
      </c>
      <c r="AS241" s="76">
        <f t="shared" si="559"/>
        <v>7.0920823825000001</v>
      </c>
      <c r="AT241" s="76">
        <f t="shared" si="559"/>
        <v>5.2560553314999998</v>
      </c>
      <c r="AU241" s="76">
        <f t="shared" si="559"/>
        <v>8.0503973285319415</v>
      </c>
      <c r="AV241" s="76">
        <f t="shared" si="559"/>
        <v>7.3080617517390829</v>
      </c>
      <c r="AW241" s="76">
        <f t="shared" si="559"/>
        <v>12.010466615924562</v>
      </c>
      <c r="AX241" s="76">
        <f t="shared" si="559"/>
        <v>8.5731632609347539</v>
      </c>
      <c r="AY241" s="76">
        <f t="shared" si="559"/>
        <v>6.0564309597789503</v>
      </c>
      <c r="AZ241" s="76">
        <f t="shared" si="559"/>
        <v>4.0553357539999997</v>
      </c>
      <c r="BA241" s="76">
        <f t="shared" si="559"/>
        <v>3.5000031169478842</v>
      </c>
      <c r="BB241" s="76">
        <f t="shared" si="559"/>
        <v>3.584174234424498</v>
      </c>
      <c r="BC241" s="76">
        <f t="shared" si="559"/>
        <v>3.5830832864495434</v>
      </c>
      <c r="BD241" s="76">
        <f t="shared" si="559"/>
        <v>2.8238097787676941</v>
      </c>
      <c r="BE241" s="76">
        <f t="shared" si="559"/>
        <v>2.493093607949739</v>
      </c>
    </row>
    <row r="242" spans="2:57" s="5" customFormat="1" ht="13.5" thickBot="1">
      <c r="B242" s="23" t="str">
        <f t="shared" si="549"/>
        <v xml:space="preserve">Net cash from operations </v>
      </c>
      <c r="C242" s="77">
        <f t="shared" ref="C242:O242" si="560">C62*C$207</f>
        <v>2044.6472972828992</v>
      </c>
      <c r="D242" s="77">
        <f t="shared" si="560"/>
        <v>1473.4666230192418</v>
      </c>
      <c r="E242" s="77">
        <f t="shared" si="560"/>
        <v>1537.5822454071917</v>
      </c>
      <c r="F242" s="77">
        <f t="shared" si="560"/>
        <v>1960.3240936659881</v>
      </c>
      <c r="G242" s="77">
        <f t="shared" si="560"/>
        <v>1886.8323037239002</v>
      </c>
      <c r="H242" s="77">
        <f t="shared" si="560"/>
        <v>2371.4167373666</v>
      </c>
      <c r="I242" s="77">
        <f t="shared" si="560"/>
        <v>1983.4763446531335</v>
      </c>
      <c r="J242" s="77">
        <f t="shared" si="560"/>
        <v>2076.8350525922801</v>
      </c>
      <c r="K242" s="77">
        <f t="shared" si="560"/>
        <v>2465.9730877484303</v>
      </c>
      <c r="L242" s="77">
        <f t="shared" si="560"/>
        <v>935.7305102346146</v>
      </c>
      <c r="M242" s="77">
        <f t="shared" si="560"/>
        <v>601.84864366177976</v>
      </c>
      <c r="N242" s="77">
        <f t="shared" si="560"/>
        <v>765.59165866680178</v>
      </c>
      <c r="O242" s="258">
        <f t="shared" si="560"/>
        <v>797.56673114819444</v>
      </c>
      <c r="P242" s="309"/>
      <c r="Q242" s="77">
        <f t="shared" ref="Q242:BE242" si="561">Q62*Q$207</f>
        <v>436.25781354497826</v>
      </c>
      <c r="R242" s="77">
        <f t="shared" si="561"/>
        <v>353.35958008445908</v>
      </c>
      <c r="S242" s="77">
        <f t="shared" si="561"/>
        <v>314.44726902431853</v>
      </c>
      <c r="T242" s="77">
        <f t="shared" si="561"/>
        <v>430.58347699680451</v>
      </c>
      <c r="U242" s="77">
        <f t="shared" si="561"/>
        <v>443.23206646897791</v>
      </c>
      <c r="V242" s="77">
        <f t="shared" si="561"/>
        <v>378.48642846416914</v>
      </c>
      <c r="W242" s="77">
        <f t="shared" si="561"/>
        <v>583.48743456566285</v>
      </c>
      <c r="X242" s="77">
        <f t="shared" si="561"/>
        <v>560.95982881456837</v>
      </c>
      <c r="Y242" s="77">
        <f t="shared" si="561"/>
        <v>407.628776666112</v>
      </c>
      <c r="Z242" s="77">
        <f t="shared" si="561"/>
        <v>513.10352088399998</v>
      </c>
      <c r="AA242" s="77">
        <f t="shared" si="561"/>
        <v>466.54770649760019</v>
      </c>
      <c r="AB242" s="77">
        <f t="shared" si="561"/>
        <v>492.2323003499996</v>
      </c>
      <c r="AC242" s="77">
        <f t="shared" si="561"/>
        <v>540.86562367739987</v>
      </c>
      <c r="AD242" s="77">
        <f t="shared" si="561"/>
        <v>488.24766632980015</v>
      </c>
      <c r="AE242" s="77">
        <f t="shared" si="561"/>
        <v>516.28581903359986</v>
      </c>
      <c r="AF242" s="77">
        <f t="shared" si="561"/>
        <v>800.78486688900023</v>
      </c>
      <c r="AG242" s="77">
        <f t="shared" si="561"/>
        <v>445.50074198140896</v>
      </c>
      <c r="AH242" s="77">
        <f t="shared" si="561"/>
        <v>374.39195236574994</v>
      </c>
      <c r="AI242" s="77">
        <f t="shared" si="561"/>
        <v>654.24698489467005</v>
      </c>
      <c r="AJ242" s="77">
        <f t="shared" si="561"/>
        <v>511.63921086232591</v>
      </c>
      <c r="AK242" s="77">
        <f t="shared" si="561"/>
        <v>557.63663594012428</v>
      </c>
      <c r="AL242" s="77">
        <f t="shared" si="561"/>
        <v>729.82808291353183</v>
      </c>
      <c r="AM242" s="77">
        <f t="shared" si="561"/>
        <v>482.52602404633467</v>
      </c>
      <c r="AN242" s="77">
        <f t="shared" si="561"/>
        <v>329.61111728109148</v>
      </c>
      <c r="AO242" s="77">
        <f t="shared" si="561"/>
        <v>525.81240912963551</v>
      </c>
      <c r="AP242" s="77">
        <f t="shared" si="561"/>
        <v>941.41199823474903</v>
      </c>
      <c r="AQ242" s="77">
        <f t="shared" si="561"/>
        <v>425.9313001228337</v>
      </c>
      <c r="AR242" s="77">
        <f t="shared" si="561"/>
        <v>584.70097185499969</v>
      </c>
      <c r="AS242" s="77">
        <f t="shared" si="561"/>
        <v>46.792081317499985</v>
      </c>
      <c r="AT242" s="77">
        <f t="shared" si="561"/>
        <v>197.89070338150003</v>
      </c>
      <c r="AU242" s="77">
        <f t="shared" si="561"/>
        <v>335.70265290910163</v>
      </c>
      <c r="AV242" s="77">
        <f t="shared" si="561"/>
        <v>341.63050748553576</v>
      </c>
      <c r="AW242" s="77">
        <f t="shared" si="561"/>
        <v>94.044052602647042</v>
      </c>
      <c r="AX242" s="77">
        <f t="shared" si="561"/>
        <v>154.84201045281242</v>
      </c>
      <c r="AY242" s="77">
        <f t="shared" si="561"/>
        <v>125.29907645332271</v>
      </c>
      <c r="AZ242" s="77">
        <f t="shared" si="561"/>
        <v>225.71845256099994</v>
      </c>
      <c r="BA242" s="77">
        <f t="shared" si="561"/>
        <v>128.12291891779566</v>
      </c>
      <c r="BB242" s="77">
        <f t="shared" si="561"/>
        <v>178.43118162618794</v>
      </c>
      <c r="BC242" s="77">
        <f t="shared" si="561"/>
        <v>194.04880810985392</v>
      </c>
      <c r="BD242" s="77">
        <f t="shared" si="561"/>
        <v>266.92418777975291</v>
      </c>
      <c r="BE242" s="77">
        <f t="shared" si="561"/>
        <v>155.67232818615562</v>
      </c>
    </row>
    <row r="243" spans="2:57" s="5" customFormat="1" ht="13.5" thickTop="1">
      <c r="B243" s="1" t="str">
        <f t="shared" si="549"/>
        <v>Net Capex</v>
      </c>
      <c r="C243" s="78">
        <f t="shared" ref="C243:O243" si="562">C63*C$207</f>
        <v>-965.19864632011627</v>
      </c>
      <c r="D243" s="78">
        <f t="shared" si="562"/>
        <v>-799.3389536489891</v>
      </c>
      <c r="E243" s="78">
        <f t="shared" si="562"/>
        <v>-671.5348608916255</v>
      </c>
      <c r="F243" s="78">
        <f t="shared" si="562"/>
        <v>-765.98349609804427</v>
      </c>
      <c r="G243" s="78">
        <f t="shared" si="562"/>
        <v>-792.94381671700012</v>
      </c>
      <c r="H243" s="78">
        <f t="shared" si="562"/>
        <v>18.282797577799979</v>
      </c>
      <c r="I243" s="78">
        <f t="shared" si="562"/>
        <v>-366.91424163270852</v>
      </c>
      <c r="J243" s="78">
        <f t="shared" si="562"/>
        <v>-344.08298430641332</v>
      </c>
      <c r="K243" s="78">
        <f t="shared" si="562"/>
        <v>14.64421482630973</v>
      </c>
      <c r="L243" s="78">
        <f t="shared" si="562"/>
        <v>1134.9922247564944</v>
      </c>
      <c r="M243" s="78">
        <f t="shared" si="562"/>
        <v>-572.14179634982247</v>
      </c>
      <c r="N243" s="78">
        <f t="shared" si="562"/>
        <v>-561.53656229410001</v>
      </c>
      <c r="O243" s="259">
        <f t="shared" si="562"/>
        <v>-530.59912762447595</v>
      </c>
      <c r="P243" s="68"/>
      <c r="Q243" s="78">
        <f t="shared" ref="Q243:BE243" si="563">Q63*Q$207</f>
        <v>-151.50417864512181</v>
      </c>
      <c r="R243" s="78">
        <f t="shared" si="563"/>
        <v>-160.36083359398137</v>
      </c>
      <c r="S243" s="78">
        <f t="shared" si="563"/>
        <v>-168.39752957903417</v>
      </c>
      <c r="T243" s="78">
        <f t="shared" si="563"/>
        <v>-192.14850695462346</v>
      </c>
      <c r="U243" s="78">
        <f t="shared" si="563"/>
        <v>-178.80788065842583</v>
      </c>
      <c r="V243" s="78">
        <f t="shared" si="563"/>
        <v>-165.81962665861914</v>
      </c>
      <c r="W243" s="78">
        <f t="shared" si="563"/>
        <v>-210.62060370066405</v>
      </c>
      <c r="X243" s="78">
        <f t="shared" si="563"/>
        <v>-212.17929677802604</v>
      </c>
      <c r="Y243" s="78">
        <f t="shared" si="563"/>
        <v>-231.31550254748802</v>
      </c>
      <c r="Z243" s="78">
        <f t="shared" si="563"/>
        <v>-198.99699272800001</v>
      </c>
      <c r="AA243" s="78">
        <f t="shared" si="563"/>
        <v>-185.84893706400004</v>
      </c>
      <c r="AB243" s="78">
        <f t="shared" si="563"/>
        <v>-178.89046076999998</v>
      </c>
      <c r="AC243" s="78">
        <f t="shared" si="563"/>
        <v>-224.26915793939997</v>
      </c>
      <c r="AD243" s="78">
        <f t="shared" si="563"/>
        <v>-187.52218491500003</v>
      </c>
      <c r="AE243" s="78">
        <f t="shared" si="563"/>
        <v>-126.38474149840002</v>
      </c>
      <c r="AF243" s="78">
        <f t="shared" si="563"/>
        <v>503.89650049309995</v>
      </c>
      <c r="AG243" s="78">
        <f t="shared" si="563"/>
        <v>-81.268104902721788</v>
      </c>
      <c r="AH243" s="78">
        <f t="shared" si="563"/>
        <v>-87.856684300305176</v>
      </c>
      <c r="AI243" s="78">
        <f t="shared" si="563"/>
        <v>-142.68743945004724</v>
      </c>
      <c r="AJ243" s="78">
        <f t="shared" si="563"/>
        <v>-51.749157877928809</v>
      </c>
      <c r="AK243" s="78">
        <f t="shared" si="563"/>
        <v>-156.43588633898554</v>
      </c>
      <c r="AL243" s="78">
        <f t="shared" si="563"/>
        <v>-139.515775530269</v>
      </c>
      <c r="AM243" s="78">
        <f t="shared" si="563"/>
        <v>-115.85376732548278</v>
      </c>
      <c r="AN243" s="78">
        <f t="shared" si="563"/>
        <v>50.037337271933438</v>
      </c>
      <c r="AO243" s="78">
        <f t="shared" si="563"/>
        <v>-184.56182608111442</v>
      </c>
      <c r="AP243" s="78">
        <f t="shared" si="563"/>
        <v>498.38101082566965</v>
      </c>
      <c r="AQ243" s="78">
        <f t="shared" si="563"/>
        <v>-90.238880489736545</v>
      </c>
      <c r="AR243" s="78">
        <f t="shared" si="563"/>
        <v>-193.52988232499993</v>
      </c>
      <c r="AS243" s="78">
        <f t="shared" si="563"/>
        <v>-207.07521851250002</v>
      </c>
      <c r="AT243" s="78">
        <f t="shared" si="563"/>
        <v>-169.48707772400005</v>
      </c>
      <c r="AU243" s="78">
        <f t="shared" si="563"/>
        <v>-138.08067627350377</v>
      </c>
      <c r="AV243" s="78">
        <f t="shared" si="563"/>
        <v>1548.8420880590006</v>
      </c>
      <c r="AW243" s="78">
        <f t="shared" si="563"/>
        <v>-127.45541883377732</v>
      </c>
      <c r="AX243" s="78">
        <f t="shared" si="563"/>
        <v>-177.92365591397848</v>
      </c>
      <c r="AY243" s="78">
        <f t="shared" si="563"/>
        <v>-147.95335282923523</v>
      </c>
      <c r="AZ243" s="78">
        <f t="shared" si="563"/>
        <v>-119.68289005100002</v>
      </c>
      <c r="BA243" s="78">
        <f t="shared" si="563"/>
        <v>-154.27816993599865</v>
      </c>
      <c r="BB243" s="78">
        <f t="shared" si="563"/>
        <v>-120.95110242872229</v>
      </c>
      <c r="BC243" s="78">
        <f t="shared" si="563"/>
        <v>-112.42778333437514</v>
      </c>
      <c r="BD243" s="78">
        <f t="shared" si="563"/>
        <v>-174.42175700854523</v>
      </c>
      <c r="BE243" s="78">
        <f t="shared" si="563"/>
        <v>-122.53415071567952</v>
      </c>
    </row>
    <row r="244" spans="2:57">
      <c r="B244" s="1" t="str">
        <f t="shared" si="549"/>
        <v>Purchase and development of intangible assets</v>
      </c>
      <c r="C244" s="78">
        <f t="shared" ref="C244:O244" si="564">C64*C$207</f>
        <v>-0.42527330847096462</v>
      </c>
      <c r="D244" s="78">
        <f t="shared" si="564"/>
        <v>-11.459440930581811</v>
      </c>
      <c r="E244" s="78">
        <f t="shared" si="564"/>
        <v>-286.40584725692651</v>
      </c>
      <c r="F244" s="78">
        <f t="shared" si="564"/>
        <v>-1.1386834754912167</v>
      </c>
      <c r="G244" s="78">
        <f t="shared" si="564"/>
        <v>-0.92429896779999998</v>
      </c>
      <c r="H244" s="78">
        <f t="shared" si="564"/>
        <v>-1.7953709070500001</v>
      </c>
      <c r="I244" s="78">
        <f t="shared" si="564"/>
        <v>-1.0878579700566284</v>
      </c>
      <c r="J244" s="78">
        <f t="shared" si="564"/>
        <v>-133.23166705742071</v>
      </c>
      <c r="K244" s="78">
        <f t="shared" si="564"/>
        <v>0</v>
      </c>
      <c r="L244" s="78">
        <f t="shared" si="564"/>
        <v>0</v>
      </c>
      <c r="M244" s="78">
        <f t="shared" si="564"/>
        <v>-2.4865907636252734E-2</v>
      </c>
      <c r="N244" s="78">
        <f t="shared" si="564"/>
        <v>-1.5685906141042083</v>
      </c>
      <c r="O244" s="259">
        <f t="shared" si="564"/>
        <v>-1.5854500240573324</v>
      </c>
      <c r="P244" s="68"/>
      <c r="Q244" s="78">
        <f t="shared" ref="Q244:BE244" si="565">Q64*Q$207</f>
        <v>-0.56484451516179235</v>
      </c>
      <c r="R244" s="78">
        <f t="shared" si="565"/>
        <v>0.16868366737802817</v>
      </c>
      <c r="S244" s="78">
        <f t="shared" si="565"/>
        <v>-292.52899896016265</v>
      </c>
      <c r="T244" s="78">
        <f t="shared" si="565"/>
        <v>0.19599052203893327</v>
      </c>
      <c r="U244" s="78">
        <f t="shared" si="565"/>
        <v>-0.12850557368617746</v>
      </c>
      <c r="V244" s="78">
        <f t="shared" si="565"/>
        <v>-6.584168227532089E-2</v>
      </c>
      <c r="W244" s="78">
        <f t="shared" si="565"/>
        <v>-0.32793614894937562</v>
      </c>
      <c r="X244" s="78">
        <f t="shared" si="565"/>
        <v>-0.63203758583524094</v>
      </c>
      <c r="Y244" s="78">
        <f t="shared" si="565"/>
        <v>-0.32079380196800006</v>
      </c>
      <c r="Z244" s="78">
        <f t="shared" si="565"/>
        <v>-0.21562102880000003</v>
      </c>
      <c r="AA244" s="78">
        <f t="shared" si="565"/>
        <v>-0.17397671039999998</v>
      </c>
      <c r="AB244" s="78">
        <f t="shared" si="565"/>
        <v>-0.21972530999999992</v>
      </c>
      <c r="AC244" s="78">
        <f t="shared" si="565"/>
        <v>-0.507974229</v>
      </c>
      <c r="AD244" s="78">
        <f t="shared" si="565"/>
        <v>-0.44140889</v>
      </c>
      <c r="AE244" s="78">
        <f t="shared" si="565"/>
        <v>-0.68043236800000007</v>
      </c>
      <c r="AF244" s="78">
        <f t="shared" si="565"/>
        <v>-0.18280404370000009</v>
      </c>
      <c r="AG244" s="78">
        <f t="shared" si="565"/>
        <v>-0.17810744319625899</v>
      </c>
      <c r="AH244" s="78">
        <f t="shared" si="565"/>
        <v>-2.4938227476979123E-2</v>
      </c>
      <c r="AI244" s="78">
        <f t="shared" si="565"/>
        <v>-9.8386271135551401E-2</v>
      </c>
      <c r="AJ244" s="78">
        <f t="shared" si="565"/>
        <v>-0.83328317699024612</v>
      </c>
      <c r="AK244" s="78">
        <f t="shared" si="565"/>
        <v>-141.36249489145507</v>
      </c>
      <c r="AL244" s="78">
        <f t="shared" si="565"/>
        <v>-0.10254728684112317</v>
      </c>
      <c r="AM244" s="78">
        <f t="shared" si="565"/>
        <v>10.996687442977482</v>
      </c>
      <c r="AN244" s="78">
        <f t="shared" si="565"/>
        <v>-9.557434724345816</v>
      </c>
      <c r="AO244" s="78">
        <f t="shared" si="565"/>
        <v>0</v>
      </c>
      <c r="AP244" s="78">
        <f t="shared" si="565"/>
        <v>-0.15606122587552756</v>
      </c>
      <c r="AQ244" s="78">
        <f t="shared" si="565"/>
        <v>0.14042535955075597</v>
      </c>
      <c r="AR244" s="78">
        <f t="shared" si="565"/>
        <v>0</v>
      </c>
      <c r="AS244" s="78">
        <f t="shared" si="565"/>
        <v>-2.8334877500000001E-2</v>
      </c>
      <c r="AT244" s="78">
        <f t="shared" si="565"/>
        <v>-7.5280100000000042E-4</v>
      </c>
      <c r="AU244" s="78">
        <f t="shared" si="565"/>
        <v>-8.9936257342988671E-2</v>
      </c>
      <c r="AV244" s="78">
        <f t="shared" si="565"/>
        <v>0.11274564549343212</v>
      </c>
      <c r="AW244" s="78">
        <f t="shared" si="565"/>
        <v>-3.2453803543490206E-3</v>
      </c>
      <c r="AX244" s="78">
        <f t="shared" si="565"/>
        <v>-1.510088677547873E-4</v>
      </c>
      <c r="AY244" s="78">
        <f t="shared" si="565"/>
        <v>-2.1234047585769425E-2</v>
      </c>
      <c r="AZ244" s="78">
        <f t="shared" si="565"/>
        <v>-5.1435200000000232E-4</v>
      </c>
      <c r="BA244" s="78">
        <f t="shared" si="565"/>
        <v>-1.5770717313606516E-2</v>
      </c>
      <c r="BB244" s="78">
        <f t="shared" si="565"/>
        <v>1.5059134107708554E-2</v>
      </c>
      <c r="BC244" s="78">
        <f t="shared" si="565"/>
        <v>-2.8935633764664202E-2</v>
      </c>
      <c r="BD244" s="78">
        <f t="shared" si="565"/>
        <v>-1.5660741438759556</v>
      </c>
      <c r="BE244" s="78">
        <f t="shared" si="565"/>
        <v>0</v>
      </c>
    </row>
    <row r="245" spans="2:57">
      <c r="B245" s="1" t="str">
        <f t="shared" si="549"/>
        <v>Disposals/ Acquistion, of subsidiaries</v>
      </c>
      <c r="C245" s="78">
        <f t="shared" ref="C245:O245" si="566">C65*C$207</f>
        <v>0</v>
      </c>
      <c r="D245" s="78">
        <f t="shared" si="566"/>
        <v>0</v>
      </c>
      <c r="E245" s="78">
        <f t="shared" si="566"/>
        <v>0</v>
      </c>
      <c r="F245" s="78">
        <f t="shared" si="566"/>
        <v>0</v>
      </c>
      <c r="G245" s="78">
        <f t="shared" si="566"/>
        <v>-2.9251049178000001</v>
      </c>
      <c r="H245" s="78">
        <f t="shared" si="566"/>
        <v>0</v>
      </c>
      <c r="I245" s="78">
        <f t="shared" si="566"/>
        <v>0</v>
      </c>
      <c r="J245" s="78">
        <f t="shared" si="566"/>
        <v>0</v>
      </c>
      <c r="K245" s="78">
        <f t="shared" si="566"/>
        <v>0</v>
      </c>
      <c r="L245" s="78">
        <f t="shared" si="566"/>
        <v>0</v>
      </c>
      <c r="M245" s="78">
        <f t="shared" si="566"/>
        <v>0</v>
      </c>
      <c r="N245" s="78">
        <f t="shared" si="566"/>
        <v>0</v>
      </c>
      <c r="O245" s="259">
        <f t="shared" si="566"/>
        <v>0</v>
      </c>
      <c r="P245" s="68"/>
      <c r="Q245" s="78">
        <f t="shared" ref="Q245:BE245" si="567">Q65*Q$207</f>
        <v>0</v>
      </c>
      <c r="R245" s="78">
        <f t="shared" si="567"/>
        <v>0</v>
      </c>
      <c r="S245" s="78">
        <f t="shared" si="567"/>
        <v>0</v>
      </c>
      <c r="T245" s="78">
        <f t="shared" si="567"/>
        <v>0</v>
      </c>
      <c r="U245" s="78">
        <f t="shared" si="567"/>
        <v>0</v>
      </c>
      <c r="V245" s="78">
        <f t="shared" si="567"/>
        <v>0</v>
      </c>
      <c r="W245" s="78">
        <f t="shared" si="567"/>
        <v>0</v>
      </c>
      <c r="X245" s="78">
        <f t="shared" si="567"/>
        <v>0</v>
      </c>
      <c r="Y245" s="78">
        <f t="shared" si="567"/>
        <v>0</v>
      </c>
      <c r="Z245" s="78">
        <f t="shared" si="567"/>
        <v>-3.0140964528000005</v>
      </c>
      <c r="AA245" s="78">
        <f t="shared" si="567"/>
        <v>0</v>
      </c>
      <c r="AB245" s="78">
        <f t="shared" si="567"/>
        <v>0</v>
      </c>
      <c r="AC245" s="78">
        <f t="shared" si="567"/>
        <v>0</v>
      </c>
      <c r="AD245" s="78">
        <f t="shared" si="567"/>
        <v>0</v>
      </c>
      <c r="AE245" s="78">
        <f t="shared" si="567"/>
        <v>0</v>
      </c>
      <c r="AF245" s="78">
        <f t="shared" si="567"/>
        <v>0</v>
      </c>
      <c r="AG245" s="78">
        <f t="shared" si="567"/>
        <v>0</v>
      </c>
      <c r="AH245" s="78">
        <f t="shared" si="567"/>
        <v>0</v>
      </c>
      <c r="AI245" s="78">
        <f t="shared" si="567"/>
        <v>0</v>
      </c>
      <c r="AJ245" s="78">
        <f t="shared" si="567"/>
        <v>0</v>
      </c>
      <c r="AK245" s="78">
        <f t="shared" si="567"/>
        <v>0</v>
      </c>
      <c r="AL245" s="78">
        <f t="shared" si="567"/>
        <v>0</v>
      </c>
      <c r="AM245" s="78">
        <f t="shared" si="567"/>
        <v>0</v>
      </c>
      <c r="AN245" s="78">
        <f t="shared" si="567"/>
        <v>0</v>
      </c>
      <c r="AO245" s="78">
        <f t="shared" si="567"/>
        <v>0</v>
      </c>
      <c r="AP245" s="78">
        <f t="shared" si="567"/>
        <v>0</v>
      </c>
      <c r="AQ245" s="78">
        <f t="shared" si="567"/>
        <v>0</v>
      </c>
      <c r="AR245" s="78">
        <f t="shared" si="567"/>
        <v>0</v>
      </c>
      <c r="AS245" s="78">
        <f t="shared" si="567"/>
        <v>0</v>
      </c>
      <c r="AT245" s="78">
        <f t="shared" si="567"/>
        <v>0</v>
      </c>
      <c r="AU245" s="78">
        <f t="shared" si="567"/>
        <v>0</v>
      </c>
      <c r="AV245" s="78">
        <f t="shared" si="567"/>
        <v>0</v>
      </c>
      <c r="AW245" s="78">
        <f t="shared" si="567"/>
        <v>0</v>
      </c>
      <c r="AX245" s="78">
        <f t="shared" si="567"/>
        <v>0</v>
      </c>
      <c r="AY245" s="78">
        <f t="shared" si="567"/>
        <v>0</v>
      </c>
      <c r="AZ245" s="78">
        <f t="shared" si="567"/>
        <v>0</v>
      </c>
      <c r="BA245" s="78">
        <f t="shared" si="567"/>
        <v>0</v>
      </c>
      <c r="BB245" s="78">
        <f t="shared" si="567"/>
        <v>0</v>
      </c>
      <c r="BC245" s="78">
        <f t="shared" si="567"/>
        <v>0</v>
      </c>
      <c r="BD245" s="78">
        <f t="shared" si="567"/>
        <v>0</v>
      </c>
      <c r="BE245" s="78">
        <f t="shared" si="567"/>
        <v>0</v>
      </c>
    </row>
    <row r="246" spans="2:57" ht="13.5" thickBot="1">
      <c r="B246" s="50" t="str">
        <f t="shared" si="549"/>
        <v xml:space="preserve">Free cash flow </v>
      </c>
      <c r="C246" s="80">
        <f t="shared" ref="C246:O246" si="568">C66*C$207</f>
        <v>1079.0233776543118</v>
      </c>
      <c r="D246" s="80">
        <f t="shared" si="568"/>
        <v>662.66822843967088</v>
      </c>
      <c r="E246" s="80">
        <f t="shared" si="568"/>
        <v>579.6415372586398</v>
      </c>
      <c r="F246" s="80">
        <f t="shared" si="568"/>
        <v>1193.2019140924526</v>
      </c>
      <c r="G246" s="80">
        <f t="shared" si="568"/>
        <v>1090.0390831212999</v>
      </c>
      <c r="H246" s="80">
        <f t="shared" si="568"/>
        <v>2387.9041640373503</v>
      </c>
      <c r="I246" s="80">
        <f t="shared" si="568"/>
        <v>1615.4742450503684</v>
      </c>
      <c r="J246" s="80">
        <f t="shared" si="568"/>
        <v>1599.5204012284462</v>
      </c>
      <c r="K246" s="80">
        <f t="shared" si="568"/>
        <v>2480.6173025747403</v>
      </c>
      <c r="L246" s="80">
        <f t="shared" si="568"/>
        <v>2070.7227349911086</v>
      </c>
      <c r="M246" s="80">
        <f t="shared" si="568"/>
        <v>29.681981404320965</v>
      </c>
      <c r="N246" s="80">
        <f t="shared" si="568"/>
        <v>202.48650575859753</v>
      </c>
      <c r="O246" s="260">
        <f t="shared" si="568"/>
        <v>265.38215349966123</v>
      </c>
      <c r="P246" s="70"/>
      <c r="Q246" s="80">
        <f t="shared" ref="Q246:BE246" si="569">Q66*Q$207</f>
        <v>284.18879038469464</v>
      </c>
      <c r="R246" s="80">
        <f t="shared" si="569"/>
        <v>193.1674301578557</v>
      </c>
      <c r="S246" s="80">
        <f t="shared" si="569"/>
        <v>-146.47925951487829</v>
      </c>
      <c r="T246" s="80">
        <f t="shared" si="569"/>
        <v>238.63096056422</v>
      </c>
      <c r="U246" s="80">
        <f t="shared" si="569"/>
        <v>264.29568023686591</v>
      </c>
      <c r="V246" s="80">
        <f t="shared" si="569"/>
        <v>212.60096012327466</v>
      </c>
      <c r="W246" s="80">
        <f t="shared" si="569"/>
        <v>372.53889471604947</v>
      </c>
      <c r="X246" s="80">
        <f t="shared" si="569"/>
        <v>348.14849445070701</v>
      </c>
      <c r="Y246" s="80">
        <f t="shared" si="569"/>
        <v>175.99248031665599</v>
      </c>
      <c r="Z246" s="80">
        <f t="shared" si="569"/>
        <v>310.87681067440002</v>
      </c>
      <c r="AA246" s="80">
        <f t="shared" si="569"/>
        <v>280.52479272320016</v>
      </c>
      <c r="AB246" s="80">
        <f t="shared" si="569"/>
        <v>313.1221142699996</v>
      </c>
      <c r="AC246" s="80">
        <f t="shared" si="569"/>
        <v>316.08849150899988</v>
      </c>
      <c r="AD246" s="80">
        <f t="shared" si="569"/>
        <v>300.28407252480014</v>
      </c>
      <c r="AE246" s="80">
        <f t="shared" si="569"/>
        <v>389.22064516719985</v>
      </c>
      <c r="AF246" s="80">
        <f t="shared" si="569"/>
        <v>1304.4985633384001</v>
      </c>
      <c r="AG246" s="80">
        <f t="shared" si="569"/>
        <v>364.05452963549095</v>
      </c>
      <c r="AH246" s="80">
        <f t="shared" si="569"/>
        <v>286.51032983796784</v>
      </c>
      <c r="AI246" s="80">
        <f t="shared" si="569"/>
        <v>511.46115917348726</v>
      </c>
      <c r="AJ246" s="80">
        <f t="shared" si="569"/>
        <v>459.05676980740685</v>
      </c>
      <c r="AK246" s="80">
        <f t="shared" si="569"/>
        <v>259.83825470968367</v>
      </c>
      <c r="AL246" s="80">
        <f t="shared" si="569"/>
        <v>590.20976009642175</v>
      </c>
      <c r="AM246" s="80">
        <f t="shared" si="569"/>
        <v>377.66894416382939</v>
      </c>
      <c r="AN246" s="80">
        <f t="shared" si="569"/>
        <v>370.09101982867907</v>
      </c>
      <c r="AO246" s="80">
        <f t="shared" si="569"/>
        <v>341.25058304852109</v>
      </c>
      <c r="AP246" s="80">
        <f t="shared" si="569"/>
        <v>1439.6369478345432</v>
      </c>
      <c r="AQ246" s="80">
        <f t="shared" si="569"/>
        <v>335.83284499264795</v>
      </c>
      <c r="AR246" s="80">
        <f t="shared" si="569"/>
        <v>391.17108952999979</v>
      </c>
      <c r="AS246" s="80">
        <f t="shared" si="569"/>
        <v>-160.31147207250004</v>
      </c>
      <c r="AT246" s="80">
        <f t="shared" si="569"/>
        <v>28.402872856499968</v>
      </c>
      <c r="AU246" s="80">
        <f t="shared" si="569"/>
        <v>197.53204037825489</v>
      </c>
      <c r="AV246" s="80">
        <f t="shared" si="569"/>
        <v>1890.5853411900298</v>
      </c>
      <c r="AW246" s="80">
        <f t="shared" si="569"/>
        <v>-33.414611611484631</v>
      </c>
      <c r="AX246" s="80">
        <f t="shared" si="569"/>
        <v>-23.081796470033805</v>
      </c>
      <c r="AY246" s="80">
        <f t="shared" si="569"/>
        <v>-22.675510423498295</v>
      </c>
      <c r="AZ246" s="80">
        <f t="shared" si="569"/>
        <v>106.03504815799991</v>
      </c>
      <c r="BA246" s="80">
        <f t="shared" si="569"/>
        <v>-26.171021735516582</v>
      </c>
      <c r="BB246" s="80">
        <f t="shared" si="569"/>
        <v>57.495138331573365</v>
      </c>
      <c r="BC246" s="80">
        <f t="shared" si="569"/>
        <v>81.592089141714126</v>
      </c>
      <c r="BD246" s="80">
        <f t="shared" si="569"/>
        <v>90.936356627331719</v>
      </c>
      <c r="BE246" s="80">
        <f t="shared" si="569"/>
        <v>33.138177470476101</v>
      </c>
    </row>
    <row r="247" spans="2:57" ht="13.5" thickTop="1">
      <c r="B247" s="87" t="str">
        <f t="shared" si="549"/>
        <v>Other investing activities</v>
      </c>
      <c r="C247" s="88">
        <f t="shared" ref="C247:O247" si="570">C67*C$207</f>
        <v>8.7641553390669049</v>
      </c>
      <c r="D247" s="88">
        <f t="shared" si="570"/>
        <v>3.083805461054316</v>
      </c>
      <c r="E247" s="88">
        <f t="shared" si="570"/>
        <v>2.5152847440438952</v>
      </c>
      <c r="F247" s="88">
        <f t="shared" si="570"/>
        <v>3.0755304253863107</v>
      </c>
      <c r="G247" s="88">
        <f t="shared" si="570"/>
        <v>0</v>
      </c>
      <c r="H247" s="88">
        <f t="shared" si="570"/>
        <v>-218.49839089697497</v>
      </c>
      <c r="I247" s="88">
        <f t="shared" si="570"/>
        <v>-293.89872948227367</v>
      </c>
      <c r="J247" s="88">
        <f t="shared" si="570"/>
        <v>194.4451226537669</v>
      </c>
      <c r="K247" s="88">
        <f t="shared" si="570"/>
        <v>138.80215795629135</v>
      </c>
      <c r="L247" s="88">
        <f t="shared" si="570"/>
        <v>0.91704193615028917</v>
      </c>
      <c r="M247" s="88">
        <f t="shared" si="570"/>
        <v>-84.502351266425109</v>
      </c>
      <c r="N247" s="88">
        <f t="shared" si="570"/>
        <v>187.3255284031878</v>
      </c>
      <c r="O247" s="261">
        <f t="shared" si="570"/>
        <v>95.084357737414976</v>
      </c>
      <c r="P247" s="68"/>
      <c r="Q247" s="88">
        <f t="shared" ref="Q247:BE247" si="571">Q67*Q$207</f>
        <v>2.4264587301939482</v>
      </c>
      <c r="R247" s="88">
        <f t="shared" si="571"/>
        <v>0</v>
      </c>
      <c r="S247" s="88">
        <f t="shared" si="571"/>
        <v>-59.398459959849134</v>
      </c>
      <c r="T247" s="88">
        <f t="shared" si="571"/>
        <v>59.037109997165317</v>
      </c>
      <c r="U247" s="88">
        <f t="shared" si="571"/>
        <v>3.045841811476774</v>
      </c>
      <c r="V247" s="88">
        <f t="shared" si="571"/>
        <v>0</v>
      </c>
      <c r="W247" s="88">
        <f t="shared" si="571"/>
        <v>0</v>
      </c>
      <c r="X247" s="88">
        <f t="shared" si="571"/>
        <v>0</v>
      </c>
      <c r="Y247" s="88">
        <f t="shared" si="571"/>
        <v>0</v>
      </c>
      <c r="Z247" s="88">
        <f t="shared" si="571"/>
        <v>0</v>
      </c>
      <c r="AA247" s="88">
        <f t="shared" si="571"/>
        <v>0</v>
      </c>
      <c r="AB247" s="88">
        <f t="shared" si="571"/>
        <v>0</v>
      </c>
      <c r="AC247" s="88">
        <f t="shared" si="571"/>
        <v>0</v>
      </c>
      <c r="AD247" s="88">
        <f t="shared" si="571"/>
        <v>0</v>
      </c>
      <c r="AE247" s="88">
        <f t="shared" si="571"/>
        <v>0</v>
      </c>
      <c r="AF247" s="88">
        <f t="shared" si="571"/>
        <v>-203.23401696789998</v>
      </c>
      <c r="AG247" s="88">
        <f t="shared" si="571"/>
        <v>-21.939170744352712</v>
      </c>
      <c r="AH247" s="88">
        <f t="shared" si="571"/>
        <v>119.19483909422812</v>
      </c>
      <c r="AI247" s="88">
        <f t="shared" si="571"/>
        <v>-214.67394773928731</v>
      </c>
      <c r="AJ247" s="88">
        <f t="shared" si="571"/>
        <v>-191.54061715866462</v>
      </c>
      <c r="AK247" s="88">
        <f t="shared" si="571"/>
        <v>-41.926046423695659</v>
      </c>
      <c r="AL247" s="88">
        <f t="shared" si="571"/>
        <v>4.7277701655716662</v>
      </c>
      <c r="AM247" s="88">
        <f t="shared" si="571"/>
        <v>0.20672458238949534</v>
      </c>
      <c r="AN247" s="88">
        <f t="shared" si="571"/>
        <v>209.10975253506339</v>
      </c>
      <c r="AO247" s="88">
        <f t="shared" si="571"/>
        <v>33.580262072609891</v>
      </c>
      <c r="AP247" s="88">
        <f t="shared" si="571"/>
        <v>-9.7030642368854529</v>
      </c>
      <c r="AQ247" s="88">
        <f t="shared" si="571"/>
        <v>74.397562246332626</v>
      </c>
      <c r="AR247" s="88">
        <f t="shared" si="571"/>
        <v>35.570021825000005</v>
      </c>
      <c r="AS247" s="88">
        <f t="shared" si="571"/>
        <v>2.4960515375000001</v>
      </c>
      <c r="AT247" s="88">
        <f t="shared" si="571"/>
        <v>26.986580315999998</v>
      </c>
      <c r="AU247" s="88">
        <f t="shared" si="571"/>
        <v>-30.555452037205121</v>
      </c>
      <c r="AV247" s="88">
        <f t="shared" si="571"/>
        <v>3.3387018189999451</v>
      </c>
      <c r="AW247" s="88">
        <f t="shared" si="571"/>
        <v>-190.31456932639855</v>
      </c>
      <c r="AX247" s="88">
        <f t="shared" si="571"/>
        <v>-29.155690142655171</v>
      </c>
      <c r="AY247" s="88">
        <f t="shared" si="571"/>
        <v>166.44147896485362</v>
      </c>
      <c r="AZ247" s="88">
        <f t="shared" si="571"/>
        <v>-28.279086440999993</v>
      </c>
      <c r="BA247" s="88">
        <f t="shared" si="571"/>
        <v>109.44461703100323</v>
      </c>
      <c r="BB247" s="88">
        <f t="shared" si="571"/>
        <v>93.474825765575503</v>
      </c>
      <c r="BC247" s="88">
        <f t="shared" si="571"/>
        <v>0</v>
      </c>
      <c r="BD247" s="88">
        <f t="shared" si="571"/>
        <v>-16.894806502045295</v>
      </c>
      <c r="BE247" s="88">
        <f t="shared" si="571"/>
        <v>17.795982268743582</v>
      </c>
    </row>
    <row r="248" spans="2:57">
      <c r="B248" s="1" t="str">
        <f t="shared" si="549"/>
        <v>Equity Issuance/Buyback</v>
      </c>
      <c r="C248" s="81">
        <f t="shared" ref="C248:O248" si="572">C68*C$207</f>
        <v>0</v>
      </c>
      <c r="D248" s="81">
        <f t="shared" si="572"/>
        <v>0</v>
      </c>
      <c r="E248" s="81">
        <f t="shared" si="572"/>
        <v>522.96272935769809</v>
      </c>
      <c r="F248" s="81">
        <f t="shared" si="572"/>
        <v>0</v>
      </c>
      <c r="G248" s="81">
        <f t="shared" si="572"/>
        <v>0</v>
      </c>
      <c r="H248" s="81">
        <f t="shared" si="572"/>
        <v>0</v>
      </c>
      <c r="I248" s="81">
        <f t="shared" si="572"/>
        <v>0</v>
      </c>
      <c r="J248" s="81">
        <f t="shared" si="572"/>
        <v>0</v>
      </c>
      <c r="K248" s="81">
        <f t="shared" si="572"/>
        <v>0</v>
      </c>
      <c r="L248" s="81">
        <f t="shared" si="572"/>
        <v>0</v>
      </c>
      <c r="M248" s="81">
        <f t="shared" si="572"/>
        <v>0</v>
      </c>
      <c r="N248" s="81">
        <f t="shared" si="572"/>
        <v>0</v>
      </c>
      <c r="O248" s="262">
        <f t="shared" si="572"/>
        <v>0</v>
      </c>
      <c r="P248" s="68"/>
      <c r="Q248" s="81">
        <f t="shared" ref="Q248:BE248" si="573">Q68*Q$207</f>
        <v>0</v>
      </c>
      <c r="R248" s="81">
        <f t="shared" si="573"/>
        <v>4.6387285172954975</v>
      </c>
      <c r="S248" s="81">
        <f t="shared" si="573"/>
        <v>529.8117688249838</v>
      </c>
      <c r="T248" s="81">
        <f t="shared" si="573"/>
        <v>0</v>
      </c>
      <c r="U248" s="81">
        <f t="shared" si="573"/>
        <v>0</v>
      </c>
      <c r="V248" s="81">
        <f t="shared" si="573"/>
        <v>0</v>
      </c>
      <c r="W248" s="81">
        <f t="shared" si="573"/>
        <v>0</v>
      </c>
      <c r="X248" s="81">
        <f t="shared" si="573"/>
        <v>0</v>
      </c>
      <c r="Y248" s="81">
        <f t="shared" si="573"/>
        <v>0</v>
      </c>
      <c r="Z248" s="81">
        <f t="shared" si="573"/>
        <v>0</v>
      </c>
      <c r="AA248" s="81">
        <f t="shared" si="573"/>
        <v>0</v>
      </c>
      <c r="AB248" s="81">
        <f t="shared" si="573"/>
        <v>0</v>
      </c>
      <c r="AC248" s="81">
        <f t="shared" si="573"/>
        <v>0</v>
      </c>
      <c r="AD248" s="81">
        <f t="shared" si="573"/>
        <v>0</v>
      </c>
      <c r="AE248" s="81">
        <f t="shared" si="573"/>
        <v>0</v>
      </c>
      <c r="AF248" s="81">
        <f t="shared" si="573"/>
        <v>0</v>
      </c>
      <c r="AG248" s="81">
        <f t="shared" si="573"/>
        <v>0</v>
      </c>
      <c r="AH248" s="81">
        <f t="shared" si="573"/>
        <v>0</v>
      </c>
      <c r="AI248" s="81">
        <f t="shared" si="573"/>
        <v>0</v>
      </c>
      <c r="AJ248" s="81">
        <f t="shared" si="573"/>
        <v>0</v>
      </c>
      <c r="AK248" s="81">
        <f t="shared" si="573"/>
        <v>0</v>
      </c>
      <c r="AL248" s="81">
        <f t="shared" si="573"/>
        <v>0</v>
      </c>
      <c r="AM248" s="81">
        <f t="shared" si="573"/>
        <v>0</v>
      </c>
      <c r="AN248" s="81">
        <f t="shared" si="573"/>
        <v>0</v>
      </c>
      <c r="AO248" s="81">
        <f t="shared" si="573"/>
        <v>0</v>
      </c>
      <c r="AP248" s="81">
        <f t="shared" si="573"/>
        <v>0</v>
      </c>
      <c r="AQ248" s="81">
        <f t="shared" si="573"/>
        <v>0</v>
      </c>
      <c r="AR248" s="81">
        <f t="shared" si="573"/>
        <v>0</v>
      </c>
      <c r="AS248" s="81">
        <f t="shared" si="573"/>
        <v>0</v>
      </c>
      <c r="AT248" s="81">
        <f t="shared" si="573"/>
        <v>0</v>
      </c>
      <c r="AU248" s="81">
        <f t="shared" si="573"/>
        <v>0</v>
      </c>
      <c r="AV248" s="81">
        <f t="shared" si="573"/>
        <v>0</v>
      </c>
      <c r="AW248" s="81">
        <f t="shared" si="573"/>
        <v>0</v>
      </c>
      <c r="AX248" s="81">
        <f t="shared" si="573"/>
        <v>0</v>
      </c>
      <c r="AY248" s="81">
        <f t="shared" si="573"/>
        <v>0</v>
      </c>
      <c r="AZ248" s="81">
        <f t="shared" si="573"/>
        <v>0</v>
      </c>
      <c r="BA248" s="81">
        <f t="shared" si="573"/>
        <v>0</v>
      </c>
      <c r="BB248" s="81">
        <f t="shared" si="573"/>
        <v>0</v>
      </c>
      <c r="BC248" s="81">
        <f t="shared" si="573"/>
        <v>0</v>
      </c>
      <c r="BD248" s="81">
        <f t="shared" si="573"/>
        <v>0</v>
      </c>
      <c r="BE248" s="81">
        <f t="shared" si="573"/>
        <v>0</v>
      </c>
    </row>
    <row r="249" spans="2:57" s="5" customFormat="1">
      <c r="B249" s="1" t="str">
        <f t="shared" si="549"/>
        <v xml:space="preserve">Dividends Paid </v>
      </c>
      <c r="C249" s="81">
        <f t="shared" ref="C249:O249" si="574">C69*C$207</f>
        <v>-96.453732323616777</v>
      </c>
      <c r="D249" s="81">
        <f t="shared" si="574"/>
        <v>-13.889564141051983</v>
      </c>
      <c r="E249" s="81">
        <f t="shared" si="574"/>
        <v>-5.1130687683892721E-2</v>
      </c>
      <c r="F249" s="81">
        <f t="shared" si="574"/>
        <v>-15.881555473517981</v>
      </c>
      <c r="G249" s="81">
        <f t="shared" si="574"/>
        <v>-20.769741266300002</v>
      </c>
      <c r="H249" s="81">
        <f t="shared" si="574"/>
        <v>-2.7663740474999997E-2</v>
      </c>
      <c r="I249" s="81">
        <f t="shared" si="574"/>
        <v>-58.455659095096429</v>
      </c>
      <c r="J249" s="81">
        <f t="shared" si="574"/>
        <v>-334.73754214013252</v>
      </c>
      <c r="K249" s="81">
        <f t="shared" si="574"/>
        <v>-426.18937171898455</v>
      </c>
      <c r="L249" s="81">
        <f t="shared" si="574"/>
        <v>-33.990586326013322</v>
      </c>
      <c r="M249" s="81">
        <f t="shared" si="574"/>
        <v>-91.403471195174603</v>
      </c>
      <c r="N249" s="81">
        <f t="shared" si="574"/>
        <v>-77.498004457933988</v>
      </c>
      <c r="O249" s="262">
        <f t="shared" si="574"/>
        <v>-79.132421462244082</v>
      </c>
      <c r="P249" s="68"/>
      <c r="Q249" s="81">
        <f t="shared" ref="Q249:BE249" si="575">Q69*Q$207</f>
        <v>-8.9858223691508953E-4</v>
      </c>
      <c r="R249" s="81">
        <f t="shared" si="575"/>
        <v>-3.546954016148185E-2</v>
      </c>
      <c r="S249" s="81">
        <f t="shared" si="575"/>
        <v>-7.9284108257581965E-3</v>
      </c>
      <c r="T249" s="81">
        <f t="shared" si="575"/>
        <v>-7.0284702251015765E-3</v>
      </c>
      <c r="U249" s="81">
        <f t="shared" si="575"/>
        <v>-1.9945571444795706E-2</v>
      </c>
      <c r="V249" s="81">
        <f t="shared" si="575"/>
        <v>-15.475033374339155</v>
      </c>
      <c r="W249" s="81">
        <f t="shared" si="575"/>
        <v>9.4525565328175253E-3</v>
      </c>
      <c r="X249" s="81">
        <f t="shared" si="575"/>
        <v>-1.7996469453236193E-2</v>
      </c>
      <c r="Y249" s="81">
        <f t="shared" si="575"/>
        <v>-9.331627840000002E-4</v>
      </c>
      <c r="Z249" s="81">
        <f t="shared" si="575"/>
        <v>-21.400294602399999</v>
      </c>
      <c r="AA249" s="81">
        <f t="shared" si="575"/>
        <v>1.5290179200000175E-2</v>
      </c>
      <c r="AB249" s="81">
        <f t="shared" si="575"/>
        <v>-1.5288000000001989E-2</v>
      </c>
      <c r="AC249" s="81">
        <f t="shared" si="575"/>
        <v>-6.671580299999999E-2</v>
      </c>
      <c r="AD249" s="81">
        <f t="shared" si="575"/>
        <v>4.0816599199999991E-2</v>
      </c>
      <c r="AE249" s="81">
        <f t="shared" si="575"/>
        <v>-3.5136639999999654E-4</v>
      </c>
      <c r="AF249" s="81">
        <f t="shared" si="575"/>
        <v>-3.3575630000000013E-3</v>
      </c>
      <c r="AG249" s="81">
        <f t="shared" si="575"/>
        <v>0</v>
      </c>
      <c r="AH249" s="81">
        <f t="shared" si="575"/>
        <v>-55.617257158744174</v>
      </c>
      <c r="AI249" s="81">
        <f t="shared" si="575"/>
        <v>5.4048608758825278E-2</v>
      </c>
      <c r="AJ249" s="81">
        <f t="shared" si="575"/>
        <v>-3.3629308975629602E-3</v>
      </c>
      <c r="AK249" s="81">
        <f t="shared" si="575"/>
        <v>-4.1083626864241067E-3</v>
      </c>
      <c r="AL249" s="81">
        <f t="shared" si="575"/>
        <v>-57.927685255549605</v>
      </c>
      <c r="AM249" s="81">
        <f t="shared" si="575"/>
        <v>4.8441942131135694E-2</v>
      </c>
      <c r="AN249" s="81">
        <f t="shared" si="575"/>
        <v>-254.62288713281916</v>
      </c>
      <c r="AO249" s="81">
        <f t="shared" si="575"/>
        <v>0</v>
      </c>
      <c r="AP249" s="81">
        <f t="shared" si="575"/>
        <v>-403.89211251963712</v>
      </c>
      <c r="AQ249" s="81">
        <f t="shared" si="575"/>
        <v>0.21039833713169934</v>
      </c>
      <c r="AR249" s="81">
        <f t="shared" si="575"/>
        <v>-33.480316544999944</v>
      </c>
      <c r="AS249" s="81">
        <f t="shared" si="575"/>
        <v>-2.8175385000000001E-2</v>
      </c>
      <c r="AT249" s="81">
        <f t="shared" si="575"/>
        <v>-35.505889177</v>
      </c>
      <c r="AU249" s="81">
        <f t="shared" si="575"/>
        <v>9.2183450836279539E-4</v>
      </c>
      <c r="AV249" s="81">
        <f t="shared" si="575"/>
        <v>-3.0506210939711946E-2</v>
      </c>
      <c r="AW249" s="81">
        <f t="shared" si="575"/>
        <v>-2.1882532030952681E-4</v>
      </c>
      <c r="AX249" s="81">
        <f t="shared" si="575"/>
        <v>-76.166266118322397</v>
      </c>
      <c r="AY249" s="81">
        <f t="shared" si="575"/>
        <v>4.4959198374386458E-2</v>
      </c>
      <c r="AZ249" s="81">
        <f t="shared" si="575"/>
        <v>-15.708657475000008</v>
      </c>
      <c r="BA249" s="81">
        <f t="shared" si="575"/>
        <v>-3.9502119524561551E-3</v>
      </c>
      <c r="BB249" s="81">
        <f t="shared" si="575"/>
        <v>-41.141576557550152</v>
      </c>
      <c r="BC249" s="81">
        <f t="shared" si="575"/>
        <v>2.4121189389675713E-2</v>
      </c>
      <c r="BD249" s="81">
        <f t="shared" si="575"/>
        <v>-37.19183710620436</v>
      </c>
      <c r="BE249" s="81">
        <f t="shared" si="575"/>
        <v>0</v>
      </c>
    </row>
    <row r="250" spans="2:57">
      <c r="B250" s="1" t="str">
        <f t="shared" si="549"/>
        <v>Change in debt</v>
      </c>
      <c r="C250" s="81">
        <f t="shared" ref="C250:O250" si="576">C70*C$207</f>
        <v>833.82213166907718</v>
      </c>
      <c r="D250" s="81">
        <f t="shared" si="576"/>
        <v>-1.7366349588325802</v>
      </c>
      <c r="E250" s="78">
        <f t="shared" si="576"/>
        <v>-0.68666996582845297</v>
      </c>
      <c r="F250" s="78">
        <f t="shared" si="576"/>
        <v>146.12821400435016</v>
      </c>
      <c r="G250" s="78">
        <f t="shared" si="576"/>
        <v>82.580868210099993</v>
      </c>
      <c r="H250" s="78">
        <f t="shared" si="576"/>
        <v>-43.212232200199956</v>
      </c>
      <c r="I250" s="78">
        <f t="shared" si="576"/>
        <v>-198.695174173672</v>
      </c>
      <c r="J250" s="78">
        <f t="shared" si="576"/>
        <v>-102.53038995464257</v>
      </c>
      <c r="K250" s="78">
        <f t="shared" si="576"/>
        <v>-239.86216707938419</v>
      </c>
      <c r="L250" s="78">
        <f t="shared" si="576"/>
        <v>-340.41680463571743</v>
      </c>
      <c r="M250" s="78">
        <f t="shared" si="576"/>
        <v>-429.55705760671736</v>
      </c>
      <c r="N250" s="78">
        <f t="shared" si="576"/>
        <v>-531.87204742343704</v>
      </c>
      <c r="O250" s="259">
        <f t="shared" si="576"/>
        <v>-546.40823756062878</v>
      </c>
      <c r="P250" s="68"/>
      <c r="Q250" s="78">
        <f t="shared" ref="Q250:BE250" si="577">Q70*Q$207</f>
        <v>-0.43780638167716329</v>
      </c>
      <c r="R250" s="78">
        <f t="shared" si="577"/>
        <v>-0.17892579788289198</v>
      </c>
      <c r="S250" s="78">
        <f t="shared" si="577"/>
        <v>-4.096144083311562E-2</v>
      </c>
      <c r="T250" s="78">
        <f t="shared" si="577"/>
        <v>-1.3776041982134319E-2</v>
      </c>
      <c r="U250" s="78">
        <f t="shared" si="577"/>
        <v>-0.47839615623031578</v>
      </c>
      <c r="V250" s="78">
        <f t="shared" si="577"/>
        <v>148.9528755544095</v>
      </c>
      <c r="W250" s="78">
        <f t="shared" si="577"/>
        <v>-0.5036693248728954</v>
      </c>
      <c r="X250" s="78">
        <f t="shared" si="577"/>
        <v>-5.6177352813043067</v>
      </c>
      <c r="Y250" s="78">
        <f t="shared" si="577"/>
        <v>-0.54831615720000004</v>
      </c>
      <c r="Z250" s="78">
        <f t="shared" si="577"/>
        <v>-0.38774654079999737</v>
      </c>
      <c r="AA250" s="78">
        <f t="shared" si="577"/>
        <v>-0.41964556160000849</v>
      </c>
      <c r="AB250" s="78">
        <f t="shared" si="577"/>
        <v>79.000372499999983</v>
      </c>
      <c r="AC250" s="78">
        <f t="shared" si="577"/>
        <v>-19.268822386800011</v>
      </c>
      <c r="AD250" s="78">
        <f t="shared" si="577"/>
        <v>20.330488383399995</v>
      </c>
      <c r="AE250" s="78">
        <f t="shared" si="577"/>
        <v>-55.879936543199904</v>
      </c>
      <c r="AF250" s="78">
        <f t="shared" si="577"/>
        <v>10.771380607999964</v>
      </c>
      <c r="AG250" s="78">
        <f t="shared" si="577"/>
        <v>-98.002838675362881</v>
      </c>
      <c r="AH250" s="78">
        <f t="shared" si="577"/>
        <v>-26.563097016354408</v>
      </c>
      <c r="AI250" s="78">
        <f t="shared" si="577"/>
        <v>-28.100881701757178</v>
      </c>
      <c r="AJ250" s="78">
        <f t="shared" si="577"/>
        <v>-46.868949877358482</v>
      </c>
      <c r="AK250" s="78">
        <f t="shared" si="577"/>
        <v>-34.363646560567496</v>
      </c>
      <c r="AL250" s="78">
        <f t="shared" si="577"/>
        <v>-40.685013794567439</v>
      </c>
      <c r="AM250" s="78">
        <f t="shared" si="577"/>
        <v>785.93540948790394</v>
      </c>
      <c r="AN250" s="78">
        <f t="shared" si="577"/>
        <v>-753.88409667095459</v>
      </c>
      <c r="AO250" s="78">
        <f t="shared" si="577"/>
        <v>2.952968284456587</v>
      </c>
      <c r="AP250" s="78">
        <f t="shared" si="577"/>
        <v>-2.9639921048499769</v>
      </c>
      <c r="AQ250" s="78">
        <f t="shared" si="577"/>
        <v>-7.9150942293477407</v>
      </c>
      <c r="AR250" s="78">
        <f t="shared" si="577"/>
        <v>-224.35723420500003</v>
      </c>
      <c r="AS250" s="78">
        <f t="shared" si="577"/>
        <v>-50.232424637499996</v>
      </c>
      <c r="AT250" s="78">
        <f t="shared" si="577"/>
        <v>-29.781384040500008</v>
      </c>
      <c r="AU250" s="78">
        <f t="shared" si="577"/>
        <v>-46.718827305488944</v>
      </c>
      <c r="AV250" s="78">
        <f t="shared" si="577"/>
        <v>-203.53365546364199</v>
      </c>
      <c r="AW250" s="78">
        <f t="shared" si="577"/>
        <v>-63.50334369317941</v>
      </c>
      <c r="AX250" s="78">
        <f t="shared" si="577"/>
        <v>-91.58597866598123</v>
      </c>
      <c r="AY250" s="78">
        <f t="shared" si="577"/>
        <v>-49.595526335594727</v>
      </c>
      <c r="AZ250" s="78">
        <f t="shared" si="577"/>
        <v>-221.40124734499997</v>
      </c>
      <c r="BA250" s="78">
        <f t="shared" si="577"/>
        <v>-35.966621644086104</v>
      </c>
      <c r="BB250" s="78">
        <f t="shared" si="577"/>
        <v>-8.5297360084477489</v>
      </c>
      <c r="BC250" s="78">
        <f t="shared" si="577"/>
        <v>-422.56851701360665</v>
      </c>
      <c r="BD250" s="78">
        <f t="shared" si="577"/>
        <v>-61.402247660248989</v>
      </c>
      <c r="BE250" s="78">
        <f t="shared" si="577"/>
        <v>-42.502068646581769</v>
      </c>
    </row>
    <row r="251" spans="2:57" ht="13.5" thickBot="1">
      <c r="B251" s="44" t="str">
        <f t="shared" si="549"/>
        <v>Other financing activities</v>
      </c>
      <c r="C251" s="79">
        <f t="shared" ref="C251:O251" si="578">C71*C$207</f>
        <v>42.087575538473274</v>
      </c>
      <c r="D251" s="79">
        <f t="shared" si="578"/>
        <v>59.698143314667966</v>
      </c>
      <c r="E251" s="79">
        <f t="shared" si="578"/>
        <v>-24.38668701246403</v>
      </c>
      <c r="F251" s="79">
        <f t="shared" si="578"/>
        <v>-38.16470361055427</v>
      </c>
      <c r="G251" s="79">
        <f t="shared" si="578"/>
        <v>0.67074853170000004</v>
      </c>
      <c r="H251" s="79">
        <f t="shared" si="578"/>
        <v>28.946271376049996</v>
      </c>
      <c r="I251" s="79">
        <f t="shared" si="578"/>
        <v>31.211120183576178</v>
      </c>
      <c r="J251" s="79">
        <f t="shared" si="578"/>
        <v>25.720952876122471</v>
      </c>
      <c r="K251" s="79">
        <f t="shared" si="578"/>
        <v>25.645471228392797</v>
      </c>
      <c r="L251" s="79">
        <f t="shared" si="578"/>
        <v>-3.4491372140198022</v>
      </c>
      <c r="M251" s="79">
        <f t="shared" si="578"/>
        <v>22.289452116347967</v>
      </c>
      <c r="N251" s="79">
        <f t="shared" si="578"/>
        <v>293.20713629022936</v>
      </c>
      <c r="O251" s="263">
        <f t="shared" si="578"/>
        <v>241.8477151507706</v>
      </c>
      <c r="P251" s="68"/>
      <c r="Q251" s="79">
        <f t="shared" ref="Q251:BE251" si="579">Q71*Q$207</f>
        <v>12.258176464435479</v>
      </c>
      <c r="R251" s="79">
        <f t="shared" si="579"/>
        <v>-12.495747607804496</v>
      </c>
      <c r="S251" s="79">
        <f t="shared" si="579"/>
        <v>-15.267979214243827</v>
      </c>
      <c r="T251" s="79">
        <f t="shared" si="579"/>
        <v>-9.7955559701221304</v>
      </c>
      <c r="U251" s="79">
        <f t="shared" si="579"/>
        <v>-7.0719204889814549</v>
      </c>
      <c r="V251" s="79">
        <f t="shared" si="579"/>
        <v>-7.5032023597228559</v>
      </c>
      <c r="W251" s="79">
        <f t="shared" si="579"/>
        <v>-17.009430251692514</v>
      </c>
      <c r="X251" s="79">
        <f t="shared" si="579"/>
        <v>-6.6615273523165364</v>
      </c>
      <c r="Y251" s="79">
        <f t="shared" si="579"/>
        <v>-10.169104909135999</v>
      </c>
      <c r="Z251" s="79">
        <f t="shared" si="579"/>
        <v>-2.6805214256000007</v>
      </c>
      <c r="AA251" s="79">
        <f t="shared" si="579"/>
        <v>5.1412933343999994</v>
      </c>
      <c r="AB251" s="79">
        <f t="shared" si="579"/>
        <v>7.0745308199999997</v>
      </c>
      <c r="AC251" s="79">
        <f t="shared" si="579"/>
        <v>-1.0594535489999999</v>
      </c>
      <c r="AD251" s="79">
        <f t="shared" si="579"/>
        <v>2.6455769729999998</v>
      </c>
      <c r="AE251" s="79">
        <f t="shared" si="579"/>
        <v>17.378175522399996</v>
      </c>
      <c r="AF251" s="79">
        <f t="shared" si="579"/>
        <v>9.1853355288999996</v>
      </c>
      <c r="AG251" s="79">
        <f t="shared" si="579"/>
        <v>4.3872700706627175</v>
      </c>
      <c r="AH251" s="79">
        <f t="shared" si="579"/>
        <v>19.2627534562398</v>
      </c>
      <c r="AI251" s="79">
        <f t="shared" si="579"/>
        <v>4.1888243678413595</v>
      </c>
      <c r="AJ251" s="79">
        <f t="shared" si="579"/>
        <v>2.4579279353466656</v>
      </c>
      <c r="AK251" s="79">
        <f t="shared" si="579"/>
        <v>-8.8630379699552488</v>
      </c>
      <c r="AL251" s="79">
        <f t="shared" si="579"/>
        <v>14.911541933107955</v>
      </c>
      <c r="AM251" s="79">
        <f t="shared" si="579"/>
        <v>-5.0578851050122458</v>
      </c>
      <c r="AN251" s="79">
        <f t="shared" si="579"/>
        <v>22.74691550078537</v>
      </c>
      <c r="AO251" s="79">
        <f t="shared" si="579"/>
        <v>-10.498880441460127</v>
      </c>
      <c r="AP251" s="79">
        <f t="shared" si="579"/>
        <v>7.7925358686509663</v>
      </c>
      <c r="AQ251" s="79">
        <f t="shared" si="579"/>
        <v>2.2851961183585319</v>
      </c>
      <c r="AR251" s="79">
        <f t="shared" si="579"/>
        <v>24.662906060000005</v>
      </c>
      <c r="AS251" s="79">
        <f t="shared" si="579"/>
        <v>-5.2499123525</v>
      </c>
      <c r="AT251" s="79">
        <f t="shared" si="579"/>
        <v>-6.9783902400000004</v>
      </c>
      <c r="AU251" s="79">
        <f t="shared" si="579"/>
        <v>-3.1872540545534975</v>
      </c>
      <c r="AV251" s="79">
        <f t="shared" si="579"/>
        <v>10.94961876619344</v>
      </c>
      <c r="AW251" s="79">
        <f t="shared" si="579"/>
        <v>6.099343524039071</v>
      </c>
      <c r="AX251" s="79">
        <f t="shared" si="579"/>
        <v>-3.86150130660155</v>
      </c>
      <c r="AY251" s="79">
        <f t="shared" si="579"/>
        <v>11.300279536828979</v>
      </c>
      <c r="AZ251" s="79">
        <f t="shared" si="579"/>
        <v>8.6608684499999935</v>
      </c>
      <c r="BA251" s="79">
        <f t="shared" si="579"/>
        <v>7.608537320256004</v>
      </c>
      <c r="BB251" s="79">
        <f t="shared" si="579"/>
        <v>-2.1427096092925022</v>
      </c>
      <c r="BC251" s="79">
        <f t="shared" si="579"/>
        <v>289.36315975912152</v>
      </c>
      <c r="BD251" s="79">
        <f t="shared" si="579"/>
        <v>-4.5962917353778998</v>
      </c>
      <c r="BE251" s="79">
        <f t="shared" si="579"/>
        <v>-52.181106962789173</v>
      </c>
    </row>
    <row r="252" spans="2:57" ht="14.25" thickTop="1" thickBot="1">
      <c r="B252" s="59" t="str">
        <f t="shared" si="549"/>
        <v>Cash flow after financing activities</v>
      </c>
      <c r="C252" s="82">
        <f t="shared" ref="C252:O252" si="580">C72*C$207</f>
        <v>1867.2435078773124</v>
      </c>
      <c r="D252" s="82">
        <f t="shared" si="580"/>
        <v>709.82397811550857</v>
      </c>
      <c r="E252" s="80">
        <f t="shared" si="580"/>
        <v>1079.9950636944052</v>
      </c>
      <c r="F252" s="80">
        <f t="shared" si="580"/>
        <v>1288.3593994381167</v>
      </c>
      <c r="G252" s="80">
        <f t="shared" si="580"/>
        <v>1152.5209585967998</v>
      </c>
      <c r="H252" s="80">
        <f t="shared" si="580"/>
        <v>2155.1121485757503</v>
      </c>
      <c r="I252" s="80">
        <f t="shared" si="580"/>
        <v>1095.6358024829026</v>
      </c>
      <c r="J252" s="80">
        <f t="shared" si="580"/>
        <v>1382.4185446635604</v>
      </c>
      <c r="K252" s="80">
        <f t="shared" si="580"/>
        <v>1979.0133929610554</v>
      </c>
      <c r="L252" s="80">
        <f t="shared" si="580"/>
        <v>1693.7832487515086</v>
      </c>
      <c r="M252" s="80">
        <f t="shared" si="580"/>
        <v>-553.49144654764814</v>
      </c>
      <c r="N252" s="80">
        <f t="shared" si="580"/>
        <v>73.649118570643722</v>
      </c>
      <c r="O252" s="260">
        <f t="shared" si="580"/>
        <v>-23.226432635026107</v>
      </c>
      <c r="P252" s="70"/>
      <c r="Q252" s="80">
        <f t="shared" ref="Q252:BE252" si="581">Q72*Q$207</f>
        <v>298.43472061540996</v>
      </c>
      <c r="R252" s="80">
        <f t="shared" si="581"/>
        <v>185.09601572930234</v>
      </c>
      <c r="S252" s="80">
        <f t="shared" si="581"/>
        <v>308.61718028435365</v>
      </c>
      <c r="T252" s="80">
        <f t="shared" si="581"/>
        <v>287.85171007905598</v>
      </c>
      <c r="U252" s="80">
        <f t="shared" si="581"/>
        <v>259.77125983168611</v>
      </c>
      <c r="V252" s="80">
        <f t="shared" si="581"/>
        <v>338.57559994362214</v>
      </c>
      <c r="W252" s="80">
        <f t="shared" si="581"/>
        <v>355.03524769601688</v>
      </c>
      <c r="X252" s="80">
        <f t="shared" si="581"/>
        <v>335.85123534763301</v>
      </c>
      <c r="Y252" s="80">
        <f t="shared" si="581"/>
        <v>165.27412608753596</v>
      </c>
      <c r="Z252" s="80">
        <f t="shared" si="581"/>
        <v>286.40824810559997</v>
      </c>
      <c r="AA252" s="80">
        <f t="shared" si="581"/>
        <v>285.26173067520017</v>
      </c>
      <c r="AB252" s="80">
        <f t="shared" si="581"/>
        <v>399.18172958999952</v>
      </c>
      <c r="AC252" s="80">
        <f t="shared" si="581"/>
        <v>295.69349977019988</v>
      </c>
      <c r="AD252" s="80">
        <f t="shared" si="581"/>
        <v>323.30095448040009</v>
      </c>
      <c r="AE252" s="80">
        <f t="shared" si="581"/>
        <v>350.71853277999992</v>
      </c>
      <c r="AF252" s="80">
        <f t="shared" si="581"/>
        <v>1121.2179049444003</v>
      </c>
      <c r="AG252" s="80">
        <f t="shared" si="581"/>
        <v>248.49979028643804</v>
      </c>
      <c r="AH252" s="80">
        <f t="shared" si="581"/>
        <v>342.78756821333718</v>
      </c>
      <c r="AI252" s="80">
        <f t="shared" si="581"/>
        <v>272.92920270904295</v>
      </c>
      <c r="AJ252" s="80">
        <f t="shared" si="581"/>
        <v>223.10176777583288</v>
      </c>
      <c r="AK252" s="80">
        <f t="shared" si="581"/>
        <v>174.6814153927788</v>
      </c>
      <c r="AL252" s="80">
        <f t="shared" si="581"/>
        <v>511.23637314498421</v>
      </c>
      <c r="AM252" s="80">
        <f t="shared" si="581"/>
        <v>1158.8016350712417</v>
      </c>
      <c r="AN252" s="80">
        <f t="shared" si="581"/>
        <v>-406.55929593924589</v>
      </c>
      <c r="AO252" s="80">
        <f t="shared" si="581"/>
        <v>367.28493296412739</v>
      </c>
      <c r="AP252" s="80">
        <f t="shared" si="581"/>
        <v>1030.8703148418217</v>
      </c>
      <c r="AQ252" s="80">
        <f t="shared" si="581"/>
        <v>404.81090746512302</v>
      </c>
      <c r="AR252" s="80">
        <f t="shared" si="581"/>
        <v>193.56646666499984</v>
      </c>
      <c r="AS252" s="80">
        <f t="shared" si="581"/>
        <v>-213.32593291000003</v>
      </c>
      <c r="AT252" s="80">
        <f t="shared" si="581"/>
        <v>-16.876210285000042</v>
      </c>
      <c r="AU252" s="80">
        <f t="shared" si="581"/>
        <v>117.07142881551572</v>
      </c>
      <c r="AV252" s="80">
        <f t="shared" si="581"/>
        <v>1701.3095001006418</v>
      </c>
      <c r="AW252" s="80">
        <f t="shared" si="581"/>
        <v>-281.13339993234382</v>
      </c>
      <c r="AX252" s="80">
        <f t="shared" si="581"/>
        <v>-223.85123270359418</v>
      </c>
      <c r="AY252" s="80">
        <f t="shared" si="581"/>
        <v>105.51568094096395</v>
      </c>
      <c r="AZ252" s="80">
        <f t="shared" si="581"/>
        <v>-150.69307465300005</v>
      </c>
      <c r="BA252" s="80">
        <f t="shared" si="581"/>
        <v>54.911560759704102</v>
      </c>
      <c r="BB252" s="80">
        <f t="shared" si="581"/>
        <v>99.155941921858457</v>
      </c>
      <c r="BC252" s="80">
        <f t="shared" si="581"/>
        <v>-51.589146923381328</v>
      </c>
      <c r="BD252" s="80">
        <f t="shared" si="581"/>
        <v>-29.148826376544822</v>
      </c>
      <c r="BE252" s="80">
        <f t="shared" si="581"/>
        <v>-43.749015870151261</v>
      </c>
    </row>
    <row r="253" spans="2:57" ht="13.5" thickTop="1">
      <c r="B253" s="1" t="str">
        <f t="shared" si="549"/>
        <v>FX</v>
      </c>
      <c r="C253" s="78">
        <f t="shared" ref="C253:O253" si="582">C73*C$207</f>
        <v>39.550401933176069</v>
      </c>
      <c r="D253" s="78">
        <f t="shared" si="582"/>
        <v>9.1101321219586548</v>
      </c>
      <c r="E253" s="78">
        <f t="shared" si="582"/>
        <v>-3.4352334823754287</v>
      </c>
      <c r="F253" s="78">
        <f t="shared" si="582"/>
        <v>0.8104098679271452</v>
      </c>
      <c r="G253" s="78">
        <f t="shared" si="582"/>
        <v>0.98192498949999996</v>
      </c>
      <c r="H253" s="78">
        <f t="shared" si="582"/>
        <v>-5.0263528316749992</v>
      </c>
      <c r="I253" s="78">
        <f t="shared" si="582"/>
        <v>-13.260623463874911</v>
      </c>
      <c r="J253" s="78">
        <f t="shared" si="582"/>
        <v>6.359590306953173</v>
      </c>
      <c r="K253" s="78">
        <f t="shared" si="582"/>
        <v>-4.337782193597147</v>
      </c>
      <c r="L253" s="78">
        <f t="shared" si="582"/>
        <v>0.74695241592406258</v>
      </c>
      <c r="M253" s="78">
        <f t="shared" si="582"/>
        <v>2.4575672872568988</v>
      </c>
      <c r="N253" s="78">
        <f t="shared" si="582"/>
        <v>0.86658455409754198</v>
      </c>
      <c r="O253" s="259">
        <f t="shared" si="582"/>
        <v>0.7728747428261159</v>
      </c>
      <c r="P253" s="68"/>
      <c r="Q253" s="78">
        <f t="shared" ref="Q253:BE253" si="583">Q73*Q$207</f>
        <v>0.18597229133716009</v>
      </c>
      <c r="R253" s="78">
        <f t="shared" si="583"/>
        <v>-0.40112304710025587</v>
      </c>
      <c r="S253" s="78">
        <f t="shared" si="583"/>
        <v>-0.46309717659305683</v>
      </c>
      <c r="T253" s="78">
        <f t="shared" si="583"/>
        <v>-2.8174747242257356</v>
      </c>
      <c r="U253" s="78">
        <f t="shared" si="583"/>
        <v>0.28729496734736953</v>
      </c>
      <c r="V253" s="78">
        <f t="shared" si="583"/>
        <v>0.16386721682876942</v>
      </c>
      <c r="W253" s="78">
        <f t="shared" si="583"/>
        <v>4.9977746200521006E-2</v>
      </c>
      <c r="X253" s="78">
        <f t="shared" si="583"/>
        <v>0.310413839865541</v>
      </c>
      <c r="Y253" s="78">
        <f t="shared" si="583"/>
        <v>-1.114149872E-3</v>
      </c>
      <c r="Z253" s="78">
        <f t="shared" si="583"/>
        <v>0.16318058400000002</v>
      </c>
      <c r="AA253" s="78">
        <f t="shared" si="583"/>
        <v>-0.14559165600000001</v>
      </c>
      <c r="AB253" s="78">
        <f t="shared" si="583"/>
        <v>0.91823697000000004</v>
      </c>
      <c r="AC253" s="78">
        <f t="shared" si="583"/>
        <v>-3.4101648881999997</v>
      </c>
      <c r="AD253" s="78">
        <f t="shared" si="583"/>
        <v>0.11444720299999991</v>
      </c>
      <c r="AE253" s="78">
        <f t="shared" si="583"/>
        <v>5.6537404000000284E-2</v>
      </c>
      <c r="AF253" s="78">
        <f t="shared" si="583"/>
        <v>-1.8136334394</v>
      </c>
      <c r="AG253" s="78">
        <f t="shared" si="583"/>
        <v>1.3864919395347184</v>
      </c>
      <c r="AH253" s="78">
        <f t="shared" si="583"/>
        <v>-3.1395503032139276</v>
      </c>
      <c r="AI253" s="78">
        <f t="shared" si="583"/>
        <v>-3.6157952342285906</v>
      </c>
      <c r="AJ253" s="78">
        <f t="shared" si="583"/>
        <v>-8.1781289225262306</v>
      </c>
      <c r="AK253" s="78">
        <f t="shared" si="583"/>
        <v>1.5306045108869051</v>
      </c>
      <c r="AL253" s="78">
        <f t="shared" si="583"/>
        <v>0.63551750773111226</v>
      </c>
      <c r="AM253" s="78">
        <f t="shared" si="583"/>
        <v>4.2251384673031689</v>
      </c>
      <c r="AN253" s="78">
        <f t="shared" si="583"/>
        <v>2.148229630344772E-2</v>
      </c>
      <c r="AO253" s="78">
        <f t="shared" si="583"/>
        <v>-0.20173976936665078</v>
      </c>
      <c r="AP253" s="78">
        <f t="shared" si="583"/>
        <v>0.9741398893719736</v>
      </c>
      <c r="AQ253" s="78">
        <f t="shared" si="583"/>
        <v>-0.65253801030669545</v>
      </c>
      <c r="AR253" s="78">
        <f t="shared" si="583"/>
        <v>-4.2610391200000004</v>
      </c>
      <c r="AS253" s="78">
        <f t="shared" si="583"/>
        <v>-0.33214374000000002</v>
      </c>
      <c r="AT253" s="78">
        <f t="shared" si="583"/>
        <v>-2.95280565E-2</v>
      </c>
      <c r="AU253" s="78">
        <f t="shared" si="583"/>
        <v>1.4441951684228136</v>
      </c>
      <c r="AV253" s="78">
        <f t="shared" si="583"/>
        <v>-0.3374885047953855</v>
      </c>
      <c r="AW253" s="78">
        <f t="shared" si="583"/>
        <v>1.6832286777453591</v>
      </c>
      <c r="AX253" s="78">
        <f t="shared" si="583"/>
        <v>-2.5081469819646145</v>
      </c>
      <c r="AY253" s="78">
        <f t="shared" si="583"/>
        <v>-0.64895442474546017</v>
      </c>
      <c r="AZ253" s="78">
        <f t="shared" si="583"/>
        <v>3.8074077200000001</v>
      </c>
      <c r="BA253" s="78">
        <f t="shared" si="583"/>
        <v>0.11562318178040062</v>
      </c>
      <c r="BB253" s="78">
        <f t="shared" si="583"/>
        <v>-3.4487856388595471E-3</v>
      </c>
      <c r="BC253" s="78">
        <f t="shared" si="583"/>
        <v>0.97072263549415527</v>
      </c>
      <c r="BD253" s="78">
        <f t="shared" si="583"/>
        <v>-0.23120917482277872</v>
      </c>
      <c r="BE253" s="78">
        <f t="shared" si="583"/>
        <v>7.8809343875836085E-3</v>
      </c>
    </row>
    <row r="254" spans="2:57">
      <c r="B254" s="1" t="str">
        <f t="shared" si="549"/>
        <v>Balancing figure</v>
      </c>
      <c r="C254" s="78">
        <f t="shared" ref="C254:O254" si="584">C74*C$207</f>
        <v>-1316.7388317223536</v>
      </c>
      <c r="D254" s="78">
        <f t="shared" si="584"/>
        <v>-1098.4305782774584</v>
      </c>
      <c r="E254" s="78">
        <f t="shared" si="584"/>
        <v>-1110.9420284800569</v>
      </c>
      <c r="F254" s="78">
        <f t="shared" si="584"/>
        <v>-1236.4652128935863</v>
      </c>
      <c r="G254" s="78">
        <f t="shared" si="584"/>
        <v>-1268.3007916552999</v>
      </c>
      <c r="H254" s="78">
        <f t="shared" si="584"/>
        <v>-1610.4989134321499</v>
      </c>
      <c r="I254" s="78">
        <f t="shared" si="584"/>
        <v>-1377.1894018998598</v>
      </c>
      <c r="J254" s="78">
        <f t="shared" si="584"/>
        <v>-1519.163336259443</v>
      </c>
      <c r="K254" s="78">
        <f t="shared" si="584"/>
        <v>-1881.5878712456918</v>
      </c>
      <c r="L254" s="78">
        <f t="shared" si="584"/>
        <v>-1283.7964746341079</v>
      </c>
      <c r="M254" s="78">
        <f t="shared" si="584"/>
        <v>70.547587363970763</v>
      </c>
      <c r="N254" s="78">
        <f t="shared" si="584"/>
        <v>86.32903860010039</v>
      </c>
      <c r="O254" s="259">
        <f t="shared" si="584"/>
        <v>59.60501345099712</v>
      </c>
      <c r="P254" s="68"/>
      <c r="Q254" s="78">
        <f t="shared" ref="Q254:BE254" si="585">Q74*Q$207</f>
        <v>-296.96366589856638</v>
      </c>
      <c r="R254" s="78">
        <f t="shared" si="585"/>
        <v>-278.99229718121808</v>
      </c>
      <c r="S254" s="78">
        <f t="shared" si="585"/>
        <v>-288.73221510551008</v>
      </c>
      <c r="T254" s="78">
        <f t="shared" si="585"/>
        <v>-245.06251854041346</v>
      </c>
      <c r="U254" s="78">
        <f t="shared" si="585"/>
        <v>-309.94069856566563</v>
      </c>
      <c r="V254" s="78">
        <f t="shared" si="585"/>
        <v>-294.23585040824292</v>
      </c>
      <c r="W254" s="78">
        <f t="shared" si="585"/>
        <v>-309.44228436272442</v>
      </c>
      <c r="X254" s="78">
        <f t="shared" si="585"/>
        <v>-323.55365578111156</v>
      </c>
      <c r="Y254" s="78">
        <f t="shared" si="585"/>
        <v>-324.69858012684796</v>
      </c>
      <c r="Z254" s="78">
        <f t="shared" si="585"/>
        <v>-314.43035707280001</v>
      </c>
      <c r="AA254" s="78">
        <f t="shared" si="585"/>
        <v>-320.12559490720014</v>
      </c>
      <c r="AB254" s="78">
        <f t="shared" si="585"/>
        <v>-307.47896948999983</v>
      </c>
      <c r="AC254" s="78">
        <f t="shared" si="585"/>
        <v>-346.48818926399991</v>
      </c>
      <c r="AD254" s="78">
        <f t="shared" si="585"/>
        <v>-335.89533598140008</v>
      </c>
      <c r="AE254" s="78">
        <f t="shared" si="585"/>
        <v>-338.89402198959993</v>
      </c>
      <c r="AF254" s="78">
        <f t="shared" si="585"/>
        <v>-569.35145463759989</v>
      </c>
      <c r="AG254" s="78">
        <f t="shared" si="585"/>
        <v>-436.34962066911004</v>
      </c>
      <c r="AH254" s="78">
        <f t="shared" si="585"/>
        <v>-287.87077788191817</v>
      </c>
      <c r="AI254" s="78">
        <f t="shared" si="585"/>
        <v>-312.60441482564124</v>
      </c>
      <c r="AJ254" s="78">
        <f t="shared" si="585"/>
        <v>-340.9992453494479</v>
      </c>
      <c r="AK254" s="78">
        <f t="shared" si="585"/>
        <v>-389.77871539737424</v>
      </c>
      <c r="AL254" s="78">
        <f t="shared" si="585"/>
        <v>-435.12191608218779</v>
      </c>
      <c r="AM254" s="78">
        <f t="shared" si="585"/>
        <v>-1155.5519573542515</v>
      </c>
      <c r="AN254" s="78">
        <f t="shared" si="585"/>
        <v>398.03567790626676</v>
      </c>
      <c r="AO254" s="78">
        <f t="shared" si="585"/>
        <v>-363.76853782817875</v>
      </c>
      <c r="AP254" s="78">
        <f t="shared" si="585"/>
        <v>-914.68142603431329</v>
      </c>
      <c r="AQ254" s="78">
        <f t="shared" si="585"/>
        <v>-338.27338714018993</v>
      </c>
      <c r="AR254" s="78">
        <f t="shared" si="585"/>
        <v>-281.24192921499963</v>
      </c>
      <c r="AS254" s="78">
        <f t="shared" si="585"/>
        <v>109.91591095750005</v>
      </c>
      <c r="AT254" s="78">
        <f t="shared" si="585"/>
        <v>-2.2290237529999759</v>
      </c>
      <c r="AU254" s="78">
        <f t="shared" si="585"/>
        <v>23.17235875738001</v>
      </c>
      <c r="AV254" s="78">
        <f t="shared" si="585"/>
        <v>-1334.6899875121724</v>
      </c>
      <c r="AW254" s="78">
        <f t="shared" si="585"/>
        <v>17.352635417988072</v>
      </c>
      <c r="AX254" s="78">
        <f t="shared" si="585"/>
        <v>17.822575290236877</v>
      </c>
      <c r="AY254" s="78">
        <f t="shared" si="585"/>
        <v>37.381737643934635</v>
      </c>
      <c r="AZ254" s="78">
        <f t="shared" si="585"/>
        <v>-1.3221501119999948</v>
      </c>
      <c r="BA254" s="78">
        <f t="shared" si="585"/>
        <v>49.130631285844885</v>
      </c>
      <c r="BB254" s="78">
        <f t="shared" si="585"/>
        <v>-1.4647983104540578</v>
      </c>
      <c r="BC254" s="78">
        <f t="shared" si="585"/>
        <v>15.377089454272564</v>
      </c>
      <c r="BD254" s="78">
        <f t="shared" si="585"/>
        <v>22.925936435868373</v>
      </c>
      <c r="BE254" s="78">
        <f t="shared" si="585"/>
        <v>23.358307860631424</v>
      </c>
    </row>
    <row r="255" spans="2:57" s="5" customFormat="1" ht="13.5" thickBot="1">
      <c r="B255" s="50" t="str">
        <f t="shared" si="549"/>
        <v xml:space="preserve">Net change in cash </v>
      </c>
      <c r="C255" s="80">
        <f t="shared" ref="C255:O255" si="586">C75*C$207</f>
        <v>590.05507808813513</v>
      </c>
      <c r="D255" s="80">
        <f t="shared" si="586"/>
        <v>-379.4964680399911</v>
      </c>
      <c r="E255" s="80">
        <f t="shared" si="586"/>
        <v>-34.382198268027025</v>
      </c>
      <c r="F255" s="80">
        <f t="shared" si="586"/>
        <v>52.704596412457704</v>
      </c>
      <c r="G255" s="80">
        <f t="shared" si="586"/>
        <v>-114.79790806900002</v>
      </c>
      <c r="H255" s="80">
        <f t="shared" si="586"/>
        <v>539.58688231192514</v>
      </c>
      <c r="I255" s="80">
        <f t="shared" si="586"/>
        <v>-294.81422288083235</v>
      </c>
      <c r="J255" s="80">
        <f t="shared" si="586"/>
        <v>-130.38520128892938</v>
      </c>
      <c r="K255" s="80">
        <f t="shared" si="586"/>
        <v>93.087739521766636</v>
      </c>
      <c r="L255" s="80">
        <f t="shared" si="586"/>
        <v>410.73372653332467</v>
      </c>
      <c r="M255" s="80">
        <f t="shared" si="586"/>
        <v>-480.48629189642048</v>
      </c>
      <c r="N255" s="80">
        <f t="shared" si="586"/>
        <v>160.84474172484167</v>
      </c>
      <c r="O255" s="260">
        <f t="shared" si="586"/>
        <v>37.151455558797132</v>
      </c>
      <c r="P255" s="70"/>
      <c r="Q255" s="80">
        <f t="shared" ref="Q255:BE255" si="587">Q75*Q$207</f>
        <v>1.6570270081807588</v>
      </c>
      <c r="R255" s="80">
        <f t="shared" si="587"/>
        <v>-94.297404499015983</v>
      </c>
      <c r="S255" s="80">
        <f t="shared" si="587"/>
        <v>19.421868002250466</v>
      </c>
      <c r="T255" s="80">
        <f t="shared" si="587"/>
        <v>39.971716814416759</v>
      </c>
      <c r="U255" s="80">
        <f t="shared" si="587"/>
        <v>-49.882143766632112</v>
      </c>
      <c r="V255" s="80">
        <f t="shared" si="587"/>
        <v>44.503616752208025</v>
      </c>
      <c r="W255" s="80">
        <f t="shared" si="587"/>
        <v>45.642941079492999</v>
      </c>
      <c r="X255" s="80">
        <f t="shared" si="587"/>
        <v>12.607993406386944</v>
      </c>
      <c r="Y255" s="80">
        <f t="shared" si="587"/>
        <v>-159.42556818918399</v>
      </c>
      <c r="Z255" s="80">
        <f t="shared" si="587"/>
        <v>-27.858928383200013</v>
      </c>
      <c r="AA255" s="80">
        <f t="shared" si="587"/>
        <v>-35.009455888000012</v>
      </c>
      <c r="AB255" s="80">
        <f t="shared" si="587"/>
        <v>92.620997069999746</v>
      </c>
      <c r="AC255" s="80">
        <f t="shared" si="587"/>
        <v>-54.204854381999994</v>
      </c>
      <c r="AD255" s="80">
        <f t="shared" si="587"/>
        <v>-12.479934297999987</v>
      </c>
      <c r="AE255" s="80">
        <f t="shared" si="587"/>
        <v>11.881048194399977</v>
      </c>
      <c r="AF255" s="80">
        <f t="shared" si="587"/>
        <v>550.05281686740045</v>
      </c>
      <c r="AG255" s="80">
        <f t="shared" si="587"/>
        <v>-186.46333844313727</v>
      </c>
      <c r="AH255" s="80">
        <f t="shared" si="587"/>
        <v>51.7772400282051</v>
      </c>
      <c r="AI255" s="80">
        <f t="shared" si="587"/>
        <v>-43.291007350826845</v>
      </c>
      <c r="AJ255" s="80">
        <f t="shared" si="587"/>
        <v>-126.07560649614123</v>
      </c>
      <c r="AK255" s="80">
        <f t="shared" si="587"/>
        <v>-213.56669549370855</v>
      </c>
      <c r="AL255" s="80">
        <f t="shared" si="587"/>
        <v>76.749974570527513</v>
      </c>
      <c r="AM255" s="80">
        <f t="shared" si="587"/>
        <v>7.4748161842933571</v>
      </c>
      <c r="AN255" s="80">
        <f t="shared" si="587"/>
        <v>-8.5021357366756529</v>
      </c>
      <c r="AO255" s="80">
        <f t="shared" si="587"/>
        <v>3.3146553665819947</v>
      </c>
      <c r="AP255" s="80">
        <f t="shared" si="587"/>
        <v>117.16302869688037</v>
      </c>
      <c r="AQ255" s="80">
        <f t="shared" si="587"/>
        <v>65.884982314626441</v>
      </c>
      <c r="AR255" s="80">
        <f t="shared" si="587"/>
        <v>-91.936501669999785</v>
      </c>
      <c r="AS255" s="80">
        <f t="shared" si="587"/>
        <v>-103.7421656925</v>
      </c>
      <c r="AT255" s="80">
        <f t="shared" si="587"/>
        <v>-19.134762094500019</v>
      </c>
      <c r="AU255" s="80">
        <f t="shared" si="587"/>
        <v>141.68798274131854</v>
      </c>
      <c r="AV255" s="80">
        <f t="shared" si="587"/>
        <v>366.28202408367395</v>
      </c>
      <c r="AW255" s="80">
        <f t="shared" si="587"/>
        <v>-262.0975358366104</v>
      </c>
      <c r="AX255" s="80">
        <f t="shared" si="587"/>
        <v>-208.53680439532189</v>
      </c>
      <c r="AY255" s="80">
        <f t="shared" si="587"/>
        <v>142.24846416015313</v>
      </c>
      <c r="AZ255" s="80">
        <f t="shared" si="587"/>
        <v>-148.20781704500007</v>
      </c>
      <c r="BA255" s="80">
        <f t="shared" si="587"/>
        <v>104.15781522732939</v>
      </c>
      <c r="BB255" s="80">
        <f t="shared" si="587"/>
        <v>97.687694825765547</v>
      </c>
      <c r="BC255" s="80">
        <f t="shared" si="587"/>
        <v>-35.241334833614609</v>
      </c>
      <c r="BD255" s="80">
        <f t="shared" si="587"/>
        <v>-6.4540991154992309</v>
      </c>
      <c r="BE255" s="80">
        <f t="shared" si="587"/>
        <v>-20.382827075132251</v>
      </c>
    </row>
    <row r="256" spans="2:57" ht="13.5" thickTop="1">
      <c r="C256" s="36"/>
      <c r="D256" s="36"/>
      <c r="E256" s="36"/>
      <c r="F256" s="49"/>
      <c r="G256" s="49"/>
      <c r="H256" s="49"/>
      <c r="I256" s="49"/>
      <c r="J256" s="49"/>
      <c r="K256" s="49"/>
      <c r="L256" s="49"/>
      <c r="M256" s="49"/>
      <c r="N256" s="49"/>
      <c r="O256" s="49"/>
      <c r="P256" s="49"/>
      <c r="Q256" s="49"/>
      <c r="R256" s="49"/>
      <c r="S256" s="49"/>
      <c r="T256" s="49"/>
      <c r="U256" s="49"/>
      <c r="V256" s="49"/>
      <c r="W256" s="49"/>
      <c r="X256" s="49"/>
      <c r="Y256" s="49"/>
      <c r="Z256" s="49"/>
      <c r="AA256" s="49"/>
      <c r="AB256" s="49"/>
      <c r="AC256" s="49"/>
      <c r="AD256" s="49"/>
      <c r="AE256" s="49"/>
      <c r="AF256" s="49"/>
      <c r="AG256" s="49"/>
      <c r="AH256" s="49"/>
      <c r="AI256" s="49"/>
      <c r="AJ256" s="49"/>
      <c r="AK256" s="49"/>
      <c r="AL256" s="49"/>
      <c r="AM256" s="49"/>
      <c r="AN256" s="49"/>
      <c r="AO256" s="49"/>
      <c r="AP256" s="49"/>
      <c r="AQ256" s="49"/>
      <c r="AR256" s="49"/>
      <c r="AS256" s="49"/>
      <c r="AT256" s="49"/>
      <c r="AU256" s="49"/>
      <c r="AV256" s="49"/>
      <c r="AW256" s="49"/>
      <c r="AX256" s="49"/>
      <c r="AY256" s="49"/>
      <c r="AZ256" s="49"/>
      <c r="BA256" s="49"/>
      <c r="BB256" s="49"/>
      <c r="BC256" s="49"/>
      <c r="BD256" s="49"/>
      <c r="BE256" s="49"/>
    </row>
    <row r="257" spans="2:57">
      <c r="B257" s="1" t="s">
        <v>345</v>
      </c>
      <c r="C257" s="163">
        <f t="shared" ref="C257:O257" si="588">C187*C208</f>
        <v>624.50659414915538</v>
      </c>
      <c r="D257" s="163">
        <f t="shared" si="588"/>
        <v>192.1996057226541</v>
      </c>
      <c r="E257" s="163">
        <f t="shared" si="588"/>
        <v>165.67557918950811</v>
      </c>
      <c r="F257" s="163">
        <f t="shared" si="588"/>
        <v>236.91982919886132</v>
      </c>
      <c r="G257" s="163">
        <f t="shared" si="588"/>
        <v>104.70839270549966</v>
      </c>
      <c r="H257" s="163">
        <f t="shared" si="588"/>
        <v>597.55290220904453</v>
      </c>
      <c r="I257" s="163">
        <f t="shared" si="588"/>
        <v>284.80376538434484</v>
      </c>
      <c r="J257" s="163">
        <f t="shared" si="588"/>
        <v>127.47038497652582</v>
      </c>
      <c r="K257" s="163">
        <f t="shared" si="588"/>
        <v>219.746942488</v>
      </c>
      <c r="L257" s="163">
        <f t="shared" si="588"/>
        <v>602.52880924499993</v>
      </c>
      <c r="M257" s="163">
        <f t="shared" si="588"/>
        <v>80.318466360000002</v>
      </c>
      <c r="N257" s="163">
        <f t="shared" si="588"/>
        <v>259.42396158330092</v>
      </c>
      <c r="O257" s="163">
        <f t="shared" si="588"/>
        <v>232.74679629049845</v>
      </c>
      <c r="P257" s="163"/>
      <c r="Q257" s="163">
        <f t="shared" ref="Q257:BE257" si="589">Q187*Q208</f>
        <v>205.710073156166</v>
      </c>
      <c r="R257" s="163">
        <f t="shared" si="589"/>
        <v>111.33858808231396</v>
      </c>
      <c r="S257" s="163">
        <f t="shared" si="589"/>
        <v>132.16242178873756</v>
      </c>
      <c r="T257" s="163">
        <f t="shared" si="589"/>
        <v>165.67557918950811</v>
      </c>
      <c r="U257" s="163">
        <f t="shared" si="589"/>
        <v>118.09820775035017</v>
      </c>
      <c r="V257" s="163">
        <f t="shared" si="589"/>
        <v>162.74763883243764</v>
      </c>
      <c r="W257" s="163">
        <f t="shared" si="589"/>
        <v>215.48320662141614</v>
      </c>
      <c r="X257" s="163">
        <f t="shared" si="589"/>
        <v>236.91982919886132</v>
      </c>
      <c r="Y257" s="163">
        <f t="shared" si="589"/>
        <v>82.254067849980942</v>
      </c>
      <c r="Z257" s="163">
        <f t="shared" si="589"/>
        <v>49.778294252238133</v>
      </c>
      <c r="AA257" s="163">
        <f t="shared" si="589"/>
        <v>13.803515944399022</v>
      </c>
      <c r="AB257" s="163">
        <f t="shared" si="589"/>
        <v>104.70839270549966</v>
      </c>
      <c r="AC257" s="163">
        <f t="shared" si="589"/>
        <v>50.584155453701385</v>
      </c>
      <c r="AD257" s="163">
        <f t="shared" si="589"/>
        <v>38.099598026945444</v>
      </c>
      <c r="AE257" s="163">
        <f t="shared" si="589"/>
        <v>47.1032806470661</v>
      </c>
      <c r="AF257" s="163">
        <f t="shared" si="589"/>
        <v>597.55290220904453</v>
      </c>
      <c r="AG257" s="163">
        <f t="shared" si="589"/>
        <v>351.97795734891957</v>
      </c>
      <c r="AH257" s="163">
        <f t="shared" si="589"/>
        <v>414.71176406122527</v>
      </c>
      <c r="AI257" s="163">
        <f t="shared" si="589"/>
        <v>384.24697582947414</v>
      </c>
      <c r="AJ257" s="163">
        <f t="shared" si="589"/>
        <v>284.80376538434484</v>
      </c>
      <c r="AK257" s="163">
        <f t="shared" si="589"/>
        <v>70.087424842758566</v>
      </c>
      <c r="AL257" s="163">
        <f t="shared" si="589"/>
        <v>146.58375563372539</v>
      </c>
      <c r="AM257" s="163">
        <f t="shared" si="589"/>
        <v>142.82617389156479</v>
      </c>
      <c r="AN257" s="163">
        <f t="shared" si="589"/>
        <v>127.47038497652582</v>
      </c>
      <c r="AO257" s="163">
        <f t="shared" si="589"/>
        <v>140.85106631017399</v>
      </c>
      <c r="AP257" s="163">
        <f t="shared" si="589"/>
        <v>228.75088444924407</v>
      </c>
      <c r="AQ257" s="163">
        <f t="shared" si="589"/>
        <v>282.35416180800001</v>
      </c>
      <c r="AR257" s="163">
        <f t="shared" si="589"/>
        <v>219.746942488</v>
      </c>
      <c r="AS257" s="163">
        <f t="shared" si="589"/>
        <v>127.032944169</v>
      </c>
      <c r="AT257" s="163">
        <f t="shared" si="589"/>
        <v>106.65448306000002</v>
      </c>
      <c r="AU257" s="163">
        <f t="shared" si="589"/>
        <v>232.05292915684291</v>
      </c>
      <c r="AV257" s="163">
        <f t="shared" si="589"/>
        <v>602.52880924499993</v>
      </c>
      <c r="AW257" s="163">
        <f t="shared" si="589"/>
        <v>290.63287843345557</v>
      </c>
      <c r="AX257" s="163">
        <f t="shared" si="589"/>
        <v>93.002261683236739</v>
      </c>
      <c r="AY257" s="163">
        <f t="shared" si="589"/>
        <v>243.89839416870686</v>
      </c>
      <c r="AZ257" s="163">
        <f t="shared" si="589"/>
        <v>80.318466360000002</v>
      </c>
      <c r="BA257" s="163">
        <f t="shared" si="589"/>
        <v>190.19282082120097</v>
      </c>
      <c r="BB257" s="163">
        <f t="shared" si="589"/>
        <v>292.74326003670194</v>
      </c>
      <c r="BC257" s="163">
        <f t="shared" si="589"/>
        <v>249.38751572359737</v>
      </c>
      <c r="BD257" s="163">
        <f t="shared" si="589"/>
        <v>259.42396158330092</v>
      </c>
      <c r="BE257" s="163">
        <f t="shared" si="589"/>
        <v>232.74679629049845</v>
      </c>
    </row>
    <row r="258" spans="2:57">
      <c r="C258" s="163"/>
      <c r="D258" s="163"/>
      <c r="E258" s="163"/>
      <c r="F258" s="163"/>
      <c r="G258" s="163"/>
      <c r="H258" s="163"/>
      <c r="I258" s="163"/>
      <c r="J258" s="163"/>
      <c r="K258" s="163"/>
      <c r="L258" s="163"/>
      <c r="M258" s="163"/>
      <c r="N258" s="163"/>
      <c r="O258" s="163"/>
      <c r="P258" s="163"/>
      <c r="Q258" s="163"/>
      <c r="R258" s="163"/>
      <c r="S258" s="163"/>
      <c r="T258" s="163"/>
      <c r="U258" s="163"/>
      <c r="V258" s="163"/>
      <c r="W258" s="163"/>
      <c r="X258" s="163"/>
      <c r="Y258" s="163"/>
      <c r="Z258" s="163"/>
      <c r="AA258" s="163"/>
      <c r="AB258" s="163"/>
      <c r="AC258" s="163"/>
      <c r="AD258" s="163"/>
      <c r="AE258" s="163"/>
      <c r="AF258" s="163"/>
      <c r="AG258" s="163"/>
      <c r="AH258" s="163"/>
      <c r="AI258" s="163"/>
      <c r="AJ258" s="163"/>
      <c r="AK258" s="163"/>
      <c r="AL258" s="163"/>
      <c r="AM258" s="163"/>
      <c r="AN258" s="163"/>
      <c r="AO258" s="163"/>
      <c r="AP258" s="163"/>
      <c r="AQ258" s="163"/>
      <c r="AR258" s="163"/>
      <c r="AS258" s="163"/>
      <c r="AT258" s="163"/>
      <c r="AU258" s="163"/>
      <c r="AV258" s="163"/>
      <c r="AW258" s="163"/>
      <c r="AX258" s="163"/>
      <c r="AY258" s="163"/>
      <c r="AZ258" s="163"/>
      <c r="BA258" s="163"/>
      <c r="BB258" s="163"/>
      <c r="BC258" s="163"/>
      <c r="BD258" s="163"/>
      <c r="BE258" s="163"/>
    </row>
    <row r="259" spans="2:57">
      <c r="B259" s="1" t="s">
        <v>348</v>
      </c>
      <c r="C259" s="163">
        <f t="shared" ref="C259:O259" si="590">C125*C$208</f>
        <v>1576.176121961269</v>
      </c>
      <c r="D259" s="163">
        <f t="shared" si="590"/>
        <v>1345.2558296721868</v>
      </c>
      <c r="E259" s="163">
        <f t="shared" si="590"/>
        <v>1884.8831777376131</v>
      </c>
      <c r="F259" s="163">
        <f t="shared" si="590"/>
        <v>2014.3979991866611</v>
      </c>
      <c r="G259" s="163">
        <f t="shared" si="590"/>
        <v>1966.7256243073248</v>
      </c>
      <c r="H259" s="163">
        <f t="shared" si="590"/>
        <v>2148.5081603760987</v>
      </c>
      <c r="I259" s="163">
        <f t="shared" si="590"/>
        <v>2121.7953822350373</v>
      </c>
      <c r="J259" s="163">
        <f t="shared" si="590"/>
        <v>1764.1377546948358</v>
      </c>
      <c r="K259" s="163">
        <f t="shared" si="590"/>
        <v>1831.2195841280002</v>
      </c>
      <c r="L259" s="163">
        <f t="shared" si="590"/>
        <v>1901.6391095999998</v>
      </c>
      <c r="M259" s="163">
        <f t="shared" si="590"/>
        <v>1845.1997351850002</v>
      </c>
      <c r="N259" s="163">
        <f t="shared" si="590"/>
        <v>2157.6604463443068</v>
      </c>
      <c r="O259" s="163">
        <f t="shared" si="590"/>
        <v>2125.9317121357703</v>
      </c>
      <c r="P259" s="163"/>
      <c r="Q259" s="163">
        <f t="shared" ref="Q259:BE259" si="591">Q125*Q$208</f>
        <v>1451.0911600477755</v>
      </c>
      <c r="R259" s="163">
        <f t="shared" si="591"/>
        <v>1510.3058454420368</v>
      </c>
      <c r="S259" s="163">
        <f t="shared" si="591"/>
        <v>1996.0106490001226</v>
      </c>
      <c r="T259" s="163">
        <f t="shared" si="591"/>
        <v>1884.8831777376131</v>
      </c>
      <c r="U259" s="163">
        <f t="shared" si="591"/>
        <v>1937.2527056945344</v>
      </c>
      <c r="V259" s="163">
        <f t="shared" si="591"/>
        <v>1953.5290987369974</v>
      </c>
      <c r="W259" s="163">
        <f t="shared" si="591"/>
        <v>1987.7074694715723</v>
      </c>
      <c r="X259" s="163">
        <f t="shared" si="591"/>
        <v>2014.3979991866611</v>
      </c>
      <c r="Y259" s="163">
        <f t="shared" si="591"/>
        <v>2152.6602098145481</v>
      </c>
      <c r="Z259" s="163">
        <f t="shared" si="591"/>
        <v>2036.4190476190474</v>
      </c>
      <c r="AA259" s="163">
        <f t="shared" si="591"/>
        <v>1995.5598073952942</v>
      </c>
      <c r="AB259" s="163">
        <f t="shared" si="591"/>
        <v>1966.7256243073248</v>
      </c>
      <c r="AC259" s="163">
        <f t="shared" si="591"/>
        <v>2027.8269170117758</v>
      </c>
      <c r="AD259" s="163">
        <f t="shared" si="591"/>
        <v>2043.1658985496579</v>
      </c>
      <c r="AE259" s="163">
        <f t="shared" si="591"/>
        <v>1940.4546531907006</v>
      </c>
      <c r="AF259" s="163">
        <f t="shared" si="591"/>
        <v>2148.5081603760987</v>
      </c>
      <c r="AG259" s="163">
        <f t="shared" si="591"/>
        <v>2061.7514007722734</v>
      </c>
      <c r="AH259" s="163">
        <f t="shared" si="591"/>
        <v>2052.2300549176239</v>
      </c>
      <c r="AI259" s="163">
        <f t="shared" si="591"/>
        <v>2054.9390953498701</v>
      </c>
      <c r="AJ259" s="163">
        <f t="shared" si="591"/>
        <v>2121.7953822350373</v>
      </c>
      <c r="AK259" s="163">
        <f t="shared" si="591"/>
        <v>2077.1529841234656</v>
      </c>
      <c r="AL259" s="163">
        <f t="shared" si="591"/>
        <v>2100.8306515884356</v>
      </c>
      <c r="AM259" s="163">
        <f t="shared" si="591"/>
        <v>2005.924451031246</v>
      </c>
      <c r="AN259" s="163">
        <f t="shared" si="591"/>
        <v>1764.1377546948358</v>
      </c>
      <c r="AO259" s="163">
        <f t="shared" si="591"/>
        <v>1961.5649733264063</v>
      </c>
      <c r="AP259" s="163">
        <f t="shared" si="591"/>
        <v>1812.4348876889851</v>
      </c>
      <c r="AQ259" s="163">
        <f t="shared" si="591"/>
        <v>1719.5853571919999</v>
      </c>
      <c r="AR259" s="163">
        <f t="shared" si="591"/>
        <v>1831.2195841280002</v>
      </c>
      <c r="AS259" s="163">
        <f t="shared" si="591"/>
        <v>1879.669738605</v>
      </c>
      <c r="AT259" s="163">
        <f t="shared" si="591"/>
        <v>1903.0765280520002</v>
      </c>
      <c r="AU259" s="163">
        <f t="shared" si="591"/>
        <v>1809.6025339620521</v>
      </c>
      <c r="AV259" s="163">
        <f t="shared" si="591"/>
        <v>1901.6391095999998</v>
      </c>
      <c r="AW259" s="163">
        <f t="shared" si="591"/>
        <v>1846.4198361543256</v>
      </c>
      <c r="AX259" s="163">
        <f t="shared" si="591"/>
        <v>1811.535784996544</v>
      </c>
      <c r="AY259" s="163">
        <f t="shared" si="591"/>
        <v>1931.6850812374803</v>
      </c>
      <c r="AZ259" s="163">
        <f t="shared" si="591"/>
        <v>1845.1997351850002</v>
      </c>
      <c r="BA259" s="163">
        <f t="shared" si="591"/>
        <v>1937.8442345022575</v>
      </c>
      <c r="BB259" s="163">
        <f t="shared" si="591"/>
        <v>1984.4087462305354</v>
      </c>
      <c r="BC259" s="163">
        <f t="shared" si="591"/>
        <v>2038.4151528697516</v>
      </c>
      <c r="BD259" s="163">
        <f t="shared" si="591"/>
        <v>2157.6604463443068</v>
      </c>
      <c r="BE259" s="163">
        <f t="shared" si="591"/>
        <v>2125.9317121357703</v>
      </c>
    </row>
    <row r="260" spans="2:57">
      <c r="C260" s="36"/>
      <c r="D260" s="36"/>
      <c r="E260" s="36"/>
      <c r="F260" s="49"/>
      <c r="G260" s="49"/>
      <c r="H260" s="49"/>
      <c r="I260" s="49"/>
      <c r="J260" s="49"/>
      <c r="K260" s="49"/>
      <c r="L260" s="49"/>
      <c r="M260" s="49"/>
      <c r="N260" s="49"/>
      <c r="O260" s="49"/>
      <c r="P260" s="49"/>
      <c r="Q260" s="49"/>
      <c r="R260" s="49"/>
      <c r="S260" s="49"/>
      <c r="T260" s="49"/>
      <c r="U260" s="49"/>
      <c r="V260" s="49"/>
      <c r="W260" s="49"/>
      <c r="X260" s="49"/>
      <c r="Y260" s="49"/>
      <c r="Z260" s="49"/>
      <c r="AA260" s="49"/>
      <c r="AB260" s="49"/>
      <c r="AC260" s="49"/>
      <c r="AD260" s="49"/>
      <c r="AE260" s="49"/>
      <c r="AF260" s="49"/>
      <c r="AG260" s="49"/>
      <c r="AH260" s="49"/>
      <c r="AI260" s="49"/>
      <c r="AJ260" s="49"/>
      <c r="AK260" s="49"/>
      <c r="AL260" s="49"/>
      <c r="AM260" s="49"/>
      <c r="AN260" s="49"/>
      <c r="AO260" s="49"/>
      <c r="AP260" s="49"/>
      <c r="AQ260" s="49"/>
      <c r="AR260" s="49"/>
      <c r="AS260" s="49"/>
      <c r="AT260" s="49"/>
      <c r="AU260" s="49"/>
      <c r="AV260" s="49"/>
      <c r="AW260" s="49"/>
      <c r="AX260" s="49"/>
      <c r="AY260" s="49"/>
      <c r="AZ260" s="49"/>
      <c r="BA260" s="49"/>
      <c r="BB260" s="49"/>
      <c r="BC260" s="49"/>
      <c r="BD260" s="49"/>
      <c r="BE260" s="49"/>
    </row>
    <row r="261" spans="2:57" s="5" customFormat="1">
      <c r="B261" s="5" t="s">
        <v>361</v>
      </c>
      <c r="C261" s="41">
        <f t="shared" ref="C261:O261" si="592">C120*C208</f>
        <v>1767.7551578079931</v>
      </c>
      <c r="D261" s="41">
        <f t="shared" si="592"/>
        <v>2164.1579784837227</v>
      </c>
      <c r="E261" s="41">
        <f t="shared" si="592"/>
        <v>2215.3254604388544</v>
      </c>
      <c r="F261" s="41">
        <f t="shared" si="592"/>
        <v>2340.8387751118339</v>
      </c>
      <c r="G261" s="41">
        <f t="shared" si="592"/>
        <v>2496.9867092706941</v>
      </c>
      <c r="H261" s="41">
        <f t="shared" si="592"/>
        <v>2726.6749298822019</v>
      </c>
      <c r="I261" s="41">
        <f t="shared" si="592"/>
        <v>3054.0388733384902</v>
      </c>
      <c r="J261" s="41">
        <f t="shared" si="592"/>
        <v>3062.6744225352113</v>
      </c>
      <c r="K261" s="41">
        <f t="shared" si="592"/>
        <v>3007.8212133119996</v>
      </c>
      <c r="L261" s="41">
        <f t="shared" si="592"/>
        <v>2411.2547054750003</v>
      </c>
      <c r="M261" s="41">
        <f t="shared" si="592"/>
        <v>2625.4921027649998</v>
      </c>
      <c r="N261" s="41">
        <f t="shared" si="592"/>
        <v>2261.5623893854436</v>
      </c>
      <c r="O261" s="41">
        <f t="shared" si="592"/>
        <v>2217.0767227698188</v>
      </c>
      <c r="P261" s="41"/>
      <c r="Q261" s="41">
        <f t="shared" ref="Q261:BE261" si="593">Q120*Q208</f>
        <v>2173.7246566139147</v>
      </c>
      <c r="R261" s="41">
        <f t="shared" si="593"/>
        <v>2269.0003734671964</v>
      </c>
      <c r="S261" s="41">
        <f t="shared" si="593"/>
        <v>2278.7509385351486</v>
      </c>
      <c r="T261" s="41">
        <f t="shared" si="593"/>
        <v>2215.3254604388544</v>
      </c>
      <c r="U261" s="41">
        <f t="shared" si="593"/>
        <v>2271.3758151723723</v>
      </c>
      <c r="V261" s="41">
        <f t="shared" si="593"/>
        <v>2371.9754068253319</v>
      </c>
      <c r="W261" s="41">
        <f t="shared" si="593"/>
        <v>2346.4396250372301</v>
      </c>
      <c r="X261" s="41">
        <f t="shared" si="593"/>
        <v>2340.8387751118339</v>
      </c>
      <c r="Y261" s="41">
        <f t="shared" si="593"/>
        <v>2513.2483054077798</v>
      </c>
      <c r="Z261" s="41">
        <f t="shared" si="593"/>
        <v>2501.0060978793322</v>
      </c>
      <c r="AA261" s="41">
        <f t="shared" si="593"/>
        <v>2538.0788619363439</v>
      </c>
      <c r="AB261" s="41">
        <f t="shared" si="593"/>
        <v>2496.9867092706941</v>
      </c>
      <c r="AC261" s="41">
        <f t="shared" si="593"/>
        <v>3012.0057152963022</v>
      </c>
      <c r="AD261" s="41">
        <f t="shared" si="593"/>
        <v>3139.832745343444</v>
      </c>
      <c r="AE261" s="41">
        <f t="shared" si="593"/>
        <v>3036.8675697944268</v>
      </c>
      <c r="AF261" s="41">
        <f t="shared" si="593"/>
        <v>2726.6749298822019</v>
      </c>
      <c r="AG261" s="41">
        <f t="shared" si="593"/>
        <v>2789.1074656995643</v>
      </c>
      <c r="AH261" s="41">
        <f t="shared" si="593"/>
        <v>2760.6371735080302</v>
      </c>
      <c r="AI261" s="41">
        <f t="shared" si="593"/>
        <v>2833.02404237772</v>
      </c>
      <c r="AJ261" s="41">
        <f t="shared" si="593"/>
        <v>3054.0388733384902</v>
      </c>
      <c r="AK261" s="41">
        <f t="shared" si="593"/>
        <v>3250.5378141364881</v>
      </c>
      <c r="AL261" s="41">
        <f t="shared" si="593"/>
        <v>3143.5759000219855</v>
      </c>
      <c r="AM261" s="41">
        <f t="shared" si="593"/>
        <v>3034.2989057675677</v>
      </c>
      <c r="AN261" s="41">
        <f t="shared" si="593"/>
        <v>3062.6744225352113</v>
      </c>
      <c r="AO261" s="41">
        <f t="shared" si="593"/>
        <v>3193.6684111154755</v>
      </c>
      <c r="AP261" s="41">
        <f t="shared" si="593"/>
        <v>2993.2424395248381</v>
      </c>
      <c r="AQ261" s="41">
        <f t="shared" si="593"/>
        <v>2897.8403713920002</v>
      </c>
      <c r="AR261" s="41">
        <f t="shared" si="593"/>
        <v>3007.8212133119996</v>
      </c>
      <c r="AS261" s="41">
        <f t="shared" si="593"/>
        <v>3135.1167176189997</v>
      </c>
      <c r="AT261" s="41">
        <f t="shared" si="593"/>
        <v>3164.36117036</v>
      </c>
      <c r="AU261" s="41">
        <f t="shared" si="593"/>
        <v>2931.4810048276636</v>
      </c>
      <c r="AV261" s="41">
        <f t="shared" si="593"/>
        <v>2411.2547054750003</v>
      </c>
      <c r="AW261" s="41">
        <f t="shared" si="593"/>
        <v>2581.2683126142788</v>
      </c>
      <c r="AX261" s="41">
        <f t="shared" si="593"/>
        <v>2841.9947376256046</v>
      </c>
      <c r="AY261" s="41">
        <f t="shared" si="593"/>
        <v>2751.8990451813929</v>
      </c>
      <c r="AZ261" s="41">
        <f t="shared" si="593"/>
        <v>2625.4921027649998</v>
      </c>
      <c r="BA261" s="41">
        <f t="shared" si="593"/>
        <v>2580.7681890112672</v>
      </c>
      <c r="BB261" s="41">
        <f t="shared" si="593"/>
        <v>2550.1399289569986</v>
      </c>
      <c r="BC261" s="41">
        <f t="shared" si="593"/>
        <v>2172.4407316540701</v>
      </c>
      <c r="BD261" s="41">
        <f t="shared" si="593"/>
        <v>2261.5623893854436</v>
      </c>
      <c r="BE261" s="41">
        <f t="shared" si="593"/>
        <v>2217.0767227698188</v>
      </c>
    </row>
    <row r="262" spans="2:57">
      <c r="B262" s="1" t="s">
        <v>368</v>
      </c>
      <c r="C262" s="163">
        <f t="shared" ref="C262:O262" si="594">C121*C208</f>
        <v>2392.2617519571481</v>
      </c>
      <c r="D262" s="163">
        <f t="shared" si="594"/>
        <v>2356.3575842063765</v>
      </c>
      <c r="E262" s="163">
        <f t="shared" si="594"/>
        <v>2381.0010396283628</v>
      </c>
      <c r="F262" s="163">
        <f t="shared" si="594"/>
        <v>2577.7586043106953</v>
      </c>
      <c r="G262" s="163">
        <f t="shared" si="594"/>
        <v>2601.6951019761937</v>
      </c>
      <c r="H262" s="163">
        <f t="shared" si="594"/>
        <v>3324.2278320912465</v>
      </c>
      <c r="I262" s="163">
        <f t="shared" si="594"/>
        <v>3338.8426387228355</v>
      </c>
      <c r="J262" s="163">
        <f t="shared" si="594"/>
        <v>3190.1448075117373</v>
      </c>
      <c r="K262" s="163">
        <f t="shared" si="594"/>
        <v>3227.5681557999997</v>
      </c>
      <c r="L262" s="163">
        <f t="shared" si="594"/>
        <v>3013.7835147200003</v>
      </c>
      <c r="M262" s="163">
        <f t="shared" si="594"/>
        <v>2705.8105691249998</v>
      </c>
      <c r="N262" s="163">
        <f t="shared" si="594"/>
        <v>2520.9863509687448</v>
      </c>
      <c r="O262" s="163">
        <f t="shared" si="594"/>
        <v>2449.8235190603173</v>
      </c>
      <c r="P262" s="163"/>
      <c r="Q262" s="163">
        <f t="shared" ref="Q262:BE262" si="595">Q121*Q208</f>
        <v>2379.4347297700806</v>
      </c>
      <c r="R262" s="163">
        <f t="shared" si="595"/>
        <v>2380.3389615495103</v>
      </c>
      <c r="S262" s="163">
        <f t="shared" si="595"/>
        <v>2410.9133603238861</v>
      </c>
      <c r="T262" s="163">
        <f t="shared" si="595"/>
        <v>2381.0010396283628</v>
      </c>
      <c r="U262" s="163">
        <f t="shared" si="595"/>
        <v>2389.4740229227223</v>
      </c>
      <c r="V262" s="163">
        <f t="shared" si="595"/>
        <v>2534.7230456577695</v>
      </c>
      <c r="W262" s="163">
        <f t="shared" si="595"/>
        <v>2561.9228316586464</v>
      </c>
      <c r="X262" s="163">
        <f t="shared" si="595"/>
        <v>2577.7586043106953</v>
      </c>
      <c r="Y262" s="163">
        <f t="shared" si="595"/>
        <v>2595.5023732577606</v>
      </c>
      <c r="Z262" s="163">
        <f t="shared" si="595"/>
        <v>2550.7843921315703</v>
      </c>
      <c r="AA262" s="163">
        <f t="shared" si="595"/>
        <v>2551.8823778807428</v>
      </c>
      <c r="AB262" s="163">
        <f t="shared" si="595"/>
        <v>2601.6951019761937</v>
      </c>
      <c r="AC262" s="163">
        <f t="shared" si="595"/>
        <v>3062.5898707500037</v>
      </c>
      <c r="AD262" s="163">
        <f t="shared" si="595"/>
        <v>3177.9323433703898</v>
      </c>
      <c r="AE262" s="163">
        <f t="shared" si="595"/>
        <v>3083.970850441493</v>
      </c>
      <c r="AF262" s="163">
        <f t="shared" si="595"/>
        <v>3324.2278320912465</v>
      </c>
      <c r="AG262" s="163">
        <f t="shared" si="595"/>
        <v>3141.0854230484838</v>
      </c>
      <c r="AH262" s="163">
        <f t="shared" si="595"/>
        <v>3175.3489375692557</v>
      </c>
      <c r="AI262" s="163">
        <f t="shared" si="595"/>
        <v>3217.2710182071942</v>
      </c>
      <c r="AJ262" s="163">
        <f t="shared" si="595"/>
        <v>3338.8426387228355</v>
      </c>
      <c r="AK262" s="163">
        <f t="shared" si="595"/>
        <v>3320.6252389792467</v>
      </c>
      <c r="AL262" s="163">
        <f t="shared" si="595"/>
        <v>3290.1596556557106</v>
      </c>
      <c r="AM262" s="163">
        <f t="shared" si="595"/>
        <v>3177.1250796591326</v>
      </c>
      <c r="AN262" s="163">
        <f t="shared" si="595"/>
        <v>3190.1448075117373</v>
      </c>
      <c r="AO262" s="163">
        <f t="shared" si="595"/>
        <v>3334.5194774256497</v>
      </c>
      <c r="AP262" s="163">
        <f t="shared" si="595"/>
        <v>3221.9933239740822</v>
      </c>
      <c r="AQ262" s="163">
        <f t="shared" si="595"/>
        <v>3180.1945332</v>
      </c>
      <c r="AR262" s="163">
        <f t="shared" si="595"/>
        <v>3227.5681557999997</v>
      </c>
      <c r="AS262" s="163">
        <f t="shared" si="595"/>
        <v>3262.1496617879993</v>
      </c>
      <c r="AT262" s="163">
        <f t="shared" si="595"/>
        <v>3271.0156534200005</v>
      </c>
      <c r="AU262" s="163">
        <f t="shared" si="595"/>
        <v>3163.5339339845068</v>
      </c>
      <c r="AV262" s="163">
        <f t="shared" si="595"/>
        <v>3013.7835147200003</v>
      </c>
      <c r="AW262" s="163">
        <f t="shared" si="595"/>
        <v>2871.9011910477343</v>
      </c>
      <c r="AX262" s="163">
        <f t="shared" si="595"/>
        <v>2934.9969993088412</v>
      </c>
      <c r="AY262" s="163">
        <f t="shared" si="595"/>
        <v>2995.7974393500999</v>
      </c>
      <c r="AZ262" s="163">
        <f t="shared" si="595"/>
        <v>2705.8105691249998</v>
      </c>
      <c r="BA262" s="163">
        <f t="shared" si="595"/>
        <v>2770.9610098324679</v>
      </c>
      <c r="BB262" s="163">
        <f t="shared" si="595"/>
        <v>2842.8831889937005</v>
      </c>
      <c r="BC262" s="163">
        <f t="shared" si="595"/>
        <v>2421.8282473776676</v>
      </c>
      <c r="BD262" s="163">
        <f t="shared" si="595"/>
        <v>2520.9863509687448</v>
      </c>
      <c r="BE262" s="163">
        <f t="shared" si="595"/>
        <v>2449.8235190603173</v>
      </c>
    </row>
    <row r="263" spans="2:57">
      <c r="C263" s="163"/>
      <c r="D263" s="163"/>
      <c r="E263" s="163"/>
      <c r="F263" s="163"/>
      <c r="G263" s="163"/>
      <c r="H263" s="163"/>
      <c r="I263" s="163"/>
      <c r="J263" s="163"/>
      <c r="K263" s="163"/>
      <c r="L263" s="163"/>
      <c r="M263" s="163"/>
      <c r="N263" s="163"/>
      <c r="O263" s="163"/>
      <c r="P263" s="163"/>
      <c r="Q263" s="163"/>
      <c r="R263" s="163"/>
      <c r="S263" s="163"/>
      <c r="T263" s="163"/>
      <c r="U263" s="163"/>
      <c r="V263" s="163"/>
      <c r="W263" s="163"/>
      <c r="X263" s="163"/>
      <c r="Y263" s="163"/>
      <c r="Z263" s="163"/>
      <c r="AA263" s="163"/>
      <c r="AB263" s="163"/>
      <c r="AC263" s="163"/>
      <c r="AD263" s="163"/>
      <c r="AE263" s="163"/>
      <c r="AF263" s="163"/>
      <c r="AG263" s="163"/>
      <c r="AH263" s="163"/>
      <c r="AI263" s="163"/>
      <c r="AJ263" s="163"/>
      <c r="AK263" s="163"/>
      <c r="AL263" s="163"/>
      <c r="AM263" s="163"/>
      <c r="AN263" s="163"/>
      <c r="AO263" s="163"/>
      <c r="AP263" s="163"/>
      <c r="AQ263" s="163"/>
      <c r="AR263" s="163"/>
      <c r="AS263" s="163"/>
      <c r="AT263" s="163"/>
      <c r="AU263" s="163"/>
      <c r="AV263" s="163"/>
      <c r="AW263" s="163"/>
      <c r="AX263" s="163"/>
      <c r="AY263" s="163"/>
      <c r="AZ263" s="163"/>
      <c r="BA263" s="163"/>
      <c r="BB263" s="163"/>
      <c r="BC263" s="163"/>
      <c r="BD263" s="163"/>
      <c r="BE263" s="163"/>
    </row>
    <row r="264" spans="2:57" s="5" customFormat="1">
      <c r="B264" s="5" t="s">
        <v>347</v>
      </c>
      <c r="C264" s="41">
        <f t="shared" ref="C264:O264" si="596">C192*C208</f>
        <v>1572.7037494849608</v>
      </c>
      <c r="D264" s="41">
        <f t="shared" si="596"/>
        <v>1785.3342908640309</v>
      </c>
      <c r="E264" s="41">
        <f t="shared" si="596"/>
        <v>2052.5340941341656</v>
      </c>
      <c r="F264" s="41">
        <f t="shared" si="596"/>
        <v>2347.5738104920697</v>
      </c>
      <c r="G264" s="41">
        <f t="shared" si="596"/>
        <v>2357.7586827295363</v>
      </c>
      <c r="H264" s="41">
        <f t="shared" si="596"/>
        <v>1618.5858909634853</v>
      </c>
      <c r="I264" s="41">
        <f t="shared" si="596"/>
        <v>1627.2593009353682</v>
      </c>
      <c r="J264" s="41">
        <f t="shared" si="596"/>
        <v>1525.5868544600939</v>
      </c>
      <c r="K264" s="41">
        <f t="shared" si="596"/>
        <v>2251.3935999999999</v>
      </c>
      <c r="L264" s="41">
        <f t="shared" si="596"/>
        <v>1302.6395</v>
      </c>
      <c r="M264" s="41">
        <f t="shared" si="596"/>
        <v>1329.3135</v>
      </c>
      <c r="N264" s="41">
        <f t="shared" si="596"/>
        <v>1520.0133237106534</v>
      </c>
      <c r="O264" s="41">
        <f t="shared" si="596"/>
        <v>1442.0201453140014</v>
      </c>
      <c r="P264" s="41"/>
      <c r="Q264" s="41">
        <f t="shared" ref="Q264:BE264" si="597">Q192*Q208</f>
        <v>1889.511794565542</v>
      </c>
      <c r="R264" s="41">
        <f t="shared" si="597"/>
        <v>1979.3867275503876</v>
      </c>
      <c r="S264" s="41">
        <f t="shared" si="597"/>
        <v>1985.6321310268677</v>
      </c>
      <c r="T264" s="41">
        <f t="shared" si="597"/>
        <v>2052.5340941341656</v>
      </c>
      <c r="U264" s="41">
        <f t="shared" si="597"/>
        <v>2148.9193788876005</v>
      </c>
      <c r="V264" s="41">
        <f t="shared" si="597"/>
        <v>2219.9972903400621</v>
      </c>
      <c r="W264" s="41">
        <f t="shared" si="597"/>
        <v>2274.6947157211607</v>
      </c>
      <c r="X264" s="41">
        <f t="shared" si="597"/>
        <v>2347.5738104920697</v>
      </c>
      <c r="Y264" s="41">
        <f t="shared" si="597"/>
        <v>2613.797046686223</v>
      </c>
      <c r="Z264" s="41">
        <f t="shared" si="597"/>
        <v>2475.6606931711735</v>
      </c>
      <c r="AA264" s="41">
        <f t="shared" si="597"/>
        <v>2516.4198540322827</v>
      </c>
      <c r="AB264" s="41">
        <f t="shared" si="597"/>
        <v>2357.7586827295363</v>
      </c>
      <c r="AC264" s="41">
        <f t="shared" si="597"/>
        <v>2464.5778373837561</v>
      </c>
      <c r="AD264" s="41">
        <f t="shared" si="597"/>
        <v>2547.0072885224176</v>
      </c>
      <c r="AE264" s="41">
        <f t="shared" si="597"/>
        <v>2387.2234657585036</v>
      </c>
      <c r="AF264" s="41">
        <f t="shared" si="597"/>
        <v>1618.5858909634853</v>
      </c>
      <c r="AG264" s="41">
        <f t="shared" si="597"/>
        <v>1453.0004812037134</v>
      </c>
      <c r="AH264" s="41">
        <f t="shared" si="597"/>
        <v>1587.6185721417874</v>
      </c>
      <c r="AI264" s="41">
        <f t="shared" si="597"/>
        <v>1504.028420985853</v>
      </c>
      <c r="AJ264" s="41">
        <f t="shared" si="597"/>
        <v>1627.2593009353682</v>
      </c>
      <c r="AK264" s="41">
        <f t="shared" si="597"/>
        <v>1776.4816713308026</v>
      </c>
      <c r="AL264" s="41">
        <f t="shared" si="597"/>
        <v>2294.7125425964605</v>
      </c>
      <c r="AM264" s="41">
        <f t="shared" si="597"/>
        <v>1994.4423860689144</v>
      </c>
      <c r="AN264" s="41">
        <f t="shared" si="597"/>
        <v>1525.5868544600939</v>
      </c>
      <c r="AO264" s="41">
        <f t="shared" si="597"/>
        <v>1624.8717006475158</v>
      </c>
      <c r="AP264" s="41">
        <f t="shared" si="597"/>
        <v>1540.0647948164149</v>
      </c>
      <c r="AQ264" s="41">
        <f t="shared" si="597"/>
        <v>1577.3087999999998</v>
      </c>
      <c r="AR264" s="41">
        <f t="shared" si="597"/>
        <v>2251.3935999999999</v>
      </c>
      <c r="AS264" s="41">
        <f t="shared" si="597"/>
        <v>2799.9675000000002</v>
      </c>
      <c r="AT264" s="41">
        <f t="shared" si="597"/>
        <v>2897.4004000000004</v>
      </c>
      <c r="AU264" s="41">
        <f t="shared" si="597"/>
        <v>1787.3582575502414</v>
      </c>
      <c r="AV264" s="41">
        <f t="shared" si="597"/>
        <v>1302.6395</v>
      </c>
      <c r="AW264" s="41">
        <f t="shared" si="597"/>
        <v>1233.9499678233246</v>
      </c>
      <c r="AX264" s="41">
        <f t="shared" si="597"/>
        <v>1422.5105002924131</v>
      </c>
      <c r="AY264" s="41">
        <f t="shared" si="597"/>
        <v>1505.5642109948808</v>
      </c>
      <c r="AZ264" s="41">
        <f t="shared" si="597"/>
        <v>1329.3135</v>
      </c>
      <c r="BA264" s="41">
        <f t="shared" si="597"/>
        <v>1438.3677258724731</v>
      </c>
      <c r="BB264" s="41">
        <f t="shared" si="597"/>
        <v>1527.1025830891899</v>
      </c>
      <c r="BC264" s="41">
        <f t="shared" si="597"/>
        <v>1411.7451373800588</v>
      </c>
      <c r="BD264" s="41">
        <f t="shared" si="597"/>
        <v>1520.0133237106534</v>
      </c>
      <c r="BE264" s="41">
        <f t="shared" si="597"/>
        <v>1442.0201453140014</v>
      </c>
    </row>
    <row r="265" spans="2:57">
      <c r="C265" s="163"/>
      <c r="D265" s="163"/>
      <c r="E265" s="163"/>
      <c r="F265" s="163"/>
      <c r="G265" s="163"/>
      <c r="H265" s="163"/>
      <c r="I265" s="163"/>
      <c r="J265" s="163"/>
      <c r="K265" s="163"/>
      <c r="L265" s="163"/>
      <c r="M265" s="163"/>
      <c r="N265" s="163"/>
      <c r="O265" s="163"/>
      <c r="P265" s="163"/>
      <c r="Q265" s="163"/>
      <c r="R265" s="163"/>
      <c r="S265" s="163"/>
      <c r="T265" s="163"/>
      <c r="U265" s="163"/>
      <c r="V265" s="163"/>
      <c r="W265" s="163"/>
      <c r="X265" s="163"/>
      <c r="Y265" s="163"/>
      <c r="Z265" s="163"/>
      <c r="AA265" s="163"/>
      <c r="AB265" s="163"/>
      <c r="AC265" s="163"/>
      <c r="AD265" s="163"/>
      <c r="AE265" s="163"/>
      <c r="AF265" s="163"/>
      <c r="AG265" s="163"/>
      <c r="AH265" s="163"/>
      <c r="AI265" s="163"/>
      <c r="AJ265" s="163"/>
      <c r="AK265" s="163"/>
      <c r="AL265" s="163"/>
      <c r="AM265" s="163"/>
      <c r="AN265" s="163"/>
      <c r="AO265" s="163"/>
      <c r="AP265" s="163"/>
      <c r="AQ265" s="163"/>
      <c r="AR265" s="163"/>
      <c r="AS265" s="163"/>
      <c r="AT265" s="163"/>
      <c r="AU265" s="163"/>
      <c r="AV265" s="163"/>
      <c r="AW265" s="163"/>
      <c r="AX265" s="163"/>
      <c r="AY265" s="163"/>
      <c r="AZ265" s="163"/>
      <c r="BA265" s="163"/>
      <c r="BB265" s="163"/>
      <c r="BC265" s="163"/>
      <c r="BD265" s="163"/>
      <c r="BE265" s="163"/>
    </row>
    <row r="266" spans="2:57" s="5" customFormat="1">
      <c r="B266" s="5" t="s">
        <v>68</v>
      </c>
      <c r="C266" s="41">
        <f t="shared" ref="C266:M266" si="598">C233</f>
        <v>744.6691829667401</v>
      </c>
      <c r="D266" s="41">
        <f t="shared" si="598"/>
        <v>544.8005891150101</v>
      </c>
      <c r="E266" s="41">
        <f t="shared" si="598"/>
        <v>628.05306356742551</v>
      </c>
      <c r="F266" s="41">
        <f t="shared" si="598"/>
        <v>673.49416985863752</v>
      </c>
      <c r="G266" s="41">
        <f t="shared" si="598"/>
        <v>666.55175730000008</v>
      </c>
      <c r="H266" s="41">
        <f t="shared" si="598"/>
        <v>1099.2031545249999</v>
      </c>
      <c r="I266" s="41">
        <f t="shared" si="598"/>
        <v>860.63031869581926</v>
      </c>
      <c r="J266" s="41">
        <f t="shared" si="598"/>
        <v>1020.531175420085</v>
      </c>
      <c r="K266" s="41">
        <f t="shared" si="598"/>
        <v>1459.8673575767343</v>
      </c>
      <c r="L266" s="41">
        <f t="shared" si="598"/>
        <v>911.3023003770146</v>
      </c>
      <c r="M266" s="41">
        <f t="shared" si="598"/>
        <v>835.97968866535871</v>
      </c>
      <c r="N266" s="41">
        <f>N233</f>
        <v>878.84149634162384</v>
      </c>
      <c r="O266" s="41">
        <f>O233</f>
        <v>918.8105212482717</v>
      </c>
      <c r="P266" s="41"/>
      <c r="Q266" s="369"/>
      <c r="R266" s="369"/>
      <c r="S266" s="369"/>
      <c r="T266" s="41">
        <f t="shared" ref="T266:BE266" si="599">SUM(Q233:T233)</f>
        <v>628.23186619404134</v>
      </c>
      <c r="U266" s="41">
        <f t="shared" si="599"/>
        <v>640.53114055714752</v>
      </c>
      <c r="V266" s="41">
        <f t="shared" si="599"/>
        <v>643.3561546627692</v>
      </c>
      <c r="W266" s="41">
        <f t="shared" si="599"/>
        <v>657.75254193747389</v>
      </c>
      <c r="X266" s="41">
        <f t="shared" si="599"/>
        <v>674.42327281211601</v>
      </c>
      <c r="Y266" s="41">
        <f t="shared" si="599"/>
        <v>671.55857540322734</v>
      </c>
      <c r="Z266" s="41">
        <f t="shared" si="599"/>
        <v>674.81264058052659</v>
      </c>
      <c r="AA266" s="41">
        <f t="shared" si="599"/>
        <v>661.97300003884379</v>
      </c>
      <c r="AB266" s="41">
        <f t="shared" si="599"/>
        <v>663.72556974400004</v>
      </c>
      <c r="AC266" s="41">
        <f t="shared" si="599"/>
        <v>705.39975099999992</v>
      </c>
      <c r="AD266" s="41">
        <f t="shared" si="599"/>
        <v>755.30893119999996</v>
      </c>
      <c r="AE266" s="41">
        <f t="shared" si="599"/>
        <v>802.53645039999992</v>
      </c>
      <c r="AF266" s="41">
        <f t="shared" si="599"/>
        <v>1078.1946422000001</v>
      </c>
      <c r="AG266" s="41">
        <f t="shared" si="599"/>
        <v>1088.2393408956088</v>
      </c>
      <c r="AH266" s="41">
        <f t="shared" si="599"/>
        <v>1082.3836130126056</v>
      </c>
      <c r="AI266" s="41">
        <f t="shared" si="599"/>
        <v>1078.2671450148055</v>
      </c>
      <c r="AJ266" s="41">
        <f t="shared" si="599"/>
        <v>862.15421861061498</v>
      </c>
      <c r="AK266" s="41">
        <f t="shared" si="599"/>
        <v>893.40617353031769</v>
      </c>
      <c r="AL266" s="41">
        <f t="shared" si="599"/>
        <v>979.65198990899785</v>
      </c>
      <c r="AM266" s="41">
        <f t="shared" si="599"/>
        <v>1040.9894021249486</v>
      </c>
      <c r="AN266" s="41">
        <f t="shared" si="599"/>
        <v>1020.6053655517428</v>
      </c>
      <c r="AO266" s="41">
        <f t="shared" si="599"/>
        <v>1004.0618435088334</v>
      </c>
      <c r="AP266" s="41">
        <f t="shared" si="599"/>
        <v>1528.1554036199341</v>
      </c>
      <c r="AQ266" s="41">
        <f t="shared" si="599"/>
        <v>1508.3303972315889</v>
      </c>
      <c r="AR266" s="41">
        <f t="shared" si="599"/>
        <v>1474.1414934089858</v>
      </c>
      <c r="AS266" s="41">
        <f t="shared" si="599"/>
        <v>1403.6232973365836</v>
      </c>
      <c r="AT266" s="41">
        <f t="shared" si="599"/>
        <v>839.28398142980564</v>
      </c>
      <c r="AU266" s="41">
        <f t="shared" si="599"/>
        <v>818.07471247109027</v>
      </c>
      <c r="AV266" s="41">
        <f t="shared" si="599"/>
        <v>906.40387034299397</v>
      </c>
      <c r="AW266" s="41">
        <f t="shared" si="599"/>
        <v>944.04088303391109</v>
      </c>
      <c r="AX266" s="41">
        <f t="shared" si="599"/>
        <v>916.53252002532179</v>
      </c>
      <c r="AY266" s="41">
        <f t="shared" si="599"/>
        <v>900.8535370670204</v>
      </c>
      <c r="AZ266" s="41">
        <f t="shared" si="599"/>
        <v>835.79221053211666</v>
      </c>
      <c r="BA266" s="41">
        <f t="shared" si="599"/>
        <v>838.40653128584245</v>
      </c>
      <c r="BB266" s="41">
        <f>SUM(AY233:BB233)</f>
        <v>838.2671038239987</v>
      </c>
      <c r="BC266" s="41">
        <f t="shared" si="599"/>
        <v>851.49616329735318</v>
      </c>
      <c r="BD266" s="41">
        <f t="shared" si="599"/>
        <v>879.28338368084678</v>
      </c>
      <c r="BE266" s="41">
        <f t="shared" si="599"/>
        <v>918.96219137122409</v>
      </c>
    </row>
    <row r="267" spans="2:57">
      <c r="C267" s="36"/>
      <c r="D267" s="36"/>
      <c r="E267" s="36"/>
      <c r="F267" s="49"/>
      <c r="G267" s="49"/>
      <c r="H267" s="49"/>
      <c r="I267" s="49"/>
      <c r="J267" s="49"/>
      <c r="K267" s="49"/>
      <c r="L267" s="49"/>
      <c r="M267" s="49"/>
      <c r="N267" s="49"/>
      <c r="O267" s="49"/>
      <c r="P267" s="49"/>
      <c r="Q267" s="285"/>
      <c r="R267" s="285"/>
      <c r="S267" s="285"/>
      <c r="T267" s="49"/>
      <c r="U267" s="49"/>
      <c r="V267" s="49"/>
      <c r="W267" s="49"/>
      <c r="X267" s="49"/>
      <c r="Y267" s="49"/>
      <c r="Z267" s="49"/>
      <c r="AA267" s="49"/>
      <c r="AB267" s="49"/>
      <c r="AC267" s="49"/>
      <c r="AD267" s="49"/>
      <c r="AE267" s="49"/>
      <c r="AF267" s="49"/>
      <c r="AG267" s="49"/>
      <c r="AH267" s="49"/>
      <c r="AI267" s="49"/>
      <c r="AJ267" s="49"/>
      <c r="AK267" s="49"/>
      <c r="AL267" s="49"/>
      <c r="AM267" s="49"/>
      <c r="AN267" s="49"/>
      <c r="AO267" s="49"/>
      <c r="AP267" s="49"/>
      <c r="AQ267" s="49"/>
      <c r="AR267" s="49"/>
      <c r="AS267" s="49"/>
      <c r="AT267" s="49"/>
      <c r="AU267" s="49"/>
      <c r="AV267" s="49"/>
      <c r="AW267" s="49"/>
      <c r="AX267" s="49"/>
      <c r="AY267" s="49"/>
      <c r="AZ267" s="49"/>
      <c r="BA267" s="49"/>
      <c r="BB267" s="49"/>
      <c r="BC267" s="49"/>
      <c r="BD267" s="49"/>
      <c r="BE267" s="49"/>
    </row>
    <row r="268" spans="2:57" s="5" customFormat="1">
      <c r="B268" s="5" t="str">
        <f>+B130</f>
        <v>Total Net Leverage</v>
      </c>
      <c r="C268" s="37">
        <f>C261/C$266</f>
        <v>2.3738798358289901</v>
      </c>
      <c r="D268" s="37">
        <f t="shared" ref="D268:AC268" si="600">D261/D$266</f>
        <v>3.9723855328410047</v>
      </c>
      <c r="E268" s="37">
        <f t="shared" si="600"/>
        <v>3.5272902704359232</v>
      </c>
      <c r="F268" s="37">
        <f t="shared" si="600"/>
        <v>3.4756630122027072</v>
      </c>
      <c r="G268" s="37">
        <f t="shared" si="600"/>
        <v>3.7461257613140702</v>
      </c>
      <c r="H268" s="37">
        <f t="shared" ref="H268:J269" si="601">H261/H$266</f>
        <v>2.4805923442427558</v>
      </c>
      <c r="I268" s="37">
        <f t="shared" si="601"/>
        <v>3.5486071161965516</v>
      </c>
      <c r="J268" s="37">
        <f t="shared" si="601"/>
        <v>3.0010591506668196</v>
      </c>
      <c r="K268" s="37">
        <f t="shared" ref="K268:O269" si="602">K261/K$266</f>
        <v>2.0603386997464948</v>
      </c>
      <c r="L268" s="37">
        <f t="shared" si="602"/>
        <v>2.6459438371629709</v>
      </c>
      <c r="M268" s="37">
        <f>M261/M$266</f>
        <v>3.1406170967581724</v>
      </c>
      <c r="N268" s="37">
        <f>N261/N$266</f>
        <v>2.5733450215991254</v>
      </c>
      <c r="O268" s="37">
        <f t="shared" si="602"/>
        <v>2.4129857805260619</v>
      </c>
      <c r="P268" s="37"/>
      <c r="Q268" s="286"/>
      <c r="R268" s="286"/>
      <c r="S268" s="286"/>
      <c r="T268" s="37">
        <f t="shared" si="600"/>
        <v>3.5262863596203013</v>
      </c>
      <c r="U268" s="37">
        <f t="shared" si="600"/>
        <v>3.5460817926770614</v>
      </c>
      <c r="V268" s="37">
        <f t="shared" si="600"/>
        <v>3.6868776176838791</v>
      </c>
      <c r="W268" s="37">
        <f t="shared" si="600"/>
        <v>3.5673592657286655</v>
      </c>
      <c r="X268" s="37">
        <f t="shared" si="600"/>
        <v>3.4708748488932346</v>
      </c>
      <c r="Y268" s="37">
        <f t="shared" si="600"/>
        <v>3.7424111573569547</v>
      </c>
      <c r="Z268" s="37">
        <f t="shared" si="600"/>
        <v>3.7062229535708924</v>
      </c>
      <c r="AA268" s="37">
        <f t="shared" si="600"/>
        <v>3.8341123607570284</v>
      </c>
      <c r="AB268" s="37">
        <f t="shared" si="600"/>
        <v>3.76207701359733</v>
      </c>
      <c r="AC268" s="37">
        <f t="shared" si="600"/>
        <v>4.2699273866008252</v>
      </c>
      <c r="AD268" s="37">
        <f t="shared" ref="AD268:AG269" si="603">AD261/AD$266</f>
        <v>4.1570178977693573</v>
      </c>
      <c r="AE268" s="37">
        <f t="shared" si="603"/>
        <v>3.7840867767199762</v>
      </c>
      <c r="AF268" s="37">
        <f t="shared" si="603"/>
        <v>2.5289264323541465</v>
      </c>
      <c r="AG268" s="37">
        <f t="shared" si="603"/>
        <v>2.5629540863723599</v>
      </c>
      <c r="AH268" s="37">
        <f t="shared" ref="AH268:AK269" si="604">AH261/AH$266</f>
        <v>2.5505164161016167</v>
      </c>
      <c r="AI268" s="37">
        <f t="shared" si="604"/>
        <v>2.627386038307622</v>
      </c>
      <c r="AJ268" s="37">
        <f t="shared" si="604"/>
        <v>3.5423347788753583</v>
      </c>
      <c r="AK268" s="37">
        <f t="shared" si="604"/>
        <v>3.6383650689270519</v>
      </c>
      <c r="AL268" s="37">
        <f t="shared" ref="AL268:AO269" si="605">AL261/AL$266</f>
        <v>3.2088700195607212</v>
      </c>
      <c r="AM268" s="37">
        <f t="shared" si="605"/>
        <v>2.9148220909585829</v>
      </c>
      <c r="AN268" s="37">
        <f t="shared" si="605"/>
        <v>3.0008409968328147</v>
      </c>
      <c r="AO268" s="37">
        <f t="shared" si="605"/>
        <v>3.1807487076241823</v>
      </c>
      <c r="AP268" s="37">
        <f t="shared" ref="AP268:AS269" si="606">AP261/AP$266</f>
        <v>1.9587290876532373</v>
      </c>
      <c r="AQ268" s="37">
        <f t="shared" si="606"/>
        <v>1.9212238755585234</v>
      </c>
      <c r="AR268" s="37">
        <f t="shared" si="606"/>
        <v>2.0403884069203864</v>
      </c>
      <c r="AS268" s="37">
        <f t="shared" si="606"/>
        <v>2.2335884019365992</v>
      </c>
      <c r="AT268" s="37">
        <f t="shared" ref="AT268:AW269" si="607">AT261/AT$266</f>
        <v>3.7703104555494895</v>
      </c>
      <c r="AU268" s="37">
        <f t="shared" si="607"/>
        <v>3.5833903189267184</v>
      </c>
      <c r="AV268" s="37">
        <f t="shared" si="607"/>
        <v>2.6602431701472686</v>
      </c>
      <c r="AW268" s="37">
        <f t="shared" si="607"/>
        <v>2.7342759821150211</v>
      </c>
      <c r="AX268" s="37">
        <f t="shared" ref="AX268:BA269" si="608">AX261/AX$266</f>
        <v>3.1008116739241141</v>
      </c>
      <c r="AY268" s="37">
        <f t="shared" si="608"/>
        <v>3.0547685411115406</v>
      </c>
      <c r="AZ268" s="37">
        <f t="shared" si="608"/>
        <v>3.1413215745256231</v>
      </c>
      <c r="BA268" s="37">
        <f t="shared" si="608"/>
        <v>3.0781823527223837</v>
      </c>
      <c r="BB268" s="37">
        <f t="shared" ref="BB268:BD269" si="609">BB261/BB$266</f>
        <v>3.0421567509017056</v>
      </c>
      <c r="BC268" s="37">
        <f t="shared" si="609"/>
        <v>2.5513218089456342</v>
      </c>
      <c r="BD268" s="37">
        <f t="shared" si="609"/>
        <v>2.5720517768891695</v>
      </c>
      <c r="BE268" s="37">
        <f>BE261/BE$266</f>
        <v>2.4125875292667054</v>
      </c>
    </row>
    <row r="269" spans="2:57">
      <c r="B269" s="1" t="str">
        <f>+B131</f>
        <v xml:space="preserve">Total Gross Leverage </v>
      </c>
      <c r="C269" s="38">
        <f>C262/C$266</f>
        <v>3.2125161167895357</v>
      </c>
      <c r="D269" s="38">
        <f t="shared" ref="D269:AC269" si="610">D262/D$266</f>
        <v>4.3251744423296463</v>
      </c>
      <c r="E269" s="38">
        <f t="shared" si="610"/>
        <v>3.7910825975498916</v>
      </c>
      <c r="F269" s="38">
        <f t="shared" si="610"/>
        <v>3.8274401170417729</v>
      </c>
      <c r="G269" s="38">
        <f t="shared" si="610"/>
        <v>3.9032154269833073</v>
      </c>
      <c r="H269" s="38">
        <f t="shared" si="601"/>
        <v>3.0242160590666693</v>
      </c>
      <c r="I269" s="38">
        <f t="shared" si="601"/>
        <v>3.8795317410876788</v>
      </c>
      <c r="J269" s="38">
        <f t="shared" si="601"/>
        <v>3.1259650702964232</v>
      </c>
      <c r="K269" s="38">
        <f t="shared" si="602"/>
        <v>2.2108639795587393</v>
      </c>
      <c r="L269" s="38">
        <f t="shared" si="602"/>
        <v>3.3071172030106464</v>
      </c>
      <c r="M269" s="38">
        <f>M262/M$266</f>
        <v>3.2366941515586647</v>
      </c>
      <c r="N269" s="38">
        <f>N262/N$266</f>
        <v>2.8685335882100693</v>
      </c>
      <c r="O269" s="38">
        <f t="shared" si="602"/>
        <v>2.6662989402124517</v>
      </c>
      <c r="P269" s="38"/>
      <c r="Q269" s="287"/>
      <c r="R269" s="287"/>
      <c r="S269" s="287"/>
      <c r="T269" s="38">
        <f t="shared" si="610"/>
        <v>3.7900036081470363</v>
      </c>
      <c r="U269" s="38">
        <f t="shared" si="610"/>
        <v>3.7304572278005206</v>
      </c>
      <c r="V269" s="38">
        <f t="shared" si="610"/>
        <v>3.9398442484573826</v>
      </c>
      <c r="W269" s="38">
        <f t="shared" si="610"/>
        <v>3.8949645471718806</v>
      </c>
      <c r="X269" s="38">
        <f t="shared" si="610"/>
        <v>3.8221673364893198</v>
      </c>
      <c r="Y269" s="38">
        <f t="shared" si="610"/>
        <v>3.8648935004654357</v>
      </c>
      <c r="Z269" s="38">
        <f t="shared" si="610"/>
        <v>3.7799890499045574</v>
      </c>
      <c r="AA269" s="38">
        <f t="shared" si="610"/>
        <v>3.8549644437628139</v>
      </c>
      <c r="AB269" s="38">
        <f t="shared" si="610"/>
        <v>3.9198355774957885</v>
      </c>
      <c r="AC269" s="38">
        <f t="shared" si="610"/>
        <v>4.3416373005637823</v>
      </c>
      <c r="AD269" s="38">
        <f t="shared" si="603"/>
        <v>4.2074603014708662</v>
      </c>
      <c r="AE269" s="38">
        <f t="shared" si="603"/>
        <v>3.8427797876400271</v>
      </c>
      <c r="AF269" s="38">
        <f t="shared" si="603"/>
        <v>3.0831425996593085</v>
      </c>
      <c r="AG269" s="38">
        <f t="shared" si="603"/>
        <v>2.8863920876664921</v>
      </c>
      <c r="AH269" s="38">
        <f t="shared" si="604"/>
        <v>2.9336631665471042</v>
      </c>
      <c r="AI269" s="38">
        <f t="shared" si="604"/>
        <v>2.9837420467476252</v>
      </c>
      <c r="AJ269" s="38">
        <f t="shared" si="604"/>
        <v>3.8726744782429661</v>
      </c>
      <c r="AK269" s="38">
        <f t="shared" si="604"/>
        <v>3.7168147449191107</v>
      </c>
      <c r="AL269" s="38">
        <f t="shared" si="605"/>
        <v>3.3584984153008675</v>
      </c>
      <c r="AM269" s="38">
        <f t="shared" si="605"/>
        <v>3.0520244232782172</v>
      </c>
      <c r="AN269" s="38">
        <f t="shared" si="605"/>
        <v>3.1257378367662549</v>
      </c>
      <c r="AO269" s="38">
        <f t="shared" si="605"/>
        <v>3.3210299733856123</v>
      </c>
      <c r="AP269" s="38">
        <f t="shared" si="606"/>
        <v>2.1084199397140768</v>
      </c>
      <c r="AQ269" s="38">
        <f t="shared" si="606"/>
        <v>2.1084203693282149</v>
      </c>
      <c r="AR269" s="38">
        <f t="shared" si="606"/>
        <v>2.1894561480229249</v>
      </c>
      <c r="AS269" s="38">
        <f t="shared" si="606"/>
        <v>2.324091989622874</v>
      </c>
      <c r="AT269" s="38">
        <f t="shared" si="607"/>
        <v>3.8973883998685315</v>
      </c>
      <c r="AU269" s="38">
        <f t="shared" si="607"/>
        <v>3.8670476984048108</v>
      </c>
      <c r="AV269" s="38">
        <f t="shared" si="607"/>
        <v>3.3249896799089669</v>
      </c>
      <c r="AW269" s="38">
        <f t="shared" si="607"/>
        <v>3.0421364611013062</v>
      </c>
      <c r="AX269" s="38">
        <f t="shared" si="608"/>
        <v>3.2022835362434861</v>
      </c>
      <c r="AY269" s="38">
        <f t="shared" si="608"/>
        <v>3.3255099925607805</v>
      </c>
      <c r="AZ269" s="38">
        <f t="shared" si="608"/>
        <v>3.2374201805521907</v>
      </c>
      <c r="BA269" s="38">
        <f t="shared" si="608"/>
        <v>3.3050327095886485</v>
      </c>
      <c r="BB269" s="38">
        <f t="shared" si="609"/>
        <v>3.3913810717670581</v>
      </c>
      <c r="BC269" s="38">
        <f t="shared" si="609"/>
        <v>2.8442033584735422</v>
      </c>
      <c r="BD269" s="38">
        <f t="shared" si="609"/>
        <v>2.8670919953194365</v>
      </c>
      <c r="BE269" s="38">
        <f>BE262/BE$266</f>
        <v>2.6658588808804282</v>
      </c>
    </row>
    <row r="270" spans="2:57">
      <c r="C270" s="57"/>
      <c r="D270" s="57"/>
      <c r="E270" s="57"/>
      <c r="F270" s="57"/>
      <c r="G270" s="57"/>
      <c r="H270" s="57"/>
      <c r="I270" s="57"/>
      <c r="J270" s="57"/>
      <c r="K270" s="57"/>
      <c r="L270" s="57"/>
      <c r="M270" s="57"/>
      <c r="N270" s="57"/>
      <c r="O270" s="57"/>
      <c r="P270" s="57"/>
      <c r="Q270" s="288"/>
      <c r="R270" s="288"/>
      <c r="S270" s="288"/>
      <c r="T270" s="57"/>
      <c r="U270" s="57"/>
      <c r="V270" s="57"/>
      <c r="W270" s="57"/>
      <c r="X270" s="57"/>
      <c r="Y270" s="57"/>
      <c r="Z270" s="57"/>
      <c r="AA270" s="57"/>
      <c r="AB270" s="57"/>
      <c r="AC270" s="57"/>
      <c r="AD270" s="57"/>
      <c r="AE270" s="57"/>
      <c r="AF270" s="57"/>
      <c r="AG270" s="57"/>
      <c r="AH270" s="57"/>
      <c r="AI270" s="57"/>
      <c r="AJ270" s="57"/>
      <c r="AK270" s="57"/>
      <c r="AL270" s="57"/>
      <c r="AM270" s="57"/>
      <c r="AN270" s="57"/>
      <c r="AO270" s="57"/>
      <c r="AP270" s="57"/>
      <c r="AQ270" s="57"/>
      <c r="AR270" s="57"/>
      <c r="AS270" s="57"/>
      <c r="AT270" s="57"/>
      <c r="AU270" s="57"/>
      <c r="AV270" s="57"/>
      <c r="AW270" s="57"/>
      <c r="AX270" s="57"/>
      <c r="AY270" s="57"/>
      <c r="AZ270" s="57"/>
      <c r="BA270" s="57"/>
      <c r="BB270" s="57"/>
      <c r="BC270" s="57"/>
      <c r="BD270" s="57"/>
      <c r="BE270" s="57"/>
    </row>
    <row r="271" spans="2:57" s="5" customFormat="1">
      <c r="B271" s="5" t="str">
        <f>+B133</f>
        <v>Net Leverage (based on company reported debt)</v>
      </c>
      <c r="C271" s="37">
        <f>C264/C$266</f>
        <v>2.1119495548605292</v>
      </c>
      <c r="D271" s="37">
        <f t="shared" ref="D271:AC271" si="611">D264/D$266</f>
        <v>3.2770417773669807</v>
      </c>
      <c r="E271" s="37">
        <f t="shared" si="611"/>
        <v>3.2680902509662113</v>
      </c>
      <c r="F271" s="37">
        <f t="shared" si="611"/>
        <v>3.4856631513006442</v>
      </c>
      <c r="G271" s="37">
        <f t="shared" si="611"/>
        <v>3.5372477184369071</v>
      </c>
      <c r="H271" s="37">
        <f t="shared" ref="H271:O271" si="612">H264/H$266</f>
        <v>1.4725084114800662</v>
      </c>
      <c r="I271" s="37">
        <f t="shared" si="612"/>
        <v>1.8907761736784756</v>
      </c>
      <c r="J271" s="37">
        <f t="shared" si="612"/>
        <v>1.4948949049323368</v>
      </c>
      <c r="K271" s="37">
        <f t="shared" si="612"/>
        <v>1.5421905204710771</v>
      </c>
      <c r="L271" s="37">
        <f t="shared" si="612"/>
        <v>1.4294263269840155</v>
      </c>
      <c r="M271" s="37">
        <f>M264/M$266</f>
        <v>1.5901265521441659</v>
      </c>
      <c r="N271" s="37">
        <f>N264/N$266</f>
        <v>1.7295648078044243</v>
      </c>
      <c r="O271" s="37">
        <f t="shared" si="612"/>
        <v>1.5694423517864282</v>
      </c>
      <c r="P271" s="37"/>
      <c r="Q271" s="286"/>
      <c r="R271" s="286"/>
      <c r="S271" s="286"/>
      <c r="T271" s="37">
        <f t="shared" si="611"/>
        <v>3.2671601117097766</v>
      </c>
      <c r="U271" s="37">
        <f t="shared" si="611"/>
        <v>3.3549022722274282</v>
      </c>
      <c r="V271" s="37">
        <f t="shared" si="611"/>
        <v>3.450650583274093</v>
      </c>
      <c r="W271" s="37">
        <f t="shared" si="611"/>
        <v>3.4582834283252284</v>
      </c>
      <c r="X271" s="37">
        <f t="shared" si="611"/>
        <v>3.4808612115407644</v>
      </c>
      <c r="Y271" s="37">
        <f t="shared" si="611"/>
        <v>3.8921356117250197</v>
      </c>
      <c r="Z271" s="37">
        <f t="shared" si="611"/>
        <v>3.6686637805738442</v>
      </c>
      <c r="AA271" s="37">
        <f t="shared" si="611"/>
        <v>3.8013934917052845</v>
      </c>
      <c r="AB271" s="37">
        <f t="shared" si="611"/>
        <v>3.5523095541413712</v>
      </c>
      <c r="AC271" s="37">
        <f t="shared" si="611"/>
        <v>3.4938739826458436</v>
      </c>
      <c r="AD271" s="37">
        <f t="shared" ref="AD271:AI271" si="613">AD264/AD$266</f>
        <v>3.3721397739542813</v>
      </c>
      <c r="AE271" s="37">
        <f t="shared" si="613"/>
        <v>2.9745981812647444</v>
      </c>
      <c r="AF271" s="37">
        <f t="shared" si="613"/>
        <v>1.501200087268886</v>
      </c>
      <c r="AG271" s="37">
        <f t="shared" si="613"/>
        <v>1.3351846662774662</v>
      </c>
      <c r="AH271" s="37">
        <f t="shared" si="613"/>
        <v>1.4667799410995865</v>
      </c>
      <c r="AI271" s="37">
        <f t="shared" si="613"/>
        <v>1.3948569498194268</v>
      </c>
      <c r="AJ271" s="37">
        <f t="shared" ref="AJ271:AO271" si="614">AJ264/AJ$266</f>
        <v>1.8874341339508156</v>
      </c>
      <c r="AK271" s="37">
        <f t="shared" si="614"/>
        <v>1.9884367535887839</v>
      </c>
      <c r="AL271" s="37">
        <f t="shared" si="614"/>
        <v>2.3423752171519823</v>
      </c>
      <c r="AM271" s="37">
        <f t="shared" si="614"/>
        <v>1.9159103656556957</v>
      </c>
      <c r="AN271" s="37">
        <f t="shared" si="614"/>
        <v>1.4947862376123766</v>
      </c>
      <c r="AO271" s="37">
        <f t="shared" si="614"/>
        <v>1.6182984256917645</v>
      </c>
      <c r="AP271" s="37">
        <f t="shared" ref="AP271:AU271" si="615">AP264/AP$266</f>
        <v>1.0077933115756876</v>
      </c>
      <c r="AQ271" s="37">
        <f t="shared" si="615"/>
        <v>1.0457316267675933</v>
      </c>
      <c r="AR271" s="37">
        <f t="shared" si="615"/>
        <v>1.5272574648133681</v>
      </c>
      <c r="AS271" s="37">
        <f t="shared" si="615"/>
        <v>1.9948140682140434</v>
      </c>
      <c r="AT271" s="37">
        <f t="shared" si="615"/>
        <v>3.4522288809372772</v>
      </c>
      <c r="AU271" s="37">
        <f t="shared" si="615"/>
        <v>2.18483499160036</v>
      </c>
      <c r="AV271" s="37">
        <f t="shared" ref="AV271:BA271" si="616">AV264/AV$266</f>
        <v>1.4371512993507694</v>
      </c>
      <c r="AW271" s="37">
        <f t="shared" si="616"/>
        <v>1.3070937816355139</v>
      </c>
      <c r="AX271" s="37">
        <f t="shared" si="616"/>
        <v>1.5520567674490287</v>
      </c>
      <c r="AY271" s="37">
        <f t="shared" si="616"/>
        <v>1.6712641390038434</v>
      </c>
      <c r="AZ271" s="37">
        <f t="shared" si="616"/>
        <v>1.5904832364418393</v>
      </c>
      <c r="BA271" s="37">
        <f t="shared" si="616"/>
        <v>1.7155969952506043</v>
      </c>
      <c r="BB271" s="37">
        <f>BB264/BB$266</f>
        <v>1.8217374582908816</v>
      </c>
      <c r="BC271" s="37">
        <f>BC264/BC$266</f>
        <v>1.6579583070734984</v>
      </c>
      <c r="BD271" s="37">
        <f>BD264/BD$266</f>
        <v>1.7286956081753639</v>
      </c>
      <c r="BE271" s="37">
        <f>BE264/BE$266</f>
        <v>1.5691833231596823</v>
      </c>
    </row>
    <row r="272" spans="2:57">
      <c r="C272" s="57"/>
      <c r="D272" s="57"/>
      <c r="E272" s="57"/>
      <c r="F272" s="57"/>
      <c r="G272" s="57"/>
      <c r="H272" s="57"/>
      <c r="I272" s="57"/>
      <c r="J272" s="57"/>
      <c r="K272" s="57"/>
      <c r="L272" s="57"/>
      <c r="M272" s="57"/>
      <c r="N272" s="57"/>
      <c r="O272" s="57"/>
      <c r="P272" s="57"/>
      <c r="Q272" s="288"/>
      <c r="R272" s="288"/>
      <c r="S272" s="288"/>
      <c r="T272" s="57"/>
      <c r="U272" s="57"/>
      <c r="V272" s="57"/>
      <c r="W272" s="57"/>
      <c r="X272" s="57"/>
      <c r="Y272" s="57"/>
      <c r="Z272" s="57"/>
      <c r="AA272" s="57"/>
      <c r="AB272" s="57"/>
      <c r="AC272" s="57"/>
      <c r="AD272" s="57"/>
      <c r="AE272" s="57"/>
      <c r="AF272" s="57"/>
      <c r="AG272" s="57"/>
      <c r="AH272" s="57"/>
      <c r="AI272" s="57"/>
      <c r="AJ272" s="57"/>
      <c r="AK272" s="57"/>
      <c r="AL272" s="57"/>
      <c r="AM272" s="57"/>
      <c r="AN272" s="57"/>
      <c r="AO272" s="57"/>
      <c r="AP272" s="57"/>
      <c r="AQ272" s="57"/>
      <c r="AR272" s="57"/>
      <c r="AS272" s="57"/>
      <c r="AT272" s="57"/>
      <c r="AU272" s="57"/>
      <c r="AV272" s="57"/>
      <c r="AW272" s="57"/>
      <c r="AX272" s="57"/>
      <c r="AY272" s="57"/>
      <c r="AZ272" s="57"/>
      <c r="BA272" s="57"/>
      <c r="BB272" s="57"/>
      <c r="BC272" s="57"/>
      <c r="BD272" s="57"/>
      <c r="BE272" s="57"/>
    </row>
    <row r="273" spans="2:57" s="5" customFormat="1">
      <c r="B273" s="5" t="str">
        <f>B136</f>
        <v>EBITDA - Capex / Interest</v>
      </c>
      <c r="C273" s="37">
        <f t="shared" ref="C273:M273" si="617">(C266+C243)/-C240</f>
        <v>-3.2952962115872548</v>
      </c>
      <c r="D273" s="37">
        <f t="shared" si="617"/>
        <v>-2.6408668308109959</v>
      </c>
      <c r="E273" s="37">
        <f t="shared" si="617"/>
        <v>-0.4344860271521806</v>
      </c>
      <c r="F273" s="37">
        <f t="shared" si="617"/>
        <v>-0.8493175535016404</v>
      </c>
      <c r="G273" s="37">
        <f t="shared" si="617"/>
        <v>-1.0496587773201036</v>
      </c>
      <c r="H273" s="37">
        <f t="shared" si="617"/>
        <v>9.0136577747301008</v>
      </c>
      <c r="I273" s="37">
        <f t="shared" si="617"/>
        <v>4.1585900097626576</v>
      </c>
      <c r="J273" s="37">
        <f t="shared" si="617"/>
        <v>3.4509063904651431</v>
      </c>
      <c r="K273" s="37">
        <f t="shared" si="617"/>
        <v>12.002734286853526</v>
      </c>
      <c r="L273" s="37">
        <f t="shared" si="617"/>
        <v>15.161635875449528</v>
      </c>
      <c r="M273" s="37">
        <f t="shared" si="617"/>
        <v>2.0893147259256271</v>
      </c>
      <c r="N273" s="37">
        <f>(N266+N243)/-N240</f>
        <v>2.7267310502595863</v>
      </c>
      <c r="O273" s="37">
        <f>(O266+O243)/-O240</f>
        <v>3.4274054253317119</v>
      </c>
      <c r="P273" s="37"/>
      <c r="Q273" s="286"/>
      <c r="R273" s="286"/>
      <c r="S273" s="286"/>
      <c r="T273" s="37">
        <f t="shared" ref="T273:BE273" si="618">SUM(T266,Q243:T243)/-SUM(Q240:T240)</f>
        <v>-0.44094527711701798</v>
      </c>
      <c r="U273" s="37">
        <f t="shared" si="618"/>
        <v>-0.58058165484530289</v>
      </c>
      <c r="V273" s="37">
        <f t="shared" si="618"/>
        <v>-0.598693277058582</v>
      </c>
      <c r="W273" s="37">
        <f t="shared" si="618"/>
        <v>-0.85320718971253828</v>
      </c>
      <c r="X273" s="37">
        <f t="shared" si="618"/>
        <v>-0.85327563059423572</v>
      </c>
      <c r="Y273" s="37">
        <f t="shared" si="618"/>
        <v>-1.3132129889778497</v>
      </c>
      <c r="Z273" s="37">
        <f t="shared" si="618"/>
        <v>-1.5034871335866935</v>
      </c>
      <c r="AA273" s="37">
        <f t="shared" si="618"/>
        <v>-1.3904681624943829</v>
      </c>
      <c r="AB273" s="37">
        <f t="shared" si="618"/>
        <v>-1.0933677770734462</v>
      </c>
      <c r="AC273" s="37">
        <f t="shared" si="618"/>
        <v>-0.66936303311710355</v>
      </c>
      <c r="AD273" s="37">
        <f t="shared" si="618"/>
        <v>-0.16666556937139884</v>
      </c>
      <c r="AE273" s="37">
        <f t="shared" si="618"/>
        <v>0.69780367956415035</v>
      </c>
      <c r="AF273" s="37">
        <f t="shared" si="618"/>
        <v>8.4387698105519711</v>
      </c>
      <c r="AG273" s="37">
        <f t="shared" si="618"/>
        <v>10.048126575205785</v>
      </c>
      <c r="AH273" s="37">
        <f t="shared" si="618"/>
        <v>11.40699800406774</v>
      </c>
      <c r="AI273" s="37">
        <f t="shared" si="618"/>
        <v>10.665578548343234</v>
      </c>
      <c r="AJ273" s="37">
        <f t="shared" si="618"/>
        <v>4.2012873907764376</v>
      </c>
      <c r="AK273" s="37">
        <f t="shared" si="618"/>
        <v>3.8014234840136707</v>
      </c>
      <c r="AL273" s="37">
        <f t="shared" si="618"/>
        <v>3.9551090390069832</v>
      </c>
      <c r="AM273" s="37">
        <f t="shared" si="618"/>
        <v>2.8399551466761079</v>
      </c>
      <c r="AN273" s="37">
        <f t="shared" si="618"/>
        <v>3.3757567856362476</v>
      </c>
      <c r="AO273" s="37">
        <f t="shared" si="618"/>
        <v>2.9976873373053157</v>
      </c>
      <c r="AP273" s="37">
        <f t="shared" si="618"/>
        <v>9.3602902153955032</v>
      </c>
      <c r="AQ273" s="37">
        <f t="shared" si="618"/>
        <v>15.054850144541723</v>
      </c>
      <c r="AR273" s="37">
        <f t="shared" si="618"/>
        <v>12.300027426612344</v>
      </c>
      <c r="AS273" s="37">
        <f t="shared" si="618"/>
        <v>10.985706238679676</v>
      </c>
      <c r="AT273" s="37">
        <f t="shared" si="618"/>
        <v>1.3179229716482217</v>
      </c>
      <c r="AU273" s="37">
        <f t="shared" si="618"/>
        <v>0.77736033988246234</v>
      </c>
      <c r="AV273" s="37">
        <f t="shared" si="618"/>
        <v>14.348024584993388</v>
      </c>
      <c r="AW273" s="37">
        <f t="shared" si="618"/>
        <v>15.851282561066522</v>
      </c>
      <c r="AX273" s="37">
        <f t="shared" si="618"/>
        <v>16.320521242506594</v>
      </c>
      <c r="AY273" s="37">
        <f t="shared" si="618"/>
        <v>16.288865059067657</v>
      </c>
      <c r="AZ273" s="37">
        <f t="shared" si="618"/>
        <v>2.0797268041097889</v>
      </c>
      <c r="BA273" s="37">
        <f t="shared" si="618"/>
        <v>1.9066225668187295</v>
      </c>
      <c r="BB273" s="37">
        <f>SUM(BB266,AY243:BB243)/-SUM(AY240:BB240)</f>
        <v>2.4319074590046896</v>
      </c>
      <c r="BC273" s="37">
        <f t="shared" si="618"/>
        <v>2.8389405986090943</v>
      </c>
      <c r="BD273" s="37">
        <f t="shared" si="618"/>
        <v>2.7343119968597378</v>
      </c>
      <c r="BE273" s="37">
        <f t="shared" si="618"/>
        <v>3.4316578160757651</v>
      </c>
    </row>
    <row r="274" spans="2:57">
      <c r="B274" s="1" t="str">
        <f>B137</f>
        <v>EBITDA/Interest</v>
      </c>
      <c r="C274" s="38">
        <f t="shared" ref="C274:M274" si="619">C266/-C240</f>
        <v>11.127336457459833</v>
      </c>
      <c r="D274" s="38">
        <f t="shared" si="619"/>
        <v>5.6523731023189567</v>
      </c>
      <c r="E274" s="38">
        <f t="shared" si="619"/>
        <v>6.2757359912142796</v>
      </c>
      <c r="F274" s="38">
        <f t="shared" si="619"/>
        <v>6.1846100939401252</v>
      </c>
      <c r="G274" s="38">
        <f t="shared" si="619"/>
        <v>5.5355684986487343</v>
      </c>
      <c r="H274" s="38">
        <f t="shared" si="619"/>
        <v>8.8661884663053687</v>
      </c>
      <c r="I274" s="38">
        <f t="shared" si="619"/>
        <v>7.2491231533661162</v>
      </c>
      <c r="J274" s="38">
        <f t="shared" si="619"/>
        <v>5.2062487581318289</v>
      </c>
      <c r="K274" s="38">
        <f t="shared" si="619"/>
        <v>11.883528291668734</v>
      </c>
      <c r="L274" s="38">
        <f t="shared" si="619"/>
        <v>6.7521236464601087</v>
      </c>
      <c r="M274" s="38">
        <f t="shared" si="619"/>
        <v>6.6200675679078866</v>
      </c>
      <c r="N274" s="38">
        <f>N266/-N240</f>
        <v>7.5522443529743244</v>
      </c>
      <c r="O274" s="38">
        <f>O266/-O240</f>
        <v>8.1119107195239089</v>
      </c>
      <c r="P274" s="38"/>
      <c r="Q274" s="287"/>
      <c r="R274" s="287"/>
      <c r="S274" s="287"/>
      <c r="T274" s="38">
        <f t="shared" ref="T274:BE274" si="620">SUM(T266)/-SUM(Q240:T240)</f>
        <v>6.2702806653128951</v>
      </c>
      <c r="U274" s="38">
        <f t="shared" si="620"/>
        <v>6.2835070068590637</v>
      </c>
      <c r="V274" s="38">
        <f t="shared" si="620"/>
        <v>6.230819670819189</v>
      </c>
      <c r="W274" s="38">
        <f t="shared" si="620"/>
        <v>6.2603043352750403</v>
      </c>
      <c r="X274" s="38">
        <f t="shared" si="620"/>
        <v>6.1875629884364267</v>
      </c>
      <c r="Y274" s="38">
        <f t="shared" si="620"/>
        <v>5.9436616702365885</v>
      </c>
      <c r="Z274" s="38">
        <f t="shared" si="620"/>
        <v>5.6902608851389678</v>
      </c>
      <c r="AA274" s="38">
        <f t="shared" si="620"/>
        <v>5.5326377662440231</v>
      </c>
      <c r="AB274" s="38">
        <f t="shared" si="620"/>
        <v>5.5259001560422423</v>
      </c>
      <c r="AC274" s="38">
        <f t="shared" si="620"/>
        <v>5.7159246829062669</v>
      </c>
      <c r="AD274" s="38">
        <f t="shared" si="620"/>
        <v>5.9318218429281302</v>
      </c>
      <c r="AE274" s="38">
        <f t="shared" si="620"/>
        <v>6.5521646041049513</v>
      </c>
      <c r="AF274" s="38">
        <f t="shared" si="620"/>
        <v>8.7158781011953099</v>
      </c>
      <c r="AG274" s="38">
        <f t="shared" si="620"/>
        <v>9.1354424885259853</v>
      </c>
      <c r="AH274" s="38">
        <f t="shared" si="620"/>
        <v>9.565408351998812</v>
      </c>
      <c r="AI274" s="38">
        <f t="shared" si="620"/>
        <v>9.0528831460872912</v>
      </c>
      <c r="AJ274" s="38">
        <f t="shared" si="620"/>
        <v>7.264760771721499</v>
      </c>
      <c r="AK274" s="38">
        <f t="shared" si="620"/>
        <v>7.4695116913054065</v>
      </c>
      <c r="AL274" s="38">
        <f t="shared" si="620"/>
        <v>7.9193085388396804</v>
      </c>
      <c r="AM274" s="38">
        <f t="shared" si="620"/>
        <v>5.1198215506495837</v>
      </c>
      <c r="AN274" s="38">
        <f t="shared" si="620"/>
        <v>5.2293876289678183</v>
      </c>
      <c r="AO274" s="38">
        <f t="shared" si="620"/>
        <v>4.9007183641249839</v>
      </c>
      <c r="AP274" s="38">
        <f t="shared" si="620"/>
        <v>8.0533245337284516</v>
      </c>
      <c r="AQ274" s="38">
        <f t="shared" si="620"/>
        <v>12.743181958662134</v>
      </c>
      <c r="AR274" s="38">
        <f t="shared" si="620"/>
        <v>12.054300129351349</v>
      </c>
      <c r="AS274" s="38">
        <f t="shared" si="620"/>
        <v>10.927031408890667</v>
      </c>
      <c r="AT274" s="38">
        <f t="shared" si="620"/>
        <v>6.1810202603049786</v>
      </c>
      <c r="AU274" s="38">
        <f t="shared" si="620"/>
        <v>5.7864248176908175</v>
      </c>
      <c r="AV274" s="38">
        <f t="shared" si="620"/>
        <v>6.7015794112244391</v>
      </c>
      <c r="AW274" s="38">
        <f t="shared" si="620"/>
        <v>7.2717581629274628</v>
      </c>
      <c r="AX274" s="38">
        <f t="shared" si="620"/>
        <v>7.3980802951559799</v>
      </c>
      <c r="AY274" s="38">
        <f t="shared" si="620"/>
        <v>7.3503066582693384</v>
      </c>
      <c r="AZ274" s="38">
        <f t="shared" si="620"/>
        <v>6.6148109283870919</v>
      </c>
      <c r="BA274" s="38">
        <f t="shared" si="620"/>
        <v>6.7004867097429166</v>
      </c>
      <c r="BB274" s="38">
        <f>SUM(BB266)/-SUM(AY240:BB240)</f>
        <v>6.9010733227061243</v>
      </c>
      <c r="BC274" s="38">
        <f t="shared" si="620"/>
        <v>7.0239818556025408</v>
      </c>
      <c r="BD274" s="38">
        <f t="shared" si="620"/>
        <v>7.5794465926566073</v>
      </c>
      <c r="BE274" s="38">
        <f t="shared" si="620"/>
        <v>8.1146203378055848</v>
      </c>
    </row>
    <row r="275" spans="2:57">
      <c r="C275" s="38"/>
      <c r="D275" s="38"/>
      <c r="E275" s="38"/>
      <c r="F275" s="38"/>
      <c r="G275" s="38"/>
      <c r="H275" s="38"/>
      <c r="I275" s="38"/>
      <c r="J275" s="38"/>
      <c r="K275" s="38"/>
      <c r="L275" s="38"/>
      <c r="M275" s="38"/>
      <c r="N275" s="38"/>
      <c r="O275" s="38"/>
      <c r="P275" s="38"/>
      <c r="Q275" s="38"/>
      <c r="R275" s="38"/>
      <c r="S275" s="38"/>
      <c r="T275" s="38"/>
      <c r="U275" s="38"/>
      <c r="V275" s="38"/>
      <c r="W275" s="38"/>
      <c r="X275" s="38"/>
      <c r="Y275" s="38"/>
      <c r="Z275" s="38"/>
      <c r="AA275" s="38"/>
      <c r="AB275" s="38"/>
      <c r="AC275" s="38"/>
      <c r="AD275" s="38"/>
      <c r="AE275" s="38"/>
      <c r="AF275" s="38"/>
      <c r="AG275" s="38"/>
      <c r="AH275" s="38"/>
      <c r="AI275" s="38"/>
      <c r="AJ275" s="38"/>
      <c r="AK275" s="38"/>
      <c r="AL275" s="38"/>
      <c r="AM275" s="38"/>
      <c r="AN275" s="38"/>
      <c r="AO275" s="38"/>
      <c r="AP275" s="38"/>
      <c r="AQ275" s="38"/>
      <c r="AR275" s="38"/>
      <c r="AS275" s="38"/>
      <c r="AT275" s="38"/>
      <c r="AU275" s="38"/>
      <c r="AV275" s="38"/>
      <c r="AW275" s="38"/>
      <c r="AX275" s="38"/>
      <c r="AY275" s="38"/>
      <c r="AZ275" s="38"/>
      <c r="BA275" s="38"/>
      <c r="BB275" s="38"/>
      <c r="BC275" s="38"/>
      <c r="BD275" s="38"/>
      <c r="BE275" s="38"/>
    </row>
    <row r="276" spans="2:57" s="5" customFormat="1" ht="13.5" thickBot="1">
      <c r="B276" s="50" t="str">
        <f>+B139</f>
        <v xml:space="preserve">Gearing (Net debt / Equity) </v>
      </c>
      <c r="C276" s="368">
        <f t="shared" ref="C276:M276" si="621">C261/C259</f>
        <v>1.1215467187818695</v>
      </c>
      <c r="D276" s="368">
        <f t="shared" si="621"/>
        <v>1.608733395350598</v>
      </c>
      <c r="E276" s="368">
        <f t="shared" si="621"/>
        <v>1.1753118106225895</v>
      </c>
      <c r="F276" s="368">
        <f t="shared" si="621"/>
        <v>1.1620537629887329</v>
      </c>
      <c r="G276" s="368">
        <f t="shared" si="621"/>
        <v>1.2696161978110829</v>
      </c>
      <c r="H276" s="368">
        <f t="shared" si="621"/>
        <v>1.2691015003661399</v>
      </c>
      <c r="I276" s="368">
        <f t="shared" si="621"/>
        <v>1.4393654067252493</v>
      </c>
      <c r="J276" s="368">
        <f t="shared" si="621"/>
        <v>1.7360744161756227</v>
      </c>
      <c r="K276" s="368">
        <f t="shared" si="621"/>
        <v>1.6425235069470272</v>
      </c>
      <c r="L276" s="368">
        <f t="shared" si="621"/>
        <v>1.2679875446935858</v>
      </c>
      <c r="M276" s="368">
        <f t="shared" si="621"/>
        <v>1.4228769128355458</v>
      </c>
      <c r="N276" s="368">
        <f>N261/N259</f>
        <v>1.0481549092755424</v>
      </c>
      <c r="O276" s="368">
        <f>O261/O259</f>
        <v>1.0428729719368464</v>
      </c>
      <c r="P276" s="326"/>
      <c r="Q276" s="368">
        <f>Q261/Q259</f>
        <v>1.497993176763855</v>
      </c>
      <c r="R276" s="368">
        <f t="shared" ref="R276:BB276" si="622">R261/R259</f>
        <v>1.5023449590126592</v>
      </c>
      <c r="S276" s="368">
        <f t="shared" si="622"/>
        <v>1.1416526959295841</v>
      </c>
      <c r="T276" s="368">
        <f t="shared" si="622"/>
        <v>1.1753118106225895</v>
      </c>
      <c r="U276" s="368">
        <f t="shared" si="622"/>
        <v>1.1724726508295416</v>
      </c>
      <c r="V276" s="368">
        <f t="shared" si="622"/>
        <v>1.2142001920313703</v>
      </c>
      <c r="W276" s="368">
        <f t="shared" si="622"/>
        <v>1.1804753270163169</v>
      </c>
      <c r="X276" s="368">
        <f t="shared" si="622"/>
        <v>1.1620537629887329</v>
      </c>
      <c r="Y276" s="368">
        <f t="shared" si="622"/>
        <v>1.1675081343303579</v>
      </c>
      <c r="Z276" s="368">
        <f t="shared" si="622"/>
        <v>1.2281392185972104</v>
      </c>
      <c r="AA276" s="368">
        <f t="shared" si="622"/>
        <v>1.2718630895102929</v>
      </c>
      <c r="AB276" s="368">
        <f t="shared" si="622"/>
        <v>1.2696161978110829</v>
      </c>
      <c r="AC276" s="368">
        <f t="shared" si="622"/>
        <v>1.4853366872823748</v>
      </c>
      <c r="AD276" s="368">
        <f t="shared" si="622"/>
        <v>1.5367488012462696</v>
      </c>
      <c r="AE276" s="368">
        <f t="shared" si="622"/>
        <v>1.5650288785676534</v>
      </c>
      <c r="AF276" s="368">
        <f t="shared" si="622"/>
        <v>1.2691015003661399</v>
      </c>
      <c r="AG276" s="368">
        <f t="shared" si="622"/>
        <v>1.3527855320747419</v>
      </c>
      <c r="AH276" s="368">
        <f t="shared" si="622"/>
        <v>1.3451889406321171</v>
      </c>
      <c r="AI276" s="368">
        <f t="shared" si="622"/>
        <v>1.3786413664466171</v>
      </c>
      <c r="AJ276" s="368">
        <f t="shared" si="622"/>
        <v>1.4393654067252493</v>
      </c>
      <c r="AK276" s="368">
        <f t="shared" si="622"/>
        <v>1.564900534039469</v>
      </c>
      <c r="AL276" s="368">
        <f t="shared" si="622"/>
        <v>1.4963490263459034</v>
      </c>
      <c r="AM276" s="368">
        <f t="shared" si="622"/>
        <v>1.5126685873975134</v>
      </c>
      <c r="AN276" s="368">
        <f t="shared" si="622"/>
        <v>1.7360744161756227</v>
      </c>
      <c r="AO276" s="368">
        <f t="shared" si="622"/>
        <v>1.6281226747741513</v>
      </c>
      <c r="AP276" s="368">
        <f t="shared" si="622"/>
        <v>1.6515034332303584</v>
      </c>
      <c r="AQ276" s="368">
        <f t="shared" si="622"/>
        <v>1.6851971664401899</v>
      </c>
      <c r="AR276" s="368">
        <f t="shared" si="622"/>
        <v>1.6425235069470272</v>
      </c>
      <c r="AS276" s="368">
        <f t="shared" si="622"/>
        <v>1.6679082783690138</v>
      </c>
      <c r="AT276" s="368">
        <f t="shared" si="622"/>
        <v>1.6627608631162394</v>
      </c>
      <c r="AU276" s="368">
        <f t="shared" si="622"/>
        <v>1.6199584990684688</v>
      </c>
      <c r="AV276" s="368">
        <f t="shared" si="622"/>
        <v>1.2679875446935858</v>
      </c>
      <c r="AW276" s="368">
        <f t="shared" si="622"/>
        <v>1.3979855838152584</v>
      </c>
      <c r="AX276" s="368">
        <f t="shared" si="622"/>
        <v>1.5688316847856398</v>
      </c>
      <c r="AY276" s="368">
        <f t="shared" si="622"/>
        <v>1.4246106013400825</v>
      </c>
      <c r="AZ276" s="368">
        <f t="shared" si="622"/>
        <v>1.4228769128355458</v>
      </c>
      <c r="BA276" s="368">
        <f t="shared" si="622"/>
        <v>1.3317727725800146</v>
      </c>
      <c r="BB276" s="368">
        <f t="shared" si="622"/>
        <v>1.2850880312844279</v>
      </c>
      <c r="BC276" s="368">
        <f>BC261/BC259</f>
        <v>1.065749893291184</v>
      </c>
      <c r="BD276" s="368">
        <f>BD261/BD259</f>
        <v>1.0481549092755424</v>
      </c>
      <c r="BE276" s="368">
        <f>BE261/BE259</f>
        <v>1.0428729719368464</v>
      </c>
    </row>
    <row r="277" spans="2:57" ht="13.5" thickTop="1"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U277" s="6"/>
      <c r="V277" s="6"/>
      <c r="Y277" s="6"/>
      <c r="Z277" s="6"/>
      <c r="AA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6"/>
      <c r="AO277" s="6"/>
      <c r="AP277" s="6"/>
      <c r="AQ277" s="6"/>
      <c r="AR277" s="6"/>
      <c r="AS277" s="6"/>
      <c r="AT277" s="6"/>
      <c r="AU277" s="6"/>
      <c r="AV277" s="6"/>
      <c r="AW277" s="6"/>
      <c r="AX277" s="6"/>
      <c r="AY277" s="6"/>
      <c r="AZ277" s="6"/>
      <c r="BA277" s="6"/>
      <c r="BB277" s="6"/>
      <c r="BC277" s="6"/>
      <c r="BD277" s="6"/>
      <c r="BE277" s="6"/>
    </row>
    <row r="278" spans="2:57" s="5" customFormat="1">
      <c r="C278" s="37"/>
      <c r="D278" s="37"/>
      <c r="E278" s="37"/>
      <c r="F278" s="37"/>
      <c r="G278" s="37"/>
      <c r="H278" s="37"/>
      <c r="I278" s="37"/>
      <c r="J278" s="37"/>
      <c r="K278" s="37"/>
      <c r="L278" s="37"/>
      <c r="M278" s="37"/>
      <c r="N278" s="37"/>
      <c r="O278" s="37"/>
      <c r="P278" s="37"/>
      <c r="Q278" s="37"/>
      <c r="R278" s="37"/>
      <c r="S278" s="37"/>
      <c r="T278" s="37"/>
      <c r="U278" s="37"/>
      <c r="V278" s="37"/>
      <c r="W278" s="37"/>
      <c r="X278" s="37"/>
      <c r="Y278" s="37"/>
      <c r="Z278" s="37"/>
      <c r="AA278" s="37"/>
      <c r="AB278" s="37"/>
      <c r="AC278" s="37"/>
      <c r="AD278" s="37"/>
      <c r="AE278" s="37"/>
      <c r="AF278" s="37"/>
      <c r="AG278" s="37"/>
      <c r="AH278" s="37"/>
      <c r="AI278" s="37"/>
      <c r="AJ278" s="37"/>
      <c r="AK278" s="37"/>
      <c r="AL278" s="37"/>
      <c r="AM278" s="37"/>
      <c r="AO278" s="37"/>
      <c r="AP278" s="37"/>
      <c r="AQ278" s="37"/>
      <c r="AR278" s="37"/>
      <c r="AS278" s="37"/>
      <c r="AT278" s="37"/>
      <c r="AU278" s="37"/>
      <c r="AV278" s="37"/>
      <c r="AW278" s="37"/>
      <c r="AX278" s="37"/>
      <c r="AY278" s="37"/>
      <c r="AZ278" s="37"/>
      <c r="BA278" s="37"/>
      <c r="BB278" s="37"/>
      <c r="BC278" s="37"/>
      <c r="BD278" s="37"/>
      <c r="BE278" s="37"/>
    </row>
  </sheetData>
  <pageMargins left="0.51181102362204722" right="0.47244094488188981" top="0.23622047244094491" bottom="0.43307086614173229" header="0.51181102362204722" footer="0.23622047244094491"/>
  <pageSetup paperSize="9" scale="83" fitToHeight="0" orientation="portrait" r:id="rId1"/>
  <headerFooter alignWithMargins="0">
    <oddFooter>&amp;L&amp;8U.S. Bank Loan Team&amp;C&amp;"Arial,Bold"&amp;8- Confidential -&amp;R&amp;8&amp;D &amp;T</oddFooter>
  </headerFooter>
  <rowBreaks count="1" manualBreakCount="1">
    <brk id="90" min="1" max="10" man="1"/>
  </rowBreaks>
  <ignoredErrors>
    <ignoredError sqref="U212:AB213 U215:AB217 H207 AC212:AF213 AC215:AF217" formulaRange="1"/>
    <ignoredError sqref="U214:AB214 AC214:AF214" formula="1" formulaRange="1"/>
    <ignoredError sqref="Q214:T214 C214:G214 Q8:AJ22 H214:I219 AG214:AJ214 Q62:AJ62 AJ207 Q66:AJ66 Q63:AJ65 Q67:AJ72 Q144:AL149 AK214:AL215 C144:I149" formula="1"/>
  </ignoredError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7AF0C-EC79-4137-87CA-4E43E3C4EC65}">
  <dimension ref="B2:BH177"/>
  <sheetViews>
    <sheetView showGridLines="0" zoomScaleNormal="100" workbookViewId="0">
      <pane xSplit="2" ySplit="6" topLeftCell="M18" activePane="bottomRight" state="frozen"/>
      <selection pane="bottomRight" activeCell="BH2" sqref="BH2"/>
      <selection pane="bottomLeft" activeCell="G36" sqref="G36"/>
      <selection pane="topRight" activeCell="G36" sqref="G36"/>
    </sheetView>
  </sheetViews>
  <sheetFormatPr defaultColWidth="9.28515625" defaultRowHeight="12.75" outlineLevelRow="1" outlineLevelCol="1"/>
  <cols>
    <col min="1" max="1" width="2.7109375" style="1" customWidth="1"/>
    <col min="2" max="2" width="50.7109375" style="1" customWidth="1"/>
    <col min="3" max="8" width="12.7109375" style="1" hidden="1" customWidth="1" outlineLevel="1"/>
    <col min="9" max="10" width="12.7109375" style="1" hidden="1" customWidth="1" outlineLevel="1" collapsed="1"/>
    <col min="11" max="12" width="12.7109375" style="1" hidden="1" customWidth="1" outlineLevel="1"/>
    <col min="13" max="13" width="12.7109375" style="1" customWidth="1" collapsed="1"/>
    <col min="14" max="17" width="12.7109375" style="1" customWidth="1"/>
    <col min="18" max="41" width="12.7109375" style="1" hidden="1" customWidth="1" outlineLevel="1"/>
    <col min="42" max="42" width="12.7109375" style="1" hidden="1" customWidth="1" outlineLevel="1" collapsed="1"/>
    <col min="43" max="46" width="12.7109375" style="1" hidden="1" customWidth="1" outlineLevel="1"/>
    <col min="47" max="47" width="12.7109375" style="1" hidden="1" customWidth="1" outlineLevel="1" collapsed="1"/>
    <col min="48" max="49" width="12.7109375" style="1" hidden="1" customWidth="1" outlineLevel="1"/>
    <col min="50" max="50" width="12.7109375" style="1" customWidth="1" collapsed="1"/>
    <col min="51" max="62" width="12.7109375" style="1" customWidth="1"/>
    <col min="63" max="16384" width="9.28515625" style="1"/>
  </cols>
  <sheetData>
    <row r="2" spans="2:60" ht="21">
      <c r="B2" s="10" t="s">
        <v>262</v>
      </c>
      <c r="C2" s="307" t="s">
        <v>263</v>
      </c>
      <c r="D2" s="307" t="s">
        <v>263</v>
      </c>
      <c r="E2" s="307" t="s">
        <v>263</v>
      </c>
      <c r="F2" s="308" t="s">
        <v>263</v>
      </c>
      <c r="G2" s="308" t="s">
        <v>263</v>
      </c>
      <c r="H2" s="308" t="s">
        <v>263</v>
      </c>
      <c r="I2" s="308" t="s">
        <v>263</v>
      </c>
      <c r="J2" s="308" t="s">
        <v>263</v>
      </c>
      <c r="K2" s="308" t="s">
        <v>263</v>
      </c>
      <c r="L2" s="308" t="s">
        <v>263</v>
      </c>
      <c r="M2" s="308" t="s">
        <v>263</v>
      </c>
      <c r="N2" s="308" t="s">
        <v>263</v>
      </c>
      <c r="O2" s="308" t="s">
        <v>263</v>
      </c>
      <c r="P2" s="109" t="s">
        <v>264</v>
      </c>
      <c r="Q2" s="304"/>
      <c r="R2" s="307" t="s">
        <v>266</v>
      </c>
      <c r="S2" s="307" t="s">
        <v>266</v>
      </c>
      <c r="T2" s="307" t="s">
        <v>266</v>
      </c>
      <c r="U2" s="307" t="s">
        <v>266</v>
      </c>
      <c r="V2" s="307" t="s">
        <v>266</v>
      </c>
      <c r="W2" s="307" t="s">
        <v>266</v>
      </c>
      <c r="X2" s="307" t="s">
        <v>266</v>
      </c>
      <c r="Y2" s="307" t="s">
        <v>266</v>
      </c>
      <c r="Z2" s="307" t="s">
        <v>266</v>
      </c>
      <c r="AA2" s="307" t="s">
        <v>266</v>
      </c>
      <c r="AB2" s="307" t="s">
        <v>266</v>
      </c>
      <c r="AC2" s="307" t="s">
        <v>266</v>
      </c>
      <c r="AD2" s="307" t="s">
        <v>266</v>
      </c>
      <c r="AE2" s="307" t="s">
        <v>266</v>
      </c>
      <c r="AF2" s="307" t="s">
        <v>266</v>
      </c>
      <c r="AG2" s="307" t="s">
        <v>266</v>
      </c>
      <c r="AH2" s="307" t="s">
        <v>266</v>
      </c>
      <c r="AI2" s="307" t="s">
        <v>266</v>
      </c>
      <c r="AJ2" s="307" t="s">
        <v>266</v>
      </c>
      <c r="AK2" s="307" t="s">
        <v>266</v>
      </c>
      <c r="AL2" s="307" t="s">
        <v>266</v>
      </c>
      <c r="AM2" s="307" t="s">
        <v>266</v>
      </c>
      <c r="AN2" s="307" t="s">
        <v>266</v>
      </c>
      <c r="AO2" s="307" t="s">
        <v>266</v>
      </c>
      <c r="AP2" s="307" t="s">
        <v>266</v>
      </c>
      <c r="AQ2" s="307" t="s">
        <v>266</v>
      </c>
      <c r="AR2" s="307" t="s">
        <v>266</v>
      </c>
      <c r="AS2" s="307" t="s">
        <v>266</v>
      </c>
      <c r="AT2" s="307" t="s">
        <v>266</v>
      </c>
      <c r="AU2" s="307" t="s">
        <v>266</v>
      </c>
      <c r="AV2" s="307" t="s">
        <v>266</v>
      </c>
      <c r="AW2" s="307" t="s">
        <v>266</v>
      </c>
      <c r="AX2" s="307" t="s">
        <v>266</v>
      </c>
      <c r="AY2" s="307" t="s">
        <v>266</v>
      </c>
      <c r="AZ2" s="308" t="s">
        <v>266</v>
      </c>
      <c r="BA2" s="308" t="s">
        <v>266</v>
      </c>
      <c r="BB2" s="307" t="s">
        <v>266</v>
      </c>
      <c r="BC2" s="307" t="s">
        <v>266</v>
      </c>
      <c r="BD2" s="308" t="s">
        <v>266</v>
      </c>
      <c r="BE2" s="308" t="s">
        <v>266</v>
      </c>
      <c r="BF2" s="307" t="s">
        <v>266</v>
      </c>
    </row>
    <row r="3" spans="2:60">
      <c r="B3" s="11" t="s">
        <v>35</v>
      </c>
      <c r="C3" s="13">
        <v>41975</v>
      </c>
      <c r="D3" s="13">
        <v>42340</v>
      </c>
      <c r="E3" s="13">
        <v>42707</v>
      </c>
      <c r="F3" s="14">
        <v>43073</v>
      </c>
      <c r="G3" s="14">
        <v>43438</v>
      </c>
      <c r="H3" s="14">
        <v>43438</v>
      </c>
      <c r="I3" s="14">
        <v>43803</v>
      </c>
      <c r="J3" s="14">
        <v>44169</v>
      </c>
      <c r="K3" s="14">
        <v>44534</v>
      </c>
      <c r="L3" s="14">
        <v>44926</v>
      </c>
      <c r="M3" s="14">
        <v>45291</v>
      </c>
      <c r="N3" s="14">
        <v>45657</v>
      </c>
      <c r="O3" s="14">
        <v>46022</v>
      </c>
      <c r="P3" s="14">
        <f>BF3</f>
        <v>46112</v>
      </c>
      <c r="Q3" s="305"/>
      <c r="R3" s="13">
        <v>42437</v>
      </c>
      <c r="S3" s="13">
        <v>42527</v>
      </c>
      <c r="T3" s="13">
        <v>42622</v>
      </c>
      <c r="U3" s="13">
        <v>42714</v>
      </c>
      <c r="V3" s="13">
        <v>42801</v>
      </c>
      <c r="W3" s="13">
        <v>42892</v>
      </c>
      <c r="X3" s="13">
        <v>42987</v>
      </c>
      <c r="Y3" s="13">
        <v>43079</v>
      </c>
      <c r="Z3" s="13">
        <v>43190</v>
      </c>
      <c r="AA3" s="13">
        <v>43281</v>
      </c>
      <c r="AB3" s="13">
        <v>43373</v>
      </c>
      <c r="AC3" s="13">
        <v>43465</v>
      </c>
      <c r="AD3" s="13">
        <v>43555</v>
      </c>
      <c r="AE3" s="13">
        <v>43646</v>
      </c>
      <c r="AF3" s="13">
        <v>43738</v>
      </c>
      <c r="AG3" s="13">
        <v>43830</v>
      </c>
      <c r="AH3" s="13">
        <v>43921</v>
      </c>
      <c r="AI3" s="13">
        <v>44012</v>
      </c>
      <c r="AJ3" s="13">
        <v>44104</v>
      </c>
      <c r="AK3" s="13">
        <v>44196</v>
      </c>
      <c r="AL3" s="13">
        <v>44286</v>
      </c>
      <c r="AM3" s="13">
        <v>44377</v>
      </c>
      <c r="AN3" s="13">
        <v>44469</v>
      </c>
      <c r="AO3" s="13">
        <v>44561</v>
      </c>
      <c r="AP3" s="13">
        <v>44651</v>
      </c>
      <c r="AQ3" s="13">
        <v>44742</v>
      </c>
      <c r="AR3" s="13">
        <v>44834</v>
      </c>
      <c r="AS3" s="13">
        <v>44926</v>
      </c>
      <c r="AT3" s="13">
        <v>45016</v>
      </c>
      <c r="AU3" s="13">
        <v>45107</v>
      </c>
      <c r="AV3" s="13">
        <v>45199</v>
      </c>
      <c r="AW3" s="13">
        <v>45291</v>
      </c>
      <c r="AX3" s="13">
        <v>45382</v>
      </c>
      <c r="AY3" s="13">
        <v>45473</v>
      </c>
      <c r="AZ3" s="14">
        <v>45565</v>
      </c>
      <c r="BA3" s="14">
        <v>45657</v>
      </c>
      <c r="BB3" s="13">
        <v>45747</v>
      </c>
      <c r="BC3" s="13">
        <v>45838</v>
      </c>
      <c r="BD3" s="14">
        <v>45930</v>
      </c>
      <c r="BE3" s="14">
        <v>46022</v>
      </c>
      <c r="BF3" s="13">
        <v>46112</v>
      </c>
    </row>
    <row r="4" spans="2:60">
      <c r="B4" s="11"/>
      <c r="C4" s="14" t="s">
        <v>268</v>
      </c>
      <c r="D4" s="14" t="s">
        <v>268</v>
      </c>
      <c r="E4" s="14" t="s">
        <v>268</v>
      </c>
      <c r="F4" s="14" t="s">
        <v>268</v>
      </c>
      <c r="G4" s="14" t="s">
        <v>268</v>
      </c>
      <c r="H4" s="14" t="s">
        <v>268</v>
      </c>
      <c r="I4" s="14" t="s">
        <v>268</v>
      </c>
      <c r="J4" s="14" t="s">
        <v>268</v>
      </c>
      <c r="K4" s="14" t="s">
        <v>268</v>
      </c>
      <c r="L4" s="14" t="s">
        <v>268</v>
      </c>
      <c r="M4" s="14" t="s">
        <v>268</v>
      </c>
      <c r="N4" s="14" t="s">
        <v>268</v>
      </c>
      <c r="O4" s="14" t="s">
        <v>268</v>
      </c>
      <c r="P4" s="14" t="s">
        <v>268</v>
      </c>
      <c r="Q4" s="305"/>
      <c r="R4" s="14" t="s">
        <v>268</v>
      </c>
      <c r="S4" s="14" t="s">
        <v>268</v>
      </c>
      <c r="T4" s="14" t="s">
        <v>268</v>
      </c>
      <c r="U4" s="14" t="s">
        <v>268</v>
      </c>
      <c r="V4" s="14" t="s">
        <v>268</v>
      </c>
      <c r="W4" s="14" t="s">
        <v>268</v>
      </c>
      <c r="X4" s="14" t="s">
        <v>268</v>
      </c>
      <c r="Y4" s="14" t="s">
        <v>268</v>
      </c>
      <c r="Z4" s="14" t="s">
        <v>268</v>
      </c>
      <c r="AA4" s="14" t="s">
        <v>268</v>
      </c>
      <c r="AB4" s="14" t="s">
        <v>268</v>
      </c>
      <c r="AC4" s="14" t="s">
        <v>268</v>
      </c>
      <c r="AD4" s="14" t="s">
        <v>268</v>
      </c>
      <c r="AE4" s="14" t="s">
        <v>268</v>
      </c>
      <c r="AF4" s="14" t="s">
        <v>268</v>
      </c>
      <c r="AG4" s="14" t="s">
        <v>268</v>
      </c>
      <c r="AH4" s="14" t="s">
        <v>268</v>
      </c>
      <c r="AI4" s="14" t="s">
        <v>268</v>
      </c>
      <c r="AJ4" s="14" t="s">
        <v>268</v>
      </c>
      <c r="AK4" s="14" t="s">
        <v>268</v>
      </c>
      <c r="AL4" s="14" t="s">
        <v>268</v>
      </c>
      <c r="AM4" s="14" t="s">
        <v>268</v>
      </c>
      <c r="AN4" s="14" t="s">
        <v>268</v>
      </c>
      <c r="AO4" s="14" t="s">
        <v>268</v>
      </c>
      <c r="AP4" s="14" t="s">
        <v>268</v>
      </c>
      <c r="AQ4" s="14" t="s">
        <v>268</v>
      </c>
      <c r="AR4" s="14" t="s">
        <v>268</v>
      </c>
      <c r="AS4" s="14" t="s">
        <v>268</v>
      </c>
      <c r="AT4" s="14" t="s">
        <v>268</v>
      </c>
      <c r="AU4" s="14" t="s">
        <v>268</v>
      </c>
      <c r="AV4" s="14" t="s">
        <v>268</v>
      </c>
      <c r="AW4" s="14" t="s">
        <v>268</v>
      </c>
      <c r="AX4" s="14" t="s">
        <v>268</v>
      </c>
      <c r="AY4" s="14" t="s">
        <v>268</v>
      </c>
      <c r="AZ4" s="14" t="s">
        <v>268</v>
      </c>
      <c r="BA4" s="14" t="s">
        <v>268</v>
      </c>
      <c r="BB4" s="14" t="s">
        <v>268</v>
      </c>
      <c r="BC4" s="14" t="s">
        <v>268</v>
      </c>
      <c r="BD4" s="14" t="s">
        <v>268</v>
      </c>
      <c r="BE4" s="14" t="s">
        <v>268</v>
      </c>
      <c r="BF4" s="14" t="s">
        <v>268</v>
      </c>
    </row>
    <row r="5" spans="2:60">
      <c r="B5" s="5"/>
      <c r="C5" s="21" t="s">
        <v>269</v>
      </c>
      <c r="D5" s="21" t="s">
        <v>269</v>
      </c>
      <c r="E5" s="21" t="s">
        <v>269</v>
      </c>
      <c r="F5" s="21" t="s">
        <v>269</v>
      </c>
      <c r="G5" s="21" t="s">
        <v>269</v>
      </c>
      <c r="H5" s="21" t="s">
        <v>269</v>
      </c>
      <c r="I5" s="21" t="s">
        <v>269</v>
      </c>
      <c r="J5" s="21" t="s">
        <v>269</v>
      </c>
      <c r="K5" s="21" t="s">
        <v>269</v>
      </c>
      <c r="L5" s="21" t="s">
        <v>269</v>
      </c>
      <c r="M5" s="21" t="s">
        <v>269</v>
      </c>
      <c r="N5" s="21" t="s">
        <v>269</v>
      </c>
      <c r="O5" s="21" t="s">
        <v>269</v>
      </c>
      <c r="P5" s="344" t="s">
        <v>264</v>
      </c>
      <c r="Q5" s="305"/>
      <c r="R5" s="21" t="s">
        <v>270</v>
      </c>
      <c r="S5" s="21" t="s">
        <v>271</v>
      </c>
      <c r="T5" s="21" t="s">
        <v>272</v>
      </c>
      <c r="U5" s="21" t="s">
        <v>273</v>
      </c>
      <c r="V5" s="21" t="s">
        <v>270</v>
      </c>
      <c r="W5" s="21" t="s">
        <v>271</v>
      </c>
      <c r="X5" s="21" t="s">
        <v>272</v>
      </c>
      <c r="Y5" s="21" t="s">
        <v>273</v>
      </c>
      <c r="Z5" s="21" t="s">
        <v>270</v>
      </c>
      <c r="AA5" s="21" t="s">
        <v>271</v>
      </c>
      <c r="AB5" s="21" t="s">
        <v>272</v>
      </c>
      <c r="AC5" s="21" t="s">
        <v>273</v>
      </c>
      <c r="AD5" s="21" t="s">
        <v>270</v>
      </c>
      <c r="AE5" s="21" t="s">
        <v>271</v>
      </c>
      <c r="AF5" s="21" t="s">
        <v>272</v>
      </c>
      <c r="AG5" s="21" t="s">
        <v>273</v>
      </c>
      <c r="AH5" s="21" t="s">
        <v>270</v>
      </c>
      <c r="AI5" s="21" t="s">
        <v>271</v>
      </c>
      <c r="AJ5" s="21" t="s">
        <v>272</v>
      </c>
      <c r="AK5" s="21" t="s">
        <v>273</v>
      </c>
      <c r="AL5" s="21" t="s">
        <v>270</v>
      </c>
      <c r="AM5" s="21" t="s">
        <v>271</v>
      </c>
      <c r="AN5" s="21" t="s">
        <v>272</v>
      </c>
      <c r="AO5" s="21" t="s">
        <v>273</v>
      </c>
      <c r="AP5" s="21" t="s">
        <v>270</v>
      </c>
      <c r="AQ5" s="21" t="s">
        <v>271</v>
      </c>
      <c r="AR5" s="21" t="s">
        <v>272</v>
      </c>
      <c r="AS5" s="21" t="s">
        <v>273</v>
      </c>
      <c r="AT5" s="21" t="s">
        <v>270</v>
      </c>
      <c r="AU5" s="21" t="s">
        <v>271</v>
      </c>
      <c r="AV5" s="21" t="s">
        <v>272</v>
      </c>
      <c r="AW5" s="21" t="s">
        <v>273</v>
      </c>
      <c r="AX5" s="21" t="s">
        <v>270</v>
      </c>
      <c r="AY5" s="21" t="s">
        <v>271</v>
      </c>
      <c r="AZ5" s="21" t="s">
        <v>272</v>
      </c>
      <c r="BA5" s="21" t="s">
        <v>273</v>
      </c>
      <c r="BB5" s="21" t="s">
        <v>270</v>
      </c>
      <c r="BC5" s="21" t="s">
        <v>271</v>
      </c>
      <c r="BD5" s="21" t="s">
        <v>272</v>
      </c>
      <c r="BE5" s="21" t="s">
        <v>273</v>
      </c>
      <c r="BF5" s="21" t="s">
        <v>270</v>
      </c>
      <c r="BG5" s="21"/>
      <c r="BH5" s="21"/>
    </row>
    <row r="6" spans="2:60">
      <c r="B6" s="11"/>
      <c r="C6" s="306"/>
      <c r="D6" s="306"/>
      <c r="E6" s="306"/>
      <c r="F6" s="306"/>
      <c r="G6" s="306"/>
      <c r="H6" s="306"/>
      <c r="I6" s="306"/>
      <c r="J6" s="306"/>
      <c r="K6" s="306"/>
      <c r="L6" s="306"/>
      <c r="M6" s="306"/>
      <c r="N6" s="306"/>
      <c r="O6" s="306"/>
      <c r="P6" s="306"/>
      <c r="Q6" s="305"/>
      <c r="R6" s="306"/>
      <c r="S6" s="306"/>
      <c r="T6" s="306"/>
      <c r="U6" s="306"/>
      <c r="V6" s="306"/>
      <c r="W6" s="306"/>
      <c r="X6" s="306"/>
      <c r="Y6" s="306"/>
      <c r="Z6" s="306"/>
      <c r="AA6" s="306"/>
      <c r="AB6" s="306"/>
      <c r="AC6" s="306"/>
      <c r="AD6" s="306"/>
      <c r="AE6" s="306"/>
      <c r="AF6" s="306"/>
      <c r="AG6" s="306"/>
      <c r="AH6" s="306"/>
      <c r="AI6" s="306"/>
      <c r="AJ6" s="306"/>
      <c r="AK6" s="306"/>
      <c r="AL6" s="306"/>
      <c r="AM6" s="306"/>
      <c r="AN6" s="306"/>
      <c r="AO6" s="306"/>
      <c r="AP6" s="306"/>
      <c r="AQ6" s="306"/>
      <c r="AR6" s="306"/>
      <c r="AS6" s="306"/>
      <c r="AT6" s="306"/>
      <c r="AU6" s="306"/>
      <c r="AV6" s="306"/>
      <c r="AW6" s="306"/>
      <c r="AX6" s="306"/>
      <c r="AY6" s="306"/>
      <c r="AZ6" s="306"/>
      <c r="BA6" s="306"/>
      <c r="BB6" s="306"/>
      <c r="BC6" s="306"/>
      <c r="BD6" s="306"/>
      <c r="BE6" s="306"/>
      <c r="BF6" s="306"/>
    </row>
    <row r="7" spans="2:60" hidden="1" outlineLevel="1">
      <c r="B7" s="110" t="s">
        <v>373</v>
      </c>
      <c r="C7" s="112"/>
      <c r="D7" s="112"/>
      <c r="E7" s="112"/>
      <c r="F7" s="112"/>
      <c r="G7" s="112"/>
      <c r="H7" s="112"/>
      <c r="I7" s="112"/>
      <c r="J7" s="112"/>
      <c r="K7" s="112"/>
      <c r="L7" s="112"/>
      <c r="M7" s="112"/>
      <c r="N7" s="112"/>
      <c r="O7" s="112"/>
      <c r="P7" s="112"/>
      <c r="Q7" s="305"/>
      <c r="R7" s="112"/>
      <c r="S7" s="112"/>
      <c r="T7" s="112"/>
      <c r="U7" s="112"/>
      <c r="V7" s="112"/>
      <c r="W7" s="112"/>
      <c r="X7" s="112"/>
      <c r="Y7" s="112"/>
      <c r="Z7" s="112"/>
      <c r="AA7" s="112"/>
      <c r="AB7" s="112"/>
      <c r="AC7" s="112"/>
      <c r="AD7" s="112"/>
      <c r="AE7" s="112"/>
      <c r="AF7" s="112"/>
      <c r="AG7" s="112"/>
      <c r="AH7" s="112"/>
      <c r="AI7" s="112"/>
      <c r="AJ7" s="112"/>
      <c r="AK7" s="112"/>
      <c r="AL7" s="112"/>
      <c r="AM7" s="112"/>
      <c r="AN7" s="112"/>
      <c r="AO7" s="112"/>
      <c r="AP7" s="112"/>
      <c r="AQ7" s="112"/>
      <c r="AR7" s="112"/>
      <c r="AS7" s="112"/>
      <c r="AT7" s="112"/>
      <c r="AU7" s="112"/>
      <c r="AV7" s="112"/>
      <c r="AW7" s="112"/>
      <c r="AX7" s="112"/>
      <c r="AY7" s="112"/>
      <c r="AZ7" s="112"/>
      <c r="BA7" s="112"/>
      <c r="BB7" s="112"/>
      <c r="BC7" s="112"/>
      <c r="BD7" s="112"/>
      <c r="BE7" s="112"/>
      <c r="BF7" s="112"/>
    </row>
    <row r="8" spans="2:60" hidden="1" outlineLevel="1">
      <c r="B8" s="111" t="s">
        <v>374</v>
      </c>
      <c r="C8" s="112">
        <v>895081.70799999998</v>
      </c>
      <c r="D8" s="112">
        <v>906619.375</v>
      </c>
      <c r="E8" s="112">
        <v>884434.60100000002</v>
      </c>
      <c r="F8" s="112">
        <v>890684.32499999995</v>
      </c>
      <c r="G8" s="112">
        <v>861262.83100000001</v>
      </c>
      <c r="H8" s="112">
        <v>861262.83100000001</v>
      </c>
      <c r="I8" s="112">
        <v>839092.674</v>
      </c>
      <c r="J8" s="112">
        <v>908564.80099999998</v>
      </c>
      <c r="K8" s="112">
        <v>1069417.584</v>
      </c>
      <c r="L8" s="112">
        <v>1099807</v>
      </c>
      <c r="M8" s="268"/>
      <c r="N8" s="268"/>
      <c r="O8" s="268"/>
      <c r="P8" s="268"/>
      <c r="Q8" s="305"/>
      <c r="R8" s="112">
        <v>223641.22099999999</v>
      </c>
      <c r="S8" s="112">
        <f>440677.368-R8</f>
        <v>217036.14700000003</v>
      </c>
      <c r="T8" s="112">
        <f>658075.657-S8-R8</f>
        <v>217398.28900000002</v>
      </c>
      <c r="U8" s="144">
        <f t="shared" ref="U8:U13" si="0">E8-T8-S8-R8</f>
        <v>226358.94400000005</v>
      </c>
      <c r="V8" s="112">
        <v>219034.58600000001</v>
      </c>
      <c r="W8" s="112">
        <f>441203.792-V8</f>
        <v>222169.20600000001</v>
      </c>
      <c r="X8" s="112">
        <f>659693.959-W8-V8</f>
        <v>218490.16700000002</v>
      </c>
      <c r="Y8" s="144">
        <f t="shared" ref="Y8:Y13" si="1">F8-X8-W8-V8</f>
        <v>230990.36599999992</v>
      </c>
      <c r="Z8" s="112">
        <v>211645.114</v>
      </c>
      <c r="AA8" s="112">
        <f>425601.906-Z8</f>
        <v>213956.79200000002</v>
      </c>
      <c r="AB8" s="112">
        <f>636162.288-AA8-Z8</f>
        <v>210560.38199999993</v>
      </c>
      <c r="AC8" s="144">
        <f t="shared" ref="AC8:AC13" si="2">H8-AB8-AA8-Z8</f>
        <v>225100.54300000001</v>
      </c>
      <c r="AD8" s="112">
        <v>211447.785</v>
      </c>
      <c r="AE8" s="112">
        <f>413194.65-AD8</f>
        <v>201746.86500000002</v>
      </c>
      <c r="AF8" s="112">
        <f>623214.391-AE8-AD8</f>
        <v>210019.74099999995</v>
      </c>
      <c r="AG8" s="144">
        <f t="shared" ref="AG8:AG13" si="3">I8-AF8-AE8-AD8</f>
        <v>215878.28300000008</v>
      </c>
      <c r="AH8" s="112">
        <v>220500.88699999999</v>
      </c>
      <c r="AI8" s="112">
        <f>420918.194-AH8</f>
        <v>200417.30700000003</v>
      </c>
      <c r="AJ8" s="112">
        <f>653739.997-AH8-AI8</f>
        <v>232821.80299999996</v>
      </c>
      <c r="AK8" s="144">
        <f t="shared" ref="AK8:AK13" si="4">J8-AJ8-AI8-AH8</f>
        <v>254824.804</v>
      </c>
      <c r="AL8" s="112">
        <v>255744.43299999999</v>
      </c>
      <c r="AM8" s="112">
        <f>521914.035-AL8</f>
        <v>266169.60199999996</v>
      </c>
      <c r="AN8" s="112">
        <f>789686.56-AL8-AM8</f>
        <v>267772.52500000014</v>
      </c>
      <c r="AO8" s="144">
        <f t="shared" ref="AO8:AO13" si="5">K8-AN8-AM8-AL8</f>
        <v>279731.02399999998</v>
      </c>
      <c r="AP8" s="112">
        <v>274822.05699999997</v>
      </c>
      <c r="AQ8" s="112">
        <f>557472.167-AP8</f>
        <v>282650.11000000004</v>
      </c>
      <c r="AR8" s="112">
        <f>821812.028-AP8-AQ8</f>
        <v>264339.86100000009</v>
      </c>
      <c r="AS8" s="144">
        <f>L8-AP8-AQ8-AR8</f>
        <v>277994.97199999978</v>
      </c>
      <c r="AT8" s="112">
        <v>267004.42800000001</v>
      </c>
      <c r="AU8" s="268"/>
      <c r="AV8" s="268"/>
      <c r="AW8" s="268"/>
      <c r="AX8" s="268"/>
      <c r="AY8" s="268"/>
      <c r="AZ8" s="268"/>
      <c r="BA8" s="268"/>
      <c r="BB8" s="268"/>
      <c r="BC8" s="268"/>
      <c r="BD8" s="268"/>
      <c r="BE8" s="268"/>
      <c r="BF8" s="268"/>
    </row>
    <row r="9" spans="2:60" hidden="1" outlineLevel="1">
      <c r="B9" s="111" t="s">
        <v>375</v>
      </c>
      <c r="C9" s="112">
        <v>296488.16499999998</v>
      </c>
      <c r="D9" s="112">
        <v>307623.228</v>
      </c>
      <c r="E9" s="112">
        <v>303206.99200000003</v>
      </c>
      <c r="F9" s="112">
        <v>293852.408</v>
      </c>
      <c r="G9" s="112">
        <v>281417.26</v>
      </c>
      <c r="H9" s="112">
        <v>281417.26</v>
      </c>
      <c r="I9" s="112">
        <v>258420.2</v>
      </c>
      <c r="J9" s="112">
        <v>248479.52499999999</v>
      </c>
      <c r="K9" s="112">
        <v>266250.06400000001</v>
      </c>
      <c r="L9" s="112">
        <v>265312.75099999999</v>
      </c>
      <c r="M9" s="268"/>
      <c r="N9" s="268"/>
      <c r="O9" s="268"/>
      <c r="P9" s="268"/>
      <c r="Q9" s="305"/>
      <c r="R9" s="112">
        <v>76228.235000000001</v>
      </c>
      <c r="S9" s="112">
        <f>151926.211-R9</f>
        <v>75697.97600000001</v>
      </c>
      <c r="T9" s="112">
        <f>227221.075-S9-R9</f>
        <v>75294.863999999987</v>
      </c>
      <c r="U9" s="144">
        <f t="shared" si="0"/>
        <v>75985.917000000001</v>
      </c>
      <c r="V9" s="112">
        <v>74063.989000000001</v>
      </c>
      <c r="W9" s="112">
        <f>149383.766-V9</f>
        <v>75319.777000000002</v>
      </c>
      <c r="X9" s="112">
        <f>220788.305-W9-V9</f>
        <v>71404.53899999999</v>
      </c>
      <c r="Y9" s="144">
        <f t="shared" si="1"/>
        <v>73064.103000000003</v>
      </c>
      <c r="Z9" s="112">
        <v>73557.884999999995</v>
      </c>
      <c r="AA9" s="112">
        <f>145612.934-Z9</f>
        <v>72055.049000000014</v>
      </c>
      <c r="AB9" s="112">
        <f>213564.798-AA9-Z9</f>
        <v>67951.864000000016</v>
      </c>
      <c r="AC9" s="144">
        <f t="shared" si="2"/>
        <v>67852.462000000014</v>
      </c>
      <c r="AD9" s="112">
        <v>65617.039000000004</v>
      </c>
      <c r="AE9" s="112">
        <f>131531.307-AD9</f>
        <v>65914.267999999996</v>
      </c>
      <c r="AF9" s="112">
        <f>195916.296-AE9-AD9</f>
        <v>64384.989000000001</v>
      </c>
      <c r="AG9" s="144">
        <f t="shared" si="3"/>
        <v>62503.90400000001</v>
      </c>
      <c r="AH9" s="112">
        <v>61819.66</v>
      </c>
      <c r="AI9" s="112">
        <f>121424.285-AH9</f>
        <v>59604.625</v>
      </c>
      <c r="AJ9" s="112">
        <f>182397.994-AH9-AI9</f>
        <v>60973.709000000003</v>
      </c>
      <c r="AK9" s="144">
        <f t="shared" si="4"/>
        <v>66081.530999999988</v>
      </c>
      <c r="AL9" s="112">
        <v>63054.947</v>
      </c>
      <c r="AM9" s="112">
        <f>130964.334-AL9</f>
        <v>67909.387000000002</v>
      </c>
      <c r="AN9" s="112">
        <f>198257.805-AL9-AM9</f>
        <v>67293.471000000005</v>
      </c>
      <c r="AO9" s="144">
        <f t="shared" si="5"/>
        <v>67992.258999999991</v>
      </c>
      <c r="AP9" s="112">
        <v>63232.006000000001</v>
      </c>
      <c r="AQ9" s="112">
        <f>129157.404-AP9</f>
        <v>65925.397999999986</v>
      </c>
      <c r="AR9" s="112">
        <f>195203.759-AP9-AQ9</f>
        <v>66046.35500000001</v>
      </c>
      <c r="AS9" s="144">
        <f t="shared" ref="AS9:AS14" si="6">L9-AP9-AQ9-AR9</f>
        <v>70108.991999999998</v>
      </c>
      <c r="AT9" s="112">
        <v>68887.652000000002</v>
      </c>
      <c r="AU9" s="268"/>
      <c r="AV9" s="268"/>
      <c r="AW9" s="268"/>
      <c r="AX9" s="268"/>
      <c r="AY9" s="268"/>
      <c r="AZ9" s="268"/>
      <c r="BA9" s="268"/>
      <c r="BB9" s="268"/>
      <c r="BC9" s="268"/>
      <c r="BD9" s="268"/>
      <c r="BE9" s="268"/>
      <c r="BF9" s="268"/>
    </row>
    <row r="10" spans="2:60" hidden="1" outlineLevel="1">
      <c r="B10" s="111" t="s">
        <v>376</v>
      </c>
      <c r="C10" s="112">
        <v>211283.21599999999</v>
      </c>
      <c r="D10" s="112">
        <v>220809.18900000001</v>
      </c>
      <c r="E10" s="112">
        <v>223098.12700000001</v>
      </c>
      <c r="F10" s="112">
        <v>226748.22700000001</v>
      </c>
      <c r="G10" s="112">
        <v>224806.88099999999</v>
      </c>
      <c r="H10" s="112">
        <v>224806.88099999999</v>
      </c>
      <c r="I10" s="112">
        <v>227171.9</v>
      </c>
      <c r="J10" s="112">
        <v>236482.64199999999</v>
      </c>
      <c r="K10" s="112">
        <v>250489.342</v>
      </c>
      <c r="L10" s="112">
        <v>252230.413</v>
      </c>
      <c r="M10" s="268"/>
      <c r="N10" s="268"/>
      <c r="O10" s="268"/>
      <c r="P10" s="268"/>
      <c r="Q10" s="305"/>
      <c r="R10" s="112">
        <v>54634.605000000003</v>
      </c>
      <c r="S10" s="112">
        <f>109105.483-R10</f>
        <v>54470.87799999999</v>
      </c>
      <c r="T10" s="112">
        <f>165253.832-S10-R10</f>
        <v>56148.348999999995</v>
      </c>
      <c r="U10" s="144">
        <f t="shared" si="0"/>
        <v>57844.29500000002</v>
      </c>
      <c r="V10" s="112">
        <v>57302.623</v>
      </c>
      <c r="W10" s="112">
        <f>111965.88-V10</f>
        <v>54663.257000000005</v>
      </c>
      <c r="X10" s="112">
        <f>169637.433-W10-V10</f>
        <v>57671.552999999978</v>
      </c>
      <c r="Y10" s="144">
        <f t="shared" si="1"/>
        <v>57110.794000000016</v>
      </c>
      <c r="Z10" s="112">
        <v>53879.743000000002</v>
      </c>
      <c r="AA10" s="112">
        <f>107835.737-Z10</f>
        <v>53955.993999999992</v>
      </c>
      <c r="AB10" s="112">
        <f>164763.317-AA10-Z10</f>
        <v>56927.580000000016</v>
      </c>
      <c r="AC10" s="144">
        <f t="shared" si="2"/>
        <v>60043.563999999984</v>
      </c>
      <c r="AD10" s="112">
        <v>54013.313999999998</v>
      </c>
      <c r="AE10" s="112">
        <f>112125.32-AD10</f>
        <v>58112.006000000008</v>
      </c>
      <c r="AF10" s="112">
        <f>169297.151-AE10-AD10</f>
        <v>57171.831000000006</v>
      </c>
      <c r="AG10" s="144">
        <f t="shared" si="3"/>
        <v>57874.748999999982</v>
      </c>
      <c r="AH10" s="112">
        <v>53517.622000000003</v>
      </c>
      <c r="AI10" s="112">
        <f>110884.785-AH10</f>
        <v>57367.163</v>
      </c>
      <c r="AJ10" s="112">
        <f>172022.101-AH10-AI10</f>
        <v>61137.315999999992</v>
      </c>
      <c r="AK10" s="144">
        <f t="shared" si="4"/>
        <v>64460.540999999997</v>
      </c>
      <c r="AL10" s="112">
        <v>53821.3</v>
      </c>
      <c r="AM10" s="112">
        <f>115750.386-AL10</f>
        <v>61929.085999999996</v>
      </c>
      <c r="AN10" s="112">
        <f>182596.577-AL10-AM10</f>
        <v>66846.190999999992</v>
      </c>
      <c r="AO10" s="144">
        <f t="shared" si="5"/>
        <v>67892.765000000014</v>
      </c>
      <c r="AP10" s="112">
        <v>61187.216999999997</v>
      </c>
      <c r="AQ10" s="112">
        <f>120606.572-AP10</f>
        <v>59419.355000000003</v>
      </c>
      <c r="AR10" s="112">
        <f>182406.406-AP10-AQ10</f>
        <v>61799.833999999981</v>
      </c>
      <c r="AS10" s="144">
        <f t="shared" si="6"/>
        <v>69824.007000000012</v>
      </c>
      <c r="AT10" s="112">
        <v>61938.237000000001</v>
      </c>
      <c r="AU10" s="268"/>
      <c r="AV10" s="268"/>
      <c r="AW10" s="268"/>
      <c r="AX10" s="268"/>
      <c r="AY10" s="268"/>
      <c r="AZ10" s="268"/>
      <c r="BA10" s="268"/>
      <c r="BB10" s="268"/>
      <c r="BC10" s="268"/>
      <c r="BD10" s="268"/>
      <c r="BE10" s="268"/>
      <c r="BF10" s="268"/>
    </row>
    <row r="11" spans="2:60" hidden="1" outlineLevel="1">
      <c r="B11" s="111" t="s">
        <v>377</v>
      </c>
      <c r="C11" s="112">
        <v>157552.715</v>
      </c>
      <c r="D11" s="112">
        <v>245329.152</v>
      </c>
      <c r="E11" s="112">
        <v>357503.11700000003</v>
      </c>
      <c r="F11" s="112">
        <v>470592.47600000002</v>
      </c>
      <c r="G11" s="112">
        <v>489053.016</v>
      </c>
      <c r="H11" s="112">
        <v>513507.402</v>
      </c>
      <c r="I11" s="112">
        <v>706075.73699999996</v>
      </c>
      <c r="J11" s="112">
        <v>680167.74</v>
      </c>
      <c r="K11" s="112">
        <v>803030.90800000005</v>
      </c>
      <c r="L11" s="112">
        <v>931642.21400000004</v>
      </c>
      <c r="M11" s="268"/>
      <c r="N11" s="268"/>
      <c r="O11" s="268"/>
      <c r="P11" s="268"/>
      <c r="Q11" s="305"/>
      <c r="R11" s="112">
        <v>81205.092000000004</v>
      </c>
      <c r="S11" s="112">
        <f>165931.915-R11</f>
        <v>84726.823000000004</v>
      </c>
      <c r="T11" s="112">
        <f>258143.36-S11-R11</f>
        <v>92211.444999999978</v>
      </c>
      <c r="U11" s="144">
        <f t="shared" si="0"/>
        <v>99359.757000000012</v>
      </c>
      <c r="V11" s="112">
        <v>104826.19500000001</v>
      </c>
      <c r="W11" s="112">
        <f>216133.498-V11</f>
        <v>111307.30299999999</v>
      </c>
      <c r="X11" s="112">
        <f>336376.699-W11-V11</f>
        <v>120243.20100000003</v>
      </c>
      <c r="Y11" s="144">
        <f t="shared" si="1"/>
        <v>134215.77700000003</v>
      </c>
      <c r="Z11" s="112">
        <v>110263.732</v>
      </c>
      <c r="AA11" s="112">
        <f>223731.28-Z11</f>
        <v>113467.548</v>
      </c>
      <c r="AB11" s="112">
        <f>351884.754-AA11-Z11</f>
        <v>128153.474</v>
      </c>
      <c r="AC11" s="144">
        <f t="shared" si="2"/>
        <v>161622.64799999999</v>
      </c>
      <c r="AD11" s="112">
        <v>135105.92800000001</v>
      </c>
      <c r="AE11" s="112">
        <f>284362.522-AD11</f>
        <v>149256.59399999998</v>
      </c>
      <c r="AF11" s="112">
        <f>442462.785-AE11-AD11</f>
        <v>158100.26299999998</v>
      </c>
      <c r="AG11" s="144">
        <f t="shared" si="3"/>
        <v>263612.95199999993</v>
      </c>
      <c r="AH11" s="112">
        <v>172827.85399999999</v>
      </c>
      <c r="AI11" s="112">
        <f>311215.676-AH11</f>
        <v>138387.82199999999</v>
      </c>
      <c r="AJ11" s="112">
        <f>485298.351-AH11-AI11</f>
        <v>174082.67500000005</v>
      </c>
      <c r="AK11" s="144">
        <f t="shared" si="4"/>
        <v>194869.38899999997</v>
      </c>
      <c r="AL11" s="112">
        <v>178622.67</v>
      </c>
      <c r="AM11" s="112">
        <f>370058.286-AL11</f>
        <v>191435.61600000001</v>
      </c>
      <c r="AN11" s="112">
        <f>572030.287-AL11-AM11</f>
        <v>201972.00099999996</v>
      </c>
      <c r="AO11" s="144">
        <f t="shared" si="5"/>
        <v>231000.62100000007</v>
      </c>
      <c r="AP11" s="112">
        <v>236412.58799999999</v>
      </c>
      <c r="AQ11" s="112">
        <f>478148.667-AP11</f>
        <v>241736.07900000003</v>
      </c>
      <c r="AR11" s="112">
        <f>703047.342-AP11-AQ11</f>
        <v>224898.67499999993</v>
      </c>
      <c r="AS11" s="144">
        <f t="shared" si="6"/>
        <v>228594.87200000009</v>
      </c>
      <c r="AT11" s="112">
        <v>203282.11499999999</v>
      </c>
      <c r="AU11" s="268"/>
      <c r="AV11" s="268"/>
      <c r="AW11" s="268"/>
      <c r="AX11" s="268"/>
      <c r="AY11" s="268"/>
      <c r="AZ11" s="268"/>
      <c r="BA11" s="268"/>
      <c r="BB11" s="268"/>
      <c r="BC11" s="268"/>
      <c r="BD11" s="268"/>
      <c r="BE11" s="268"/>
      <c r="BF11" s="268"/>
    </row>
    <row r="12" spans="2:60" hidden="1" outlineLevel="1">
      <c r="B12" s="111" t="s">
        <v>378</v>
      </c>
      <c r="C12" s="112">
        <v>433833.29200000002</v>
      </c>
      <c r="D12" s="112">
        <v>550595.88100000005</v>
      </c>
      <c r="E12" s="112">
        <v>691718.67599999998</v>
      </c>
      <c r="F12" s="112">
        <v>787552.79200000002</v>
      </c>
      <c r="G12" s="112">
        <v>875725.196</v>
      </c>
      <c r="H12" s="112">
        <v>851270.81</v>
      </c>
      <c r="I12" s="112">
        <v>965676.62899999996</v>
      </c>
      <c r="J12" s="112">
        <v>934634.35600000003</v>
      </c>
      <c r="K12" s="112">
        <v>956928.74600000004</v>
      </c>
      <c r="L12" s="112">
        <v>1146092.777</v>
      </c>
      <c r="M12" s="268"/>
      <c r="N12" s="268"/>
      <c r="O12" s="268"/>
      <c r="P12" s="268"/>
      <c r="Q12" s="305"/>
      <c r="R12" s="112">
        <v>146657.24100000001</v>
      </c>
      <c r="S12" s="112">
        <f>304552.99-R12</f>
        <v>157895.74899999998</v>
      </c>
      <c r="T12" s="112">
        <f>483823.735-S12-R12</f>
        <v>179270.74500000002</v>
      </c>
      <c r="U12" s="144">
        <f t="shared" si="0"/>
        <v>207894.94100000002</v>
      </c>
      <c r="V12" s="112">
        <v>184112.83100000001</v>
      </c>
      <c r="W12" s="112">
        <f>376737.385-V12</f>
        <v>192624.554</v>
      </c>
      <c r="X12" s="112">
        <f>574697.108-W12-V12</f>
        <v>197959.723</v>
      </c>
      <c r="Y12" s="144">
        <f t="shared" si="1"/>
        <v>212855.68400000001</v>
      </c>
      <c r="Z12" s="112">
        <v>205020.86</v>
      </c>
      <c r="AA12" s="112">
        <f>423276.832-Z12</f>
        <v>218255.97200000001</v>
      </c>
      <c r="AB12" s="112">
        <f>644243.208-AA12-Z12</f>
        <v>220966.37599999999</v>
      </c>
      <c r="AC12" s="144">
        <f t="shared" si="2"/>
        <v>207027.60200000013</v>
      </c>
      <c r="AD12" s="112">
        <v>199264.81899999999</v>
      </c>
      <c r="AE12" s="112">
        <f>400609.626-AD12</f>
        <v>201344.807</v>
      </c>
      <c r="AF12" s="112">
        <f>616086.195-AE12-AD12</f>
        <v>215476.56899999993</v>
      </c>
      <c r="AG12" s="144">
        <f t="shared" si="3"/>
        <v>349590.43400000001</v>
      </c>
      <c r="AH12" s="112">
        <v>217437.97500000001</v>
      </c>
      <c r="AI12" s="112">
        <f>452471.234-AH12</f>
        <v>235033.25899999999</v>
      </c>
      <c r="AJ12" s="112">
        <f>693779.017-AH12-AI12</f>
        <v>241307.78300000002</v>
      </c>
      <c r="AK12" s="144">
        <f t="shared" si="4"/>
        <v>240855.33900000001</v>
      </c>
      <c r="AL12" s="112">
        <v>231398.511</v>
      </c>
      <c r="AM12" s="112">
        <f>475486.58-AL12</f>
        <v>244088.06900000002</v>
      </c>
      <c r="AN12" s="112">
        <f>713083.937-AL12-AM12</f>
        <v>237597.35700000002</v>
      </c>
      <c r="AO12" s="144">
        <f t="shared" si="5"/>
        <v>243844.80899999995</v>
      </c>
      <c r="AP12" s="112">
        <v>251639.60500000001</v>
      </c>
      <c r="AQ12" s="112">
        <f>517640.049-AP12</f>
        <v>266000.44400000002</v>
      </c>
      <c r="AR12" s="112">
        <f>870171.263-AP12-AQ12</f>
        <v>352531.21400000004</v>
      </c>
      <c r="AS12" s="144">
        <f t="shared" si="6"/>
        <v>275921.51399999997</v>
      </c>
      <c r="AT12" s="112">
        <v>306268.14600000001</v>
      </c>
      <c r="AU12" s="268"/>
      <c r="AV12" s="268"/>
      <c r="AW12" s="268"/>
      <c r="AX12" s="268"/>
      <c r="AY12" s="268"/>
      <c r="AZ12" s="268"/>
      <c r="BA12" s="268"/>
      <c r="BB12" s="268"/>
      <c r="BC12" s="268"/>
      <c r="BD12" s="268"/>
      <c r="BE12" s="268"/>
      <c r="BF12" s="268"/>
    </row>
    <row r="13" spans="2:60" hidden="1" outlineLevel="1">
      <c r="B13" s="111" t="s">
        <v>379</v>
      </c>
      <c r="C13" s="112">
        <v>-336468.723</v>
      </c>
      <c r="D13" s="112">
        <v>-446364.16200000001</v>
      </c>
      <c r="E13" s="112">
        <v>-592264.44299999997</v>
      </c>
      <c r="F13" s="112">
        <v>-726359.03</v>
      </c>
      <c r="G13" s="112">
        <v>-819090.902</v>
      </c>
      <c r="H13" s="112">
        <v>-809305.55500000005</v>
      </c>
      <c r="I13" s="112">
        <v>-798893.29700000002</v>
      </c>
      <c r="J13" s="112">
        <v>-860844.63600000006</v>
      </c>
      <c r="K13" s="112">
        <v>-885997.24300000002</v>
      </c>
      <c r="L13" s="112">
        <v>-1106564.7209999999</v>
      </c>
      <c r="M13" s="268"/>
      <c r="N13" s="268"/>
      <c r="O13" s="268"/>
      <c r="P13" s="268"/>
      <c r="Q13" s="305"/>
      <c r="R13" s="112">
        <v>-122902.766</v>
      </c>
      <c r="S13" s="112">
        <f>-255894.193-R13</f>
        <v>-132991.427</v>
      </c>
      <c r="T13" s="112">
        <f>-408316.606-S13-R13</f>
        <v>-152422.413</v>
      </c>
      <c r="U13" s="144">
        <f t="shared" si="0"/>
        <v>-183947.837</v>
      </c>
      <c r="V13" s="112">
        <v>-165724.88500000001</v>
      </c>
      <c r="W13" s="112">
        <f>-343078.204-V13</f>
        <v>-177353.31900000002</v>
      </c>
      <c r="X13" s="112">
        <f>-528940.745-W13-V13</f>
        <v>-185862.54099999997</v>
      </c>
      <c r="Y13" s="144">
        <f t="shared" si="1"/>
        <v>-197418.28500000003</v>
      </c>
      <c r="Z13" s="112">
        <v>-193185.76300000001</v>
      </c>
      <c r="AA13" s="112">
        <f>-399201.281-Z13</f>
        <v>-206015.51800000001</v>
      </c>
      <c r="AB13" s="112">
        <f>-602436.522-AA13-Z13</f>
        <v>-203235.24099999995</v>
      </c>
      <c r="AC13" s="144">
        <f t="shared" si="2"/>
        <v>-206869.03300000008</v>
      </c>
      <c r="AD13" s="112">
        <v>-190664.122</v>
      </c>
      <c r="AE13" s="112">
        <f>-381599.87-AD13</f>
        <v>-190935.74799999999</v>
      </c>
      <c r="AF13" s="112">
        <f>-588265.489-AE13-AD13</f>
        <v>-206665.61899999992</v>
      </c>
      <c r="AG13" s="144">
        <f t="shared" si="3"/>
        <v>-210627.80800000005</v>
      </c>
      <c r="AH13" s="112">
        <v>-195398.66399999999</v>
      </c>
      <c r="AI13" s="112">
        <f>-410115.288-AH13</f>
        <v>-214716.62400000001</v>
      </c>
      <c r="AJ13" s="112">
        <f>-637398.726-AH13-AI13</f>
        <v>-227283.43800000002</v>
      </c>
      <c r="AK13" s="144">
        <f t="shared" si="4"/>
        <v>-223445.91000000009</v>
      </c>
      <c r="AL13" s="112">
        <v>-213882.81400000001</v>
      </c>
      <c r="AM13" s="112">
        <f>-436961.443-AL13</f>
        <v>-223078.62900000002</v>
      </c>
      <c r="AN13" s="112">
        <f>-655097.2-AL13-AM13</f>
        <v>-218135.75699999993</v>
      </c>
      <c r="AO13" s="144">
        <f t="shared" si="5"/>
        <v>-230900.04300000001</v>
      </c>
      <c r="AP13" s="112">
        <v>-237352.67199999999</v>
      </c>
      <c r="AQ13" s="112">
        <f>-489290.186-AP13</f>
        <v>-251937.514</v>
      </c>
      <c r="AR13" s="112">
        <f>-822245.791-AP13-AQ13</f>
        <v>-332955.60499999998</v>
      </c>
      <c r="AS13" s="144">
        <f t="shared" si="6"/>
        <v>-284318.92999999993</v>
      </c>
      <c r="AT13" s="112">
        <v>-294042.27299999999</v>
      </c>
      <c r="AU13" s="268"/>
      <c r="AV13" s="268"/>
      <c r="AW13" s="268"/>
      <c r="AX13" s="268"/>
      <c r="AY13" s="268"/>
      <c r="AZ13" s="268"/>
      <c r="BA13" s="268"/>
      <c r="BB13" s="268"/>
      <c r="BC13" s="268"/>
      <c r="BD13" s="268"/>
      <c r="BE13" s="268"/>
      <c r="BF13" s="268"/>
    </row>
    <row r="14" spans="2:60" hidden="1" outlineLevel="1">
      <c r="B14" s="111" t="s">
        <v>380</v>
      </c>
      <c r="C14" s="112"/>
      <c r="D14" s="112"/>
      <c r="E14" s="112"/>
      <c r="F14" s="112"/>
      <c r="G14" s="112"/>
      <c r="H14" s="112"/>
      <c r="I14" s="112"/>
      <c r="J14" s="112"/>
      <c r="K14" s="112"/>
      <c r="L14" s="112">
        <v>549189.18200000003</v>
      </c>
      <c r="M14" s="268"/>
      <c r="N14" s="268"/>
      <c r="O14" s="268"/>
      <c r="P14" s="268"/>
      <c r="Q14" s="305"/>
      <c r="R14" s="112"/>
      <c r="S14" s="112"/>
      <c r="T14" s="112"/>
      <c r="U14" s="144"/>
      <c r="V14" s="112"/>
      <c r="W14" s="112"/>
      <c r="X14" s="112"/>
      <c r="Y14" s="144"/>
      <c r="Z14" s="112"/>
      <c r="AA14" s="112"/>
      <c r="AB14" s="112"/>
      <c r="AC14" s="144"/>
      <c r="AD14" s="112"/>
      <c r="AE14" s="112"/>
      <c r="AF14" s="112"/>
      <c r="AG14" s="144"/>
      <c r="AH14" s="112"/>
      <c r="AI14" s="112"/>
      <c r="AJ14" s="112"/>
      <c r="AK14" s="144"/>
      <c r="AL14" s="112"/>
      <c r="AM14" s="112"/>
      <c r="AN14" s="112"/>
      <c r="AO14" s="144"/>
      <c r="AP14" s="112"/>
      <c r="AQ14" s="112">
        <f>485773.466-AP14</f>
        <v>485773.46600000001</v>
      </c>
      <c r="AR14" s="112">
        <f>544708.577-AP14-AQ14</f>
        <v>58935.111000000034</v>
      </c>
      <c r="AS14" s="144">
        <f t="shared" si="6"/>
        <v>4480.6049999999814</v>
      </c>
      <c r="AT14" s="112"/>
      <c r="AU14" s="268"/>
      <c r="AV14" s="268"/>
      <c r="AW14" s="268"/>
      <c r="AX14" s="268"/>
      <c r="AY14" s="268"/>
      <c r="AZ14" s="268"/>
      <c r="BA14" s="268"/>
      <c r="BB14" s="268"/>
      <c r="BC14" s="268"/>
      <c r="BD14" s="268"/>
      <c r="BE14" s="268"/>
      <c r="BF14" s="268"/>
    </row>
    <row r="15" spans="2:60" s="5" customFormat="1" hidden="1" outlineLevel="1">
      <c r="B15" s="114" t="s">
        <v>381</v>
      </c>
      <c r="C15" s="142">
        <f t="shared" ref="C15:I15" si="7">SUM(C8:C13)</f>
        <v>1657770.3729999999</v>
      </c>
      <c r="D15" s="142">
        <f t="shared" si="7"/>
        <v>1784612.6630000002</v>
      </c>
      <c r="E15" s="142">
        <f t="shared" si="7"/>
        <v>1867697.0700000003</v>
      </c>
      <c r="F15" s="142">
        <f t="shared" si="7"/>
        <v>1943071.1980000001</v>
      </c>
      <c r="G15" s="142">
        <f t="shared" si="7"/>
        <v>1913174.2820000004</v>
      </c>
      <c r="H15" s="142">
        <f t="shared" si="7"/>
        <v>1922959.6290000002</v>
      </c>
      <c r="I15" s="142">
        <f t="shared" si="7"/>
        <v>2197543.8429999994</v>
      </c>
      <c r="J15" s="142">
        <f>SUM(J8:J13)</f>
        <v>2147484.4279999998</v>
      </c>
      <c r="K15" s="142">
        <f>SUM(K8:K13)</f>
        <v>2460119.4010000005</v>
      </c>
      <c r="L15" s="142">
        <f>SUM(L8:L14)</f>
        <v>3137709.6160000004</v>
      </c>
      <c r="M15" s="269"/>
      <c r="N15" s="269"/>
      <c r="O15" s="269"/>
      <c r="P15" s="269"/>
      <c r="Q15" s="305"/>
      <c r="R15" s="142">
        <f>SUM(R8:R13)</f>
        <v>459463.62799999997</v>
      </c>
      <c r="S15" s="142">
        <f t="shared" ref="S15:Y15" si="8">SUM(S8:S13)</f>
        <v>456836.14599999995</v>
      </c>
      <c r="T15" s="142">
        <f t="shared" si="8"/>
        <v>467901.27899999992</v>
      </c>
      <c r="U15" s="142">
        <f t="shared" si="8"/>
        <v>483496.01700000005</v>
      </c>
      <c r="V15" s="148">
        <f t="shared" si="8"/>
        <v>473615.33900000004</v>
      </c>
      <c r="W15" s="142">
        <f t="shared" si="8"/>
        <v>478730.77799999993</v>
      </c>
      <c r="X15" s="142">
        <f t="shared" si="8"/>
        <v>479906.64199999999</v>
      </c>
      <c r="Y15" s="142">
        <f t="shared" si="8"/>
        <v>510818.4389999999</v>
      </c>
      <c r="Z15" s="142">
        <f t="shared" ref="Z15:AE15" si="9">SUM(Z8:Z13)</f>
        <v>461181.571</v>
      </c>
      <c r="AA15" s="142">
        <f t="shared" si="9"/>
        <v>465675.83699999994</v>
      </c>
      <c r="AB15" s="142">
        <f t="shared" si="9"/>
        <v>481324.43500000006</v>
      </c>
      <c r="AC15" s="142">
        <f>SUM(AC8:AC13)</f>
        <v>514777.78600000008</v>
      </c>
      <c r="AD15" s="148">
        <f t="shared" si="9"/>
        <v>474784.76300000004</v>
      </c>
      <c r="AE15" s="148">
        <f t="shared" si="9"/>
        <v>485438.79200000002</v>
      </c>
      <c r="AF15" s="148">
        <f t="shared" ref="AF15:AK15" si="10">SUM(AF8:AF13)</f>
        <v>498487.77399999998</v>
      </c>
      <c r="AG15" s="148">
        <f t="shared" si="10"/>
        <v>738832.51399999997</v>
      </c>
      <c r="AH15" s="148">
        <f t="shared" si="10"/>
        <v>530705.33400000003</v>
      </c>
      <c r="AI15" s="148">
        <f t="shared" si="10"/>
        <v>476093.55199999997</v>
      </c>
      <c r="AJ15" s="148">
        <f t="shared" si="10"/>
        <v>543039.848</v>
      </c>
      <c r="AK15" s="148">
        <f t="shared" si="10"/>
        <v>597645.6939999999</v>
      </c>
      <c r="AL15" s="148">
        <f>SUM(AL8:AL13)</f>
        <v>568759.04700000002</v>
      </c>
      <c r="AM15" s="148">
        <f>SUM(AM8:AM13)</f>
        <v>608453.13100000005</v>
      </c>
      <c r="AN15" s="148">
        <f>SUM(AN8:AN13)</f>
        <v>623345.78800000018</v>
      </c>
      <c r="AO15" s="148">
        <f>SUM(AO8:AO13)</f>
        <v>659561.43499999982</v>
      </c>
      <c r="AP15" s="148">
        <f>SUM(AP8:AP13)</f>
        <v>649940.80099999998</v>
      </c>
      <c r="AQ15" s="148">
        <f>SUM(AQ8:AQ14)</f>
        <v>1149567.338</v>
      </c>
      <c r="AR15" s="148">
        <f>SUM(AR8:AR14)</f>
        <v>695595.44500000018</v>
      </c>
      <c r="AS15" s="148">
        <f>SUM(AS8:AS14)</f>
        <v>642606.03199999989</v>
      </c>
      <c r="AT15" s="148">
        <f>SUM(AT8:AT13)</f>
        <v>613338.30499999993</v>
      </c>
      <c r="AU15" s="269"/>
      <c r="AV15" s="269"/>
      <c r="AW15" s="269"/>
      <c r="AX15" s="269"/>
      <c r="AY15" s="269"/>
      <c r="AZ15" s="269"/>
      <c r="BA15" s="269"/>
      <c r="BB15" s="269"/>
      <c r="BC15" s="269"/>
      <c r="BD15" s="269"/>
      <c r="BE15" s="269"/>
      <c r="BF15" s="269"/>
    </row>
    <row r="16" spans="2:60" hidden="1" outlineLevel="1">
      <c r="B16" s="111"/>
      <c r="C16" s="112"/>
      <c r="D16" s="112"/>
      <c r="E16" s="112"/>
      <c r="F16" s="112"/>
      <c r="G16" s="112"/>
      <c r="H16" s="112"/>
      <c r="I16" s="112"/>
      <c r="J16" s="112"/>
      <c r="K16" s="112"/>
      <c r="L16" s="112"/>
      <c r="M16" s="112"/>
      <c r="N16" s="112"/>
      <c r="O16" s="112"/>
      <c r="P16" s="112"/>
      <c r="Q16" s="305"/>
      <c r="R16" s="112"/>
      <c r="S16" s="112"/>
      <c r="T16" s="112"/>
      <c r="U16" s="112"/>
      <c r="V16" s="112"/>
      <c r="W16" s="112"/>
      <c r="X16" s="112"/>
      <c r="Y16" s="112"/>
      <c r="Z16" s="112"/>
      <c r="AA16" s="112"/>
      <c r="AB16" s="112"/>
      <c r="AC16" s="112"/>
      <c r="AD16" s="112"/>
      <c r="AE16" s="112"/>
      <c r="AF16" s="112"/>
      <c r="AG16" s="112"/>
      <c r="AH16" s="112"/>
      <c r="AI16" s="112"/>
      <c r="AJ16" s="112"/>
      <c r="AK16" s="112"/>
      <c r="AL16" s="112"/>
      <c r="AM16" s="112"/>
      <c r="AN16" s="112"/>
      <c r="AO16" s="112"/>
      <c r="AP16" s="112"/>
      <c r="AQ16" s="112"/>
      <c r="AR16" s="112"/>
      <c r="AS16" s="112"/>
      <c r="AT16" s="112"/>
      <c r="AU16" s="112"/>
      <c r="AV16" s="112"/>
      <c r="AW16" s="112"/>
      <c r="AX16" s="112"/>
      <c r="AY16" s="112"/>
      <c r="AZ16" s="112"/>
      <c r="BA16" s="112"/>
      <c r="BB16" s="112"/>
      <c r="BC16" s="112"/>
      <c r="BD16" s="112"/>
      <c r="BE16" s="112"/>
      <c r="BF16" s="112"/>
    </row>
    <row r="17" spans="2:58" s="177" customFormat="1" hidden="1" outlineLevel="1">
      <c r="B17" s="145" t="s">
        <v>22</v>
      </c>
      <c r="C17" s="146">
        <f>C15-Model!C7</f>
        <v>0</v>
      </c>
      <c r="D17" s="146">
        <f>D15-Model!D7</f>
        <v>0</v>
      </c>
      <c r="E17" s="146">
        <f>E15-Model!E7</f>
        <v>0</v>
      </c>
      <c r="F17" s="146">
        <f>F15-Model!F7</f>
        <v>0</v>
      </c>
      <c r="G17" s="146">
        <f>G15-Model!G7</f>
        <v>0</v>
      </c>
      <c r="H17" s="146">
        <f>H15-(Model!G7+Model!G9+Model!G14)</f>
        <v>0</v>
      </c>
      <c r="I17" s="146">
        <f>I15-(Model!H7+Model!H9+Model!H14)</f>
        <v>0.99999999953433871</v>
      </c>
      <c r="J17" s="146">
        <f>J15-(Model!I7+Model!I9+Model!I14)</f>
        <v>0</v>
      </c>
      <c r="K17" s="146">
        <f>K15-(Model!J7+Model!J9+Model!J14)</f>
        <v>0</v>
      </c>
      <c r="L17" s="146">
        <f>L15-(Model!K7+Model!K9+Model!K14)</f>
        <v>4.4000000227242708E-2</v>
      </c>
      <c r="M17" s="269"/>
      <c r="N17" s="269"/>
      <c r="O17" s="269"/>
      <c r="P17" s="269"/>
      <c r="Q17" s="305"/>
      <c r="R17" s="146">
        <f>R15-Model!Q7</f>
        <v>0</v>
      </c>
      <c r="S17" s="146">
        <f>S15-Model!R7</f>
        <v>0</v>
      </c>
      <c r="T17" s="146">
        <f>T15-Model!S7</f>
        <v>0</v>
      </c>
      <c r="U17" s="146">
        <f>U15-Model!T7</f>
        <v>0</v>
      </c>
      <c r="V17" s="146">
        <f>V15-Model!U7</f>
        <v>0</v>
      </c>
      <c r="W17" s="146">
        <f>W15-Model!V7</f>
        <v>0</v>
      </c>
      <c r="X17" s="146">
        <f>X15-Model!W7</f>
        <v>0</v>
      </c>
      <c r="Y17" s="146">
        <f>Y15-Model!X7</f>
        <v>0</v>
      </c>
      <c r="Z17" s="146">
        <f>Z15-Model!Y7</f>
        <v>0</v>
      </c>
      <c r="AA17" s="146">
        <f>AA15-Model!Z7</f>
        <v>0</v>
      </c>
      <c r="AB17" s="146">
        <f>AB15-Model!AA7</f>
        <v>0</v>
      </c>
      <c r="AC17" s="112"/>
      <c r="AD17" s="194">
        <f>AD15-(Model!AC7+Model!AC9+Model!AC14)</f>
        <v>0</v>
      </c>
      <c r="AE17" s="194">
        <f>AE15-(Model!AD7+Model!AD9+Model!AD14)</f>
        <v>0</v>
      </c>
      <c r="AF17" s="194">
        <f>AF15-(Model!AE7+Model!AE9+Model!AE14)</f>
        <v>0</v>
      </c>
      <c r="AG17" s="194">
        <f>AG15-(Model!AF7+Model!AF9+Model!AF14)</f>
        <v>1.0000000002328306</v>
      </c>
      <c r="AH17" s="194">
        <f>AH15-(Model!AG7+Model!AG9+Model!AG14)</f>
        <v>0</v>
      </c>
      <c r="AI17" s="194">
        <f>AI15-(Model!AH7+Model!AH9+Model!AH14)</f>
        <v>0</v>
      </c>
      <c r="AJ17" s="194">
        <f>AJ15-(Model!AI7+Model!AI9+Model!AI14)</f>
        <v>0</v>
      </c>
      <c r="AK17" s="194">
        <f>AK15-(Model!AJ7+Model!AJ9+Model!AJ14)</f>
        <v>0</v>
      </c>
      <c r="AL17" s="194">
        <f>AL15-(Model!AK7+Model!AK9+Model!AK14)</f>
        <v>0</v>
      </c>
      <c r="AM17" s="194">
        <f>AM15-(Model!AL7+Model!AL9+Model!AL14)</f>
        <v>0</v>
      </c>
      <c r="AN17" s="194">
        <f>AN15-(Model!AM7+Model!AM9+Model!AM14)</f>
        <v>0</v>
      </c>
      <c r="AO17" s="194">
        <f>AO15-(Model!AN7+Model!AN9+Model!AN14)</f>
        <v>0</v>
      </c>
      <c r="AP17" s="194">
        <f>AP15-(Model!AO7+Model!AO9+Model!AO14)</f>
        <v>0</v>
      </c>
      <c r="AQ17" s="194">
        <f>AQ15-(Model!AP7+Model!AP9+Model!AP14)</f>
        <v>0</v>
      </c>
      <c r="AR17" s="194">
        <f>AR15-(Model!AQ7+Model!AQ9+Model!AQ14)</f>
        <v>0</v>
      </c>
      <c r="AS17" s="194">
        <f>AS15-(Model!AR7+Model!AR9+Model!AR14)</f>
        <v>4.3999999761581421E-2</v>
      </c>
      <c r="AT17" s="194">
        <f>AT15-(Model!AS7+Model!AS9+Model!AS14)</f>
        <v>0</v>
      </c>
      <c r="AU17" s="194"/>
      <c r="AV17" s="194"/>
      <c r="AW17" s="194"/>
      <c r="AX17" s="194"/>
      <c r="AY17" s="194"/>
      <c r="AZ17" s="194"/>
      <c r="BA17" s="194"/>
      <c r="BB17" s="194"/>
      <c r="BC17" s="194"/>
      <c r="BD17" s="194"/>
      <c r="BE17" s="194"/>
      <c r="BF17" s="194"/>
    </row>
    <row r="18" spans="2:58" collapsed="1">
      <c r="B18" s="111"/>
      <c r="C18" s="112"/>
      <c r="D18" s="112"/>
      <c r="E18" s="112"/>
      <c r="F18" s="112"/>
      <c r="G18" s="112"/>
      <c r="H18" s="112"/>
      <c r="I18" s="112"/>
      <c r="J18" s="112"/>
      <c r="K18" s="112"/>
      <c r="L18" s="112"/>
      <c r="M18" s="112"/>
      <c r="N18" s="112"/>
      <c r="O18" s="112"/>
      <c r="P18" s="112"/>
      <c r="Q18" s="305"/>
      <c r="R18" s="112"/>
      <c r="S18" s="112"/>
      <c r="T18" s="112"/>
      <c r="U18" s="112"/>
      <c r="V18" s="112"/>
      <c r="W18" s="112"/>
      <c r="X18" s="112"/>
      <c r="Y18" s="112"/>
      <c r="Z18" s="112"/>
      <c r="AA18" s="112"/>
      <c r="AB18" s="112"/>
      <c r="AC18" s="112"/>
      <c r="AD18" s="112"/>
      <c r="AE18" s="112"/>
      <c r="AF18" s="112"/>
      <c r="AG18" s="112"/>
      <c r="AH18" s="112"/>
      <c r="AI18" s="112"/>
      <c r="AJ18" s="112"/>
      <c r="AK18" s="112"/>
      <c r="AL18" s="112"/>
      <c r="AM18" s="112"/>
      <c r="AN18" s="112"/>
      <c r="AP18" s="112"/>
      <c r="AQ18" s="112"/>
      <c r="AR18" s="112"/>
      <c r="AS18" s="112"/>
      <c r="AT18" s="112"/>
      <c r="AU18" s="112"/>
      <c r="AV18" s="112"/>
      <c r="AW18" s="112"/>
      <c r="AX18" s="112"/>
      <c r="AY18" s="112"/>
      <c r="AZ18" s="112"/>
      <c r="BA18" s="112"/>
      <c r="BB18" s="112"/>
      <c r="BC18" s="112"/>
      <c r="BD18" s="112"/>
      <c r="BE18" s="112"/>
      <c r="BF18" s="112"/>
    </row>
    <row r="19" spans="2:58">
      <c r="B19" s="376" t="s">
        <v>373</v>
      </c>
      <c r="C19" s="374"/>
      <c r="D19" s="374"/>
      <c r="E19" s="374"/>
      <c r="F19" s="374"/>
      <c r="G19" s="374"/>
      <c r="H19" s="374"/>
      <c r="I19" s="374"/>
      <c r="J19" s="374"/>
      <c r="K19" s="374"/>
      <c r="L19" s="374"/>
      <c r="M19" s="374"/>
      <c r="N19" s="374"/>
      <c r="O19" s="374"/>
      <c r="P19" s="374"/>
      <c r="Q19" s="305"/>
      <c r="R19" s="374"/>
      <c r="S19" s="374"/>
      <c r="T19" s="374"/>
      <c r="U19" s="374"/>
      <c r="V19" s="374"/>
      <c r="W19" s="374"/>
      <c r="X19" s="374"/>
      <c r="Y19" s="374"/>
      <c r="Z19" s="374"/>
      <c r="AA19" s="374"/>
      <c r="AB19" s="374"/>
      <c r="AC19" s="374"/>
      <c r="AD19" s="374"/>
      <c r="AE19" s="374"/>
      <c r="AF19" s="374"/>
      <c r="AG19" s="374"/>
      <c r="AH19" s="374"/>
      <c r="AI19" s="374"/>
      <c r="AJ19" s="374"/>
      <c r="AK19" s="374"/>
      <c r="AL19" s="374"/>
      <c r="AM19" s="374"/>
      <c r="AN19" s="374"/>
      <c r="AO19" s="374"/>
      <c r="AP19" s="374"/>
      <c r="AQ19" s="374"/>
      <c r="AR19" s="374"/>
      <c r="AS19" s="374"/>
      <c r="AT19" s="374"/>
      <c r="AU19" s="374"/>
      <c r="AV19" s="374"/>
      <c r="AW19" s="374"/>
      <c r="AX19" s="374"/>
      <c r="AY19" s="374"/>
      <c r="AZ19" s="374"/>
      <c r="BA19" s="374"/>
      <c r="BB19" s="374"/>
      <c r="BC19" s="374"/>
      <c r="BD19" s="374"/>
      <c r="BE19" s="374"/>
      <c r="BF19" s="374"/>
    </row>
    <row r="20" spans="2:58">
      <c r="B20" s="111" t="s">
        <v>374</v>
      </c>
      <c r="C20" s="289"/>
      <c r="D20" s="289"/>
      <c r="E20" s="289"/>
      <c r="F20" s="289"/>
      <c r="G20" s="289"/>
      <c r="H20" s="289"/>
      <c r="I20" s="289"/>
      <c r="J20" s="289"/>
      <c r="K20" s="289"/>
      <c r="L20" s="289"/>
      <c r="M20" s="229">
        <v>1069313.9979999999</v>
      </c>
      <c r="N20" s="229">
        <v>1174515.997</v>
      </c>
      <c r="O20" s="229">
        <v>1259066.949</v>
      </c>
      <c r="P20" s="370">
        <f>SUM(BC20:BF20)</f>
        <v>1291499.0730000001</v>
      </c>
      <c r="Q20" s="305"/>
      <c r="R20" s="229"/>
      <c r="S20" s="229"/>
      <c r="T20" s="229"/>
      <c r="U20" s="370"/>
      <c r="V20" s="229"/>
      <c r="W20" s="229"/>
      <c r="X20" s="229"/>
      <c r="Y20" s="370"/>
      <c r="Z20" s="229"/>
      <c r="AA20" s="229"/>
      <c r="AB20" s="229"/>
      <c r="AC20" s="370"/>
      <c r="AD20" s="229"/>
      <c r="AE20" s="229"/>
      <c r="AF20" s="229"/>
      <c r="AG20" s="370"/>
      <c r="AH20" s="229"/>
      <c r="AI20" s="229"/>
      <c r="AJ20" s="229"/>
      <c r="AK20" s="370"/>
      <c r="AL20" s="229"/>
      <c r="AM20" s="229"/>
      <c r="AN20" s="229"/>
      <c r="AO20" s="370"/>
      <c r="AP20" s="229"/>
      <c r="AQ20" s="229">
        <v>557472.16700000002</v>
      </c>
      <c r="AR20" s="229">
        <f>821812.028-AQ20</f>
        <v>264339.86100000003</v>
      </c>
      <c r="AS20" s="229">
        <f>1099806.956-AR20-AQ20-AP20</f>
        <v>277994.92799999996</v>
      </c>
      <c r="AT20" s="229">
        <v>267004.42800000001</v>
      </c>
      <c r="AU20" s="229">
        <v>528132.26800000004</v>
      </c>
      <c r="AV20" s="229">
        <f>785819.121-AU20</f>
        <v>257686.853</v>
      </c>
      <c r="AW20" s="229">
        <f>1069313.998-AV20-AU20-AT20</f>
        <v>16490.448999999848</v>
      </c>
      <c r="AX20" s="229">
        <v>275362.65399999998</v>
      </c>
      <c r="AY20" s="229">
        <f>561627.796-AX20</f>
        <v>286265.14199999999</v>
      </c>
      <c r="AZ20" s="229">
        <f>850184.207-AY20-AX20</f>
        <v>288556.41100000008</v>
      </c>
      <c r="BA20" s="370">
        <f>N20-(AZ20+AY20+AX20)</f>
        <v>324331.78999999992</v>
      </c>
      <c r="BB20" s="229">
        <v>305177.13799999998</v>
      </c>
      <c r="BC20" s="229">
        <f>603697.209-BB20</f>
        <v>298520.07100000005</v>
      </c>
      <c r="BD20" s="229">
        <f>913447.031-BC20-BB20</f>
        <v>309749.82199999999</v>
      </c>
      <c r="BE20" s="370">
        <f>O20-(BD20+BC20+BB20)</f>
        <v>345619.91800000006</v>
      </c>
      <c r="BF20" s="229">
        <v>337609.26199999999</v>
      </c>
    </row>
    <row r="21" spans="2:58">
      <c r="B21" s="111" t="s">
        <v>382</v>
      </c>
      <c r="C21" s="289"/>
      <c r="D21" s="289"/>
      <c r="E21" s="289"/>
      <c r="F21" s="289"/>
      <c r="G21" s="289"/>
      <c r="H21" s="289"/>
      <c r="I21" s="289"/>
      <c r="J21" s="289"/>
      <c r="K21" s="289"/>
      <c r="L21" s="289"/>
      <c r="M21" s="229">
        <v>425230.35800000001</v>
      </c>
      <c r="N21" s="229">
        <v>454475.62300000002</v>
      </c>
      <c r="O21" s="229">
        <v>471205.43400000001</v>
      </c>
      <c r="P21" s="370">
        <f t="shared" ref="P21:P26" si="11">SUM(BC21:BF21)</f>
        <v>474783.26199999999</v>
      </c>
      <c r="Q21" s="305"/>
      <c r="R21" s="229"/>
      <c r="S21" s="229"/>
      <c r="T21" s="229"/>
      <c r="U21" s="370"/>
      <c r="V21" s="229"/>
      <c r="W21" s="229"/>
      <c r="X21" s="229"/>
      <c r="Y21" s="370"/>
      <c r="Z21" s="229"/>
      <c r="AA21" s="229"/>
      <c r="AB21" s="229"/>
      <c r="AC21" s="370"/>
      <c r="AD21" s="229"/>
      <c r="AE21" s="229"/>
      <c r="AF21" s="229"/>
      <c r="AG21" s="370"/>
      <c r="AH21" s="229"/>
      <c r="AI21" s="229"/>
      <c r="AJ21" s="229"/>
      <c r="AK21" s="370"/>
      <c r="AL21" s="229"/>
      <c r="AM21" s="229"/>
      <c r="AN21" s="229"/>
      <c r="AO21" s="370"/>
      <c r="AP21" s="229"/>
      <c r="AQ21" s="229">
        <v>197227.37700000001</v>
      </c>
      <c r="AR21" s="229">
        <f>298696.858-AQ21</f>
        <v>101469.481</v>
      </c>
      <c r="AS21" s="229">
        <f>409101.469-AR21-AQ21-AP21</f>
        <v>110404.611</v>
      </c>
      <c r="AT21" s="229">
        <v>103643.738</v>
      </c>
      <c r="AU21" s="229">
        <v>210945.576</v>
      </c>
      <c r="AV21" s="229">
        <f>311684.315-AU21</f>
        <v>100738.739</v>
      </c>
      <c r="AW21" s="229">
        <f>425230.358-AV21-AU21-AT21</f>
        <v>9902.3050000000076</v>
      </c>
      <c r="AX21" s="229">
        <v>107373.442</v>
      </c>
      <c r="AY21" s="229">
        <f>218317.691-AX21</f>
        <v>110944.249</v>
      </c>
      <c r="AZ21" s="229">
        <f>328985.203-AY21-AX21</f>
        <v>110667.51199999997</v>
      </c>
      <c r="BA21" s="370">
        <f t="shared" ref="BA21:BA26" si="12">N21-(AZ21+AY21+AX21)</f>
        <v>125490.42000000004</v>
      </c>
      <c r="BB21" s="229">
        <v>114922.495</v>
      </c>
      <c r="BC21" s="229">
        <f>232731.801-BB21</f>
        <v>117809.30600000001</v>
      </c>
      <c r="BD21" s="229">
        <f>351039.001-BC21-BB21</f>
        <v>118307.19999999998</v>
      </c>
      <c r="BE21" s="370">
        <f t="shared" ref="BE21:BE26" si="13">O21-(BD21+BC21+BB21)</f>
        <v>120166.43300000002</v>
      </c>
      <c r="BF21" s="229">
        <v>118500.323</v>
      </c>
    </row>
    <row r="22" spans="2:58">
      <c r="B22" s="111" t="s">
        <v>383</v>
      </c>
      <c r="C22" s="289"/>
      <c r="D22" s="289"/>
      <c r="E22" s="289"/>
      <c r="F22" s="289"/>
      <c r="G22" s="289"/>
      <c r="H22" s="289"/>
      <c r="I22" s="289"/>
      <c r="J22" s="289"/>
      <c r="K22" s="289"/>
      <c r="L22" s="289"/>
      <c r="M22" s="229">
        <v>121639.03599999999</v>
      </c>
      <c r="N22" s="229">
        <v>127797.147</v>
      </c>
      <c r="O22" s="229">
        <v>136124.69899999999</v>
      </c>
      <c r="P22" s="370">
        <f t="shared" si="11"/>
        <v>134910.04999999999</v>
      </c>
      <c r="Q22" s="305"/>
      <c r="R22" s="229"/>
      <c r="S22" s="229"/>
      <c r="T22" s="229"/>
      <c r="U22" s="370"/>
      <c r="V22" s="229"/>
      <c r="W22" s="229"/>
      <c r="X22" s="229"/>
      <c r="Y22" s="370"/>
      <c r="Z22" s="229"/>
      <c r="AA22" s="229"/>
      <c r="AB22" s="229"/>
      <c r="AC22" s="370"/>
      <c r="AD22" s="229"/>
      <c r="AE22" s="229"/>
      <c r="AF22" s="229"/>
      <c r="AG22" s="370"/>
      <c r="AH22" s="229"/>
      <c r="AI22" s="229"/>
      <c r="AJ22" s="229"/>
      <c r="AK22" s="370"/>
      <c r="AL22" s="229"/>
      <c r="AM22" s="229"/>
      <c r="AN22" s="229"/>
      <c r="AO22" s="370"/>
      <c r="AP22" s="229"/>
      <c r="AQ22" s="229">
        <v>52536.599000000002</v>
      </c>
      <c r="AR22" s="229">
        <f>78913.308-AQ22</f>
        <v>26376.709000000003</v>
      </c>
      <c r="AS22" s="229">
        <f>108441.696-AR22-AQ22-AP22</f>
        <v>29528.387999999992</v>
      </c>
      <c r="AT22" s="229">
        <v>27182.151999999998</v>
      </c>
      <c r="AU22" s="229">
        <v>59656.762999999999</v>
      </c>
      <c r="AV22" s="229">
        <f>88574.627-AU22</f>
        <v>28917.863999999994</v>
      </c>
      <c r="AW22" s="229">
        <f>121639.036-AV22-AU22-AT22</f>
        <v>5882.2569999999942</v>
      </c>
      <c r="AX22" s="229">
        <v>30061.328000000001</v>
      </c>
      <c r="AY22" s="229">
        <f>61330.209-AX22</f>
        <v>31268.881000000001</v>
      </c>
      <c r="AZ22" s="229">
        <f>92899.209-AY22-AX22</f>
        <v>31569</v>
      </c>
      <c r="BA22" s="370">
        <f t="shared" si="12"/>
        <v>34897.937999999995</v>
      </c>
      <c r="BB22" s="229">
        <v>31665.011999999999</v>
      </c>
      <c r="BC22" s="229">
        <f>63589.388-BB22</f>
        <v>31924.376</v>
      </c>
      <c r="BD22" s="229">
        <f>96069.253-BC22-BB22</f>
        <v>32479.864999999994</v>
      </c>
      <c r="BE22" s="370">
        <f t="shared" si="13"/>
        <v>40055.445999999996</v>
      </c>
      <c r="BF22" s="229">
        <v>30450.363000000001</v>
      </c>
    </row>
    <row r="23" spans="2:58">
      <c r="B23" s="111" t="s">
        <v>377</v>
      </c>
      <c r="C23" s="289"/>
      <c r="D23" s="289"/>
      <c r="E23" s="289"/>
      <c r="F23" s="289"/>
      <c r="G23" s="289"/>
      <c r="H23" s="289"/>
      <c r="I23" s="289"/>
      <c r="J23" s="289"/>
      <c r="K23" s="289"/>
      <c r="L23" s="289"/>
      <c r="M23" s="229">
        <v>848160.321</v>
      </c>
      <c r="N23" s="229">
        <v>956750.19400000002</v>
      </c>
      <c r="O23" s="229">
        <v>1087917.47</v>
      </c>
      <c r="P23" s="370">
        <f t="shared" si="11"/>
        <v>1107143.0150000001</v>
      </c>
      <c r="Q23" s="305"/>
      <c r="R23" s="229"/>
      <c r="S23" s="229"/>
      <c r="T23" s="229"/>
      <c r="U23" s="370"/>
      <c r="V23" s="229"/>
      <c r="W23" s="229"/>
      <c r="X23" s="229"/>
      <c r="Y23" s="370"/>
      <c r="Z23" s="229"/>
      <c r="AA23" s="229"/>
      <c r="AB23" s="229"/>
      <c r="AC23" s="370"/>
      <c r="AD23" s="229"/>
      <c r="AE23" s="229"/>
      <c r="AF23" s="229"/>
      <c r="AG23" s="370"/>
      <c r="AH23" s="229"/>
      <c r="AI23" s="229"/>
      <c r="AJ23" s="229"/>
      <c r="AK23" s="370"/>
      <c r="AL23" s="229"/>
      <c r="AM23" s="229"/>
      <c r="AN23" s="229"/>
      <c r="AO23" s="370"/>
      <c r="AP23" s="229"/>
      <c r="AQ23" s="229">
        <v>474140.87800000003</v>
      </c>
      <c r="AR23" s="229">
        <f>703047.342-AQ23</f>
        <v>228906.46399999992</v>
      </c>
      <c r="AS23" s="229">
        <f>931590.085-AR23-AQ23-AP23</f>
        <v>228542.74300000002</v>
      </c>
      <c r="AT23" s="229">
        <v>203282.11499999999</v>
      </c>
      <c r="AU23" s="229">
        <v>404276.06300000002</v>
      </c>
      <c r="AV23" s="229">
        <f>620406.788-AU23</f>
        <v>216130.72499999992</v>
      </c>
      <c r="AW23" s="229">
        <f>848160.321-AV23-AU23-AT23</f>
        <v>24471.418000000122</v>
      </c>
      <c r="AX23" s="229">
        <v>234775.24299999999</v>
      </c>
      <c r="AY23" s="229">
        <f>466234.522-AX23</f>
        <v>231459.27900000001</v>
      </c>
      <c r="AZ23" s="229">
        <f>704668.514-AY23-AX23</f>
        <v>238433.992</v>
      </c>
      <c r="BA23" s="370">
        <f t="shared" si="12"/>
        <v>252081.68000000005</v>
      </c>
      <c r="BB23" s="229">
        <v>256299.70499999999</v>
      </c>
      <c r="BC23" s="229">
        <f>513806.726-BB23</f>
        <v>257507.02100000004</v>
      </c>
      <c r="BD23" s="229">
        <f>786777.496-BC23-BB23</f>
        <v>272970.77</v>
      </c>
      <c r="BE23" s="370">
        <f t="shared" si="13"/>
        <v>301139.97399999993</v>
      </c>
      <c r="BF23" s="229">
        <v>275525.25</v>
      </c>
    </row>
    <row r="24" spans="2:58">
      <c r="B24" s="111" t="s">
        <v>378</v>
      </c>
      <c r="C24" s="289"/>
      <c r="D24" s="289"/>
      <c r="E24" s="289"/>
      <c r="F24" s="289"/>
      <c r="G24" s="289"/>
      <c r="H24" s="289"/>
      <c r="I24" s="289"/>
      <c r="J24" s="289"/>
      <c r="K24" s="289"/>
      <c r="L24" s="289"/>
      <c r="M24" s="229">
        <v>1248089.6359999999</v>
      </c>
      <c r="N24" s="229">
        <v>1242740.0349999999</v>
      </c>
      <c r="O24" s="229">
        <v>1353541.5870000001</v>
      </c>
      <c r="P24" s="370">
        <f t="shared" si="11"/>
        <v>1367744.7549999999</v>
      </c>
      <c r="Q24" s="305"/>
      <c r="R24" s="229"/>
      <c r="S24" s="229"/>
      <c r="T24" s="229"/>
      <c r="U24" s="370"/>
      <c r="V24" s="229"/>
      <c r="W24" s="229"/>
      <c r="X24" s="229"/>
      <c r="Y24" s="370"/>
      <c r="Z24" s="229"/>
      <c r="AA24" s="229"/>
      <c r="AB24" s="229"/>
      <c r="AC24" s="370"/>
      <c r="AD24" s="229"/>
      <c r="AE24" s="229"/>
      <c r="AF24" s="229"/>
      <c r="AG24" s="370"/>
      <c r="AH24" s="229"/>
      <c r="AI24" s="229"/>
      <c r="AJ24" s="229"/>
      <c r="AK24" s="370"/>
      <c r="AL24" s="229"/>
      <c r="AM24" s="229"/>
      <c r="AN24" s="229"/>
      <c r="AO24" s="370"/>
      <c r="AP24" s="229"/>
      <c r="AQ24" s="229">
        <v>482444.25400000002</v>
      </c>
      <c r="AR24" s="229">
        <f>870171.263-AQ24</f>
        <v>387727.00900000002</v>
      </c>
      <c r="AS24" s="229">
        <f>1158491.777-AR24-AQ24-AP24</f>
        <v>288320.51399999991</v>
      </c>
      <c r="AT24" s="229">
        <v>306268.14600000001</v>
      </c>
      <c r="AU24" s="229">
        <v>615537.34900000005</v>
      </c>
      <c r="AV24" s="229">
        <f>931413.902-AU24</f>
        <v>315876.55299999996</v>
      </c>
      <c r="AW24" s="229">
        <f>1248089.636-AV24-AU24-AT24</f>
        <v>10407.587999999931</v>
      </c>
      <c r="AX24" s="229">
        <v>304515.50599999999</v>
      </c>
      <c r="AY24" s="229">
        <f>620990.349-AX24</f>
        <v>316474.84300000005</v>
      </c>
      <c r="AZ24" s="229">
        <f>931185.302-AY24-AX24</f>
        <v>310194.95300000004</v>
      </c>
      <c r="BA24" s="370">
        <f t="shared" si="12"/>
        <v>311554.73299999977</v>
      </c>
      <c r="BB24" s="229">
        <v>323318.58199999999</v>
      </c>
      <c r="BC24" s="229">
        <f>662202.271-BB24</f>
        <v>338883.68899999995</v>
      </c>
      <c r="BD24" s="229">
        <f>1001147.473-BC24-BB24</f>
        <v>338945.20199999999</v>
      </c>
      <c r="BE24" s="370">
        <f t="shared" si="13"/>
        <v>352394.11400000006</v>
      </c>
      <c r="BF24" s="229">
        <v>337521.75</v>
      </c>
    </row>
    <row r="25" spans="2:58">
      <c r="B25" s="111" t="s">
        <v>380</v>
      </c>
      <c r="C25" s="289"/>
      <c r="D25" s="289"/>
      <c r="E25" s="289"/>
      <c r="F25" s="289"/>
      <c r="G25" s="289"/>
      <c r="H25" s="289"/>
      <c r="I25" s="289"/>
      <c r="J25" s="289"/>
      <c r="K25" s="289"/>
      <c r="L25" s="289"/>
      <c r="M25" s="229">
        <v>52251.177000000003</v>
      </c>
      <c r="N25" s="229">
        <v>4227.8869999999997</v>
      </c>
      <c r="O25" s="229">
        <v>0</v>
      </c>
      <c r="P25" s="370">
        <f t="shared" si="11"/>
        <v>-1411.434</v>
      </c>
      <c r="Q25" s="305"/>
      <c r="R25" s="229"/>
      <c r="S25" s="229"/>
      <c r="T25" s="229"/>
      <c r="U25" s="370"/>
      <c r="V25" s="229"/>
      <c r="W25" s="229"/>
      <c r="X25" s="229"/>
      <c r="Y25" s="370"/>
      <c r="Z25" s="229"/>
      <c r="AA25" s="229"/>
      <c r="AB25" s="229"/>
      <c r="AC25" s="370"/>
      <c r="AD25" s="229"/>
      <c r="AE25" s="229"/>
      <c r="AF25" s="229"/>
      <c r="AG25" s="370"/>
      <c r="AH25" s="229"/>
      <c r="AI25" s="229"/>
      <c r="AJ25" s="229"/>
      <c r="AK25" s="370"/>
      <c r="AL25" s="229"/>
      <c r="AM25" s="229"/>
      <c r="AN25" s="229"/>
      <c r="AO25" s="370"/>
      <c r="AP25" s="229"/>
      <c r="AQ25" s="229">
        <v>489781.255</v>
      </c>
      <c r="AR25" s="229">
        <f>549080.439-AQ25</f>
        <v>59299.184000000008</v>
      </c>
      <c r="AS25" s="229">
        <f>536842.311-AR25-AQ25-AP25</f>
        <v>-12238.128000000026</v>
      </c>
      <c r="AT25" s="229">
        <v>0</v>
      </c>
      <c r="AU25" s="229">
        <v>0</v>
      </c>
      <c r="AV25" s="229">
        <f>0-AU25</f>
        <v>0</v>
      </c>
      <c r="AW25" s="229">
        <f>52251.177-AV25-AU25-AT25</f>
        <v>52251.177000000003</v>
      </c>
      <c r="AX25" s="229">
        <v>0</v>
      </c>
      <c r="AY25" s="229">
        <f>0-AX25</f>
        <v>0</v>
      </c>
      <c r="AZ25" s="229">
        <f>0-AY25-AX25</f>
        <v>0</v>
      </c>
      <c r="BA25" s="370">
        <f t="shared" si="12"/>
        <v>4227.8869999999997</v>
      </c>
      <c r="BB25" s="229">
        <v>1411.434</v>
      </c>
      <c r="BC25" s="229">
        <f>1411.434-BB25</f>
        <v>0</v>
      </c>
      <c r="BD25" s="229">
        <f>1411.434 -BC25-BB25</f>
        <v>0</v>
      </c>
      <c r="BE25" s="370">
        <f t="shared" si="13"/>
        <v>-1411.434</v>
      </c>
      <c r="BF25" s="229">
        <v>0</v>
      </c>
    </row>
    <row r="26" spans="2:58">
      <c r="B26" s="111" t="s">
        <v>379</v>
      </c>
      <c r="C26" s="289"/>
      <c r="D26" s="289"/>
      <c r="E26" s="289"/>
      <c r="F26" s="289"/>
      <c r="G26" s="289"/>
      <c r="H26" s="289"/>
      <c r="I26" s="289"/>
      <c r="J26" s="289"/>
      <c r="K26" s="289"/>
      <c r="L26" s="289"/>
      <c r="M26" s="229">
        <v>-1191542.6029999999</v>
      </c>
      <c r="N26" s="229">
        <v>-1195746.6089999999</v>
      </c>
      <c r="O26" s="229">
        <v>-1275555.085</v>
      </c>
      <c r="P26" s="370">
        <f t="shared" si="11"/>
        <v>-1291400.348</v>
      </c>
      <c r="Q26" s="229"/>
      <c r="R26" s="229"/>
      <c r="S26" s="229"/>
      <c r="T26" s="229"/>
      <c r="U26" s="370"/>
      <c r="V26" s="229"/>
      <c r="W26" s="229"/>
      <c r="X26" s="229"/>
      <c r="Y26" s="370"/>
      <c r="Z26" s="229"/>
      <c r="AA26" s="229"/>
      <c r="AB26" s="229"/>
      <c r="AC26" s="370"/>
      <c r="AD26" s="229"/>
      <c r="AE26" s="229"/>
      <c r="AF26" s="229"/>
      <c r="AG26" s="370"/>
      <c r="AH26" s="229"/>
      <c r="AI26" s="229"/>
      <c r="AJ26" s="229"/>
      <c r="AK26" s="370"/>
      <c r="AL26" s="229"/>
      <c r="AM26" s="229"/>
      <c r="AN26" s="229"/>
      <c r="AO26" s="370"/>
      <c r="AP26" s="229"/>
      <c r="AQ26" s="229">
        <v>-454094.391</v>
      </c>
      <c r="AR26" s="229">
        <f>-826617.654-AQ26</f>
        <v>-372523.26299999998</v>
      </c>
      <c r="AS26" s="229">
        <f>-1106564.722-AR26-AQ26-AP26</f>
        <v>-279947.06800000003</v>
      </c>
      <c r="AT26" s="229">
        <v>-294042.27399999998</v>
      </c>
      <c r="AU26" s="229">
        <v>-587486.804</v>
      </c>
      <c r="AV26" s="229">
        <f>-889399.237-AU26</f>
        <v>-301912.43299999996</v>
      </c>
      <c r="AW26" s="229">
        <f>-1191542.603-AV26-AU26-AT26</f>
        <v>-8101.091999999946</v>
      </c>
      <c r="AX26" s="229">
        <v>-287444.80599999998</v>
      </c>
      <c r="AY26" s="229">
        <f>-583434.31-AX26</f>
        <v>-295989.50400000007</v>
      </c>
      <c r="AZ26" s="229">
        <f>-889411.817-AY26-AX26</f>
        <v>-305977.50699999998</v>
      </c>
      <c r="BA26" s="370">
        <f t="shared" si="12"/>
        <v>-306334.7919999999</v>
      </c>
      <c r="BB26" s="229">
        <v>-308179.13900000002</v>
      </c>
      <c r="BC26" s="229">
        <f>-629806.045-BB26</f>
        <v>-321626.90600000002</v>
      </c>
      <c r="BD26" s="229">
        <f>-954705.731-BC26-BB26</f>
        <v>-324899.68599999993</v>
      </c>
      <c r="BE26" s="370">
        <f t="shared" si="13"/>
        <v>-320849.35400000005</v>
      </c>
      <c r="BF26" s="229">
        <v>-324024.402</v>
      </c>
    </row>
    <row r="27" spans="2:58" s="5" customFormat="1">
      <c r="B27" s="114" t="s">
        <v>381</v>
      </c>
      <c r="C27" s="142">
        <f t="shared" ref="C27:I27" si="14">SUM(C20:C25)</f>
        <v>0</v>
      </c>
      <c r="D27" s="142">
        <f t="shared" si="14"/>
        <v>0</v>
      </c>
      <c r="E27" s="142">
        <f t="shared" si="14"/>
        <v>0</v>
      </c>
      <c r="F27" s="142">
        <f t="shared" si="14"/>
        <v>0</v>
      </c>
      <c r="G27" s="142">
        <f t="shared" si="14"/>
        <v>0</v>
      </c>
      <c r="H27" s="142">
        <f t="shared" si="14"/>
        <v>0</v>
      </c>
      <c r="I27" s="142">
        <f t="shared" si="14"/>
        <v>0</v>
      </c>
      <c r="J27" s="142">
        <f>SUM(J20:J25)</f>
        <v>0</v>
      </c>
      <c r="K27" s="142">
        <f>SUM(K20:K25)</f>
        <v>0</v>
      </c>
      <c r="L27" s="142">
        <f>SUM(L20:L26)</f>
        <v>0</v>
      </c>
      <c r="M27" s="148">
        <f>SUM(M20:M26)</f>
        <v>2573141.9230000004</v>
      </c>
      <c r="N27" s="148">
        <f>SUM(N20:N26)</f>
        <v>2764760.2740000002</v>
      </c>
      <c r="O27" s="148">
        <f>SUM(O20:O26)</f>
        <v>3032301.0540000005</v>
      </c>
      <c r="P27" s="148">
        <f>SUM(P20:P26)</f>
        <v>3083268.3729999997</v>
      </c>
      <c r="Q27" s="371"/>
      <c r="R27" s="148">
        <f>SUM(R20:R25)</f>
        <v>0</v>
      </c>
      <c r="S27" s="148">
        <f t="shared" ref="S27:AB27" si="15">SUM(S20:S25)</f>
        <v>0</v>
      </c>
      <c r="T27" s="148">
        <f t="shared" si="15"/>
        <v>0</v>
      </c>
      <c r="U27" s="148">
        <f t="shared" si="15"/>
        <v>0</v>
      </c>
      <c r="V27" s="148">
        <f t="shared" si="15"/>
        <v>0</v>
      </c>
      <c r="W27" s="148">
        <f t="shared" si="15"/>
        <v>0</v>
      </c>
      <c r="X27" s="148">
        <f t="shared" si="15"/>
        <v>0</v>
      </c>
      <c r="Y27" s="148">
        <f t="shared" si="15"/>
        <v>0</v>
      </c>
      <c r="Z27" s="148">
        <f t="shared" si="15"/>
        <v>0</v>
      </c>
      <c r="AA27" s="148">
        <f t="shared" si="15"/>
        <v>0</v>
      </c>
      <c r="AB27" s="148">
        <f t="shared" si="15"/>
        <v>0</v>
      </c>
      <c r="AC27" s="148">
        <f>SUM(AC20:AC25)</f>
        <v>0</v>
      </c>
      <c r="AD27" s="148">
        <f>SUM(AD20:AD25)</f>
        <v>0</v>
      </c>
      <c r="AE27" s="148">
        <f>SUM(AE20:AE25)</f>
        <v>0</v>
      </c>
      <c r="AF27" s="148">
        <f t="shared" ref="AF27:AK27" si="16">SUM(AF20:AF25)</f>
        <v>0</v>
      </c>
      <c r="AG27" s="148">
        <f t="shared" si="16"/>
        <v>0</v>
      </c>
      <c r="AH27" s="148">
        <f t="shared" si="16"/>
        <v>0</v>
      </c>
      <c r="AI27" s="148">
        <f t="shared" si="16"/>
        <v>0</v>
      </c>
      <c r="AJ27" s="148">
        <f t="shared" si="16"/>
        <v>0</v>
      </c>
      <c r="AK27" s="148">
        <f t="shared" si="16"/>
        <v>0</v>
      </c>
      <c r="AL27" s="148">
        <f>SUM(AL20:AL25)</f>
        <v>0</v>
      </c>
      <c r="AM27" s="148">
        <f>SUM(AM20:AM25)</f>
        <v>0</v>
      </c>
      <c r="AN27" s="148">
        <f>SUM(AN20:AN25)</f>
        <v>0</v>
      </c>
      <c r="AO27" s="148">
        <f>SUM(AO20:AO25)</f>
        <v>0</v>
      </c>
      <c r="AP27" s="148">
        <f>SUM(AP20:AP25)</f>
        <v>0</v>
      </c>
      <c r="AQ27" s="148">
        <f t="shared" ref="AQ27:AX27" si="17">SUM(AQ20:AQ26)</f>
        <v>1799508.1390000002</v>
      </c>
      <c r="AR27" s="148">
        <f t="shared" si="17"/>
        <v>695595.44500000007</v>
      </c>
      <c r="AS27" s="148">
        <f t="shared" si="17"/>
        <v>642605.9879999999</v>
      </c>
      <c r="AT27" s="148">
        <f t="shared" si="17"/>
        <v>613338.30499999993</v>
      </c>
      <c r="AU27" s="148">
        <f t="shared" si="17"/>
        <v>1231061.2150000003</v>
      </c>
      <c r="AV27" s="148">
        <f t="shared" si="17"/>
        <v>617438.30099999986</v>
      </c>
      <c r="AW27" s="148">
        <f t="shared" si="17"/>
        <v>111304.10199999996</v>
      </c>
      <c r="AX27" s="148">
        <f t="shared" si="17"/>
        <v>664643.36699999997</v>
      </c>
      <c r="AY27" s="148">
        <f t="shared" ref="AY27:BD27" si="18">SUM(AY20:AY26)</f>
        <v>680422.89</v>
      </c>
      <c r="AZ27" s="148">
        <f t="shared" si="18"/>
        <v>673444.36100000003</v>
      </c>
      <c r="BA27" s="148">
        <f t="shared" si="18"/>
        <v>746249.65599999996</v>
      </c>
      <c r="BB27" s="148">
        <f t="shared" si="18"/>
        <v>724615.22699999996</v>
      </c>
      <c r="BC27" s="148">
        <f t="shared" si="18"/>
        <v>723017.55700000003</v>
      </c>
      <c r="BD27" s="148">
        <f t="shared" si="18"/>
        <v>747553.17299999995</v>
      </c>
      <c r="BE27" s="148">
        <f>SUM(BE20:BE26)</f>
        <v>837115.09700000007</v>
      </c>
      <c r="BF27" s="148">
        <f>SUM(BF20:BF26)</f>
        <v>775582.54599999986</v>
      </c>
    </row>
    <row r="28" spans="2:58" s="177" customFormat="1">
      <c r="B28" s="337" t="s">
        <v>22</v>
      </c>
      <c r="C28" s="338"/>
      <c r="D28" s="338"/>
      <c r="E28" s="338"/>
      <c r="F28" s="338"/>
      <c r="G28" s="338"/>
      <c r="H28" s="338"/>
      <c r="I28" s="338"/>
      <c r="J28" s="338"/>
      <c r="K28" s="338"/>
      <c r="L28" s="338"/>
      <c r="M28" s="340">
        <f>M27-(Model!L7+Model!L9+Model!L14)</f>
        <v>0</v>
      </c>
      <c r="N28" s="340">
        <f>N27-(Model!M7+Model!M9+Model!M14)</f>
        <v>0</v>
      </c>
      <c r="O28" s="340">
        <f>O27-(Model!N7+Model!N9+Model!N14)</f>
        <v>0</v>
      </c>
      <c r="P28" s="340">
        <f>P27-(Model!O7+Model!O9+Model!O14)</f>
        <v>0</v>
      </c>
      <c r="Q28" s="340"/>
      <c r="R28" s="340"/>
      <c r="S28" s="340"/>
      <c r="T28" s="340"/>
      <c r="U28" s="340"/>
      <c r="V28" s="340"/>
      <c r="W28" s="340"/>
      <c r="X28" s="340"/>
      <c r="Y28" s="340"/>
      <c r="Z28" s="340"/>
      <c r="AA28" s="340"/>
      <c r="AB28" s="340"/>
      <c r="AC28" s="372"/>
      <c r="AD28" s="340"/>
      <c r="AE28" s="340"/>
      <c r="AF28" s="340"/>
      <c r="AG28" s="340"/>
      <c r="AH28" s="340"/>
      <c r="AI28" s="340"/>
      <c r="AJ28" s="340"/>
      <c r="AK28" s="340"/>
      <c r="AL28" s="340"/>
      <c r="AM28" s="340"/>
      <c r="AN28" s="340"/>
      <c r="AO28" s="340"/>
      <c r="AP28" s="340"/>
      <c r="AQ28" s="340"/>
      <c r="AR28" s="340"/>
      <c r="AS28" s="340"/>
      <c r="AT28" s="340"/>
      <c r="AU28" s="340"/>
      <c r="AV28" s="340"/>
      <c r="AW28" s="340"/>
      <c r="AX28" s="340"/>
      <c r="AY28" s="340">
        <f>AY27-(Model!AX7+Model!AX9+Model!AX14)</f>
        <v>0</v>
      </c>
      <c r="AZ28" s="340">
        <f>AZ27-(Model!AY7+Model!AY9+Model!AY14)</f>
        <v>0</v>
      </c>
      <c r="BA28" s="340">
        <f>BA27-(Model!AZ7+Model!AZ9+Model!AZ14)</f>
        <v>0</v>
      </c>
      <c r="BB28" s="340">
        <f>BB27-(Model!BA7+Model!BA9+Model!BA14)</f>
        <v>0</v>
      </c>
      <c r="BC28" s="340">
        <f>BC27-(Model!BB7+Model!BB9+Model!BB14)</f>
        <v>0</v>
      </c>
      <c r="BD28" s="340">
        <f>BD27-(Model!BC7+Model!BC9+Model!BC14)</f>
        <v>0</v>
      </c>
      <c r="BE28" s="340">
        <f>BE27-(Model!BD7+Model!BD9+Model!BD14)</f>
        <v>0</v>
      </c>
      <c r="BF28" s="340">
        <f>BF27-(Model!BE7+Model!BE9+Model!BE14)</f>
        <v>0</v>
      </c>
    </row>
    <row r="29" spans="2:58" s="177" customFormat="1">
      <c r="B29" s="145"/>
      <c r="C29" s="146"/>
      <c r="D29" s="146"/>
      <c r="E29" s="146"/>
      <c r="F29" s="146"/>
      <c r="G29" s="146"/>
      <c r="H29" s="146"/>
      <c r="I29" s="146"/>
      <c r="J29" s="146"/>
      <c r="K29" s="146"/>
      <c r="L29" s="146"/>
      <c r="M29" s="146"/>
      <c r="N29" s="146"/>
      <c r="O29" s="146"/>
      <c r="P29" s="146"/>
      <c r="Q29" s="340"/>
      <c r="R29" s="146"/>
      <c r="S29" s="146"/>
      <c r="T29" s="146"/>
      <c r="U29" s="146"/>
      <c r="V29" s="146"/>
      <c r="W29" s="146"/>
      <c r="X29" s="146"/>
      <c r="Y29" s="146"/>
      <c r="Z29" s="146"/>
      <c r="AA29" s="146"/>
      <c r="AB29" s="146"/>
      <c r="AC29" s="112"/>
      <c r="AD29" s="194"/>
      <c r="AE29" s="194"/>
      <c r="AF29" s="194"/>
      <c r="AG29" s="194"/>
      <c r="AH29" s="194"/>
      <c r="AI29" s="194"/>
      <c r="AJ29" s="194"/>
      <c r="AK29" s="194"/>
      <c r="AL29" s="194"/>
      <c r="AM29" s="194"/>
      <c r="AN29" s="194"/>
      <c r="AO29" s="194"/>
      <c r="AP29" s="194"/>
      <c r="AQ29" s="194"/>
      <c r="AR29" s="194"/>
      <c r="AS29" s="194"/>
      <c r="AT29" s="194"/>
      <c r="AU29" s="194"/>
      <c r="AV29" s="194"/>
      <c r="AW29" s="194"/>
      <c r="AX29" s="194"/>
      <c r="AY29" s="194"/>
      <c r="AZ29" s="194"/>
      <c r="BA29" s="194"/>
      <c r="BB29" s="194"/>
      <c r="BC29" s="194"/>
      <c r="BD29" s="194"/>
      <c r="BE29" s="194"/>
      <c r="BF29" s="194"/>
    </row>
    <row r="30" spans="2:58" s="177" customFormat="1">
      <c r="B30" s="377" t="s">
        <v>384</v>
      </c>
      <c r="C30" s="146"/>
      <c r="D30" s="146"/>
      <c r="E30" s="146"/>
      <c r="F30" s="146"/>
      <c r="G30" s="146"/>
      <c r="H30" s="146"/>
      <c r="I30" s="146"/>
      <c r="J30" s="146"/>
      <c r="K30" s="146"/>
      <c r="L30" s="146"/>
      <c r="M30" s="146"/>
      <c r="N30" s="146"/>
      <c r="O30" s="146"/>
      <c r="P30" s="146"/>
      <c r="Q30" s="340"/>
      <c r="R30" s="146"/>
      <c r="S30" s="146"/>
      <c r="T30" s="146"/>
      <c r="U30" s="146"/>
      <c r="V30" s="146"/>
      <c r="W30" s="146"/>
      <c r="X30" s="146"/>
      <c r="Y30" s="146"/>
      <c r="Z30" s="146"/>
      <c r="AA30" s="146"/>
      <c r="AB30" s="146"/>
      <c r="AC30" s="112"/>
      <c r="AD30" s="194"/>
      <c r="AE30" s="194"/>
      <c r="AF30" s="194"/>
      <c r="AG30" s="194"/>
      <c r="AH30" s="194"/>
      <c r="AI30" s="194"/>
      <c r="AJ30" s="194"/>
      <c r="AK30" s="194"/>
      <c r="AL30" s="194"/>
      <c r="AM30" s="194"/>
      <c r="AN30" s="194"/>
      <c r="AO30" s="194"/>
      <c r="AP30" s="194"/>
      <c r="AQ30" s="194"/>
      <c r="AR30" s="194"/>
      <c r="AS30" s="194"/>
      <c r="AT30" s="194"/>
      <c r="AU30" s="194"/>
      <c r="AV30" s="194"/>
      <c r="AW30" s="194"/>
      <c r="AX30" s="194"/>
      <c r="AY30" s="194"/>
      <c r="AZ30" s="194"/>
      <c r="BA30" s="194"/>
      <c r="BB30" s="194"/>
      <c r="BC30" s="194"/>
      <c r="BD30" s="194"/>
      <c r="BE30" s="194"/>
      <c r="BF30" s="194"/>
    </row>
    <row r="31" spans="2:58" s="177" customFormat="1">
      <c r="B31" s="111" t="s">
        <v>374</v>
      </c>
      <c r="C31" s="378"/>
      <c r="D31" s="378"/>
      <c r="E31" s="378"/>
      <c r="F31" s="378"/>
      <c r="G31" s="378"/>
      <c r="H31" s="378"/>
      <c r="I31" s="378"/>
      <c r="J31" s="378"/>
      <c r="K31" s="378"/>
      <c r="L31" s="378"/>
      <c r="M31" s="149">
        <f t="shared" ref="M31:P37" si="19">M20/M$27</f>
        <v>0.4155674385629291</v>
      </c>
      <c r="N31" s="149">
        <f t="shared" si="19"/>
        <v>0.4248165774245351</v>
      </c>
      <c r="O31" s="149">
        <f t="shared" si="19"/>
        <v>0.41521831987596564</v>
      </c>
      <c r="P31" s="149">
        <f t="shared" si="19"/>
        <v>0.41887338913134575</v>
      </c>
      <c r="Q31" s="340"/>
      <c r="R31" s="290"/>
      <c r="S31" s="290"/>
      <c r="T31" s="290"/>
      <c r="U31" s="290"/>
      <c r="V31" s="290"/>
      <c r="W31" s="290"/>
      <c r="X31" s="290"/>
      <c r="Y31" s="290"/>
      <c r="Z31" s="290"/>
      <c r="AA31" s="290"/>
      <c r="AB31" s="290"/>
      <c r="AC31" s="290"/>
      <c r="AD31" s="290"/>
      <c r="AE31" s="290"/>
      <c r="AF31" s="290"/>
      <c r="AG31" s="290"/>
      <c r="AH31" s="290"/>
      <c r="AI31" s="290"/>
      <c r="AJ31" s="290"/>
      <c r="AK31" s="290"/>
      <c r="AL31" s="290"/>
      <c r="AM31" s="290"/>
      <c r="AN31" s="290"/>
      <c r="AO31" s="290"/>
      <c r="AP31" s="290"/>
      <c r="AQ31" s="149">
        <f t="shared" ref="AQ31:BF31" si="20">AQ20/AQ$27</f>
        <v>0.3097914118408997</v>
      </c>
      <c r="AR31" s="149">
        <f t="shared" si="20"/>
        <v>0.38001953994969018</v>
      </c>
      <c r="AS31" s="149">
        <f t="shared" si="20"/>
        <v>0.43260556731693572</v>
      </c>
      <c r="AT31" s="149">
        <f t="shared" si="20"/>
        <v>0.43532977774802445</v>
      </c>
      <c r="AU31" s="149">
        <f t="shared" si="20"/>
        <v>0.42900569164629226</v>
      </c>
      <c r="AV31" s="149">
        <f t="shared" si="20"/>
        <v>0.41734834489964701</v>
      </c>
      <c r="AW31" s="149">
        <f t="shared" si="20"/>
        <v>0.14815670495234626</v>
      </c>
      <c r="AX31" s="149">
        <f t="shared" si="20"/>
        <v>0.41430136471970536</v>
      </c>
      <c r="AY31" s="149">
        <f t="shared" si="20"/>
        <v>0.42071650764129936</v>
      </c>
      <c r="AZ31" s="149">
        <f t="shared" si="20"/>
        <v>0.4284784723292086</v>
      </c>
      <c r="BA31" s="149">
        <f t="shared" si="20"/>
        <v>0.43461566433204485</v>
      </c>
      <c r="BB31" s="149">
        <f t="shared" si="20"/>
        <v>0.42115750073797442</v>
      </c>
      <c r="BC31" s="149">
        <f t="shared" si="20"/>
        <v>0.41288080505076868</v>
      </c>
      <c r="BD31" s="149">
        <f t="shared" si="20"/>
        <v>0.41435155810648938</v>
      </c>
      <c r="BE31" s="149">
        <f t="shared" si="20"/>
        <v>0.41287024835486874</v>
      </c>
      <c r="BF31" s="149">
        <f t="shared" si="20"/>
        <v>0.43529765302376988</v>
      </c>
    </row>
    <row r="32" spans="2:58" s="177" customFormat="1">
      <c r="B32" s="111" t="s">
        <v>382</v>
      </c>
      <c r="C32" s="378"/>
      <c r="D32" s="378"/>
      <c r="E32" s="378"/>
      <c r="F32" s="378"/>
      <c r="G32" s="378"/>
      <c r="H32" s="378"/>
      <c r="I32" s="378"/>
      <c r="J32" s="378"/>
      <c r="K32" s="378"/>
      <c r="L32" s="378"/>
      <c r="M32" s="149">
        <f t="shared" si="19"/>
        <v>0.16525724997874514</v>
      </c>
      <c r="N32" s="149">
        <f t="shared" si="19"/>
        <v>0.16438156583553398</v>
      </c>
      <c r="O32" s="149">
        <f t="shared" si="19"/>
        <v>0.15539533364552263</v>
      </c>
      <c r="P32" s="149">
        <f t="shared" si="19"/>
        <v>0.15398700488016195</v>
      </c>
      <c r="Q32" s="340"/>
      <c r="R32" s="290"/>
      <c r="S32" s="290"/>
      <c r="T32" s="290"/>
      <c r="U32" s="290"/>
      <c r="V32" s="290"/>
      <c r="W32" s="290"/>
      <c r="X32" s="290"/>
      <c r="Y32" s="290"/>
      <c r="Z32" s="290"/>
      <c r="AA32" s="290"/>
      <c r="AB32" s="290"/>
      <c r="AC32" s="290"/>
      <c r="AD32" s="290"/>
      <c r="AE32" s="290"/>
      <c r="AF32" s="290"/>
      <c r="AG32" s="290"/>
      <c r="AH32" s="290"/>
      <c r="AI32" s="290"/>
      <c r="AJ32" s="290"/>
      <c r="AK32" s="290"/>
      <c r="AL32" s="290"/>
      <c r="AM32" s="290"/>
      <c r="AN32" s="290"/>
      <c r="AO32" s="290"/>
      <c r="AP32" s="290"/>
      <c r="AQ32" s="149">
        <f t="shared" ref="AQ32:BF32" si="21">AQ21/AQ$27</f>
        <v>0.10960071406490036</v>
      </c>
      <c r="AR32" s="149">
        <f t="shared" si="21"/>
        <v>0.14587427466549899</v>
      </c>
      <c r="AS32" s="149">
        <f t="shared" si="21"/>
        <v>0.17180762872069599</v>
      </c>
      <c r="AT32" s="149">
        <f t="shared" si="21"/>
        <v>0.16898298566237438</v>
      </c>
      <c r="AU32" s="149">
        <f t="shared" si="21"/>
        <v>0.17135262928415784</v>
      </c>
      <c r="AV32" s="149">
        <f t="shared" si="21"/>
        <v>0.16315596042040811</v>
      </c>
      <c r="AW32" s="149">
        <f t="shared" si="21"/>
        <v>8.8966217974608089E-2</v>
      </c>
      <c r="AX32" s="149">
        <f t="shared" si="21"/>
        <v>0.16155046048928673</v>
      </c>
      <c r="AY32" s="149">
        <f t="shared" si="21"/>
        <v>0.16305190585225607</v>
      </c>
      <c r="AZ32" s="149">
        <f t="shared" si="21"/>
        <v>0.16433059419440291</v>
      </c>
      <c r="BA32" s="149">
        <f t="shared" si="21"/>
        <v>0.16816144435180824</v>
      </c>
      <c r="BB32" s="149">
        <f t="shared" si="21"/>
        <v>0.15859795753367464</v>
      </c>
      <c r="BC32" s="149">
        <f t="shared" si="21"/>
        <v>0.1629411414140805</v>
      </c>
      <c r="BD32" s="149">
        <f t="shared" si="21"/>
        <v>0.15825924398825339</v>
      </c>
      <c r="BE32" s="149">
        <f t="shared" si="21"/>
        <v>0.14354828079274265</v>
      </c>
      <c r="BF32" s="149">
        <f t="shared" si="21"/>
        <v>0.15278879548173849</v>
      </c>
    </row>
    <row r="33" spans="2:58" s="177" customFormat="1">
      <c r="B33" s="111" t="s">
        <v>383</v>
      </c>
      <c r="C33" s="378"/>
      <c r="D33" s="378"/>
      <c r="E33" s="378"/>
      <c r="F33" s="378"/>
      <c r="G33" s="378"/>
      <c r="H33" s="378"/>
      <c r="I33" s="378"/>
      <c r="J33" s="378"/>
      <c r="K33" s="378"/>
      <c r="L33" s="378"/>
      <c r="M33" s="149">
        <f t="shared" si="19"/>
        <v>4.7272571680843103E-2</v>
      </c>
      <c r="N33" s="149">
        <f t="shared" si="19"/>
        <v>4.6223590595471639E-2</v>
      </c>
      <c r="O33" s="149">
        <f t="shared" si="19"/>
        <v>4.4891551523366643E-2</v>
      </c>
      <c r="P33" s="149">
        <f t="shared" si="19"/>
        <v>4.3755532661833588E-2</v>
      </c>
      <c r="Q33" s="340"/>
      <c r="R33" s="290"/>
      <c r="S33" s="290"/>
      <c r="T33" s="290"/>
      <c r="U33" s="290"/>
      <c r="V33" s="290"/>
      <c r="W33" s="290"/>
      <c r="X33" s="290"/>
      <c r="Y33" s="290"/>
      <c r="Z33" s="290"/>
      <c r="AA33" s="290"/>
      <c r="AB33" s="290"/>
      <c r="AC33" s="290"/>
      <c r="AD33" s="290"/>
      <c r="AE33" s="290"/>
      <c r="AF33" s="290"/>
      <c r="AG33" s="290"/>
      <c r="AH33" s="290"/>
      <c r="AI33" s="290"/>
      <c r="AJ33" s="290"/>
      <c r="AK33" s="290"/>
      <c r="AL33" s="290"/>
      <c r="AM33" s="290"/>
      <c r="AN33" s="290"/>
      <c r="AO33" s="290"/>
      <c r="AP33" s="290"/>
      <c r="AQ33" s="149">
        <f t="shared" ref="AQ33:BF33" si="22">AQ22/AQ$27</f>
        <v>2.919497715036453E-2</v>
      </c>
      <c r="AR33" s="149">
        <f t="shared" si="22"/>
        <v>3.7919611448864507E-2</v>
      </c>
      <c r="AS33" s="149">
        <f t="shared" si="22"/>
        <v>4.5951000381901197E-2</v>
      </c>
      <c r="AT33" s="149">
        <f t="shared" si="22"/>
        <v>4.4318366843238338E-2</v>
      </c>
      <c r="AU33" s="149">
        <f t="shared" si="22"/>
        <v>4.845962351271052E-2</v>
      </c>
      <c r="AV33" s="149">
        <f t="shared" si="22"/>
        <v>4.683522864254578E-2</v>
      </c>
      <c r="AW33" s="149">
        <f t="shared" si="22"/>
        <v>5.2848519455284737E-2</v>
      </c>
      <c r="AX33" s="149">
        <f t="shared" si="22"/>
        <v>4.5229260521605419E-2</v>
      </c>
      <c r="AY33" s="149">
        <f t="shared" si="22"/>
        <v>4.5955069207033877E-2</v>
      </c>
      <c r="AZ33" s="149">
        <f t="shared" si="22"/>
        <v>4.6876923808706443E-2</v>
      </c>
      <c r="BA33" s="149">
        <f t="shared" si="22"/>
        <v>4.6764427587220214E-2</v>
      </c>
      <c r="BB33" s="149">
        <f t="shared" si="22"/>
        <v>4.3699070651740529E-2</v>
      </c>
      <c r="BC33" s="149">
        <f t="shared" si="22"/>
        <v>4.4154357927991501E-2</v>
      </c>
      <c r="BD33" s="149">
        <f t="shared" si="22"/>
        <v>4.3448233748584461E-2</v>
      </c>
      <c r="BE33" s="149">
        <f t="shared" si="22"/>
        <v>4.7849389102583573E-2</v>
      </c>
      <c r="BF33" s="149">
        <f t="shared" si="22"/>
        <v>3.9261279353235992E-2</v>
      </c>
    </row>
    <row r="34" spans="2:58" s="177" customFormat="1">
      <c r="B34" s="111" t="s">
        <v>377</v>
      </c>
      <c r="C34" s="378"/>
      <c r="D34" s="378"/>
      <c r="E34" s="378"/>
      <c r="F34" s="378"/>
      <c r="G34" s="378"/>
      <c r="H34" s="378"/>
      <c r="I34" s="378"/>
      <c r="J34" s="378"/>
      <c r="K34" s="378"/>
      <c r="L34" s="378"/>
      <c r="M34" s="149">
        <f t="shared" si="19"/>
        <v>0.32962049757874934</v>
      </c>
      <c r="N34" s="149">
        <f t="shared" si="19"/>
        <v>0.34605177273318993</v>
      </c>
      <c r="O34" s="149">
        <f t="shared" si="19"/>
        <v>0.35877620679018496</v>
      </c>
      <c r="P34" s="149">
        <f t="shared" si="19"/>
        <v>0.35908097546590062</v>
      </c>
      <c r="Q34" s="340"/>
      <c r="R34" s="290"/>
      <c r="S34" s="290"/>
      <c r="T34" s="290"/>
      <c r="U34" s="290"/>
      <c r="V34" s="290"/>
      <c r="W34" s="290"/>
      <c r="X34" s="290"/>
      <c r="Y34" s="290"/>
      <c r="Z34" s="290"/>
      <c r="AA34" s="290"/>
      <c r="AB34" s="290"/>
      <c r="AC34" s="290"/>
      <c r="AD34" s="290"/>
      <c r="AE34" s="290"/>
      <c r="AF34" s="290"/>
      <c r="AG34" s="290"/>
      <c r="AH34" s="290"/>
      <c r="AI34" s="290"/>
      <c r="AJ34" s="290"/>
      <c r="AK34" s="290"/>
      <c r="AL34" s="290"/>
      <c r="AM34" s="290"/>
      <c r="AN34" s="290"/>
      <c r="AO34" s="290"/>
      <c r="AP34" s="290"/>
      <c r="AQ34" s="149">
        <f t="shared" ref="AQ34:BF34" si="23">AQ23/AQ$27</f>
        <v>0.26348359739205379</v>
      </c>
      <c r="AR34" s="149">
        <f t="shared" si="23"/>
        <v>0.32907987774416764</v>
      </c>
      <c r="AS34" s="149">
        <f t="shared" si="23"/>
        <v>0.35564988074776555</v>
      </c>
      <c r="AT34" s="149">
        <f t="shared" si="23"/>
        <v>0.33143554436894335</v>
      </c>
      <c r="AU34" s="149">
        <f t="shared" si="23"/>
        <v>0.32839639335075627</v>
      </c>
      <c r="AV34" s="149">
        <f t="shared" si="23"/>
        <v>0.3500442467692006</v>
      </c>
      <c r="AW34" s="149">
        <f t="shared" si="23"/>
        <v>0.21986088167712031</v>
      </c>
      <c r="AX34" s="149">
        <f t="shared" si="23"/>
        <v>0.35323491462753137</v>
      </c>
      <c r="AY34" s="149">
        <f t="shared" si="23"/>
        <v>0.34016974208495543</v>
      </c>
      <c r="AZ34" s="149">
        <f t="shared" si="23"/>
        <v>0.35405150864423079</v>
      </c>
      <c r="BA34" s="149">
        <f t="shared" si="23"/>
        <v>0.33779805186268663</v>
      </c>
      <c r="BB34" s="149">
        <f t="shared" si="23"/>
        <v>0.35370455305102222</v>
      </c>
      <c r="BC34" s="149">
        <f t="shared" si="23"/>
        <v>0.356155972295428</v>
      </c>
      <c r="BD34" s="149">
        <f t="shared" si="23"/>
        <v>0.36515231271715842</v>
      </c>
      <c r="BE34" s="149">
        <f t="shared" si="23"/>
        <v>0.35973544746619224</v>
      </c>
      <c r="BF34" s="149">
        <f t="shared" si="23"/>
        <v>0.35524942047883584</v>
      </c>
    </row>
    <row r="35" spans="2:58" s="177" customFormat="1">
      <c r="B35" s="111" t="s">
        <v>378</v>
      </c>
      <c r="C35" s="378"/>
      <c r="D35" s="378"/>
      <c r="E35" s="378"/>
      <c r="F35" s="378"/>
      <c r="G35" s="378"/>
      <c r="H35" s="378"/>
      <c r="I35" s="378"/>
      <c r="J35" s="378"/>
      <c r="K35" s="378"/>
      <c r="L35" s="378"/>
      <c r="M35" s="149">
        <f t="shared" si="19"/>
        <v>0.48504500464741745</v>
      </c>
      <c r="N35" s="149">
        <f t="shared" si="19"/>
        <v>0.44949287165575058</v>
      </c>
      <c r="O35" s="149">
        <f t="shared" si="19"/>
        <v>0.44637440771736769</v>
      </c>
      <c r="P35" s="149">
        <f t="shared" si="19"/>
        <v>0.44360223942140764</v>
      </c>
      <c r="Q35" s="340"/>
      <c r="R35" s="290"/>
      <c r="S35" s="290"/>
      <c r="T35" s="290"/>
      <c r="U35" s="290"/>
      <c r="V35" s="290"/>
      <c r="W35" s="290"/>
      <c r="X35" s="290"/>
      <c r="Y35" s="290"/>
      <c r="Z35" s="290"/>
      <c r="AA35" s="290"/>
      <c r="AB35" s="290"/>
      <c r="AC35" s="290"/>
      <c r="AD35" s="290"/>
      <c r="AE35" s="290"/>
      <c r="AF35" s="290"/>
      <c r="AG35" s="290"/>
      <c r="AH35" s="290"/>
      <c r="AI35" s="290"/>
      <c r="AJ35" s="290"/>
      <c r="AK35" s="290"/>
      <c r="AL35" s="290"/>
      <c r="AM35" s="290"/>
      <c r="AN35" s="290"/>
      <c r="AO35" s="290"/>
      <c r="AP35" s="290"/>
      <c r="AQ35" s="149">
        <f t="shared" ref="AQ35:BF35" si="24">AQ24/AQ$27</f>
        <v>0.26809784493005839</v>
      </c>
      <c r="AR35" s="149">
        <f t="shared" si="24"/>
        <v>0.55740303043531281</v>
      </c>
      <c r="AS35" s="149">
        <f t="shared" si="24"/>
        <v>0.44867386763286737</v>
      </c>
      <c r="AT35" s="149">
        <f t="shared" si="24"/>
        <v>0.49934619035411465</v>
      </c>
      <c r="AU35" s="149">
        <f t="shared" si="24"/>
        <v>0.50000547616959878</v>
      </c>
      <c r="AV35" s="149">
        <f t="shared" si="24"/>
        <v>0.51159209347461587</v>
      </c>
      <c r="AW35" s="149">
        <f t="shared" si="24"/>
        <v>9.3505879954001475E-2</v>
      </c>
      <c r="AX35" s="149">
        <f t="shared" si="24"/>
        <v>0.45816376288308014</v>
      </c>
      <c r="AY35" s="149">
        <f t="shared" si="24"/>
        <v>0.46511492727706449</v>
      </c>
      <c r="AZ35" s="149">
        <f t="shared" si="24"/>
        <v>0.46060962265596878</v>
      </c>
      <c r="BA35" s="149">
        <f t="shared" si="24"/>
        <v>0.41749397201732147</v>
      </c>
      <c r="BB35" s="149">
        <f t="shared" si="24"/>
        <v>0.4461934692410211</v>
      </c>
      <c r="BC35" s="149">
        <f t="shared" si="24"/>
        <v>0.46870741342177386</v>
      </c>
      <c r="BD35" s="149">
        <f t="shared" si="24"/>
        <v>0.45340614452853112</v>
      </c>
      <c r="BE35" s="149">
        <f t="shared" si="24"/>
        <v>0.42096255970402124</v>
      </c>
      <c r="BF35" s="149">
        <f t="shared" si="24"/>
        <v>0.43518481912820156</v>
      </c>
    </row>
    <row r="36" spans="2:58" s="177" customFormat="1">
      <c r="B36" s="111" t="s">
        <v>380</v>
      </c>
      <c r="C36" s="378"/>
      <c r="D36" s="378"/>
      <c r="E36" s="378"/>
      <c r="F36" s="378"/>
      <c r="G36" s="378"/>
      <c r="H36" s="378"/>
      <c r="I36" s="378"/>
      <c r="J36" s="378"/>
      <c r="K36" s="378"/>
      <c r="L36" s="378"/>
      <c r="M36" s="149">
        <f t="shared" si="19"/>
        <v>2.0306371962212206E-2</v>
      </c>
      <c r="N36" s="149">
        <f t="shared" si="19"/>
        <v>1.5292056384632498E-3</v>
      </c>
      <c r="O36" s="149">
        <f t="shared" si="19"/>
        <v>0</v>
      </c>
      <c r="P36" s="149">
        <f t="shared" si="19"/>
        <v>-4.577720228183329E-4</v>
      </c>
      <c r="Q36" s="340"/>
      <c r="R36" s="290"/>
      <c r="S36" s="290"/>
      <c r="T36" s="290"/>
      <c r="U36" s="290"/>
      <c r="V36" s="290"/>
      <c r="W36" s="290"/>
      <c r="X36" s="290"/>
      <c r="Y36" s="290"/>
      <c r="Z36" s="290"/>
      <c r="AA36" s="290"/>
      <c r="AB36" s="290"/>
      <c r="AC36" s="290"/>
      <c r="AD36" s="290"/>
      <c r="AE36" s="290"/>
      <c r="AF36" s="290"/>
      <c r="AG36" s="290"/>
      <c r="AH36" s="290"/>
      <c r="AI36" s="290"/>
      <c r="AJ36" s="290"/>
      <c r="AK36" s="290"/>
      <c r="AL36" s="290"/>
      <c r="AM36" s="290"/>
      <c r="AN36" s="290"/>
      <c r="AO36" s="290"/>
      <c r="AP36" s="290"/>
      <c r="AQ36" s="149">
        <f t="shared" ref="AQ36:BF36" si="25">AQ25/AQ$27</f>
        <v>0.27217507072358954</v>
      </c>
      <c r="AR36" s="149">
        <f t="shared" si="25"/>
        <v>8.5249528912599487E-2</v>
      </c>
      <c r="AS36" s="149">
        <f t="shared" si="25"/>
        <v>-1.9044528417933179E-2</v>
      </c>
      <c r="AT36" s="149">
        <f t="shared" si="25"/>
        <v>0</v>
      </c>
      <c r="AU36" s="149">
        <f t="shared" si="25"/>
        <v>0</v>
      </c>
      <c r="AV36" s="149">
        <f t="shared" si="25"/>
        <v>0</v>
      </c>
      <c r="AW36" s="149">
        <f t="shared" si="25"/>
        <v>0.46944520517312133</v>
      </c>
      <c r="AX36" s="149">
        <f t="shared" si="25"/>
        <v>0</v>
      </c>
      <c r="AY36" s="149">
        <f t="shared" si="25"/>
        <v>0</v>
      </c>
      <c r="AZ36" s="149">
        <f t="shared" si="25"/>
        <v>0</v>
      </c>
      <c r="BA36" s="149">
        <f t="shared" si="25"/>
        <v>5.665512829395529E-3</v>
      </c>
      <c r="BB36" s="149">
        <f t="shared" si="25"/>
        <v>1.947839277189244E-3</v>
      </c>
      <c r="BC36" s="149">
        <f t="shared" si="25"/>
        <v>0</v>
      </c>
      <c r="BD36" s="149">
        <f t="shared" si="25"/>
        <v>0</v>
      </c>
      <c r="BE36" s="149">
        <f t="shared" si="25"/>
        <v>-1.6860692216138587E-3</v>
      </c>
      <c r="BF36" s="149">
        <f t="shared" si="25"/>
        <v>0</v>
      </c>
    </row>
    <row r="37" spans="2:58" s="177" customFormat="1">
      <c r="B37" s="111" t="s">
        <v>379</v>
      </c>
      <c r="C37" s="378"/>
      <c r="D37" s="378"/>
      <c r="E37" s="378"/>
      <c r="F37" s="378"/>
      <c r="G37" s="378"/>
      <c r="H37" s="378"/>
      <c r="I37" s="378"/>
      <c r="J37" s="378"/>
      <c r="K37" s="378"/>
      <c r="L37" s="378"/>
      <c r="M37" s="149">
        <f t="shared" si="19"/>
        <v>-0.46306913441089648</v>
      </c>
      <c r="N37" s="149">
        <f t="shared" si="19"/>
        <v>-0.43249558388294457</v>
      </c>
      <c r="O37" s="149">
        <f t="shared" si="19"/>
        <v>-0.42065581955240772</v>
      </c>
      <c r="P37" s="149">
        <f t="shared" si="19"/>
        <v>-0.41884136953783108</v>
      </c>
      <c r="Q37" s="340"/>
      <c r="R37" s="290"/>
      <c r="S37" s="290"/>
      <c r="T37" s="290"/>
      <c r="U37" s="290"/>
      <c r="V37" s="290"/>
      <c r="W37" s="290"/>
      <c r="X37" s="290"/>
      <c r="Y37" s="290"/>
      <c r="Z37" s="290"/>
      <c r="AA37" s="290"/>
      <c r="AB37" s="290"/>
      <c r="AC37" s="290"/>
      <c r="AD37" s="290"/>
      <c r="AE37" s="290"/>
      <c r="AF37" s="290"/>
      <c r="AG37" s="290"/>
      <c r="AH37" s="290"/>
      <c r="AI37" s="290"/>
      <c r="AJ37" s="290"/>
      <c r="AK37" s="290"/>
      <c r="AL37" s="290"/>
      <c r="AM37" s="290"/>
      <c r="AN37" s="290"/>
      <c r="AO37" s="290"/>
      <c r="AP37" s="290"/>
      <c r="AQ37" s="149">
        <f t="shared" ref="AQ37:BF37" si="26">AQ26/AQ$27</f>
        <v>-0.25234361610186634</v>
      </c>
      <c r="AR37" s="149">
        <f t="shared" si="26"/>
        <v>-0.53554586315613373</v>
      </c>
      <c r="AS37" s="149">
        <f t="shared" si="26"/>
        <v>-0.43564341638223275</v>
      </c>
      <c r="AT37" s="149">
        <f t="shared" si="26"/>
        <v>-0.47941286497669505</v>
      </c>
      <c r="AU37" s="149">
        <f t="shared" si="26"/>
        <v>-0.47721981396351593</v>
      </c>
      <c r="AV37" s="149">
        <f t="shared" si="26"/>
        <v>-0.4889758742064173</v>
      </c>
      <c r="AW37" s="149">
        <f t="shared" si="26"/>
        <v>-7.278340918648217E-2</v>
      </c>
      <c r="AX37" s="149">
        <f t="shared" si="26"/>
        <v>-0.43247976324120901</v>
      </c>
      <c r="AY37" s="149">
        <f t="shared" si="26"/>
        <v>-0.43500815206260929</v>
      </c>
      <c r="AZ37" s="149">
        <f t="shared" si="26"/>
        <v>-0.45434712163251739</v>
      </c>
      <c r="BA37" s="149">
        <f t="shared" si="26"/>
        <v>-0.41049907298047705</v>
      </c>
      <c r="BB37" s="149">
        <f t="shared" si="26"/>
        <v>-0.42530039049262214</v>
      </c>
      <c r="BC37" s="149">
        <f t="shared" si="26"/>
        <v>-0.44483969011004254</v>
      </c>
      <c r="BD37" s="149">
        <f t="shared" si="26"/>
        <v>-0.43461749308901665</v>
      </c>
      <c r="BE37" s="149">
        <f t="shared" si="26"/>
        <v>-0.38327985619879462</v>
      </c>
      <c r="BF37" s="149">
        <f t="shared" si="26"/>
        <v>-0.41778196746578161</v>
      </c>
    </row>
    <row r="38" spans="2:58" s="177" customFormat="1">
      <c r="B38" s="114" t="s">
        <v>381</v>
      </c>
      <c r="C38" s="378"/>
      <c r="D38" s="378"/>
      <c r="E38" s="378"/>
      <c r="F38" s="378"/>
      <c r="G38" s="378"/>
      <c r="H38" s="378"/>
      <c r="I38" s="378"/>
      <c r="J38" s="378"/>
      <c r="K38" s="378"/>
      <c r="L38" s="378"/>
      <c r="M38" s="73">
        <f>SUM(M31:M37)</f>
        <v>0.99999999999999989</v>
      </c>
      <c r="N38" s="73">
        <f>SUM(N31:N37)</f>
        <v>1</v>
      </c>
      <c r="O38" s="73">
        <f>SUM(O31:O37)</f>
        <v>1</v>
      </c>
      <c r="P38" s="73">
        <f>SUM(P31:P37)</f>
        <v>1.0000000000000002</v>
      </c>
      <c r="Q38" s="340"/>
      <c r="R38" s="291"/>
      <c r="S38" s="291"/>
      <c r="T38" s="291"/>
      <c r="U38" s="291"/>
      <c r="V38" s="291"/>
      <c r="W38" s="291"/>
      <c r="X38" s="291"/>
      <c r="Y38" s="291"/>
      <c r="Z38" s="291"/>
      <c r="AA38" s="291"/>
      <c r="AB38" s="291"/>
      <c r="AC38" s="291"/>
      <c r="AD38" s="291"/>
      <c r="AE38" s="291"/>
      <c r="AF38" s="291"/>
      <c r="AG38" s="291"/>
      <c r="AH38" s="291"/>
      <c r="AI38" s="291"/>
      <c r="AJ38" s="291"/>
      <c r="AK38" s="291"/>
      <c r="AL38" s="291"/>
      <c r="AM38" s="291"/>
      <c r="AN38" s="291"/>
      <c r="AO38" s="291"/>
      <c r="AP38" s="291"/>
      <c r="AQ38" s="73">
        <f t="shared" ref="AQ38:BF38" si="27">SUM(AQ31:AQ37)</f>
        <v>0.99999999999999978</v>
      </c>
      <c r="AR38" s="73">
        <f t="shared" si="27"/>
        <v>0.99999999999999967</v>
      </c>
      <c r="AS38" s="73">
        <f t="shared" si="27"/>
        <v>1</v>
      </c>
      <c r="AT38" s="73">
        <f t="shared" si="27"/>
        <v>1</v>
      </c>
      <c r="AU38" s="73">
        <f t="shared" si="27"/>
        <v>0.99999999999999956</v>
      </c>
      <c r="AV38" s="73">
        <f t="shared" si="27"/>
        <v>1</v>
      </c>
      <c r="AW38" s="73">
        <f t="shared" si="27"/>
        <v>1.0000000000000002</v>
      </c>
      <c r="AX38" s="73">
        <f t="shared" si="27"/>
        <v>1</v>
      </c>
      <c r="AY38" s="73">
        <f t="shared" si="27"/>
        <v>1</v>
      </c>
      <c r="AZ38" s="73">
        <f t="shared" si="27"/>
        <v>1.0000000000000002</v>
      </c>
      <c r="BA38" s="73">
        <f t="shared" si="27"/>
        <v>0.99999999999999989</v>
      </c>
      <c r="BB38" s="73">
        <f t="shared" si="27"/>
        <v>0.99999999999999989</v>
      </c>
      <c r="BC38" s="73">
        <f t="shared" si="27"/>
        <v>1</v>
      </c>
      <c r="BD38" s="73">
        <f t="shared" si="27"/>
        <v>1</v>
      </c>
      <c r="BE38" s="73">
        <f t="shared" si="27"/>
        <v>0.99999999999999978</v>
      </c>
      <c r="BF38" s="73">
        <f t="shared" si="27"/>
        <v>1</v>
      </c>
    </row>
    <row r="39" spans="2:58" s="177" customFormat="1">
      <c r="B39" s="337"/>
      <c r="C39" s="146"/>
      <c r="D39" s="146"/>
      <c r="E39" s="146"/>
      <c r="F39" s="146"/>
      <c r="G39" s="146"/>
      <c r="H39" s="146"/>
      <c r="I39" s="146"/>
      <c r="J39" s="146"/>
      <c r="K39" s="146"/>
      <c r="L39" s="146"/>
      <c r="M39" s="146"/>
      <c r="N39" s="146"/>
      <c r="O39" s="146"/>
      <c r="P39" s="146"/>
      <c r="Q39" s="340"/>
      <c r="R39" s="146"/>
      <c r="S39" s="146"/>
      <c r="T39" s="146"/>
      <c r="U39" s="146"/>
      <c r="V39" s="146"/>
      <c r="W39" s="146"/>
      <c r="X39" s="146"/>
      <c r="Y39" s="146"/>
      <c r="Z39" s="146"/>
      <c r="AA39" s="146"/>
      <c r="AB39" s="146"/>
      <c r="AC39" s="112"/>
      <c r="AD39" s="194"/>
      <c r="AE39" s="194"/>
      <c r="AF39" s="194"/>
      <c r="AG39" s="194"/>
      <c r="AH39" s="194"/>
      <c r="AI39" s="194"/>
      <c r="AJ39" s="194"/>
      <c r="AK39" s="194"/>
      <c r="AL39" s="194"/>
      <c r="AM39" s="194"/>
      <c r="AN39" s="194"/>
      <c r="AO39" s="194"/>
      <c r="AP39" s="194"/>
      <c r="AQ39" s="194"/>
      <c r="AR39" s="194"/>
      <c r="AS39" s="194"/>
      <c r="AT39" s="194"/>
      <c r="AU39" s="194"/>
      <c r="AV39" s="194"/>
      <c r="AW39" s="194"/>
      <c r="AX39" s="194"/>
      <c r="AY39" s="194"/>
      <c r="AZ39" s="194"/>
      <c r="BA39" s="194"/>
      <c r="BB39" s="194"/>
      <c r="BC39" s="194"/>
      <c r="BD39" s="194"/>
      <c r="BE39" s="194"/>
      <c r="BF39" s="194"/>
    </row>
    <row r="40" spans="2:58" s="177" customFormat="1">
      <c r="B40" s="377" t="s">
        <v>385</v>
      </c>
      <c r="C40" s="146"/>
      <c r="D40" s="146"/>
      <c r="E40" s="146"/>
      <c r="F40" s="146"/>
      <c r="G40" s="146"/>
      <c r="H40" s="146"/>
      <c r="I40" s="146"/>
      <c r="J40" s="146"/>
      <c r="K40" s="146"/>
      <c r="L40" s="146"/>
      <c r="M40" s="146"/>
      <c r="N40" s="146"/>
      <c r="O40" s="146"/>
      <c r="P40" s="146"/>
      <c r="Q40" s="340"/>
      <c r="R40" s="146"/>
      <c r="S40" s="146"/>
      <c r="T40" s="146"/>
      <c r="U40" s="146"/>
      <c r="V40" s="146"/>
      <c r="W40" s="146"/>
      <c r="X40" s="146"/>
      <c r="Y40" s="146"/>
      <c r="Z40" s="146"/>
      <c r="AA40" s="146"/>
      <c r="AB40" s="146"/>
      <c r="AC40" s="112"/>
      <c r="AD40" s="194"/>
      <c r="AE40" s="194"/>
      <c r="AF40" s="194"/>
      <c r="AG40" s="194"/>
      <c r="AH40" s="194"/>
      <c r="AI40" s="194"/>
      <c r="AJ40" s="194"/>
      <c r="AK40" s="194"/>
      <c r="AL40" s="194"/>
      <c r="AM40" s="194"/>
      <c r="AN40" s="194"/>
      <c r="AO40" s="194"/>
      <c r="AP40" s="194"/>
      <c r="AQ40" s="194"/>
      <c r="AR40" s="194"/>
      <c r="AS40" s="194"/>
      <c r="AT40" s="194"/>
      <c r="AU40" s="194"/>
      <c r="AV40" s="194"/>
      <c r="AW40" s="194"/>
      <c r="AX40" s="194"/>
      <c r="AY40" s="194"/>
      <c r="AZ40" s="194"/>
      <c r="BA40" s="194"/>
      <c r="BB40" s="194"/>
      <c r="BC40" s="194"/>
      <c r="BD40" s="194"/>
      <c r="BE40" s="194"/>
      <c r="BF40" s="194"/>
    </row>
    <row r="41" spans="2:58" s="177" customFormat="1">
      <c r="B41" s="111" t="s">
        <v>374</v>
      </c>
      <c r="C41" s="378"/>
      <c r="D41" s="378"/>
      <c r="E41" s="378"/>
      <c r="F41" s="378"/>
      <c r="G41" s="378"/>
      <c r="H41" s="378"/>
      <c r="I41" s="378"/>
      <c r="J41" s="378"/>
      <c r="K41" s="378"/>
      <c r="L41" s="378"/>
      <c r="M41" s="378"/>
      <c r="N41" s="149">
        <f>N20/M20-1</f>
        <v>9.8382700681713287E-2</v>
      </c>
      <c r="O41" s="149">
        <f>O20/N20-1</f>
        <v>7.1987910097405017E-2</v>
      </c>
      <c r="P41" s="378"/>
      <c r="Q41" s="340"/>
      <c r="R41" s="378"/>
      <c r="S41" s="378"/>
      <c r="T41" s="378"/>
      <c r="U41" s="378"/>
      <c r="V41" s="378"/>
      <c r="W41" s="378"/>
      <c r="X41" s="378"/>
      <c r="Y41" s="378"/>
      <c r="Z41" s="378"/>
      <c r="AA41" s="378"/>
      <c r="AB41" s="378"/>
      <c r="AC41" s="378"/>
      <c r="AD41" s="378"/>
      <c r="AE41" s="378"/>
      <c r="AF41" s="378"/>
      <c r="AG41" s="378"/>
      <c r="AH41" s="378"/>
      <c r="AI41" s="378"/>
      <c r="AJ41" s="378"/>
      <c r="AK41" s="378"/>
      <c r="AL41" s="378"/>
      <c r="AM41" s="378"/>
      <c r="AN41" s="378"/>
      <c r="AO41" s="378"/>
      <c r="AP41" s="378"/>
      <c r="AQ41" s="378"/>
      <c r="AR41" s="378"/>
      <c r="AS41" s="378"/>
      <c r="AT41" s="378"/>
      <c r="AU41" s="149">
        <f>AU20/AQ20-1</f>
        <v>-5.263024907214775E-2</v>
      </c>
      <c r="AV41" s="149">
        <f t="shared" ref="AV41:BF48" si="28">AV20/AR20-1</f>
        <v>-2.5168387298198813E-2</v>
      </c>
      <c r="AW41" s="149">
        <f t="shared" si="28"/>
        <v>-0.94068075587335953</v>
      </c>
      <c r="AX41" s="149">
        <f t="shared" si="28"/>
        <v>3.1303698079493847E-2</v>
      </c>
      <c r="AY41" s="149">
        <f t="shared" si="28"/>
        <v>-0.45796695383891983</v>
      </c>
      <c r="AZ41" s="149">
        <f t="shared" si="28"/>
        <v>0.11979485037989135</v>
      </c>
      <c r="BA41" s="149">
        <f t="shared" si="28"/>
        <v>18.667856830338756</v>
      </c>
      <c r="BB41" s="149">
        <f t="shared" si="28"/>
        <v>0.10827352063508222</v>
      </c>
      <c r="BC41" s="149">
        <f t="shared" si="28"/>
        <v>4.2809714498875495E-2</v>
      </c>
      <c r="BD41" s="149">
        <f t="shared" si="28"/>
        <v>7.3446335593631673E-2</v>
      </c>
      <c r="BE41" s="149">
        <f t="shared" si="28"/>
        <v>6.5636883760300302E-2</v>
      </c>
      <c r="BF41" s="149">
        <f t="shared" si="28"/>
        <v>0.10627311145437113</v>
      </c>
    </row>
    <row r="42" spans="2:58" s="177" customFormat="1">
      <c r="B42" s="111" t="s">
        <v>382</v>
      </c>
      <c r="C42" s="378"/>
      <c r="D42" s="378"/>
      <c r="E42" s="378"/>
      <c r="F42" s="378"/>
      <c r="G42" s="378"/>
      <c r="H42" s="378"/>
      <c r="I42" s="378"/>
      <c r="J42" s="378"/>
      <c r="K42" s="378"/>
      <c r="L42" s="378"/>
      <c r="M42" s="378"/>
      <c r="N42" s="149">
        <f t="shared" ref="N42:O48" si="29">N21/M21-1</f>
        <v>6.877511083063359E-2</v>
      </c>
      <c r="O42" s="149">
        <f t="shared" si="29"/>
        <v>3.6811239488635961E-2</v>
      </c>
      <c r="P42" s="378"/>
      <c r="Q42" s="340"/>
      <c r="R42" s="378"/>
      <c r="S42" s="378"/>
      <c r="T42" s="378"/>
      <c r="U42" s="378"/>
      <c r="V42" s="378"/>
      <c r="W42" s="378"/>
      <c r="X42" s="378"/>
      <c r="Y42" s="378"/>
      <c r="Z42" s="378"/>
      <c r="AA42" s="378"/>
      <c r="AB42" s="378"/>
      <c r="AC42" s="378"/>
      <c r="AD42" s="378"/>
      <c r="AE42" s="378"/>
      <c r="AF42" s="378"/>
      <c r="AG42" s="378"/>
      <c r="AH42" s="378"/>
      <c r="AI42" s="378"/>
      <c r="AJ42" s="378"/>
      <c r="AK42" s="378"/>
      <c r="AL42" s="378"/>
      <c r="AM42" s="378"/>
      <c r="AN42" s="378"/>
      <c r="AO42" s="378"/>
      <c r="AP42" s="378"/>
      <c r="AQ42" s="378"/>
      <c r="AR42" s="378"/>
      <c r="AS42" s="378"/>
      <c r="AT42" s="378"/>
      <c r="AU42" s="149">
        <f t="shared" ref="AU42:AU48" si="30">AU21/AQ21-1</f>
        <v>6.9555247393469077E-2</v>
      </c>
      <c r="AV42" s="149">
        <f t="shared" si="28"/>
        <v>-7.2015939452769739E-3</v>
      </c>
      <c r="AW42" s="149">
        <f t="shared" si="28"/>
        <v>-0.91030895439684123</v>
      </c>
      <c r="AX42" s="149">
        <f t="shared" si="28"/>
        <v>3.5985811318383742E-2</v>
      </c>
      <c r="AY42" s="149">
        <f t="shared" si="28"/>
        <v>-0.47406221498572698</v>
      </c>
      <c r="AZ42" s="149">
        <f t="shared" si="28"/>
        <v>9.8559631563384764E-2</v>
      </c>
      <c r="BA42" s="149">
        <f t="shared" si="28"/>
        <v>11.67284940223513</v>
      </c>
      <c r="BB42" s="149">
        <f t="shared" si="28"/>
        <v>7.0306519558160474E-2</v>
      </c>
      <c r="BC42" s="149">
        <f t="shared" si="28"/>
        <v>6.1878439503430416E-2</v>
      </c>
      <c r="BD42" s="149">
        <f t="shared" si="28"/>
        <v>6.9032797990434824E-2</v>
      </c>
      <c r="BE42" s="149">
        <f t="shared" si="28"/>
        <v>-4.2425445703345499E-2</v>
      </c>
      <c r="BF42" s="149">
        <f t="shared" si="28"/>
        <v>3.1132529797582409E-2</v>
      </c>
    </row>
    <row r="43" spans="2:58" s="177" customFormat="1">
      <c r="B43" s="111" t="s">
        <v>383</v>
      </c>
      <c r="C43" s="378"/>
      <c r="D43" s="378"/>
      <c r="E43" s="378"/>
      <c r="F43" s="378"/>
      <c r="G43" s="378"/>
      <c r="H43" s="378"/>
      <c r="I43" s="378"/>
      <c r="J43" s="378"/>
      <c r="K43" s="378"/>
      <c r="L43" s="378"/>
      <c r="M43" s="378"/>
      <c r="N43" s="149">
        <f t="shared" si="29"/>
        <v>5.0626108217431076E-2</v>
      </c>
      <c r="O43" s="149">
        <f t="shared" si="29"/>
        <v>6.5162268450327687E-2</v>
      </c>
      <c r="P43" s="378"/>
      <c r="Q43" s="340"/>
      <c r="R43" s="378"/>
      <c r="S43" s="378"/>
      <c r="T43" s="378"/>
      <c r="U43" s="378"/>
      <c r="V43" s="378"/>
      <c r="W43" s="378"/>
      <c r="X43" s="378"/>
      <c r="Y43" s="378"/>
      <c r="Z43" s="378"/>
      <c r="AA43" s="378"/>
      <c r="AB43" s="378"/>
      <c r="AC43" s="378"/>
      <c r="AD43" s="378"/>
      <c r="AE43" s="378"/>
      <c r="AF43" s="378"/>
      <c r="AG43" s="378"/>
      <c r="AH43" s="378"/>
      <c r="AI43" s="378"/>
      <c r="AJ43" s="378"/>
      <c r="AK43" s="378"/>
      <c r="AL43" s="378"/>
      <c r="AM43" s="378"/>
      <c r="AN43" s="378"/>
      <c r="AO43" s="378"/>
      <c r="AP43" s="378"/>
      <c r="AQ43" s="378"/>
      <c r="AR43" s="378"/>
      <c r="AS43" s="378"/>
      <c r="AT43" s="378"/>
      <c r="AU43" s="149">
        <f t="shared" si="30"/>
        <v>0.13552769184773461</v>
      </c>
      <c r="AV43" s="149">
        <f t="shared" si="28"/>
        <v>9.6340866481864351E-2</v>
      </c>
      <c r="AW43" s="149">
        <f t="shared" si="28"/>
        <v>-0.80079315538660645</v>
      </c>
      <c r="AX43" s="149">
        <f t="shared" si="28"/>
        <v>0.10592156206028136</v>
      </c>
      <c r="AY43" s="149">
        <f t="shared" si="28"/>
        <v>-0.47585354237205257</v>
      </c>
      <c r="AZ43" s="149">
        <f t="shared" si="28"/>
        <v>9.1678140543160591E-2</v>
      </c>
      <c r="BA43" s="149">
        <f t="shared" si="28"/>
        <v>4.9327462230909038</v>
      </c>
      <c r="BB43" s="149">
        <f t="shared" si="28"/>
        <v>5.3347077680666599E-2</v>
      </c>
      <c r="BC43" s="149">
        <f t="shared" si="28"/>
        <v>2.0963174217842884E-2</v>
      </c>
      <c r="BD43" s="149">
        <f t="shared" si="28"/>
        <v>2.8853147074661578E-2</v>
      </c>
      <c r="BE43" s="149">
        <f t="shared" si="28"/>
        <v>0.14778833064578212</v>
      </c>
      <c r="BF43" s="149">
        <f t="shared" si="28"/>
        <v>-3.8359341218629495E-2</v>
      </c>
    </row>
    <row r="44" spans="2:58" s="177" customFormat="1">
      <c r="B44" s="111" t="s">
        <v>377</v>
      </c>
      <c r="C44" s="378"/>
      <c r="D44" s="378"/>
      <c r="E44" s="378"/>
      <c r="F44" s="378"/>
      <c r="G44" s="378"/>
      <c r="H44" s="378"/>
      <c r="I44" s="378"/>
      <c r="J44" s="378"/>
      <c r="K44" s="378"/>
      <c r="L44" s="378"/>
      <c r="M44" s="378"/>
      <c r="N44" s="149">
        <f t="shared" si="29"/>
        <v>0.12802989047161528</v>
      </c>
      <c r="O44" s="149">
        <f t="shared" si="29"/>
        <v>0.1370966808500067</v>
      </c>
      <c r="P44" s="378"/>
      <c r="Q44" s="340"/>
      <c r="R44" s="378"/>
      <c r="S44" s="378"/>
      <c r="T44" s="378"/>
      <c r="U44" s="378"/>
      <c r="V44" s="378"/>
      <c r="W44" s="378"/>
      <c r="X44" s="378"/>
      <c r="Y44" s="378"/>
      <c r="Z44" s="378"/>
      <c r="AA44" s="378"/>
      <c r="AB44" s="378"/>
      <c r="AC44" s="378"/>
      <c r="AD44" s="378"/>
      <c r="AE44" s="378"/>
      <c r="AF44" s="378"/>
      <c r="AG44" s="378"/>
      <c r="AH44" s="378"/>
      <c r="AI44" s="378"/>
      <c r="AJ44" s="378"/>
      <c r="AK44" s="378"/>
      <c r="AL44" s="378"/>
      <c r="AM44" s="378"/>
      <c r="AN44" s="378"/>
      <c r="AO44" s="378"/>
      <c r="AP44" s="378"/>
      <c r="AQ44" s="378"/>
      <c r="AR44" s="378"/>
      <c r="AS44" s="378"/>
      <c r="AT44" s="378"/>
      <c r="AU44" s="149">
        <f t="shared" si="30"/>
        <v>-0.14735033033789591</v>
      </c>
      <c r="AV44" s="149">
        <f t="shared" si="28"/>
        <v>-5.5812049938441244E-2</v>
      </c>
      <c r="AW44" s="149">
        <f t="shared" si="28"/>
        <v>-0.89292410829251256</v>
      </c>
      <c r="AX44" s="149">
        <f t="shared" si="28"/>
        <v>0.15492326021893277</v>
      </c>
      <c r="AY44" s="149">
        <f t="shared" si="28"/>
        <v>-0.42747221469800456</v>
      </c>
      <c r="AZ44" s="149">
        <f t="shared" si="28"/>
        <v>0.10319341222771583</v>
      </c>
      <c r="BA44" s="149">
        <f t="shared" si="28"/>
        <v>9.3010655124275505</v>
      </c>
      <c r="BB44" s="149">
        <f t="shared" si="28"/>
        <v>9.1681140332160238E-2</v>
      </c>
      <c r="BC44" s="149">
        <f t="shared" si="28"/>
        <v>0.11253703939862358</v>
      </c>
      <c r="BD44" s="149">
        <f t="shared" si="28"/>
        <v>0.14484838218872764</v>
      </c>
      <c r="BE44" s="149">
        <f t="shared" si="28"/>
        <v>0.19461269061678688</v>
      </c>
      <c r="BF44" s="149">
        <f t="shared" si="28"/>
        <v>7.5011966947055253E-2</v>
      </c>
    </row>
    <row r="45" spans="2:58" s="177" customFormat="1">
      <c r="B45" s="111" t="s">
        <v>378</v>
      </c>
      <c r="C45" s="378"/>
      <c r="D45" s="378"/>
      <c r="E45" s="378"/>
      <c r="F45" s="378"/>
      <c r="G45" s="378"/>
      <c r="H45" s="378"/>
      <c r="I45" s="378"/>
      <c r="J45" s="378"/>
      <c r="K45" s="378"/>
      <c r="L45" s="378"/>
      <c r="M45" s="378"/>
      <c r="N45" s="149">
        <f t="shared" si="29"/>
        <v>-4.2862314097447118E-3</v>
      </c>
      <c r="O45" s="149">
        <f t="shared" si="29"/>
        <v>8.9159075011211231E-2</v>
      </c>
      <c r="P45" s="378"/>
      <c r="Q45" s="340"/>
      <c r="R45" s="378"/>
      <c r="S45" s="378"/>
      <c r="T45" s="378"/>
      <c r="U45" s="378"/>
      <c r="V45" s="378"/>
      <c r="W45" s="378"/>
      <c r="X45" s="378"/>
      <c r="Y45" s="378"/>
      <c r="Z45" s="378"/>
      <c r="AA45" s="378"/>
      <c r="AB45" s="378"/>
      <c r="AC45" s="378"/>
      <c r="AD45" s="378"/>
      <c r="AE45" s="378"/>
      <c r="AF45" s="378"/>
      <c r="AG45" s="378"/>
      <c r="AH45" s="378"/>
      <c r="AI45" s="378"/>
      <c r="AJ45" s="378"/>
      <c r="AK45" s="378"/>
      <c r="AL45" s="378"/>
      <c r="AM45" s="378"/>
      <c r="AN45" s="378"/>
      <c r="AO45" s="378"/>
      <c r="AP45" s="378"/>
      <c r="AQ45" s="378"/>
      <c r="AR45" s="378"/>
      <c r="AS45" s="378"/>
      <c r="AT45" s="378"/>
      <c r="AU45" s="149">
        <f t="shared" si="30"/>
        <v>0.27587248453372615</v>
      </c>
      <c r="AV45" s="149">
        <f t="shared" si="28"/>
        <v>-0.18531197036108482</v>
      </c>
      <c r="AW45" s="149">
        <f t="shared" si="28"/>
        <v>-0.96390271418564433</v>
      </c>
      <c r="AX45" s="149">
        <f t="shared" si="28"/>
        <v>-5.7225670475048451E-3</v>
      </c>
      <c r="AY45" s="149">
        <f t="shared" si="28"/>
        <v>-0.48585598662023666</v>
      </c>
      <c r="AZ45" s="149">
        <f t="shared" si="28"/>
        <v>-1.7986773459567007E-2</v>
      </c>
      <c r="BA45" s="149">
        <f t="shared" si="28"/>
        <v>28.935344577437334</v>
      </c>
      <c r="BB45" s="149">
        <f t="shared" si="28"/>
        <v>6.174751574062709E-2</v>
      </c>
      <c r="BC45" s="149">
        <f t="shared" si="28"/>
        <v>7.0807669221278013E-2</v>
      </c>
      <c r="BD45" s="149">
        <f t="shared" si="28"/>
        <v>9.2684451252177391E-2</v>
      </c>
      <c r="BE45" s="149">
        <f t="shared" si="28"/>
        <v>0.13108252475175952</v>
      </c>
      <c r="BF45" s="149">
        <f t="shared" si="28"/>
        <v>4.3929327885027014E-2</v>
      </c>
    </row>
    <row r="46" spans="2:58" s="177" customFormat="1">
      <c r="B46" s="111" t="s">
        <v>380</v>
      </c>
      <c r="C46" s="378"/>
      <c r="D46" s="378"/>
      <c r="E46" s="378"/>
      <c r="F46" s="378"/>
      <c r="G46" s="378"/>
      <c r="H46" s="378"/>
      <c r="I46" s="378"/>
      <c r="J46" s="378"/>
      <c r="K46" s="378"/>
      <c r="L46" s="378"/>
      <c r="M46" s="378"/>
      <c r="N46" s="149">
        <f t="shared" si="29"/>
        <v>-0.91908532510186325</v>
      </c>
      <c r="O46" s="149">
        <f t="shared" si="29"/>
        <v>-1</v>
      </c>
      <c r="P46" s="378"/>
      <c r="Q46" s="340"/>
      <c r="R46" s="378"/>
      <c r="S46" s="378"/>
      <c r="T46" s="378"/>
      <c r="U46" s="378"/>
      <c r="V46" s="378"/>
      <c r="W46" s="378"/>
      <c r="X46" s="378"/>
      <c r="Y46" s="378"/>
      <c r="Z46" s="378"/>
      <c r="AA46" s="378"/>
      <c r="AB46" s="378"/>
      <c r="AC46" s="378"/>
      <c r="AD46" s="378"/>
      <c r="AE46" s="378"/>
      <c r="AF46" s="378"/>
      <c r="AG46" s="378"/>
      <c r="AH46" s="378"/>
      <c r="AI46" s="378"/>
      <c r="AJ46" s="378"/>
      <c r="AK46" s="378"/>
      <c r="AL46" s="378"/>
      <c r="AM46" s="378"/>
      <c r="AN46" s="378"/>
      <c r="AO46" s="378"/>
      <c r="AP46" s="378"/>
      <c r="AQ46" s="378"/>
      <c r="AR46" s="378"/>
      <c r="AS46" s="378"/>
      <c r="AT46" s="378"/>
      <c r="AU46" s="149">
        <f t="shared" si="30"/>
        <v>-1</v>
      </c>
      <c r="AV46" s="149">
        <f t="shared" si="28"/>
        <v>-1</v>
      </c>
      <c r="AW46" s="149">
        <f t="shared" si="28"/>
        <v>-5.2695399982742375</v>
      </c>
      <c r="AX46" s="149" t="e">
        <f t="shared" si="28"/>
        <v>#DIV/0!</v>
      </c>
      <c r="AY46" s="149" t="e">
        <f t="shared" si="28"/>
        <v>#DIV/0!</v>
      </c>
      <c r="AZ46" s="149" t="e">
        <f t="shared" si="28"/>
        <v>#DIV/0!</v>
      </c>
      <c r="BA46" s="149">
        <f t="shared" si="28"/>
        <v>-0.91908532510186325</v>
      </c>
      <c r="BB46" s="149" t="e">
        <f t="shared" si="28"/>
        <v>#DIV/0!</v>
      </c>
      <c r="BC46" s="149" t="e">
        <f t="shared" si="28"/>
        <v>#DIV/0!</v>
      </c>
      <c r="BD46" s="149" t="e">
        <f t="shared" si="28"/>
        <v>#DIV/0!</v>
      </c>
      <c r="BE46" s="149">
        <f t="shared" si="28"/>
        <v>-1.3338391021330513</v>
      </c>
      <c r="BF46" s="149">
        <f t="shared" si="28"/>
        <v>-1</v>
      </c>
    </row>
    <row r="47" spans="2:58" s="177" customFormat="1">
      <c r="B47" s="111" t="s">
        <v>379</v>
      </c>
      <c r="C47" s="378"/>
      <c r="D47" s="378"/>
      <c r="E47" s="378"/>
      <c r="F47" s="378"/>
      <c r="G47" s="378"/>
      <c r="H47" s="378"/>
      <c r="I47" s="378"/>
      <c r="J47" s="378"/>
      <c r="K47" s="378"/>
      <c r="L47" s="378"/>
      <c r="M47" s="378"/>
      <c r="N47" s="149">
        <f t="shared" si="29"/>
        <v>3.5282045219495739E-3</v>
      </c>
      <c r="O47" s="149">
        <f t="shared" si="29"/>
        <v>6.6743635649315181E-2</v>
      </c>
      <c r="P47" s="378"/>
      <c r="Q47" s="146"/>
      <c r="R47" s="378"/>
      <c r="S47" s="378"/>
      <c r="T47" s="378"/>
      <c r="U47" s="378"/>
      <c r="V47" s="378"/>
      <c r="W47" s="378"/>
      <c r="X47" s="378"/>
      <c r="Y47" s="378"/>
      <c r="Z47" s="378"/>
      <c r="AA47" s="378"/>
      <c r="AB47" s="378"/>
      <c r="AC47" s="378"/>
      <c r="AD47" s="378"/>
      <c r="AE47" s="378"/>
      <c r="AF47" s="378"/>
      <c r="AG47" s="378"/>
      <c r="AH47" s="378"/>
      <c r="AI47" s="378"/>
      <c r="AJ47" s="378"/>
      <c r="AK47" s="378"/>
      <c r="AL47" s="378"/>
      <c r="AM47" s="378"/>
      <c r="AN47" s="378"/>
      <c r="AO47" s="378"/>
      <c r="AP47" s="378"/>
      <c r="AQ47" s="378"/>
      <c r="AR47" s="378"/>
      <c r="AS47" s="378"/>
      <c r="AT47" s="378"/>
      <c r="AU47" s="149">
        <f t="shared" si="30"/>
        <v>0.29375481319257246</v>
      </c>
      <c r="AV47" s="149">
        <f t="shared" si="28"/>
        <v>-0.18954743773947891</v>
      </c>
      <c r="AW47" s="149">
        <f t="shared" si="28"/>
        <v>-0.97106205806020462</v>
      </c>
      <c r="AX47" s="149">
        <f t="shared" si="28"/>
        <v>-2.2437141130257965E-2</v>
      </c>
      <c r="AY47" s="149">
        <f t="shared" si="28"/>
        <v>-0.49617676178476333</v>
      </c>
      <c r="AZ47" s="149">
        <f t="shared" si="28"/>
        <v>1.3464414034250805E-2</v>
      </c>
      <c r="BA47" s="149">
        <f t="shared" si="28"/>
        <v>36.814012234400245</v>
      </c>
      <c r="BB47" s="149">
        <f t="shared" si="28"/>
        <v>7.2133267212349805E-2</v>
      </c>
      <c r="BC47" s="149">
        <f t="shared" si="28"/>
        <v>8.6615915948154543E-2</v>
      </c>
      <c r="BD47" s="149">
        <f t="shared" si="28"/>
        <v>6.1841732046009401E-2</v>
      </c>
      <c r="BE47" s="149">
        <f t="shared" si="28"/>
        <v>4.7381369596438683E-2</v>
      </c>
      <c r="BF47" s="149">
        <f t="shared" si="28"/>
        <v>5.1415754653010293E-2</v>
      </c>
    </row>
    <row r="48" spans="2:58" s="177" customFormat="1">
      <c r="B48" s="114" t="s">
        <v>381</v>
      </c>
      <c r="C48" s="378"/>
      <c r="D48" s="378"/>
      <c r="E48" s="378"/>
      <c r="F48" s="378"/>
      <c r="G48" s="378"/>
      <c r="H48" s="378"/>
      <c r="I48" s="378"/>
      <c r="J48" s="378"/>
      <c r="K48" s="378"/>
      <c r="L48" s="378"/>
      <c r="M48" s="378"/>
      <c r="N48" s="73">
        <f t="shared" si="29"/>
        <v>7.446862891130146E-2</v>
      </c>
      <c r="O48" s="73">
        <f t="shared" si="29"/>
        <v>9.676816558599044E-2</v>
      </c>
      <c r="P48" s="378"/>
      <c r="Q48" s="146"/>
      <c r="R48" s="378"/>
      <c r="S48" s="378"/>
      <c r="T48" s="378"/>
      <c r="U48" s="378"/>
      <c r="V48" s="378"/>
      <c r="W48" s="378"/>
      <c r="X48" s="378"/>
      <c r="Y48" s="378"/>
      <c r="Z48" s="378"/>
      <c r="AA48" s="378"/>
      <c r="AB48" s="378"/>
      <c r="AC48" s="378"/>
      <c r="AD48" s="378"/>
      <c r="AE48" s="378"/>
      <c r="AF48" s="378"/>
      <c r="AG48" s="378"/>
      <c r="AH48" s="378"/>
      <c r="AI48" s="378"/>
      <c r="AJ48" s="378"/>
      <c r="AK48" s="378"/>
      <c r="AL48" s="378"/>
      <c r="AM48" s="378"/>
      <c r="AN48" s="378"/>
      <c r="AO48" s="378"/>
      <c r="AP48" s="378"/>
      <c r="AQ48" s="378"/>
      <c r="AR48" s="378"/>
      <c r="AS48" s="378"/>
      <c r="AT48" s="378"/>
      <c r="AU48" s="73">
        <f t="shared" si="30"/>
        <v>-0.3158901655848525</v>
      </c>
      <c r="AV48" s="73">
        <f t="shared" si="28"/>
        <v>-0.11236005721687869</v>
      </c>
      <c r="AW48" s="73">
        <f t="shared" si="28"/>
        <v>-0.82679261619329947</v>
      </c>
      <c r="AX48" s="73">
        <f t="shared" si="28"/>
        <v>8.364887955269662E-2</v>
      </c>
      <c r="AY48" s="73">
        <f t="shared" si="28"/>
        <v>-0.4472875258278689</v>
      </c>
      <c r="AZ48" s="73">
        <f t="shared" si="28"/>
        <v>9.0707136096502383E-2</v>
      </c>
      <c r="BA48" s="73">
        <f t="shared" si="28"/>
        <v>5.7046015608661058</v>
      </c>
      <c r="BB48" s="73">
        <f t="shared" si="28"/>
        <v>9.0231638466046649E-2</v>
      </c>
      <c r="BC48" s="73">
        <f t="shared" si="28"/>
        <v>6.2600285243196385E-2</v>
      </c>
      <c r="BD48" s="73">
        <f t="shared" si="28"/>
        <v>0.11004444656713064</v>
      </c>
      <c r="BE48" s="73">
        <f t="shared" si="28"/>
        <v>0.12176279113755473</v>
      </c>
      <c r="BF48" s="73">
        <f t="shared" si="28"/>
        <v>7.0337079736801922E-2</v>
      </c>
    </row>
    <row r="49" spans="2:58" s="177" customFormat="1">
      <c r="B49" s="145"/>
      <c r="C49" s="146"/>
      <c r="D49" s="146"/>
      <c r="E49" s="146"/>
      <c r="F49" s="146"/>
      <c r="G49" s="146"/>
      <c r="H49" s="146"/>
      <c r="I49" s="146"/>
      <c r="J49" s="146"/>
      <c r="K49" s="146"/>
      <c r="L49" s="146"/>
      <c r="M49" s="146"/>
      <c r="N49" s="146"/>
      <c r="O49" s="146"/>
      <c r="P49" s="146"/>
      <c r="Q49" s="146"/>
      <c r="R49" s="146"/>
      <c r="S49" s="146"/>
      <c r="T49" s="146"/>
      <c r="U49" s="146"/>
      <c r="V49" s="146"/>
      <c r="W49" s="146"/>
      <c r="X49" s="146"/>
      <c r="Y49" s="146"/>
      <c r="Z49" s="146"/>
      <c r="AA49" s="146"/>
      <c r="AB49" s="146"/>
      <c r="AC49" s="112"/>
      <c r="AD49" s="194"/>
      <c r="AE49" s="194"/>
      <c r="AF49" s="194"/>
      <c r="AG49" s="194"/>
      <c r="AH49" s="194"/>
      <c r="AI49" s="194"/>
      <c r="AJ49" s="194"/>
      <c r="AK49" s="194"/>
      <c r="AL49" s="194"/>
      <c r="AM49" s="194"/>
      <c r="AN49" s="194"/>
      <c r="AO49" s="194"/>
      <c r="AP49" s="194"/>
      <c r="AQ49" s="194"/>
      <c r="AR49" s="194"/>
      <c r="AS49" s="194"/>
      <c r="AT49" s="194"/>
      <c r="AU49" s="194"/>
      <c r="AV49" s="194"/>
      <c r="AW49" s="194"/>
      <c r="AX49" s="194"/>
      <c r="AY49" s="194"/>
      <c r="AZ49" s="194"/>
      <c r="BA49" s="194"/>
      <c r="BB49" s="194"/>
      <c r="BC49" s="194"/>
      <c r="BD49" s="194"/>
      <c r="BE49" s="194"/>
      <c r="BF49" s="194"/>
    </row>
    <row r="50" spans="2:58" s="177" customFormat="1">
      <c r="B50" s="145"/>
      <c r="C50" s="146"/>
      <c r="D50" s="146"/>
      <c r="E50" s="146"/>
      <c r="F50" s="146"/>
      <c r="G50" s="146"/>
      <c r="H50" s="146"/>
      <c r="I50" s="146"/>
      <c r="J50" s="146"/>
      <c r="K50" s="146"/>
      <c r="L50" s="146"/>
      <c r="M50" s="146"/>
      <c r="N50" s="146"/>
      <c r="O50" s="146"/>
      <c r="P50" s="146"/>
      <c r="Q50" s="146"/>
      <c r="R50" s="146"/>
      <c r="S50" s="146"/>
      <c r="T50" s="146"/>
      <c r="U50" s="146"/>
      <c r="V50" s="146"/>
      <c r="W50" s="146"/>
      <c r="X50" s="146"/>
      <c r="Y50" s="146"/>
      <c r="Z50" s="146"/>
      <c r="AA50" s="146"/>
      <c r="AB50" s="146"/>
      <c r="AC50" s="112"/>
      <c r="AD50" s="194"/>
      <c r="AE50" s="194"/>
      <c r="AF50" s="194"/>
      <c r="AG50" s="194"/>
      <c r="AH50" s="194"/>
      <c r="AI50" s="194"/>
      <c r="AJ50" s="194"/>
      <c r="AK50" s="194"/>
      <c r="AL50" s="194"/>
      <c r="AM50" s="194"/>
      <c r="AN50" s="194"/>
      <c r="AO50" s="194"/>
      <c r="AP50" s="194"/>
      <c r="AQ50" s="194"/>
      <c r="AR50" s="194"/>
      <c r="AS50" s="194"/>
      <c r="AT50" s="194"/>
      <c r="AU50" s="194"/>
      <c r="AV50" s="194"/>
      <c r="AW50" s="194"/>
      <c r="AX50" s="194"/>
      <c r="AY50" s="194"/>
      <c r="AZ50" s="194"/>
      <c r="BA50" s="194"/>
      <c r="BB50" s="194"/>
      <c r="BC50" s="194"/>
      <c r="BD50" s="194"/>
      <c r="BE50" s="194"/>
      <c r="BF50" s="194"/>
    </row>
    <row r="51" spans="2:58">
      <c r="B51" s="376" t="s">
        <v>386</v>
      </c>
      <c r="C51" s="374"/>
      <c r="D51" s="374"/>
      <c r="E51" s="374"/>
      <c r="F51" s="374"/>
      <c r="G51" s="374"/>
      <c r="H51" s="374"/>
      <c r="I51" s="374"/>
      <c r="J51" s="374"/>
      <c r="K51" s="374"/>
      <c r="L51" s="374"/>
      <c r="M51" s="374"/>
      <c r="N51" s="374"/>
      <c r="O51" s="374"/>
      <c r="P51" s="374"/>
      <c r="Q51" s="146"/>
      <c r="R51" s="374"/>
      <c r="S51" s="374"/>
      <c r="T51" s="374"/>
      <c r="U51" s="374"/>
      <c r="V51" s="374"/>
      <c r="W51" s="374"/>
      <c r="X51" s="374"/>
      <c r="Y51" s="374"/>
      <c r="Z51" s="374"/>
      <c r="AA51" s="374"/>
      <c r="AB51" s="374"/>
      <c r="AC51" s="374"/>
      <c r="AD51" s="374"/>
      <c r="AE51" s="374"/>
      <c r="AF51" s="374"/>
      <c r="AG51" s="374"/>
      <c r="AH51" s="374"/>
      <c r="AI51" s="374"/>
      <c r="AJ51" s="374"/>
      <c r="AK51" s="374"/>
      <c r="AL51" s="374"/>
      <c r="AM51" s="374"/>
      <c r="AN51" s="374"/>
      <c r="AO51" s="374"/>
      <c r="AP51" s="374"/>
      <c r="AQ51" s="374"/>
      <c r="AR51" s="374"/>
      <c r="AS51" s="374"/>
      <c r="AT51" s="374"/>
      <c r="AU51" s="374"/>
      <c r="AV51" s="374"/>
      <c r="AW51" s="374"/>
      <c r="AX51" s="374"/>
      <c r="AY51" s="374"/>
      <c r="AZ51" s="374"/>
      <c r="BA51" s="374"/>
      <c r="BB51" s="374"/>
      <c r="BC51" s="374"/>
      <c r="BD51" s="374"/>
      <c r="BE51" s="374"/>
      <c r="BF51" s="374"/>
    </row>
    <row r="52" spans="2:58">
      <c r="B52" s="111" t="s">
        <v>374</v>
      </c>
      <c r="C52" s="289"/>
      <c r="D52" s="289"/>
      <c r="E52" s="289"/>
      <c r="F52" s="289"/>
      <c r="G52" s="289"/>
      <c r="H52" s="289"/>
      <c r="I52" s="289"/>
      <c r="J52" s="289"/>
      <c r="K52" s="289"/>
      <c r="L52" s="289"/>
      <c r="M52" s="229">
        <v>362876.16600000003</v>
      </c>
      <c r="N52" s="229">
        <v>386510.75400000002</v>
      </c>
      <c r="O52" s="229">
        <v>381081.13900000002</v>
      </c>
      <c r="P52" s="370">
        <f t="shared" ref="P52:P58" si="31">SUM(BC52:BF52)</f>
        <v>387343.04900000006</v>
      </c>
      <c r="Q52" s="146"/>
      <c r="R52" s="229"/>
      <c r="S52" s="229"/>
      <c r="T52" s="229"/>
      <c r="U52" s="370"/>
      <c r="V52" s="229"/>
      <c r="W52" s="229"/>
      <c r="X52" s="229"/>
      <c r="Y52" s="370"/>
      <c r="Z52" s="229"/>
      <c r="AA52" s="229"/>
      <c r="AB52" s="229"/>
      <c r="AC52" s="370"/>
      <c r="AD52" s="229"/>
      <c r="AE52" s="229"/>
      <c r="AF52" s="229"/>
      <c r="AG52" s="370"/>
      <c r="AH52" s="229"/>
      <c r="AI52" s="229"/>
      <c r="AJ52" s="229"/>
      <c r="AK52" s="370"/>
      <c r="AL52" s="229"/>
      <c r="AM52" s="229"/>
      <c r="AN52" s="229"/>
      <c r="AO52" s="370"/>
      <c r="AP52" s="229"/>
      <c r="AQ52" s="229">
        <v>201489.185</v>
      </c>
      <c r="AR52" s="229">
        <f>292749.498 -AQ52</f>
        <v>91260.313000000024</v>
      </c>
      <c r="AS52" s="229">
        <f>385590.81-AR52-AQ52-AP52</f>
        <v>92841.311999999976</v>
      </c>
      <c r="AT52" s="229">
        <v>88154.368000000002</v>
      </c>
      <c r="AU52" s="229">
        <v>182489.38699999999</v>
      </c>
      <c r="AV52" s="229">
        <f>274302.549-AU52</f>
        <v>91813.162000000011</v>
      </c>
      <c r="AW52" s="229">
        <f>362876.166-AV52-AU52-AT52</f>
        <v>419.24900000002526</v>
      </c>
      <c r="AX52" s="229">
        <v>84547.736000000004</v>
      </c>
      <c r="AY52" s="229">
        <f>177633.834-AX52</f>
        <v>93086.097999999998</v>
      </c>
      <c r="AZ52" s="229">
        <f>277689.8-AY52-AX52</f>
        <v>100055.96599999999</v>
      </c>
      <c r="BA52" s="370">
        <f>N52-AZ52-AY52-AX52</f>
        <v>108820.95400000006</v>
      </c>
      <c r="BB52" s="229">
        <v>94773.642999999996</v>
      </c>
      <c r="BC52" s="229">
        <f>184996.601-BB52</f>
        <v>90222.957999999999</v>
      </c>
      <c r="BD52" s="229">
        <f>285132.099-BC52-BB52</f>
        <v>100135.49800000001</v>
      </c>
      <c r="BE52" s="370">
        <f t="shared" ref="BE52:BE58" si="32">O52-(BD52+BC52+BB52)</f>
        <v>95949.040000000037</v>
      </c>
      <c r="BF52" s="229">
        <v>101035.553</v>
      </c>
    </row>
    <row r="53" spans="2:58">
      <c r="B53" s="111" t="s">
        <v>382</v>
      </c>
      <c r="C53" s="289"/>
      <c r="D53" s="289"/>
      <c r="E53" s="289"/>
      <c r="F53" s="289"/>
      <c r="G53" s="289"/>
      <c r="H53" s="289"/>
      <c r="I53" s="289"/>
      <c r="J53" s="289"/>
      <c r="K53" s="289"/>
      <c r="L53" s="289"/>
      <c r="M53" s="229">
        <v>136529.40700000001</v>
      </c>
      <c r="N53" s="229">
        <v>150837.42800000001</v>
      </c>
      <c r="O53" s="229">
        <v>155373.185</v>
      </c>
      <c r="P53" s="370">
        <f t="shared" si="31"/>
        <v>161056.61600000001</v>
      </c>
      <c r="Q53" s="146"/>
      <c r="R53" s="229"/>
      <c r="S53" s="229"/>
      <c r="T53" s="229"/>
      <c r="U53" s="370"/>
      <c r="V53" s="229"/>
      <c r="W53" s="229"/>
      <c r="X53" s="229"/>
      <c r="Y53" s="370"/>
      <c r="Z53" s="229"/>
      <c r="AA53" s="229"/>
      <c r="AB53" s="229"/>
      <c r="AC53" s="370"/>
      <c r="AD53" s="229"/>
      <c r="AE53" s="229"/>
      <c r="AF53" s="229"/>
      <c r="AG53" s="370"/>
      <c r="AH53" s="229"/>
      <c r="AI53" s="229"/>
      <c r="AJ53" s="229"/>
      <c r="AK53" s="370"/>
      <c r="AL53" s="229"/>
      <c r="AM53" s="229"/>
      <c r="AN53" s="229"/>
      <c r="AO53" s="370"/>
      <c r="AP53" s="229"/>
      <c r="AQ53" s="229">
        <v>77461.273000000001</v>
      </c>
      <c r="AR53" s="229">
        <f>113054.498-AQ53</f>
        <v>35593.225000000006</v>
      </c>
      <c r="AS53" s="229">
        <f>149848.486-AR53-AQ53-AP53</f>
        <v>36793.987999999998</v>
      </c>
      <c r="AT53" s="229">
        <v>30728.738000000001</v>
      </c>
      <c r="AU53" s="229">
        <v>68090.013000000006</v>
      </c>
      <c r="AV53" s="229">
        <f>99302.527-AU53</f>
        <v>31212.513999999996</v>
      </c>
      <c r="AW53" s="229">
        <f>136529.407-AV53-AU53-AT53</f>
        <v>6498.1420000000035</v>
      </c>
      <c r="AX53" s="229">
        <v>35167.294000000002</v>
      </c>
      <c r="AY53" s="229">
        <f>70494.539-AX53</f>
        <v>35327.245000000003</v>
      </c>
      <c r="AZ53" s="229">
        <f>108260.199-AY53-AX53</f>
        <v>37765.659999999996</v>
      </c>
      <c r="BA53" s="370">
        <f t="shared" ref="BA53:BA58" si="33">N53-AZ53-AY53-AX53</f>
        <v>42577.229000000014</v>
      </c>
      <c r="BB53" s="229">
        <v>34418.044999999998</v>
      </c>
      <c r="BC53" s="229">
        <f>75406.46-BB53</f>
        <v>40988.415000000008</v>
      </c>
      <c r="BD53" s="229">
        <f>118065.243-BC53-BB53</f>
        <v>42658.782999999996</v>
      </c>
      <c r="BE53" s="370">
        <f t="shared" si="32"/>
        <v>37307.941999999995</v>
      </c>
      <c r="BF53" s="229">
        <v>40101.476000000002</v>
      </c>
    </row>
    <row r="54" spans="2:58">
      <c r="B54" s="111" t="s">
        <v>383</v>
      </c>
      <c r="C54" s="289"/>
      <c r="D54" s="289"/>
      <c r="E54" s="289"/>
      <c r="F54" s="289"/>
      <c r="G54" s="289"/>
      <c r="H54" s="289"/>
      <c r="I54" s="289"/>
      <c r="J54" s="289"/>
      <c r="K54" s="289"/>
      <c r="L54" s="289"/>
      <c r="M54" s="229">
        <v>106.249</v>
      </c>
      <c r="N54" s="229">
        <v>-10858.786</v>
      </c>
      <c r="O54" s="229">
        <v>-19170.798999999999</v>
      </c>
      <c r="P54" s="370">
        <f t="shared" si="31"/>
        <v>-17759.703999999998</v>
      </c>
      <c r="Q54" s="146"/>
      <c r="R54" s="229"/>
      <c r="S54" s="229"/>
      <c r="T54" s="229"/>
      <c r="U54" s="370"/>
      <c r="V54" s="229"/>
      <c r="W54" s="229"/>
      <c r="X54" s="229"/>
      <c r="Y54" s="370"/>
      <c r="Z54" s="229"/>
      <c r="AA54" s="229"/>
      <c r="AB54" s="229"/>
      <c r="AC54" s="370"/>
      <c r="AD54" s="229"/>
      <c r="AE54" s="229"/>
      <c r="AF54" s="229"/>
      <c r="AG54" s="370"/>
      <c r="AH54" s="229"/>
      <c r="AI54" s="229"/>
      <c r="AJ54" s="229"/>
      <c r="AK54" s="370"/>
      <c r="AL54" s="229"/>
      <c r="AM54" s="229"/>
      <c r="AN54" s="229"/>
      <c r="AO54" s="370"/>
      <c r="AP54" s="229"/>
      <c r="AQ54" s="229">
        <v>781.67899999999997</v>
      </c>
      <c r="AR54" s="229">
        <f>541.903-AQ54</f>
        <v>-239.77599999999995</v>
      </c>
      <c r="AS54" s="229">
        <f>3259.167-AR54-AQ54-AP54</f>
        <v>2717.2639999999997</v>
      </c>
      <c r="AT54" s="229">
        <v>-3131.931</v>
      </c>
      <c r="AU54" s="229">
        <v>-498.45499999999998</v>
      </c>
      <c r="AV54" s="229">
        <f>64.664-AU54</f>
        <v>563.11900000000003</v>
      </c>
      <c r="AW54" s="229">
        <f>106.249-AV54-AU54-AT54</f>
        <v>3173.5160000000001</v>
      </c>
      <c r="AX54" s="229">
        <v>-3168.7840000000001</v>
      </c>
      <c r="AY54" s="229">
        <f>-3030.51-AX54</f>
        <v>138.27399999999989</v>
      </c>
      <c r="AZ54" s="229">
        <f>-6546.271-AY54-AX54</f>
        <v>-3515.761</v>
      </c>
      <c r="BA54" s="370">
        <f t="shared" si="33"/>
        <v>-4312.5149999999994</v>
      </c>
      <c r="BB54" s="229">
        <v>-7081.1710000000003</v>
      </c>
      <c r="BC54" s="229">
        <f>-11250.866-BB54</f>
        <v>-4169.6949999999997</v>
      </c>
      <c r="BD54" s="229">
        <f>-16542.444-BC54-BB54</f>
        <v>-5291.5779999999995</v>
      </c>
      <c r="BE54" s="370">
        <f t="shared" si="32"/>
        <v>-2628.3549999999996</v>
      </c>
      <c r="BF54" s="229">
        <v>-5670.076</v>
      </c>
    </row>
    <row r="55" spans="2:58">
      <c r="B55" s="111" t="s">
        <v>377</v>
      </c>
      <c r="C55" s="289"/>
      <c r="D55" s="289"/>
      <c r="E55" s="289"/>
      <c r="F55" s="289"/>
      <c r="G55" s="289"/>
      <c r="H55" s="289"/>
      <c r="I55" s="289"/>
      <c r="J55" s="289"/>
      <c r="K55" s="289"/>
      <c r="L55" s="289"/>
      <c r="M55" s="229">
        <v>165431.63800000001</v>
      </c>
      <c r="N55" s="229">
        <v>238229.67199999999</v>
      </c>
      <c r="O55" s="229">
        <v>275170.37800000003</v>
      </c>
      <c r="P55" s="370">
        <f t="shared" si="31"/>
        <v>283703.52300000004</v>
      </c>
      <c r="Q55" s="146"/>
      <c r="R55" s="229"/>
      <c r="S55" s="229"/>
      <c r="T55" s="229"/>
      <c r="U55" s="370"/>
      <c r="V55" s="229"/>
      <c r="W55" s="229"/>
      <c r="X55" s="229"/>
      <c r="Y55" s="370"/>
      <c r="Z55" s="229"/>
      <c r="AA55" s="229"/>
      <c r="AB55" s="229"/>
      <c r="AC55" s="370"/>
      <c r="AD55" s="229"/>
      <c r="AE55" s="229"/>
      <c r="AF55" s="229"/>
      <c r="AG55" s="370"/>
      <c r="AH55" s="229"/>
      <c r="AI55" s="229"/>
      <c r="AJ55" s="229"/>
      <c r="AK55" s="370"/>
      <c r="AL55" s="229"/>
      <c r="AM55" s="229"/>
      <c r="AN55" s="229"/>
      <c r="AO55" s="370"/>
      <c r="AP55" s="229"/>
      <c r="AQ55" s="229">
        <v>87151.464000000007</v>
      </c>
      <c r="AR55" s="229">
        <f>128404.37-AQ55</f>
        <v>41252.905999999988</v>
      </c>
      <c r="AS55" s="229">
        <f>175072.019-AR55-AQ55-AP55</f>
        <v>46667.649000000005</v>
      </c>
      <c r="AT55" s="229">
        <v>7322.4579999999996</v>
      </c>
      <c r="AU55" s="229">
        <v>54466.167999999998</v>
      </c>
      <c r="AV55" s="229">
        <f>109780.727-AU55</f>
        <v>55314.559000000001</v>
      </c>
      <c r="AW55" s="229">
        <f>165431.638-AV55-AU55-AT55</f>
        <v>48328.453000000001</v>
      </c>
      <c r="AX55" s="229">
        <v>61427.771000000001</v>
      </c>
      <c r="AY55" s="229">
        <f>120714.268-AX55</f>
        <v>59286.496999999996</v>
      </c>
      <c r="AZ55" s="229">
        <f>183403.201-AY55-AX55</f>
        <v>62688.932999999997</v>
      </c>
      <c r="BA55" s="370">
        <f t="shared" si="33"/>
        <v>54826.470999999998</v>
      </c>
      <c r="BB55" s="229">
        <v>62529.779000000002</v>
      </c>
      <c r="BC55" s="229">
        <f>127023.501-BB55</f>
        <v>64493.722000000002</v>
      </c>
      <c r="BD55" s="229">
        <f>195354.08-BC55-BB55</f>
        <v>68330.578999999969</v>
      </c>
      <c r="BE55" s="370">
        <f t="shared" si="32"/>
        <v>79816.298000000039</v>
      </c>
      <c r="BF55" s="229">
        <v>71062.923999999999</v>
      </c>
    </row>
    <row r="56" spans="2:58">
      <c r="B56" s="111" t="s">
        <v>378</v>
      </c>
      <c r="C56" s="289"/>
      <c r="D56" s="289"/>
      <c r="E56" s="289"/>
      <c r="F56" s="289"/>
      <c r="G56" s="289"/>
      <c r="H56" s="289"/>
      <c r="I56" s="289"/>
      <c r="J56" s="289"/>
      <c r="K56" s="289"/>
      <c r="L56" s="289"/>
      <c r="M56" s="229">
        <v>45877.661</v>
      </c>
      <c r="N56" s="229">
        <v>19887.863000000001</v>
      </c>
      <c r="O56" s="229">
        <v>43077.076999999997</v>
      </c>
      <c r="P56" s="370">
        <f t="shared" si="31"/>
        <v>42500.377999999997</v>
      </c>
      <c r="Q56" s="229"/>
      <c r="R56" s="229"/>
      <c r="S56" s="229"/>
      <c r="T56" s="229"/>
      <c r="U56" s="370"/>
      <c r="V56" s="229"/>
      <c r="W56" s="229"/>
      <c r="X56" s="229"/>
      <c r="Y56" s="370"/>
      <c r="Z56" s="229"/>
      <c r="AA56" s="229"/>
      <c r="AB56" s="229"/>
      <c r="AC56" s="370"/>
      <c r="AD56" s="229"/>
      <c r="AE56" s="229"/>
      <c r="AF56" s="229"/>
      <c r="AG56" s="370"/>
      <c r="AH56" s="229"/>
      <c r="AI56" s="229"/>
      <c r="AJ56" s="229"/>
      <c r="AK56" s="370"/>
      <c r="AL56" s="229"/>
      <c r="AM56" s="229"/>
      <c r="AN56" s="229"/>
      <c r="AO56" s="370"/>
      <c r="AP56" s="229"/>
      <c r="AQ56" s="229">
        <v>21947.557000000001</v>
      </c>
      <c r="AR56" s="229">
        <f>33507.672-AQ56</f>
        <v>11560.114999999998</v>
      </c>
      <c r="AS56" s="229">
        <f>39723.104-AR56-AQ56-AP56</f>
        <v>6215.4320000000007</v>
      </c>
      <c r="AT56" s="229">
        <v>9143.223</v>
      </c>
      <c r="AU56" s="229">
        <v>21110.492999999999</v>
      </c>
      <c r="AV56" s="229">
        <f>32452.031-AU56</f>
        <v>11341.538</v>
      </c>
      <c r="AW56" s="229">
        <f>45877.661-AV56-AU56-AT56</f>
        <v>4282.4070000000011</v>
      </c>
      <c r="AX56" s="229">
        <v>9852.91</v>
      </c>
      <c r="AY56" s="229">
        <f>22036.2-AX56</f>
        <v>12183.29</v>
      </c>
      <c r="AZ56" s="229">
        <f>19780.638-AY56-AX56</f>
        <v>-2255.5620000000017</v>
      </c>
      <c r="BA56" s="370">
        <f t="shared" si="33"/>
        <v>107.22500000000218</v>
      </c>
      <c r="BB56" s="229">
        <v>7553.4639999999999</v>
      </c>
      <c r="BC56" s="229">
        <f>18684.708-BB56</f>
        <v>11131.243999999999</v>
      </c>
      <c r="BD56" s="229">
        <f>26477.813-BC56-BB56</f>
        <v>7793.1049999999996</v>
      </c>
      <c r="BE56" s="370">
        <f t="shared" si="32"/>
        <v>16599.263999999999</v>
      </c>
      <c r="BF56" s="229">
        <v>6976.7650000000003</v>
      </c>
    </row>
    <row r="57" spans="2:58">
      <c r="B57" s="111" t="s">
        <v>380</v>
      </c>
      <c r="C57" s="289"/>
      <c r="D57" s="289"/>
      <c r="E57" s="289"/>
      <c r="F57" s="289"/>
      <c r="G57" s="289"/>
      <c r="H57" s="289"/>
      <c r="I57" s="289"/>
      <c r="J57" s="289"/>
      <c r="K57" s="289"/>
      <c r="L57" s="289"/>
      <c r="M57" s="229">
        <v>52251.177000000003</v>
      </c>
      <c r="N57" s="229">
        <v>4227.8869999999997</v>
      </c>
      <c r="O57" s="229">
        <v>0</v>
      </c>
      <c r="P57" s="370">
        <f t="shared" si="31"/>
        <v>-1411.434</v>
      </c>
      <c r="Q57" s="229"/>
      <c r="R57" s="229"/>
      <c r="S57" s="229"/>
      <c r="T57" s="229"/>
      <c r="U57" s="370"/>
      <c r="V57" s="229"/>
      <c r="W57" s="229"/>
      <c r="X57" s="229"/>
      <c r="Y57" s="370"/>
      <c r="Z57" s="229"/>
      <c r="AA57" s="229"/>
      <c r="AB57" s="229"/>
      <c r="AC57" s="370"/>
      <c r="AD57" s="229"/>
      <c r="AE57" s="229"/>
      <c r="AF57" s="229"/>
      <c r="AG57" s="370"/>
      <c r="AH57" s="229"/>
      <c r="AI57" s="229"/>
      <c r="AJ57" s="229"/>
      <c r="AK57" s="370"/>
      <c r="AL57" s="229"/>
      <c r="AM57" s="229"/>
      <c r="AN57" s="229"/>
      <c r="AO57" s="370"/>
      <c r="AP57" s="229"/>
      <c r="AQ57" s="229">
        <v>488567.065</v>
      </c>
      <c r="AR57" s="229">
        <f>542874.532-AQ57</f>
        <v>54307.467000000004</v>
      </c>
      <c r="AS57" s="229">
        <f>530636.403-AR57-AQ57-AP57</f>
        <v>-12238.128999999957</v>
      </c>
      <c r="AT57" s="229">
        <v>0</v>
      </c>
      <c r="AU57" s="229">
        <v>0</v>
      </c>
      <c r="AV57" s="229">
        <f>0-AU57</f>
        <v>0</v>
      </c>
      <c r="AW57" s="229">
        <f>52251.177-AV57-AU57-AT57</f>
        <v>52251.177000000003</v>
      </c>
      <c r="AX57" s="229">
        <v>0</v>
      </c>
      <c r="AY57" s="229">
        <f>0-AX57</f>
        <v>0</v>
      </c>
      <c r="AZ57" s="229">
        <f>0-AY57-AX57</f>
        <v>0</v>
      </c>
      <c r="BA57" s="370">
        <f t="shared" si="33"/>
        <v>4227.8869999999997</v>
      </c>
      <c r="BB57" s="229">
        <v>1411.434</v>
      </c>
      <c r="BC57" s="229">
        <f>1411.434-BB57</f>
        <v>0</v>
      </c>
      <c r="BD57" s="229">
        <f>1411.434-BC57-BB57</f>
        <v>0</v>
      </c>
      <c r="BE57" s="370">
        <f t="shared" si="32"/>
        <v>-1411.434</v>
      </c>
      <c r="BF57" s="229">
        <v>0</v>
      </c>
    </row>
    <row r="58" spans="2:58">
      <c r="B58" s="111" t="s">
        <v>379</v>
      </c>
      <c r="C58" s="289"/>
      <c r="D58" s="289"/>
      <c r="E58" s="289"/>
      <c r="F58" s="289"/>
      <c r="G58" s="289"/>
      <c r="H58" s="289"/>
      <c r="I58" s="289"/>
      <c r="J58" s="289"/>
      <c r="K58" s="289"/>
      <c r="L58" s="289"/>
      <c r="M58" s="229">
        <v>-510.12700000000001</v>
      </c>
      <c r="N58" s="229">
        <v>-221.917</v>
      </c>
      <c r="O58" s="229">
        <v>-57.884</v>
      </c>
      <c r="P58" s="370">
        <f t="shared" si="31"/>
        <v>-47.634</v>
      </c>
      <c r="Q58" s="229"/>
      <c r="R58" s="229"/>
      <c r="S58" s="229"/>
      <c r="T58" s="229"/>
      <c r="U58" s="370"/>
      <c r="V58" s="229"/>
      <c r="W58" s="229"/>
      <c r="X58" s="229"/>
      <c r="Y58" s="370"/>
      <c r="Z58" s="229"/>
      <c r="AA58" s="229"/>
      <c r="AB58" s="229"/>
      <c r="AC58" s="370"/>
      <c r="AD58" s="229"/>
      <c r="AE58" s="229"/>
      <c r="AF58" s="229"/>
      <c r="AG58" s="370"/>
      <c r="AH58" s="229"/>
      <c r="AI58" s="229"/>
      <c r="AJ58" s="229"/>
      <c r="AK58" s="370"/>
      <c r="AL58" s="229"/>
      <c r="AM58" s="229"/>
      <c r="AN58" s="229"/>
      <c r="AO58" s="370"/>
      <c r="AP58" s="229"/>
      <c r="AQ58" s="229">
        <v>-1016.668</v>
      </c>
      <c r="AR58" s="229">
        <f>-1570.494-AQ58</f>
        <v>-553.82599999999991</v>
      </c>
      <c r="AS58" s="229">
        <f>-2117.095-AR58-AQ58-AP58</f>
        <v>-546.60099999999977</v>
      </c>
      <c r="AT58" s="229">
        <v>-93.597999999999999</v>
      </c>
      <c r="AU58" s="229">
        <v>-301.00700000000001</v>
      </c>
      <c r="AV58" s="229">
        <f>-393.364-AU58</f>
        <v>-92.356999999999971</v>
      </c>
      <c r="AW58" s="229">
        <f>-510.127-AV58-AU58-AT58</f>
        <v>-23.165000000000035</v>
      </c>
      <c r="AX58" s="229">
        <v>-56.551000000000002</v>
      </c>
      <c r="AY58" s="229">
        <f>-141.308-AX58</f>
        <v>-84.756999999999991</v>
      </c>
      <c r="AZ58" s="229">
        <f>-172.024-AY58-AX58</f>
        <v>-30.716000000000008</v>
      </c>
      <c r="BA58" s="370">
        <f t="shared" si="33"/>
        <v>-49.893000000000001</v>
      </c>
      <c r="BB58" s="229">
        <v>-39.795999999999999</v>
      </c>
      <c r="BC58" s="229">
        <f>-57.883-BB58</f>
        <v>-18.087000000000003</v>
      </c>
      <c r="BD58" s="229">
        <f>-57.882-BC58-BB58</f>
        <v>1.0000000000047748E-3</v>
      </c>
      <c r="BE58" s="370">
        <f t="shared" si="32"/>
        <v>-2.0000000000024443E-3</v>
      </c>
      <c r="BF58" s="229">
        <v>-29.545999999999999</v>
      </c>
    </row>
    <row r="59" spans="2:58" s="5" customFormat="1">
      <c r="B59" s="114" t="s">
        <v>387</v>
      </c>
      <c r="C59" s="142">
        <f t="shared" ref="C59:I59" si="34">SUM(C52:C57)</f>
        <v>0</v>
      </c>
      <c r="D59" s="142">
        <f t="shared" si="34"/>
        <v>0</v>
      </c>
      <c r="E59" s="142">
        <f t="shared" si="34"/>
        <v>0</v>
      </c>
      <c r="F59" s="142">
        <f t="shared" si="34"/>
        <v>0</v>
      </c>
      <c r="G59" s="142">
        <f t="shared" si="34"/>
        <v>0</v>
      </c>
      <c r="H59" s="142">
        <f t="shared" si="34"/>
        <v>0</v>
      </c>
      <c r="I59" s="142">
        <f t="shared" si="34"/>
        <v>0</v>
      </c>
      <c r="J59" s="142">
        <f>SUM(J52:J57)</f>
        <v>0</v>
      </c>
      <c r="K59" s="142">
        <f>SUM(K52:K57)</f>
        <v>0</v>
      </c>
      <c r="L59" s="142">
        <f>SUM(L52:L58)</f>
        <v>0</v>
      </c>
      <c r="M59" s="148">
        <f>SUM(M52:M58)</f>
        <v>762562.17100000009</v>
      </c>
      <c r="N59" s="148">
        <f>SUM(N52:N58)</f>
        <v>788612.90100000007</v>
      </c>
      <c r="O59" s="148">
        <f>SUM(O52:O58)</f>
        <v>835473.09600000014</v>
      </c>
      <c r="P59" s="148">
        <f>SUM(P52:P58)</f>
        <v>855384.79400000011</v>
      </c>
      <c r="Q59" s="371"/>
      <c r="R59" s="148">
        <f>SUM(R52:R57)</f>
        <v>0</v>
      </c>
      <c r="S59" s="148">
        <f t="shared" ref="S59:AB59" si="35">SUM(S52:S57)</f>
        <v>0</v>
      </c>
      <c r="T59" s="148">
        <f t="shared" si="35"/>
        <v>0</v>
      </c>
      <c r="U59" s="148">
        <f t="shared" si="35"/>
        <v>0</v>
      </c>
      <c r="V59" s="148">
        <f t="shared" si="35"/>
        <v>0</v>
      </c>
      <c r="W59" s="148">
        <f t="shared" si="35"/>
        <v>0</v>
      </c>
      <c r="X59" s="148">
        <f t="shared" si="35"/>
        <v>0</v>
      </c>
      <c r="Y59" s="148">
        <f t="shared" si="35"/>
        <v>0</v>
      </c>
      <c r="Z59" s="148">
        <f t="shared" si="35"/>
        <v>0</v>
      </c>
      <c r="AA59" s="148">
        <f t="shared" si="35"/>
        <v>0</v>
      </c>
      <c r="AB59" s="148">
        <f t="shared" si="35"/>
        <v>0</v>
      </c>
      <c r="AC59" s="148">
        <f>SUM(AC52:AC57)</f>
        <v>0</v>
      </c>
      <c r="AD59" s="148">
        <f>SUM(AD52:AD57)</f>
        <v>0</v>
      </c>
      <c r="AE59" s="148">
        <f>SUM(AE52:AE57)</f>
        <v>0</v>
      </c>
      <c r="AF59" s="148">
        <f t="shared" ref="AF59:AK59" si="36">SUM(AF52:AF57)</f>
        <v>0</v>
      </c>
      <c r="AG59" s="148">
        <f t="shared" si="36"/>
        <v>0</v>
      </c>
      <c r="AH59" s="148">
        <f t="shared" si="36"/>
        <v>0</v>
      </c>
      <c r="AI59" s="148">
        <f t="shared" si="36"/>
        <v>0</v>
      </c>
      <c r="AJ59" s="148">
        <f t="shared" si="36"/>
        <v>0</v>
      </c>
      <c r="AK59" s="148">
        <f t="shared" si="36"/>
        <v>0</v>
      </c>
      <c r="AL59" s="148">
        <f>SUM(AL52:AL57)</f>
        <v>0</v>
      </c>
      <c r="AM59" s="148">
        <f>SUM(AM52:AM57)</f>
        <v>0</v>
      </c>
      <c r="AN59" s="148">
        <f>SUM(AN52:AN57)</f>
        <v>0</v>
      </c>
      <c r="AO59" s="148">
        <f>SUM(AO52:AO57)</f>
        <v>0</v>
      </c>
      <c r="AP59" s="148">
        <f>SUM(AP52:AP57)</f>
        <v>0</v>
      </c>
      <c r="AQ59" s="148">
        <f t="shared" ref="AQ59:AX59" si="37">SUM(AQ52:AQ58)</f>
        <v>876381.55500000005</v>
      </c>
      <c r="AR59" s="148">
        <f t="shared" si="37"/>
        <v>233180.424</v>
      </c>
      <c r="AS59" s="148">
        <f t="shared" si="37"/>
        <v>172450.91500000004</v>
      </c>
      <c r="AT59" s="148">
        <f t="shared" si="37"/>
        <v>132123.258</v>
      </c>
      <c r="AU59" s="148">
        <f t="shared" si="37"/>
        <v>325356.59900000005</v>
      </c>
      <c r="AV59" s="148">
        <f t="shared" si="37"/>
        <v>190152.53500000003</v>
      </c>
      <c r="AW59" s="148">
        <f t="shared" si="37"/>
        <v>114929.77900000004</v>
      </c>
      <c r="AX59" s="148">
        <f t="shared" si="37"/>
        <v>187770.37599999999</v>
      </c>
      <c r="AY59" s="148">
        <f t="shared" ref="AY59:BD59" si="38">SUM(AY52:AY58)</f>
        <v>199936.647</v>
      </c>
      <c r="AZ59" s="148">
        <f t="shared" si="38"/>
        <v>194708.52</v>
      </c>
      <c r="BA59" s="148">
        <f t="shared" si="38"/>
        <v>206197.35800000004</v>
      </c>
      <c r="BB59" s="148">
        <f t="shared" si="38"/>
        <v>193565.39800000002</v>
      </c>
      <c r="BC59" s="148">
        <f t="shared" si="38"/>
        <v>202648.55700000003</v>
      </c>
      <c r="BD59" s="148">
        <f t="shared" si="38"/>
        <v>213626.38799999998</v>
      </c>
      <c r="BE59" s="148">
        <f>SUM(BE52:BE58)</f>
        <v>225632.75300000003</v>
      </c>
      <c r="BF59" s="148">
        <f>SUM(BF52:BF58)</f>
        <v>213477.09600000002</v>
      </c>
    </row>
    <row r="60" spans="2:58" s="177" customFormat="1">
      <c r="B60" s="337" t="s">
        <v>22</v>
      </c>
      <c r="C60" s="338"/>
      <c r="D60" s="338"/>
      <c r="E60" s="338"/>
      <c r="F60" s="338"/>
      <c r="G60" s="338"/>
      <c r="H60" s="338"/>
      <c r="I60" s="338"/>
      <c r="J60" s="338"/>
      <c r="K60" s="338"/>
      <c r="L60" s="338"/>
      <c r="M60" s="338">
        <f>M59-Model!L48</f>
        <v>0</v>
      </c>
      <c r="N60" s="338">
        <f>N59-Model!M48</f>
        <v>0</v>
      </c>
      <c r="O60" s="338">
        <f>O59-Model!N48</f>
        <v>0</v>
      </c>
      <c r="P60" s="338">
        <f>P59-Model!O48</f>
        <v>0</v>
      </c>
      <c r="Q60" s="338"/>
      <c r="R60" s="338"/>
      <c r="S60" s="338"/>
      <c r="T60" s="338"/>
      <c r="U60" s="338"/>
      <c r="V60" s="338"/>
      <c r="W60" s="338"/>
      <c r="X60" s="338"/>
      <c r="Y60" s="338"/>
      <c r="Z60" s="338"/>
      <c r="AA60" s="338"/>
      <c r="AB60" s="338"/>
      <c r="AC60" s="339"/>
      <c r="AD60" s="340"/>
      <c r="AE60" s="340"/>
      <c r="AF60" s="340"/>
      <c r="AG60" s="340"/>
      <c r="AH60" s="340"/>
      <c r="AI60" s="340"/>
      <c r="AJ60" s="340"/>
      <c r="AK60" s="340"/>
      <c r="AL60" s="340"/>
      <c r="AM60" s="340"/>
      <c r="AN60" s="340"/>
      <c r="AO60" s="340"/>
      <c r="AP60" s="340"/>
      <c r="AQ60" s="340"/>
      <c r="AR60" s="340"/>
      <c r="AS60" s="340"/>
      <c r="AT60" s="340"/>
      <c r="AU60" s="340"/>
      <c r="AV60" s="340"/>
      <c r="AW60" s="340"/>
      <c r="AX60" s="338">
        <f>AX59-Model!AW48</f>
        <v>0.37599999998928979</v>
      </c>
      <c r="AY60" s="338">
        <f>AY59-Model!AX48</f>
        <v>-0.35300000000279397</v>
      </c>
      <c r="AZ60" s="338">
        <f>AZ59-Model!AY48</f>
        <v>-0.48000000001047738</v>
      </c>
      <c r="BA60" s="338">
        <f>BA59-Model!AZ48</f>
        <v>0.45700000008218922</v>
      </c>
      <c r="BB60" s="338">
        <f>BB59-Model!BA48</f>
        <v>0</v>
      </c>
      <c r="BC60" s="338">
        <f>BC59-Model!BB48</f>
        <v>-4.4999999983701855E-2</v>
      </c>
      <c r="BD60" s="338">
        <f>BD59-Model!BC48</f>
        <v>0.3879999999771826</v>
      </c>
      <c r="BE60" s="338">
        <f>BE59-Model!BD48</f>
        <v>-0.3430000000516884</v>
      </c>
      <c r="BF60" s="338">
        <f>BF59-Model!BE48</f>
        <v>0</v>
      </c>
    </row>
    <row r="61" spans="2:58" s="177" customFormat="1">
      <c r="B61" s="145"/>
      <c r="C61" s="146"/>
      <c r="D61" s="146"/>
      <c r="E61" s="146"/>
      <c r="F61" s="146"/>
      <c r="G61" s="146"/>
      <c r="H61" s="146"/>
      <c r="I61" s="146"/>
      <c r="J61" s="146"/>
      <c r="K61" s="146"/>
      <c r="L61" s="146"/>
      <c r="M61" s="146"/>
      <c r="N61" s="146"/>
      <c r="O61" s="146"/>
      <c r="P61" s="146"/>
      <c r="Q61" s="146"/>
      <c r="R61" s="146"/>
      <c r="S61" s="146"/>
      <c r="T61" s="146"/>
      <c r="U61" s="146"/>
      <c r="V61" s="146"/>
      <c r="W61" s="146"/>
      <c r="X61" s="146"/>
      <c r="Y61" s="146"/>
      <c r="Z61" s="146"/>
      <c r="AA61" s="146"/>
      <c r="AB61" s="146"/>
      <c r="AC61" s="112"/>
      <c r="AD61" s="194"/>
      <c r="AE61" s="194"/>
      <c r="AF61" s="194"/>
      <c r="AG61" s="194"/>
      <c r="AH61" s="194"/>
      <c r="AI61" s="194"/>
      <c r="AJ61" s="194"/>
      <c r="AK61" s="194"/>
      <c r="AL61" s="194"/>
      <c r="AM61" s="194"/>
      <c r="AN61" s="194"/>
      <c r="AO61" s="194"/>
      <c r="AP61" s="194"/>
      <c r="AQ61" s="194"/>
      <c r="AR61" s="194"/>
      <c r="AS61" s="194"/>
      <c r="AT61" s="194"/>
      <c r="AU61" s="194"/>
      <c r="AV61" s="194"/>
      <c r="AW61" s="194"/>
      <c r="AX61" s="194"/>
      <c r="AY61" s="194"/>
      <c r="AZ61" s="194"/>
      <c r="BA61" s="194"/>
      <c r="BB61" s="194"/>
      <c r="BC61" s="194"/>
      <c r="BD61" s="194"/>
      <c r="BE61" s="194"/>
      <c r="BF61" s="194"/>
    </row>
    <row r="62" spans="2:58">
      <c r="B62" s="110" t="s">
        <v>388</v>
      </c>
      <c r="C62" s="289"/>
      <c r="D62" s="289"/>
      <c r="E62" s="289"/>
      <c r="F62" s="289"/>
      <c r="G62" s="289"/>
      <c r="H62" s="289"/>
      <c r="I62" s="289"/>
      <c r="J62" s="289"/>
      <c r="K62" s="289"/>
      <c r="L62" s="289"/>
      <c r="M62" s="112"/>
      <c r="N62" s="112"/>
      <c r="O62" s="112"/>
      <c r="P62" s="112"/>
      <c r="Q62" s="112"/>
      <c r="R62" s="112"/>
      <c r="S62" s="112"/>
      <c r="T62" s="112"/>
      <c r="U62" s="112"/>
      <c r="V62" s="112"/>
      <c r="W62" s="112"/>
      <c r="X62" s="112"/>
      <c r="Y62" s="112"/>
      <c r="Z62" s="112"/>
      <c r="AA62" s="112"/>
      <c r="AB62" s="112"/>
      <c r="AC62" s="112"/>
      <c r="AD62" s="112"/>
      <c r="AE62" s="112"/>
      <c r="AF62" s="112"/>
      <c r="AG62" s="112"/>
      <c r="AH62" s="112"/>
      <c r="AI62" s="112"/>
      <c r="AJ62" s="112"/>
      <c r="AK62" s="112"/>
      <c r="AL62" s="112"/>
      <c r="AM62" s="112"/>
      <c r="AN62" s="112"/>
      <c r="AP62" s="112"/>
      <c r="AQ62" s="112"/>
      <c r="AR62" s="112"/>
      <c r="AS62" s="112"/>
      <c r="AT62" s="112"/>
      <c r="AU62" s="112"/>
      <c r="AV62" s="112"/>
      <c r="AW62" s="112"/>
      <c r="AX62" s="112"/>
      <c r="AY62" s="112"/>
      <c r="AZ62" s="112"/>
      <c r="BA62" s="112"/>
      <c r="BB62" s="112"/>
      <c r="BC62" s="112"/>
      <c r="BD62" s="112"/>
      <c r="BE62" s="112"/>
      <c r="BF62" s="112"/>
    </row>
    <row r="63" spans="2:58">
      <c r="B63" s="111" t="s">
        <v>374</v>
      </c>
      <c r="C63" s="290"/>
      <c r="D63" s="290"/>
      <c r="E63" s="290"/>
      <c r="F63" s="290"/>
      <c r="G63" s="290"/>
      <c r="H63" s="290"/>
      <c r="I63" s="290"/>
      <c r="J63" s="290"/>
      <c r="K63" s="290"/>
      <c r="L63" s="290"/>
      <c r="M63" s="149">
        <f t="shared" ref="M63:P67" si="39">M52/M20</f>
        <v>0.33935417162658338</v>
      </c>
      <c r="N63" s="149">
        <f t="shared" si="39"/>
        <v>0.32908087670771846</v>
      </c>
      <c r="O63" s="149">
        <f t="shared" si="39"/>
        <v>0.30266948020728324</v>
      </c>
      <c r="P63" s="149">
        <f t="shared" si="39"/>
        <v>0.29991740381218224</v>
      </c>
      <c r="Q63" s="112"/>
      <c r="R63" s="149"/>
      <c r="S63" s="149"/>
      <c r="T63" s="149"/>
      <c r="U63" s="149"/>
      <c r="V63" s="149"/>
      <c r="W63" s="149"/>
      <c r="X63" s="149"/>
      <c r="Y63" s="149"/>
      <c r="Z63" s="149"/>
      <c r="AA63" s="149"/>
      <c r="AB63" s="149"/>
      <c r="AC63" s="149"/>
      <c r="AD63" s="149"/>
      <c r="AE63" s="149"/>
      <c r="AF63" s="149"/>
      <c r="AG63" s="149"/>
      <c r="AH63" s="149"/>
      <c r="AI63" s="149"/>
      <c r="AJ63" s="238"/>
      <c r="AK63" s="149"/>
      <c r="AL63" s="149"/>
      <c r="AM63" s="149"/>
      <c r="AN63" s="238"/>
      <c r="AO63" s="149"/>
      <c r="AP63" s="149"/>
      <c r="AQ63" s="149">
        <f t="shared" ref="AQ63:AR67" si="40">AQ52/AQ20</f>
        <v>0.36143362292740255</v>
      </c>
      <c r="AR63" s="149">
        <f t="shared" si="40"/>
        <v>0.34523856014284587</v>
      </c>
      <c r="AS63" s="269"/>
      <c r="AT63" s="149"/>
      <c r="AU63" s="149">
        <f t="shared" ref="AU63:BF63" si="41">AU52/AU20</f>
        <v>0.34553727930897793</v>
      </c>
      <c r="AV63" s="149">
        <f t="shared" si="41"/>
        <v>0.35629742430049394</v>
      </c>
      <c r="AW63" s="149">
        <f t="shared" si="41"/>
        <v>2.5423746800346619E-2</v>
      </c>
      <c r="AX63" s="149">
        <f t="shared" si="41"/>
        <v>0.30704140438739386</v>
      </c>
      <c r="AY63" s="149">
        <f t="shared" si="41"/>
        <v>0.32517440771744399</v>
      </c>
      <c r="AZ63" s="149">
        <f t="shared" si="41"/>
        <v>0.34674664012230161</v>
      </c>
      <c r="BA63" s="149">
        <f t="shared" si="41"/>
        <v>0.33552355136078421</v>
      </c>
      <c r="BB63" s="149">
        <f t="shared" si="41"/>
        <v>0.31055289272684639</v>
      </c>
      <c r="BC63" s="149">
        <f t="shared" si="41"/>
        <v>0.30223414357957856</v>
      </c>
      <c r="BD63" s="149">
        <f t="shared" si="41"/>
        <v>0.32327862968069765</v>
      </c>
      <c r="BE63" s="149">
        <f t="shared" si="41"/>
        <v>0.27761432429944627</v>
      </c>
      <c r="BF63" s="149">
        <f t="shared" si="41"/>
        <v>0.29926771677253333</v>
      </c>
    </row>
    <row r="64" spans="2:58">
      <c r="B64" s="111" t="s">
        <v>382</v>
      </c>
      <c r="C64" s="290"/>
      <c r="D64" s="290"/>
      <c r="E64" s="290"/>
      <c r="F64" s="290"/>
      <c r="G64" s="290"/>
      <c r="H64" s="290"/>
      <c r="I64" s="290"/>
      <c r="J64" s="290"/>
      <c r="K64" s="290"/>
      <c r="L64" s="290"/>
      <c r="M64" s="149">
        <f t="shared" si="39"/>
        <v>0.32107163665864141</v>
      </c>
      <c r="N64" s="149">
        <f t="shared" si="39"/>
        <v>0.33189333017317851</v>
      </c>
      <c r="O64" s="149">
        <f t="shared" si="39"/>
        <v>0.32973555436544477</v>
      </c>
      <c r="P64" s="149">
        <f t="shared" si="39"/>
        <v>0.33922134348535649</v>
      </c>
      <c r="Q64" s="112"/>
      <c r="R64" s="149"/>
      <c r="S64" s="149"/>
      <c r="T64" s="149"/>
      <c r="U64" s="149"/>
      <c r="V64" s="149"/>
      <c r="W64" s="149"/>
      <c r="X64" s="149"/>
      <c r="Y64" s="149"/>
      <c r="Z64" s="149"/>
      <c r="AA64" s="149"/>
      <c r="AB64" s="149"/>
      <c r="AC64" s="149"/>
      <c r="AD64" s="149"/>
      <c r="AE64" s="149"/>
      <c r="AF64" s="149"/>
      <c r="AG64" s="149"/>
      <c r="AH64" s="149"/>
      <c r="AI64" s="149"/>
      <c r="AJ64" s="238"/>
      <c r="AK64" s="149"/>
      <c r="AL64" s="149"/>
      <c r="AM64" s="149"/>
      <c r="AN64" s="238"/>
      <c r="AO64" s="149"/>
      <c r="AP64" s="149"/>
      <c r="AQ64" s="149">
        <f t="shared" si="40"/>
        <v>0.39275111892807862</v>
      </c>
      <c r="AR64" s="149">
        <f t="shared" si="40"/>
        <v>0.35077763923913247</v>
      </c>
      <c r="AS64" s="269"/>
      <c r="AT64" s="149"/>
      <c r="AU64" s="149">
        <f t="shared" ref="AU64:BF64" si="42">AU53/AU21</f>
        <v>0.32278474045836358</v>
      </c>
      <c r="AV64" s="149">
        <f t="shared" si="42"/>
        <v>0.30983625872068932</v>
      </c>
      <c r="AW64" s="149">
        <f t="shared" si="42"/>
        <v>0.65622519201337448</v>
      </c>
      <c r="AX64" s="149">
        <f t="shared" si="42"/>
        <v>0.32752320634370652</v>
      </c>
      <c r="AY64" s="149">
        <f t="shared" si="42"/>
        <v>0.31842340020707161</v>
      </c>
      <c r="AZ64" s="149">
        <f t="shared" si="42"/>
        <v>0.34125335717315131</v>
      </c>
      <c r="BA64" s="149">
        <f t="shared" si="42"/>
        <v>0.33928668817906577</v>
      </c>
      <c r="BB64" s="149">
        <f t="shared" si="42"/>
        <v>0.29948919051922773</v>
      </c>
      <c r="BC64" s="149">
        <f t="shared" si="42"/>
        <v>0.3479217083241285</v>
      </c>
      <c r="BD64" s="149">
        <f t="shared" si="42"/>
        <v>0.36057638926455871</v>
      </c>
      <c r="BE64" s="149">
        <f t="shared" si="42"/>
        <v>0.31046891439309005</v>
      </c>
      <c r="BF64" s="149">
        <f t="shared" si="42"/>
        <v>0.33840815775666705</v>
      </c>
    </row>
    <row r="65" spans="2:58">
      <c r="B65" s="111" t="s">
        <v>383</v>
      </c>
      <c r="C65" s="290"/>
      <c r="D65" s="290"/>
      <c r="E65" s="290"/>
      <c r="F65" s="290"/>
      <c r="G65" s="290"/>
      <c r="H65" s="290"/>
      <c r="I65" s="290"/>
      <c r="J65" s="290"/>
      <c r="K65" s="290"/>
      <c r="L65" s="290"/>
      <c r="M65" s="149">
        <f t="shared" si="39"/>
        <v>8.7347782006427614E-4</v>
      </c>
      <c r="N65" s="149">
        <f t="shared" si="39"/>
        <v>-8.4968923445528879E-2</v>
      </c>
      <c r="O65" s="149">
        <f t="shared" si="39"/>
        <v>-0.14083262729565338</v>
      </c>
      <c r="P65" s="149">
        <f t="shared" si="39"/>
        <v>-0.13164107492362503</v>
      </c>
      <c r="Q65" s="112"/>
      <c r="R65" s="149"/>
      <c r="S65" s="149"/>
      <c r="T65" s="149"/>
      <c r="U65" s="149"/>
      <c r="V65" s="149"/>
      <c r="W65" s="149"/>
      <c r="X65" s="149"/>
      <c r="Y65" s="149"/>
      <c r="Z65" s="149"/>
      <c r="AA65" s="149"/>
      <c r="AB65" s="149"/>
      <c r="AC65" s="149"/>
      <c r="AD65" s="149"/>
      <c r="AE65" s="149"/>
      <c r="AF65" s="149"/>
      <c r="AG65" s="149"/>
      <c r="AH65" s="149"/>
      <c r="AI65" s="149"/>
      <c r="AJ65" s="238"/>
      <c r="AK65" s="149"/>
      <c r="AL65" s="149"/>
      <c r="AM65" s="149"/>
      <c r="AN65" s="238"/>
      <c r="AO65" s="149"/>
      <c r="AP65" s="149"/>
      <c r="AQ65" s="149">
        <f t="shared" si="40"/>
        <v>1.4878751477612777E-2</v>
      </c>
      <c r="AR65" s="149">
        <f t="shared" si="40"/>
        <v>-9.090444149040729E-3</v>
      </c>
      <c r="AS65" s="269"/>
      <c r="AT65" s="149"/>
      <c r="AU65" s="149">
        <f t="shared" ref="AU65:BF65" si="43">AU54/AU22</f>
        <v>-8.3553812666637643E-3</v>
      </c>
      <c r="AV65" s="149">
        <f t="shared" si="43"/>
        <v>1.9473049600067287E-2</v>
      </c>
      <c r="AW65" s="149">
        <f t="shared" si="43"/>
        <v>0.5395065193513312</v>
      </c>
      <c r="AX65" s="149">
        <f t="shared" si="43"/>
        <v>-0.1054106458636824</v>
      </c>
      <c r="AY65" s="149">
        <f t="shared" si="43"/>
        <v>4.4220962048497955E-3</v>
      </c>
      <c r="AZ65" s="149">
        <f t="shared" si="43"/>
        <v>-0.11136751243308309</v>
      </c>
      <c r="BA65" s="149">
        <f t="shared" si="43"/>
        <v>-0.12357506624030337</v>
      </c>
      <c r="BB65" s="149">
        <f t="shared" si="43"/>
        <v>-0.22362761144698132</v>
      </c>
      <c r="BC65" s="149">
        <f t="shared" si="43"/>
        <v>-0.1306116367004323</v>
      </c>
      <c r="BD65" s="149">
        <f t="shared" si="43"/>
        <v>-0.16291871902792701</v>
      </c>
      <c r="BE65" s="149">
        <f t="shared" si="43"/>
        <v>-6.5617918721963542E-2</v>
      </c>
      <c r="BF65" s="149">
        <f t="shared" si="43"/>
        <v>-0.18620717263698958</v>
      </c>
    </row>
    <row r="66" spans="2:58">
      <c r="B66" s="111" t="s">
        <v>377</v>
      </c>
      <c r="C66" s="290"/>
      <c r="D66" s="290"/>
      <c r="E66" s="290"/>
      <c r="F66" s="290"/>
      <c r="G66" s="290"/>
      <c r="H66" s="290"/>
      <c r="I66" s="290"/>
      <c r="J66" s="290"/>
      <c r="K66" s="290"/>
      <c r="L66" s="290"/>
      <c r="M66" s="149">
        <f t="shared" si="39"/>
        <v>0.19504760350608291</v>
      </c>
      <c r="N66" s="149">
        <f t="shared" si="39"/>
        <v>0.24899882277943911</v>
      </c>
      <c r="O66" s="149">
        <f t="shared" si="39"/>
        <v>0.25293313655492639</v>
      </c>
      <c r="P66" s="149">
        <f t="shared" si="39"/>
        <v>0.25624830681878979</v>
      </c>
      <c r="Q66" s="112"/>
      <c r="R66" s="149"/>
      <c r="S66" s="149"/>
      <c r="T66" s="149"/>
      <c r="U66" s="149"/>
      <c r="V66" s="149"/>
      <c r="W66" s="149"/>
      <c r="X66" s="149"/>
      <c r="Y66" s="149"/>
      <c r="Z66" s="149"/>
      <c r="AA66" s="149"/>
      <c r="AB66" s="149"/>
      <c r="AC66" s="149"/>
      <c r="AD66" s="149"/>
      <c r="AE66" s="149"/>
      <c r="AF66" s="149"/>
      <c r="AG66" s="149"/>
      <c r="AH66" s="149"/>
      <c r="AI66" s="149"/>
      <c r="AJ66" s="238"/>
      <c r="AK66" s="149"/>
      <c r="AL66" s="149"/>
      <c r="AM66" s="149"/>
      <c r="AN66" s="238"/>
      <c r="AO66" s="149"/>
      <c r="AP66" s="149"/>
      <c r="AQ66" s="149">
        <f t="shared" si="40"/>
        <v>0.18380921798520819</v>
      </c>
      <c r="AR66" s="149">
        <f t="shared" si="40"/>
        <v>0.18021730482892787</v>
      </c>
      <c r="AS66" s="269"/>
      <c r="AT66" s="149"/>
      <c r="AU66" s="149">
        <f t="shared" ref="AU66:BF66" si="44">AU55/AU23</f>
        <v>0.13472518653670573</v>
      </c>
      <c r="AV66" s="149">
        <f t="shared" si="44"/>
        <v>0.25593102970436071</v>
      </c>
      <c r="AW66" s="149">
        <f t="shared" si="44"/>
        <v>1.97489385371946</v>
      </c>
      <c r="AX66" s="149">
        <f t="shared" si="44"/>
        <v>0.26164501084128367</v>
      </c>
      <c r="AY66" s="149">
        <f t="shared" si="44"/>
        <v>0.25614223485073584</v>
      </c>
      <c r="AZ66" s="149">
        <f t="shared" si="44"/>
        <v>0.26291944564682707</v>
      </c>
      <c r="BA66" s="149">
        <f t="shared" si="44"/>
        <v>0.21749486515640482</v>
      </c>
      <c r="BB66" s="149">
        <f t="shared" si="44"/>
        <v>0.24397132645938865</v>
      </c>
      <c r="BC66" s="149">
        <f t="shared" si="44"/>
        <v>0.25045422742085155</v>
      </c>
      <c r="BD66" s="149">
        <f t="shared" si="44"/>
        <v>0.25032196304388182</v>
      </c>
      <c r="BE66" s="149">
        <f t="shared" si="44"/>
        <v>0.26504717038993986</v>
      </c>
      <c r="BF66" s="149">
        <f t="shared" si="44"/>
        <v>0.25791800932945347</v>
      </c>
    </row>
    <row r="67" spans="2:58">
      <c r="B67" s="111" t="s">
        <v>378</v>
      </c>
      <c r="C67" s="290"/>
      <c r="D67" s="290"/>
      <c r="E67" s="290"/>
      <c r="F67" s="290"/>
      <c r="G67" s="290"/>
      <c r="H67" s="290"/>
      <c r="I67" s="290"/>
      <c r="J67" s="290"/>
      <c r="K67" s="290"/>
      <c r="L67" s="290"/>
      <c r="M67" s="149">
        <f t="shared" si="39"/>
        <v>3.6758306195886083E-2</v>
      </c>
      <c r="N67" s="149">
        <f t="shared" si="39"/>
        <v>1.6003236750958941E-2</v>
      </c>
      <c r="O67" s="149">
        <f t="shared" si="39"/>
        <v>3.1825455097745731E-2</v>
      </c>
      <c r="P67" s="149">
        <f t="shared" si="39"/>
        <v>3.1073325519716578E-2</v>
      </c>
      <c r="Q67" s="112"/>
      <c r="R67" s="149"/>
      <c r="S67" s="149"/>
      <c r="T67" s="149"/>
      <c r="U67" s="149"/>
      <c r="V67" s="149"/>
      <c r="W67" s="149"/>
      <c r="X67" s="149"/>
      <c r="Y67" s="149"/>
      <c r="Z67" s="149"/>
      <c r="AA67" s="149"/>
      <c r="AB67" s="149"/>
      <c r="AC67" s="149"/>
      <c r="AD67" s="149"/>
      <c r="AE67" s="149"/>
      <c r="AF67" s="149"/>
      <c r="AG67" s="149"/>
      <c r="AH67" s="149"/>
      <c r="AI67" s="149"/>
      <c r="AJ67" s="238"/>
      <c r="AK67" s="149"/>
      <c r="AL67" s="149"/>
      <c r="AM67" s="149"/>
      <c r="AN67" s="238"/>
      <c r="AO67" s="149"/>
      <c r="AP67" s="149"/>
      <c r="AQ67" s="149">
        <f t="shared" si="40"/>
        <v>4.5492420767851038E-2</v>
      </c>
      <c r="AR67" s="149">
        <f t="shared" si="40"/>
        <v>2.9815088275163201E-2</v>
      </c>
      <c r="AS67" s="269"/>
      <c r="AT67" s="149"/>
      <c r="AU67" s="149">
        <f t="shared" ref="AU67:BF67" si="45">AU56/AU24</f>
        <v>3.4296039118172174E-2</v>
      </c>
      <c r="AV67" s="149">
        <f t="shared" si="45"/>
        <v>3.5904969496105658E-2</v>
      </c>
      <c r="AW67" s="149">
        <f t="shared" si="45"/>
        <v>0.41146968923059113</v>
      </c>
      <c r="AX67" s="149">
        <f t="shared" si="45"/>
        <v>3.2356020648748179E-2</v>
      </c>
      <c r="AY67" s="149">
        <f t="shared" si="45"/>
        <v>3.849686719016715E-2</v>
      </c>
      <c r="AZ67" s="149">
        <f t="shared" si="45"/>
        <v>-7.2714335877669851E-3</v>
      </c>
      <c r="BA67" s="149">
        <f t="shared" si="45"/>
        <v>3.4416103702716741E-4</v>
      </c>
      <c r="BB67" s="149">
        <f t="shared" si="45"/>
        <v>2.3362294716484933E-2</v>
      </c>
      <c r="BC67" s="149">
        <f t="shared" si="45"/>
        <v>3.2846797769602892E-2</v>
      </c>
      <c r="BD67" s="149">
        <f t="shared" si="45"/>
        <v>2.2992226926404461E-2</v>
      </c>
      <c r="BE67" s="149">
        <f t="shared" si="45"/>
        <v>4.7104260089883332E-2</v>
      </c>
      <c r="BF67" s="149">
        <f t="shared" si="45"/>
        <v>2.067056419327051E-2</v>
      </c>
    </row>
    <row r="68" spans="2:58">
      <c r="B68" s="111" t="s">
        <v>380</v>
      </c>
      <c r="C68" s="149"/>
      <c r="D68" s="149"/>
      <c r="E68" s="149"/>
      <c r="F68" s="149"/>
      <c r="G68" s="149"/>
      <c r="H68" s="149"/>
      <c r="I68" s="149"/>
      <c r="J68" s="149"/>
      <c r="K68" s="149"/>
      <c r="L68" s="149"/>
      <c r="M68" s="149"/>
      <c r="N68" s="149"/>
      <c r="O68" s="149"/>
      <c r="P68" s="149"/>
      <c r="Q68" s="112"/>
      <c r="R68" s="149"/>
      <c r="S68" s="149"/>
      <c r="T68" s="149"/>
      <c r="U68" s="149"/>
      <c r="V68" s="149"/>
      <c r="W68" s="149"/>
      <c r="X68" s="149"/>
      <c r="Y68" s="149"/>
      <c r="Z68" s="149"/>
      <c r="AA68" s="149"/>
      <c r="AB68" s="149"/>
      <c r="AC68" s="149"/>
      <c r="AD68" s="149"/>
      <c r="AE68" s="149"/>
      <c r="AF68" s="149"/>
      <c r="AG68" s="149"/>
      <c r="AH68" s="149"/>
      <c r="AI68" s="149"/>
      <c r="AJ68" s="238"/>
      <c r="AK68" s="149"/>
      <c r="AL68" s="149"/>
      <c r="AM68" s="149"/>
      <c r="AN68" s="238"/>
      <c r="AO68" s="149"/>
      <c r="AP68" s="149"/>
      <c r="AQ68" s="149"/>
      <c r="AR68" s="149"/>
      <c r="AS68" s="269"/>
      <c r="AT68" s="149"/>
      <c r="AU68" s="149"/>
      <c r="AV68" s="149"/>
      <c r="AW68" s="149"/>
      <c r="AX68" s="149"/>
      <c r="AY68" s="149"/>
      <c r="AZ68" s="149"/>
      <c r="BA68" s="149"/>
      <c r="BB68" s="149"/>
      <c r="BC68" s="149"/>
      <c r="BD68" s="149"/>
      <c r="BE68" s="149"/>
      <c r="BF68" s="149"/>
    </row>
    <row r="69" spans="2:58">
      <c r="B69" s="111" t="s">
        <v>379</v>
      </c>
      <c r="C69" s="290"/>
      <c r="D69" s="290"/>
      <c r="E69" s="290"/>
      <c r="F69" s="290"/>
      <c r="G69" s="290"/>
      <c r="H69" s="290"/>
      <c r="I69" s="290"/>
      <c r="J69" s="290"/>
      <c r="K69" s="290"/>
      <c r="L69" s="290"/>
      <c r="M69" s="149">
        <f t="shared" ref="M69:P70" si="46">M58/M26</f>
        <v>4.2812317303269774E-4</v>
      </c>
      <c r="N69" s="149">
        <f t="shared" si="46"/>
        <v>1.8558865091458521E-4</v>
      </c>
      <c r="O69" s="149">
        <f t="shared" si="46"/>
        <v>4.5379459249304005E-5</v>
      </c>
      <c r="P69" s="149">
        <f t="shared" si="46"/>
        <v>3.6885540625547364E-5</v>
      </c>
      <c r="Q69" s="112"/>
      <c r="R69" s="149"/>
      <c r="S69" s="149"/>
      <c r="T69" s="149"/>
      <c r="U69" s="149"/>
      <c r="V69" s="149"/>
      <c r="W69" s="149"/>
      <c r="X69" s="149"/>
      <c r="Y69" s="149"/>
      <c r="Z69" s="149"/>
      <c r="AA69" s="149"/>
      <c r="AB69" s="149"/>
      <c r="AC69" s="149"/>
      <c r="AD69" s="149"/>
      <c r="AE69" s="149"/>
      <c r="AF69" s="149"/>
      <c r="AG69" s="149"/>
      <c r="AH69" s="149"/>
      <c r="AI69" s="149"/>
      <c r="AJ69" s="238"/>
      <c r="AK69" s="149"/>
      <c r="AL69" s="149"/>
      <c r="AM69" s="149"/>
      <c r="AN69" s="238"/>
      <c r="AO69" s="149"/>
      <c r="AP69" s="149"/>
      <c r="AQ69" s="149">
        <f>AQ58/AQ26</f>
        <v>2.2388913409855352E-3</v>
      </c>
      <c r="AR69" s="149">
        <f>AR58/AR26</f>
        <v>1.4866883628687638E-3</v>
      </c>
      <c r="AS69" s="269"/>
      <c r="AT69" s="149"/>
      <c r="AU69" s="149">
        <f t="shared" ref="AU69:BF69" si="47">AU58/AU26</f>
        <v>5.1236384877165685E-4</v>
      </c>
      <c r="AV69" s="149">
        <f t="shared" si="47"/>
        <v>3.0590658053489299E-4</v>
      </c>
      <c r="AW69" s="149">
        <f t="shared" si="47"/>
        <v>2.8594910414546817E-3</v>
      </c>
      <c r="AX69" s="149">
        <f t="shared" si="47"/>
        <v>1.967368998137333E-4</v>
      </c>
      <c r="AY69" s="149">
        <f t="shared" si="47"/>
        <v>2.8635137008101467E-4</v>
      </c>
      <c r="AZ69" s="149">
        <f t="shared" si="47"/>
        <v>1.0038646402854707E-4</v>
      </c>
      <c r="BA69" s="149">
        <f t="shared" si="47"/>
        <v>1.6287082402314921E-4</v>
      </c>
      <c r="BB69" s="149">
        <f t="shared" si="47"/>
        <v>1.2913268603816821E-4</v>
      </c>
      <c r="BC69" s="149">
        <f t="shared" si="47"/>
        <v>5.6235966775739846E-5</v>
      </c>
      <c r="BD69" s="149">
        <f t="shared" si="47"/>
        <v>-3.0778730885100795E-9</v>
      </c>
      <c r="BE69" s="149">
        <f t="shared" si="47"/>
        <v>6.2334549690333611E-9</v>
      </c>
      <c r="BF69" s="149">
        <f t="shared" si="47"/>
        <v>9.1184490481676744E-5</v>
      </c>
    </row>
    <row r="70" spans="2:58">
      <c r="B70" s="114" t="s">
        <v>387</v>
      </c>
      <c r="C70" s="291"/>
      <c r="D70" s="291"/>
      <c r="E70" s="291"/>
      <c r="F70" s="291"/>
      <c r="G70" s="291"/>
      <c r="H70" s="291"/>
      <c r="I70" s="291"/>
      <c r="J70" s="291"/>
      <c r="K70" s="291"/>
      <c r="L70" s="291"/>
      <c r="M70" s="73">
        <f t="shared" si="46"/>
        <v>0.29635449338563358</v>
      </c>
      <c r="N70" s="73">
        <f t="shared" si="46"/>
        <v>0.28523735255319282</v>
      </c>
      <c r="O70" s="73">
        <f t="shared" si="46"/>
        <v>0.27552445523108671</v>
      </c>
      <c r="P70" s="73">
        <f t="shared" si="46"/>
        <v>0.27742794026318129</v>
      </c>
      <c r="Q70" s="144"/>
      <c r="R70" s="73"/>
      <c r="S70" s="73"/>
      <c r="T70" s="73"/>
      <c r="U70" s="73"/>
      <c r="V70" s="73"/>
      <c r="W70" s="73"/>
      <c r="X70" s="73"/>
      <c r="Y70" s="73"/>
      <c r="Z70" s="73"/>
      <c r="AA70" s="73"/>
      <c r="AB70" s="73"/>
      <c r="AC70" s="73"/>
      <c r="AD70" s="73"/>
      <c r="AE70" s="73"/>
      <c r="AF70" s="73"/>
      <c r="AG70" s="73"/>
      <c r="AH70" s="73"/>
      <c r="AI70" s="73"/>
      <c r="AJ70" s="239"/>
      <c r="AK70" s="73"/>
      <c r="AL70" s="73"/>
      <c r="AM70" s="73"/>
      <c r="AN70" s="239"/>
      <c r="AO70" s="73"/>
      <c r="AP70" s="73"/>
      <c r="AQ70" s="73">
        <f>AQ59/AQ27</f>
        <v>0.48701172059550207</v>
      </c>
      <c r="AR70" s="73">
        <f>AR59/AR27</f>
        <v>0.3352241962999053</v>
      </c>
      <c r="AS70" s="269"/>
      <c r="AT70" s="73"/>
      <c r="AU70" s="73">
        <f t="shared" ref="AU70:BF70" si="48">AU59/AU27</f>
        <v>0.26428953738096606</v>
      </c>
      <c r="AV70" s="73">
        <f t="shared" si="48"/>
        <v>0.30797009950958659</v>
      </c>
      <c r="AW70" s="73">
        <f t="shared" si="48"/>
        <v>1.0325745137407432</v>
      </c>
      <c r="AX70" s="73">
        <f t="shared" si="48"/>
        <v>0.28251297661712765</v>
      </c>
      <c r="AY70" s="73">
        <f t="shared" si="48"/>
        <v>0.29384174156751253</v>
      </c>
      <c r="AZ70" s="73">
        <f t="shared" si="48"/>
        <v>0.28912339500605005</v>
      </c>
      <c r="BA70" s="73">
        <f t="shared" si="48"/>
        <v>0.27631149487591866</v>
      </c>
      <c r="BB70" s="73">
        <f t="shared" si="48"/>
        <v>0.26712852668220294</v>
      </c>
      <c r="BC70" s="73">
        <f t="shared" si="48"/>
        <v>0.28028165434992336</v>
      </c>
      <c r="BD70" s="73">
        <f t="shared" si="48"/>
        <v>0.28576748212130187</v>
      </c>
      <c r="BE70" s="73">
        <f t="shared" si="48"/>
        <v>0.26953611732557248</v>
      </c>
      <c r="BF70" s="73">
        <f t="shared" si="48"/>
        <v>0.27524742156845811</v>
      </c>
    </row>
    <row r="71" spans="2:58">
      <c r="B71" s="111"/>
      <c r="C71" s="112"/>
      <c r="D71" s="112"/>
      <c r="E71" s="112"/>
      <c r="F71" s="112"/>
      <c r="G71" s="112"/>
      <c r="H71" s="112"/>
      <c r="I71" s="112"/>
      <c r="J71" s="112"/>
      <c r="K71" s="112"/>
      <c r="L71" s="112"/>
      <c r="M71" s="112"/>
      <c r="N71" s="112"/>
      <c r="O71" s="112"/>
      <c r="P71" s="112"/>
      <c r="Q71" s="112"/>
      <c r="R71" s="112"/>
      <c r="S71" s="112"/>
      <c r="T71" s="112"/>
      <c r="U71" s="112"/>
      <c r="V71" s="112"/>
      <c r="W71" s="112"/>
      <c r="X71" s="112"/>
      <c r="Y71" s="112"/>
      <c r="Z71" s="112"/>
      <c r="AA71" s="112"/>
      <c r="AB71" s="112"/>
      <c r="AC71" s="112"/>
      <c r="AD71" s="112"/>
      <c r="AE71" s="112"/>
      <c r="AF71" s="112"/>
      <c r="AG71" s="112"/>
      <c r="AH71" s="112"/>
      <c r="AI71" s="112"/>
      <c r="AJ71" s="112"/>
      <c r="AK71" s="112"/>
      <c r="AL71" s="112"/>
      <c r="AM71" s="112"/>
      <c r="AN71" s="112"/>
      <c r="AO71" s="112"/>
      <c r="AP71" s="112"/>
      <c r="AQ71" s="112"/>
      <c r="AR71" s="112"/>
      <c r="AS71" s="112"/>
      <c r="AT71" s="112"/>
      <c r="AU71" s="112"/>
      <c r="AV71" s="112"/>
      <c r="AW71" s="112"/>
      <c r="AX71" s="112"/>
      <c r="AY71" s="112"/>
      <c r="AZ71" s="112"/>
      <c r="BA71" s="112"/>
      <c r="BB71" s="112"/>
      <c r="BC71" s="112"/>
      <c r="BD71" s="112"/>
      <c r="BE71" s="112"/>
      <c r="BF71" s="112"/>
    </row>
    <row r="72" spans="2:58" hidden="1" outlineLevel="1">
      <c r="B72" s="110" t="s">
        <v>386</v>
      </c>
      <c r="C72" s="112"/>
      <c r="D72" s="112"/>
      <c r="E72" s="112"/>
      <c r="F72" s="112"/>
      <c r="G72" s="112"/>
      <c r="H72" s="112"/>
      <c r="I72" s="112"/>
      <c r="J72" s="112"/>
      <c r="K72" s="112"/>
      <c r="L72" s="112"/>
      <c r="M72" s="112"/>
      <c r="N72" s="112"/>
      <c r="O72" s="112"/>
      <c r="P72" s="112"/>
      <c r="Q72" s="112"/>
      <c r="R72" s="112"/>
      <c r="S72" s="112"/>
      <c r="T72" s="112"/>
      <c r="U72" s="112"/>
      <c r="V72" s="112"/>
      <c r="W72" s="112"/>
      <c r="X72" s="112"/>
      <c r="Y72" s="112"/>
      <c r="Z72" s="112"/>
      <c r="AA72" s="112"/>
      <c r="AB72" s="112"/>
      <c r="AC72" s="112"/>
      <c r="AD72" s="112"/>
      <c r="AE72" s="112"/>
      <c r="AF72" s="112"/>
      <c r="AG72" s="112"/>
      <c r="AH72" s="112"/>
      <c r="AI72" s="112"/>
      <c r="AJ72" s="112"/>
      <c r="AK72" s="112"/>
      <c r="AL72" s="112"/>
      <c r="AM72" s="112"/>
      <c r="AN72" s="112"/>
      <c r="AP72" s="112"/>
      <c r="AQ72" s="112"/>
      <c r="AR72" s="112"/>
      <c r="AS72" s="112"/>
      <c r="AT72" s="112"/>
      <c r="AU72" s="112"/>
      <c r="AV72" s="112"/>
      <c r="AW72" s="112"/>
      <c r="AX72" s="112"/>
      <c r="AY72" s="112"/>
      <c r="AZ72" s="112"/>
      <c r="BA72" s="112"/>
      <c r="BB72" s="112"/>
      <c r="BC72" s="112"/>
      <c r="BD72" s="112"/>
      <c r="BE72" s="112"/>
      <c r="BF72" s="112"/>
    </row>
    <row r="73" spans="2:58" hidden="1" outlineLevel="1">
      <c r="B73" s="111" t="s">
        <v>374</v>
      </c>
      <c r="C73" s="112">
        <v>263564.33600000001</v>
      </c>
      <c r="D73" s="112">
        <v>292310.47399999999</v>
      </c>
      <c r="E73" s="112">
        <v>294604.66499999998</v>
      </c>
      <c r="F73" s="112">
        <v>277863.505</v>
      </c>
      <c r="G73" s="112">
        <v>255132.095</v>
      </c>
      <c r="H73" s="112">
        <v>255132.095</v>
      </c>
      <c r="I73" s="112">
        <v>298449.826</v>
      </c>
      <c r="J73" s="112">
        <v>338072.77799999999</v>
      </c>
      <c r="K73" s="112">
        <v>395954.57199999999</v>
      </c>
      <c r="L73" s="112">
        <v>385590.81</v>
      </c>
      <c r="M73" s="289"/>
      <c r="N73" s="289"/>
      <c r="O73" s="289"/>
      <c r="P73" s="289"/>
      <c r="Q73" s="112"/>
      <c r="R73" s="112">
        <v>81857.437000000005</v>
      </c>
      <c r="S73" s="112">
        <f>153998.455-R73</f>
        <v>72141.017999999982</v>
      </c>
      <c r="T73" s="112">
        <f>226620.891-S73-R73</f>
        <v>72622.436000000016</v>
      </c>
      <c r="U73" s="144">
        <f t="shared" ref="U73:U78" si="49">E73-T73-S73-R73</f>
        <v>67983.773999999976</v>
      </c>
      <c r="V73" s="112">
        <v>74098.457999999999</v>
      </c>
      <c r="W73" s="112">
        <f>141532.298-V73</f>
        <v>67433.840000000011</v>
      </c>
      <c r="X73" s="112">
        <f>210100.359-W73-V73</f>
        <v>68568.060999999972</v>
      </c>
      <c r="Y73" s="144">
        <f t="shared" ref="Y73:Y78" si="50">F73-X73-W73-V73</f>
        <v>67763.145999999993</v>
      </c>
      <c r="Z73" s="112">
        <v>59483.194000000003</v>
      </c>
      <c r="AA73" s="112">
        <f>118314.934-Z73</f>
        <v>58831.739999999991</v>
      </c>
      <c r="AB73" s="112">
        <f>186093.19-AA73-Z73</f>
        <v>67778.256000000008</v>
      </c>
      <c r="AC73" s="144">
        <f t="shared" ref="AC73:AC78" si="51">G73-AB73-AA73-Z73</f>
        <v>69038.904999999984</v>
      </c>
      <c r="AD73" s="112">
        <v>76204.404999999999</v>
      </c>
      <c r="AE73" s="112">
        <f>144706.077-AD73</f>
        <v>68501.671999999991</v>
      </c>
      <c r="AF73" s="112">
        <f>221669.101-AE73-AD73</f>
        <v>76963.024000000005</v>
      </c>
      <c r="AG73" s="144">
        <f t="shared" ref="AG73:AG78" si="52">I73-AF73-AE73-AD73</f>
        <v>76780.725000000006</v>
      </c>
      <c r="AH73" s="112">
        <v>82342.012000000002</v>
      </c>
      <c r="AI73" s="112">
        <f>161960.248-AH73</f>
        <v>79618.23599999999</v>
      </c>
      <c r="AJ73" s="112">
        <f>246395.952-AH73-AI73</f>
        <v>84435.704000000012</v>
      </c>
      <c r="AK73" s="144">
        <f t="shared" ref="AK73:AK78" si="53">J73-AJ73-AI73-AH73</f>
        <v>91676.825999999986</v>
      </c>
      <c r="AL73" s="112">
        <v>93880.784</v>
      </c>
      <c r="AM73" s="112">
        <f>195010.462-AL73</f>
        <v>101129.678</v>
      </c>
      <c r="AN73" s="112">
        <f>299586.926-AL73-AM73</f>
        <v>104576.46399999999</v>
      </c>
      <c r="AO73" s="144">
        <f t="shared" ref="AO73:AO78" si="54">K73-AN73-AM73-AL73</f>
        <v>96367.645999999993</v>
      </c>
      <c r="AP73" s="112">
        <v>102466.526</v>
      </c>
      <c r="AQ73" s="112">
        <f>201489.185-AP73</f>
        <v>99022.659</v>
      </c>
      <c r="AR73" s="112">
        <f>292749.498-AP73-AQ73</f>
        <v>91260.313000000009</v>
      </c>
      <c r="AS73" s="1">
        <f t="shared" ref="AS73:AS79" si="55">L73-AP73-AQ73-AR73</f>
        <v>92841.311999999991</v>
      </c>
      <c r="AT73" s="112">
        <v>88154.368000000002</v>
      </c>
      <c r="AU73" s="268"/>
      <c r="AV73" s="268"/>
      <c r="AW73" s="268"/>
      <c r="AX73" s="289"/>
      <c r="AY73" s="289"/>
      <c r="AZ73" s="289"/>
      <c r="BA73" s="289"/>
      <c r="BB73" s="289"/>
      <c r="BC73" s="289"/>
      <c r="BD73" s="289"/>
      <c r="BE73" s="289"/>
      <c r="BF73" s="289"/>
    </row>
    <row r="74" spans="2:58" hidden="1" outlineLevel="1">
      <c r="B74" s="111" t="s">
        <v>375</v>
      </c>
      <c r="C74" s="112">
        <v>97721.900999999998</v>
      </c>
      <c r="D74" s="112">
        <v>108214.224</v>
      </c>
      <c r="E74" s="112">
        <v>113145.09600000001</v>
      </c>
      <c r="F74" s="112">
        <v>113303.22199999999</v>
      </c>
      <c r="G74" s="112">
        <v>118024.501</v>
      </c>
      <c r="H74" s="112">
        <v>118024.501</v>
      </c>
      <c r="I74" s="112">
        <v>115241.041</v>
      </c>
      <c r="J74" s="112">
        <v>106855.55</v>
      </c>
      <c r="K74" s="112">
        <v>111481.16099999999</v>
      </c>
      <c r="L74" s="112">
        <v>95553.808999999994</v>
      </c>
      <c r="M74" s="289"/>
      <c r="N74" s="289"/>
      <c r="O74" s="289"/>
      <c r="P74" s="289"/>
      <c r="Q74" s="112"/>
      <c r="R74" s="112">
        <v>29302.468000000001</v>
      </c>
      <c r="S74" s="112">
        <f>57443.916-R74</f>
        <v>28141.447999999997</v>
      </c>
      <c r="T74" s="112">
        <f>85491.313-S74-R74</f>
        <v>28047.396999999997</v>
      </c>
      <c r="U74" s="144">
        <f t="shared" si="49"/>
        <v>27653.78300000001</v>
      </c>
      <c r="V74" s="112">
        <v>28580.681</v>
      </c>
      <c r="W74" s="112">
        <f>57490.104-V74</f>
        <v>28909.422999999999</v>
      </c>
      <c r="X74" s="112">
        <f>85847.866-W74-V74</f>
        <v>28357.761999999999</v>
      </c>
      <c r="Y74" s="144">
        <f t="shared" si="50"/>
        <v>27455.355999999996</v>
      </c>
      <c r="Z74" s="112">
        <v>31316.839</v>
      </c>
      <c r="AA74" s="112">
        <f>59789.867-Z74</f>
        <v>28473.027999999998</v>
      </c>
      <c r="AB74" s="112">
        <f>88787.653-AA74-Z74</f>
        <v>28997.786000000007</v>
      </c>
      <c r="AC74" s="144">
        <f t="shared" si="51"/>
        <v>29236.847999999998</v>
      </c>
      <c r="AD74" s="112">
        <v>30382.113000000001</v>
      </c>
      <c r="AE74" s="112">
        <f>59454.677-AD74</f>
        <v>29072.564000000002</v>
      </c>
      <c r="AF74" s="112">
        <f>87414.12-AE74-AD74</f>
        <v>27959.442999999996</v>
      </c>
      <c r="AG74" s="144">
        <f t="shared" si="52"/>
        <v>27826.920999999998</v>
      </c>
      <c r="AH74" s="112">
        <v>26771.809000000001</v>
      </c>
      <c r="AI74" s="112">
        <f>52505.648-AH74</f>
        <v>25733.839</v>
      </c>
      <c r="AJ74" s="112">
        <f>76938.238-AH74-AI74</f>
        <v>24432.589999999997</v>
      </c>
      <c r="AK74" s="144">
        <f t="shared" si="53"/>
        <v>29917.312000000005</v>
      </c>
      <c r="AL74" s="112">
        <v>26008.487000000001</v>
      </c>
      <c r="AM74" s="112">
        <f>55963.385-AL74</f>
        <v>29954.898000000001</v>
      </c>
      <c r="AN74" s="112">
        <f>85142.908-AL74-AM74</f>
        <v>29179.522999999994</v>
      </c>
      <c r="AO74" s="144">
        <f t="shared" si="54"/>
        <v>26338.253000000004</v>
      </c>
      <c r="AP74" s="112">
        <v>24341.578000000001</v>
      </c>
      <c r="AQ74" s="112">
        <f>48488.53-AP74</f>
        <v>24146.951999999997</v>
      </c>
      <c r="AR74" s="112">
        <f>71413.085-AP74-AQ74</f>
        <v>22924.555000000008</v>
      </c>
      <c r="AS74" s="144">
        <f t="shared" si="55"/>
        <v>24140.723999999995</v>
      </c>
      <c r="AT74" s="112">
        <v>22924.175999999999</v>
      </c>
      <c r="AU74" s="268"/>
      <c r="AV74" s="268"/>
      <c r="AW74" s="268"/>
      <c r="AX74" s="289"/>
      <c r="AY74" s="289"/>
      <c r="AZ74" s="289"/>
      <c r="BA74" s="289"/>
      <c r="BB74" s="289"/>
      <c r="BC74" s="289"/>
      <c r="BD74" s="289"/>
      <c r="BE74" s="289"/>
      <c r="BF74" s="289"/>
    </row>
    <row r="75" spans="2:58" hidden="1" outlineLevel="1">
      <c r="B75" s="111" t="s">
        <v>376</v>
      </c>
      <c r="C75" s="112">
        <v>56108.358999999997</v>
      </c>
      <c r="D75" s="112">
        <v>70225.671000000002</v>
      </c>
      <c r="E75" s="112">
        <v>80482.538</v>
      </c>
      <c r="F75" s="112">
        <v>84232.758000000002</v>
      </c>
      <c r="G75" s="112">
        <v>82564.471000000005</v>
      </c>
      <c r="H75" s="112">
        <v>82564.471000000005</v>
      </c>
      <c r="I75" s="112">
        <v>80415.047000000006</v>
      </c>
      <c r="J75" s="112">
        <v>75681.377999999997</v>
      </c>
      <c r="K75" s="112">
        <v>74407.224000000002</v>
      </c>
      <c r="L75" s="112">
        <v>57553.843000000001</v>
      </c>
      <c r="M75" s="289"/>
      <c r="N75" s="289"/>
      <c r="O75" s="289"/>
      <c r="P75" s="289"/>
      <c r="Q75" s="112"/>
      <c r="R75" s="112">
        <v>17644.476999999999</v>
      </c>
      <c r="S75" s="112">
        <f>37389.817-R75</f>
        <v>19745.340000000004</v>
      </c>
      <c r="T75" s="112">
        <f>57869.867-S75-R75</f>
        <v>20480.049999999996</v>
      </c>
      <c r="U75" s="144">
        <f t="shared" si="49"/>
        <v>22612.671000000002</v>
      </c>
      <c r="V75" s="112">
        <v>18892.891</v>
      </c>
      <c r="W75" s="112">
        <f>39253.65-V75</f>
        <v>20360.759000000002</v>
      </c>
      <c r="X75" s="112">
        <f>62366.67-W75-V75</f>
        <v>23113.019999999993</v>
      </c>
      <c r="Y75" s="144">
        <f t="shared" si="50"/>
        <v>21866.088000000007</v>
      </c>
      <c r="Z75" s="112">
        <v>18180.78</v>
      </c>
      <c r="AA75" s="112">
        <f>35852.722-Z75</f>
        <v>17671.942000000003</v>
      </c>
      <c r="AB75" s="112">
        <f>57191.968-AA75-Z75</f>
        <v>21339.245999999999</v>
      </c>
      <c r="AC75" s="144">
        <f t="shared" si="51"/>
        <v>25372.503000000004</v>
      </c>
      <c r="AD75" s="112">
        <v>18850.145</v>
      </c>
      <c r="AE75" s="112">
        <f>40157.966-AD75</f>
        <v>21307.821</v>
      </c>
      <c r="AF75" s="112">
        <f>59958.774-AE75-AD75</f>
        <v>19800.807999999994</v>
      </c>
      <c r="AG75" s="144">
        <f t="shared" si="52"/>
        <v>20456.273000000019</v>
      </c>
      <c r="AH75" s="112">
        <v>16879.166000000001</v>
      </c>
      <c r="AI75" s="112">
        <f>35649.516-AH75</f>
        <v>18770.350000000002</v>
      </c>
      <c r="AJ75" s="112">
        <f>54016.743-AH75-AI75</f>
        <v>18367.227000000003</v>
      </c>
      <c r="AK75" s="144">
        <f t="shared" si="53"/>
        <v>21664.634999999991</v>
      </c>
      <c r="AL75" s="112">
        <v>13794.419</v>
      </c>
      <c r="AM75" s="112">
        <f>34775.897-AL75</f>
        <v>20981.477999999996</v>
      </c>
      <c r="AN75" s="112">
        <f>52609.46-AL75-AM75</f>
        <v>17833.563000000002</v>
      </c>
      <c r="AO75" s="144">
        <f t="shared" si="54"/>
        <v>21797.764000000003</v>
      </c>
      <c r="AP75" s="112">
        <v>11409.803</v>
      </c>
      <c r="AQ75" s="112">
        <f>29754.423-AP75</f>
        <v>18344.62</v>
      </c>
      <c r="AR75" s="112">
        <f>42183.316-AP75-AQ75</f>
        <v>12428.893</v>
      </c>
      <c r="AS75" s="144">
        <f t="shared" si="55"/>
        <v>15370.527000000002</v>
      </c>
      <c r="AT75" s="112">
        <v>4672.6310000000003</v>
      </c>
      <c r="AU75" s="268"/>
      <c r="AV75" s="268"/>
      <c r="AW75" s="268"/>
      <c r="AX75" s="289"/>
      <c r="AY75" s="289"/>
      <c r="AZ75" s="289"/>
      <c r="BA75" s="289"/>
      <c r="BB75" s="289"/>
      <c r="BC75" s="289"/>
      <c r="BD75" s="289"/>
      <c r="BE75" s="289"/>
      <c r="BF75" s="289"/>
    </row>
    <row r="76" spans="2:58" hidden="1" outlineLevel="1">
      <c r="B76" s="111" t="s">
        <v>377</v>
      </c>
      <c r="C76" s="112">
        <v>-109519.042</v>
      </c>
      <c r="D76" s="112">
        <v>-169059.63699999999</v>
      </c>
      <c r="E76" s="112">
        <v>-121488.58100000001</v>
      </c>
      <c r="F76" s="112">
        <v>-75997.619000000006</v>
      </c>
      <c r="G76" s="112">
        <v>-54121.317000000003</v>
      </c>
      <c r="H76" s="112">
        <v>-54121.317000000003</v>
      </c>
      <c r="I76" s="112">
        <v>126475.61</v>
      </c>
      <c r="J76" s="112">
        <v>103609.007</v>
      </c>
      <c r="K76" s="112">
        <v>134019.24799999999</v>
      </c>
      <c r="L76" s="112">
        <v>175072.019</v>
      </c>
      <c r="M76" s="289"/>
      <c r="N76" s="289"/>
      <c r="O76" s="289"/>
      <c r="P76" s="289"/>
      <c r="Q76" s="112"/>
      <c r="R76" s="112">
        <v>-31442.947</v>
      </c>
      <c r="S76" s="112">
        <f>-66078.942-R76</f>
        <v>-34635.994999999995</v>
      </c>
      <c r="T76" s="112">
        <f>-93123.662-S76-R76</f>
        <v>-27044.720000000001</v>
      </c>
      <c r="U76" s="144">
        <f t="shared" si="49"/>
        <v>-28364.919000000009</v>
      </c>
      <c r="V76" s="112">
        <v>-23864.521000000001</v>
      </c>
      <c r="W76" s="112">
        <f>-50883.38-V76</f>
        <v>-27018.858999999997</v>
      </c>
      <c r="X76" s="112">
        <f>-67037.466-W76-V76</f>
        <v>-16154.086000000003</v>
      </c>
      <c r="Y76" s="144">
        <f t="shared" si="50"/>
        <v>-8960.1530000000057</v>
      </c>
      <c r="Z76" s="112">
        <v>-16202.54</v>
      </c>
      <c r="AA76" s="112">
        <f>-34026.74-Z76</f>
        <v>-17824.199999999997</v>
      </c>
      <c r="AB76" s="112">
        <f>-49718.179-AA76-Z76</f>
        <v>-15691.438999999998</v>
      </c>
      <c r="AC76" s="144">
        <f t="shared" si="51"/>
        <v>-4403.1380000000063</v>
      </c>
      <c r="AD76" s="112">
        <v>6131.8220000000001</v>
      </c>
      <c r="AE76" s="112">
        <f>18607.726-AD76</f>
        <v>12475.903999999999</v>
      </c>
      <c r="AF76" s="112">
        <f>34559.476-AE76-AD76</f>
        <v>15951.750000000004</v>
      </c>
      <c r="AG76" s="144">
        <f t="shared" si="52"/>
        <v>91916.134000000005</v>
      </c>
      <c r="AH76" s="112">
        <v>30006.807000000001</v>
      </c>
      <c r="AI76" s="112">
        <f>51606.927-AH76</f>
        <v>21600.120000000003</v>
      </c>
      <c r="AJ76" s="112">
        <f>77668.105-AH76-AI76</f>
        <v>26061.177999999993</v>
      </c>
      <c r="AK76" s="144">
        <f t="shared" si="53"/>
        <v>25940.901999999995</v>
      </c>
      <c r="AL76" s="112">
        <v>29593.025000000001</v>
      </c>
      <c r="AM76" s="112">
        <f>64035.53-AL76</f>
        <v>34442.504999999997</v>
      </c>
      <c r="AN76" s="112">
        <f>101577.983-AL76-AM76</f>
        <v>37542.452999999987</v>
      </c>
      <c r="AO76" s="144">
        <f t="shared" si="54"/>
        <v>32441.265000000014</v>
      </c>
      <c r="AP76" s="112">
        <v>42257.881999999998</v>
      </c>
      <c r="AQ76" s="112">
        <f>91159.253-AP76</f>
        <v>48901.370999999999</v>
      </c>
      <c r="AR76" s="112">
        <f>128404.37-AP76-AQ76</f>
        <v>37245.116999999998</v>
      </c>
      <c r="AS76" s="144">
        <f t="shared" si="55"/>
        <v>46667.64899999999</v>
      </c>
      <c r="AT76" s="112">
        <v>7322.4579999999996</v>
      </c>
      <c r="AU76" s="268"/>
      <c r="AV76" s="268"/>
      <c r="AW76" s="268"/>
      <c r="AX76" s="289"/>
      <c r="AY76" s="289"/>
      <c r="AZ76" s="289"/>
      <c r="BA76" s="289"/>
      <c r="BB76" s="289"/>
      <c r="BC76" s="289"/>
      <c r="BD76" s="289"/>
      <c r="BE76" s="289"/>
      <c r="BF76" s="289"/>
    </row>
    <row r="77" spans="2:58" hidden="1" outlineLevel="1">
      <c r="B77" s="111" t="s">
        <v>378</v>
      </c>
      <c r="C77" s="112">
        <v>62633.269</v>
      </c>
      <c r="D77" s="112">
        <v>55411.97</v>
      </c>
      <c r="E77" s="112">
        <v>58544.192999999999</v>
      </c>
      <c r="F77" s="112">
        <v>38202.038999999997</v>
      </c>
      <c r="G77" s="112">
        <v>25323.455999999998</v>
      </c>
      <c r="H77" s="112">
        <v>25323.455999999998</v>
      </c>
      <c r="I77" s="112">
        <v>149830.766</v>
      </c>
      <c r="J77" s="112">
        <v>62024.678999999996</v>
      </c>
      <c r="K77" s="112">
        <v>58410.506000000001</v>
      </c>
      <c r="L77" s="112">
        <v>27324.103999999999</v>
      </c>
      <c r="M77" s="289"/>
      <c r="N77" s="289"/>
      <c r="O77" s="289"/>
      <c r="P77" s="289"/>
      <c r="Q77" s="112"/>
      <c r="R77" s="112">
        <v>11800.706</v>
      </c>
      <c r="S77" s="112">
        <f>25102.019-R77</f>
        <v>13301.313</v>
      </c>
      <c r="T77" s="112">
        <f>37020.744-S77-R77</f>
        <v>11918.724999999997</v>
      </c>
      <c r="U77" s="144">
        <f t="shared" si="49"/>
        <v>21523.449000000001</v>
      </c>
      <c r="V77" s="112">
        <v>12394.313</v>
      </c>
      <c r="W77" s="112">
        <f>21456.339-V77</f>
        <v>9062.0259999999998</v>
      </c>
      <c r="X77" s="112">
        <f>29752.999-W77-V77</f>
        <v>8296.659999999998</v>
      </c>
      <c r="Y77" s="144">
        <f t="shared" si="50"/>
        <v>8449.0400000000027</v>
      </c>
      <c r="Z77" s="112">
        <v>6564.4589999999998</v>
      </c>
      <c r="AA77" s="112">
        <f>13634.323-Z77</f>
        <v>7069.8640000000005</v>
      </c>
      <c r="AB77" s="112">
        <f>18318.284-AA77-Z77</f>
        <v>4683.9609999999984</v>
      </c>
      <c r="AC77" s="144">
        <f t="shared" si="51"/>
        <v>7005.1719999999978</v>
      </c>
      <c r="AD77" s="112">
        <v>6237.4790000000003</v>
      </c>
      <c r="AE77" s="112">
        <f>12530.044-AD77</f>
        <v>6292.5649999999996</v>
      </c>
      <c r="AF77" s="112">
        <f>19252.47-AE77-AD77</f>
        <v>6722.4260000000022</v>
      </c>
      <c r="AG77" s="144">
        <f t="shared" si="52"/>
        <v>130578.29599999999</v>
      </c>
      <c r="AH77" s="112">
        <v>17088.506000000001</v>
      </c>
      <c r="AI77" s="112">
        <f>35598.429-AH77</f>
        <v>18509.922999999995</v>
      </c>
      <c r="AJ77" s="112">
        <f>47480.3-AH77-AI77</f>
        <v>11881.871000000006</v>
      </c>
      <c r="AK77" s="144">
        <f t="shared" si="53"/>
        <v>14544.378999999994</v>
      </c>
      <c r="AL77" s="112">
        <v>14780.671</v>
      </c>
      <c r="AM77" s="112">
        <f>33014.334-AL77</f>
        <v>18233.663</v>
      </c>
      <c r="AN77" s="112">
        <f>48268.088-AL77-AM77</f>
        <v>15253.754000000001</v>
      </c>
      <c r="AO77" s="144">
        <f t="shared" si="54"/>
        <v>10142.418</v>
      </c>
      <c r="AP77" s="112">
        <v>9605.6470000000008</v>
      </c>
      <c r="AQ77" s="112">
        <f>20733.367-AP77</f>
        <v>11127.719999999998</v>
      </c>
      <c r="AR77" s="112">
        <f>29779.99-AP77-AQ77</f>
        <v>9046.6230000000032</v>
      </c>
      <c r="AS77" s="144">
        <f t="shared" si="55"/>
        <v>-2455.8860000000022</v>
      </c>
      <c r="AT77" s="112">
        <v>9143.2240000000002</v>
      </c>
      <c r="AU77" s="268"/>
      <c r="AV77" s="268"/>
      <c r="AW77" s="268"/>
      <c r="AX77" s="289"/>
      <c r="AY77" s="289"/>
      <c r="AZ77" s="289"/>
      <c r="BA77" s="289"/>
      <c r="BB77" s="289"/>
      <c r="BC77" s="289"/>
      <c r="BD77" s="289"/>
      <c r="BE77" s="289"/>
      <c r="BF77" s="289"/>
    </row>
    <row r="78" spans="2:58" hidden="1" outlineLevel="1">
      <c r="B78" s="111" t="s">
        <v>379</v>
      </c>
      <c r="C78" s="112">
        <v>-358.80099999999999</v>
      </c>
      <c r="D78" s="112">
        <v>-517.40899999999999</v>
      </c>
      <c r="E78" s="112">
        <v>-507.17700000000002</v>
      </c>
      <c r="F78" s="112">
        <v>-501.20600000000002</v>
      </c>
      <c r="G78" s="112">
        <v>-2.407</v>
      </c>
      <c r="H78" s="112">
        <v>-2.407</v>
      </c>
      <c r="I78" s="112">
        <v>-1.1339999999999999</v>
      </c>
      <c r="J78" s="112">
        <v>-2011.5029999999999</v>
      </c>
      <c r="K78" s="112">
        <v>-1820.453</v>
      </c>
      <c r="L78" s="112">
        <v>-2117.0940000000001</v>
      </c>
      <c r="M78" s="289"/>
      <c r="N78" s="289"/>
      <c r="O78" s="289"/>
      <c r="P78" s="289"/>
      <c r="Q78" s="112"/>
      <c r="R78" s="112">
        <v>-129.53800000000001</v>
      </c>
      <c r="S78" s="112">
        <f>-257.443-R78</f>
        <v>-127.90499999999997</v>
      </c>
      <c r="T78" s="112">
        <f>-381.941-S78-R78</f>
        <v>-124.49799999999999</v>
      </c>
      <c r="U78" s="144">
        <f t="shared" si="49"/>
        <v>-125.23600000000005</v>
      </c>
      <c r="V78" s="112">
        <v>-127.072</v>
      </c>
      <c r="W78" s="112">
        <f>-254.604-V78</f>
        <v>-127.53200000000001</v>
      </c>
      <c r="X78" s="112">
        <f>-379.096-W78-V78</f>
        <v>-124.49199999999999</v>
      </c>
      <c r="Y78" s="144">
        <f t="shared" si="50"/>
        <v>-122.11000000000004</v>
      </c>
      <c r="Z78" s="112">
        <v>-1.016</v>
      </c>
      <c r="AA78" s="112">
        <f>-1.018-Z78</f>
        <v>-2.0000000000000018E-3</v>
      </c>
      <c r="AB78" s="112">
        <f>-1.041-AA78-Z78</f>
        <v>-2.2999999999999909E-2</v>
      </c>
      <c r="AC78" s="144">
        <f t="shared" si="51"/>
        <v>-1.3660000000000005</v>
      </c>
      <c r="AD78" s="112">
        <v>-1.133</v>
      </c>
      <c r="AE78" s="112">
        <f>-1.132-AD78</f>
        <v>1.0000000000001119E-3</v>
      </c>
      <c r="AF78" s="112">
        <f>-1.133-AE78-AD78</f>
        <v>-1.0000000000001119E-3</v>
      </c>
      <c r="AG78" s="144">
        <f t="shared" si="52"/>
        <v>-9.9999999999988987E-4</v>
      </c>
      <c r="AH78" s="112">
        <v>-390.95100000000002</v>
      </c>
      <c r="AI78" s="112">
        <f>-1002.122-AH78</f>
        <v>-611.17099999999994</v>
      </c>
      <c r="AJ78" s="112">
        <f>-1517.224-AH78-AI78</f>
        <v>-515.10199999999998</v>
      </c>
      <c r="AK78" s="144">
        <f t="shared" si="53"/>
        <v>-494.27899999999988</v>
      </c>
      <c r="AL78" s="112">
        <v>-460.47699999999998</v>
      </c>
      <c r="AM78" s="112">
        <f>-899.805-AL78</f>
        <v>-439.32799999999997</v>
      </c>
      <c r="AN78" s="112">
        <f>-1343.649-AL78-AM78</f>
        <v>-443.84399999999994</v>
      </c>
      <c r="AO78" s="144">
        <f t="shared" si="54"/>
        <v>-476.80399999999997</v>
      </c>
      <c r="AP78" s="112">
        <v>-494.42700000000002</v>
      </c>
      <c r="AQ78" s="112">
        <f>-1016.669-AP78</f>
        <v>-522.24199999999996</v>
      </c>
      <c r="AR78" s="112">
        <f>2157.188-AP78-AQ78</f>
        <v>3173.857</v>
      </c>
      <c r="AS78" s="144">
        <f t="shared" si="55"/>
        <v>-4274.2820000000002</v>
      </c>
      <c r="AT78" s="112">
        <v>-93.599000000000004</v>
      </c>
      <c r="AU78" s="268"/>
      <c r="AV78" s="268"/>
      <c r="AW78" s="268"/>
      <c r="AX78" s="289"/>
      <c r="AY78" s="289"/>
      <c r="AZ78" s="289"/>
      <c r="BA78" s="289"/>
      <c r="BB78" s="289"/>
      <c r="BC78" s="289"/>
      <c r="BD78" s="289"/>
      <c r="BE78" s="289"/>
      <c r="BF78" s="289"/>
    </row>
    <row r="79" spans="2:58" hidden="1" outlineLevel="1">
      <c r="B79" s="111" t="s">
        <v>380</v>
      </c>
      <c r="C79" s="112"/>
      <c r="D79" s="112"/>
      <c r="E79" s="112"/>
      <c r="F79" s="112"/>
      <c r="G79" s="112"/>
      <c r="H79" s="112"/>
      <c r="I79" s="112"/>
      <c r="J79" s="112"/>
      <c r="K79" s="112"/>
      <c r="L79" s="112">
        <v>543035.40300000005</v>
      </c>
      <c r="M79" s="289"/>
      <c r="N79" s="289"/>
      <c r="O79" s="289"/>
      <c r="P79" s="289"/>
      <c r="Q79" s="112"/>
      <c r="R79" s="112"/>
      <c r="S79" s="112"/>
      <c r="T79" s="112"/>
      <c r="U79" s="144"/>
      <c r="V79" s="112"/>
      <c r="W79" s="112"/>
      <c r="X79" s="112"/>
      <c r="Y79" s="144"/>
      <c r="Z79" s="112"/>
      <c r="AA79" s="112"/>
      <c r="AB79" s="112"/>
      <c r="AC79" s="144"/>
      <c r="AD79" s="112"/>
      <c r="AE79" s="112"/>
      <c r="AF79" s="112"/>
      <c r="AG79" s="144"/>
      <c r="AH79" s="112"/>
      <c r="AI79" s="112"/>
      <c r="AJ79" s="112"/>
      <c r="AK79" s="144"/>
      <c r="AL79" s="112"/>
      <c r="AM79" s="112"/>
      <c r="AN79" s="112"/>
      <c r="AO79" s="144"/>
      <c r="AP79" s="112"/>
      <c r="AQ79" s="112">
        <f>485773.466-AP79</f>
        <v>485773.46600000001</v>
      </c>
      <c r="AR79" s="112">
        <f>542874.532-AP79-AQ79</f>
        <v>57101.065999999992</v>
      </c>
      <c r="AS79" s="144">
        <f t="shared" si="55"/>
        <v>160.87100000004284</v>
      </c>
      <c r="AT79" s="112"/>
      <c r="AU79" s="268"/>
      <c r="AV79" s="268"/>
      <c r="AW79" s="268"/>
      <c r="AX79" s="289"/>
      <c r="AY79" s="289"/>
      <c r="AZ79" s="289"/>
      <c r="BA79" s="289"/>
      <c r="BB79" s="289"/>
      <c r="BC79" s="289"/>
      <c r="BD79" s="289"/>
      <c r="BE79" s="289"/>
      <c r="BF79" s="289"/>
    </row>
    <row r="80" spans="2:58" hidden="1" outlineLevel="1">
      <c r="B80" s="114" t="s">
        <v>387</v>
      </c>
      <c r="C80" s="142">
        <f t="shared" ref="C80:I80" si="56">SUM(C73:C78)</f>
        <v>370150.022</v>
      </c>
      <c r="D80" s="142">
        <f t="shared" si="56"/>
        <v>356585.29299999995</v>
      </c>
      <c r="E80" s="142">
        <f t="shared" si="56"/>
        <v>424780.73399999994</v>
      </c>
      <c r="F80" s="142">
        <f t="shared" si="56"/>
        <v>437102.69899999996</v>
      </c>
      <c r="G80" s="142">
        <f t="shared" si="56"/>
        <v>426920.79900000006</v>
      </c>
      <c r="H80" s="142">
        <f t="shared" si="56"/>
        <v>426920.79900000006</v>
      </c>
      <c r="I80" s="142">
        <f t="shared" si="56"/>
        <v>770411.15600000008</v>
      </c>
      <c r="J80" s="142">
        <f>SUM(J73:J78)</f>
        <v>684231.88899999997</v>
      </c>
      <c r="K80" s="142">
        <f>SUM(K73:K78)</f>
        <v>772452.25800000015</v>
      </c>
      <c r="L80" s="142">
        <f>SUM(L73:L79)</f>
        <v>1282012.8940000001</v>
      </c>
      <c r="M80" s="292"/>
      <c r="N80" s="292"/>
      <c r="O80" s="292"/>
      <c r="P80" s="292"/>
      <c r="Q80" s="112"/>
      <c r="R80" s="142">
        <f>SUM(R73:R78)</f>
        <v>109032.603</v>
      </c>
      <c r="S80" s="142">
        <f t="shared" ref="S80:AA80" si="57">SUM(S73:S78)</f>
        <v>98565.218999999983</v>
      </c>
      <c r="T80" s="142">
        <f t="shared" si="57"/>
        <v>105899.38999999998</v>
      </c>
      <c r="U80" s="142">
        <f t="shared" si="57"/>
        <v>111283.52199999997</v>
      </c>
      <c r="V80" s="142">
        <f t="shared" si="57"/>
        <v>109974.74999999999</v>
      </c>
      <c r="W80" s="142">
        <f t="shared" si="57"/>
        <v>98619.657000000007</v>
      </c>
      <c r="X80" s="142">
        <f t="shared" si="57"/>
        <v>112056.92499999996</v>
      </c>
      <c r="Y80" s="142">
        <f t="shared" si="57"/>
        <v>116451.367</v>
      </c>
      <c r="Z80" s="142">
        <f t="shared" si="57"/>
        <v>99341.715999999986</v>
      </c>
      <c r="AA80" s="142">
        <f t="shared" si="57"/>
        <v>94222.372000000003</v>
      </c>
      <c r="AB80" s="142">
        <f t="shared" ref="AB80:AG80" si="58">SUM(AB73:AB78)</f>
        <v>107107.78700000001</v>
      </c>
      <c r="AC80" s="142">
        <f t="shared" si="58"/>
        <v>126248.92399999998</v>
      </c>
      <c r="AD80" s="142">
        <f t="shared" si="58"/>
        <v>137804.83099999998</v>
      </c>
      <c r="AE80" s="142">
        <f t="shared" si="58"/>
        <v>137650.52699999997</v>
      </c>
      <c r="AF80" s="142">
        <f t="shared" si="58"/>
        <v>147397.45000000001</v>
      </c>
      <c r="AG80" s="142">
        <f t="shared" si="58"/>
        <v>347558.348</v>
      </c>
      <c r="AH80" s="142">
        <f t="shared" ref="AH80:AN80" si="59">SUM(AH73:AH78)</f>
        <v>172697.34899999999</v>
      </c>
      <c r="AI80" s="142">
        <f t="shared" si="59"/>
        <v>163621.29699999999</v>
      </c>
      <c r="AJ80" s="142">
        <f t="shared" si="59"/>
        <v>164663.46799999999</v>
      </c>
      <c r="AK80" s="142">
        <f t="shared" si="59"/>
        <v>183249.77499999997</v>
      </c>
      <c r="AL80" s="142">
        <f t="shared" si="59"/>
        <v>177596.90899999999</v>
      </c>
      <c r="AM80" s="142">
        <f t="shared" si="59"/>
        <v>204302.894</v>
      </c>
      <c r="AN80" s="142">
        <f t="shared" si="59"/>
        <v>203941.91299999997</v>
      </c>
      <c r="AO80" s="142">
        <f>SUM(AO73:AO78)</f>
        <v>186610.54200000002</v>
      </c>
      <c r="AP80" s="142">
        <f>SUM(AP73:AP78)</f>
        <v>189587.00899999999</v>
      </c>
      <c r="AQ80" s="142">
        <f>SUM(AQ73:AQ79)</f>
        <v>686794.54600000009</v>
      </c>
      <c r="AR80" s="142">
        <f>SUM(AR73:AR79)</f>
        <v>233180.424</v>
      </c>
      <c r="AS80" s="142">
        <f>SUM(AS73:AS79)</f>
        <v>172450.91500000004</v>
      </c>
      <c r="AT80" s="142">
        <f>SUM(AT73:AT78)</f>
        <v>132123.258</v>
      </c>
      <c r="AU80" s="271"/>
      <c r="AV80" s="271"/>
      <c r="AW80" s="271"/>
      <c r="AX80" s="292"/>
      <c r="AY80" s="292"/>
      <c r="AZ80" s="292"/>
      <c r="BA80" s="292"/>
      <c r="BB80" s="292"/>
      <c r="BC80" s="292"/>
      <c r="BD80" s="292"/>
      <c r="BE80" s="292"/>
      <c r="BF80" s="292"/>
    </row>
    <row r="81" spans="2:58" hidden="1" outlineLevel="1">
      <c r="B81" s="114"/>
      <c r="C81" s="142"/>
      <c r="D81" s="142"/>
      <c r="E81" s="142"/>
      <c r="F81" s="142"/>
      <c r="G81" s="142"/>
      <c r="H81" s="142"/>
      <c r="I81" s="142"/>
      <c r="J81" s="142"/>
      <c r="K81" s="142"/>
      <c r="L81" s="142"/>
      <c r="M81" s="112"/>
      <c r="N81" s="112"/>
      <c r="O81" s="112"/>
      <c r="P81" s="112"/>
      <c r="Q81" s="112"/>
      <c r="R81" s="112"/>
      <c r="S81" s="112"/>
      <c r="T81" s="112"/>
      <c r="U81" s="112"/>
      <c r="V81" s="112"/>
      <c r="W81" s="112"/>
      <c r="X81" s="112"/>
      <c r="Y81" s="112"/>
      <c r="Z81" s="112"/>
      <c r="AA81" s="112"/>
      <c r="AB81" s="112"/>
      <c r="AC81" s="112"/>
      <c r="AD81" s="112"/>
      <c r="AE81" s="112"/>
      <c r="AF81" s="112"/>
      <c r="AG81" s="112"/>
      <c r="AH81" s="112"/>
      <c r="AI81" s="112"/>
      <c r="AJ81" s="112"/>
      <c r="AK81" s="112"/>
      <c r="AL81" s="112"/>
      <c r="AM81" s="112"/>
      <c r="AN81" s="112"/>
      <c r="AO81" s="112"/>
      <c r="AP81" s="112"/>
      <c r="AQ81" s="112"/>
      <c r="AR81" s="112"/>
      <c r="AS81" s="112"/>
      <c r="AT81" s="112"/>
      <c r="AU81" s="112"/>
      <c r="AV81" s="112"/>
      <c r="AW81" s="112"/>
      <c r="AX81" s="112"/>
      <c r="AY81" s="112"/>
      <c r="AZ81" s="112"/>
      <c r="BA81" s="112"/>
      <c r="BB81" s="112"/>
      <c r="BC81" s="112"/>
      <c r="BD81" s="112"/>
      <c r="BE81" s="112"/>
      <c r="BF81" s="112"/>
    </row>
    <row r="82" spans="2:58" hidden="1" outlineLevel="1">
      <c r="B82" s="145" t="s">
        <v>22</v>
      </c>
      <c r="C82" s="146">
        <f>C80-Model!C48</f>
        <v>-55250.342999999644</v>
      </c>
      <c r="D82" s="146">
        <f>D80-Model!D48</f>
        <v>0</v>
      </c>
      <c r="E82" s="146">
        <f>E80-Model!E48</f>
        <v>0</v>
      </c>
      <c r="F82" s="146">
        <f>F80-Model!F48</f>
        <v>0</v>
      </c>
      <c r="G82" s="146">
        <f>G80-Model!G48</f>
        <v>-0.20099999994272366</v>
      </c>
      <c r="H82" s="146">
        <f>H80-Model!G48</f>
        <v>-0.20099999994272366</v>
      </c>
      <c r="I82" s="146">
        <f>I80-Model!H48</f>
        <v>0.15600000007543713</v>
      </c>
      <c r="J82" s="146">
        <f>J80-Model!I48</f>
        <v>0</v>
      </c>
      <c r="K82" s="146">
        <f>K80-Model!J48</f>
        <v>0</v>
      </c>
      <c r="L82" s="146">
        <f>L80-Model!K48</f>
        <v>-0.10599999991245568</v>
      </c>
      <c r="M82" s="146"/>
      <c r="N82" s="146"/>
      <c r="O82" s="146"/>
      <c r="P82" s="146"/>
      <c r="Q82" s="112"/>
      <c r="R82" s="146">
        <f>R80-Model!Q48</f>
        <v>-0.39699999999720603</v>
      </c>
      <c r="S82" s="146">
        <f>S80-Model!R48</f>
        <v>0.21899999998277053</v>
      </c>
      <c r="T82" s="146">
        <f>T80-Model!S48</f>
        <v>0.38999999998486601</v>
      </c>
      <c r="U82" s="146">
        <f>U80-Model!T48</f>
        <v>-0.21200000002863817</v>
      </c>
      <c r="V82" s="146">
        <f>V80-Model!U48</f>
        <v>-0.25000000001455192</v>
      </c>
      <c r="W82" s="146">
        <f>W80-Model!V48</f>
        <v>-0.34299999999348074</v>
      </c>
      <c r="X82" s="146">
        <f>X80-Model!W48</f>
        <v>-7.5000000040745363E-2</v>
      </c>
      <c r="Y82" s="146">
        <f>Y80-Model!X48</f>
        <v>0.66799999997601844</v>
      </c>
      <c r="Z82" s="146">
        <f>Z80-Model!Y48</f>
        <v>-0.28400000001420267</v>
      </c>
      <c r="AA82" s="146">
        <f>AA80-Model!Z48</f>
        <v>0.3720000000030268</v>
      </c>
      <c r="AB82" s="146">
        <f>AB80-Model!AA48</f>
        <v>-0.21299999998882413</v>
      </c>
      <c r="AC82" s="146">
        <f>AC80-Model!AB48</f>
        <v>-7.6000000015483238E-2</v>
      </c>
      <c r="AD82" s="146">
        <f>AD80-Model!AC48</f>
        <v>-0.1690000000235159</v>
      </c>
      <c r="AE82" s="146">
        <f>AE80-Model!AD48</f>
        <v>-0.47300000002724119</v>
      </c>
      <c r="AF82" s="146">
        <f>AF80-Model!AE48</f>
        <v>0.45000000001164153</v>
      </c>
      <c r="AG82" s="146">
        <f>AG80-Model!AF48</f>
        <v>0.34799999999813735</v>
      </c>
      <c r="AH82" s="146">
        <f>AH80-Model!AG48</f>
        <v>0.34899999998742715</v>
      </c>
      <c r="AI82" s="146">
        <f>AI80-Model!AH48</f>
        <v>0.29699999999138527</v>
      </c>
      <c r="AJ82" s="146">
        <f>AJ80-Model!AI48</f>
        <v>0.46799999999348074</v>
      </c>
      <c r="AK82" s="146">
        <f>AK80-Model!AJ48</f>
        <v>-1.114000000001397</v>
      </c>
      <c r="AL82" s="146">
        <f>AL80-Model!AK48</f>
        <v>-9.1000000014901161E-2</v>
      </c>
      <c r="AM82" s="146">
        <f>AM80-Model!AL48</f>
        <v>-0.10599999999976717</v>
      </c>
      <c r="AN82" s="146">
        <f>AN80-Model!AM48</f>
        <v>-8.7000000028638169E-2</v>
      </c>
      <c r="AO82" s="146">
        <f>AO80-Model!AN48</f>
        <v>0.28399999998509884</v>
      </c>
      <c r="AP82" s="146">
        <f>AP80-Model!AO48</f>
        <v>8.9999999909196049E-3</v>
      </c>
      <c r="AQ82" s="146">
        <f>AQ80-Model!AP48</f>
        <v>-0.45399999991059303</v>
      </c>
      <c r="AR82" s="146">
        <f>AR80-Model!AQ48</f>
        <v>0.42399999999906868</v>
      </c>
      <c r="AS82" s="146">
        <f>AS80-Model!AR48</f>
        <v>-8.4999999962747097E-2</v>
      </c>
      <c r="AT82" s="146">
        <f>AT80-Model!AS48</f>
        <v>0.25800000000162981</v>
      </c>
      <c r="AU82" s="146"/>
      <c r="AV82" s="146"/>
      <c r="AW82" s="146"/>
      <c r="AX82" s="146"/>
      <c r="AY82" s="146"/>
      <c r="AZ82" s="146"/>
      <c r="BA82" s="146"/>
      <c r="BB82" s="146"/>
      <c r="BC82" s="146"/>
      <c r="BD82" s="146"/>
      <c r="BE82" s="146"/>
      <c r="BF82" s="146"/>
    </row>
    <row r="83" spans="2:58" hidden="1" outlineLevel="1">
      <c r="B83" s="113"/>
      <c r="C83" s="112"/>
      <c r="D83" s="112"/>
      <c r="E83" s="112"/>
      <c r="F83" s="112"/>
      <c r="G83" s="112"/>
      <c r="H83" s="112"/>
      <c r="I83" s="112"/>
      <c r="J83" s="112"/>
      <c r="K83" s="112"/>
      <c r="L83" s="112"/>
      <c r="M83" s="112"/>
      <c r="N83" s="112"/>
      <c r="O83" s="112"/>
      <c r="P83" s="112"/>
      <c r="Q83" s="112"/>
      <c r="R83" s="112"/>
      <c r="S83" s="112"/>
      <c r="T83" s="112"/>
      <c r="U83" s="112"/>
      <c r="V83" s="112"/>
      <c r="W83" s="112"/>
      <c r="X83" s="112"/>
      <c r="Y83" s="112"/>
      <c r="Z83" s="112"/>
      <c r="AA83" s="112"/>
      <c r="AB83" s="112"/>
      <c r="AC83" s="112"/>
      <c r="AD83" s="112"/>
      <c r="AE83" s="112"/>
      <c r="AF83" s="112"/>
      <c r="AG83" s="112"/>
      <c r="AH83" s="112"/>
      <c r="AI83" s="112"/>
      <c r="AJ83" s="112"/>
      <c r="AK83" s="112"/>
      <c r="AL83" s="112"/>
      <c r="AM83" s="112"/>
      <c r="AN83" s="112"/>
      <c r="AP83" s="112"/>
      <c r="AQ83" s="112"/>
      <c r="AR83" s="112"/>
      <c r="AS83" s="112"/>
      <c r="AT83" s="112"/>
      <c r="AU83" s="112"/>
      <c r="AV83" s="112"/>
      <c r="AW83" s="112"/>
      <c r="AX83" s="112"/>
      <c r="AY83" s="112"/>
      <c r="AZ83" s="112"/>
      <c r="BA83" s="112"/>
      <c r="BB83" s="112"/>
      <c r="BC83" s="112"/>
      <c r="BD83" s="112"/>
      <c r="BE83" s="112"/>
      <c r="BF83" s="112"/>
    </row>
    <row r="84" spans="2:58" hidden="1" outlineLevel="1">
      <c r="B84" s="110" t="s">
        <v>388</v>
      </c>
      <c r="C84" s="112"/>
      <c r="D84" s="112"/>
      <c r="E84" s="112"/>
      <c r="F84" s="112"/>
      <c r="G84" s="112"/>
      <c r="H84" s="112"/>
      <c r="I84" s="112"/>
      <c r="J84" s="112"/>
      <c r="K84" s="112"/>
      <c r="L84" s="112"/>
      <c r="M84" s="112"/>
      <c r="N84" s="112"/>
      <c r="O84" s="112"/>
      <c r="P84" s="112"/>
      <c r="Q84" s="112"/>
      <c r="R84" s="112"/>
      <c r="S84" s="112"/>
      <c r="T84" s="112"/>
      <c r="U84" s="112"/>
      <c r="V84" s="112"/>
      <c r="W84" s="112"/>
      <c r="X84" s="112"/>
      <c r="Y84" s="112"/>
      <c r="Z84" s="112"/>
      <c r="AA84" s="112"/>
      <c r="AB84" s="112"/>
      <c r="AC84" s="112"/>
      <c r="AD84" s="112"/>
      <c r="AE84" s="112"/>
      <c r="AF84" s="112"/>
      <c r="AG84" s="112"/>
      <c r="AH84" s="112"/>
      <c r="AI84" s="112"/>
      <c r="AJ84" s="112"/>
      <c r="AK84" s="112"/>
      <c r="AL84" s="112"/>
      <c r="AM84" s="112"/>
      <c r="AN84" s="112"/>
      <c r="AP84" s="112"/>
      <c r="AQ84" s="112"/>
      <c r="AR84" s="112"/>
      <c r="AS84" s="112"/>
      <c r="AT84" s="112"/>
      <c r="AU84" s="112"/>
      <c r="AV84" s="112"/>
      <c r="AW84" s="112"/>
      <c r="AX84" s="112"/>
      <c r="AY84" s="112"/>
      <c r="AZ84" s="112"/>
      <c r="BA84" s="112"/>
      <c r="BB84" s="112"/>
      <c r="BC84" s="112"/>
      <c r="BD84" s="112"/>
      <c r="BE84" s="112"/>
      <c r="BF84" s="112"/>
    </row>
    <row r="85" spans="2:58" hidden="1" outlineLevel="1">
      <c r="B85" s="111" t="s">
        <v>374</v>
      </c>
      <c r="C85" s="149">
        <f t="shared" ref="C85:L85" si="60">C73/C8</f>
        <v>0.29445840937685658</v>
      </c>
      <c r="D85" s="149">
        <f t="shared" si="60"/>
        <v>0.32241807539134049</v>
      </c>
      <c r="E85" s="149">
        <f t="shared" si="60"/>
        <v>0.33309943399647701</v>
      </c>
      <c r="F85" s="149">
        <f t="shared" si="60"/>
        <v>0.31196631309302542</v>
      </c>
      <c r="G85" s="149">
        <f t="shared" si="60"/>
        <v>0.29623023984881569</v>
      </c>
      <c r="H85" s="149">
        <f t="shared" si="60"/>
        <v>0.29623023984881569</v>
      </c>
      <c r="I85" s="149">
        <f t="shared" si="60"/>
        <v>0.35568160138649951</v>
      </c>
      <c r="J85" s="149">
        <f t="shared" si="60"/>
        <v>0.37209539443736384</v>
      </c>
      <c r="K85" s="149">
        <f t="shared" si="60"/>
        <v>0.37025253551469561</v>
      </c>
      <c r="L85" s="149">
        <f t="shared" si="60"/>
        <v>0.35059861412047749</v>
      </c>
      <c r="M85" s="290"/>
      <c r="N85" s="290"/>
      <c r="O85" s="290"/>
      <c r="P85" s="290"/>
      <c r="Q85" s="112"/>
      <c r="R85" s="149">
        <f t="shared" ref="R85:AT85" si="61">R73/R8</f>
        <v>0.36602123988582591</v>
      </c>
      <c r="S85" s="149">
        <f t="shared" si="61"/>
        <v>0.33239171906235498</v>
      </c>
      <c r="T85" s="149">
        <f t="shared" si="61"/>
        <v>0.33405247269448385</v>
      </c>
      <c r="U85" s="149">
        <f t="shared" si="61"/>
        <v>0.30033615106456746</v>
      </c>
      <c r="V85" s="149">
        <f t="shared" si="61"/>
        <v>0.33829569728316783</v>
      </c>
      <c r="W85" s="149">
        <f t="shared" si="61"/>
        <v>0.3035246927965346</v>
      </c>
      <c r="X85" s="149">
        <f t="shared" si="61"/>
        <v>0.31382675907790381</v>
      </c>
      <c r="Y85" s="149">
        <f t="shared" si="61"/>
        <v>0.29335918710999409</v>
      </c>
      <c r="Z85" s="149">
        <f t="shared" si="61"/>
        <v>0.28105158146953491</v>
      </c>
      <c r="AA85" s="149">
        <f t="shared" si="61"/>
        <v>0.27497019117766536</v>
      </c>
      <c r="AB85" s="149">
        <f t="shared" si="61"/>
        <v>0.3218946287815912</v>
      </c>
      <c r="AC85" s="149">
        <f t="shared" si="61"/>
        <v>0.30670252536885256</v>
      </c>
      <c r="AD85" s="149">
        <f t="shared" si="61"/>
        <v>0.36039348910654229</v>
      </c>
      <c r="AE85" s="149">
        <f t="shared" si="61"/>
        <v>0.3395426838479001</v>
      </c>
      <c r="AF85" s="149">
        <f t="shared" si="61"/>
        <v>0.36645614185382708</v>
      </c>
      <c r="AG85" s="149">
        <f t="shared" si="61"/>
        <v>0.3556667392986444</v>
      </c>
      <c r="AH85" s="149">
        <f t="shared" si="61"/>
        <v>0.37343165880325918</v>
      </c>
      <c r="AI85" s="149">
        <f t="shared" si="61"/>
        <v>0.39726227835203864</v>
      </c>
      <c r="AJ85" s="238">
        <f t="shared" si="61"/>
        <v>0.36266235770023664</v>
      </c>
      <c r="AK85" s="149">
        <f t="shared" si="61"/>
        <v>0.35976413818805481</v>
      </c>
      <c r="AL85" s="149">
        <f t="shared" si="61"/>
        <v>0.36708827988447357</v>
      </c>
      <c r="AM85" s="149">
        <f t="shared" si="61"/>
        <v>0.37994450620999171</v>
      </c>
      <c r="AN85" s="238">
        <f t="shared" si="61"/>
        <v>0.39054217380965406</v>
      </c>
      <c r="AO85" s="149">
        <f t="shared" si="61"/>
        <v>0.34450110188707567</v>
      </c>
      <c r="AP85" s="149">
        <f t="shared" si="61"/>
        <v>0.37284680537850717</v>
      </c>
      <c r="AQ85" s="149">
        <f t="shared" si="61"/>
        <v>0.35033653091449346</v>
      </c>
      <c r="AR85" s="238">
        <f t="shared" si="61"/>
        <v>0.34523856014284571</v>
      </c>
      <c r="AS85" s="238">
        <f t="shared" si="61"/>
        <v>0.33396759420526523</v>
      </c>
      <c r="AT85" s="149">
        <f t="shared" si="61"/>
        <v>0.33016069681061616</v>
      </c>
      <c r="AU85" s="270"/>
      <c r="AV85" s="270"/>
      <c r="AW85" s="270"/>
      <c r="AX85" s="290"/>
      <c r="AY85" s="290"/>
      <c r="AZ85" s="290"/>
      <c r="BA85" s="290"/>
      <c r="BB85" s="290"/>
      <c r="BC85" s="290"/>
      <c r="BD85" s="290"/>
      <c r="BE85" s="290"/>
      <c r="BF85" s="290"/>
    </row>
    <row r="86" spans="2:58" hidden="1" outlineLevel="1">
      <c r="B86" s="111" t="s">
        <v>375</v>
      </c>
      <c r="C86" s="149">
        <f t="shared" ref="C86:L86" si="62">C74/C9</f>
        <v>0.32959798243548777</v>
      </c>
      <c r="D86" s="149">
        <f t="shared" si="62"/>
        <v>0.35177520469943185</v>
      </c>
      <c r="E86" s="149">
        <f t="shared" si="62"/>
        <v>0.37316123633454995</v>
      </c>
      <c r="F86" s="149">
        <f t="shared" si="62"/>
        <v>0.38557867458414702</v>
      </c>
      <c r="G86" s="149">
        <f t="shared" si="62"/>
        <v>0.41939325612082218</v>
      </c>
      <c r="H86" s="149">
        <f t="shared" si="62"/>
        <v>0.41939325612082218</v>
      </c>
      <c r="I86" s="149">
        <f t="shared" si="62"/>
        <v>0.44594439985728668</v>
      </c>
      <c r="J86" s="149">
        <f t="shared" si="62"/>
        <v>0.43003764595895783</v>
      </c>
      <c r="K86" s="149">
        <f t="shared" si="62"/>
        <v>0.41870848526819504</v>
      </c>
      <c r="L86" s="149">
        <f t="shared" si="62"/>
        <v>0.36015535868458881</v>
      </c>
      <c r="M86" s="290"/>
      <c r="N86" s="290"/>
      <c r="O86" s="290"/>
      <c r="P86" s="290"/>
      <c r="Q86" s="112"/>
      <c r="R86" s="149">
        <f t="shared" ref="R86:AT86" si="63">R74/R9</f>
        <v>0.38440438769177854</v>
      </c>
      <c r="S86" s="149">
        <f t="shared" si="63"/>
        <v>0.37175958310959323</v>
      </c>
      <c r="T86" s="149">
        <f t="shared" si="63"/>
        <v>0.37250079899208</v>
      </c>
      <c r="U86" s="149">
        <f t="shared" si="63"/>
        <v>0.36393300353274688</v>
      </c>
      <c r="V86" s="149">
        <f t="shared" si="63"/>
        <v>0.38589173208048516</v>
      </c>
      <c r="W86" s="149">
        <f t="shared" si="63"/>
        <v>0.38382247201820574</v>
      </c>
      <c r="X86" s="149">
        <f t="shared" si="63"/>
        <v>0.39714228811140428</v>
      </c>
      <c r="Y86" s="149">
        <f t="shared" si="63"/>
        <v>0.37577079403821595</v>
      </c>
      <c r="Z86" s="149">
        <f t="shared" si="63"/>
        <v>0.42574414693951573</v>
      </c>
      <c r="AA86" s="149">
        <f t="shared" si="63"/>
        <v>0.39515659756195565</v>
      </c>
      <c r="AB86" s="149">
        <f t="shared" si="63"/>
        <v>0.42674011120577943</v>
      </c>
      <c r="AC86" s="149">
        <f t="shared" si="63"/>
        <v>0.43088853577634356</v>
      </c>
      <c r="AD86" s="149">
        <f t="shared" si="63"/>
        <v>0.46302170081158339</v>
      </c>
      <c r="AE86" s="149">
        <f t="shared" si="63"/>
        <v>0.44106632573087218</v>
      </c>
      <c r="AF86" s="149">
        <f t="shared" si="63"/>
        <v>0.43425406192117227</v>
      </c>
      <c r="AG86" s="149">
        <f t="shared" si="63"/>
        <v>0.44520292684437751</v>
      </c>
      <c r="AH86" s="149">
        <f t="shared" si="63"/>
        <v>0.43306302558118243</v>
      </c>
      <c r="AI86" s="149">
        <f t="shared" si="63"/>
        <v>0.43174231865396351</v>
      </c>
      <c r="AJ86" s="238">
        <f t="shared" si="63"/>
        <v>0.40070696699785796</v>
      </c>
      <c r="AK86" s="149">
        <f t="shared" si="63"/>
        <v>0.45273333633871182</v>
      </c>
      <c r="AL86" s="149">
        <f t="shared" si="63"/>
        <v>0.4124733781791935</v>
      </c>
      <c r="AM86" s="149">
        <f t="shared" si="63"/>
        <v>0.44110099241508394</v>
      </c>
      <c r="AN86" s="238">
        <f t="shared" si="63"/>
        <v>0.43361595956314974</v>
      </c>
      <c r="AO86" s="149">
        <f t="shared" si="63"/>
        <v>0.38737134767062242</v>
      </c>
      <c r="AP86" s="149">
        <f t="shared" si="63"/>
        <v>0.38495659935254944</v>
      </c>
      <c r="AQ86" s="149">
        <f t="shared" si="63"/>
        <v>0.3662769241074586</v>
      </c>
      <c r="AR86" s="238">
        <f t="shared" si="63"/>
        <v>0.34709795869885635</v>
      </c>
      <c r="AS86" s="238">
        <f t="shared" si="63"/>
        <v>0.34433135196124337</v>
      </c>
      <c r="AT86" s="149">
        <f t="shared" si="63"/>
        <v>0.33277627171847862</v>
      </c>
      <c r="AU86" s="270"/>
      <c r="AV86" s="270"/>
      <c r="AW86" s="270"/>
      <c r="AX86" s="290"/>
      <c r="AY86" s="290"/>
      <c r="AZ86" s="290"/>
      <c r="BA86" s="290"/>
      <c r="BB86" s="290"/>
      <c r="BC86" s="290"/>
      <c r="BD86" s="290"/>
      <c r="BE86" s="290"/>
      <c r="BF86" s="290"/>
    </row>
    <row r="87" spans="2:58" hidden="1" outlineLevel="1">
      <c r="B87" s="111" t="s">
        <v>376</v>
      </c>
      <c r="C87" s="149">
        <f t="shared" ref="C87:L87" si="64">C75/C10</f>
        <v>0.26555994395693033</v>
      </c>
      <c r="D87" s="149">
        <f t="shared" si="64"/>
        <v>0.31803781046449114</v>
      </c>
      <c r="E87" s="149">
        <f t="shared" si="64"/>
        <v>0.36074950104802983</v>
      </c>
      <c r="F87" s="149">
        <f t="shared" si="64"/>
        <v>0.3714814405141964</v>
      </c>
      <c r="G87" s="149">
        <f t="shared" si="64"/>
        <v>0.36726843338927873</v>
      </c>
      <c r="H87" s="149">
        <f t="shared" si="64"/>
        <v>0.36726843338927873</v>
      </c>
      <c r="I87" s="149">
        <f t="shared" si="64"/>
        <v>0.35398324792811087</v>
      </c>
      <c r="J87" s="149">
        <f t="shared" si="64"/>
        <v>0.32002931530171252</v>
      </c>
      <c r="K87" s="149">
        <f t="shared" si="64"/>
        <v>0.29704746479792343</v>
      </c>
      <c r="L87" s="149">
        <f t="shared" si="64"/>
        <v>0.22817963272335443</v>
      </c>
      <c r="M87" s="290"/>
      <c r="N87" s="290"/>
      <c r="O87" s="290"/>
      <c r="P87" s="290"/>
      <c r="Q87" s="112"/>
      <c r="R87" s="149">
        <f t="shared" ref="R87:AT87" si="65">R75/R10</f>
        <v>0.32295423385965721</v>
      </c>
      <c r="S87" s="149">
        <f t="shared" si="65"/>
        <v>0.36249351442434996</v>
      </c>
      <c r="T87" s="149">
        <f t="shared" si="65"/>
        <v>0.36474892609932302</v>
      </c>
      <c r="U87" s="149">
        <f t="shared" si="65"/>
        <v>0.39092309794768859</v>
      </c>
      <c r="V87" s="149">
        <f t="shared" si="65"/>
        <v>0.32970377289709757</v>
      </c>
      <c r="W87" s="149">
        <f t="shared" si="65"/>
        <v>0.3724761406002573</v>
      </c>
      <c r="X87" s="149">
        <f t="shared" si="65"/>
        <v>0.40076985615421179</v>
      </c>
      <c r="Y87" s="149">
        <f t="shared" si="65"/>
        <v>0.38287137104064778</v>
      </c>
      <c r="Z87" s="149">
        <f t="shared" si="65"/>
        <v>0.33743256718949083</v>
      </c>
      <c r="AA87" s="149">
        <f t="shared" si="65"/>
        <v>0.32752509387557582</v>
      </c>
      <c r="AB87" s="149">
        <f t="shared" si="65"/>
        <v>0.37484899235133468</v>
      </c>
      <c r="AC87" s="149">
        <f t="shared" si="65"/>
        <v>0.42256823728851289</v>
      </c>
      <c r="AD87" s="149">
        <f t="shared" si="65"/>
        <v>0.34899071365996909</v>
      </c>
      <c r="AE87" s="149">
        <f t="shared" si="65"/>
        <v>0.36666813738971593</v>
      </c>
      <c r="AF87" s="149">
        <f t="shared" si="65"/>
        <v>0.34633853164506823</v>
      </c>
      <c r="AG87" s="149">
        <f t="shared" si="65"/>
        <v>0.35345765387250361</v>
      </c>
      <c r="AH87" s="149">
        <f t="shared" si="65"/>
        <v>0.31539454424936891</v>
      </c>
      <c r="AI87" s="149">
        <f t="shared" si="65"/>
        <v>0.32719676237083578</v>
      </c>
      <c r="AJ87" s="238">
        <f t="shared" si="65"/>
        <v>0.30042579886889381</v>
      </c>
      <c r="AK87" s="149">
        <f t="shared" si="65"/>
        <v>0.33609142374402334</v>
      </c>
      <c r="AL87" s="149">
        <f t="shared" si="65"/>
        <v>0.25630036806989054</v>
      </c>
      <c r="AM87" s="149">
        <f t="shared" si="65"/>
        <v>0.33879844440139156</v>
      </c>
      <c r="AN87" s="238">
        <f t="shared" si="65"/>
        <v>0.26678502893306222</v>
      </c>
      <c r="AO87" s="149">
        <f t="shared" si="65"/>
        <v>0.32106166246138301</v>
      </c>
      <c r="AP87" s="149">
        <f t="shared" si="65"/>
        <v>0.18647363876673784</v>
      </c>
      <c r="AQ87" s="149">
        <f t="shared" si="65"/>
        <v>0.30873138895566937</v>
      </c>
      <c r="AR87" s="238">
        <f t="shared" si="65"/>
        <v>0.20111531367543808</v>
      </c>
      <c r="AS87" s="238">
        <f t="shared" si="65"/>
        <v>0.22013241090560728</v>
      </c>
      <c r="AT87" s="149">
        <f t="shared" si="65"/>
        <v>7.5440167920827333E-2</v>
      </c>
      <c r="AU87" s="270"/>
      <c r="AV87" s="270"/>
      <c r="AW87" s="270"/>
      <c r="AX87" s="290"/>
      <c r="AY87" s="290"/>
      <c r="AZ87" s="290"/>
      <c r="BA87" s="290"/>
      <c r="BB87" s="290"/>
      <c r="BC87" s="290"/>
      <c r="BD87" s="290"/>
      <c r="BE87" s="290"/>
      <c r="BF87" s="290"/>
    </row>
    <row r="88" spans="2:58" hidden="1" outlineLevel="1">
      <c r="B88" s="111" t="s">
        <v>377</v>
      </c>
      <c r="C88" s="149">
        <f t="shared" ref="C88:L88" si="66">C76/C11</f>
        <v>-0.69512633914306077</v>
      </c>
      <c r="D88" s="149">
        <f t="shared" si="66"/>
        <v>-0.68911352614140198</v>
      </c>
      <c r="E88" s="149">
        <f t="shared" si="66"/>
        <v>-0.33982523570556727</v>
      </c>
      <c r="F88" s="149">
        <f t="shared" si="66"/>
        <v>-0.16149348507645925</v>
      </c>
      <c r="G88" s="149">
        <f t="shared" si="66"/>
        <v>-0.11066554183156291</v>
      </c>
      <c r="H88" s="149">
        <f t="shared" si="66"/>
        <v>-0.10539539798104021</v>
      </c>
      <c r="I88" s="149">
        <f t="shared" si="66"/>
        <v>0.17912470769406993</v>
      </c>
      <c r="J88" s="149">
        <f t="shared" si="66"/>
        <v>0.15232861088060423</v>
      </c>
      <c r="K88" s="149">
        <f t="shared" si="66"/>
        <v>0.16689176800651861</v>
      </c>
      <c r="L88" s="149">
        <f t="shared" si="66"/>
        <v>0.18791765376144709</v>
      </c>
      <c r="M88" s="290"/>
      <c r="N88" s="290"/>
      <c r="O88" s="290"/>
      <c r="P88" s="290"/>
      <c r="Q88" s="112"/>
      <c r="R88" s="149">
        <f t="shared" ref="R88:AT88" si="67">R76/R11</f>
        <v>-0.38720413000701975</v>
      </c>
      <c r="S88" s="149">
        <f t="shared" si="67"/>
        <v>-0.40879610226858137</v>
      </c>
      <c r="T88" s="149">
        <f t="shared" si="67"/>
        <v>-0.29329027432549187</v>
      </c>
      <c r="U88" s="149">
        <f t="shared" si="67"/>
        <v>-0.28547693609999475</v>
      </c>
      <c r="V88" s="149">
        <f t="shared" si="67"/>
        <v>-0.22765799140186285</v>
      </c>
      <c r="W88" s="149">
        <f t="shared" si="67"/>
        <v>-0.24274111645666233</v>
      </c>
      <c r="X88" s="149">
        <f t="shared" si="67"/>
        <v>-0.13434510945862127</v>
      </c>
      <c r="Y88" s="149">
        <f t="shared" si="67"/>
        <v>-6.6759312506159421E-2</v>
      </c>
      <c r="Z88" s="149">
        <f t="shared" si="67"/>
        <v>-0.14694351176141943</v>
      </c>
      <c r="AA88" s="149">
        <f t="shared" si="67"/>
        <v>-0.15708632392408794</v>
      </c>
      <c r="AB88" s="149">
        <f t="shared" si="67"/>
        <v>-0.12244255664891299</v>
      </c>
      <c r="AC88" s="149">
        <f t="shared" si="67"/>
        <v>-2.7243322977853986E-2</v>
      </c>
      <c r="AD88" s="149">
        <f t="shared" si="67"/>
        <v>4.5385292050249632E-2</v>
      </c>
      <c r="AE88" s="149">
        <f t="shared" si="67"/>
        <v>8.3586953618946983E-2</v>
      </c>
      <c r="AF88" s="149">
        <f t="shared" si="67"/>
        <v>0.10089641659862392</v>
      </c>
      <c r="AG88" s="149">
        <f t="shared" si="67"/>
        <v>0.34867836842857414</v>
      </c>
      <c r="AH88" s="149">
        <f t="shared" si="67"/>
        <v>0.17362251688897323</v>
      </c>
      <c r="AI88" s="149">
        <f t="shared" si="67"/>
        <v>0.15608396524948565</v>
      </c>
      <c r="AJ88" s="238">
        <f t="shared" si="67"/>
        <v>0.14970575331519914</v>
      </c>
      <c r="AK88" s="149">
        <f t="shared" si="67"/>
        <v>0.13311943006092147</v>
      </c>
      <c r="AL88" s="149">
        <f t="shared" si="67"/>
        <v>0.16567339968661313</v>
      </c>
      <c r="AM88" s="149">
        <f t="shared" si="67"/>
        <v>0.17991691263970438</v>
      </c>
      <c r="AN88" s="238">
        <f t="shared" si="67"/>
        <v>0.18587949227675371</v>
      </c>
      <c r="AO88" s="149">
        <f t="shared" si="67"/>
        <v>0.14043799908226223</v>
      </c>
      <c r="AP88" s="149">
        <f t="shared" si="67"/>
        <v>0.17874632800855764</v>
      </c>
      <c r="AQ88" s="149">
        <f t="shared" si="67"/>
        <v>0.20229239756966519</v>
      </c>
      <c r="AR88" s="238">
        <f t="shared" si="67"/>
        <v>0.16560843233069297</v>
      </c>
      <c r="AS88" s="238">
        <f t="shared" si="67"/>
        <v>0.20415002572761112</v>
      </c>
      <c r="AT88" s="149">
        <f t="shared" si="67"/>
        <v>3.6021162019098434E-2</v>
      </c>
      <c r="AU88" s="270"/>
      <c r="AV88" s="270"/>
      <c r="AW88" s="270"/>
      <c r="AX88" s="290"/>
      <c r="AY88" s="290"/>
      <c r="AZ88" s="290"/>
      <c r="BA88" s="290"/>
      <c r="BB88" s="290"/>
      <c r="BC88" s="290"/>
      <c r="BD88" s="290"/>
      <c r="BE88" s="290"/>
      <c r="BF88" s="290"/>
    </row>
    <row r="89" spans="2:58" hidden="1" outlineLevel="1">
      <c r="B89" s="111" t="s">
        <v>378</v>
      </c>
      <c r="C89" s="149">
        <f t="shared" ref="C89:L89" si="68">C77/C12</f>
        <v>0.14437174406615155</v>
      </c>
      <c r="D89" s="149">
        <f t="shared" si="68"/>
        <v>0.10064000097378134</v>
      </c>
      <c r="E89" s="149">
        <f t="shared" si="68"/>
        <v>8.4635842621083146E-2</v>
      </c>
      <c r="F89" s="149">
        <f t="shared" si="68"/>
        <v>4.850727390983587E-2</v>
      </c>
      <c r="G89" s="149">
        <f t="shared" si="68"/>
        <v>2.8917126189435344E-2</v>
      </c>
      <c r="H89" s="149">
        <f t="shared" si="68"/>
        <v>2.974782607663946E-2</v>
      </c>
      <c r="I89" s="149">
        <f t="shared" si="68"/>
        <v>0.15515625158616117</v>
      </c>
      <c r="J89" s="149">
        <f t="shared" si="68"/>
        <v>6.6362507008034699E-2</v>
      </c>
      <c r="K89" s="149">
        <f t="shared" si="68"/>
        <v>6.1039556230448946E-2</v>
      </c>
      <c r="L89" s="149">
        <f t="shared" si="68"/>
        <v>2.3841092578493758E-2</v>
      </c>
      <c r="M89" s="290"/>
      <c r="N89" s="290"/>
      <c r="O89" s="290"/>
      <c r="P89" s="290"/>
      <c r="Q89" s="112"/>
      <c r="R89" s="149">
        <f t="shared" ref="R89:AT89" si="69">R77/R12</f>
        <v>8.0464530217093058E-2</v>
      </c>
      <c r="S89" s="149">
        <f t="shared" si="69"/>
        <v>8.4241108986411031E-2</v>
      </c>
      <c r="T89" s="149">
        <f t="shared" si="69"/>
        <v>6.648449528114582E-2</v>
      </c>
      <c r="U89" s="149">
        <f t="shared" si="69"/>
        <v>0.10353041250772908</v>
      </c>
      <c r="V89" s="149">
        <f t="shared" si="69"/>
        <v>6.7319115852387271E-2</v>
      </c>
      <c r="W89" s="149">
        <f t="shared" si="69"/>
        <v>4.7045020023771214E-2</v>
      </c>
      <c r="X89" s="149">
        <f t="shared" si="69"/>
        <v>4.1910848703299093E-2</v>
      </c>
      <c r="Y89" s="149">
        <f t="shared" si="69"/>
        <v>3.9693748558765299E-2</v>
      </c>
      <c r="Z89" s="149">
        <f t="shared" si="69"/>
        <v>3.2018493142600225E-2</v>
      </c>
      <c r="AA89" s="149">
        <f t="shared" si="69"/>
        <v>3.239253402880541E-2</v>
      </c>
      <c r="AB89" s="149">
        <f t="shared" si="69"/>
        <v>2.1197618772550258E-2</v>
      </c>
      <c r="AC89" s="149">
        <f t="shared" si="69"/>
        <v>3.3836898714597455E-2</v>
      </c>
      <c r="AD89" s="149">
        <f t="shared" si="69"/>
        <v>3.1302459868743818E-2</v>
      </c>
      <c r="AE89" s="149">
        <f t="shared" si="69"/>
        <v>3.1252680879919587E-2</v>
      </c>
      <c r="AF89" s="149">
        <f t="shared" si="69"/>
        <v>3.1197944311058733E-2</v>
      </c>
      <c r="AG89" s="149">
        <f t="shared" si="69"/>
        <v>0.37351793212968748</v>
      </c>
      <c r="AH89" s="149">
        <f t="shared" si="69"/>
        <v>7.8590255451008506E-2</v>
      </c>
      <c r="AI89" s="149">
        <f t="shared" si="69"/>
        <v>7.8754483849453813E-2</v>
      </c>
      <c r="AJ89" s="238">
        <f t="shared" si="69"/>
        <v>4.9239485159912992E-2</v>
      </c>
      <c r="AK89" s="149">
        <f t="shared" si="69"/>
        <v>6.0386367436928573E-2</v>
      </c>
      <c r="AL89" s="149">
        <f t="shared" si="69"/>
        <v>6.3875393735787697E-2</v>
      </c>
      <c r="AM89" s="149">
        <f t="shared" si="69"/>
        <v>7.4701164521072921E-2</v>
      </c>
      <c r="AN89" s="238">
        <f t="shared" si="69"/>
        <v>6.4200015490913059E-2</v>
      </c>
      <c r="AO89" s="149">
        <f t="shared" si="69"/>
        <v>4.1593741698229061E-2</v>
      </c>
      <c r="AP89" s="149">
        <f t="shared" si="69"/>
        <v>3.8172238428048719E-2</v>
      </c>
      <c r="AQ89" s="149">
        <f t="shared" si="69"/>
        <v>4.1833464007300668E-2</v>
      </c>
      <c r="AR89" s="238">
        <f t="shared" si="69"/>
        <v>2.566190635249678E-2</v>
      </c>
      <c r="AS89" s="238">
        <f t="shared" si="69"/>
        <v>-8.9006687604649866E-3</v>
      </c>
      <c r="AT89" s="149">
        <f t="shared" si="69"/>
        <v>2.9853656409961748E-2</v>
      </c>
      <c r="AU89" s="270"/>
      <c r="AV89" s="270"/>
      <c r="AW89" s="270"/>
      <c r="AX89" s="290"/>
      <c r="AY89" s="290"/>
      <c r="AZ89" s="290"/>
      <c r="BA89" s="290"/>
      <c r="BB89" s="290"/>
      <c r="BC89" s="290"/>
      <c r="BD89" s="290"/>
      <c r="BE89" s="290"/>
      <c r="BF89" s="290"/>
    </row>
    <row r="90" spans="2:58" hidden="1" outlineLevel="1">
      <c r="B90" s="111" t="s">
        <v>379</v>
      </c>
      <c r="C90" s="149">
        <f t="shared" ref="C90:L90" si="70">C78/C13</f>
        <v>1.0663725198612295E-3</v>
      </c>
      <c r="D90" s="149">
        <f t="shared" si="70"/>
        <v>1.1591634007570705E-3</v>
      </c>
      <c r="E90" s="149">
        <f t="shared" si="70"/>
        <v>8.5633538530693128E-4</v>
      </c>
      <c r="F90" s="149">
        <f t="shared" si="70"/>
        <v>6.9002515188666409E-4</v>
      </c>
      <c r="G90" s="149">
        <f t="shared" si="70"/>
        <v>2.9386237768271539E-6</v>
      </c>
      <c r="H90" s="149">
        <f t="shared" si="70"/>
        <v>2.9741547986779851E-6</v>
      </c>
      <c r="I90" s="149">
        <f t="shared" si="70"/>
        <v>1.4194636558579111E-6</v>
      </c>
      <c r="J90" s="149">
        <f t="shared" si="70"/>
        <v>2.3366620594241581E-3</v>
      </c>
      <c r="K90" s="149">
        <f t="shared" si="70"/>
        <v>2.0546937525854131E-3</v>
      </c>
      <c r="L90" s="149">
        <f t="shared" si="70"/>
        <v>1.9132129913619397E-3</v>
      </c>
      <c r="M90" s="290"/>
      <c r="N90" s="290"/>
      <c r="O90" s="290"/>
      <c r="P90" s="290"/>
      <c r="Q90" s="112"/>
      <c r="R90" s="149">
        <f t="shared" ref="R90:AT90" si="71">R78/R13</f>
        <v>1.0539876702205385E-3</v>
      </c>
      <c r="S90" s="149">
        <f t="shared" si="71"/>
        <v>9.6175372266664959E-4</v>
      </c>
      <c r="T90" s="149">
        <f t="shared" si="71"/>
        <v>8.1679588683588147E-4</v>
      </c>
      <c r="U90" s="149">
        <f t="shared" si="71"/>
        <v>6.8082344452900551E-4</v>
      </c>
      <c r="V90" s="149">
        <f t="shared" si="71"/>
        <v>7.6676474990463857E-4</v>
      </c>
      <c r="W90" s="149">
        <f t="shared" si="71"/>
        <v>7.1908437191412248E-4</v>
      </c>
      <c r="X90" s="149">
        <f t="shared" si="71"/>
        <v>6.6980683321229322E-4</v>
      </c>
      <c r="Y90" s="149">
        <f t="shared" si="71"/>
        <v>6.1853439766230381E-4</v>
      </c>
      <c r="Z90" s="149">
        <f t="shared" si="71"/>
        <v>5.259186723816703E-6</v>
      </c>
      <c r="AA90" s="149">
        <f t="shared" si="71"/>
        <v>9.708006559001063E-9</v>
      </c>
      <c r="AB90" s="149">
        <f t="shared" si="71"/>
        <v>1.1316934940431869E-7</v>
      </c>
      <c r="AC90" s="149">
        <f t="shared" si="71"/>
        <v>6.603211607800187E-6</v>
      </c>
      <c r="AD90" s="149">
        <f t="shared" si="71"/>
        <v>5.9423870003188117E-6</v>
      </c>
      <c r="AE90" s="149">
        <f t="shared" si="71"/>
        <v>-5.2373639325000158E-9</v>
      </c>
      <c r="AF90" s="149">
        <f t="shared" si="71"/>
        <v>4.8387342066805621E-9</v>
      </c>
      <c r="AG90" s="149">
        <f t="shared" si="71"/>
        <v>4.7477111854095244E-9</v>
      </c>
      <c r="AH90" s="149">
        <f t="shared" si="71"/>
        <v>2.0007864536883426E-3</v>
      </c>
      <c r="AI90" s="149">
        <f t="shared" si="71"/>
        <v>2.8464074584183098E-3</v>
      </c>
      <c r="AJ90" s="238">
        <f t="shared" si="71"/>
        <v>2.2663419936475968E-3</v>
      </c>
      <c r="AK90" s="149">
        <f t="shared" si="71"/>
        <v>2.2120745016098067E-3</v>
      </c>
      <c r="AL90" s="149">
        <f t="shared" si="71"/>
        <v>2.1529406285069729E-3</v>
      </c>
      <c r="AM90" s="149">
        <f t="shared" si="71"/>
        <v>1.9693863189377946E-3</v>
      </c>
      <c r="AN90" s="238">
        <f t="shared" si="71"/>
        <v>2.0347145562201437E-3</v>
      </c>
      <c r="AO90" s="149">
        <f t="shared" si="71"/>
        <v>2.0649801264870271E-3</v>
      </c>
      <c r="AP90" s="149">
        <f t="shared" si="71"/>
        <v>2.083090094726214E-3</v>
      </c>
      <c r="AQ90" s="149">
        <f t="shared" si="71"/>
        <v>2.0729028865467012E-3</v>
      </c>
      <c r="AR90" s="238">
        <f t="shared" si="71"/>
        <v>-9.5323729420323175E-3</v>
      </c>
      <c r="AS90" s="238">
        <f t="shared" si="71"/>
        <v>1.5033406322962741E-2</v>
      </c>
      <c r="AT90" s="149">
        <f t="shared" si="71"/>
        <v>3.1831817597192908E-4</v>
      </c>
      <c r="AU90" s="270"/>
      <c r="AV90" s="270"/>
      <c r="AW90" s="270"/>
      <c r="AX90" s="290"/>
      <c r="AY90" s="290"/>
      <c r="AZ90" s="290"/>
      <c r="BA90" s="290"/>
      <c r="BB90" s="290"/>
      <c r="BC90" s="290"/>
      <c r="BD90" s="290"/>
      <c r="BE90" s="290"/>
      <c r="BF90" s="290"/>
    </row>
    <row r="91" spans="2:58" hidden="1" outlineLevel="1">
      <c r="B91" s="111" t="s">
        <v>380</v>
      </c>
      <c r="C91" s="149"/>
      <c r="D91" s="149"/>
      <c r="E91" s="149"/>
      <c r="F91" s="149"/>
      <c r="G91" s="149"/>
      <c r="H91" s="149"/>
      <c r="I91" s="149"/>
      <c r="J91" s="149"/>
      <c r="K91" s="149"/>
      <c r="L91" s="149"/>
      <c r="M91" s="149"/>
      <c r="N91" s="149"/>
      <c r="O91" s="149"/>
      <c r="P91" s="149"/>
      <c r="Q91" s="112"/>
      <c r="R91" s="149"/>
      <c r="S91" s="149"/>
      <c r="T91" s="149"/>
      <c r="U91" s="149"/>
      <c r="V91" s="149"/>
      <c r="W91" s="149"/>
      <c r="X91" s="149"/>
      <c r="Y91" s="149"/>
      <c r="Z91" s="149"/>
      <c r="AA91" s="149"/>
      <c r="AB91" s="149"/>
      <c r="AC91" s="149"/>
      <c r="AD91" s="149"/>
      <c r="AE91" s="149"/>
      <c r="AF91" s="149"/>
      <c r="AG91" s="149"/>
      <c r="AH91" s="149"/>
      <c r="AI91" s="149"/>
      <c r="AJ91" s="238"/>
      <c r="AK91" s="149"/>
      <c r="AL91" s="149"/>
      <c r="AM91" s="149"/>
      <c r="AN91" s="238"/>
      <c r="AO91" s="149"/>
      <c r="AP91" s="149"/>
      <c r="AQ91" s="149"/>
      <c r="AR91" s="238"/>
      <c r="AS91" s="238"/>
      <c r="AT91" s="149"/>
      <c r="AU91" s="149"/>
      <c r="AV91" s="149"/>
      <c r="AW91" s="149"/>
      <c r="AX91" s="149"/>
      <c r="AY91" s="149"/>
      <c r="AZ91" s="149"/>
      <c r="BA91" s="149"/>
      <c r="BB91" s="149"/>
      <c r="BC91" s="149"/>
      <c r="BD91" s="149"/>
      <c r="BE91" s="149"/>
      <c r="BF91" s="149"/>
    </row>
    <row r="92" spans="2:58" hidden="1" outlineLevel="1">
      <c r="B92" s="114" t="s">
        <v>387</v>
      </c>
      <c r="C92" s="73">
        <f t="shared" ref="C92:L92" si="72">C80/C15</f>
        <v>0.22328184170052123</v>
      </c>
      <c r="D92" s="73">
        <f t="shared" si="72"/>
        <v>0.19981102924629415</v>
      </c>
      <c r="E92" s="73">
        <f t="shared" si="72"/>
        <v>0.22743556266327486</v>
      </c>
      <c r="F92" s="73">
        <f t="shared" si="72"/>
        <v>0.2249545459013077</v>
      </c>
      <c r="G92" s="73">
        <f t="shared" si="72"/>
        <v>0.22314788726602797</v>
      </c>
      <c r="H92" s="73">
        <f t="shared" si="72"/>
        <v>0.22201235666190891</v>
      </c>
      <c r="I92" s="73">
        <f t="shared" si="72"/>
        <v>0.35057828696071219</v>
      </c>
      <c r="J92" s="73">
        <f t="shared" si="72"/>
        <v>0.31862018652085894</v>
      </c>
      <c r="K92" s="73">
        <f t="shared" si="72"/>
        <v>0.31398974280923531</v>
      </c>
      <c r="L92" s="73">
        <f t="shared" si="72"/>
        <v>0.4085823899900366</v>
      </c>
      <c r="M92" s="291"/>
      <c r="N92" s="291"/>
      <c r="O92" s="291"/>
      <c r="P92" s="291"/>
      <c r="Q92" s="144"/>
      <c r="R92" s="73">
        <f t="shared" ref="R92:AT92" si="73">R80/R15</f>
        <v>0.23730410059792592</v>
      </c>
      <c r="S92" s="73">
        <f t="shared" si="73"/>
        <v>0.21575617398716079</v>
      </c>
      <c r="T92" s="73">
        <f t="shared" si="73"/>
        <v>0.2263284901172497</v>
      </c>
      <c r="U92" s="73">
        <f t="shared" si="73"/>
        <v>0.23016429936795108</v>
      </c>
      <c r="V92" s="73">
        <f t="shared" si="73"/>
        <v>0.23220267787821791</v>
      </c>
      <c r="W92" s="73">
        <f t="shared" si="73"/>
        <v>0.20600233269313639</v>
      </c>
      <c r="X92" s="73">
        <f t="shared" si="73"/>
        <v>0.23349734134331893</v>
      </c>
      <c r="Y92" s="73">
        <f t="shared" si="73"/>
        <v>0.22797017121772306</v>
      </c>
      <c r="Z92" s="73">
        <f t="shared" si="73"/>
        <v>0.21540695085580508</v>
      </c>
      <c r="AA92" s="73">
        <f t="shared" si="73"/>
        <v>0.20233468115288966</v>
      </c>
      <c r="AB92" s="73">
        <f t="shared" si="73"/>
        <v>0.22252721701112058</v>
      </c>
      <c r="AC92" s="73">
        <f t="shared" si="73"/>
        <v>0.24524936279981585</v>
      </c>
      <c r="AD92" s="73">
        <f t="shared" si="73"/>
        <v>0.29024695343898382</v>
      </c>
      <c r="AE92" s="73">
        <f t="shared" si="73"/>
        <v>0.28355897647339229</v>
      </c>
      <c r="AF92" s="73">
        <f t="shared" si="73"/>
        <v>0.29568919778562114</v>
      </c>
      <c r="AG92" s="73">
        <f t="shared" si="73"/>
        <v>0.47041561032328905</v>
      </c>
      <c r="AH92" s="73">
        <f t="shared" si="73"/>
        <v>0.32541099162949055</v>
      </c>
      <c r="AI92" s="73">
        <f t="shared" si="73"/>
        <v>0.34367467551839476</v>
      </c>
      <c r="AJ92" s="239">
        <f t="shared" si="73"/>
        <v>0.30322538687805467</v>
      </c>
      <c r="AK92" s="73">
        <f t="shared" si="73"/>
        <v>0.30661941822674621</v>
      </c>
      <c r="AL92" s="73">
        <f t="shared" si="73"/>
        <v>0.31225333458300131</v>
      </c>
      <c r="AM92" s="73">
        <f t="shared" si="73"/>
        <v>0.33577425045742754</v>
      </c>
      <c r="AN92" s="239">
        <f t="shared" si="73"/>
        <v>0.32717300241066183</v>
      </c>
      <c r="AO92" s="73">
        <f t="shared" si="73"/>
        <v>0.28293125112750123</v>
      </c>
      <c r="AP92" s="73">
        <f t="shared" si="73"/>
        <v>0.29169888812688954</v>
      </c>
      <c r="AQ92" s="73">
        <f t="shared" si="73"/>
        <v>0.59743742127788269</v>
      </c>
      <c r="AR92" s="239">
        <f t="shared" si="73"/>
        <v>0.33522419629990524</v>
      </c>
      <c r="AS92" s="239">
        <f t="shared" si="73"/>
        <v>0.26836180554246658</v>
      </c>
      <c r="AT92" s="73">
        <f t="shared" si="73"/>
        <v>0.21541660927243084</v>
      </c>
      <c r="AU92" s="272"/>
      <c r="AV92" s="272"/>
      <c r="AW92" s="272"/>
      <c r="AX92" s="291"/>
      <c r="AY92" s="291"/>
      <c r="AZ92" s="291"/>
      <c r="BA92" s="291"/>
      <c r="BB92" s="291"/>
      <c r="BC92" s="291"/>
      <c r="BD92" s="291"/>
      <c r="BE92" s="291"/>
      <c r="BF92" s="291"/>
    </row>
    <row r="93" spans="2:58" hidden="1" outlineLevel="1">
      <c r="B93" s="111"/>
      <c r="C93" s="112"/>
      <c r="D93" s="112"/>
      <c r="E93" s="112"/>
      <c r="F93" s="112"/>
      <c r="G93" s="112"/>
      <c r="H93" s="112"/>
      <c r="I93" s="112"/>
      <c r="J93" s="112"/>
      <c r="K93" s="112"/>
      <c r="L93" s="112"/>
      <c r="M93" s="112"/>
      <c r="N93" s="112"/>
      <c r="O93" s="112"/>
      <c r="P93" s="112"/>
      <c r="Q93" s="112"/>
      <c r="R93" s="112"/>
      <c r="S93" s="112"/>
      <c r="T93" s="112"/>
      <c r="U93" s="112"/>
      <c r="V93" s="112"/>
      <c r="W93" s="112"/>
      <c r="X93" s="112"/>
      <c r="Y93" s="112"/>
      <c r="Z93" s="112"/>
      <c r="AA93" s="112"/>
      <c r="AB93" s="112"/>
      <c r="AC93" s="112"/>
      <c r="AD93" s="112"/>
      <c r="AE93" s="112"/>
      <c r="AF93" s="112"/>
      <c r="AG93" s="112"/>
      <c r="AH93" s="112"/>
      <c r="AI93" s="112"/>
      <c r="AJ93" s="112"/>
      <c r="AK93" s="112"/>
      <c r="AL93" s="112"/>
      <c r="AM93" s="112"/>
      <c r="AN93" s="112"/>
      <c r="AO93" s="112"/>
      <c r="AP93" s="112"/>
      <c r="AQ93" s="112"/>
      <c r="AR93" s="112"/>
      <c r="AS93" s="112"/>
      <c r="AT93" s="112"/>
      <c r="AU93" s="112"/>
      <c r="AV93" s="112"/>
      <c r="AW93" s="112"/>
      <c r="AX93" s="112"/>
      <c r="AY93" s="112"/>
      <c r="AZ93" s="112"/>
      <c r="BA93" s="112"/>
      <c r="BB93" s="112"/>
      <c r="BC93" s="112"/>
      <c r="BD93" s="112"/>
      <c r="BE93" s="112"/>
      <c r="BF93" s="112"/>
    </row>
    <row r="94" spans="2:58" collapsed="1">
      <c r="B94" s="111"/>
      <c r="C94" s="112"/>
      <c r="D94" s="112"/>
      <c r="E94" s="112"/>
      <c r="F94" s="112"/>
      <c r="G94" s="112"/>
      <c r="H94" s="112"/>
      <c r="I94" s="112"/>
      <c r="J94" s="112"/>
      <c r="K94" s="112"/>
      <c r="L94" s="112"/>
      <c r="M94" s="112"/>
      <c r="N94" s="112"/>
      <c r="O94" s="112"/>
      <c r="P94" s="112"/>
      <c r="Q94" s="112"/>
      <c r="R94" s="112"/>
      <c r="S94" s="112"/>
      <c r="T94" s="112"/>
      <c r="U94" s="112"/>
      <c r="V94" s="112"/>
      <c r="W94" s="112"/>
      <c r="X94" s="112"/>
      <c r="Y94" s="112"/>
      <c r="Z94" s="112"/>
      <c r="AA94" s="112"/>
      <c r="AB94" s="112"/>
      <c r="AC94" s="112"/>
      <c r="AD94" s="112"/>
      <c r="AE94" s="112"/>
      <c r="AF94" s="112"/>
      <c r="AG94" s="112"/>
      <c r="AH94" s="112"/>
      <c r="AI94" s="112"/>
      <c r="AJ94" s="112"/>
      <c r="AK94" s="112"/>
      <c r="AL94" s="112"/>
      <c r="AM94" s="112"/>
      <c r="AN94" s="112"/>
      <c r="AO94" s="112"/>
      <c r="AP94" s="112"/>
      <c r="AQ94" s="112"/>
      <c r="AR94" s="112"/>
      <c r="AS94" s="112"/>
      <c r="AT94" s="112"/>
      <c r="AU94" s="112"/>
      <c r="AV94" s="112"/>
      <c r="AW94" s="112"/>
      <c r="AX94" s="112"/>
      <c r="AY94" s="112"/>
      <c r="AZ94" s="112"/>
      <c r="BA94" s="112"/>
      <c r="BB94" s="112"/>
      <c r="BC94" s="112"/>
      <c r="BD94" s="112"/>
      <c r="BE94" s="112"/>
      <c r="BF94" s="112"/>
    </row>
    <row r="95" spans="2:58">
      <c r="B95" s="143" t="s">
        <v>389</v>
      </c>
      <c r="C95" s="112"/>
      <c r="D95" s="112"/>
      <c r="E95" s="112"/>
      <c r="F95" s="112"/>
      <c r="G95" s="112"/>
      <c r="H95" s="112"/>
      <c r="I95" s="112"/>
      <c r="J95" s="112"/>
      <c r="K95" s="112"/>
      <c r="L95" s="112"/>
      <c r="M95" s="112"/>
      <c r="N95" s="112"/>
      <c r="O95" s="112"/>
      <c r="P95" s="112"/>
      <c r="Q95" s="112"/>
      <c r="R95" s="112"/>
      <c r="S95" s="112"/>
      <c r="T95" s="112"/>
      <c r="U95" s="112"/>
      <c r="V95" s="112"/>
      <c r="W95" s="112"/>
      <c r="X95" s="112"/>
      <c r="Y95" s="112"/>
      <c r="Z95" s="112"/>
      <c r="AA95" s="112"/>
      <c r="AB95" s="112"/>
      <c r="AC95" s="112"/>
      <c r="AD95" s="112"/>
      <c r="AE95" s="112"/>
      <c r="AF95" s="112"/>
      <c r="AG95" s="112"/>
      <c r="AH95" s="112"/>
      <c r="AI95" s="112"/>
      <c r="AJ95" s="112"/>
      <c r="AK95" s="112"/>
      <c r="AL95" s="112"/>
      <c r="AM95" s="112"/>
      <c r="AN95" s="112"/>
      <c r="AO95" s="112"/>
      <c r="AP95" s="112"/>
      <c r="AQ95" s="112"/>
      <c r="AR95" s="112"/>
      <c r="AS95" s="112"/>
      <c r="AT95" s="112"/>
      <c r="AU95" s="112"/>
      <c r="AV95" s="112"/>
      <c r="AW95" s="112"/>
      <c r="AX95" s="112"/>
      <c r="AY95" s="112"/>
      <c r="AZ95" s="112"/>
      <c r="BA95" s="112"/>
      <c r="BB95" s="112"/>
      <c r="BC95" s="112"/>
      <c r="BD95" s="112"/>
      <c r="BE95" s="112"/>
      <c r="BF95" s="112"/>
    </row>
    <row r="96" spans="2:58">
      <c r="B96" s="111" t="s">
        <v>390</v>
      </c>
      <c r="C96" s="112">
        <v>408097</v>
      </c>
      <c r="D96" s="112">
        <v>448997</v>
      </c>
      <c r="E96" s="112">
        <v>437098</v>
      </c>
      <c r="F96" s="112">
        <v>411818</v>
      </c>
      <c r="G96" s="112">
        <v>373302</v>
      </c>
      <c r="H96" s="112">
        <v>373302</v>
      </c>
      <c r="I96" s="112">
        <v>393415</v>
      </c>
      <c r="J96" s="112">
        <v>436357</v>
      </c>
      <c r="K96" s="112">
        <v>504247</v>
      </c>
      <c r="L96" s="112">
        <v>483446</v>
      </c>
      <c r="M96" s="370">
        <f>SUM(AT96:AW96)</f>
        <v>472634</v>
      </c>
      <c r="N96" s="229">
        <v>491243</v>
      </c>
      <c r="O96" s="229">
        <v>514283</v>
      </c>
      <c r="P96" s="370">
        <f>SUM(BC96:BF96)</f>
        <v>522832</v>
      </c>
      <c r="Q96" s="229"/>
      <c r="R96" s="229">
        <v>118283</v>
      </c>
      <c r="S96" s="229">
        <v>108425</v>
      </c>
      <c r="T96" s="229">
        <v>107343</v>
      </c>
      <c r="U96" s="370">
        <f>E96-T96-S96-R96</f>
        <v>103047</v>
      </c>
      <c r="V96" s="229">
        <v>110319</v>
      </c>
      <c r="W96" s="229">
        <v>103252</v>
      </c>
      <c r="X96" s="229">
        <v>101183</v>
      </c>
      <c r="Y96" s="370">
        <f>F96-X96-W96-V96</f>
        <v>97064</v>
      </c>
      <c r="Z96" s="229">
        <v>92660</v>
      </c>
      <c r="AA96" s="229">
        <v>89698</v>
      </c>
      <c r="AB96" s="229">
        <v>91440</v>
      </c>
      <c r="AC96" s="370">
        <f>G96-AB96-AA96-Z96</f>
        <v>99504</v>
      </c>
      <c r="AD96" s="229">
        <v>102308</v>
      </c>
      <c r="AE96" s="229">
        <v>91005</v>
      </c>
      <c r="AF96" s="229">
        <v>100443</v>
      </c>
      <c r="AG96" s="370">
        <f>I96-AF96-AE96-AD96</f>
        <v>99659</v>
      </c>
      <c r="AH96" s="229">
        <v>106311</v>
      </c>
      <c r="AI96" s="229">
        <v>101954</v>
      </c>
      <c r="AJ96" s="229">
        <v>108817</v>
      </c>
      <c r="AK96" s="370">
        <f>J96-AJ96-AI96-AH96</f>
        <v>119275</v>
      </c>
      <c r="AL96" s="229">
        <v>119515</v>
      </c>
      <c r="AM96" s="229">
        <v>129828</v>
      </c>
      <c r="AN96" s="229">
        <v>131351</v>
      </c>
      <c r="AO96" s="370">
        <f>K96-AN96-AM96-AL96</f>
        <v>123553</v>
      </c>
      <c r="AP96" s="229">
        <v>125826</v>
      </c>
      <c r="AQ96" s="229">
        <v>125040</v>
      </c>
      <c r="AR96" s="229">
        <v>116733</v>
      </c>
      <c r="AS96" s="370">
        <f>L96-AP96-AQ96-AR96</f>
        <v>115847</v>
      </c>
      <c r="AT96" s="229">
        <v>113039</v>
      </c>
      <c r="AU96" s="229">
        <v>123516</v>
      </c>
      <c r="AV96" s="229">
        <v>118513</v>
      </c>
      <c r="AW96" s="229">
        <v>117566</v>
      </c>
      <c r="AX96" s="229">
        <v>115637</v>
      </c>
      <c r="AY96" s="229">
        <v>119235</v>
      </c>
      <c r="AZ96" s="229">
        <v>125248</v>
      </c>
      <c r="BA96" s="229">
        <f>N96-AZ96-AY96-AX96</f>
        <v>131123</v>
      </c>
      <c r="BB96" s="229">
        <v>126585</v>
      </c>
      <c r="BC96" s="229">
        <v>123193</v>
      </c>
      <c r="BD96" s="229">
        <v>133196</v>
      </c>
      <c r="BE96" s="370">
        <f>O96-(BD96+BC96+BB96)</f>
        <v>131309</v>
      </c>
      <c r="BF96" s="229">
        <v>135134</v>
      </c>
    </row>
    <row r="97" spans="2:60">
      <c r="B97" s="113" t="s">
        <v>391</v>
      </c>
      <c r="C97" s="112">
        <v>45989</v>
      </c>
      <c r="D97" s="112">
        <v>65926</v>
      </c>
      <c r="E97" s="112">
        <v>85883</v>
      </c>
      <c r="F97" s="112">
        <v>90992</v>
      </c>
      <c r="G97" s="112">
        <v>100686</v>
      </c>
      <c r="H97" s="112">
        <v>101695</v>
      </c>
      <c r="I97" s="112">
        <v>122257</v>
      </c>
      <c r="J97" s="112">
        <v>108289</v>
      </c>
      <c r="K97" s="112">
        <v>107112</v>
      </c>
      <c r="L97" s="112">
        <v>87159</v>
      </c>
      <c r="M97" s="370">
        <f>SUM(AT97:AW97)</f>
        <v>66859</v>
      </c>
      <c r="N97" s="229">
        <v>48574</v>
      </c>
      <c r="O97" s="229">
        <v>34806</v>
      </c>
      <c r="P97" s="370">
        <f>SUM(BC97:BF97)</f>
        <v>39073</v>
      </c>
      <c r="Q97" s="229"/>
      <c r="R97" s="229">
        <v>18479</v>
      </c>
      <c r="S97" s="229">
        <v>21194</v>
      </c>
      <c r="T97" s="229">
        <v>22369</v>
      </c>
      <c r="U97" s="370">
        <f>E97-T97-S97-R97</f>
        <v>23841</v>
      </c>
      <c r="V97" s="229">
        <v>19834</v>
      </c>
      <c r="W97" s="229">
        <v>21202</v>
      </c>
      <c r="X97" s="229">
        <v>24548</v>
      </c>
      <c r="Y97" s="370">
        <f>F97-X97-W97-V97</f>
        <v>25408</v>
      </c>
      <c r="Z97" s="229">
        <v>21300</v>
      </c>
      <c r="AA97" s="229">
        <v>20163</v>
      </c>
      <c r="AB97" s="229">
        <v>26675</v>
      </c>
      <c r="AC97" s="370">
        <f>G97-AB97-AA97-Z97</f>
        <v>32548</v>
      </c>
      <c r="AD97" s="229">
        <v>28650</v>
      </c>
      <c r="AE97" s="229">
        <v>32832</v>
      </c>
      <c r="AF97" s="229">
        <v>29671</v>
      </c>
      <c r="AG97" s="370">
        <f>I97-AF97-AE97-AD97</f>
        <v>31104</v>
      </c>
      <c r="AH97" s="229">
        <v>25655</v>
      </c>
      <c r="AI97" s="229">
        <v>27656</v>
      </c>
      <c r="AJ97" s="229">
        <v>24201</v>
      </c>
      <c r="AK97" s="370">
        <f>J97-AJ97-AI97-AH97</f>
        <v>30777</v>
      </c>
      <c r="AL97" s="229">
        <v>22062</v>
      </c>
      <c r="AM97" s="229">
        <v>28777</v>
      </c>
      <c r="AN97" s="229">
        <v>26924</v>
      </c>
      <c r="AO97" s="370">
        <f>K97-AN97-AM97-AL97</f>
        <v>29349</v>
      </c>
      <c r="AP97" s="229">
        <v>20676</v>
      </c>
      <c r="AQ97" s="229">
        <v>25639</v>
      </c>
      <c r="AR97" s="229">
        <v>19496</v>
      </c>
      <c r="AS97" s="370">
        <f>L97-AP97-AQ97-AR97</f>
        <v>21348</v>
      </c>
      <c r="AT97" s="229">
        <v>10183</v>
      </c>
      <c r="AU97" s="229">
        <v>21826</v>
      </c>
      <c r="AV97" s="229">
        <v>15549</v>
      </c>
      <c r="AW97" s="229">
        <v>19301</v>
      </c>
      <c r="AX97" s="229">
        <v>10026</v>
      </c>
      <c r="AY97" s="229">
        <v>14728</v>
      </c>
      <c r="AZ97" s="229">
        <v>10585</v>
      </c>
      <c r="BA97" s="229">
        <f>N97-AZ97-AY97-AX97</f>
        <v>13235</v>
      </c>
      <c r="BB97" s="229">
        <v>2707</v>
      </c>
      <c r="BC97" s="229">
        <v>12203</v>
      </c>
      <c r="BD97" s="229">
        <v>9733</v>
      </c>
      <c r="BE97" s="370">
        <f>O97-(BD97+BC97+BB97)</f>
        <v>10163</v>
      </c>
      <c r="BF97" s="229">
        <v>6974</v>
      </c>
    </row>
    <row r="98" spans="2:60">
      <c r="B98" s="111" t="s">
        <v>392</v>
      </c>
      <c r="C98" s="112">
        <v>25583</v>
      </c>
      <c r="D98" s="112">
        <v>10722</v>
      </c>
      <c r="E98" s="112">
        <v>23288</v>
      </c>
      <c r="F98" s="112">
        <v>10290</v>
      </c>
      <c r="G98" s="112">
        <v>5383</v>
      </c>
      <c r="H98" s="112">
        <v>2585</v>
      </c>
      <c r="I98" s="112">
        <v>128264</v>
      </c>
      <c r="J98" s="112">
        <v>35977</v>
      </c>
      <c r="K98" s="112">
        <v>27074</v>
      </c>
      <c r="L98" s="112">
        <v>477483</v>
      </c>
      <c r="M98" s="370">
        <f>SUM(AT98:AW98)</f>
        <v>57639</v>
      </c>
      <c r="N98" s="229">
        <v>6338</v>
      </c>
      <c r="O98" s="229">
        <v>9802</v>
      </c>
      <c r="P98" s="370">
        <f>SUM(BC98:BF98)</f>
        <v>9773</v>
      </c>
      <c r="Q98" s="229"/>
      <c r="R98" s="229">
        <v>3714</v>
      </c>
      <c r="S98" s="229">
        <v>3582</v>
      </c>
      <c r="T98" s="229">
        <v>3233</v>
      </c>
      <c r="U98" s="370">
        <f>E98-T98-S98-R98</f>
        <v>12759</v>
      </c>
      <c r="V98" s="229">
        <v>3687</v>
      </c>
      <c r="W98" s="229">
        <v>1185</v>
      </c>
      <c r="X98" s="229">
        <v>2480</v>
      </c>
      <c r="Y98" s="370">
        <f>F98-X98-W98-V98</f>
        <v>2938</v>
      </c>
      <c r="Z98" s="229">
        <v>1584</v>
      </c>
      <c r="AA98" s="229">
        <v>1958</v>
      </c>
      <c r="AB98" s="229">
        <v>4684</v>
      </c>
      <c r="AC98" s="370">
        <f>G98-AB98-AA98-Z98</f>
        <v>-2843</v>
      </c>
      <c r="AD98" s="229">
        <v>715</v>
      </c>
      <c r="AE98" s="229">
        <v>1338</v>
      </c>
      <c r="AF98" s="229">
        <v>1332</v>
      </c>
      <c r="AG98" s="370">
        <f>I98-AF98-AE98-AD98</f>
        <v>124879</v>
      </c>
      <c r="AH98" s="229">
        <v>10725</v>
      </c>
      <c r="AI98" s="229">
        <v>12412</v>
      </c>
      <c r="AJ98" s="229">
        <v>5585</v>
      </c>
      <c r="AK98" s="370">
        <f>J98-AJ98-AI98-AH98</f>
        <v>7255</v>
      </c>
      <c r="AL98" s="229">
        <v>6426</v>
      </c>
      <c r="AM98" s="229">
        <v>11256</v>
      </c>
      <c r="AN98" s="229">
        <v>8125</v>
      </c>
      <c r="AO98" s="370">
        <f>K98-AN98-AM98-AL98</f>
        <v>1267</v>
      </c>
      <c r="AP98" s="229">
        <v>828</v>
      </c>
      <c r="AQ98" s="229">
        <v>487215</v>
      </c>
      <c r="AR98" s="229">
        <v>1013</v>
      </c>
      <c r="AS98" s="370">
        <f>L98-AP98-AQ98-AR98</f>
        <v>-11573</v>
      </c>
      <c r="AT98" s="229">
        <v>1579</v>
      </c>
      <c r="AU98" s="229">
        <v>748</v>
      </c>
      <c r="AV98" s="229">
        <v>776</v>
      </c>
      <c r="AW98" s="229">
        <v>54536</v>
      </c>
      <c r="AX98" s="229">
        <v>680</v>
      </c>
      <c r="AY98" s="229">
        <v>2459</v>
      </c>
      <c r="AZ98" s="229">
        <v>414</v>
      </c>
      <c r="BA98" s="229">
        <f>N98-AZ98-AY98-AX98</f>
        <v>2785</v>
      </c>
      <c r="BB98" s="229">
        <v>332</v>
      </c>
      <c r="BC98" s="229">
        <v>2759</v>
      </c>
      <c r="BD98" s="229">
        <v>2367</v>
      </c>
      <c r="BE98" s="370">
        <f>O98-(BD98+BC98+BB98)</f>
        <v>4344</v>
      </c>
      <c r="BF98" s="229">
        <v>303</v>
      </c>
    </row>
    <row r="99" spans="2:60">
      <c r="B99" s="111" t="s">
        <v>393</v>
      </c>
      <c r="C99" s="112">
        <v>-109519</v>
      </c>
      <c r="D99" s="112">
        <v>-169060</v>
      </c>
      <c r="E99" s="112">
        <v>-121489</v>
      </c>
      <c r="F99" s="112">
        <v>-75998</v>
      </c>
      <c r="G99" s="112">
        <v>-52450</v>
      </c>
      <c r="H99" s="112">
        <v>-50741</v>
      </c>
      <c r="I99" s="112">
        <v>126476</v>
      </c>
      <c r="J99" s="112">
        <v>103609</v>
      </c>
      <c r="K99" s="112">
        <v>134019</v>
      </c>
      <c r="L99" s="112">
        <v>233926</v>
      </c>
      <c r="M99" s="370">
        <f>SUM(AT99:AW99)</f>
        <v>165432</v>
      </c>
      <c r="N99" s="229">
        <v>242458</v>
      </c>
      <c r="O99" s="229">
        <v>276582</v>
      </c>
      <c r="P99" s="370">
        <f>SUM(BC99:BF99)</f>
        <v>283704</v>
      </c>
      <c r="Q99" s="229"/>
      <c r="R99" s="229">
        <v>-31443</v>
      </c>
      <c r="S99" s="229">
        <v>-34636</v>
      </c>
      <c r="T99" s="229">
        <v>-27045</v>
      </c>
      <c r="U99" s="370">
        <f>E99-T99-S99-R99</f>
        <v>-28365</v>
      </c>
      <c r="V99" s="229">
        <v>-23865</v>
      </c>
      <c r="W99" s="229">
        <v>-27019</v>
      </c>
      <c r="X99" s="229">
        <v>-16154</v>
      </c>
      <c r="Y99" s="370">
        <f>F99-X99-W99-V99</f>
        <v>-8960</v>
      </c>
      <c r="Z99" s="229">
        <v>-16203</v>
      </c>
      <c r="AA99" s="229">
        <v>-17597</v>
      </c>
      <c r="AB99" s="229">
        <v>-15691</v>
      </c>
      <c r="AC99" s="370">
        <f>G99-AB99-AA99-Z99</f>
        <v>-2959</v>
      </c>
      <c r="AD99" s="229">
        <v>6132</v>
      </c>
      <c r="AE99" s="229">
        <v>12476</v>
      </c>
      <c r="AF99" s="229">
        <v>15952</v>
      </c>
      <c r="AG99" s="370">
        <f>I99-AF99-AE99-AD99</f>
        <v>91916</v>
      </c>
      <c r="AH99" s="229">
        <v>30007</v>
      </c>
      <c r="AI99" s="229">
        <v>21600</v>
      </c>
      <c r="AJ99" s="229">
        <v>26061</v>
      </c>
      <c r="AK99" s="370">
        <f>J99-AJ99-AI99-AH99</f>
        <v>25941</v>
      </c>
      <c r="AL99" s="229">
        <v>29593</v>
      </c>
      <c r="AM99" s="229">
        <v>34443</v>
      </c>
      <c r="AN99" s="229">
        <v>37542</v>
      </c>
      <c r="AO99" s="370">
        <f>K99-AN99-AM99-AL99</f>
        <v>32441</v>
      </c>
      <c r="AP99" s="229">
        <v>42258</v>
      </c>
      <c r="AQ99" s="229">
        <v>48901</v>
      </c>
      <c r="AR99" s="229">
        <v>95938</v>
      </c>
      <c r="AS99" s="370">
        <f>L99-AP99-AQ99-AR99</f>
        <v>46829</v>
      </c>
      <c r="AT99" s="229">
        <v>7322</v>
      </c>
      <c r="AU99" s="229">
        <v>47144</v>
      </c>
      <c r="AV99" s="229">
        <v>55315</v>
      </c>
      <c r="AW99" s="229">
        <v>55651</v>
      </c>
      <c r="AX99" s="229">
        <v>61428</v>
      </c>
      <c r="AY99" s="229">
        <v>63514</v>
      </c>
      <c r="AZ99" s="229">
        <v>58461</v>
      </c>
      <c r="BA99" s="229">
        <f>N99-AZ99-AY99-AX99</f>
        <v>59055</v>
      </c>
      <c r="BB99" s="229">
        <v>63941</v>
      </c>
      <c r="BC99" s="229">
        <v>64494</v>
      </c>
      <c r="BD99" s="229">
        <v>68331</v>
      </c>
      <c r="BE99" s="370">
        <f>O99-(BD99+BC99+BB99)</f>
        <v>79816</v>
      </c>
      <c r="BF99" s="229">
        <v>71063</v>
      </c>
    </row>
    <row r="100" spans="2:60">
      <c r="B100" s="113" t="s">
        <v>387</v>
      </c>
      <c r="C100" s="142">
        <f t="shared" ref="C100:I100" si="74">+C96+C97+C98+C99</f>
        <v>370150</v>
      </c>
      <c r="D100" s="142">
        <f t="shared" si="74"/>
        <v>356585</v>
      </c>
      <c r="E100" s="142">
        <f t="shared" si="74"/>
        <v>424780</v>
      </c>
      <c r="F100" s="142">
        <f t="shared" si="74"/>
        <v>437102</v>
      </c>
      <c r="G100" s="142">
        <f t="shared" si="74"/>
        <v>426921</v>
      </c>
      <c r="H100" s="142">
        <f t="shared" si="74"/>
        <v>426841</v>
      </c>
      <c r="I100" s="142">
        <f t="shared" si="74"/>
        <v>770412</v>
      </c>
      <c r="J100" s="142">
        <f t="shared" ref="J100:P100" si="75">+J96+J97+J98+J99</f>
        <v>684232</v>
      </c>
      <c r="K100" s="142">
        <f t="shared" si="75"/>
        <v>772452</v>
      </c>
      <c r="L100" s="142">
        <f t="shared" si="75"/>
        <v>1282014</v>
      </c>
      <c r="M100" s="148">
        <f t="shared" si="75"/>
        <v>762564</v>
      </c>
      <c r="N100" s="148">
        <f t="shared" si="75"/>
        <v>788613</v>
      </c>
      <c r="O100" s="148">
        <f t="shared" si="75"/>
        <v>835473</v>
      </c>
      <c r="P100" s="148">
        <f t="shared" si="75"/>
        <v>855382</v>
      </c>
      <c r="Q100" s="148"/>
      <c r="R100" s="148">
        <f t="shared" ref="R100:AA100" si="76">+R96+R97+R98+R99</f>
        <v>109033</v>
      </c>
      <c r="S100" s="148">
        <f t="shared" si="76"/>
        <v>98565</v>
      </c>
      <c r="T100" s="148">
        <f t="shared" si="76"/>
        <v>105900</v>
      </c>
      <c r="U100" s="148">
        <f t="shared" si="76"/>
        <v>111282</v>
      </c>
      <c r="V100" s="148">
        <f t="shared" si="76"/>
        <v>109975</v>
      </c>
      <c r="W100" s="148">
        <f t="shared" si="76"/>
        <v>98620</v>
      </c>
      <c r="X100" s="148">
        <f t="shared" si="76"/>
        <v>112057</v>
      </c>
      <c r="Y100" s="148">
        <f t="shared" si="76"/>
        <v>116450</v>
      </c>
      <c r="Z100" s="148">
        <f t="shared" si="76"/>
        <v>99341</v>
      </c>
      <c r="AA100" s="148">
        <f t="shared" si="76"/>
        <v>94222</v>
      </c>
      <c r="AB100" s="148">
        <f t="shared" ref="AB100:AG100" si="77">+AB96+AB97+AB98+AB99</f>
        <v>107108</v>
      </c>
      <c r="AC100" s="148">
        <f t="shared" si="77"/>
        <v>126250</v>
      </c>
      <c r="AD100" s="148">
        <f t="shared" si="77"/>
        <v>137805</v>
      </c>
      <c r="AE100" s="148">
        <f t="shared" si="77"/>
        <v>137651</v>
      </c>
      <c r="AF100" s="148">
        <f t="shared" si="77"/>
        <v>147398</v>
      </c>
      <c r="AG100" s="148">
        <f t="shared" si="77"/>
        <v>347558</v>
      </c>
      <c r="AH100" s="148">
        <f t="shared" ref="AH100:AN100" si="78">+AH96+AH97+AH98+AH99</f>
        <v>172698</v>
      </c>
      <c r="AI100" s="148">
        <f t="shared" si="78"/>
        <v>163622</v>
      </c>
      <c r="AJ100" s="148">
        <f t="shared" si="78"/>
        <v>164664</v>
      </c>
      <c r="AK100" s="148">
        <f t="shared" si="78"/>
        <v>183248</v>
      </c>
      <c r="AL100" s="148">
        <f t="shared" si="78"/>
        <v>177596</v>
      </c>
      <c r="AM100" s="148">
        <f t="shared" si="78"/>
        <v>204304</v>
      </c>
      <c r="AN100" s="148">
        <f t="shared" si="78"/>
        <v>203942</v>
      </c>
      <c r="AO100" s="148">
        <f>+AO96+AO97+AO98+AO99</f>
        <v>186610</v>
      </c>
      <c r="AP100" s="148">
        <f>+AP96+AP97+AP98+AP99</f>
        <v>189588</v>
      </c>
      <c r="AQ100" s="148">
        <f>+AQ96+AQ97+AQ98+AQ99</f>
        <v>686795</v>
      </c>
      <c r="AR100" s="148">
        <f>+AR96+AR97+AR98+AR99</f>
        <v>233180</v>
      </c>
      <c r="AS100" s="148">
        <f>+AS96+AS97+AS98+AS99</f>
        <v>172451</v>
      </c>
      <c r="AT100" s="148">
        <f>AT96+AT97+AT98+AT99</f>
        <v>132123</v>
      </c>
      <c r="AU100" s="148">
        <f>+AU96+AU97+AU98+AU99</f>
        <v>193234</v>
      </c>
      <c r="AV100" s="148">
        <f>+AV96+AV97+AV98+AV99</f>
        <v>190153</v>
      </c>
      <c r="AW100" s="148">
        <f>+AW96+AW97+AW98+AW99</f>
        <v>247054</v>
      </c>
      <c r="AX100" s="148">
        <f>AX96+AX97+AX98+AX99</f>
        <v>187771</v>
      </c>
      <c r="AY100" s="148">
        <f>+AY96+AY97+AY98+AY99</f>
        <v>199936</v>
      </c>
      <c r="AZ100" s="148">
        <f>+AZ96+AZ97+AZ98+AZ99</f>
        <v>194708</v>
      </c>
      <c r="BA100" s="148">
        <f>+BA96+BA97+BA98+BA99</f>
        <v>206198</v>
      </c>
      <c r="BB100" s="148">
        <f>BB96+BB97+BB98+BB99</f>
        <v>193565</v>
      </c>
      <c r="BC100" s="148">
        <f>+BC96+BC97+BC98+BC99</f>
        <v>202649</v>
      </c>
      <c r="BD100" s="148">
        <f>+BD96+BD97+BD98+BD99</f>
        <v>213627</v>
      </c>
      <c r="BE100" s="148">
        <f>+BE96+BE97+BE98+BE99</f>
        <v>225632</v>
      </c>
      <c r="BF100" s="148">
        <f>+BF96+BF97+BF98+BF99</f>
        <v>213474</v>
      </c>
    </row>
    <row r="101" spans="2:60" s="90" customFormat="1" ht="11.25">
      <c r="B101" s="337" t="s">
        <v>22</v>
      </c>
      <c r="C101" s="338">
        <f>C100-Model!C48</f>
        <v>-55250.364999999641</v>
      </c>
      <c r="D101" s="338">
        <f>D100-Model!D48</f>
        <v>-0.29300000000512227</v>
      </c>
      <c r="E101" s="338">
        <f>E100-Model!E48</f>
        <v>-0.73399999999674037</v>
      </c>
      <c r="F101" s="338">
        <f>F100-Model!F48</f>
        <v>-0.69900000002235174</v>
      </c>
      <c r="G101" s="338">
        <f>G100-Model!G48</f>
        <v>0</v>
      </c>
      <c r="H101" s="338">
        <f>H100-Model!G48</f>
        <v>-80</v>
      </c>
      <c r="I101" s="338">
        <f>I100-Model!H48</f>
        <v>1</v>
      </c>
      <c r="J101" s="338">
        <f>J100-Model!I48</f>
        <v>0.11100000003352761</v>
      </c>
      <c r="K101" s="338">
        <f>K100-Model!J48</f>
        <v>-0.25800000003073364</v>
      </c>
      <c r="L101" s="338">
        <f>L100-Model!K48</f>
        <v>1</v>
      </c>
      <c r="M101" s="338">
        <f>M100-Model!L48</f>
        <v>1.8290000000270084</v>
      </c>
      <c r="N101" s="338">
        <f>N100-Model!M48</f>
        <v>9.9000000045634806E-2</v>
      </c>
      <c r="O101" s="338">
        <f>O100-Model!N48</f>
        <v>-9.6000000019557774E-2</v>
      </c>
      <c r="P101" s="338">
        <f>P100-Model!O48</f>
        <v>-2.7940000001108274</v>
      </c>
      <c r="Q101" s="338"/>
      <c r="R101" s="338">
        <f>R100-Model!Q48</f>
        <v>0</v>
      </c>
      <c r="S101" s="338">
        <f>S100-Model!R48</f>
        <v>0</v>
      </c>
      <c r="T101" s="338">
        <f>T100-Model!S48</f>
        <v>1</v>
      </c>
      <c r="U101" s="338">
        <f>U100-Model!T48</f>
        <v>-1.7339999999967404</v>
      </c>
      <c r="V101" s="338">
        <f>V100-Model!U48</f>
        <v>0</v>
      </c>
      <c r="W101" s="338">
        <f>W100-Model!V48</f>
        <v>0</v>
      </c>
      <c r="X101" s="338">
        <f>X100-Model!W48</f>
        <v>0</v>
      </c>
      <c r="Y101" s="338">
        <f>Y100-Model!X48</f>
        <v>-0.69900000002235174</v>
      </c>
      <c r="Z101" s="338">
        <f>Z100-Model!Y48</f>
        <v>-1</v>
      </c>
      <c r="AA101" s="338">
        <f>AA100-Model!Z48</f>
        <v>0</v>
      </c>
      <c r="AB101" s="338">
        <f>AB100-Model!AA48</f>
        <v>0</v>
      </c>
      <c r="AC101" s="338">
        <f>AC100-Model!AB48</f>
        <v>1</v>
      </c>
      <c r="AD101" s="338">
        <f>AD100-Model!AC48</f>
        <v>0</v>
      </c>
      <c r="AE101" s="338">
        <f>AE100-Model!AD48</f>
        <v>0</v>
      </c>
      <c r="AF101" s="338">
        <f>AF100-Model!AE48</f>
        <v>1</v>
      </c>
      <c r="AG101" s="338">
        <f>AG100-Model!AF48</f>
        <v>0</v>
      </c>
      <c r="AH101" s="338">
        <f>AH100-Model!AG48</f>
        <v>1</v>
      </c>
      <c r="AI101" s="338">
        <f>AI100-Model!AH48</f>
        <v>1</v>
      </c>
      <c r="AJ101" s="338">
        <f>AJ100-Model!AI48</f>
        <v>1</v>
      </c>
      <c r="AK101" s="338">
        <f>AK100-Model!AJ48</f>
        <v>-2.8889999999664724</v>
      </c>
      <c r="AL101" s="338">
        <f>AL100-Model!AK48</f>
        <v>-1</v>
      </c>
      <c r="AM101" s="338">
        <f>AM100-Model!AL48</f>
        <v>1</v>
      </c>
      <c r="AN101" s="338">
        <f>AN100-Model!AM48</f>
        <v>0</v>
      </c>
      <c r="AO101" s="338">
        <f>AO100-Model!AN48</f>
        <v>-0.25800000003073364</v>
      </c>
      <c r="AP101" s="338">
        <f>AP100-Model!AO48</f>
        <v>1</v>
      </c>
      <c r="AQ101" s="338">
        <f>AQ100-Model!AP48</f>
        <v>0</v>
      </c>
      <c r="AR101" s="338">
        <f>AR100-Model!AQ48</f>
        <v>0</v>
      </c>
      <c r="AS101" s="338">
        <f>AS100-Model!AR48</f>
        <v>0</v>
      </c>
      <c r="AT101" s="338">
        <f>AT100-Model!AS48</f>
        <v>0</v>
      </c>
      <c r="AU101" s="338">
        <f>AU100-Model!AT48</f>
        <v>1</v>
      </c>
      <c r="AV101" s="338">
        <f>AV100-Model!AU48</f>
        <v>0</v>
      </c>
      <c r="AW101" s="338">
        <f>AW100-Model!AV48</f>
        <v>0.82900000002700835</v>
      </c>
      <c r="AX101" s="338">
        <f>AX100-Model!AW48</f>
        <v>1</v>
      </c>
      <c r="AY101" s="338">
        <f>AY100-Model!AX48</f>
        <v>-1</v>
      </c>
      <c r="AZ101" s="338">
        <f>AZ100-Model!AY48</f>
        <v>-1</v>
      </c>
      <c r="BA101" s="338">
        <f>BA100-Model!AZ48</f>
        <v>1.0990000000456348</v>
      </c>
      <c r="BB101" s="338">
        <f>BB100-Model!BA48</f>
        <v>-0.39799999998649582</v>
      </c>
      <c r="BC101" s="338">
        <f>BC100-Model!BB48</f>
        <v>0.39799999998649582</v>
      </c>
      <c r="BD101" s="338">
        <f>BD100-Model!BC48</f>
        <v>1</v>
      </c>
      <c r="BE101" s="338">
        <f>BE100-Model!BD48</f>
        <v>-1.0960000000777654</v>
      </c>
      <c r="BF101" s="338">
        <f>BF100-Model!BE48</f>
        <v>-3.0959999999904539</v>
      </c>
    </row>
    <row r="102" spans="2:60">
      <c r="B102" s="113"/>
      <c r="C102" s="112"/>
      <c r="D102" s="112"/>
      <c r="E102" s="112"/>
      <c r="F102" s="112"/>
      <c r="G102" s="112"/>
      <c r="H102" s="112"/>
      <c r="I102" s="112"/>
      <c r="J102" s="112"/>
      <c r="K102" s="112"/>
      <c r="L102" s="112"/>
      <c r="M102" s="112"/>
      <c r="N102" s="112"/>
      <c r="O102" s="112"/>
      <c r="P102" s="112"/>
      <c r="Q102" s="112"/>
      <c r="R102" s="112"/>
      <c r="S102" s="112"/>
      <c r="T102" s="112"/>
      <c r="U102" s="112"/>
      <c r="V102" s="112"/>
      <c r="W102" s="112"/>
      <c r="X102" s="112"/>
      <c r="Y102" s="112"/>
      <c r="Z102" s="112"/>
      <c r="AA102" s="112"/>
      <c r="AB102" s="112"/>
      <c r="AC102" s="112"/>
      <c r="AD102" s="112"/>
      <c r="AE102" s="112"/>
      <c r="AF102" s="112"/>
      <c r="AG102" s="112"/>
      <c r="AH102" s="112"/>
      <c r="AI102" s="112"/>
      <c r="AJ102" s="112"/>
      <c r="AK102" s="112"/>
      <c r="AL102" s="112"/>
      <c r="AM102" s="112"/>
      <c r="AN102" s="112"/>
      <c r="AP102" s="112"/>
      <c r="AQ102" s="112"/>
      <c r="AR102" s="112"/>
      <c r="AS102" s="112"/>
      <c r="AT102" s="112"/>
      <c r="AU102" s="112"/>
      <c r="AV102" s="112"/>
      <c r="AW102" s="112"/>
      <c r="AX102" s="112"/>
      <c r="AY102" s="112"/>
      <c r="AZ102" s="112"/>
      <c r="BA102" s="112"/>
      <c r="BB102" s="112"/>
      <c r="BC102" s="112"/>
      <c r="BD102" s="112"/>
      <c r="BE102" s="112"/>
      <c r="BF102" s="112"/>
    </row>
    <row r="103" spans="2:60">
      <c r="B103" s="143" t="s">
        <v>394</v>
      </c>
      <c r="C103" s="112"/>
      <c r="D103" s="112"/>
      <c r="E103" s="112"/>
      <c r="F103" s="112"/>
      <c r="G103" s="112"/>
      <c r="H103" s="112"/>
      <c r="I103" s="112"/>
      <c r="J103" s="112"/>
      <c r="K103" s="112"/>
      <c r="L103" s="112"/>
      <c r="M103" s="112"/>
      <c r="N103" s="112"/>
      <c r="O103" s="112"/>
      <c r="P103" s="112"/>
      <c r="Q103" s="112"/>
      <c r="R103" s="112"/>
      <c r="S103" s="112"/>
      <c r="T103" s="112"/>
      <c r="U103" s="112"/>
      <c r="V103" s="112"/>
      <c r="W103" s="112"/>
      <c r="X103" s="112"/>
      <c r="Y103" s="112"/>
      <c r="Z103" s="112"/>
      <c r="AA103" s="112"/>
      <c r="AB103" s="112"/>
      <c r="AC103" s="112"/>
      <c r="AD103" s="112"/>
      <c r="AE103" s="112"/>
      <c r="AF103" s="112"/>
      <c r="AG103" s="112"/>
      <c r="AH103" s="112"/>
      <c r="AI103" s="112"/>
      <c r="AJ103" s="112"/>
      <c r="AK103" s="112"/>
      <c r="AL103" s="112"/>
      <c r="AM103" s="112"/>
      <c r="AN103" s="112"/>
      <c r="AP103" s="112"/>
      <c r="AQ103" s="112"/>
      <c r="AR103" s="112"/>
      <c r="AS103" s="112"/>
      <c r="AT103" s="112"/>
      <c r="AU103" s="112"/>
      <c r="AV103" s="112"/>
      <c r="AW103" s="112"/>
      <c r="AX103" s="112"/>
      <c r="AY103" s="112"/>
      <c r="AZ103" s="112"/>
      <c r="BA103" s="112"/>
      <c r="BB103" s="112"/>
      <c r="BC103" s="112"/>
      <c r="BD103" s="112"/>
      <c r="BE103" s="112"/>
      <c r="BF103" s="112"/>
    </row>
    <row r="104" spans="2:60">
      <c r="B104" s="111" t="s">
        <v>395</v>
      </c>
      <c r="C104" s="112">
        <v>1150532</v>
      </c>
      <c r="D104" s="112">
        <v>1144828</v>
      </c>
      <c r="E104" s="112">
        <v>1082156</v>
      </c>
      <c r="F104" s="112">
        <v>1050382</v>
      </c>
      <c r="G104" s="112">
        <v>1001678</v>
      </c>
      <c r="H104" s="112">
        <v>1001678</v>
      </c>
      <c r="I104" s="112">
        <v>950478</v>
      </c>
      <c r="J104" s="112">
        <v>1016431</v>
      </c>
      <c r="K104" s="112">
        <v>1187687</v>
      </c>
      <c r="L104" s="112">
        <v>1166819</v>
      </c>
      <c r="M104" s="112">
        <v>1160941</v>
      </c>
      <c r="N104" s="112">
        <v>1248400.236</v>
      </c>
      <c r="O104" s="112">
        <v>1322038.821</v>
      </c>
      <c r="P104" s="144">
        <f>SUM(BC104:BF104)</f>
        <v>1354064.1189999999</v>
      </c>
      <c r="Q104" s="112"/>
      <c r="R104" s="112">
        <v>278630</v>
      </c>
      <c r="S104" s="112">
        <v>263676</v>
      </c>
      <c r="T104" s="112">
        <v>265659</v>
      </c>
      <c r="U104" s="144">
        <f t="shared" ref="U104:U115" si="79">E104-T104-S104-R104</f>
        <v>274191</v>
      </c>
      <c r="V104" s="112">
        <v>261267</v>
      </c>
      <c r="W104" s="112">
        <v>262955</v>
      </c>
      <c r="X104" s="112">
        <v>256358</v>
      </c>
      <c r="Y104" s="112">
        <f t="shared" ref="Y104:Y115" si="80">F104-X104-W104-V104</f>
        <v>269802</v>
      </c>
      <c r="Z104" s="112">
        <v>251474</v>
      </c>
      <c r="AA104" s="112">
        <v>250034</v>
      </c>
      <c r="AB104" s="112">
        <v>243242</v>
      </c>
      <c r="AC104" s="144">
        <f t="shared" ref="AC104:AC115" si="81">G104-AB104-AA104-Z104</f>
        <v>256928</v>
      </c>
      <c r="AD104" s="112">
        <v>240579</v>
      </c>
      <c r="AE104" s="112">
        <v>231029</v>
      </c>
      <c r="AF104" s="112">
        <v>237446</v>
      </c>
      <c r="AG104" s="144">
        <f t="shared" ref="AG104:AG115" si="82">I104-AF104-AE104-AD104</f>
        <v>241424</v>
      </c>
      <c r="AH104" s="112">
        <v>243810</v>
      </c>
      <c r="AI104" s="112">
        <v>224752</v>
      </c>
      <c r="AJ104" s="112">
        <v>262294</v>
      </c>
      <c r="AK104" s="144">
        <f t="shared" ref="AK104:AK115" si="83">J104-AJ104-AI104-AH104</f>
        <v>285575</v>
      </c>
      <c r="AL104" s="112">
        <v>278078</v>
      </c>
      <c r="AM104" s="112">
        <v>297419</v>
      </c>
      <c r="AN104" s="112">
        <v>296919</v>
      </c>
      <c r="AO104" s="144">
        <f t="shared" ref="AO104:AO115" si="84">K104-AN104-AM104-AL104</f>
        <v>315271</v>
      </c>
      <c r="AP104" s="112">
        <v>292493</v>
      </c>
      <c r="AQ104" s="112">
        <v>301546</v>
      </c>
      <c r="AR104" s="112">
        <v>283967</v>
      </c>
      <c r="AS104" s="144">
        <f>L104-AR104-AQ104-AP104</f>
        <v>288813</v>
      </c>
      <c r="AT104" s="112">
        <v>289615</v>
      </c>
      <c r="AU104" s="112">
        <v>283897</v>
      </c>
      <c r="AV104" s="112">
        <v>278230</v>
      </c>
      <c r="AW104" s="144">
        <f>M104-AV104-AU104-AT104</f>
        <v>309199</v>
      </c>
      <c r="AX104" s="112">
        <v>295715.39299999998</v>
      </c>
      <c r="AY104" s="112">
        <v>302300.97200000001</v>
      </c>
      <c r="AZ104" s="112">
        <v>304040.05</v>
      </c>
      <c r="BA104" s="144">
        <f>N104-AZ104-AY104-AX104</f>
        <v>346343.82099999994</v>
      </c>
      <c r="BB104" s="112">
        <v>318842.70199999999</v>
      </c>
      <c r="BC104" s="112">
        <v>310733.641</v>
      </c>
      <c r="BD104" s="112">
        <v>322448</v>
      </c>
      <c r="BE104" s="144">
        <f>O104-(BD104+BC104+BB104)</f>
        <v>370014.47799999989</v>
      </c>
      <c r="BF104" s="112">
        <v>350868</v>
      </c>
      <c r="BH104" s="144"/>
    </row>
    <row r="105" spans="2:60">
      <c r="B105" s="111" t="s">
        <v>396</v>
      </c>
      <c r="C105" s="112">
        <v>151729</v>
      </c>
      <c r="D105" s="112">
        <v>238899</v>
      </c>
      <c r="E105" s="112">
        <v>348295</v>
      </c>
      <c r="F105" s="112">
        <v>457018</v>
      </c>
      <c r="G105" s="112">
        <v>472958</v>
      </c>
      <c r="H105" s="112">
        <v>477854</v>
      </c>
      <c r="I105" s="112">
        <v>579251</v>
      </c>
      <c r="J105" s="112">
        <v>627019</v>
      </c>
      <c r="K105" s="112">
        <v>766725</v>
      </c>
      <c r="L105" s="112">
        <v>863972</v>
      </c>
      <c r="M105" s="112">
        <v>782787</v>
      </c>
      <c r="N105" s="112">
        <v>891056.85699999996</v>
      </c>
      <c r="O105" s="112">
        <v>1020160.474</v>
      </c>
      <c r="P105" s="144">
        <f>SUM(BC105:BF105)</f>
        <v>1038582.228</v>
      </c>
      <c r="Q105" s="112"/>
      <c r="R105" s="112">
        <v>79522</v>
      </c>
      <c r="S105" s="112">
        <v>82771</v>
      </c>
      <c r="T105" s="112">
        <v>90072</v>
      </c>
      <c r="U105" s="144">
        <f t="shared" si="79"/>
        <v>95930</v>
      </c>
      <c r="V105" s="112">
        <v>102238</v>
      </c>
      <c r="W105" s="112">
        <v>108142</v>
      </c>
      <c r="X105" s="112">
        <v>116420</v>
      </c>
      <c r="Y105" s="112">
        <f t="shared" si="80"/>
        <v>130218</v>
      </c>
      <c r="Z105" s="112">
        <v>106869</v>
      </c>
      <c r="AA105" s="112">
        <v>109828</v>
      </c>
      <c r="AB105" s="112">
        <v>124179</v>
      </c>
      <c r="AC105" s="144">
        <f t="shared" si="81"/>
        <v>132082</v>
      </c>
      <c r="AD105" s="112">
        <v>124482</v>
      </c>
      <c r="AE105" s="112">
        <v>138038</v>
      </c>
      <c r="AF105" s="112">
        <v>146356</v>
      </c>
      <c r="AG105" s="144">
        <f t="shared" si="82"/>
        <v>170375</v>
      </c>
      <c r="AH105" s="112">
        <v>159437</v>
      </c>
      <c r="AI105" s="112">
        <v>122354</v>
      </c>
      <c r="AJ105" s="112">
        <v>161992</v>
      </c>
      <c r="AK105" s="144">
        <f t="shared" si="83"/>
        <v>183236</v>
      </c>
      <c r="AL105" s="112">
        <v>170128</v>
      </c>
      <c r="AM105" s="112">
        <v>182627</v>
      </c>
      <c r="AN105" s="112">
        <v>193030</v>
      </c>
      <c r="AO105" s="144">
        <f t="shared" si="84"/>
        <v>220940</v>
      </c>
      <c r="AP105" s="112">
        <v>222621</v>
      </c>
      <c r="AQ105" s="112">
        <v>220661</v>
      </c>
      <c r="AR105" s="112">
        <v>209811</v>
      </c>
      <c r="AS105" s="144">
        <f>L105-AR105-AQ105-AP105</f>
        <v>210879</v>
      </c>
      <c r="AT105" s="112">
        <v>187404</v>
      </c>
      <c r="AU105" s="112">
        <v>185211</v>
      </c>
      <c r="AV105" s="112">
        <v>199208</v>
      </c>
      <c r="AW105" s="144">
        <f>M105-AV105-AU105-AT105</f>
        <v>210964</v>
      </c>
      <c r="AX105" s="112">
        <v>218260.71900000001</v>
      </c>
      <c r="AY105" s="112">
        <v>215293.48300000001</v>
      </c>
      <c r="AZ105" s="112">
        <v>218512.96299999999</v>
      </c>
      <c r="BA105" s="144">
        <f>N105-AZ105-AY105-AX105</f>
        <v>238989.69199999995</v>
      </c>
      <c r="BB105" s="112">
        <v>239777.24600000001</v>
      </c>
      <c r="BC105" s="112">
        <v>241208.535</v>
      </c>
      <c r="BD105" s="112">
        <v>255707</v>
      </c>
      <c r="BE105" s="144">
        <f>O105-(BD105+BC105+BB105)</f>
        <v>283467.69299999997</v>
      </c>
      <c r="BF105" s="112">
        <v>258199</v>
      </c>
      <c r="BH105" s="144"/>
    </row>
    <row r="106" spans="2:60">
      <c r="B106" s="113" t="s">
        <v>397</v>
      </c>
      <c r="C106" s="112">
        <v>136842</v>
      </c>
      <c r="D106" s="112">
        <v>150668</v>
      </c>
      <c r="E106" s="112">
        <v>175284</v>
      </c>
      <c r="F106" s="112">
        <v>188921</v>
      </c>
      <c r="G106" s="112">
        <v>196426</v>
      </c>
      <c r="H106" s="112">
        <v>196426</v>
      </c>
      <c r="I106" s="112">
        <v>203086</v>
      </c>
      <c r="J106" s="112">
        <v>203605</v>
      </c>
      <c r="K106" s="112">
        <v>218644</v>
      </c>
      <c r="L106" s="112">
        <f>394530+26009</f>
        <v>420539</v>
      </c>
      <c r="M106" s="112">
        <f>412232+27960</f>
        <v>440192</v>
      </c>
      <c r="N106" s="112">
        <f>450582.626+32227.321</f>
        <v>482809.94699999999</v>
      </c>
      <c r="O106" s="112">
        <f>479157.352+35125.311</f>
        <v>514282.663</v>
      </c>
      <c r="P106" s="144">
        <f>SUM(BC106:BF106)</f>
        <v>513649.663</v>
      </c>
      <c r="Q106" s="112"/>
      <c r="R106" s="112">
        <v>39395</v>
      </c>
      <c r="S106" s="112">
        <v>45093</v>
      </c>
      <c r="T106" s="112">
        <v>44154</v>
      </c>
      <c r="U106" s="144">
        <f t="shared" si="79"/>
        <v>46642</v>
      </c>
      <c r="V106" s="112">
        <v>46916</v>
      </c>
      <c r="W106" s="112">
        <v>45075</v>
      </c>
      <c r="X106" s="112">
        <v>48301</v>
      </c>
      <c r="Y106" s="112">
        <f t="shared" si="80"/>
        <v>48629</v>
      </c>
      <c r="Z106" s="112">
        <v>45726</v>
      </c>
      <c r="AA106" s="112">
        <v>47081</v>
      </c>
      <c r="AB106" s="112">
        <v>49700</v>
      </c>
      <c r="AC106" s="144">
        <f t="shared" si="81"/>
        <v>53919</v>
      </c>
      <c r="AD106" s="112">
        <v>48487</v>
      </c>
      <c r="AE106" s="112">
        <v>51595</v>
      </c>
      <c r="AF106" s="112">
        <v>50224</v>
      </c>
      <c r="AG106" s="144">
        <f t="shared" si="82"/>
        <v>52780</v>
      </c>
      <c r="AH106" s="112">
        <v>47061</v>
      </c>
      <c r="AI106" s="112">
        <v>50163</v>
      </c>
      <c r="AJ106" s="112">
        <v>50164</v>
      </c>
      <c r="AK106" s="144">
        <f t="shared" si="83"/>
        <v>56217</v>
      </c>
      <c r="AL106" s="112">
        <v>46905</v>
      </c>
      <c r="AM106" s="112">
        <v>53568</v>
      </c>
      <c r="AN106" s="112">
        <v>59148</v>
      </c>
      <c r="AO106" s="144">
        <f t="shared" si="84"/>
        <v>59023</v>
      </c>
      <c r="AP106" s="112">
        <v>54855</v>
      </c>
      <c r="AQ106" s="112">
        <f>95326+6084</f>
        <v>101410</v>
      </c>
      <c r="AR106" s="112">
        <f>97723+6993</f>
        <v>104716</v>
      </c>
      <c r="AS106" s="144">
        <f>L106-AR106-AQ106-AP106</f>
        <v>159558</v>
      </c>
      <c r="AT106" s="112">
        <f>96717+6526</f>
        <v>103243</v>
      </c>
      <c r="AU106" s="112">
        <f>105886+6921</f>
        <v>112807</v>
      </c>
      <c r="AV106" s="112">
        <f>98768+6947</f>
        <v>105715</v>
      </c>
      <c r="AW106" s="144">
        <f>M106-AV106-AU106-AT106</f>
        <v>118427</v>
      </c>
      <c r="AX106" s="112">
        <f>103704+7642</f>
        <v>111346</v>
      </c>
      <c r="AY106" s="112">
        <f>110335.711+7617.834</f>
        <v>117953.545</v>
      </c>
      <c r="AZ106" s="112">
        <f>111021.515+8256.5</f>
        <v>119278.015</v>
      </c>
      <c r="BA106" s="144">
        <f>N106-AZ106-AY106-AX106</f>
        <v>134232.38699999999</v>
      </c>
      <c r="BB106" s="112">
        <f>115453+8937</f>
        <v>124390</v>
      </c>
      <c r="BC106" s="112">
        <f>119465.411+8462.374</f>
        <v>127927.78499999999</v>
      </c>
      <c r="BD106" s="112">
        <f>120594+8943</f>
        <v>129537</v>
      </c>
      <c r="BE106" s="144">
        <f>O106-(BD106+BC106+BB106)</f>
        <v>132427.87800000003</v>
      </c>
      <c r="BF106" s="112">
        <f>115243+8514</f>
        <v>123757</v>
      </c>
      <c r="BH106" s="144"/>
    </row>
    <row r="107" spans="2:60">
      <c r="B107" s="111" t="s">
        <v>398</v>
      </c>
      <c r="C107" s="112">
        <v>50568</v>
      </c>
      <c r="D107" s="112">
        <v>60830</v>
      </c>
      <c r="E107" s="112">
        <v>63533</v>
      </c>
      <c r="F107" s="112">
        <v>57244</v>
      </c>
      <c r="G107" s="112">
        <v>52845</v>
      </c>
      <c r="H107" s="112">
        <v>52620</v>
      </c>
      <c r="I107" s="112">
        <v>50856</v>
      </c>
      <c r="J107" s="112">
        <v>45324</v>
      </c>
      <c r="K107" s="112">
        <v>34894</v>
      </c>
      <c r="L107" s="112"/>
      <c r="M107" s="112"/>
      <c r="N107" s="112"/>
      <c r="O107" s="112"/>
      <c r="P107" s="112"/>
      <c r="Q107" s="112"/>
      <c r="R107" s="112">
        <v>15275</v>
      </c>
      <c r="S107" s="112">
        <v>16047</v>
      </c>
      <c r="T107" s="112">
        <v>16205</v>
      </c>
      <c r="U107" s="144">
        <f t="shared" si="79"/>
        <v>16006</v>
      </c>
      <c r="V107" s="112">
        <v>14951</v>
      </c>
      <c r="W107" s="112">
        <v>14626</v>
      </c>
      <c r="X107" s="112">
        <v>13941</v>
      </c>
      <c r="Y107" s="112">
        <f t="shared" si="80"/>
        <v>13726</v>
      </c>
      <c r="Z107" s="112">
        <v>13384</v>
      </c>
      <c r="AA107" s="112">
        <v>13290</v>
      </c>
      <c r="AB107" s="112">
        <v>13030</v>
      </c>
      <c r="AC107" s="144">
        <f t="shared" si="81"/>
        <v>13141</v>
      </c>
      <c r="AD107" s="112">
        <v>12585</v>
      </c>
      <c r="AE107" s="112">
        <v>13831</v>
      </c>
      <c r="AF107" s="112">
        <v>12349</v>
      </c>
      <c r="AG107" s="144">
        <f t="shared" si="82"/>
        <v>12091</v>
      </c>
      <c r="AH107" s="112">
        <v>11949</v>
      </c>
      <c r="AI107" s="112">
        <v>11769</v>
      </c>
      <c r="AJ107" s="112">
        <v>11236</v>
      </c>
      <c r="AK107" s="144">
        <f t="shared" si="83"/>
        <v>10370</v>
      </c>
      <c r="AL107" s="112">
        <v>9459</v>
      </c>
      <c r="AM107" s="112">
        <v>8930</v>
      </c>
      <c r="AN107" s="112">
        <v>8133</v>
      </c>
      <c r="AO107" s="144">
        <f t="shared" si="84"/>
        <v>8372</v>
      </c>
      <c r="AP107" s="112">
        <v>7482</v>
      </c>
      <c r="AQ107" s="112"/>
      <c r="AR107" s="112"/>
      <c r="AS107" s="144"/>
      <c r="AT107" s="112"/>
      <c r="AU107" s="112"/>
      <c r="AV107" s="112"/>
      <c r="AW107" s="144"/>
      <c r="AX107" s="112"/>
      <c r="AY107" s="112"/>
      <c r="AZ107" s="112"/>
      <c r="BA107" s="144"/>
      <c r="BB107" s="112"/>
      <c r="BC107" s="112"/>
      <c r="BD107" s="112"/>
      <c r="BE107" s="144"/>
      <c r="BF107" s="112"/>
      <c r="BG107" s="144"/>
      <c r="BH107" s="144"/>
    </row>
    <row r="108" spans="2:60">
      <c r="B108" s="111" t="s">
        <v>399</v>
      </c>
      <c r="C108" s="112">
        <v>26961</v>
      </c>
      <c r="D108" s="112">
        <v>19152</v>
      </c>
      <c r="E108" s="112">
        <v>16399</v>
      </c>
      <c r="F108" s="112">
        <v>12367</v>
      </c>
      <c r="G108" s="112">
        <v>10464</v>
      </c>
      <c r="H108" s="112">
        <v>10464</v>
      </c>
      <c r="I108" s="112">
        <v>8050</v>
      </c>
      <c r="J108" s="112">
        <v>5621</v>
      </c>
      <c r="K108" s="112">
        <v>3882</v>
      </c>
      <c r="L108" s="112"/>
      <c r="M108" s="112"/>
      <c r="N108" s="112"/>
      <c r="O108" s="112"/>
      <c r="P108" s="112"/>
      <c r="Q108" s="112"/>
      <c r="R108" s="112">
        <v>4349</v>
      </c>
      <c r="S108" s="112">
        <v>4057</v>
      </c>
      <c r="T108" s="112">
        <v>3777</v>
      </c>
      <c r="U108" s="144">
        <f t="shared" si="79"/>
        <v>4216</v>
      </c>
      <c r="V108" s="112">
        <v>3506</v>
      </c>
      <c r="W108" s="112">
        <v>3155</v>
      </c>
      <c r="X108" s="112">
        <v>2815</v>
      </c>
      <c r="Y108" s="112">
        <f t="shared" si="80"/>
        <v>2891</v>
      </c>
      <c r="Z108" s="112">
        <v>2681</v>
      </c>
      <c r="AA108" s="112">
        <v>2491</v>
      </c>
      <c r="AB108" s="112">
        <v>2664</v>
      </c>
      <c r="AC108" s="144">
        <f t="shared" si="81"/>
        <v>2628</v>
      </c>
      <c r="AD108" s="112">
        <v>2163</v>
      </c>
      <c r="AE108" s="112">
        <v>1927</v>
      </c>
      <c r="AF108" s="112">
        <v>1966</v>
      </c>
      <c r="AG108" s="144">
        <f t="shared" si="82"/>
        <v>1994</v>
      </c>
      <c r="AH108" s="112">
        <v>1550</v>
      </c>
      <c r="AI108" s="112">
        <v>1761</v>
      </c>
      <c r="AJ108" s="112">
        <v>1023</v>
      </c>
      <c r="AK108" s="144">
        <f t="shared" si="83"/>
        <v>1287</v>
      </c>
      <c r="AL108" s="112">
        <v>1012</v>
      </c>
      <c r="AM108" s="112">
        <v>1107</v>
      </c>
      <c r="AN108" s="112">
        <v>951</v>
      </c>
      <c r="AO108" s="144">
        <f t="shared" si="84"/>
        <v>812</v>
      </c>
      <c r="AP108" s="112">
        <v>860</v>
      </c>
      <c r="AQ108" s="112"/>
      <c r="AR108" s="112"/>
      <c r="AS108" s="144"/>
      <c r="AT108" s="112"/>
      <c r="AU108" s="112"/>
      <c r="AV108" s="112"/>
      <c r="AW108" s="144"/>
      <c r="AX108" s="112"/>
      <c r="AY108" s="112"/>
      <c r="AZ108" s="112"/>
      <c r="BA108" s="144"/>
      <c r="BB108" s="112"/>
      <c r="BC108" s="112"/>
      <c r="BD108" s="112"/>
      <c r="BE108" s="144"/>
      <c r="BF108" s="112"/>
      <c r="BG108" s="144"/>
      <c r="BH108" s="144"/>
    </row>
    <row r="109" spans="2:60">
      <c r="B109" s="113" t="s">
        <v>400</v>
      </c>
      <c r="C109" s="112">
        <v>24097</v>
      </c>
      <c r="D109" s="112">
        <v>28698</v>
      </c>
      <c r="E109" s="112">
        <v>35079</v>
      </c>
      <c r="F109" s="112">
        <v>43845</v>
      </c>
      <c r="G109" s="112">
        <v>49366</v>
      </c>
      <c r="H109" s="112">
        <v>49366</v>
      </c>
      <c r="I109" s="112">
        <v>58155</v>
      </c>
      <c r="J109" s="112">
        <v>66271</v>
      </c>
      <c r="K109" s="112">
        <v>81954</v>
      </c>
      <c r="L109" s="112"/>
      <c r="M109" s="112"/>
      <c r="N109" s="112"/>
      <c r="O109" s="112"/>
      <c r="P109" s="112"/>
      <c r="Q109" s="112"/>
      <c r="R109" s="112">
        <v>8053</v>
      </c>
      <c r="S109" s="112">
        <v>8484</v>
      </c>
      <c r="T109" s="112">
        <v>9093</v>
      </c>
      <c r="U109" s="144">
        <f t="shared" si="79"/>
        <v>9449</v>
      </c>
      <c r="V109" s="112">
        <v>9873</v>
      </c>
      <c r="W109" s="112">
        <v>10617</v>
      </c>
      <c r="X109" s="112">
        <v>11563</v>
      </c>
      <c r="Y109" s="112">
        <f t="shared" si="80"/>
        <v>11792</v>
      </c>
      <c r="Z109" s="112">
        <v>11664</v>
      </c>
      <c r="AA109" s="112">
        <v>12185</v>
      </c>
      <c r="AB109" s="112">
        <v>12827</v>
      </c>
      <c r="AC109" s="144">
        <f t="shared" si="81"/>
        <v>12690</v>
      </c>
      <c r="AD109" s="112">
        <v>13157</v>
      </c>
      <c r="AE109" s="112">
        <v>13787</v>
      </c>
      <c r="AF109" s="112">
        <v>15417</v>
      </c>
      <c r="AG109" s="144">
        <f t="shared" si="82"/>
        <v>15794</v>
      </c>
      <c r="AH109" s="112">
        <v>16327</v>
      </c>
      <c r="AI109" s="112">
        <v>16436</v>
      </c>
      <c r="AJ109" s="112">
        <v>15986</v>
      </c>
      <c r="AK109" s="144">
        <f t="shared" si="83"/>
        <v>17522</v>
      </c>
      <c r="AL109" s="112">
        <v>18760</v>
      </c>
      <c r="AM109" s="112">
        <v>20387</v>
      </c>
      <c r="AN109" s="112">
        <v>20884</v>
      </c>
      <c r="AO109" s="144">
        <f t="shared" si="84"/>
        <v>21923</v>
      </c>
      <c r="AP109" s="112">
        <v>22537</v>
      </c>
      <c r="AQ109" s="112"/>
      <c r="AR109" s="112"/>
      <c r="AS109" s="144"/>
      <c r="AT109" s="112"/>
      <c r="AU109" s="112"/>
      <c r="AV109" s="112"/>
      <c r="AW109" s="144"/>
      <c r="AX109" s="112"/>
      <c r="AY109" s="112"/>
      <c r="AZ109" s="112"/>
      <c r="BA109" s="144"/>
      <c r="BB109" s="112"/>
      <c r="BC109" s="112"/>
      <c r="BD109" s="112"/>
      <c r="BE109" s="144"/>
      <c r="BF109" s="112"/>
    </row>
    <row r="110" spans="2:60">
      <c r="B110" s="111" t="s">
        <v>401</v>
      </c>
      <c r="C110" s="112">
        <v>22988</v>
      </c>
      <c r="D110" s="112">
        <v>55279</v>
      </c>
      <c r="E110" s="112">
        <v>52786</v>
      </c>
      <c r="F110" s="112">
        <v>43425</v>
      </c>
      <c r="G110" s="112">
        <v>34621</v>
      </c>
      <c r="H110" s="112">
        <v>29949</v>
      </c>
      <c r="I110" s="112">
        <v>29562</v>
      </c>
      <c r="J110" s="112">
        <v>32216</v>
      </c>
      <c r="K110" s="112">
        <v>41256</v>
      </c>
      <c r="L110" s="112">
        <f>61622+9500</f>
        <v>71122</v>
      </c>
      <c r="M110" s="112">
        <f>68784+5034</f>
        <v>73818</v>
      </c>
      <c r="N110" s="112">
        <f>55113.58+6967.934</f>
        <v>62081.514000000003</v>
      </c>
      <c r="O110" s="112">
        <f>70896.672+7650.846</f>
        <v>78547.518000000011</v>
      </c>
      <c r="P110" s="144">
        <f>SUM(BC110:BF110)</f>
        <v>75702.518000000011</v>
      </c>
      <c r="Q110" s="112"/>
      <c r="R110" s="112">
        <v>12124</v>
      </c>
      <c r="S110" s="112">
        <v>13881</v>
      </c>
      <c r="T110" s="112">
        <v>13076</v>
      </c>
      <c r="U110" s="144">
        <f t="shared" si="79"/>
        <v>13705</v>
      </c>
      <c r="V110" s="112">
        <v>13348</v>
      </c>
      <c r="W110" s="112">
        <v>12472</v>
      </c>
      <c r="X110" s="112">
        <v>8792</v>
      </c>
      <c r="Y110" s="112">
        <f t="shared" si="80"/>
        <v>8813</v>
      </c>
      <c r="Z110" s="112">
        <v>8487</v>
      </c>
      <c r="AA110" s="112">
        <v>8798</v>
      </c>
      <c r="AB110" s="112">
        <v>8528</v>
      </c>
      <c r="AC110" s="144">
        <f t="shared" si="81"/>
        <v>8808</v>
      </c>
      <c r="AD110" s="112">
        <v>7561</v>
      </c>
      <c r="AE110" s="112">
        <v>7387</v>
      </c>
      <c r="AF110" s="112">
        <v>7140</v>
      </c>
      <c r="AG110" s="144">
        <f t="shared" si="82"/>
        <v>7474</v>
      </c>
      <c r="AH110" s="112">
        <v>7785</v>
      </c>
      <c r="AI110" s="112">
        <v>7757</v>
      </c>
      <c r="AJ110" s="112">
        <v>7868</v>
      </c>
      <c r="AK110" s="144">
        <f t="shared" si="83"/>
        <v>8806</v>
      </c>
      <c r="AL110" s="112">
        <v>10758</v>
      </c>
      <c r="AM110" s="112">
        <v>9851</v>
      </c>
      <c r="AN110" s="112">
        <v>9558</v>
      </c>
      <c r="AO110" s="144">
        <f t="shared" si="84"/>
        <v>11089</v>
      </c>
      <c r="AP110" s="112">
        <v>11365</v>
      </c>
      <c r="AQ110" s="112">
        <f>16353+2414</f>
        <v>18767</v>
      </c>
      <c r="AR110" s="112">
        <f>17032+2455</f>
        <v>19487</v>
      </c>
      <c r="AS110" s="144">
        <f>L110-AR110-AQ110-AP110</f>
        <v>21503</v>
      </c>
      <c r="AT110" s="112">
        <f>15604+2262</f>
        <v>17866</v>
      </c>
      <c r="AU110" s="112">
        <f>18113+2371</f>
        <v>20484</v>
      </c>
      <c r="AV110" s="112">
        <f>17248-766</f>
        <v>16482</v>
      </c>
      <c r="AW110" s="144">
        <f>M110-AV110-AU110-AT110</f>
        <v>18986</v>
      </c>
      <c r="AX110" s="112">
        <f>17909+1630</f>
        <v>19539</v>
      </c>
      <c r="AY110" s="112">
        <f>18857.333+1633.085</f>
        <v>20490.417999999998</v>
      </c>
      <c r="AZ110" s="112">
        <f>11157.55+2084.928</f>
        <v>13242.477999999999</v>
      </c>
      <c r="BA110" s="144">
        <f>N110-AZ110-AY110-AX110</f>
        <v>8809.6180000000095</v>
      </c>
      <c r="BB110" s="112">
        <f>17443+1921</f>
        <v>19364</v>
      </c>
      <c r="BC110" s="112">
        <f>18769.118+1892.648</f>
        <v>20661.766</v>
      </c>
      <c r="BD110" s="112">
        <f>15964+1922</f>
        <v>17886</v>
      </c>
      <c r="BE110" s="144">
        <f>O110-(BD110+BC110+BB110)</f>
        <v>20635.752000000008</v>
      </c>
      <c r="BF110" s="112">
        <f>14697+1822</f>
        <v>16519</v>
      </c>
    </row>
    <row r="111" spans="2:60">
      <c r="B111" s="111" t="s">
        <v>402</v>
      </c>
      <c r="C111" s="112">
        <v>28080</v>
      </c>
      <c r="D111" s="112">
        <v>26607</v>
      </c>
      <c r="E111" s="112">
        <v>26853</v>
      </c>
      <c r="F111" s="112">
        <v>19989</v>
      </c>
      <c r="G111" s="112">
        <v>23652</v>
      </c>
      <c r="H111" s="112">
        <v>23652</v>
      </c>
      <c r="I111" s="112">
        <v>25156</v>
      </c>
      <c r="J111" s="112">
        <v>22144</v>
      </c>
      <c r="K111" s="112">
        <v>18813</v>
      </c>
      <c r="L111" s="112"/>
      <c r="M111" s="112"/>
      <c r="N111" s="112"/>
      <c r="O111" s="112"/>
      <c r="P111" s="112"/>
      <c r="Q111" s="112"/>
      <c r="R111" s="112">
        <v>6062</v>
      </c>
      <c r="S111" s="112">
        <v>5747</v>
      </c>
      <c r="T111" s="112">
        <v>8860</v>
      </c>
      <c r="U111" s="144">
        <f t="shared" si="79"/>
        <v>6184</v>
      </c>
      <c r="V111" s="112">
        <v>4456</v>
      </c>
      <c r="W111" s="112">
        <v>4459</v>
      </c>
      <c r="X111" s="112">
        <v>4610</v>
      </c>
      <c r="Y111" s="112">
        <f t="shared" si="80"/>
        <v>6464</v>
      </c>
      <c r="Z111" s="112">
        <v>4165</v>
      </c>
      <c r="AA111" s="112">
        <v>4007</v>
      </c>
      <c r="AB111" s="112">
        <v>9574</v>
      </c>
      <c r="AC111" s="144">
        <f t="shared" si="81"/>
        <v>5906</v>
      </c>
      <c r="AD111" s="112">
        <v>4519</v>
      </c>
      <c r="AE111" s="112">
        <v>6508</v>
      </c>
      <c r="AF111" s="112">
        <v>7059</v>
      </c>
      <c r="AG111" s="144">
        <f t="shared" si="82"/>
        <v>7070</v>
      </c>
      <c r="AH111" s="112">
        <v>7105</v>
      </c>
      <c r="AI111" s="112">
        <v>5571</v>
      </c>
      <c r="AJ111" s="112">
        <v>4869</v>
      </c>
      <c r="AK111" s="144">
        <f t="shared" si="83"/>
        <v>4599</v>
      </c>
      <c r="AL111" s="112">
        <v>4019</v>
      </c>
      <c r="AM111" s="112">
        <v>4382</v>
      </c>
      <c r="AN111" s="112">
        <v>4272</v>
      </c>
      <c r="AO111" s="144">
        <f t="shared" si="84"/>
        <v>6140</v>
      </c>
      <c r="AP111" s="112">
        <v>4925</v>
      </c>
      <c r="AQ111" s="112"/>
      <c r="AR111" s="112"/>
      <c r="AS111" s="144"/>
      <c r="AT111" s="112"/>
      <c r="AU111" s="112"/>
      <c r="AV111" s="112"/>
      <c r="AW111" s="144"/>
      <c r="AX111" s="112"/>
      <c r="AY111" s="112"/>
      <c r="AZ111" s="112"/>
      <c r="BA111" s="144"/>
      <c r="BB111" s="112"/>
      <c r="BC111" s="112"/>
      <c r="BD111" s="112"/>
      <c r="BE111" s="144"/>
      <c r="BF111" s="112"/>
    </row>
    <row r="112" spans="2:60">
      <c r="B112" s="113" t="s">
        <v>403</v>
      </c>
      <c r="C112" s="112">
        <v>18020</v>
      </c>
      <c r="D112" s="112">
        <v>22418</v>
      </c>
      <c r="E112" s="112">
        <v>27725</v>
      </c>
      <c r="F112" s="112">
        <v>33161</v>
      </c>
      <c r="G112" s="112">
        <v>36521</v>
      </c>
      <c r="H112" s="112">
        <v>36521</v>
      </c>
      <c r="I112" s="112">
        <v>38589</v>
      </c>
      <c r="J112" s="112">
        <v>42364</v>
      </c>
      <c r="K112" s="112">
        <v>44328</v>
      </c>
      <c r="L112" s="112"/>
      <c r="M112" s="112"/>
      <c r="N112" s="112"/>
      <c r="O112" s="112"/>
      <c r="P112" s="112"/>
      <c r="Q112" s="112"/>
      <c r="R112" s="112">
        <v>6291</v>
      </c>
      <c r="S112" s="112">
        <v>6892</v>
      </c>
      <c r="T112" s="112">
        <v>7096</v>
      </c>
      <c r="U112" s="144">
        <f t="shared" si="79"/>
        <v>7446</v>
      </c>
      <c r="V112" s="112">
        <v>7945</v>
      </c>
      <c r="W112" s="112">
        <v>8402</v>
      </c>
      <c r="X112" s="112">
        <v>8280</v>
      </c>
      <c r="Y112" s="112">
        <f t="shared" si="80"/>
        <v>8534</v>
      </c>
      <c r="Z112" s="112">
        <v>8671</v>
      </c>
      <c r="AA112" s="112">
        <v>9316</v>
      </c>
      <c r="AB112" s="112">
        <v>9163</v>
      </c>
      <c r="AC112" s="144">
        <f t="shared" si="81"/>
        <v>9371</v>
      </c>
      <c r="AD112" s="112">
        <v>9650</v>
      </c>
      <c r="AE112" s="112">
        <v>10196</v>
      </c>
      <c r="AF112" s="112">
        <v>9274</v>
      </c>
      <c r="AG112" s="144">
        <f t="shared" si="82"/>
        <v>9469</v>
      </c>
      <c r="AH112" s="112">
        <v>10536</v>
      </c>
      <c r="AI112" s="112">
        <v>9523</v>
      </c>
      <c r="AJ112" s="112">
        <v>10629</v>
      </c>
      <c r="AK112" s="144">
        <f t="shared" si="83"/>
        <v>11676</v>
      </c>
      <c r="AL112" s="112">
        <v>11194</v>
      </c>
      <c r="AM112" s="112">
        <v>11138</v>
      </c>
      <c r="AN112" s="112">
        <v>11015</v>
      </c>
      <c r="AO112" s="144">
        <f t="shared" si="84"/>
        <v>10981</v>
      </c>
      <c r="AP112" s="112">
        <v>11058</v>
      </c>
      <c r="AQ112" s="112"/>
      <c r="AR112" s="112"/>
      <c r="AS112" s="144"/>
      <c r="AT112" s="112"/>
      <c r="AU112" s="112"/>
      <c r="AV112" s="112"/>
      <c r="AW112" s="144"/>
      <c r="AX112" s="112"/>
      <c r="AY112" s="112"/>
      <c r="AZ112" s="112"/>
      <c r="BA112" s="144"/>
      <c r="BB112" s="112"/>
      <c r="BC112" s="112"/>
      <c r="BD112" s="112"/>
      <c r="BE112" s="144"/>
      <c r="BF112" s="112"/>
    </row>
    <row r="113" spans="2:58">
      <c r="B113" s="111" t="s">
        <v>404</v>
      </c>
      <c r="C113" s="112">
        <v>25450</v>
      </c>
      <c r="D113" s="112">
        <v>26379</v>
      </c>
      <c r="E113" s="112">
        <v>24050</v>
      </c>
      <c r="F113" s="112">
        <v>23710</v>
      </c>
      <c r="G113" s="112">
        <v>20448</v>
      </c>
      <c r="H113" s="112">
        <v>20448</v>
      </c>
      <c r="I113" s="112">
        <v>22147</v>
      </c>
      <c r="J113" s="112">
        <v>17905</v>
      </c>
      <c r="K113" s="112">
        <v>14966</v>
      </c>
      <c r="L113" s="112"/>
      <c r="M113" s="112"/>
      <c r="N113" s="112"/>
      <c r="O113" s="112"/>
      <c r="P113" s="112"/>
      <c r="Q113" s="112"/>
      <c r="R113" s="112">
        <v>6261</v>
      </c>
      <c r="S113" s="112">
        <v>6240</v>
      </c>
      <c r="T113" s="112">
        <v>5906</v>
      </c>
      <c r="U113" s="144">
        <f t="shared" si="79"/>
        <v>5643</v>
      </c>
      <c r="V113" s="112">
        <v>5594</v>
      </c>
      <c r="W113" s="112">
        <v>5855</v>
      </c>
      <c r="X113" s="112">
        <v>5682</v>
      </c>
      <c r="Y113" s="112">
        <f t="shared" si="80"/>
        <v>6579</v>
      </c>
      <c r="Z113" s="112">
        <v>4539</v>
      </c>
      <c r="AA113" s="112">
        <v>5056</v>
      </c>
      <c r="AB113" s="112">
        <v>5317</v>
      </c>
      <c r="AC113" s="144">
        <f t="shared" si="81"/>
        <v>5536</v>
      </c>
      <c r="AD113" s="112">
        <v>5267</v>
      </c>
      <c r="AE113" s="112">
        <v>5371</v>
      </c>
      <c r="AF113" s="112">
        <v>5311</v>
      </c>
      <c r="AG113" s="144">
        <f t="shared" si="82"/>
        <v>6198</v>
      </c>
      <c r="AH113" s="112">
        <v>4869</v>
      </c>
      <c r="AI113" s="112">
        <v>4730</v>
      </c>
      <c r="AJ113" s="112">
        <v>4246</v>
      </c>
      <c r="AK113" s="144">
        <f t="shared" si="83"/>
        <v>4060</v>
      </c>
      <c r="AL113" s="112">
        <v>3562</v>
      </c>
      <c r="AM113" s="112">
        <v>3623</v>
      </c>
      <c r="AN113" s="112">
        <v>3806</v>
      </c>
      <c r="AO113" s="144">
        <f t="shared" si="84"/>
        <v>3975</v>
      </c>
      <c r="AP113" s="112">
        <v>4035</v>
      </c>
      <c r="AQ113" s="112"/>
      <c r="AR113" s="112"/>
      <c r="AS113" s="144"/>
      <c r="AT113" s="112"/>
      <c r="AU113" s="112"/>
      <c r="AV113" s="112"/>
      <c r="AW113" s="144"/>
      <c r="AX113" s="112"/>
      <c r="AY113" s="112"/>
      <c r="AZ113" s="112"/>
      <c r="BA113" s="144"/>
      <c r="BB113" s="112"/>
      <c r="BC113" s="112"/>
      <c r="BD113" s="112"/>
      <c r="BE113" s="144"/>
      <c r="BF113" s="112"/>
    </row>
    <row r="114" spans="2:58">
      <c r="B114" s="111" t="s">
        <v>405</v>
      </c>
      <c r="C114" s="112">
        <v>8000</v>
      </c>
      <c r="D114" s="112">
        <v>10855</v>
      </c>
      <c r="E114" s="112">
        <v>15537</v>
      </c>
      <c r="F114" s="112">
        <v>13007</v>
      </c>
      <c r="G114" s="112">
        <v>14195</v>
      </c>
      <c r="H114" s="112">
        <v>14195</v>
      </c>
      <c r="I114" s="112">
        <v>13463</v>
      </c>
      <c r="J114" s="112">
        <v>13727</v>
      </c>
      <c r="K114" s="112">
        <v>14072</v>
      </c>
      <c r="L114" s="112">
        <v>18230</v>
      </c>
      <c r="M114" s="112">
        <v>15955</v>
      </c>
      <c r="N114" s="112">
        <v>18888.173999999999</v>
      </c>
      <c r="O114" s="112">
        <v>19900.802</v>
      </c>
      <c r="P114" s="144">
        <f>SUM(BC114:BF114)</f>
        <v>20242.802</v>
      </c>
      <c r="Q114" s="112"/>
      <c r="R114" s="112">
        <v>3500</v>
      </c>
      <c r="S114" s="112">
        <v>3946</v>
      </c>
      <c r="T114" s="112">
        <v>4004</v>
      </c>
      <c r="U114" s="144">
        <f t="shared" si="79"/>
        <v>4087</v>
      </c>
      <c r="V114" s="112">
        <v>3522</v>
      </c>
      <c r="W114" s="112">
        <v>2975</v>
      </c>
      <c r="X114" s="112">
        <v>3144</v>
      </c>
      <c r="Y114" s="112">
        <f t="shared" si="80"/>
        <v>3366</v>
      </c>
      <c r="Z114" s="112">
        <v>3521</v>
      </c>
      <c r="AA114" s="112">
        <v>3588</v>
      </c>
      <c r="AB114" s="112">
        <v>3101</v>
      </c>
      <c r="AC114" s="144">
        <f t="shared" si="81"/>
        <v>3985</v>
      </c>
      <c r="AD114" s="112">
        <v>3103</v>
      </c>
      <c r="AE114" s="112">
        <v>3002</v>
      </c>
      <c r="AF114" s="112">
        <v>3516</v>
      </c>
      <c r="AG114" s="144">
        <f t="shared" si="82"/>
        <v>3842</v>
      </c>
      <c r="AH114" s="112">
        <v>3013</v>
      </c>
      <c r="AI114" s="112">
        <v>2822</v>
      </c>
      <c r="AJ114" s="112">
        <v>4148</v>
      </c>
      <c r="AK114" s="144">
        <f t="shared" si="83"/>
        <v>3744</v>
      </c>
      <c r="AL114" s="112">
        <v>3850</v>
      </c>
      <c r="AM114" s="112">
        <v>3052</v>
      </c>
      <c r="AN114" s="112">
        <v>5534</v>
      </c>
      <c r="AO114" s="144">
        <f t="shared" si="84"/>
        <v>1636</v>
      </c>
      <c r="AP114" s="112">
        <v>4625</v>
      </c>
      <c r="AQ114" s="112">
        <v>4244</v>
      </c>
      <c r="AR114" s="112">
        <v>4802</v>
      </c>
      <c r="AS114" s="144">
        <f>L114-AR114-AQ114-AP114</f>
        <v>4559</v>
      </c>
      <c r="AT114" s="112">
        <v>3281</v>
      </c>
      <c r="AU114" s="112">
        <v>4823</v>
      </c>
      <c r="AV114" s="112">
        <v>4171</v>
      </c>
      <c r="AW114" s="144">
        <f>M114-AV114-AU114-AT114</f>
        <v>3680</v>
      </c>
      <c r="AX114" s="112">
        <v>4884</v>
      </c>
      <c r="AY114" s="112">
        <v>4626.0410000000002</v>
      </c>
      <c r="AZ114" s="112">
        <v>4492.4449999999997</v>
      </c>
      <c r="BA114" s="144">
        <f>N114-AZ114-AY114-AX114</f>
        <v>4885.6879999999983</v>
      </c>
      <c r="BB114" s="112">
        <v>4711</v>
      </c>
      <c r="BC114" s="112">
        <v>5105.2</v>
      </c>
      <c r="BD114" s="112">
        <v>4860</v>
      </c>
      <c r="BE114" s="144">
        <f>O114-(BD114+BC114+BB114)</f>
        <v>5224.601999999999</v>
      </c>
      <c r="BF114" s="112">
        <v>5053</v>
      </c>
    </row>
    <row r="115" spans="2:58">
      <c r="B115" s="113" t="s">
        <v>406</v>
      </c>
      <c r="C115" s="112">
        <v>24784</v>
      </c>
      <c r="D115" s="112">
        <v>8251</v>
      </c>
      <c r="E115" s="112">
        <v>19605</v>
      </c>
      <c r="F115" s="112">
        <v>12102</v>
      </c>
      <c r="G115" s="112">
        <v>9785</v>
      </c>
      <c r="H115" s="112">
        <v>9785</v>
      </c>
      <c r="I115" s="112">
        <v>218750</v>
      </c>
      <c r="J115" s="112">
        <v>54857</v>
      </c>
      <c r="K115" s="112">
        <v>32898</v>
      </c>
      <c r="L115" s="112">
        <v>597027</v>
      </c>
      <c r="M115" s="112">
        <v>99450</v>
      </c>
      <c r="N115" s="112">
        <v>61524</v>
      </c>
      <c r="O115" s="112">
        <v>77371</v>
      </c>
      <c r="P115" s="144">
        <f>SUM(BC115:BF115)</f>
        <v>80685</v>
      </c>
      <c r="Q115" s="112"/>
      <c r="R115" s="112">
        <v>1848</v>
      </c>
      <c r="S115" s="112">
        <v>2167</v>
      </c>
      <c r="T115" s="112">
        <v>2268</v>
      </c>
      <c r="U115" s="144">
        <f t="shared" si="79"/>
        <v>13322</v>
      </c>
      <c r="V115" s="112">
        <v>3409</v>
      </c>
      <c r="W115" s="112">
        <v>2617</v>
      </c>
      <c r="X115" s="112">
        <v>3112</v>
      </c>
      <c r="Y115" s="112">
        <f t="shared" si="80"/>
        <v>2964</v>
      </c>
      <c r="Z115" s="112">
        <v>2358</v>
      </c>
      <c r="AA115" s="112">
        <v>2865</v>
      </c>
      <c r="AB115" s="112">
        <v>2116</v>
      </c>
      <c r="AC115" s="144">
        <f t="shared" si="81"/>
        <v>2446</v>
      </c>
      <c r="AD115" s="112">
        <v>3232</v>
      </c>
      <c r="AE115" s="112">
        <v>2768</v>
      </c>
      <c r="AF115" s="112">
        <v>2430</v>
      </c>
      <c r="AG115" s="144">
        <f t="shared" si="82"/>
        <v>210320</v>
      </c>
      <c r="AH115" s="112">
        <v>17263</v>
      </c>
      <c r="AI115" s="112">
        <v>18456</v>
      </c>
      <c r="AJ115" s="112">
        <v>8585</v>
      </c>
      <c r="AK115" s="144">
        <f t="shared" si="83"/>
        <v>10553</v>
      </c>
      <c r="AL115" s="112">
        <v>11034</v>
      </c>
      <c r="AM115" s="112">
        <v>12369</v>
      </c>
      <c r="AN115" s="112">
        <v>10096</v>
      </c>
      <c r="AO115" s="144">
        <f t="shared" si="84"/>
        <v>-601</v>
      </c>
      <c r="AP115" s="112">
        <v>9155</v>
      </c>
      <c r="AQ115" s="112">
        <v>502939</v>
      </c>
      <c r="AR115" s="112">
        <v>72813</v>
      </c>
      <c r="AS115" s="144">
        <f>L115-AR115-AQ115-AP115</f>
        <v>12120</v>
      </c>
      <c r="AT115" s="112">
        <v>11929</v>
      </c>
      <c r="AU115" s="112">
        <v>10500</v>
      </c>
      <c r="AV115" s="112">
        <v>13631</v>
      </c>
      <c r="AW115" s="144">
        <f>M115-AV115-AU115-AT115</f>
        <v>63390</v>
      </c>
      <c r="AX115" s="112">
        <v>14899</v>
      </c>
      <c r="AY115" s="112">
        <v>19758</v>
      </c>
      <c r="AZ115" s="112">
        <v>13878</v>
      </c>
      <c r="BA115" s="144">
        <f>N115-AZ115-AY115-AX115</f>
        <v>12989</v>
      </c>
      <c r="BB115" s="112">
        <v>17531</v>
      </c>
      <c r="BC115" s="112">
        <f>17012+368</f>
        <v>17380</v>
      </c>
      <c r="BD115" s="112">
        <f>17566 -450</f>
        <v>17116</v>
      </c>
      <c r="BE115" s="144">
        <f>O115-(BD115+BC115+BB115)</f>
        <v>25344</v>
      </c>
      <c r="BF115" s="112">
        <f>20867-22</f>
        <v>20845</v>
      </c>
    </row>
    <row r="116" spans="2:58">
      <c r="B116" s="111" t="s">
        <v>407</v>
      </c>
      <c r="C116" s="142">
        <f t="shared" ref="C116:P116" si="85">SUM(C104:C115)</f>
        <v>1668051</v>
      </c>
      <c r="D116" s="142">
        <f t="shared" si="85"/>
        <v>1792864</v>
      </c>
      <c r="E116" s="142">
        <f t="shared" si="85"/>
        <v>1887302</v>
      </c>
      <c r="F116" s="142">
        <f t="shared" si="85"/>
        <v>1955171</v>
      </c>
      <c r="G116" s="142">
        <f t="shared" si="85"/>
        <v>1922959</v>
      </c>
      <c r="H116" s="142">
        <f t="shared" si="85"/>
        <v>1922958</v>
      </c>
      <c r="I116" s="142">
        <f t="shared" si="85"/>
        <v>2197543</v>
      </c>
      <c r="J116" s="142">
        <f t="shared" si="85"/>
        <v>2147484</v>
      </c>
      <c r="K116" s="142">
        <f t="shared" si="85"/>
        <v>2460119</v>
      </c>
      <c r="L116" s="142">
        <f t="shared" si="85"/>
        <v>3137709</v>
      </c>
      <c r="M116" s="142">
        <f t="shared" si="85"/>
        <v>2573143</v>
      </c>
      <c r="N116" s="142">
        <f t="shared" si="85"/>
        <v>2764760.7280000001</v>
      </c>
      <c r="O116" s="142">
        <f t="shared" si="85"/>
        <v>3032301.2780000004</v>
      </c>
      <c r="P116" s="142">
        <f t="shared" si="85"/>
        <v>3082926.3300000005</v>
      </c>
      <c r="Q116" s="112"/>
      <c r="R116" s="142">
        <f t="shared" ref="R116:BF116" si="86">SUM(R104:R115)</f>
        <v>461310</v>
      </c>
      <c r="S116" s="142">
        <f t="shared" si="86"/>
        <v>459001</v>
      </c>
      <c r="T116" s="142">
        <f t="shared" si="86"/>
        <v>470170</v>
      </c>
      <c r="U116" s="142">
        <f t="shared" si="86"/>
        <v>496821</v>
      </c>
      <c r="V116" s="142">
        <f t="shared" si="86"/>
        <v>477025</v>
      </c>
      <c r="W116" s="142">
        <f t="shared" si="86"/>
        <v>481350</v>
      </c>
      <c r="X116" s="142">
        <f t="shared" si="86"/>
        <v>483018</v>
      </c>
      <c r="Y116" s="142">
        <f t="shared" si="86"/>
        <v>513778</v>
      </c>
      <c r="Z116" s="142">
        <f t="shared" si="86"/>
        <v>463539</v>
      </c>
      <c r="AA116" s="142">
        <f t="shared" si="86"/>
        <v>468539</v>
      </c>
      <c r="AB116" s="142">
        <f t="shared" si="86"/>
        <v>483441</v>
      </c>
      <c r="AC116" s="142">
        <f t="shared" si="86"/>
        <v>507440</v>
      </c>
      <c r="AD116" s="142">
        <f t="shared" si="86"/>
        <v>474785</v>
      </c>
      <c r="AE116" s="142">
        <f t="shared" si="86"/>
        <v>485439</v>
      </c>
      <c r="AF116" s="142">
        <f t="shared" si="86"/>
        <v>498488</v>
      </c>
      <c r="AG116" s="142">
        <f t="shared" si="86"/>
        <v>738831</v>
      </c>
      <c r="AH116" s="142">
        <f t="shared" si="86"/>
        <v>530705</v>
      </c>
      <c r="AI116" s="142">
        <f t="shared" si="86"/>
        <v>476094</v>
      </c>
      <c r="AJ116" s="142">
        <f t="shared" si="86"/>
        <v>543040</v>
      </c>
      <c r="AK116" s="142">
        <f t="shared" si="86"/>
        <v>597645</v>
      </c>
      <c r="AL116" s="142">
        <f t="shared" si="86"/>
        <v>568759</v>
      </c>
      <c r="AM116" s="142">
        <f t="shared" si="86"/>
        <v>608453</v>
      </c>
      <c r="AN116" s="142">
        <f t="shared" si="86"/>
        <v>623346</v>
      </c>
      <c r="AO116" s="142">
        <f t="shared" si="86"/>
        <v>659561</v>
      </c>
      <c r="AP116" s="142">
        <f t="shared" si="86"/>
        <v>646011</v>
      </c>
      <c r="AQ116" s="142">
        <f t="shared" si="86"/>
        <v>1149567</v>
      </c>
      <c r="AR116" s="142">
        <f t="shared" si="86"/>
        <v>695596</v>
      </c>
      <c r="AS116" s="142">
        <f t="shared" si="86"/>
        <v>697432</v>
      </c>
      <c r="AT116" s="142">
        <f t="shared" si="86"/>
        <v>613338</v>
      </c>
      <c r="AU116" s="142">
        <f t="shared" si="86"/>
        <v>617722</v>
      </c>
      <c r="AV116" s="142">
        <f t="shared" si="86"/>
        <v>617437</v>
      </c>
      <c r="AW116" s="142">
        <f t="shared" si="86"/>
        <v>724646</v>
      </c>
      <c r="AX116" s="142">
        <f t="shared" si="86"/>
        <v>664644.11199999996</v>
      </c>
      <c r="AY116" s="142">
        <f t="shared" si="86"/>
        <v>680422.45899999992</v>
      </c>
      <c r="AZ116" s="142">
        <f t="shared" si="86"/>
        <v>673443.95099999988</v>
      </c>
      <c r="BA116" s="142">
        <f t="shared" si="86"/>
        <v>746250.20599999989</v>
      </c>
      <c r="BB116" s="142">
        <f t="shared" si="86"/>
        <v>724615.94799999997</v>
      </c>
      <c r="BC116" s="142">
        <f t="shared" si="86"/>
        <v>723016.92699999991</v>
      </c>
      <c r="BD116" s="142">
        <f t="shared" si="86"/>
        <v>747554</v>
      </c>
      <c r="BE116" s="142">
        <f t="shared" si="86"/>
        <v>837114.40299999982</v>
      </c>
      <c r="BF116" s="142">
        <f t="shared" si="86"/>
        <v>775241</v>
      </c>
    </row>
    <row r="117" spans="2:58">
      <c r="B117" s="111"/>
      <c r="C117" s="112"/>
      <c r="D117" s="112"/>
      <c r="E117" s="112"/>
      <c r="F117" s="112"/>
      <c r="G117" s="112"/>
      <c r="H117" s="112"/>
      <c r="I117" s="112"/>
      <c r="J117" s="112"/>
      <c r="K117" s="112"/>
      <c r="L117" s="112"/>
      <c r="M117" s="112"/>
      <c r="N117" s="112"/>
      <c r="O117" s="112"/>
      <c r="P117" s="112"/>
      <c r="Q117" s="112"/>
      <c r="R117" s="112"/>
      <c r="S117" s="112"/>
      <c r="T117" s="112"/>
      <c r="U117" s="112"/>
      <c r="V117" s="112"/>
      <c r="W117" s="112"/>
      <c r="X117" s="112"/>
      <c r="Y117" s="112"/>
      <c r="Z117" s="112"/>
      <c r="AA117" s="112"/>
      <c r="AB117" s="112"/>
      <c r="AC117" s="112"/>
      <c r="AD117" s="112"/>
      <c r="AE117" s="112"/>
      <c r="AF117" s="112"/>
      <c r="AG117" s="112"/>
      <c r="AH117" s="112"/>
      <c r="AI117" s="112"/>
      <c r="AJ117" s="112"/>
      <c r="AK117" s="112"/>
      <c r="AL117" s="112"/>
      <c r="AM117" s="112"/>
      <c r="AN117" s="112"/>
      <c r="AP117" s="112"/>
      <c r="AQ117" s="112"/>
      <c r="AR117" s="112"/>
      <c r="AS117" s="112"/>
      <c r="AT117" s="112"/>
      <c r="AU117" s="112"/>
      <c r="AV117" s="112"/>
      <c r="AW117" s="112"/>
      <c r="AX117" s="112"/>
      <c r="AY117" s="112"/>
      <c r="AZ117" s="112"/>
      <c r="BA117" s="112"/>
      <c r="BB117" s="112"/>
      <c r="BC117" s="112"/>
      <c r="BD117" s="112"/>
      <c r="BE117" s="112"/>
      <c r="BF117" s="112"/>
    </row>
    <row r="118" spans="2:58">
      <c r="B118" s="113"/>
      <c r="C118" s="112"/>
      <c r="D118" s="112"/>
      <c r="E118" s="112"/>
      <c r="F118" s="112"/>
      <c r="G118" s="112"/>
      <c r="H118" s="112"/>
      <c r="I118" s="112"/>
      <c r="J118" s="112"/>
      <c r="K118" s="112"/>
      <c r="L118" s="112"/>
      <c r="M118" s="112"/>
      <c r="N118" s="112"/>
      <c r="O118" s="112"/>
      <c r="P118" s="112"/>
      <c r="Q118" s="112"/>
      <c r="R118" s="112"/>
      <c r="S118" s="112"/>
      <c r="T118" s="112"/>
      <c r="U118" s="112"/>
      <c r="V118" s="112"/>
      <c r="W118" s="112"/>
      <c r="X118" s="112"/>
      <c r="Y118" s="112"/>
      <c r="Z118" s="112"/>
      <c r="AA118" s="112"/>
      <c r="AB118" s="112"/>
      <c r="AC118" s="112"/>
      <c r="AD118" s="112"/>
      <c r="AE118" s="112"/>
      <c r="AF118" s="112"/>
      <c r="AG118" s="112"/>
      <c r="AH118" s="112"/>
      <c r="AI118" s="112"/>
      <c r="AJ118" s="112"/>
      <c r="AK118" s="112"/>
      <c r="AL118" s="112"/>
      <c r="AM118" s="112"/>
      <c r="AN118" s="112"/>
      <c r="AP118" s="112"/>
      <c r="AQ118" s="112"/>
      <c r="AR118" s="112"/>
      <c r="AS118" s="112"/>
      <c r="AT118" s="112"/>
      <c r="AU118" s="112"/>
      <c r="AV118" s="112"/>
      <c r="AW118" s="112"/>
      <c r="AX118" s="112"/>
      <c r="AY118" s="112"/>
      <c r="AZ118" s="112"/>
      <c r="BA118" s="112"/>
      <c r="BB118" s="112"/>
      <c r="BC118" s="112"/>
      <c r="BD118" s="112"/>
      <c r="BE118" s="112"/>
      <c r="BF118" s="112"/>
    </row>
    <row r="119" spans="2:58">
      <c r="B119" s="154" t="s">
        <v>408</v>
      </c>
      <c r="C119" s="112"/>
      <c r="D119" s="112"/>
      <c r="E119" s="112"/>
      <c r="F119" s="112"/>
      <c r="G119" s="112"/>
      <c r="H119" s="112"/>
      <c r="I119" s="112"/>
      <c r="J119" s="112"/>
      <c r="K119" s="112"/>
      <c r="L119" s="112"/>
      <c r="M119" s="112"/>
      <c r="N119" s="112"/>
      <c r="O119" s="112"/>
      <c r="P119" s="112"/>
      <c r="Q119" s="112"/>
      <c r="R119" s="112"/>
      <c r="S119" s="112"/>
      <c r="T119" s="112"/>
      <c r="U119" s="112"/>
      <c r="V119" s="112"/>
      <c r="W119" s="112"/>
      <c r="X119" s="112"/>
      <c r="Y119" s="112"/>
      <c r="Z119" s="112"/>
      <c r="AA119" s="112"/>
      <c r="AB119" s="112"/>
      <c r="AC119" s="112"/>
      <c r="AD119" s="112"/>
      <c r="AE119" s="112"/>
      <c r="AF119" s="112"/>
      <c r="AG119" s="112"/>
      <c r="AH119" s="112"/>
      <c r="AI119" s="112"/>
      <c r="AJ119" s="112"/>
      <c r="AK119" s="112"/>
      <c r="AL119" s="112"/>
      <c r="AM119" s="112"/>
      <c r="AN119" s="112"/>
      <c r="AP119" s="112"/>
      <c r="AQ119" s="112"/>
      <c r="AR119" s="112"/>
      <c r="AS119" s="112"/>
      <c r="AT119" s="112"/>
      <c r="AU119" s="112"/>
      <c r="AV119" s="112"/>
      <c r="AW119" s="112"/>
      <c r="AX119" s="112"/>
      <c r="AY119" s="112"/>
      <c r="AZ119" s="112"/>
      <c r="BA119" s="112"/>
      <c r="BB119" s="112"/>
      <c r="BC119" s="112"/>
      <c r="BD119" s="112"/>
      <c r="BE119" s="112"/>
      <c r="BF119" s="112"/>
    </row>
    <row r="120" spans="2:58">
      <c r="B120" s="111"/>
      <c r="C120" s="112"/>
      <c r="D120" s="112"/>
      <c r="E120" s="112"/>
      <c r="F120" s="112"/>
      <c r="G120" s="112"/>
      <c r="H120" s="112"/>
      <c r="I120" s="112"/>
      <c r="J120" s="112"/>
      <c r="K120" s="112"/>
      <c r="L120" s="112"/>
      <c r="M120" s="112"/>
      <c r="N120" s="112"/>
      <c r="O120" s="112"/>
      <c r="P120" s="112"/>
      <c r="Q120" s="112"/>
      <c r="R120" s="112"/>
      <c r="S120" s="112"/>
      <c r="T120" s="112"/>
      <c r="U120" s="112"/>
      <c r="V120" s="112"/>
      <c r="W120" s="112"/>
      <c r="X120" s="112"/>
      <c r="Y120" s="112"/>
      <c r="Z120" s="112"/>
      <c r="AA120" s="112"/>
      <c r="AB120" s="112"/>
      <c r="AC120" s="112"/>
      <c r="AD120" s="112"/>
      <c r="AE120" s="112"/>
      <c r="AF120" s="112"/>
      <c r="AG120" s="112"/>
      <c r="AH120" s="112"/>
      <c r="AI120" s="112"/>
      <c r="AJ120" s="112"/>
      <c r="AK120" s="112"/>
      <c r="AL120" s="112"/>
      <c r="AM120" s="112"/>
      <c r="AN120" s="112"/>
      <c r="AP120" s="112"/>
      <c r="AQ120" s="112"/>
      <c r="AR120" s="112"/>
      <c r="AS120" s="112"/>
      <c r="AT120" s="112"/>
      <c r="AU120" s="112"/>
      <c r="AV120" s="112"/>
      <c r="AW120" s="112"/>
      <c r="AX120" s="112"/>
      <c r="AY120" s="112"/>
      <c r="AZ120" s="112"/>
      <c r="BA120" s="112"/>
      <c r="BB120" s="112"/>
      <c r="BC120" s="112"/>
      <c r="BD120" s="112"/>
      <c r="BE120" s="112"/>
      <c r="BF120" s="112"/>
    </row>
    <row r="121" spans="2:58">
      <c r="B121" s="143" t="s">
        <v>409</v>
      </c>
      <c r="C121" s="112"/>
      <c r="D121" s="112"/>
      <c r="E121" s="112"/>
      <c r="F121" s="112"/>
      <c r="G121" s="112"/>
      <c r="H121" s="112"/>
      <c r="I121" s="112"/>
      <c r="J121" s="112"/>
      <c r="K121" s="112"/>
      <c r="L121" s="112"/>
      <c r="M121" s="112"/>
      <c r="N121" s="112"/>
      <c r="O121" s="112"/>
      <c r="P121" s="112"/>
      <c r="Q121" s="112"/>
      <c r="R121" s="112"/>
      <c r="S121" s="112"/>
      <c r="T121" s="112"/>
      <c r="U121" s="112"/>
      <c r="V121" s="112"/>
      <c r="W121" s="112"/>
      <c r="X121" s="112"/>
      <c r="Y121" s="112"/>
      <c r="Z121" s="112"/>
      <c r="AA121" s="112"/>
      <c r="AB121" s="112"/>
      <c r="AC121" s="112"/>
      <c r="AD121" s="112"/>
      <c r="AE121" s="112"/>
      <c r="AF121" s="112"/>
      <c r="AG121" s="112"/>
      <c r="AH121" s="112"/>
      <c r="AI121" s="112"/>
      <c r="AJ121" s="112"/>
      <c r="AK121" s="112"/>
      <c r="AL121" s="112"/>
      <c r="AM121" s="112"/>
      <c r="AN121" s="112"/>
      <c r="AP121" s="112"/>
      <c r="AQ121" s="112"/>
      <c r="AR121" s="112"/>
      <c r="AS121" s="112"/>
      <c r="AT121" s="112"/>
      <c r="AU121" s="112"/>
      <c r="AV121" s="112"/>
      <c r="AW121" s="112"/>
      <c r="AX121" s="112"/>
      <c r="AY121" s="112"/>
      <c r="AZ121" s="112"/>
      <c r="BA121" s="112"/>
      <c r="BB121" s="112"/>
      <c r="BC121" s="112"/>
      <c r="BD121" s="112"/>
      <c r="BE121" s="112"/>
      <c r="BF121" s="112"/>
    </row>
    <row r="122" spans="2:58">
      <c r="B122" s="111" t="s">
        <v>410</v>
      </c>
      <c r="C122" s="112">
        <v>2962</v>
      </c>
      <c r="D122" s="112">
        <v>3002</v>
      </c>
      <c r="E122" s="112">
        <v>3073</v>
      </c>
      <c r="F122" s="112">
        <v>3314</v>
      </c>
      <c r="G122" s="112">
        <v>3835</v>
      </c>
      <c r="H122" s="112">
        <v>2956</v>
      </c>
      <c r="I122" s="112">
        <v>3439</v>
      </c>
      <c r="J122" s="112">
        <v>3965</v>
      </c>
      <c r="K122" s="112">
        <v>5646</v>
      </c>
      <c r="L122" s="112">
        <v>5889</v>
      </c>
      <c r="M122" s="112">
        <v>6061</v>
      </c>
      <c r="N122" s="144">
        <f>BA122</f>
        <v>6355</v>
      </c>
      <c r="O122" s="144">
        <f t="shared" ref="O122:P124" si="87">BE122</f>
        <v>6591</v>
      </c>
      <c r="P122" s="144">
        <f t="shared" si="87"/>
        <v>6653</v>
      </c>
      <c r="Q122" s="112"/>
      <c r="R122" s="112">
        <v>3012</v>
      </c>
      <c r="S122" s="112">
        <v>3001</v>
      </c>
      <c r="T122" s="112">
        <v>3038</v>
      </c>
      <c r="U122" s="144">
        <v>3073</v>
      </c>
      <c r="V122" s="112">
        <v>3107</v>
      </c>
      <c r="W122" s="112">
        <v>3134</v>
      </c>
      <c r="X122" s="112">
        <v>3184</v>
      </c>
      <c r="Y122" s="144">
        <f>F122</f>
        <v>3314</v>
      </c>
      <c r="Z122" s="112">
        <v>3448</v>
      </c>
      <c r="AA122" s="112">
        <v>3589</v>
      </c>
      <c r="AB122" s="112">
        <v>3716</v>
      </c>
      <c r="AC122" s="144">
        <f>G122</f>
        <v>3835</v>
      </c>
      <c r="AD122" s="112">
        <v>3973</v>
      </c>
      <c r="AE122" s="112">
        <v>4046</v>
      </c>
      <c r="AF122" s="112">
        <v>4140</v>
      </c>
      <c r="AG122" s="112">
        <f>I122</f>
        <v>3439</v>
      </c>
      <c r="AH122" s="112">
        <v>4562</v>
      </c>
      <c r="AI122" s="112">
        <v>4631</v>
      </c>
      <c r="AJ122" s="112">
        <v>4832</v>
      </c>
      <c r="AK122" s="112">
        <f>J122</f>
        <v>3965</v>
      </c>
      <c r="AL122" s="112">
        <v>5242</v>
      </c>
      <c r="AM122" s="112">
        <v>5426</v>
      </c>
      <c r="AN122" s="112">
        <v>5549</v>
      </c>
      <c r="AO122" s="112">
        <f>K122</f>
        <v>5646</v>
      </c>
      <c r="AP122" s="112">
        <v>5710</v>
      </c>
      <c r="AQ122" s="112">
        <v>5769</v>
      </c>
      <c r="AR122" s="112">
        <v>5830</v>
      </c>
      <c r="AS122" s="112">
        <f>L122</f>
        <v>5889</v>
      </c>
      <c r="AT122" s="112">
        <v>5942</v>
      </c>
      <c r="AU122" s="112">
        <v>5943</v>
      </c>
      <c r="AV122" s="112">
        <v>5971</v>
      </c>
      <c r="AW122" s="112">
        <f>M122</f>
        <v>6061</v>
      </c>
      <c r="AX122" s="112">
        <v>6118</v>
      </c>
      <c r="AY122" s="112">
        <v>6212</v>
      </c>
      <c r="AZ122" s="112">
        <v>6277</v>
      </c>
      <c r="BA122" s="112">
        <v>6355</v>
      </c>
      <c r="BB122" s="112">
        <v>6408</v>
      </c>
      <c r="BC122" s="112">
        <v>6451</v>
      </c>
      <c r="BD122" s="112">
        <v>6516</v>
      </c>
      <c r="BE122" s="112">
        <v>6591</v>
      </c>
      <c r="BF122" s="112">
        <v>6653</v>
      </c>
    </row>
    <row r="123" spans="2:58">
      <c r="B123" s="111" t="s">
        <v>411</v>
      </c>
      <c r="C123" s="112">
        <v>6279</v>
      </c>
      <c r="D123" s="112">
        <v>5991</v>
      </c>
      <c r="E123" s="112">
        <v>5703</v>
      </c>
      <c r="F123" s="112">
        <v>4978</v>
      </c>
      <c r="G123" s="112">
        <v>4769</v>
      </c>
      <c r="H123" s="112">
        <v>4769</v>
      </c>
      <c r="I123" s="112">
        <v>4108</v>
      </c>
      <c r="J123" s="112">
        <v>3488</v>
      </c>
      <c r="K123" s="112">
        <v>3635</v>
      </c>
      <c r="L123" s="112">
        <v>3482</v>
      </c>
      <c r="M123" s="112">
        <v>3294</v>
      </c>
      <c r="N123" s="144">
        <f>BA123</f>
        <v>2905</v>
      </c>
      <c r="O123" s="144">
        <f t="shared" si="87"/>
        <v>1976</v>
      </c>
      <c r="P123" s="144">
        <f t="shared" si="87"/>
        <v>1926</v>
      </c>
      <c r="Q123" s="112"/>
      <c r="R123" s="112">
        <v>6110</v>
      </c>
      <c r="S123" s="112">
        <v>5937</v>
      </c>
      <c r="T123" s="112">
        <v>5701</v>
      </c>
      <c r="U123" s="144">
        <v>5703</v>
      </c>
      <c r="V123" s="112">
        <v>5573</v>
      </c>
      <c r="W123" s="112">
        <v>5048</v>
      </c>
      <c r="X123" s="112">
        <v>4904</v>
      </c>
      <c r="Y123" s="144">
        <f>F123</f>
        <v>4978</v>
      </c>
      <c r="Z123" s="112">
        <v>5111</v>
      </c>
      <c r="AA123" s="112">
        <v>5047</v>
      </c>
      <c r="AB123" s="112">
        <v>4696</v>
      </c>
      <c r="AC123" s="144">
        <f>G123</f>
        <v>4769</v>
      </c>
      <c r="AD123" s="112">
        <v>4717</v>
      </c>
      <c r="AE123" s="112">
        <v>4588</v>
      </c>
      <c r="AF123" s="112">
        <v>4463</v>
      </c>
      <c r="AG123" s="112">
        <f>I123</f>
        <v>4108</v>
      </c>
      <c r="AH123" s="112">
        <v>3765</v>
      </c>
      <c r="AI123" s="112">
        <v>3468</v>
      </c>
      <c r="AJ123" s="112">
        <v>3643</v>
      </c>
      <c r="AK123" s="112">
        <f>J123</f>
        <v>3488</v>
      </c>
      <c r="AL123" s="112">
        <v>3541</v>
      </c>
      <c r="AM123" s="112">
        <v>3573</v>
      </c>
      <c r="AN123" s="112">
        <v>3545</v>
      </c>
      <c r="AO123" s="112">
        <f>K123</f>
        <v>3635</v>
      </c>
      <c r="AP123" s="112">
        <v>3730</v>
      </c>
      <c r="AQ123" s="112">
        <v>3498</v>
      </c>
      <c r="AR123" s="112">
        <v>3399</v>
      </c>
      <c r="AS123" s="112">
        <f>L123</f>
        <v>3482</v>
      </c>
      <c r="AT123" s="112">
        <v>3463</v>
      </c>
      <c r="AU123" s="112">
        <v>3379</v>
      </c>
      <c r="AV123" s="112">
        <v>3484</v>
      </c>
      <c r="AW123" s="112">
        <f>M123</f>
        <v>3294</v>
      </c>
      <c r="AX123" s="112">
        <v>3049</v>
      </c>
      <c r="AY123" s="112">
        <v>2763</v>
      </c>
      <c r="AZ123" s="112">
        <v>2858</v>
      </c>
      <c r="BA123" s="112">
        <v>2905</v>
      </c>
      <c r="BB123" s="112">
        <v>2601</v>
      </c>
      <c r="BC123" s="112">
        <v>2120</v>
      </c>
      <c r="BD123" s="112">
        <v>2013</v>
      </c>
      <c r="BE123" s="112">
        <v>1976</v>
      </c>
      <c r="BF123" s="112">
        <v>1926</v>
      </c>
    </row>
    <row r="124" spans="2:58">
      <c r="B124" s="113" t="s">
        <v>412</v>
      </c>
      <c r="C124" s="112">
        <v>861</v>
      </c>
      <c r="D124" s="112">
        <v>778</v>
      </c>
      <c r="E124" s="112">
        <v>738</v>
      </c>
      <c r="F124" s="112">
        <v>705</v>
      </c>
      <c r="G124" s="112">
        <v>656</v>
      </c>
      <c r="H124" s="112">
        <v>656</v>
      </c>
      <c r="I124" s="112">
        <v>638</v>
      </c>
      <c r="J124" s="112">
        <v>732</v>
      </c>
      <c r="K124" s="112">
        <v>886</v>
      </c>
      <c r="L124" s="112">
        <v>1049</v>
      </c>
      <c r="M124" s="112">
        <v>1239</v>
      </c>
      <c r="N124" s="144">
        <f>BA124</f>
        <v>1439</v>
      </c>
      <c r="O124" s="144">
        <f t="shared" si="87"/>
        <v>1696</v>
      </c>
      <c r="P124" s="144">
        <f t="shared" si="87"/>
        <v>1732</v>
      </c>
      <c r="Q124" s="112"/>
      <c r="R124" s="112">
        <v>770</v>
      </c>
      <c r="S124" s="112">
        <v>764</v>
      </c>
      <c r="T124" s="112">
        <v>750</v>
      </c>
      <c r="U124" s="144">
        <v>738</v>
      </c>
      <c r="V124" s="112">
        <v>719</v>
      </c>
      <c r="W124" s="112">
        <v>698</v>
      </c>
      <c r="X124" s="112">
        <v>687</v>
      </c>
      <c r="Y124" s="144">
        <f>F124</f>
        <v>705</v>
      </c>
      <c r="Z124" s="112">
        <v>714</v>
      </c>
      <c r="AA124" s="112">
        <v>695</v>
      </c>
      <c r="AB124" s="112">
        <v>668</v>
      </c>
      <c r="AC124" s="144">
        <f>G124</f>
        <v>656</v>
      </c>
      <c r="AD124" s="112">
        <v>668</v>
      </c>
      <c r="AE124" s="112">
        <v>657</v>
      </c>
      <c r="AF124" s="112">
        <v>636</v>
      </c>
      <c r="AG124" s="112">
        <f>I124</f>
        <v>638</v>
      </c>
      <c r="AH124" s="112">
        <v>656</v>
      </c>
      <c r="AI124" s="112">
        <v>676</v>
      </c>
      <c r="AJ124" s="112">
        <v>734</v>
      </c>
      <c r="AK124" s="112">
        <f>J124</f>
        <v>732</v>
      </c>
      <c r="AL124" s="112">
        <v>783</v>
      </c>
      <c r="AM124" s="112">
        <v>803</v>
      </c>
      <c r="AN124" s="112">
        <v>858</v>
      </c>
      <c r="AO124" s="112">
        <f>K124</f>
        <v>886</v>
      </c>
      <c r="AP124" s="112">
        <v>858</v>
      </c>
      <c r="AQ124" s="112">
        <v>882</v>
      </c>
      <c r="AR124" s="112">
        <v>947</v>
      </c>
      <c r="AS124" s="112">
        <f>L124</f>
        <v>1049</v>
      </c>
      <c r="AT124" s="112">
        <v>1122</v>
      </c>
      <c r="AU124" s="112">
        <v>1145</v>
      </c>
      <c r="AV124" s="112">
        <v>1202</v>
      </c>
      <c r="AW124" s="112">
        <f>M124</f>
        <v>1239</v>
      </c>
      <c r="AX124" s="112">
        <v>1285</v>
      </c>
      <c r="AY124" s="112">
        <v>1331</v>
      </c>
      <c r="AZ124" s="112">
        <v>1359</v>
      </c>
      <c r="BA124" s="112">
        <v>1439</v>
      </c>
      <c r="BB124" s="112">
        <v>1550</v>
      </c>
      <c r="BC124" s="112">
        <v>1614</v>
      </c>
      <c r="BD124" s="112">
        <v>1657</v>
      </c>
      <c r="BE124" s="112">
        <v>1696</v>
      </c>
      <c r="BF124" s="112">
        <v>1732</v>
      </c>
    </row>
    <row r="125" spans="2:58" s="5" customFormat="1">
      <c r="B125" s="143" t="s">
        <v>413</v>
      </c>
      <c r="C125" s="142">
        <f t="shared" ref="C125:Z125" si="88">C122+C123+C124</f>
        <v>10102</v>
      </c>
      <c r="D125" s="142">
        <f t="shared" si="88"/>
        <v>9771</v>
      </c>
      <c r="E125" s="142">
        <f t="shared" si="88"/>
        <v>9514</v>
      </c>
      <c r="F125" s="142">
        <f t="shared" si="88"/>
        <v>8997</v>
      </c>
      <c r="G125" s="142">
        <f t="shared" si="88"/>
        <v>9260</v>
      </c>
      <c r="H125" s="142">
        <f t="shared" ref="H125:M125" si="89">H122+H123+H124</f>
        <v>8381</v>
      </c>
      <c r="I125" s="142">
        <f t="shared" si="89"/>
        <v>8185</v>
      </c>
      <c r="J125" s="142">
        <f t="shared" si="89"/>
        <v>8185</v>
      </c>
      <c r="K125" s="142">
        <f t="shared" si="89"/>
        <v>10167</v>
      </c>
      <c r="L125" s="142">
        <f t="shared" si="89"/>
        <v>10420</v>
      </c>
      <c r="M125" s="142">
        <f t="shared" si="89"/>
        <v>10594</v>
      </c>
      <c r="N125" s="142">
        <f>N122+N123+N124</f>
        <v>10699</v>
      </c>
      <c r="O125" s="142">
        <f>O122+O123+O124</f>
        <v>10263</v>
      </c>
      <c r="P125" s="142">
        <f>P122+P123+P124</f>
        <v>10311</v>
      </c>
      <c r="Q125" s="141"/>
      <c r="R125" s="142">
        <f t="shared" si="88"/>
        <v>9892</v>
      </c>
      <c r="S125" s="142">
        <f t="shared" si="88"/>
        <v>9702</v>
      </c>
      <c r="T125" s="142">
        <f t="shared" si="88"/>
        <v>9489</v>
      </c>
      <c r="U125" s="142">
        <f t="shared" si="88"/>
        <v>9514</v>
      </c>
      <c r="V125" s="142">
        <f t="shared" si="88"/>
        <v>9399</v>
      </c>
      <c r="W125" s="142">
        <f t="shared" si="88"/>
        <v>8880</v>
      </c>
      <c r="X125" s="142">
        <f t="shared" si="88"/>
        <v>8775</v>
      </c>
      <c r="Y125" s="142">
        <f t="shared" si="88"/>
        <v>8997</v>
      </c>
      <c r="Z125" s="142">
        <f t="shared" si="88"/>
        <v>9273</v>
      </c>
      <c r="AA125" s="142">
        <f t="shared" ref="AA125:AF125" si="90">AA122+AA123+AA124</f>
        <v>9331</v>
      </c>
      <c r="AB125" s="142">
        <f t="shared" si="90"/>
        <v>9080</v>
      </c>
      <c r="AC125" s="142">
        <f t="shared" si="90"/>
        <v>9260</v>
      </c>
      <c r="AD125" s="142">
        <f t="shared" si="90"/>
        <v>9358</v>
      </c>
      <c r="AE125" s="142">
        <f t="shared" si="90"/>
        <v>9291</v>
      </c>
      <c r="AF125" s="142">
        <f t="shared" si="90"/>
        <v>9239</v>
      </c>
      <c r="AG125" s="142">
        <f t="shared" ref="AG125:AM125" si="91">AG122+AG123+AG124</f>
        <v>8185</v>
      </c>
      <c r="AH125" s="142">
        <f t="shared" si="91"/>
        <v>8983</v>
      </c>
      <c r="AI125" s="142">
        <f t="shared" si="91"/>
        <v>8775</v>
      </c>
      <c r="AJ125" s="142">
        <f t="shared" si="91"/>
        <v>9209</v>
      </c>
      <c r="AK125" s="142">
        <f t="shared" si="91"/>
        <v>8185</v>
      </c>
      <c r="AL125" s="142">
        <f t="shared" si="91"/>
        <v>9566</v>
      </c>
      <c r="AM125" s="142">
        <f t="shared" si="91"/>
        <v>9802</v>
      </c>
      <c r="AN125" s="142">
        <f t="shared" ref="AN125:AS125" si="92">AN122+AN123+AN124</f>
        <v>9952</v>
      </c>
      <c r="AO125" s="142">
        <f t="shared" si="92"/>
        <v>10167</v>
      </c>
      <c r="AP125" s="142">
        <f t="shared" si="92"/>
        <v>10298</v>
      </c>
      <c r="AQ125" s="142">
        <f t="shared" si="92"/>
        <v>10149</v>
      </c>
      <c r="AR125" s="142">
        <f t="shared" si="92"/>
        <v>10176</v>
      </c>
      <c r="AS125" s="142">
        <f t="shared" si="92"/>
        <v>10420</v>
      </c>
      <c r="AT125" s="142">
        <f t="shared" ref="AT125:AY125" si="93">AT122+AT123+AT124</f>
        <v>10527</v>
      </c>
      <c r="AU125" s="142">
        <f t="shared" si="93"/>
        <v>10467</v>
      </c>
      <c r="AV125" s="142">
        <f t="shared" si="93"/>
        <v>10657</v>
      </c>
      <c r="AW125" s="142">
        <f t="shared" si="93"/>
        <v>10594</v>
      </c>
      <c r="AX125" s="142">
        <f>AX122+AX123+AX124</f>
        <v>10452</v>
      </c>
      <c r="AY125" s="142">
        <f t="shared" si="93"/>
        <v>10306</v>
      </c>
      <c r="AZ125" s="142">
        <f t="shared" ref="AZ125:BF125" si="94">AZ122+AZ123+AZ124</f>
        <v>10494</v>
      </c>
      <c r="BA125" s="142">
        <f t="shared" si="94"/>
        <v>10699</v>
      </c>
      <c r="BB125" s="142">
        <f t="shared" si="94"/>
        <v>10559</v>
      </c>
      <c r="BC125" s="142">
        <f t="shared" si="94"/>
        <v>10185</v>
      </c>
      <c r="BD125" s="142">
        <f t="shared" si="94"/>
        <v>10186</v>
      </c>
      <c r="BE125" s="142">
        <f t="shared" si="94"/>
        <v>10263</v>
      </c>
      <c r="BF125" s="142">
        <f t="shared" si="94"/>
        <v>10311</v>
      </c>
    </row>
    <row r="126" spans="2:58">
      <c r="B126" s="111"/>
      <c r="C126" s="112"/>
      <c r="D126" s="112"/>
      <c r="E126" s="112"/>
      <c r="F126" s="112"/>
      <c r="G126" s="112"/>
      <c r="H126" s="112"/>
      <c r="I126" s="112"/>
      <c r="J126" s="112"/>
      <c r="K126" s="112"/>
      <c r="L126" s="112"/>
      <c r="M126" s="112"/>
      <c r="N126" s="112"/>
      <c r="O126" s="112"/>
      <c r="P126" s="112"/>
      <c r="Q126" s="112"/>
      <c r="R126" s="112"/>
      <c r="S126" s="112"/>
      <c r="T126" s="112"/>
      <c r="U126" s="112"/>
      <c r="V126" s="112"/>
      <c r="W126" s="112"/>
      <c r="X126" s="112"/>
      <c r="Y126" s="112"/>
      <c r="Z126" s="112"/>
      <c r="AA126" s="112"/>
      <c r="AB126" s="112"/>
      <c r="AC126" s="112"/>
      <c r="AD126" s="112"/>
      <c r="AE126" s="112"/>
      <c r="AF126" s="112"/>
      <c r="AG126" s="112"/>
      <c r="AH126" s="112"/>
      <c r="AI126" s="112"/>
      <c r="AJ126" s="112"/>
      <c r="AK126" s="112"/>
      <c r="AL126" s="112"/>
      <c r="AM126" s="112"/>
      <c r="AN126" s="112"/>
      <c r="AO126" s="112"/>
      <c r="AP126" s="112"/>
      <c r="AQ126" s="112"/>
      <c r="AR126" s="112"/>
      <c r="AS126" s="112"/>
      <c r="AT126" s="112"/>
      <c r="AU126" s="112"/>
      <c r="AV126" s="112"/>
      <c r="AW126" s="112"/>
      <c r="AX126" s="112"/>
      <c r="AY126" s="112"/>
      <c r="AZ126" s="112"/>
      <c r="BA126" s="112"/>
      <c r="BB126" s="112"/>
      <c r="BC126" s="112"/>
      <c r="BD126" s="112"/>
      <c r="BE126" s="112"/>
      <c r="BF126" s="112"/>
    </row>
    <row r="127" spans="2:58">
      <c r="B127" s="114" t="s">
        <v>414</v>
      </c>
      <c r="C127" s="112"/>
      <c r="D127" s="112"/>
      <c r="E127" s="112"/>
      <c r="F127" s="112"/>
      <c r="G127" s="112"/>
      <c r="H127" s="112"/>
      <c r="I127" s="112"/>
      <c r="J127" s="112"/>
      <c r="K127" s="112"/>
      <c r="L127" s="112"/>
      <c r="M127" s="112"/>
      <c r="N127" s="112"/>
      <c r="O127" s="112"/>
      <c r="P127" s="112"/>
      <c r="Q127" s="112"/>
      <c r="R127" s="112"/>
      <c r="S127" s="112"/>
      <c r="T127" s="112"/>
      <c r="U127" s="112"/>
      <c r="V127" s="112"/>
      <c r="W127" s="112"/>
      <c r="X127" s="112"/>
      <c r="Y127" s="112"/>
      <c r="Z127" s="112"/>
      <c r="AA127" s="112"/>
      <c r="AB127" s="112"/>
      <c r="AC127" s="112"/>
      <c r="AD127" s="112"/>
      <c r="AE127" s="112"/>
      <c r="AF127" s="112"/>
      <c r="AG127" s="112"/>
      <c r="AH127" s="112"/>
      <c r="AI127" s="112"/>
      <c r="AJ127" s="112"/>
      <c r="AK127" s="112"/>
      <c r="AL127" s="112"/>
      <c r="AM127" s="112"/>
      <c r="AN127" s="112"/>
      <c r="AO127" s="112"/>
      <c r="AP127" s="112"/>
      <c r="AQ127" s="112"/>
      <c r="AR127" s="112"/>
      <c r="AS127" s="112"/>
      <c r="AT127" s="112"/>
      <c r="AU127" s="112"/>
      <c r="AV127" s="112"/>
      <c r="AW127" s="112"/>
      <c r="AX127" s="112"/>
      <c r="AY127" s="112"/>
      <c r="AZ127" s="112"/>
      <c r="BA127" s="112"/>
      <c r="BB127" s="112"/>
      <c r="BC127" s="112"/>
      <c r="BD127" s="112"/>
      <c r="BE127" s="112"/>
      <c r="BF127" s="112"/>
    </row>
    <row r="128" spans="2:58">
      <c r="B128" s="144" t="s">
        <v>415</v>
      </c>
      <c r="C128" s="112"/>
      <c r="D128" s="112"/>
      <c r="E128" s="112"/>
      <c r="F128" s="112"/>
      <c r="G128" s="112"/>
      <c r="H128" s="112"/>
      <c r="I128" s="112"/>
      <c r="J128" s="112"/>
      <c r="K128" s="112"/>
      <c r="L128" s="289"/>
      <c r="M128" s="289"/>
      <c r="N128" s="289"/>
      <c r="O128" s="289"/>
      <c r="P128" s="289"/>
      <c r="Q128" s="112"/>
      <c r="R128" s="112">
        <v>8604</v>
      </c>
      <c r="S128" s="112">
        <v>8341</v>
      </c>
      <c r="T128" s="112">
        <v>8388</v>
      </c>
      <c r="U128" s="112">
        <v>8563</v>
      </c>
      <c r="V128" s="112">
        <v>9346</v>
      </c>
      <c r="W128" s="112">
        <v>9867</v>
      </c>
      <c r="X128" s="112">
        <v>9947</v>
      </c>
      <c r="Y128" s="112">
        <v>10339</v>
      </c>
      <c r="Z128" s="112">
        <v>9359</v>
      </c>
      <c r="AA128" s="112">
        <v>9165</v>
      </c>
      <c r="AB128" s="112">
        <v>8911</v>
      </c>
      <c r="AC128" s="112">
        <v>9481</v>
      </c>
      <c r="AD128" s="112">
        <v>8624</v>
      </c>
      <c r="AE128" s="112">
        <v>8192</v>
      </c>
      <c r="AF128" s="112">
        <v>8678</v>
      </c>
      <c r="AG128" s="112">
        <v>8805</v>
      </c>
      <c r="AH128" s="112">
        <v>7338</v>
      </c>
      <c r="AI128" s="112">
        <v>7168</v>
      </c>
      <c r="AJ128" s="112">
        <v>7168</v>
      </c>
      <c r="AK128" s="112">
        <v>8805</v>
      </c>
      <c r="AL128" s="112">
        <v>7395</v>
      </c>
      <c r="AM128" s="112">
        <v>7472</v>
      </c>
      <c r="AN128" s="112">
        <v>7332</v>
      </c>
      <c r="AO128" s="112">
        <v>7338</v>
      </c>
      <c r="AP128" s="112">
        <v>7037</v>
      </c>
      <c r="AQ128" s="112">
        <v>7080</v>
      </c>
      <c r="AR128" s="112">
        <v>7080</v>
      </c>
      <c r="AS128" s="112">
        <v>7032</v>
      </c>
      <c r="AT128" s="112">
        <v>7029</v>
      </c>
      <c r="AU128" s="112">
        <v>6956</v>
      </c>
      <c r="AV128" s="112">
        <v>6844</v>
      </c>
      <c r="AW128" s="112">
        <v>56839</v>
      </c>
      <c r="AX128" s="112">
        <v>8421</v>
      </c>
      <c r="AY128" s="112">
        <v>7014</v>
      </c>
      <c r="AZ128" s="112">
        <v>7226</v>
      </c>
      <c r="BA128" s="112">
        <v>9007</v>
      </c>
      <c r="BB128" s="112">
        <v>9522</v>
      </c>
      <c r="BC128" s="112">
        <v>9379</v>
      </c>
      <c r="BD128" s="112">
        <v>9826</v>
      </c>
      <c r="BE128" s="112">
        <v>10190</v>
      </c>
      <c r="BF128" s="112">
        <v>10171</v>
      </c>
    </row>
    <row r="129" spans="2:58">
      <c r="B129" s="111"/>
      <c r="C129" s="112"/>
      <c r="D129" s="112"/>
      <c r="E129" s="112"/>
      <c r="F129" s="112"/>
      <c r="G129" s="112"/>
      <c r="H129" s="112"/>
      <c r="I129" s="112"/>
      <c r="J129" s="112"/>
      <c r="K129" s="112"/>
      <c r="L129" s="112"/>
      <c r="M129" s="112"/>
      <c r="N129" s="112"/>
      <c r="O129" s="112"/>
      <c r="P129" s="112"/>
      <c r="Q129" s="112"/>
      <c r="R129" s="112"/>
      <c r="S129" s="112"/>
      <c r="T129" s="112"/>
      <c r="U129" s="112"/>
      <c r="V129" s="112"/>
      <c r="W129" s="112"/>
      <c r="X129" s="112"/>
      <c r="Y129" s="112"/>
      <c r="Z129" s="112"/>
      <c r="AA129" s="112"/>
      <c r="AB129" s="112"/>
      <c r="AC129" s="112"/>
      <c r="AD129" s="112"/>
      <c r="AE129" s="112"/>
      <c r="AF129" s="112"/>
      <c r="AG129" s="112"/>
      <c r="AH129" s="112"/>
      <c r="AI129" s="112"/>
      <c r="AJ129" s="112"/>
      <c r="AK129" s="112"/>
      <c r="AL129" s="112"/>
      <c r="AM129" s="112"/>
      <c r="AN129" s="112"/>
      <c r="AO129" s="112"/>
      <c r="AP129" s="112"/>
      <c r="AQ129" s="112"/>
      <c r="AR129" s="112"/>
      <c r="AS129" s="112"/>
      <c r="AT129" s="112"/>
      <c r="AU129" s="112"/>
      <c r="AV129" s="112"/>
      <c r="AW129" s="112"/>
      <c r="AX129" s="112"/>
      <c r="AY129" s="112"/>
      <c r="AZ129" s="112"/>
      <c r="BA129" s="112"/>
      <c r="BB129" s="112"/>
      <c r="BC129" s="112"/>
      <c r="BD129" s="112"/>
      <c r="BE129" s="112"/>
      <c r="BF129" s="112"/>
    </row>
    <row r="130" spans="2:58">
      <c r="B130" s="114" t="s">
        <v>416</v>
      </c>
      <c r="C130" s="153"/>
      <c r="D130" s="153"/>
      <c r="E130" s="153"/>
      <c r="F130" s="153"/>
      <c r="G130" s="153"/>
      <c r="H130" s="153"/>
      <c r="I130" s="153"/>
      <c r="J130" s="153"/>
      <c r="K130" s="153"/>
      <c r="L130" s="289"/>
      <c r="M130" s="289"/>
      <c r="N130" s="289"/>
      <c r="O130" s="289"/>
      <c r="P130" s="289"/>
      <c r="Q130" s="112"/>
      <c r="R130" s="112"/>
      <c r="S130" s="112"/>
      <c r="T130" s="112"/>
      <c r="U130" s="112"/>
      <c r="V130" s="112"/>
      <c r="W130" s="112"/>
      <c r="X130" s="112"/>
      <c r="Y130" s="112"/>
      <c r="Z130" s="112"/>
      <c r="AA130" s="112"/>
      <c r="AB130" s="112"/>
      <c r="AC130" s="112"/>
      <c r="AD130" s="112"/>
      <c r="AE130" s="112"/>
      <c r="AF130" s="112"/>
      <c r="AG130" s="112"/>
      <c r="AH130" s="112"/>
      <c r="AI130" s="112"/>
      <c r="AJ130" s="112"/>
      <c r="AK130" s="112"/>
      <c r="AL130" s="112"/>
      <c r="AM130" s="112"/>
      <c r="AN130" s="112"/>
      <c r="AO130" s="112"/>
      <c r="AP130" s="112"/>
      <c r="AQ130" s="112"/>
      <c r="AR130" s="112"/>
      <c r="AS130" s="112"/>
      <c r="AT130" s="112"/>
      <c r="AU130" s="112"/>
      <c r="AV130" s="112"/>
      <c r="AW130" s="112"/>
      <c r="AX130" s="112"/>
      <c r="AY130" s="112"/>
      <c r="AZ130" s="112"/>
      <c r="BA130" s="112"/>
      <c r="BB130" s="112"/>
      <c r="BC130" s="112"/>
      <c r="BD130" s="112"/>
      <c r="BE130" s="112"/>
      <c r="BF130" s="112"/>
    </row>
    <row r="131" spans="2:58">
      <c r="B131" s="113" t="s">
        <v>417</v>
      </c>
      <c r="C131" s="153"/>
      <c r="D131" s="153"/>
      <c r="E131" s="153"/>
      <c r="F131" s="153"/>
      <c r="G131" s="153"/>
      <c r="H131" s="153"/>
      <c r="I131" s="153"/>
      <c r="J131" s="153"/>
      <c r="K131" s="153"/>
      <c r="L131" s="289"/>
      <c r="M131" s="289"/>
      <c r="N131" s="289"/>
      <c r="O131" s="289"/>
      <c r="P131" s="289"/>
      <c r="Q131" s="112"/>
      <c r="R131" s="112">
        <v>203</v>
      </c>
      <c r="S131" s="112">
        <v>207</v>
      </c>
      <c r="T131" s="112">
        <v>209</v>
      </c>
      <c r="U131" s="112">
        <v>219</v>
      </c>
      <c r="V131" s="112">
        <v>204</v>
      </c>
      <c r="W131" s="112">
        <v>217</v>
      </c>
      <c r="X131" s="112">
        <v>227</v>
      </c>
      <c r="Y131" s="112">
        <v>234</v>
      </c>
      <c r="Z131" s="112">
        <v>233</v>
      </c>
      <c r="AA131" s="112">
        <v>236</v>
      </c>
      <c r="AB131" s="112">
        <v>240</v>
      </c>
      <c r="AC131" s="112">
        <v>264</v>
      </c>
      <c r="AD131" s="112">
        <v>249</v>
      </c>
      <c r="AE131" s="112">
        <v>256</v>
      </c>
      <c r="AF131" s="112">
        <v>258</v>
      </c>
      <c r="AG131" s="112">
        <v>279</v>
      </c>
      <c r="AH131" s="112">
        <v>289</v>
      </c>
      <c r="AI131" s="112">
        <v>354</v>
      </c>
      <c r="AJ131" s="112">
        <v>376</v>
      </c>
      <c r="AK131" s="112">
        <v>353</v>
      </c>
      <c r="AL131" s="112">
        <v>342</v>
      </c>
      <c r="AM131" s="112">
        <v>343</v>
      </c>
      <c r="AN131" s="112">
        <v>320</v>
      </c>
      <c r="AO131" s="112">
        <v>312</v>
      </c>
      <c r="AP131" s="112">
        <v>297</v>
      </c>
      <c r="AQ131" s="112">
        <v>288.60000000000002</v>
      </c>
      <c r="AR131" s="112">
        <v>284</v>
      </c>
      <c r="AS131" s="112">
        <v>275</v>
      </c>
      <c r="AT131" s="112">
        <v>253.1</v>
      </c>
      <c r="AU131" s="112">
        <v>254.2</v>
      </c>
      <c r="AV131" s="112">
        <v>249</v>
      </c>
      <c r="AW131" s="112">
        <v>250.4</v>
      </c>
      <c r="AX131" s="112">
        <v>238.8</v>
      </c>
      <c r="AY131" s="112">
        <v>251</v>
      </c>
      <c r="AZ131" s="112">
        <v>246.2</v>
      </c>
      <c r="BA131" s="112">
        <v>248.5</v>
      </c>
      <c r="BB131" s="112">
        <v>227.2</v>
      </c>
      <c r="BC131" s="112">
        <v>239.5</v>
      </c>
      <c r="BD131" s="112">
        <v>237.8</v>
      </c>
      <c r="BE131" s="112">
        <v>235</v>
      </c>
      <c r="BF131" s="112">
        <v>214</v>
      </c>
    </row>
    <row r="132" spans="2:58">
      <c r="B132" s="111"/>
      <c r="C132" s="153"/>
      <c r="D132" s="153"/>
      <c r="E132" s="153"/>
      <c r="F132" s="153"/>
      <c r="G132" s="153"/>
      <c r="H132" s="153"/>
      <c r="I132" s="153"/>
      <c r="J132" s="153"/>
      <c r="K132" s="153"/>
      <c r="L132" s="289"/>
      <c r="M132" s="289"/>
      <c r="N132" s="289"/>
      <c r="O132" s="289"/>
      <c r="P132" s="289"/>
      <c r="Q132" s="112"/>
      <c r="R132" s="112"/>
      <c r="S132" s="112"/>
      <c r="T132" s="112"/>
      <c r="U132" s="112"/>
      <c r="V132" s="112"/>
      <c r="W132" s="112"/>
      <c r="X132" s="112"/>
      <c r="Y132" s="112"/>
      <c r="Z132" s="112"/>
      <c r="AA132" s="112"/>
      <c r="AB132" s="112"/>
      <c r="AC132" s="112"/>
      <c r="AD132" s="112"/>
      <c r="AE132" s="112"/>
      <c r="AF132" s="112"/>
      <c r="AG132" s="112"/>
      <c r="AH132" s="112"/>
      <c r="AI132" s="112"/>
      <c r="AJ132" s="112"/>
      <c r="AK132" s="112"/>
      <c r="AL132" s="112"/>
      <c r="AM132" s="112"/>
      <c r="AN132" s="112"/>
      <c r="AP132" s="112"/>
      <c r="AQ132" s="112"/>
      <c r="AR132" s="112"/>
      <c r="AS132" s="112"/>
      <c r="AT132" s="112"/>
      <c r="AU132" s="112"/>
      <c r="AV132" s="112"/>
      <c r="AW132" s="112"/>
      <c r="AX132" s="112"/>
      <c r="AY132" s="112"/>
      <c r="AZ132" s="112"/>
      <c r="BA132" s="112"/>
      <c r="BB132" s="112"/>
      <c r="BC132" s="112"/>
      <c r="BD132" s="112"/>
      <c r="BE132" s="112"/>
      <c r="BF132" s="112"/>
    </row>
    <row r="133" spans="2:58">
      <c r="B133" s="114" t="s">
        <v>418</v>
      </c>
      <c r="C133" s="153"/>
      <c r="D133" s="153"/>
      <c r="E133" s="153"/>
      <c r="F133" s="153"/>
      <c r="G133" s="153"/>
      <c r="H133" s="153"/>
      <c r="I133" s="153"/>
      <c r="J133" s="153"/>
      <c r="K133" s="153"/>
      <c r="L133" s="289"/>
      <c r="M133" s="289"/>
      <c r="N133" s="289"/>
      <c r="O133" s="289"/>
      <c r="P133" s="289"/>
      <c r="Q133" s="112"/>
      <c r="R133" s="112"/>
      <c r="S133" s="112"/>
      <c r="T133" s="112"/>
      <c r="U133" s="112"/>
      <c r="V133" s="112"/>
      <c r="W133" s="112"/>
      <c r="X133" s="112"/>
      <c r="Y133" s="112"/>
      <c r="Z133" s="112"/>
      <c r="AA133" s="112"/>
      <c r="AB133" s="112"/>
      <c r="AC133" s="112"/>
      <c r="AD133" s="112"/>
      <c r="AE133" s="112"/>
      <c r="AF133" s="112"/>
      <c r="AG133" s="112"/>
      <c r="AH133" s="112"/>
      <c r="AI133" s="112"/>
      <c r="AJ133" s="112"/>
      <c r="AK133" s="112"/>
      <c r="AL133" s="112"/>
      <c r="AM133" s="112"/>
      <c r="AN133" s="112"/>
      <c r="AP133" s="112"/>
      <c r="AQ133" s="112"/>
      <c r="AR133" s="112"/>
      <c r="AS133" s="112"/>
      <c r="AT133" s="112"/>
      <c r="AU133" s="112"/>
      <c r="AV133" s="112"/>
      <c r="AW133" s="112"/>
      <c r="AX133" s="112"/>
      <c r="AY133" s="112"/>
      <c r="AZ133" s="112"/>
      <c r="BA133" s="112"/>
      <c r="BB133" s="112"/>
      <c r="BC133" s="112"/>
      <c r="BD133" s="112"/>
      <c r="BE133" s="112"/>
      <c r="BF133" s="112"/>
    </row>
    <row r="134" spans="2:58">
      <c r="B134" s="113" t="s">
        <v>419</v>
      </c>
      <c r="C134" s="156"/>
      <c r="D134" s="156"/>
      <c r="E134" s="156"/>
      <c r="F134" s="156"/>
      <c r="G134" s="156"/>
      <c r="H134" s="156"/>
      <c r="I134" s="156"/>
      <c r="J134" s="156"/>
      <c r="K134" s="156"/>
      <c r="L134" s="293"/>
      <c r="M134" s="293"/>
      <c r="N134" s="293"/>
      <c r="O134" s="293"/>
      <c r="P134" s="293"/>
      <c r="Q134" s="112"/>
      <c r="R134" s="151">
        <v>2.01E-2</v>
      </c>
      <c r="S134" s="151">
        <v>2.4899999999999999E-2</v>
      </c>
      <c r="T134" s="151">
        <v>2.92E-2</v>
      </c>
      <c r="U134" s="151">
        <v>2.8400000000000002E-2</v>
      </c>
      <c r="V134" s="151">
        <v>2.87E-2</v>
      </c>
      <c r="W134" s="151">
        <v>4.3799999999999999E-2</v>
      </c>
      <c r="X134" s="151">
        <v>2.9399999999999999E-2</v>
      </c>
      <c r="Y134" s="151">
        <v>2.35E-2</v>
      </c>
      <c r="Z134" s="151">
        <v>1.9300000000000001E-2</v>
      </c>
      <c r="AA134" s="151">
        <v>2.3300000000000001E-2</v>
      </c>
      <c r="AB134" s="151">
        <v>0.03</v>
      </c>
      <c r="AC134" s="151">
        <v>1.72E-2</v>
      </c>
      <c r="AD134" s="151">
        <v>1.8499999999999999E-2</v>
      </c>
      <c r="AE134" s="151">
        <v>2.1499999999999998E-2</v>
      </c>
      <c r="AF134" s="151">
        <v>1.9400000000000001E-2</v>
      </c>
      <c r="AG134" s="151">
        <v>3.0300000000000001E-2</v>
      </c>
      <c r="AH134" s="151">
        <v>2.7799999999999998E-2</v>
      </c>
      <c r="AI134" s="151">
        <v>2.8500000000000001E-2</v>
      </c>
      <c r="AJ134" s="240">
        <v>1.04E-2</v>
      </c>
      <c r="AK134" s="151">
        <v>1.9699999999999999E-2</v>
      </c>
      <c r="AL134" s="151">
        <v>1.17E-2</v>
      </c>
      <c r="AM134" s="151">
        <v>1.17E-2</v>
      </c>
      <c r="AN134" s="240">
        <v>1.2999999999999999E-2</v>
      </c>
      <c r="AO134" s="151">
        <v>1.8800000000000001E-2</v>
      </c>
      <c r="AP134" s="151">
        <v>2.1000000000000001E-2</v>
      </c>
      <c r="AQ134" s="151">
        <v>2.8000000000000001E-2</v>
      </c>
      <c r="AR134" s="240">
        <v>2.46E-2</v>
      </c>
      <c r="AS134" s="240">
        <v>1.8599999999999998E-2</v>
      </c>
      <c r="AT134" s="240">
        <v>2.3099999999999999E-2</v>
      </c>
      <c r="AU134" s="151">
        <v>2.5000000000000001E-2</v>
      </c>
      <c r="AV134" s="240">
        <v>1.7000000000000001E-2</v>
      </c>
      <c r="AW134" s="240">
        <v>2.7E-2</v>
      </c>
      <c r="AX134" s="240">
        <v>2.8799999999999999E-2</v>
      </c>
      <c r="AY134" s="151">
        <v>2.8899999999999999E-2</v>
      </c>
      <c r="AZ134" s="240">
        <v>1.8599999999999998E-2</v>
      </c>
      <c r="BA134" s="240">
        <v>2.06E-2</v>
      </c>
      <c r="BB134" s="240">
        <v>0.03</v>
      </c>
      <c r="BC134" s="151">
        <v>3.1300000000000001E-2</v>
      </c>
      <c r="BD134" s="240">
        <v>1.9300000000000001E-2</v>
      </c>
      <c r="BE134" s="240">
        <v>2.12E-2</v>
      </c>
      <c r="BF134" s="240">
        <v>2.1000000000000001E-2</v>
      </c>
    </row>
    <row r="135" spans="2:58">
      <c r="B135" s="111"/>
      <c r="C135" s="153"/>
      <c r="D135" s="153"/>
      <c r="E135" s="153"/>
      <c r="F135" s="153"/>
      <c r="G135" s="153"/>
      <c r="H135" s="153"/>
      <c r="I135" s="153"/>
      <c r="J135" s="153"/>
      <c r="K135" s="153"/>
      <c r="L135" s="289"/>
      <c r="M135" s="289"/>
      <c r="N135" s="289"/>
      <c r="O135" s="289"/>
      <c r="P135" s="289"/>
      <c r="Q135" s="112"/>
      <c r="R135" s="112"/>
      <c r="S135" s="112"/>
      <c r="T135" s="112"/>
      <c r="U135" s="112"/>
      <c r="V135" s="112"/>
      <c r="W135" s="112"/>
      <c r="X135" s="112"/>
      <c r="Y135" s="112"/>
      <c r="Z135" s="112"/>
      <c r="AA135" s="112"/>
      <c r="AB135" s="112"/>
      <c r="AC135" s="112"/>
      <c r="AD135" s="112"/>
      <c r="AE135" s="112"/>
      <c r="AF135" s="112"/>
      <c r="AG135" s="112"/>
      <c r="AH135" s="112"/>
      <c r="AI135" s="112"/>
      <c r="AJ135" s="112"/>
      <c r="AK135" s="112"/>
      <c r="AL135" s="112"/>
      <c r="AM135" s="112"/>
      <c r="AN135" s="112"/>
      <c r="AO135" s="112"/>
      <c r="AP135" s="112"/>
      <c r="AQ135" s="112"/>
      <c r="AR135" s="112"/>
      <c r="AS135" s="112"/>
      <c r="AT135" s="112"/>
      <c r="AU135" s="112"/>
      <c r="AV135" s="112"/>
      <c r="AW135" s="112"/>
      <c r="AX135" s="112"/>
      <c r="AY135" s="112"/>
      <c r="AZ135" s="112"/>
      <c r="BA135" s="112"/>
      <c r="BB135" s="112"/>
      <c r="BC135" s="112"/>
      <c r="BD135" s="112"/>
      <c r="BE135" s="112"/>
      <c r="BF135" s="112"/>
    </row>
    <row r="136" spans="2:58">
      <c r="B136" s="114" t="s">
        <v>420</v>
      </c>
      <c r="C136" s="153"/>
      <c r="D136" s="153"/>
      <c r="E136" s="153"/>
      <c r="F136" s="153"/>
      <c r="G136" s="153"/>
      <c r="H136" s="153"/>
      <c r="I136" s="153"/>
      <c r="J136" s="153"/>
      <c r="K136" s="153"/>
      <c r="L136" s="289"/>
      <c r="M136" s="289"/>
      <c r="N136" s="289"/>
      <c r="O136" s="289"/>
      <c r="P136" s="289"/>
      <c r="Q136" s="112"/>
      <c r="R136" s="150">
        <v>0.82</v>
      </c>
      <c r="S136" s="150">
        <v>0.84</v>
      </c>
      <c r="T136" s="150">
        <v>0.86</v>
      </c>
      <c r="U136" s="150">
        <v>0.87</v>
      </c>
      <c r="V136" s="150">
        <v>0.89</v>
      </c>
      <c r="W136" s="150">
        <v>0.9</v>
      </c>
      <c r="X136" s="150">
        <v>0.91</v>
      </c>
      <c r="Y136" s="150">
        <v>0.93</v>
      </c>
      <c r="Z136" s="153"/>
      <c r="AA136" s="153"/>
      <c r="AB136" s="153"/>
      <c r="AC136" s="153"/>
      <c r="AD136" s="153"/>
      <c r="AE136" s="153"/>
      <c r="AF136" s="153"/>
      <c r="AG136" s="153"/>
      <c r="AH136" s="153"/>
      <c r="AI136" s="153"/>
      <c r="AJ136" s="153"/>
      <c r="AK136" s="153"/>
      <c r="AL136" s="153"/>
      <c r="AM136" s="153"/>
      <c r="AN136" s="153"/>
      <c r="AO136" s="153"/>
      <c r="AP136" s="153"/>
      <c r="AQ136" s="153"/>
      <c r="AR136" s="153"/>
      <c r="AS136" s="153"/>
      <c r="AT136" s="153"/>
      <c r="AU136" s="153"/>
      <c r="AV136" s="153"/>
      <c r="AW136" s="153"/>
      <c r="AX136" s="289"/>
      <c r="AY136" s="289"/>
      <c r="AZ136" s="289"/>
      <c r="BA136" s="289"/>
      <c r="BB136" s="289"/>
      <c r="BC136" s="289"/>
      <c r="BD136" s="289"/>
      <c r="BE136" s="289"/>
      <c r="BF136" s="289"/>
    </row>
    <row r="137" spans="2:58">
      <c r="B137" s="111"/>
      <c r="C137" s="153"/>
      <c r="D137" s="153"/>
      <c r="E137" s="153"/>
      <c r="F137" s="153"/>
      <c r="G137" s="153"/>
      <c r="H137" s="153"/>
      <c r="I137" s="153"/>
      <c r="J137" s="153"/>
      <c r="K137" s="153"/>
      <c r="L137" s="289"/>
      <c r="M137" s="289"/>
      <c r="N137" s="289"/>
      <c r="O137" s="289"/>
      <c r="P137" s="289"/>
      <c r="Q137" s="112"/>
      <c r="R137" s="112"/>
      <c r="S137" s="112"/>
      <c r="T137" s="112"/>
      <c r="U137" s="112"/>
      <c r="V137" s="112"/>
      <c r="W137" s="112"/>
      <c r="X137" s="112"/>
      <c r="Y137" s="112"/>
      <c r="Z137" s="112"/>
      <c r="AA137" s="112"/>
      <c r="AB137" s="112"/>
      <c r="AC137" s="112"/>
      <c r="AD137" s="112"/>
      <c r="AE137" s="112"/>
      <c r="AF137" s="112"/>
      <c r="AG137" s="112"/>
      <c r="AH137" s="112"/>
      <c r="AI137" s="112"/>
      <c r="AJ137" s="112"/>
      <c r="AK137" s="112"/>
      <c r="AL137" s="112"/>
      <c r="AM137" s="112"/>
      <c r="AN137" s="112"/>
      <c r="AO137" s="112"/>
      <c r="AP137" s="112"/>
      <c r="AQ137" s="112"/>
      <c r="AR137" s="112"/>
      <c r="AS137" s="112"/>
      <c r="AT137" s="112"/>
      <c r="AU137" s="112"/>
      <c r="AV137" s="112"/>
      <c r="AW137" s="112"/>
      <c r="AX137" s="112"/>
      <c r="AY137" s="112"/>
      <c r="AZ137" s="112"/>
      <c r="BA137" s="112"/>
      <c r="BB137" s="112"/>
      <c r="BC137" s="112"/>
      <c r="BD137" s="112"/>
      <c r="BE137" s="112"/>
      <c r="BF137" s="112"/>
    </row>
    <row r="138" spans="2:58">
      <c r="B138" s="114" t="s">
        <v>421</v>
      </c>
      <c r="C138" s="153"/>
      <c r="D138" s="153"/>
      <c r="E138" s="153"/>
      <c r="F138" s="153"/>
      <c r="G138" s="153"/>
      <c r="H138" s="153"/>
      <c r="I138" s="153"/>
      <c r="J138" s="153"/>
      <c r="K138" s="153"/>
      <c r="L138" s="289"/>
      <c r="M138" s="289"/>
      <c r="N138" s="289"/>
      <c r="O138" s="289"/>
      <c r="P138" s="289"/>
      <c r="Q138" s="112"/>
      <c r="R138" s="152">
        <v>0.76</v>
      </c>
      <c r="S138" s="152">
        <v>0.67</v>
      </c>
      <c r="T138" s="152">
        <v>1.62</v>
      </c>
      <c r="U138" s="152">
        <v>1.88</v>
      </c>
      <c r="V138" s="152">
        <v>2.42</v>
      </c>
      <c r="W138" s="152">
        <v>2.56</v>
      </c>
      <c r="X138" s="152">
        <v>3.36</v>
      </c>
      <c r="Y138" s="152">
        <v>4.25</v>
      </c>
      <c r="Z138" s="152">
        <v>5.29</v>
      </c>
      <c r="AA138" s="152">
        <v>6.71</v>
      </c>
      <c r="AB138" s="152">
        <v>8</v>
      </c>
      <c r="AC138" s="152">
        <v>9.14</v>
      </c>
      <c r="AD138" s="152">
        <v>9.68</v>
      </c>
      <c r="AE138" s="152">
        <v>10.35</v>
      </c>
      <c r="AF138" s="152">
        <v>10.76</v>
      </c>
      <c r="AG138" s="152">
        <v>10.45</v>
      </c>
      <c r="AH138" s="152">
        <v>12.78</v>
      </c>
      <c r="AI138" s="152">
        <v>13.97</v>
      </c>
      <c r="AJ138" s="152">
        <v>15.59</v>
      </c>
      <c r="AK138" s="152">
        <v>15.51</v>
      </c>
      <c r="AL138" s="152">
        <v>17.05</v>
      </c>
      <c r="AM138" s="152">
        <v>17.96</v>
      </c>
      <c r="AN138" s="152">
        <v>18.46</v>
      </c>
      <c r="AO138" s="152">
        <v>18.53</v>
      </c>
      <c r="AP138" s="152">
        <v>22.75</v>
      </c>
      <c r="AQ138" s="152">
        <v>20.079999999999998</v>
      </c>
      <c r="AR138" s="152">
        <v>21.95</v>
      </c>
      <c r="AS138" s="152">
        <v>22.91</v>
      </c>
      <c r="AT138" s="152">
        <v>27.39</v>
      </c>
      <c r="AU138" s="152">
        <v>26.05</v>
      </c>
      <c r="AV138" s="152">
        <v>28.18</v>
      </c>
      <c r="AW138" s="152">
        <v>27.71</v>
      </c>
      <c r="AX138" s="152">
        <v>27.8</v>
      </c>
      <c r="AY138" s="152">
        <v>28</v>
      </c>
      <c r="AZ138" s="152">
        <v>26</v>
      </c>
      <c r="BA138" s="152">
        <v>28.7</v>
      </c>
      <c r="BB138" s="152">
        <v>28.7</v>
      </c>
      <c r="BC138" s="152">
        <v>29.3</v>
      </c>
      <c r="BD138" s="152">
        <v>30</v>
      </c>
      <c r="BE138" s="152">
        <v>33.9</v>
      </c>
      <c r="BF138" s="152">
        <v>36</v>
      </c>
    </row>
    <row r="139" spans="2:58">
      <c r="B139" s="111"/>
      <c r="C139" s="153"/>
      <c r="D139" s="153"/>
      <c r="E139" s="153"/>
      <c r="F139" s="153"/>
      <c r="G139" s="153"/>
      <c r="H139" s="153"/>
      <c r="I139" s="153"/>
      <c r="J139" s="153"/>
      <c r="K139" s="153"/>
      <c r="L139" s="289"/>
      <c r="M139" s="289"/>
      <c r="N139" s="289"/>
      <c r="O139" s="289"/>
      <c r="P139" s="289"/>
      <c r="Q139" s="112"/>
      <c r="R139" s="112"/>
      <c r="S139" s="112"/>
      <c r="T139" s="112"/>
      <c r="U139" s="112"/>
      <c r="V139" s="112"/>
      <c r="W139" s="112"/>
      <c r="X139" s="112"/>
      <c r="Y139" s="112"/>
      <c r="Z139" s="112"/>
      <c r="AA139" s="112"/>
      <c r="AB139" s="112"/>
      <c r="AC139" s="112"/>
      <c r="AD139" s="112"/>
      <c r="AE139" s="112"/>
      <c r="AF139" s="112"/>
      <c r="AG139" s="112"/>
      <c r="AH139" s="112"/>
      <c r="AI139" s="112"/>
      <c r="AJ139" s="112"/>
      <c r="AK139" s="112"/>
      <c r="AL139" s="112"/>
      <c r="AM139" s="112"/>
      <c r="AN139" s="112"/>
      <c r="AO139" s="112"/>
      <c r="AP139" s="112"/>
      <c r="AQ139" s="112"/>
      <c r="AR139" s="112"/>
      <c r="AS139" s="112"/>
      <c r="AT139" s="152"/>
      <c r="AU139" s="112"/>
      <c r="AV139" s="112"/>
      <c r="AW139" s="112"/>
      <c r="AX139" s="152"/>
      <c r="AY139" s="112"/>
      <c r="AZ139" s="112"/>
      <c r="BA139" s="112"/>
      <c r="BB139" s="152"/>
      <c r="BC139" s="112"/>
      <c r="BD139" s="112"/>
      <c r="BE139" s="112"/>
      <c r="BF139" s="152"/>
    </row>
    <row r="140" spans="2:58">
      <c r="B140" s="114" t="s">
        <v>422</v>
      </c>
      <c r="C140" s="153"/>
      <c r="D140" s="153"/>
      <c r="E140" s="153"/>
      <c r="F140" s="153"/>
      <c r="G140" s="153"/>
      <c r="H140" s="153"/>
      <c r="I140" s="153"/>
      <c r="J140" s="153"/>
      <c r="K140" s="153"/>
      <c r="L140" s="289"/>
      <c r="M140" s="289"/>
      <c r="N140" s="289"/>
      <c r="O140" s="289"/>
      <c r="P140" s="289"/>
      <c r="Q140" s="112"/>
      <c r="R140" s="153"/>
      <c r="S140" s="153"/>
      <c r="T140" s="153"/>
      <c r="U140" s="153"/>
      <c r="V140" s="112">
        <v>2202</v>
      </c>
      <c r="W140" s="112">
        <v>2514</v>
      </c>
      <c r="X140" s="112">
        <v>2787</v>
      </c>
      <c r="Y140" s="112">
        <v>3133</v>
      </c>
      <c r="Z140" s="112">
        <v>3762</v>
      </c>
      <c r="AA140" s="112">
        <v>4173</v>
      </c>
      <c r="AB140" s="112">
        <v>4411</v>
      </c>
      <c r="AC140" s="112">
        <v>4661</v>
      </c>
      <c r="AD140" s="112">
        <v>4861</v>
      </c>
      <c r="AE140" s="112">
        <v>4986</v>
      </c>
      <c r="AF140" s="112">
        <v>5030</v>
      </c>
      <c r="AG140" s="112">
        <v>5207</v>
      </c>
      <c r="AH140" s="112">
        <v>5283</v>
      </c>
      <c r="AI140" s="112">
        <v>5533</v>
      </c>
      <c r="AJ140" s="112">
        <v>5928</v>
      </c>
      <c r="AK140" s="112">
        <v>6400</v>
      </c>
      <c r="AL140" s="112">
        <v>6593</v>
      </c>
      <c r="AM140" s="112">
        <v>6839</v>
      </c>
      <c r="AN140" s="112">
        <v>7021</v>
      </c>
      <c r="AO140" s="112">
        <v>7237</v>
      </c>
      <c r="AP140" s="112">
        <v>7167</v>
      </c>
      <c r="AQ140" s="112">
        <v>6876</v>
      </c>
      <c r="AR140" s="112">
        <v>6652</v>
      </c>
      <c r="AS140" s="112">
        <v>6466</v>
      </c>
      <c r="AT140" s="112">
        <v>6762</v>
      </c>
      <c r="AU140" s="112">
        <v>7228</v>
      </c>
      <c r="AV140" s="112">
        <v>7238</v>
      </c>
      <c r="AW140" s="112">
        <v>6911</v>
      </c>
      <c r="AX140" s="112">
        <v>5737</v>
      </c>
      <c r="AY140" s="112">
        <v>6520</v>
      </c>
      <c r="AZ140" s="112">
        <v>5200</v>
      </c>
      <c r="BA140" s="112">
        <v>4922</v>
      </c>
      <c r="BB140" s="112">
        <v>4674</v>
      </c>
      <c r="BC140" s="112">
        <v>4433</v>
      </c>
      <c r="BD140" s="112">
        <v>4206</v>
      </c>
      <c r="BE140" s="112">
        <v>4033</v>
      </c>
      <c r="BF140" s="112">
        <v>3838</v>
      </c>
    </row>
    <row r="141" spans="2:58">
      <c r="B141" s="111"/>
      <c r="C141" s="153"/>
      <c r="D141" s="153"/>
      <c r="E141" s="153"/>
      <c r="F141" s="153"/>
      <c r="G141" s="153"/>
      <c r="H141" s="153"/>
      <c r="I141" s="153"/>
      <c r="J141" s="153"/>
      <c r="K141" s="153"/>
      <c r="L141" s="289"/>
      <c r="M141" s="289"/>
      <c r="N141" s="289"/>
      <c r="O141" s="289"/>
      <c r="P141" s="289"/>
      <c r="Q141" s="112"/>
      <c r="R141" s="112"/>
      <c r="S141" s="112"/>
      <c r="T141" s="112"/>
      <c r="U141" s="112"/>
      <c r="V141" s="112"/>
      <c r="W141" s="112"/>
      <c r="X141" s="112"/>
      <c r="Y141" s="112"/>
      <c r="Z141" s="112"/>
      <c r="AA141" s="112"/>
      <c r="AB141" s="112"/>
      <c r="AC141" s="112"/>
      <c r="AD141" s="112"/>
      <c r="AE141" s="112"/>
      <c r="AF141" s="112"/>
      <c r="AG141" s="112"/>
      <c r="AH141" s="112"/>
      <c r="AI141" s="112"/>
      <c r="AJ141" s="112"/>
      <c r="AK141" s="112"/>
      <c r="AL141" s="112"/>
      <c r="AM141" s="112"/>
      <c r="AN141" s="112"/>
      <c r="AO141" s="112"/>
      <c r="AP141" s="112"/>
      <c r="AQ141" s="112"/>
      <c r="AR141" s="112"/>
      <c r="AS141" s="112"/>
      <c r="AT141" s="112"/>
      <c r="AU141" s="112"/>
      <c r="AV141" s="112"/>
      <c r="AW141" s="112"/>
      <c r="AX141" s="112"/>
      <c r="AY141" s="112"/>
      <c r="AZ141" s="112"/>
      <c r="BA141" s="112"/>
      <c r="BB141" s="112"/>
      <c r="BC141" s="112"/>
      <c r="BD141" s="112"/>
      <c r="BE141" s="112"/>
      <c r="BF141" s="112"/>
    </row>
    <row r="142" spans="2:58" hidden="1" outlineLevel="1">
      <c r="B142" s="143" t="s">
        <v>423</v>
      </c>
      <c r="C142" s="153"/>
      <c r="D142" s="153"/>
      <c r="E142" s="153"/>
      <c r="F142" s="153"/>
      <c r="G142" s="153"/>
      <c r="H142" s="153"/>
      <c r="I142" s="153"/>
      <c r="J142" s="153"/>
      <c r="K142" s="153"/>
      <c r="L142" s="289"/>
      <c r="M142" s="289"/>
      <c r="N142" s="289"/>
      <c r="O142" s="289"/>
      <c r="P142" s="289"/>
      <c r="Q142" s="112"/>
      <c r="R142" s="112"/>
      <c r="S142" s="112"/>
      <c r="T142" s="112"/>
      <c r="U142" s="112"/>
      <c r="V142" s="112"/>
      <c r="W142" s="112"/>
      <c r="X142" s="112"/>
      <c r="Y142" s="112"/>
      <c r="Z142" s="112"/>
      <c r="AA142" s="112"/>
      <c r="AB142" s="112"/>
      <c r="AC142" s="112"/>
      <c r="AD142" s="112"/>
      <c r="AE142" s="112"/>
      <c r="AF142" s="112"/>
      <c r="AG142" s="112"/>
      <c r="AH142" s="112"/>
      <c r="AI142" s="112"/>
      <c r="AJ142" s="112"/>
      <c r="AK142" s="112"/>
      <c r="AL142" s="112"/>
      <c r="AM142" s="112"/>
      <c r="AN142" s="112"/>
      <c r="AO142" s="112"/>
      <c r="AP142" s="112"/>
      <c r="AQ142" s="112"/>
      <c r="AR142" s="112"/>
      <c r="AS142" s="112"/>
      <c r="AT142" s="112"/>
      <c r="AU142" s="112"/>
      <c r="AV142" s="112"/>
      <c r="AW142" s="112"/>
      <c r="AX142" s="112"/>
      <c r="AY142" s="112"/>
      <c r="AZ142" s="112"/>
      <c r="BA142" s="112"/>
      <c r="BB142" s="112"/>
      <c r="BC142" s="112"/>
      <c r="BD142" s="112"/>
      <c r="BE142" s="112"/>
      <c r="BF142" s="112"/>
    </row>
    <row r="143" spans="2:58" hidden="1" outlineLevel="1">
      <c r="B143" s="111" t="s">
        <v>424</v>
      </c>
      <c r="C143" s="153"/>
      <c r="D143" s="153"/>
      <c r="E143" s="153"/>
      <c r="F143" s="153"/>
      <c r="G143" s="153"/>
      <c r="H143" s="153"/>
      <c r="I143" s="153"/>
      <c r="J143" s="153"/>
      <c r="K143" s="153"/>
      <c r="L143" s="289"/>
      <c r="M143" s="289"/>
      <c r="N143" s="289"/>
      <c r="O143" s="289"/>
      <c r="P143" s="289"/>
      <c r="Q143" s="112"/>
      <c r="R143" s="112">
        <v>20</v>
      </c>
      <c r="S143" s="112">
        <v>20</v>
      </c>
      <c r="T143" s="112">
        <v>20</v>
      </c>
      <c r="U143" s="112">
        <v>19</v>
      </c>
      <c r="V143" s="112">
        <v>19</v>
      </c>
      <c r="W143" s="112">
        <v>18</v>
      </c>
      <c r="X143" s="112">
        <v>18</v>
      </c>
      <c r="Y143" s="112">
        <v>18</v>
      </c>
      <c r="Z143" s="112">
        <v>17</v>
      </c>
      <c r="AA143" s="112">
        <v>17</v>
      </c>
      <c r="AB143" s="112">
        <v>17</v>
      </c>
      <c r="AC143" s="112">
        <v>16</v>
      </c>
      <c r="AD143" s="112">
        <v>15</v>
      </c>
      <c r="AE143" s="112">
        <v>15</v>
      </c>
      <c r="AF143" s="112">
        <v>14</v>
      </c>
      <c r="AG143" s="112">
        <v>14</v>
      </c>
      <c r="AH143" s="112">
        <v>14</v>
      </c>
      <c r="AI143" s="112">
        <v>13</v>
      </c>
      <c r="AJ143" s="112">
        <v>13</v>
      </c>
      <c r="AK143" s="112">
        <v>13</v>
      </c>
      <c r="AL143" s="112">
        <v>10</v>
      </c>
      <c r="AM143" s="112">
        <v>10</v>
      </c>
      <c r="AN143" s="112">
        <v>10</v>
      </c>
      <c r="AO143" s="112">
        <v>11</v>
      </c>
      <c r="AP143" s="112">
        <v>9</v>
      </c>
      <c r="AQ143" s="112">
        <v>9</v>
      </c>
      <c r="AR143" s="112">
        <v>9</v>
      </c>
      <c r="AS143" s="147"/>
      <c r="AT143" s="147"/>
      <c r="AU143" s="147"/>
      <c r="AV143" s="147"/>
      <c r="AW143" s="147"/>
      <c r="AX143" s="147"/>
      <c r="AY143" s="147"/>
      <c r="AZ143" s="147"/>
      <c r="BA143" s="147"/>
      <c r="BB143" s="147"/>
      <c r="BC143" s="147"/>
      <c r="BD143" s="147"/>
      <c r="BE143" s="147"/>
      <c r="BF143" s="147"/>
    </row>
    <row r="144" spans="2:58" hidden="1" outlineLevel="1">
      <c r="B144" s="111" t="s">
        <v>425</v>
      </c>
      <c r="C144" s="153"/>
      <c r="D144" s="153"/>
      <c r="E144" s="153"/>
      <c r="F144" s="153"/>
      <c r="G144" s="153"/>
      <c r="H144" s="153"/>
      <c r="I144" s="153"/>
      <c r="J144" s="153"/>
      <c r="K144" s="153"/>
      <c r="L144" s="289"/>
      <c r="M144" s="289"/>
      <c r="N144" s="289"/>
      <c r="O144" s="289"/>
      <c r="P144" s="289"/>
      <c r="Q144" s="112"/>
      <c r="R144" s="112">
        <v>259</v>
      </c>
      <c r="S144" s="112">
        <v>276</v>
      </c>
      <c r="T144" s="112">
        <v>286</v>
      </c>
      <c r="U144" s="112">
        <v>286</v>
      </c>
      <c r="V144" s="112">
        <v>169</v>
      </c>
      <c r="W144" s="112">
        <v>248</v>
      </c>
      <c r="X144" s="112">
        <v>251</v>
      </c>
      <c r="Y144" s="112">
        <v>248</v>
      </c>
      <c r="Z144" s="112">
        <v>242</v>
      </c>
      <c r="AA144" s="112">
        <v>238</v>
      </c>
      <c r="AB144" s="112">
        <v>227</v>
      </c>
      <c r="AC144" s="112">
        <v>249</v>
      </c>
      <c r="AD144" s="112">
        <v>216</v>
      </c>
      <c r="AE144" s="112">
        <v>213</v>
      </c>
      <c r="AF144" s="112">
        <v>205</v>
      </c>
      <c r="AG144" s="112">
        <v>195</v>
      </c>
      <c r="AH144" s="112">
        <v>197</v>
      </c>
      <c r="AI144" s="112">
        <v>185</v>
      </c>
      <c r="AJ144" s="112">
        <v>165</v>
      </c>
      <c r="AK144" s="112">
        <v>157</v>
      </c>
      <c r="AL144" s="112">
        <v>149</v>
      </c>
      <c r="AM144" s="112">
        <v>142</v>
      </c>
      <c r="AN144" s="112">
        <v>137</v>
      </c>
      <c r="AO144" s="112">
        <v>131</v>
      </c>
      <c r="AP144" s="112">
        <v>124</v>
      </c>
      <c r="AQ144" s="112">
        <v>118</v>
      </c>
      <c r="AR144" s="112">
        <v>111</v>
      </c>
      <c r="AS144" s="147"/>
      <c r="AT144" s="147"/>
      <c r="AU144" s="147"/>
      <c r="AV144" s="147"/>
      <c r="AW144" s="147"/>
      <c r="AX144" s="147"/>
      <c r="AY144" s="147"/>
      <c r="AZ144" s="147"/>
      <c r="BA144" s="147"/>
      <c r="BB144" s="147"/>
      <c r="BC144" s="147"/>
      <c r="BD144" s="147"/>
      <c r="BE144" s="147"/>
      <c r="BF144" s="147"/>
    </row>
    <row r="145" spans="2:58" hidden="1" outlineLevel="1">
      <c r="B145" s="111" t="s">
        <v>426</v>
      </c>
      <c r="C145" s="153"/>
      <c r="D145" s="153"/>
      <c r="E145" s="153"/>
      <c r="F145" s="153"/>
      <c r="G145" s="153"/>
      <c r="H145" s="153"/>
      <c r="I145" s="153"/>
      <c r="J145" s="153"/>
      <c r="K145" s="153"/>
      <c r="L145" s="289"/>
      <c r="M145" s="289"/>
      <c r="N145" s="289"/>
      <c r="O145" s="289"/>
      <c r="P145" s="289"/>
      <c r="Q145" s="112"/>
      <c r="R145" s="112">
        <v>14</v>
      </c>
      <c r="S145" s="112">
        <v>14</v>
      </c>
      <c r="T145" s="112">
        <v>14</v>
      </c>
      <c r="U145" s="112">
        <v>13</v>
      </c>
      <c r="V145" s="112">
        <v>13</v>
      </c>
      <c r="W145" s="112">
        <v>13</v>
      </c>
      <c r="X145" s="112">
        <v>12</v>
      </c>
      <c r="Y145" s="112">
        <v>13</v>
      </c>
      <c r="Z145" s="112">
        <v>12</v>
      </c>
      <c r="AA145" s="112">
        <v>12</v>
      </c>
      <c r="AB145" s="112">
        <v>12</v>
      </c>
      <c r="AC145" s="112">
        <v>12</v>
      </c>
      <c r="AD145" s="112">
        <v>12</v>
      </c>
      <c r="AE145" s="112">
        <v>12</v>
      </c>
      <c r="AF145" s="112">
        <v>12</v>
      </c>
      <c r="AG145" s="112">
        <v>12</v>
      </c>
      <c r="AH145" s="112">
        <v>12</v>
      </c>
      <c r="AI145" s="112">
        <v>11</v>
      </c>
      <c r="AJ145" s="112">
        <v>11</v>
      </c>
      <c r="AK145" s="112">
        <v>10</v>
      </c>
      <c r="AL145" s="112">
        <v>12</v>
      </c>
      <c r="AM145" s="112">
        <v>12</v>
      </c>
      <c r="AN145" s="112">
        <v>11</v>
      </c>
      <c r="AO145" s="112">
        <v>10</v>
      </c>
      <c r="AP145" s="112">
        <v>11</v>
      </c>
      <c r="AQ145" s="112">
        <v>10</v>
      </c>
      <c r="AR145" s="112">
        <v>10</v>
      </c>
      <c r="AS145" s="147"/>
      <c r="AT145" s="147"/>
      <c r="AU145" s="147"/>
      <c r="AV145" s="147"/>
      <c r="AW145" s="147"/>
      <c r="AX145" s="147"/>
      <c r="AY145" s="147"/>
      <c r="AZ145" s="147"/>
      <c r="BA145" s="147"/>
      <c r="BB145" s="147"/>
      <c r="BC145" s="147"/>
      <c r="BD145" s="147"/>
      <c r="BE145" s="147"/>
      <c r="BF145" s="147"/>
    </row>
    <row r="146" spans="2:58" hidden="1" outlineLevel="1">
      <c r="B146" s="111"/>
      <c r="C146" s="153"/>
      <c r="D146" s="153"/>
      <c r="E146" s="153"/>
      <c r="F146" s="153"/>
      <c r="G146" s="153"/>
      <c r="H146" s="153"/>
      <c r="I146" s="153"/>
      <c r="J146" s="153"/>
      <c r="K146" s="153"/>
      <c r="L146" s="289"/>
      <c r="M146" s="289"/>
      <c r="N146" s="289"/>
      <c r="O146" s="289"/>
      <c r="P146" s="289"/>
      <c r="Q146" s="112"/>
      <c r="R146" s="112"/>
      <c r="S146" s="112"/>
      <c r="T146" s="112"/>
      <c r="U146" s="112"/>
      <c r="V146" s="112"/>
      <c r="W146" s="112"/>
      <c r="X146" s="112"/>
      <c r="Y146" s="112"/>
      <c r="Z146" s="112"/>
      <c r="AA146" s="112"/>
      <c r="AB146" s="112"/>
      <c r="AC146" s="112"/>
      <c r="AD146" s="112"/>
      <c r="AE146" s="112"/>
      <c r="AF146" s="112"/>
      <c r="AG146" s="112"/>
      <c r="AH146" s="112"/>
      <c r="AI146" s="112"/>
      <c r="AJ146" s="112"/>
      <c r="AK146" s="112"/>
      <c r="AL146" s="112"/>
      <c r="AM146" s="112"/>
      <c r="AN146" s="112"/>
      <c r="AO146" s="112"/>
      <c r="AP146" s="112"/>
      <c r="AQ146" s="112"/>
      <c r="AR146" s="112"/>
      <c r="AS146" s="112"/>
      <c r="AT146" s="112"/>
      <c r="AU146" s="112"/>
      <c r="AV146" s="112"/>
      <c r="AW146" s="112"/>
      <c r="AX146" s="112"/>
      <c r="AY146" s="112"/>
      <c r="AZ146" s="112"/>
      <c r="BA146" s="112"/>
      <c r="BB146" s="112"/>
      <c r="BC146" s="112"/>
      <c r="BD146" s="112"/>
      <c r="BE146" s="112"/>
      <c r="BF146" s="112"/>
    </row>
    <row r="147" spans="2:58" collapsed="1">
      <c r="B147" s="114" t="s">
        <v>427</v>
      </c>
      <c r="C147" s="153"/>
      <c r="D147" s="153"/>
      <c r="E147" s="153"/>
      <c r="F147" s="153"/>
      <c r="G147" s="153"/>
      <c r="H147" s="153"/>
      <c r="I147" s="153"/>
      <c r="J147" s="153"/>
      <c r="K147" s="153"/>
      <c r="L147" s="289"/>
      <c r="M147" s="289"/>
      <c r="N147" s="289"/>
      <c r="O147" s="289"/>
      <c r="P147" s="289"/>
      <c r="Q147" s="112"/>
      <c r="R147" s="144">
        <f t="shared" ref="R147:Z147" si="95">R148+R149</f>
        <v>396</v>
      </c>
      <c r="S147" s="144">
        <f t="shared" si="95"/>
        <v>420</v>
      </c>
      <c r="T147" s="144">
        <f t="shared" si="95"/>
        <v>440</v>
      </c>
      <c r="U147" s="144">
        <f t="shared" si="95"/>
        <v>455</v>
      </c>
      <c r="V147" s="144">
        <f t="shared" si="95"/>
        <v>450.5</v>
      </c>
      <c r="W147" s="144">
        <f t="shared" si="95"/>
        <v>446.22</v>
      </c>
      <c r="X147" s="144">
        <f t="shared" si="95"/>
        <v>452.005</v>
      </c>
      <c r="Y147" s="144">
        <f t="shared" si="95"/>
        <v>447.41699999999997</v>
      </c>
      <c r="Z147" s="144">
        <f t="shared" si="95"/>
        <v>452.66700000000003</v>
      </c>
      <c r="AA147" s="144">
        <f t="shared" ref="AA147:AF147" si="96">AA148+AA149</f>
        <v>470.80100000000004</v>
      </c>
      <c r="AB147" s="144">
        <f t="shared" si="96"/>
        <v>451.80200000000002</v>
      </c>
      <c r="AC147" s="144">
        <f t="shared" si="96"/>
        <v>452.50400000000002</v>
      </c>
      <c r="AD147" s="144">
        <f t="shared" si="96"/>
        <v>472.00299999999999</v>
      </c>
      <c r="AE147" s="144">
        <f t="shared" si="96"/>
        <v>497.255</v>
      </c>
      <c r="AF147" s="144">
        <f t="shared" si="96"/>
        <v>508.00599999999997</v>
      </c>
      <c r="AG147" s="144">
        <f t="shared" ref="AG147:AM147" si="97">AG148+AG149</f>
        <v>510.57500000000005</v>
      </c>
      <c r="AH147" s="144">
        <f t="shared" si="97"/>
        <v>544.82299999999998</v>
      </c>
      <c r="AI147" s="144">
        <f t="shared" si="97"/>
        <v>543.596</v>
      </c>
      <c r="AJ147" s="144">
        <f t="shared" si="97"/>
        <v>536.21299999999997</v>
      </c>
      <c r="AK147" s="144">
        <f t="shared" si="97"/>
        <v>540.56899999999996</v>
      </c>
      <c r="AL147" s="144">
        <f t="shared" si="97"/>
        <v>546.43200000000002</v>
      </c>
      <c r="AM147" s="144">
        <f t="shared" si="97"/>
        <v>554.72299999999996</v>
      </c>
      <c r="AN147" s="144">
        <f t="shared" ref="AN147:AS147" si="98">AN148+AN149</f>
        <v>545.53499999999997</v>
      </c>
      <c r="AO147" s="144">
        <f t="shared" si="98"/>
        <v>513.39499999999998</v>
      </c>
      <c r="AP147" s="144">
        <f>AP148+AP149</f>
        <v>585.476</v>
      </c>
      <c r="AQ147" s="144">
        <f t="shared" si="98"/>
        <v>574</v>
      </c>
      <c r="AR147" s="144">
        <f t="shared" si="98"/>
        <v>563</v>
      </c>
      <c r="AS147" s="144">
        <f t="shared" si="98"/>
        <v>516</v>
      </c>
      <c r="AT147" s="266">
        <f t="shared" ref="AT147:AY147" si="99">AT148+AT149</f>
        <v>557</v>
      </c>
      <c r="AU147" s="144">
        <f t="shared" si="99"/>
        <v>546</v>
      </c>
      <c r="AV147" s="144">
        <f t="shared" si="99"/>
        <v>536</v>
      </c>
      <c r="AW147" s="144">
        <f t="shared" si="99"/>
        <v>526</v>
      </c>
      <c r="AX147" s="266">
        <f t="shared" si="99"/>
        <v>413</v>
      </c>
      <c r="AY147" s="144">
        <f t="shared" si="99"/>
        <v>570</v>
      </c>
      <c r="AZ147" s="144">
        <f t="shared" ref="AZ147:BF147" si="100">AZ148+AZ149</f>
        <v>468</v>
      </c>
      <c r="BA147" s="144">
        <f t="shared" si="100"/>
        <v>484</v>
      </c>
      <c r="BB147" s="266">
        <f t="shared" si="100"/>
        <v>495</v>
      </c>
      <c r="BC147" s="144">
        <f t="shared" si="100"/>
        <v>621</v>
      </c>
      <c r="BD147" s="144">
        <f t="shared" si="100"/>
        <v>501</v>
      </c>
      <c r="BE147" s="144">
        <f t="shared" si="100"/>
        <v>517</v>
      </c>
      <c r="BF147" s="266">
        <f t="shared" si="100"/>
        <v>526</v>
      </c>
    </row>
    <row r="148" spans="2:58">
      <c r="B148" s="113" t="s">
        <v>428</v>
      </c>
      <c r="C148" s="153"/>
      <c r="D148" s="153"/>
      <c r="E148" s="153"/>
      <c r="F148" s="153"/>
      <c r="G148" s="153"/>
      <c r="H148" s="153"/>
      <c r="I148" s="153"/>
      <c r="J148" s="153"/>
      <c r="K148" s="153"/>
      <c r="L148" s="289"/>
      <c r="M148" s="289"/>
      <c r="N148" s="289"/>
      <c r="O148" s="289"/>
      <c r="P148" s="289"/>
      <c r="Q148" s="112"/>
      <c r="R148" s="112">
        <v>0</v>
      </c>
      <c r="S148" s="112">
        <v>0</v>
      </c>
      <c r="T148" s="112">
        <v>0</v>
      </c>
      <c r="U148" s="112">
        <v>0</v>
      </c>
      <c r="V148" s="112">
        <v>0</v>
      </c>
      <c r="W148" s="112">
        <v>0</v>
      </c>
      <c r="X148" s="112">
        <v>0</v>
      </c>
      <c r="Y148" s="112">
        <v>0</v>
      </c>
      <c r="Z148" s="112">
        <v>17.608000000000001</v>
      </c>
      <c r="AA148" s="112">
        <v>27.777999999999999</v>
      </c>
      <c r="AB148" s="112">
        <v>36.826999999999998</v>
      </c>
      <c r="AC148" s="112">
        <v>46.154000000000003</v>
      </c>
      <c r="AD148" s="112">
        <v>54.889000000000003</v>
      </c>
      <c r="AE148" s="112">
        <v>62.491</v>
      </c>
      <c r="AF148" s="112">
        <v>69.875</v>
      </c>
      <c r="AG148" s="112">
        <v>75.218000000000004</v>
      </c>
      <c r="AH148" s="112">
        <v>84.611999999999995</v>
      </c>
      <c r="AI148" s="112">
        <v>99.894999999999996</v>
      </c>
      <c r="AJ148" s="112">
        <v>120.914</v>
      </c>
      <c r="AK148" s="112">
        <v>140.92699999999999</v>
      </c>
      <c r="AL148" s="112">
        <v>177.40299999999999</v>
      </c>
      <c r="AM148" s="112">
        <v>211.51499999999999</v>
      </c>
      <c r="AN148" s="112">
        <v>237.39500000000001</v>
      </c>
      <c r="AO148" s="112">
        <v>233.989</v>
      </c>
      <c r="AP148" s="112">
        <v>277.476</v>
      </c>
      <c r="AQ148" s="112">
        <v>298</v>
      </c>
      <c r="AR148" s="112">
        <v>312</v>
      </c>
      <c r="AS148" s="112">
        <v>324</v>
      </c>
      <c r="AT148" s="112">
        <v>347</v>
      </c>
      <c r="AU148" s="112">
        <v>355</v>
      </c>
      <c r="AV148" s="112">
        <v>362</v>
      </c>
      <c r="AW148" s="112">
        <v>366</v>
      </c>
      <c r="AX148" s="112">
        <v>267</v>
      </c>
      <c r="AY148" s="112">
        <f>309+128</f>
        <v>437</v>
      </c>
      <c r="AZ148" s="112">
        <v>347</v>
      </c>
      <c r="BA148" s="112">
        <v>377</v>
      </c>
      <c r="BB148" s="112">
        <v>400</v>
      </c>
      <c r="BC148" s="112">
        <f>410+125</f>
        <v>535</v>
      </c>
      <c r="BD148" s="112">
        <v>422</v>
      </c>
      <c r="BE148" s="112">
        <v>446</v>
      </c>
      <c r="BF148" s="112">
        <v>483</v>
      </c>
    </row>
    <row r="149" spans="2:58">
      <c r="B149" s="111" t="s">
        <v>429</v>
      </c>
      <c r="C149" s="153"/>
      <c r="D149" s="153"/>
      <c r="E149" s="153"/>
      <c r="F149" s="153"/>
      <c r="G149" s="153"/>
      <c r="H149" s="153"/>
      <c r="I149" s="153"/>
      <c r="J149" s="153"/>
      <c r="K149" s="153"/>
      <c r="L149" s="289"/>
      <c r="M149" s="289"/>
      <c r="N149" s="289"/>
      <c r="O149" s="289"/>
      <c r="P149" s="289"/>
      <c r="Q149" s="112"/>
      <c r="R149" s="112">
        <v>396</v>
      </c>
      <c r="S149" s="112">
        <v>420</v>
      </c>
      <c r="T149" s="112">
        <v>440</v>
      </c>
      <c r="U149" s="112">
        <v>455</v>
      </c>
      <c r="V149" s="112">
        <v>450.5</v>
      </c>
      <c r="W149" s="112">
        <v>446.22</v>
      </c>
      <c r="X149" s="112">
        <v>452.005</v>
      </c>
      <c r="Y149" s="112">
        <v>447.41699999999997</v>
      </c>
      <c r="Z149" s="112">
        <v>435.05900000000003</v>
      </c>
      <c r="AA149" s="112">
        <v>443.02300000000002</v>
      </c>
      <c r="AB149" s="112">
        <v>414.97500000000002</v>
      </c>
      <c r="AC149" s="112">
        <v>406.35</v>
      </c>
      <c r="AD149" s="112">
        <v>417.11399999999998</v>
      </c>
      <c r="AE149" s="112">
        <v>434.76400000000001</v>
      </c>
      <c r="AF149" s="112">
        <v>438.13099999999997</v>
      </c>
      <c r="AG149" s="112">
        <v>435.35700000000003</v>
      </c>
      <c r="AH149" s="112">
        <v>460.21100000000001</v>
      </c>
      <c r="AI149" s="112">
        <v>443.70100000000002</v>
      </c>
      <c r="AJ149" s="112">
        <v>415.29899999999998</v>
      </c>
      <c r="AK149" s="112">
        <v>399.642</v>
      </c>
      <c r="AL149" s="112">
        <v>369.029</v>
      </c>
      <c r="AM149" s="112">
        <v>343.20800000000003</v>
      </c>
      <c r="AN149" s="112">
        <v>308.14</v>
      </c>
      <c r="AO149" s="112">
        <v>279.40600000000001</v>
      </c>
      <c r="AP149" s="112">
        <v>308</v>
      </c>
      <c r="AQ149" s="112">
        <v>276</v>
      </c>
      <c r="AR149" s="112">
        <v>251</v>
      </c>
      <c r="AS149" s="112">
        <v>192</v>
      </c>
      <c r="AT149" s="112">
        <v>210</v>
      </c>
      <c r="AU149" s="112">
        <v>191</v>
      </c>
      <c r="AV149" s="112">
        <v>174</v>
      </c>
      <c r="AW149" s="112">
        <v>160</v>
      </c>
      <c r="AX149" s="112">
        <v>146</v>
      </c>
      <c r="AY149" s="112">
        <v>133</v>
      </c>
      <c r="AZ149" s="112">
        <v>121</v>
      </c>
      <c r="BA149" s="112">
        <v>107</v>
      </c>
      <c r="BB149" s="112">
        <v>95</v>
      </c>
      <c r="BC149" s="112">
        <v>86</v>
      </c>
      <c r="BD149" s="112">
        <v>79</v>
      </c>
      <c r="BE149" s="112">
        <v>71</v>
      </c>
      <c r="BF149" s="112">
        <v>43</v>
      </c>
    </row>
    <row r="150" spans="2:58">
      <c r="B150" s="111"/>
      <c r="C150" s="112"/>
      <c r="D150" s="112"/>
      <c r="E150" s="112"/>
      <c r="F150" s="112"/>
      <c r="G150" s="112"/>
      <c r="H150" s="112"/>
      <c r="I150" s="112"/>
      <c r="J150" s="112"/>
      <c r="K150" s="112"/>
      <c r="L150" s="112"/>
      <c r="M150" s="112"/>
      <c r="N150" s="112"/>
      <c r="O150" s="112"/>
      <c r="P150" s="112"/>
      <c r="Q150" s="112"/>
      <c r="R150" s="112"/>
      <c r="S150" s="112"/>
      <c r="T150" s="112"/>
      <c r="U150" s="112"/>
      <c r="V150" s="112"/>
      <c r="W150" s="112"/>
      <c r="X150" s="112"/>
      <c r="Y150" s="112"/>
      <c r="Z150" s="112"/>
      <c r="AA150" s="112"/>
      <c r="AB150" s="112"/>
      <c r="AC150" s="112"/>
      <c r="AD150" s="112"/>
      <c r="AE150" s="112"/>
      <c r="AF150" s="112"/>
      <c r="AG150" s="112"/>
      <c r="AH150" s="112"/>
      <c r="AI150" s="112"/>
      <c r="AJ150" s="112"/>
      <c r="AK150" s="112"/>
      <c r="AL150" s="112"/>
      <c r="AM150" s="112"/>
      <c r="AN150" s="112"/>
      <c r="AP150" s="112"/>
      <c r="AQ150" s="112"/>
      <c r="AR150" s="112"/>
      <c r="AS150" s="112"/>
      <c r="AT150" s="267"/>
      <c r="AU150" s="112"/>
      <c r="AV150" s="112"/>
      <c r="AW150" s="112"/>
      <c r="AX150" s="267"/>
      <c r="AY150" s="112"/>
      <c r="AZ150" s="112"/>
      <c r="BA150" s="112"/>
      <c r="BB150" s="267"/>
      <c r="BC150" s="112"/>
      <c r="BD150" s="112"/>
      <c r="BE150" s="112"/>
      <c r="BF150" s="267"/>
    </row>
    <row r="151" spans="2:58">
      <c r="B151" s="113"/>
      <c r="C151" s="112"/>
      <c r="D151" s="112"/>
      <c r="E151" s="112"/>
      <c r="F151" s="112"/>
      <c r="G151" s="112"/>
      <c r="H151" s="112"/>
      <c r="I151" s="112"/>
      <c r="J151" s="112"/>
      <c r="K151" s="112"/>
      <c r="L151" s="112"/>
      <c r="M151" s="112"/>
      <c r="N151" s="112"/>
      <c r="O151" s="112"/>
      <c r="P151" s="112"/>
      <c r="Q151" s="112"/>
      <c r="R151" s="112"/>
      <c r="S151" s="112"/>
      <c r="T151" s="112"/>
      <c r="U151" s="112"/>
      <c r="V151" s="112"/>
      <c r="W151" s="112"/>
      <c r="X151" s="112"/>
      <c r="Y151" s="112"/>
      <c r="Z151" s="112"/>
      <c r="AA151" s="112"/>
      <c r="AB151" s="112"/>
      <c r="AC151" s="112"/>
      <c r="AD151" s="112"/>
      <c r="AE151" s="112"/>
      <c r="AF151" s="112"/>
      <c r="AG151" s="112"/>
      <c r="AH151" s="112"/>
      <c r="AI151" s="112"/>
      <c r="AJ151" s="112"/>
      <c r="AK151" s="112"/>
      <c r="AL151" s="112"/>
      <c r="AM151" s="112"/>
      <c r="AN151" s="112"/>
      <c r="AP151" s="112"/>
      <c r="AQ151" s="112"/>
      <c r="AR151" s="112"/>
      <c r="AS151" s="112"/>
      <c r="AT151" s="267"/>
      <c r="AU151" s="112"/>
      <c r="AV151" s="112"/>
      <c r="AW151" s="112"/>
      <c r="AX151" s="267"/>
      <c r="AY151" s="112"/>
      <c r="AZ151" s="112"/>
      <c r="BA151" s="112"/>
      <c r="BB151" s="267"/>
      <c r="BC151" s="112"/>
      <c r="BD151" s="112"/>
      <c r="BE151" s="112"/>
      <c r="BF151" s="267"/>
    </row>
    <row r="152" spans="2:58">
      <c r="B152" s="373" t="s">
        <v>430</v>
      </c>
      <c r="C152" s="374"/>
      <c r="D152" s="374"/>
      <c r="E152" s="374"/>
      <c r="F152" s="374"/>
      <c r="G152" s="374"/>
      <c r="H152" s="374"/>
      <c r="I152" s="374"/>
      <c r="J152" s="374"/>
      <c r="K152" s="374"/>
      <c r="L152" s="374"/>
      <c r="M152" s="374"/>
      <c r="N152" s="374"/>
      <c r="O152" s="374"/>
      <c r="P152" s="374"/>
      <c r="Q152" s="112"/>
      <c r="R152" s="374"/>
      <c r="S152" s="374"/>
      <c r="T152" s="374"/>
      <c r="U152" s="374"/>
      <c r="V152" s="374"/>
      <c r="W152" s="374"/>
      <c r="X152" s="374"/>
      <c r="Y152" s="374"/>
      <c r="Z152" s="374"/>
      <c r="AA152" s="374"/>
      <c r="AB152" s="374"/>
      <c r="AC152" s="374"/>
      <c r="AD152" s="374"/>
      <c r="AE152" s="374"/>
      <c r="AF152" s="374"/>
      <c r="AG152" s="374"/>
      <c r="AH152" s="374"/>
      <c r="AI152" s="374"/>
      <c r="AJ152" s="374"/>
      <c r="AK152" s="374"/>
      <c r="AL152" s="374"/>
      <c r="AM152" s="374"/>
      <c r="AN152" s="374"/>
      <c r="AO152" s="364"/>
      <c r="AP152" s="374"/>
      <c r="AQ152" s="374"/>
      <c r="AR152" s="374"/>
      <c r="AS152" s="374"/>
      <c r="AT152" s="375"/>
      <c r="AU152" s="374"/>
      <c r="AV152" s="374"/>
      <c r="AW152" s="374"/>
      <c r="AX152" s="375"/>
      <c r="AY152" s="374"/>
      <c r="AZ152" s="374"/>
      <c r="BA152" s="374"/>
      <c r="BB152" s="375"/>
      <c r="BC152" s="374"/>
      <c r="BD152" s="374"/>
      <c r="BE152" s="374"/>
      <c r="BF152" s="375"/>
    </row>
    <row r="153" spans="2:58">
      <c r="B153" s="111"/>
      <c r="C153" s="153"/>
      <c r="D153" s="153"/>
      <c r="E153" s="153"/>
      <c r="F153" s="153"/>
      <c r="G153" s="153"/>
      <c r="H153" s="153"/>
      <c r="I153" s="153"/>
      <c r="J153" s="153"/>
      <c r="K153" s="153"/>
      <c r="L153" s="289"/>
      <c r="M153" s="289"/>
      <c r="N153" s="289"/>
      <c r="O153" s="289"/>
      <c r="P153" s="289"/>
      <c r="Q153" s="112"/>
      <c r="R153" s="112"/>
      <c r="S153" s="112"/>
      <c r="T153" s="112"/>
      <c r="U153" s="112"/>
      <c r="V153" s="112"/>
      <c r="W153" s="112"/>
      <c r="X153" s="112"/>
      <c r="Y153" s="112"/>
      <c r="Z153" s="112"/>
      <c r="AA153" s="112"/>
      <c r="AB153" s="112"/>
      <c r="AC153" s="112"/>
      <c r="AD153" s="112"/>
      <c r="AE153" s="112"/>
      <c r="AF153" s="112"/>
      <c r="AG153" s="112"/>
      <c r="AH153" s="112"/>
      <c r="AI153" s="112"/>
      <c r="AJ153" s="112"/>
      <c r="AK153" s="112"/>
      <c r="AL153" s="112"/>
      <c r="AM153" s="112"/>
      <c r="AN153" s="112"/>
      <c r="AP153" s="112"/>
      <c r="AQ153" s="112"/>
      <c r="AR153" s="112"/>
      <c r="AS153" s="112"/>
      <c r="AT153" s="267"/>
      <c r="AU153" s="112"/>
      <c r="AV153" s="112"/>
      <c r="AW153" s="112"/>
      <c r="AX153" s="267"/>
      <c r="AY153" s="112"/>
      <c r="AZ153" s="112"/>
      <c r="BA153" s="112"/>
      <c r="BB153" s="267"/>
      <c r="BC153" s="112"/>
      <c r="BD153" s="112"/>
      <c r="BE153" s="112"/>
      <c r="BF153" s="267"/>
    </row>
    <row r="154" spans="2:58">
      <c r="B154" s="143" t="s">
        <v>431</v>
      </c>
      <c r="C154" s="112"/>
      <c r="D154" s="112"/>
      <c r="E154" s="112"/>
      <c r="F154" s="112">
        <v>5854</v>
      </c>
      <c r="G154" s="112">
        <v>8007</v>
      </c>
      <c r="H154" s="112">
        <v>8007</v>
      </c>
      <c r="I154" s="112">
        <v>8490</v>
      </c>
      <c r="J154" s="112">
        <v>9065</v>
      </c>
      <c r="K154" s="144">
        <f t="shared" ref="K154:P154" si="101">+K155+K156</f>
        <v>10028</v>
      </c>
      <c r="L154" s="144">
        <f t="shared" si="101"/>
        <v>10144</v>
      </c>
      <c r="M154" s="144">
        <f t="shared" si="101"/>
        <v>9863</v>
      </c>
      <c r="N154" s="144">
        <f t="shared" si="101"/>
        <v>9552</v>
      </c>
      <c r="O154" s="144">
        <f t="shared" si="101"/>
        <v>9418</v>
      </c>
      <c r="P154" s="144">
        <f t="shared" si="101"/>
        <v>9298</v>
      </c>
      <c r="Q154" s="112"/>
      <c r="R154" s="112">
        <v>3685</v>
      </c>
      <c r="S154" s="112">
        <v>4184</v>
      </c>
      <c r="T154" s="112">
        <v>4508</v>
      </c>
      <c r="U154" s="112">
        <v>4838</v>
      </c>
      <c r="V154" s="112">
        <v>5187</v>
      </c>
      <c r="W154" s="112">
        <v>5854</v>
      </c>
      <c r="X154" s="112">
        <v>6314</v>
      </c>
      <c r="Y154" s="112">
        <v>6681</v>
      </c>
      <c r="Z154" s="112">
        <v>7014</v>
      </c>
      <c r="AA154" s="112">
        <v>7347</v>
      </c>
      <c r="AB154" s="112">
        <v>7634</v>
      </c>
      <c r="AC154" s="112">
        <v>8007</v>
      </c>
      <c r="AD154" s="144">
        <f t="shared" ref="AD154:AI154" si="102">+AD155+AD156</f>
        <v>8159</v>
      </c>
      <c r="AE154" s="144">
        <f t="shared" si="102"/>
        <v>8078</v>
      </c>
      <c r="AF154" s="144">
        <f t="shared" si="102"/>
        <v>8131</v>
      </c>
      <c r="AG154" s="144">
        <f t="shared" si="102"/>
        <v>8490</v>
      </c>
      <c r="AH154" s="144">
        <f t="shared" si="102"/>
        <v>8537</v>
      </c>
      <c r="AI154" s="144">
        <f t="shared" si="102"/>
        <v>8204</v>
      </c>
      <c r="AJ154" s="144">
        <f t="shared" ref="AJ154:AO154" si="103">+AJ155+AJ156</f>
        <v>8547</v>
      </c>
      <c r="AK154" s="144">
        <f t="shared" si="103"/>
        <v>9065</v>
      </c>
      <c r="AL154" s="144">
        <f t="shared" si="103"/>
        <v>9343</v>
      </c>
      <c r="AM154" s="144">
        <f t="shared" si="103"/>
        <v>9709</v>
      </c>
      <c r="AN154" s="144">
        <f t="shared" si="103"/>
        <v>9881</v>
      </c>
      <c r="AO154" s="144">
        <f t="shared" si="103"/>
        <v>10028</v>
      </c>
      <c r="AP154" s="144">
        <f t="shared" ref="AP154:AV154" si="104">+AP155+AP156</f>
        <v>9734</v>
      </c>
      <c r="AQ154" s="144">
        <f t="shared" si="104"/>
        <v>9868</v>
      </c>
      <c r="AR154" s="144">
        <f t="shared" si="104"/>
        <v>9993</v>
      </c>
      <c r="AS154" s="144">
        <f t="shared" si="104"/>
        <v>10144</v>
      </c>
      <c r="AT154" s="266">
        <f t="shared" si="104"/>
        <v>9883</v>
      </c>
      <c r="AU154" s="144">
        <f t="shared" si="104"/>
        <v>9288</v>
      </c>
      <c r="AV154" s="144">
        <f t="shared" si="104"/>
        <v>9773.2010000000009</v>
      </c>
      <c r="AW154" s="144">
        <f t="shared" ref="AW154:BC154" si="105">+AW155+AW156</f>
        <v>9863</v>
      </c>
      <c r="AX154" s="266">
        <f t="shared" si="105"/>
        <v>9256</v>
      </c>
      <c r="AY154" s="144">
        <f t="shared" si="105"/>
        <v>9246</v>
      </c>
      <c r="AZ154" s="144">
        <f t="shared" si="105"/>
        <v>9456</v>
      </c>
      <c r="BA154" s="144">
        <f t="shared" si="105"/>
        <v>9552</v>
      </c>
      <c r="BB154" s="266">
        <f t="shared" si="105"/>
        <v>9595</v>
      </c>
      <c r="BC154" s="144">
        <f t="shared" si="105"/>
        <v>9633</v>
      </c>
      <c r="BD154" s="144">
        <f>+BD155+BD156</f>
        <v>9711</v>
      </c>
      <c r="BE154" s="144">
        <f>+BE155+BE156</f>
        <v>9418</v>
      </c>
      <c r="BF154" s="144">
        <f>+BF155+BF156</f>
        <v>9298</v>
      </c>
    </row>
    <row r="155" spans="2:58">
      <c r="B155" s="111" t="s">
        <v>432</v>
      </c>
      <c r="C155" s="153"/>
      <c r="D155" s="153"/>
      <c r="E155" s="153"/>
      <c r="F155" s="144">
        <f t="shared" ref="F155:K155" si="106">F159+F160</f>
        <v>6543</v>
      </c>
      <c r="G155" s="144">
        <f t="shared" si="106"/>
        <v>7815</v>
      </c>
      <c r="H155" s="144">
        <f t="shared" si="106"/>
        <v>7815</v>
      </c>
      <c r="I155" s="144">
        <f t="shared" si="106"/>
        <v>8293</v>
      </c>
      <c r="J155" s="144">
        <f t="shared" si="106"/>
        <v>8885</v>
      </c>
      <c r="K155" s="144">
        <f t="shared" si="106"/>
        <v>9895</v>
      </c>
      <c r="L155" s="144">
        <f>L159+L160</f>
        <v>10049</v>
      </c>
      <c r="M155" s="144">
        <f>M159+M160</f>
        <v>9796</v>
      </c>
      <c r="N155" s="144">
        <f>N159+N160</f>
        <v>9514</v>
      </c>
      <c r="O155" s="144">
        <f>O159+O160</f>
        <v>9401</v>
      </c>
      <c r="P155" s="144">
        <f>P159+P160</f>
        <v>9281</v>
      </c>
      <c r="Q155" s="112"/>
      <c r="R155" s="144">
        <f t="shared" ref="R155:AA155" si="107">R159+R160</f>
        <v>3685</v>
      </c>
      <c r="S155" s="144">
        <f t="shared" si="107"/>
        <v>4184</v>
      </c>
      <c r="T155" s="144">
        <f t="shared" si="107"/>
        <v>4508</v>
      </c>
      <c r="U155" s="144">
        <f t="shared" si="107"/>
        <v>4809</v>
      </c>
      <c r="V155" s="144">
        <f t="shared" si="107"/>
        <v>5121</v>
      </c>
      <c r="W155" s="144">
        <f t="shared" si="107"/>
        <v>5759</v>
      </c>
      <c r="X155" s="144">
        <f t="shared" si="107"/>
        <v>6194</v>
      </c>
      <c r="Y155" s="144">
        <f t="shared" si="107"/>
        <v>6543</v>
      </c>
      <c r="Z155" s="144">
        <f t="shared" si="107"/>
        <v>6862</v>
      </c>
      <c r="AA155" s="144">
        <f t="shared" si="107"/>
        <v>7176</v>
      </c>
      <c r="AB155" s="144">
        <f t="shared" ref="AB155:AG155" si="108">AB159+AB160</f>
        <v>7444</v>
      </c>
      <c r="AC155" s="144">
        <f t="shared" si="108"/>
        <v>7815</v>
      </c>
      <c r="AD155" s="144">
        <f t="shared" si="108"/>
        <v>7972</v>
      </c>
      <c r="AE155" s="144">
        <f t="shared" si="108"/>
        <v>7888</v>
      </c>
      <c r="AF155" s="144">
        <f t="shared" si="108"/>
        <v>7936</v>
      </c>
      <c r="AG155" s="144">
        <f t="shared" si="108"/>
        <v>8293</v>
      </c>
      <c r="AH155" s="144">
        <f t="shared" ref="AH155:AM155" si="109">AH159+AH160</f>
        <v>8340</v>
      </c>
      <c r="AI155" s="144">
        <f t="shared" si="109"/>
        <v>7999</v>
      </c>
      <c r="AJ155" s="144">
        <f t="shared" si="109"/>
        <v>8357</v>
      </c>
      <c r="AK155" s="144">
        <f t="shared" si="109"/>
        <v>8885</v>
      </c>
      <c r="AL155" s="144">
        <f t="shared" si="109"/>
        <v>9172</v>
      </c>
      <c r="AM155" s="144">
        <f t="shared" si="109"/>
        <v>9546</v>
      </c>
      <c r="AN155" s="144">
        <f t="shared" ref="AN155:AS155" si="110">AN159+AN160</f>
        <v>9731</v>
      </c>
      <c r="AO155" s="144">
        <f t="shared" si="110"/>
        <v>9895</v>
      </c>
      <c r="AP155" s="144">
        <f t="shared" si="110"/>
        <v>9609</v>
      </c>
      <c r="AQ155" s="144">
        <f t="shared" si="110"/>
        <v>9755</v>
      </c>
      <c r="AR155" s="144">
        <f t="shared" si="110"/>
        <v>9890</v>
      </c>
      <c r="AS155" s="144">
        <f t="shared" si="110"/>
        <v>10049</v>
      </c>
      <c r="AT155" s="266">
        <f t="shared" ref="AT155:AY155" si="111">AT159+AT160</f>
        <v>9796</v>
      </c>
      <c r="AU155" s="144">
        <f t="shared" si="111"/>
        <v>9207</v>
      </c>
      <c r="AV155" s="144">
        <f t="shared" si="111"/>
        <v>9699.2010000000009</v>
      </c>
      <c r="AW155" s="144">
        <f t="shared" si="111"/>
        <v>9796</v>
      </c>
      <c r="AX155" s="266">
        <f t="shared" si="111"/>
        <v>9198</v>
      </c>
      <c r="AY155" s="144">
        <f t="shared" si="111"/>
        <v>9195</v>
      </c>
      <c r="AZ155" s="144">
        <f t="shared" ref="AZ155:BF155" si="112">AZ159+AZ160</f>
        <v>9412</v>
      </c>
      <c r="BA155" s="144">
        <f t="shared" si="112"/>
        <v>9514</v>
      </c>
      <c r="BB155" s="266">
        <f t="shared" si="112"/>
        <v>9563</v>
      </c>
      <c r="BC155" s="144">
        <f t="shared" si="112"/>
        <v>9606</v>
      </c>
      <c r="BD155" s="144">
        <f t="shared" si="112"/>
        <v>9689</v>
      </c>
      <c r="BE155" s="144">
        <f t="shared" si="112"/>
        <v>9401</v>
      </c>
      <c r="BF155" s="144">
        <f t="shared" si="112"/>
        <v>9281</v>
      </c>
    </row>
    <row r="156" spans="2:58">
      <c r="B156" s="111" t="s">
        <v>433</v>
      </c>
      <c r="C156" s="153"/>
      <c r="D156" s="153"/>
      <c r="E156" s="153"/>
      <c r="F156" s="112">
        <v>138</v>
      </c>
      <c r="G156" s="112">
        <v>193</v>
      </c>
      <c r="H156" s="112">
        <v>193</v>
      </c>
      <c r="I156" s="112">
        <v>197</v>
      </c>
      <c r="J156" s="112">
        <v>180</v>
      </c>
      <c r="K156" s="112">
        <v>133</v>
      </c>
      <c r="L156" s="112">
        <v>95</v>
      </c>
      <c r="M156" s="112">
        <v>67</v>
      </c>
      <c r="N156" s="112">
        <f>BA156</f>
        <v>38</v>
      </c>
      <c r="O156" s="144">
        <f>BE156</f>
        <v>17</v>
      </c>
      <c r="P156" s="144">
        <f>BF156</f>
        <v>17</v>
      </c>
      <c r="Q156" s="112"/>
      <c r="R156" s="112">
        <v>0</v>
      </c>
      <c r="S156" s="112">
        <v>0</v>
      </c>
      <c r="T156" s="112">
        <v>0</v>
      </c>
      <c r="U156" s="112">
        <v>0</v>
      </c>
      <c r="V156" s="112">
        <v>0</v>
      </c>
      <c r="W156" s="112">
        <v>95</v>
      </c>
      <c r="X156" s="112">
        <v>121</v>
      </c>
      <c r="Y156" s="112">
        <v>138</v>
      </c>
      <c r="Z156" s="112">
        <v>152</v>
      </c>
      <c r="AA156" s="112">
        <v>171</v>
      </c>
      <c r="AB156" s="112">
        <v>189</v>
      </c>
      <c r="AC156" s="112">
        <v>193</v>
      </c>
      <c r="AD156" s="112">
        <v>187</v>
      </c>
      <c r="AE156" s="112">
        <v>190</v>
      </c>
      <c r="AF156" s="112">
        <v>195</v>
      </c>
      <c r="AG156" s="112">
        <v>197</v>
      </c>
      <c r="AH156" s="112">
        <v>197</v>
      </c>
      <c r="AI156" s="112">
        <v>205</v>
      </c>
      <c r="AJ156" s="112">
        <v>190</v>
      </c>
      <c r="AK156" s="112">
        <v>180</v>
      </c>
      <c r="AL156" s="112">
        <v>171</v>
      </c>
      <c r="AM156" s="112">
        <v>163</v>
      </c>
      <c r="AN156" s="112">
        <v>150</v>
      </c>
      <c r="AO156" s="112">
        <v>133</v>
      </c>
      <c r="AP156" s="112">
        <v>125</v>
      </c>
      <c r="AQ156" s="112">
        <v>113</v>
      </c>
      <c r="AR156" s="112">
        <v>103</v>
      </c>
      <c r="AS156" s="112">
        <v>95</v>
      </c>
      <c r="AT156" s="112">
        <v>87</v>
      </c>
      <c r="AU156" s="112">
        <v>81</v>
      </c>
      <c r="AV156" s="112">
        <v>74</v>
      </c>
      <c r="AW156" s="112">
        <v>67</v>
      </c>
      <c r="AX156" s="112">
        <v>58</v>
      </c>
      <c r="AY156" s="112">
        <v>51</v>
      </c>
      <c r="AZ156" s="112">
        <v>44</v>
      </c>
      <c r="BA156" s="112">
        <v>38</v>
      </c>
      <c r="BB156" s="112">
        <v>32</v>
      </c>
      <c r="BC156" s="112">
        <v>27</v>
      </c>
      <c r="BD156" s="112">
        <v>22</v>
      </c>
      <c r="BE156" s="112">
        <v>17</v>
      </c>
      <c r="BF156" s="112">
        <v>17</v>
      </c>
    </row>
    <row r="157" spans="2:58">
      <c r="B157" s="113"/>
      <c r="C157" s="153"/>
      <c r="D157" s="153"/>
      <c r="E157" s="153"/>
      <c r="F157" s="112"/>
      <c r="G157" s="112"/>
      <c r="H157" s="112"/>
      <c r="I157" s="112"/>
      <c r="J157" s="112"/>
      <c r="K157" s="112"/>
      <c r="L157" s="112"/>
      <c r="M157" s="112"/>
      <c r="N157" s="112"/>
      <c r="O157" s="112"/>
      <c r="P157" s="112"/>
      <c r="Q157" s="112"/>
      <c r="R157" s="112"/>
      <c r="S157" s="112"/>
      <c r="T157" s="112"/>
      <c r="U157" s="112"/>
      <c r="V157" s="112"/>
      <c r="W157" s="112"/>
      <c r="X157" s="112"/>
      <c r="Y157" s="112"/>
      <c r="Z157" s="112"/>
      <c r="AA157" s="112"/>
      <c r="AB157" s="112"/>
      <c r="AC157" s="112"/>
      <c r="AD157" s="112"/>
      <c r="AE157" s="112"/>
      <c r="AF157" s="112"/>
      <c r="AG157" s="112"/>
      <c r="AH157" s="112"/>
      <c r="AI157" s="112"/>
      <c r="AJ157" s="112"/>
      <c r="AK157" s="112"/>
      <c r="AL157" s="112"/>
      <c r="AM157" s="112"/>
      <c r="AN157" s="112"/>
      <c r="AO157" s="112"/>
      <c r="AP157" s="112"/>
      <c r="AQ157" s="112"/>
      <c r="AR157" s="112"/>
      <c r="AS157" s="112"/>
      <c r="AT157" s="112"/>
      <c r="AU157" s="112"/>
      <c r="AV157" s="112"/>
      <c r="AW157" s="112"/>
      <c r="AX157" s="112"/>
      <c r="AY157" s="112"/>
      <c r="AZ157" s="112"/>
      <c r="BA157" s="112"/>
      <c r="BB157" s="112"/>
      <c r="BC157" s="112"/>
      <c r="BD157" s="112"/>
      <c r="BE157" s="112"/>
      <c r="BF157" s="112"/>
    </row>
    <row r="158" spans="2:58">
      <c r="B158" s="114" t="s">
        <v>434</v>
      </c>
      <c r="C158" s="153"/>
      <c r="D158" s="153"/>
      <c r="E158" s="153"/>
      <c r="F158" s="112"/>
      <c r="G158" s="112"/>
      <c r="H158" s="112"/>
      <c r="I158" s="112"/>
      <c r="J158" s="112"/>
      <c r="K158" s="112"/>
      <c r="L158" s="112"/>
      <c r="M158" s="112"/>
      <c r="N158" s="112"/>
      <c r="O158" s="112"/>
      <c r="P158" s="112"/>
      <c r="Q158" s="112"/>
      <c r="R158" s="112"/>
      <c r="S158" s="112"/>
      <c r="T158" s="112"/>
      <c r="U158" s="112"/>
      <c r="V158" s="112"/>
      <c r="W158" s="112"/>
      <c r="X158" s="112"/>
      <c r="Y158" s="112"/>
      <c r="Z158" s="112"/>
      <c r="AA158" s="112"/>
      <c r="AB158" s="112"/>
      <c r="AC158" s="112"/>
      <c r="AD158" s="112"/>
      <c r="AE158" s="112"/>
      <c r="AF158" s="112"/>
      <c r="AG158" s="112"/>
      <c r="AH158" s="112"/>
      <c r="AI158" s="112"/>
      <c r="AJ158" s="112"/>
      <c r="AK158" s="112"/>
      <c r="AL158" s="112"/>
      <c r="AM158" s="112"/>
      <c r="AN158" s="112"/>
      <c r="AO158" s="112"/>
      <c r="AP158" s="112"/>
      <c r="AQ158" s="112"/>
      <c r="AR158" s="112"/>
      <c r="AS158" s="112"/>
      <c r="AT158" s="112"/>
      <c r="AU158" s="112"/>
      <c r="AV158" s="112"/>
      <c r="AW158" s="112"/>
      <c r="AX158" s="112"/>
      <c r="AY158" s="112"/>
      <c r="AZ158" s="112"/>
      <c r="BA158" s="112"/>
      <c r="BB158" s="112"/>
      <c r="BC158" s="112"/>
      <c r="BD158" s="112"/>
      <c r="BE158" s="112"/>
      <c r="BF158" s="112"/>
    </row>
    <row r="159" spans="2:58">
      <c r="B159" s="111" t="s">
        <v>435</v>
      </c>
      <c r="C159" s="153"/>
      <c r="D159" s="153"/>
      <c r="E159" s="153"/>
      <c r="F159" s="112">
        <v>4289</v>
      </c>
      <c r="G159" s="112">
        <v>5144</v>
      </c>
      <c r="H159" s="112">
        <v>5144</v>
      </c>
      <c r="I159" s="112">
        <f>AG159</f>
        <v>5191</v>
      </c>
      <c r="J159" s="112">
        <f>AK159</f>
        <v>5172</v>
      </c>
      <c r="K159" s="112">
        <f>AO159</f>
        <v>5492</v>
      </c>
      <c r="L159" s="112">
        <f>AS159</f>
        <v>5472</v>
      </c>
      <c r="M159" s="112">
        <f>AW159</f>
        <v>5332</v>
      </c>
      <c r="N159" s="112">
        <f>BA159</f>
        <v>5058</v>
      </c>
      <c r="O159" s="144">
        <f>BE159</f>
        <v>4447</v>
      </c>
      <c r="P159" s="144">
        <f>BF159</f>
        <v>4178</v>
      </c>
      <c r="Q159" s="112"/>
      <c r="R159" s="112">
        <v>2246</v>
      </c>
      <c r="S159" s="112">
        <v>2625</v>
      </c>
      <c r="T159" s="112">
        <v>2805</v>
      </c>
      <c r="U159" s="112">
        <v>2956</v>
      </c>
      <c r="V159" s="112">
        <v>3176</v>
      </c>
      <c r="W159" s="112">
        <v>3722</v>
      </c>
      <c r="X159" s="112">
        <v>4004</v>
      </c>
      <c r="Y159" s="112">
        <v>4289</v>
      </c>
      <c r="Z159" s="112">
        <v>4574</v>
      </c>
      <c r="AA159" s="112">
        <v>4770</v>
      </c>
      <c r="AB159" s="112">
        <v>4919</v>
      </c>
      <c r="AC159" s="112">
        <v>5144</v>
      </c>
      <c r="AD159" s="112">
        <v>5254</v>
      </c>
      <c r="AE159" s="112">
        <v>5094</v>
      </c>
      <c r="AF159" s="112">
        <v>5014</v>
      </c>
      <c r="AG159" s="112">
        <v>5191</v>
      </c>
      <c r="AH159" s="112">
        <v>5163</v>
      </c>
      <c r="AI159" s="112">
        <v>4775</v>
      </c>
      <c r="AJ159" s="112">
        <v>4994</v>
      </c>
      <c r="AK159" s="112">
        <v>5172</v>
      </c>
      <c r="AL159" s="112">
        <v>5390</v>
      </c>
      <c r="AM159" s="112">
        <v>5366</v>
      </c>
      <c r="AN159" s="112">
        <v>5448</v>
      </c>
      <c r="AO159" s="112">
        <v>5492</v>
      </c>
      <c r="AP159" s="112">
        <v>5395</v>
      </c>
      <c r="AQ159" s="112">
        <v>5337</v>
      </c>
      <c r="AR159" s="112">
        <v>5382</v>
      </c>
      <c r="AS159" s="112">
        <v>5472</v>
      </c>
      <c r="AT159" s="112">
        <v>5332</v>
      </c>
      <c r="AU159" s="112">
        <v>5255</v>
      </c>
      <c r="AV159" s="112">
        <v>5156</v>
      </c>
      <c r="AW159" s="112">
        <v>5332</v>
      </c>
      <c r="AX159" s="112">
        <v>5120</v>
      </c>
      <c r="AY159" s="112">
        <v>5016</v>
      </c>
      <c r="AZ159" s="112">
        <v>5106</v>
      </c>
      <c r="BA159" s="112">
        <v>5058</v>
      </c>
      <c r="BB159" s="112">
        <v>5003</v>
      </c>
      <c r="BC159" s="112">
        <v>4950</v>
      </c>
      <c r="BD159" s="112">
        <v>4905</v>
      </c>
      <c r="BE159" s="112">
        <v>4447</v>
      </c>
      <c r="BF159" s="112">
        <v>4178</v>
      </c>
    </row>
    <row r="160" spans="2:58">
      <c r="B160" s="113" t="s">
        <v>436</v>
      </c>
      <c r="C160" s="153"/>
      <c r="D160" s="153"/>
      <c r="E160" s="153"/>
      <c r="F160" s="112">
        <v>2254</v>
      </c>
      <c r="G160" s="112">
        <v>2671</v>
      </c>
      <c r="H160" s="112">
        <v>2671</v>
      </c>
      <c r="I160" s="112">
        <f>AG160</f>
        <v>3102</v>
      </c>
      <c r="J160" s="112">
        <f>AK160</f>
        <v>3713</v>
      </c>
      <c r="K160" s="112">
        <f>AO160</f>
        <v>4403</v>
      </c>
      <c r="L160" s="112">
        <f>AS160</f>
        <v>4577</v>
      </c>
      <c r="M160" s="112">
        <f>AW160</f>
        <v>4464</v>
      </c>
      <c r="N160" s="112">
        <f>BA160</f>
        <v>4456</v>
      </c>
      <c r="O160" s="144">
        <f>BE160</f>
        <v>4954</v>
      </c>
      <c r="P160" s="144">
        <f>BF160</f>
        <v>5103</v>
      </c>
      <c r="Q160" s="112"/>
      <c r="R160" s="112">
        <v>1439</v>
      </c>
      <c r="S160" s="112">
        <v>1559</v>
      </c>
      <c r="T160" s="112">
        <v>1703</v>
      </c>
      <c r="U160" s="112">
        <v>1853</v>
      </c>
      <c r="V160" s="112">
        <v>1945</v>
      </c>
      <c r="W160" s="112">
        <v>2037</v>
      </c>
      <c r="X160" s="112">
        <v>2190</v>
      </c>
      <c r="Y160" s="112">
        <v>2254</v>
      </c>
      <c r="Z160" s="112">
        <v>2288</v>
      </c>
      <c r="AA160" s="112">
        <v>2406</v>
      </c>
      <c r="AB160" s="112">
        <v>2525</v>
      </c>
      <c r="AC160" s="112">
        <v>2671</v>
      </c>
      <c r="AD160" s="112">
        <v>2718</v>
      </c>
      <c r="AE160" s="112">
        <v>2794</v>
      </c>
      <c r="AF160" s="112">
        <v>2922</v>
      </c>
      <c r="AG160" s="112">
        <v>3102</v>
      </c>
      <c r="AH160" s="112">
        <v>3177</v>
      </c>
      <c r="AI160" s="112">
        <v>3224</v>
      </c>
      <c r="AJ160" s="112">
        <v>3363</v>
      </c>
      <c r="AK160" s="112">
        <v>3713</v>
      </c>
      <c r="AL160" s="112">
        <v>3782</v>
      </c>
      <c r="AM160" s="112">
        <v>4180</v>
      </c>
      <c r="AN160" s="112">
        <v>4283</v>
      </c>
      <c r="AO160" s="112">
        <v>4403</v>
      </c>
      <c r="AP160" s="112">
        <v>4214</v>
      </c>
      <c r="AQ160" s="112">
        <v>4418</v>
      </c>
      <c r="AR160" s="112">
        <v>4508</v>
      </c>
      <c r="AS160" s="112">
        <v>4577</v>
      </c>
      <c r="AT160" s="112">
        <v>4464</v>
      </c>
      <c r="AU160" s="112">
        <v>3952</v>
      </c>
      <c r="AV160" s="112">
        <v>4543.201</v>
      </c>
      <c r="AW160" s="112">
        <v>4464</v>
      </c>
      <c r="AX160" s="112">
        <v>4078</v>
      </c>
      <c r="AY160" s="112">
        <v>4179</v>
      </c>
      <c r="AZ160" s="112">
        <v>4306</v>
      </c>
      <c r="BA160" s="112">
        <v>4456</v>
      </c>
      <c r="BB160" s="112">
        <v>4560</v>
      </c>
      <c r="BC160" s="112">
        <v>4656</v>
      </c>
      <c r="BD160" s="112">
        <v>4784</v>
      </c>
      <c r="BE160" s="112">
        <v>4954</v>
      </c>
      <c r="BF160" s="112">
        <v>5103</v>
      </c>
    </row>
    <row r="161" spans="2:58">
      <c r="B161" s="111"/>
      <c r="C161" s="153"/>
      <c r="D161" s="153"/>
      <c r="E161" s="153"/>
      <c r="F161" s="112"/>
      <c r="G161" s="112"/>
      <c r="H161" s="112"/>
      <c r="I161" s="112"/>
      <c r="J161" s="112"/>
      <c r="K161" s="112"/>
      <c r="L161" s="112"/>
      <c r="M161" s="112"/>
      <c r="N161" s="112"/>
      <c r="O161" s="112"/>
      <c r="P161" s="112"/>
      <c r="Q161" s="112"/>
      <c r="R161" s="112"/>
      <c r="S161" s="112"/>
      <c r="T161" s="112"/>
      <c r="U161" s="112"/>
      <c r="V161" s="112"/>
      <c r="W161" s="112"/>
      <c r="X161" s="112"/>
      <c r="Y161" s="112"/>
      <c r="Z161" s="112"/>
      <c r="AA161" s="112"/>
      <c r="AB161" s="112"/>
      <c r="AC161" s="112"/>
      <c r="AD161" s="112"/>
      <c r="AE161" s="112"/>
      <c r="AF161" s="112"/>
      <c r="AG161" s="112"/>
      <c r="AH161" s="112"/>
      <c r="AI161" s="112"/>
      <c r="AJ161" s="112"/>
      <c r="AK161" s="112"/>
      <c r="AL161" s="112"/>
      <c r="AM161" s="112"/>
      <c r="AN161" s="112"/>
      <c r="AO161" s="112"/>
      <c r="AP161" s="112"/>
      <c r="AQ161" s="112"/>
      <c r="AR161" s="112"/>
      <c r="AS161" s="112"/>
      <c r="AT161" s="112"/>
      <c r="AU161" s="112"/>
      <c r="AV161" s="112"/>
      <c r="AW161" s="112"/>
      <c r="AX161" s="112"/>
      <c r="AY161" s="112"/>
      <c r="AZ161" s="112"/>
      <c r="BA161" s="112"/>
      <c r="BB161" s="112"/>
      <c r="BC161" s="112"/>
      <c r="BD161" s="112"/>
      <c r="BE161" s="112"/>
      <c r="BF161" s="112"/>
    </row>
    <row r="162" spans="2:58">
      <c r="B162" s="114" t="s">
        <v>437</v>
      </c>
      <c r="C162" s="153"/>
      <c r="D162" s="153"/>
      <c r="E162" s="153"/>
      <c r="F162" s="153"/>
      <c r="G162" s="153"/>
      <c r="H162" s="153"/>
      <c r="I162" s="153"/>
      <c r="J162" s="153"/>
      <c r="K162" s="153"/>
      <c r="L162" s="289"/>
      <c r="M162" s="289"/>
      <c r="N162" s="289"/>
      <c r="O162" s="289"/>
      <c r="P162" s="289"/>
      <c r="Q162" s="112"/>
      <c r="R162" s="155">
        <v>9.6999999999999993</v>
      </c>
      <c r="S162" s="155">
        <v>9</v>
      </c>
      <c r="T162" s="155">
        <v>8.9</v>
      </c>
      <c r="U162" s="155">
        <v>8.9</v>
      </c>
      <c r="V162" s="155">
        <v>10.3</v>
      </c>
      <c r="W162" s="155">
        <v>9.6999999999999993</v>
      </c>
      <c r="X162" s="155">
        <v>9.58</v>
      </c>
      <c r="Y162" s="155">
        <v>10.59</v>
      </c>
      <c r="Z162" s="155">
        <v>8.31</v>
      </c>
      <c r="AA162" s="155">
        <v>7.63</v>
      </c>
      <c r="AB162" s="155">
        <v>7.87</v>
      </c>
      <c r="AC162" s="155">
        <v>7.95</v>
      </c>
      <c r="AD162" s="155">
        <v>7.2</v>
      </c>
      <c r="AE162" s="155">
        <v>7.82</v>
      </c>
      <c r="AF162" s="155">
        <v>8.1300000000000008</v>
      </c>
      <c r="AG162" s="155">
        <v>8.81</v>
      </c>
      <c r="AH162" s="155">
        <v>4.63</v>
      </c>
      <c r="AI162" s="155">
        <v>4.5</v>
      </c>
      <c r="AJ162" s="155">
        <v>4.8899999999999997</v>
      </c>
      <c r="AK162" s="155">
        <v>5.08</v>
      </c>
      <c r="AL162" s="229">
        <v>4.83</v>
      </c>
      <c r="AM162" s="229">
        <v>4.9400000000000004</v>
      </c>
      <c r="AN162" s="229">
        <v>5.01</v>
      </c>
      <c r="AO162" s="229">
        <v>5.09</v>
      </c>
      <c r="AP162" s="229">
        <v>5.18</v>
      </c>
      <c r="AQ162" s="229">
        <v>5.0199999999999996</v>
      </c>
      <c r="AR162" s="229">
        <v>5.01</v>
      </c>
      <c r="AS162" s="229">
        <v>5.01</v>
      </c>
      <c r="AT162" s="112">
        <v>5.0999999999999996</v>
      </c>
      <c r="AU162" s="229">
        <v>5.3</v>
      </c>
      <c r="AV162" s="229">
        <v>5.51</v>
      </c>
      <c r="AW162" s="229">
        <v>5.73</v>
      </c>
      <c r="AX162" s="112">
        <v>5.75</v>
      </c>
      <c r="AY162" s="229">
        <v>5.44</v>
      </c>
      <c r="AZ162" s="229">
        <v>5.6</v>
      </c>
      <c r="BA162" s="229">
        <v>5.88</v>
      </c>
      <c r="BB162" s="229">
        <v>5.9</v>
      </c>
      <c r="BC162" s="229">
        <v>5.73</v>
      </c>
      <c r="BD162" s="229">
        <v>5.85</v>
      </c>
      <c r="BE162" s="229">
        <v>5.94</v>
      </c>
      <c r="BF162" s="229">
        <v>5.9</v>
      </c>
    </row>
    <row r="163" spans="2:58">
      <c r="B163" s="113"/>
      <c r="C163" s="153"/>
      <c r="D163" s="153"/>
      <c r="E163" s="153"/>
      <c r="F163" s="153"/>
      <c r="G163" s="153"/>
      <c r="H163" s="153"/>
      <c r="I163" s="153"/>
      <c r="J163" s="153"/>
      <c r="K163" s="153"/>
      <c r="L163" s="289"/>
      <c r="M163" s="289"/>
      <c r="N163" s="289"/>
      <c r="O163" s="289"/>
      <c r="P163" s="289"/>
      <c r="Q163" s="112"/>
      <c r="R163" s="112"/>
      <c r="S163" s="112"/>
      <c r="T163" s="112"/>
      <c r="U163" s="112"/>
      <c r="V163" s="112"/>
      <c r="W163" s="112"/>
      <c r="X163" s="112"/>
      <c r="Y163" s="112"/>
      <c r="Z163" s="112"/>
      <c r="AA163" s="112"/>
      <c r="AB163" s="112"/>
      <c r="AC163" s="112"/>
      <c r="AD163" s="112"/>
      <c r="AE163" s="112"/>
      <c r="AF163" s="229"/>
      <c r="AG163" s="112"/>
      <c r="AH163" s="112"/>
      <c r="AI163" s="112"/>
      <c r="AJ163" s="112"/>
      <c r="AK163" s="112"/>
      <c r="AL163" s="112"/>
      <c r="AM163" s="112"/>
      <c r="AN163" s="112"/>
      <c r="AO163" s="112"/>
      <c r="AP163" s="112"/>
      <c r="AQ163" s="112"/>
      <c r="AR163" s="112"/>
      <c r="AS163" s="112"/>
      <c r="AT163" s="112"/>
      <c r="AU163" s="112"/>
      <c r="AV163" s="112"/>
      <c r="AW163" s="112"/>
      <c r="AX163" s="112"/>
      <c r="AY163" s="112"/>
      <c r="AZ163" s="112"/>
      <c r="BA163" s="112"/>
      <c r="BB163" s="112"/>
      <c r="BC163" s="112"/>
      <c r="BD163" s="112"/>
      <c r="BE163" s="112"/>
      <c r="BF163" s="112"/>
    </row>
    <row r="164" spans="2:58">
      <c r="B164" s="143" t="s">
        <v>438</v>
      </c>
      <c r="C164" s="153"/>
      <c r="D164" s="153"/>
      <c r="E164" s="153"/>
      <c r="F164" s="153"/>
      <c r="G164" s="153"/>
      <c r="H164" s="153"/>
      <c r="I164" s="153"/>
      <c r="J164" s="153"/>
      <c r="K164" s="153"/>
      <c r="L164" s="289"/>
      <c r="M164" s="289"/>
      <c r="N164" s="289"/>
      <c r="O164" s="289"/>
      <c r="P164" s="289"/>
      <c r="Q164" s="112"/>
      <c r="R164" s="151">
        <v>5.4800000000000001E-2</v>
      </c>
      <c r="S164" s="151">
        <v>6.6600000000000006E-2</v>
      </c>
      <c r="T164" s="151">
        <v>7.2499999999999995E-2</v>
      </c>
      <c r="U164" s="151">
        <v>6.7500000000000004E-2</v>
      </c>
      <c r="V164" s="151">
        <v>6.3200000000000006E-2</v>
      </c>
      <c r="W164" s="151">
        <v>5.1200000000000002E-2</v>
      </c>
      <c r="X164" s="151">
        <v>5.4600000000000003E-2</v>
      </c>
      <c r="Y164" s="151">
        <v>5.5300000000000002E-2</v>
      </c>
      <c r="Z164" s="151">
        <v>5.3400000000000003E-2</v>
      </c>
      <c r="AA164" s="151">
        <v>5.8099999999999999E-2</v>
      </c>
      <c r="AB164" s="151">
        <v>6.0299999999999999E-2</v>
      </c>
      <c r="AC164" s="151">
        <v>6.0900000000000003E-2</v>
      </c>
      <c r="AD164" s="151">
        <v>6.2600000000000003E-2</v>
      </c>
      <c r="AE164" s="151">
        <v>6.6900000000000001E-2</v>
      </c>
      <c r="AF164" s="151">
        <v>5.4399999999999997E-2</v>
      </c>
      <c r="AG164" s="151">
        <v>4.7E-2</v>
      </c>
      <c r="AH164" s="151">
        <v>4.8800000000000003E-2</v>
      </c>
      <c r="AI164" s="151">
        <v>3.6499999999999998E-2</v>
      </c>
      <c r="AJ164" s="240">
        <v>4.3200000000000002E-2</v>
      </c>
      <c r="AK164" s="151">
        <v>4.8099999999999997E-2</v>
      </c>
      <c r="AL164" s="151">
        <v>4.6199999999999998E-2</v>
      </c>
      <c r="AM164" s="151">
        <v>5.1799999999999999E-2</v>
      </c>
      <c r="AN164" s="240">
        <v>4.9500000000000002E-2</v>
      </c>
      <c r="AO164" s="151">
        <v>5.2200000000000003E-2</v>
      </c>
      <c r="AP164" s="151">
        <v>6.5299999999999997E-2</v>
      </c>
      <c r="AQ164" s="151">
        <v>5.7799999999999997E-2</v>
      </c>
      <c r="AR164" s="240">
        <v>5.3100000000000001E-2</v>
      </c>
      <c r="AS164" s="240">
        <v>5.1200000000000002E-2</v>
      </c>
      <c r="AT164" s="240">
        <v>5.91E-2</v>
      </c>
      <c r="AU164" s="151">
        <v>4.9000000000000002E-2</v>
      </c>
      <c r="AV164" s="240">
        <v>0.05</v>
      </c>
      <c r="AW164" s="240">
        <v>0.05</v>
      </c>
      <c r="AX164" s="240">
        <v>4.8000000000000001E-2</v>
      </c>
      <c r="AY164" s="151">
        <v>5.2999999999999999E-2</v>
      </c>
      <c r="AZ164" s="240">
        <v>4.8000000000000001E-2</v>
      </c>
      <c r="BA164" s="240">
        <v>5.1799999999999999E-2</v>
      </c>
      <c r="BB164" s="240">
        <v>5.2900000000000003E-2</v>
      </c>
      <c r="BC164" s="151">
        <v>5.4800000000000001E-2</v>
      </c>
      <c r="BD164" s="240">
        <v>5.4399999999999997E-2</v>
      </c>
      <c r="BE164" s="240">
        <v>5.6000000000000001E-2</v>
      </c>
      <c r="BF164" s="240">
        <v>4.5999999999999999E-2</v>
      </c>
    </row>
    <row r="165" spans="2:58">
      <c r="B165" s="111"/>
      <c r="C165" s="112"/>
      <c r="D165" s="112"/>
      <c r="E165" s="112"/>
      <c r="F165" s="112"/>
      <c r="G165" s="112"/>
      <c r="H165" s="112"/>
      <c r="I165" s="112"/>
      <c r="J165" s="112"/>
      <c r="K165" s="112"/>
      <c r="L165" s="112"/>
      <c r="M165" s="112"/>
      <c r="N165" s="112"/>
      <c r="O165" s="112"/>
      <c r="P165" s="112"/>
      <c r="Q165" s="112"/>
      <c r="R165" s="112"/>
      <c r="S165" s="112"/>
      <c r="T165" s="112"/>
      <c r="U165" s="112"/>
      <c r="V165" s="112"/>
      <c r="W165" s="112"/>
      <c r="X165" s="112"/>
      <c r="Y165" s="112"/>
      <c r="Z165" s="112"/>
      <c r="AA165" s="112"/>
      <c r="AB165" s="112"/>
      <c r="AC165" s="112"/>
      <c r="AD165" s="112"/>
      <c r="AE165" s="112"/>
      <c r="AF165" s="112"/>
      <c r="AG165" s="112"/>
      <c r="AH165" s="112"/>
      <c r="AI165" s="112"/>
      <c r="AJ165" s="112"/>
      <c r="AK165" s="112"/>
      <c r="AL165" s="112"/>
      <c r="AM165" s="112"/>
      <c r="AN165" s="112"/>
      <c r="AP165" s="112"/>
      <c r="AQ165" s="112"/>
      <c r="AR165" s="112"/>
      <c r="AS165" s="112"/>
      <c r="AT165" s="112"/>
      <c r="AU165" s="112"/>
      <c r="AV165" s="112"/>
      <c r="AW165" s="112"/>
      <c r="AX165" s="112"/>
      <c r="AY165" s="112"/>
      <c r="AZ165" s="112"/>
      <c r="BA165" s="112"/>
      <c r="BB165" s="112"/>
      <c r="BC165" s="112"/>
      <c r="BD165" s="112"/>
      <c r="BE165" s="112"/>
      <c r="BF165" s="112"/>
    </row>
    <row r="166" spans="2:58">
      <c r="B166" s="111"/>
      <c r="C166" s="112"/>
      <c r="D166" s="112"/>
      <c r="E166" s="112"/>
      <c r="F166" s="112"/>
      <c r="G166" s="112"/>
      <c r="H166" s="112"/>
      <c r="I166" s="112"/>
      <c r="J166" s="112"/>
      <c r="K166" s="112"/>
      <c r="L166" s="112"/>
      <c r="M166" s="112"/>
      <c r="N166" s="112"/>
      <c r="O166" s="112"/>
      <c r="P166" s="112"/>
      <c r="Q166" s="112"/>
      <c r="R166" s="112"/>
      <c r="S166" s="112"/>
      <c r="T166" s="112"/>
      <c r="U166" s="112"/>
      <c r="V166" s="112"/>
      <c r="W166" s="112"/>
      <c r="X166" s="112"/>
      <c r="Y166" s="112"/>
      <c r="Z166" s="112"/>
      <c r="AA166" s="112"/>
      <c r="AB166" s="112"/>
      <c r="AC166" s="112"/>
      <c r="AD166" s="112"/>
      <c r="AE166" s="112"/>
      <c r="AF166" s="112"/>
      <c r="AG166" s="112"/>
      <c r="AH166" s="112"/>
      <c r="AI166" s="112"/>
      <c r="AJ166" s="112"/>
      <c r="AK166" s="112"/>
      <c r="AL166" s="112"/>
      <c r="AM166" s="112"/>
      <c r="AN166" s="112"/>
      <c r="AP166" s="112"/>
      <c r="AQ166" s="112"/>
      <c r="AR166" s="112"/>
      <c r="AS166" s="112"/>
      <c r="AT166" s="112"/>
      <c r="AU166" s="112"/>
      <c r="AV166" s="112"/>
      <c r="AW166" s="112"/>
      <c r="AX166" s="112"/>
      <c r="AY166" s="112"/>
      <c r="AZ166" s="112"/>
      <c r="BA166" s="112"/>
      <c r="BB166" s="112"/>
      <c r="BC166" s="112"/>
      <c r="BD166" s="112"/>
      <c r="BE166" s="112"/>
      <c r="BF166" s="112"/>
    </row>
    <row r="167" spans="2:58">
      <c r="B167" s="5" t="s">
        <v>439</v>
      </c>
      <c r="AT167" s="112"/>
      <c r="AX167" s="112"/>
      <c r="BB167" s="112"/>
      <c r="BF167" s="112"/>
    </row>
    <row r="168" spans="2:58">
      <c r="AT168" s="112"/>
      <c r="AX168" s="112"/>
      <c r="BB168" s="112"/>
      <c r="BF168" s="112"/>
    </row>
    <row r="169" spans="2:58">
      <c r="B169" s="5" t="s">
        <v>440</v>
      </c>
      <c r="AT169" s="112"/>
      <c r="AX169" s="112"/>
      <c r="BB169" s="112"/>
      <c r="BF169" s="112"/>
    </row>
    <row r="170" spans="2:58">
      <c r="B170" s="1" t="s">
        <v>441</v>
      </c>
      <c r="C170" s="112">
        <v>6279</v>
      </c>
      <c r="D170" s="112">
        <v>5991</v>
      </c>
      <c r="E170" s="112">
        <v>5703</v>
      </c>
      <c r="F170" s="112">
        <v>4978</v>
      </c>
      <c r="G170" s="112">
        <v>4769</v>
      </c>
      <c r="H170" s="112">
        <v>4769</v>
      </c>
      <c r="I170" s="112">
        <v>4108</v>
      </c>
      <c r="J170" s="112">
        <v>3488</v>
      </c>
      <c r="K170" s="112">
        <v>3635</v>
      </c>
      <c r="L170" s="112">
        <v>3482</v>
      </c>
      <c r="M170" s="112">
        <v>3294</v>
      </c>
      <c r="N170" s="144">
        <f>N123</f>
        <v>2905</v>
      </c>
      <c r="O170" s="144">
        <f>O123</f>
        <v>1976</v>
      </c>
      <c r="P170" s="144">
        <f>P123</f>
        <v>1926</v>
      </c>
      <c r="R170" s="112">
        <v>6110</v>
      </c>
      <c r="S170" s="112">
        <v>5937</v>
      </c>
      <c r="T170" s="112">
        <v>5701</v>
      </c>
      <c r="U170" s="144">
        <f>E170</f>
        <v>5703</v>
      </c>
      <c r="V170" s="112">
        <v>5573</v>
      </c>
      <c r="W170" s="112">
        <v>5048</v>
      </c>
      <c r="X170" s="112">
        <v>4904</v>
      </c>
      <c r="Y170" s="144">
        <f>F170</f>
        <v>4978</v>
      </c>
      <c r="Z170" s="112">
        <v>5111</v>
      </c>
      <c r="AA170" s="112">
        <v>5047</v>
      </c>
      <c r="AB170" s="112">
        <v>4696</v>
      </c>
      <c r="AC170" s="144">
        <f>G170</f>
        <v>4769</v>
      </c>
      <c r="AD170" s="112">
        <v>4717</v>
      </c>
      <c r="AE170" s="112">
        <v>4588</v>
      </c>
      <c r="AF170" s="112">
        <v>4463</v>
      </c>
      <c r="AG170" s="112">
        <f>I170</f>
        <v>4108</v>
      </c>
      <c r="AH170" s="112">
        <v>3765</v>
      </c>
      <c r="AI170" s="112">
        <v>3468</v>
      </c>
      <c r="AJ170" s="112">
        <v>3643</v>
      </c>
      <c r="AK170" s="112">
        <f>J170</f>
        <v>3488</v>
      </c>
      <c r="AL170" s="112">
        <v>3541</v>
      </c>
      <c r="AM170" s="112">
        <v>3573</v>
      </c>
      <c r="AN170" s="112">
        <v>3545</v>
      </c>
      <c r="AO170" s="112">
        <f>K170</f>
        <v>3635</v>
      </c>
      <c r="AP170" s="112">
        <v>3730</v>
      </c>
      <c r="AQ170" s="112">
        <v>3497</v>
      </c>
      <c r="AR170" s="112">
        <v>3399</v>
      </c>
      <c r="AS170" s="112">
        <f>L170</f>
        <v>3482</v>
      </c>
      <c r="AT170" s="112">
        <v>3463</v>
      </c>
      <c r="AU170" s="112">
        <v>3379</v>
      </c>
      <c r="AV170" s="112">
        <v>3484</v>
      </c>
      <c r="AW170" s="112">
        <f>M170</f>
        <v>3294</v>
      </c>
      <c r="AX170" s="112">
        <v>3049</v>
      </c>
      <c r="AY170" s="144">
        <f t="shared" ref="AY170:BF170" si="113">AY123</f>
        <v>2763</v>
      </c>
      <c r="AZ170" s="144">
        <f t="shared" si="113"/>
        <v>2858</v>
      </c>
      <c r="BA170" s="144">
        <f t="shared" si="113"/>
        <v>2905</v>
      </c>
      <c r="BB170" s="144">
        <f t="shared" si="113"/>
        <v>2601</v>
      </c>
      <c r="BC170" s="144">
        <f t="shared" si="113"/>
        <v>2120</v>
      </c>
      <c r="BD170" s="144">
        <f t="shared" si="113"/>
        <v>2013</v>
      </c>
      <c r="BE170" s="144">
        <f>BE123</f>
        <v>1976</v>
      </c>
      <c r="BF170" s="144">
        <f t="shared" si="113"/>
        <v>1926</v>
      </c>
    </row>
    <row r="171" spans="2:58">
      <c r="B171" s="1" t="s">
        <v>442</v>
      </c>
      <c r="C171" s="112">
        <v>2962</v>
      </c>
      <c r="D171" s="112">
        <v>3002</v>
      </c>
      <c r="E171" s="112">
        <v>3073</v>
      </c>
      <c r="F171" s="112">
        <v>3314</v>
      </c>
      <c r="G171" s="112">
        <v>3835</v>
      </c>
      <c r="H171" s="112">
        <v>3835</v>
      </c>
      <c r="I171" s="112">
        <v>4347</v>
      </c>
      <c r="J171" s="112">
        <v>3965</v>
      </c>
      <c r="K171" s="112">
        <v>5646</v>
      </c>
      <c r="L171" s="112">
        <v>5889</v>
      </c>
      <c r="M171" s="112">
        <v>6061</v>
      </c>
      <c r="N171" s="144">
        <f>N122</f>
        <v>6355</v>
      </c>
      <c r="O171" s="144">
        <f>O122</f>
        <v>6591</v>
      </c>
      <c r="P171" s="144">
        <f>P122</f>
        <v>6653</v>
      </c>
      <c r="R171" s="112">
        <v>3012</v>
      </c>
      <c r="S171" s="112">
        <v>3001</v>
      </c>
      <c r="T171" s="112">
        <v>3038</v>
      </c>
      <c r="U171" s="144">
        <f>E171</f>
        <v>3073</v>
      </c>
      <c r="V171" s="112">
        <v>3107</v>
      </c>
      <c r="W171" s="112">
        <v>3134</v>
      </c>
      <c r="X171" s="112">
        <v>3184</v>
      </c>
      <c r="Y171" s="144">
        <f>F171</f>
        <v>3314</v>
      </c>
      <c r="Z171" s="112">
        <v>3448</v>
      </c>
      <c r="AA171" s="112">
        <v>3589</v>
      </c>
      <c r="AB171" s="112">
        <v>3716</v>
      </c>
      <c r="AC171" s="144">
        <f>G171</f>
        <v>3835</v>
      </c>
      <c r="AD171" s="112">
        <v>3973</v>
      </c>
      <c r="AE171" s="112">
        <v>4046</v>
      </c>
      <c r="AF171" s="112">
        <v>4140</v>
      </c>
      <c r="AG171" s="112">
        <f>I171</f>
        <v>4347</v>
      </c>
      <c r="AH171" s="112">
        <v>4562</v>
      </c>
      <c r="AI171" s="112">
        <v>4631</v>
      </c>
      <c r="AJ171" s="112">
        <v>432</v>
      </c>
      <c r="AK171" s="112">
        <f>J171</f>
        <v>3965</v>
      </c>
      <c r="AL171" s="112">
        <v>5242</v>
      </c>
      <c r="AM171" s="112">
        <v>5426</v>
      </c>
      <c r="AN171" s="112">
        <v>5549</v>
      </c>
      <c r="AO171" s="112">
        <f>K171</f>
        <v>5646</v>
      </c>
      <c r="AP171" s="112">
        <v>5710</v>
      </c>
      <c r="AQ171" s="112">
        <v>5769</v>
      </c>
      <c r="AR171" s="112">
        <v>5830</v>
      </c>
      <c r="AS171" s="112">
        <f>L171</f>
        <v>5889</v>
      </c>
      <c r="AT171" s="112">
        <v>5942</v>
      </c>
      <c r="AU171" s="112">
        <v>5943</v>
      </c>
      <c r="AV171" s="112">
        <f>4788+1183</f>
        <v>5971</v>
      </c>
      <c r="AW171" s="112">
        <f>M171</f>
        <v>6061</v>
      </c>
      <c r="AX171" s="112">
        <v>6118</v>
      </c>
      <c r="AY171" s="144">
        <f t="shared" ref="AY171:BD171" si="114">AY122</f>
        <v>6212</v>
      </c>
      <c r="AZ171" s="144">
        <f t="shared" si="114"/>
        <v>6277</v>
      </c>
      <c r="BA171" s="144">
        <f t="shared" si="114"/>
        <v>6355</v>
      </c>
      <c r="BB171" s="144">
        <f t="shared" si="114"/>
        <v>6408</v>
      </c>
      <c r="BC171" s="144">
        <f t="shared" si="114"/>
        <v>6451</v>
      </c>
      <c r="BD171" s="144">
        <f t="shared" si="114"/>
        <v>6516</v>
      </c>
      <c r="BE171" s="144">
        <f>BE122</f>
        <v>6591</v>
      </c>
      <c r="BF171" s="144">
        <f>BF122</f>
        <v>6653</v>
      </c>
    </row>
    <row r="172" spans="2:58">
      <c r="B172" s="1" t="s">
        <v>443</v>
      </c>
      <c r="C172" s="112">
        <v>861</v>
      </c>
      <c r="D172" s="112">
        <v>778</v>
      </c>
      <c r="E172" s="112">
        <v>738</v>
      </c>
      <c r="F172" s="112">
        <v>705</v>
      </c>
      <c r="G172" s="112">
        <v>656</v>
      </c>
      <c r="H172" s="112">
        <v>656</v>
      </c>
      <c r="I172" s="112">
        <v>638</v>
      </c>
      <c r="J172" s="112">
        <v>732</v>
      </c>
      <c r="K172" s="112">
        <v>886</v>
      </c>
      <c r="L172" s="112">
        <v>1049</v>
      </c>
      <c r="M172" s="112">
        <v>1239</v>
      </c>
      <c r="N172" s="144">
        <f>N124</f>
        <v>1439</v>
      </c>
      <c r="O172" s="144">
        <f>O124</f>
        <v>1696</v>
      </c>
      <c r="P172" s="144">
        <f>P124</f>
        <v>1732</v>
      </c>
      <c r="R172" s="112">
        <v>746</v>
      </c>
      <c r="S172" s="112">
        <v>764</v>
      </c>
      <c r="T172" s="112">
        <v>750</v>
      </c>
      <c r="U172" s="144">
        <f>E172</f>
        <v>738</v>
      </c>
      <c r="V172" s="112">
        <v>719</v>
      </c>
      <c r="W172" s="112">
        <v>698</v>
      </c>
      <c r="X172" s="112">
        <v>687</v>
      </c>
      <c r="Y172" s="144">
        <f>F172</f>
        <v>705</v>
      </c>
      <c r="Z172" s="112">
        <v>714</v>
      </c>
      <c r="AA172" s="112">
        <v>695</v>
      </c>
      <c r="AB172" s="112">
        <v>668</v>
      </c>
      <c r="AC172" s="144">
        <f>G172</f>
        <v>656</v>
      </c>
      <c r="AD172" s="112">
        <v>668</v>
      </c>
      <c r="AE172" s="112">
        <v>657</v>
      </c>
      <c r="AF172" s="112">
        <v>636</v>
      </c>
      <c r="AG172" s="112">
        <f>I172</f>
        <v>638</v>
      </c>
      <c r="AH172" s="112">
        <v>656</v>
      </c>
      <c r="AI172" s="112">
        <v>676</v>
      </c>
      <c r="AJ172" s="112">
        <v>734</v>
      </c>
      <c r="AK172" s="112">
        <f>J172</f>
        <v>732</v>
      </c>
      <c r="AL172" s="112">
        <v>783</v>
      </c>
      <c r="AM172" s="112">
        <v>803</v>
      </c>
      <c r="AN172" s="112">
        <v>858</v>
      </c>
      <c r="AO172" s="112">
        <f>K172</f>
        <v>886</v>
      </c>
      <c r="AP172" s="112">
        <v>858</v>
      </c>
      <c r="AQ172" s="112">
        <v>882</v>
      </c>
      <c r="AR172" s="112">
        <v>948</v>
      </c>
      <c r="AS172" s="112">
        <f>L172</f>
        <v>1049</v>
      </c>
      <c r="AT172" s="112">
        <v>1122</v>
      </c>
      <c r="AU172" s="112">
        <v>1145</v>
      </c>
      <c r="AV172" s="112">
        <f>14+1188</f>
        <v>1202</v>
      </c>
      <c r="AW172" s="112">
        <f>M172</f>
        <v>1239</v>
      </c>
      <c r="AX172" s="112">
        <v>1285</v>
      </c>
      <c r="AY172" s="144">
        <f t="shared" ref="AY172:BD172" si="115">AY124</f>
        <v>1331</v>
      </c>
      <c r="AZ172" s="144">
        <f t="shared" si="115"/>
        <v>1359</v>
      </c>
      <c r="BA172" s="144">
        <f t="shared" si="115"/>
        <v>1439</v>
      </c>
      <c r="BB172" s="144">
        <f t="shared" si="115"/>
        <v>1550</v>
      </c>
      <c r="BC172" s="144">
        <f t="shared" si="115"/>
        <v>1614</v>
      </c>
      <c r="BD172" s="144">
        <f t="shared" si="115"/>
        <v>1657</v>
      </c>
      <c r="BE172" s="144">
        <f>BE124</f>
        <v>1696</v>
      </c>
      <c r="BF172" s="144">
        <f>BF124</f>
        <v>1732</v>
      </c>
    </row>
    <row r="173" spans="2:58">
      <c r="B173" s="1" t="s">
        <v>444</v>
      </c>
      <c r="C173" s="112">
        <v>1738</v>
      </c>
      <c r="D173" s="112">
        <v>3129</v>
      </c>
      <c r="E173" s="112">
        <v>4809</v>
      </c>
      <c r="F173" s="112">
        <v>6543</v>
      </c>
      <c r="G173" s="112">
        <v>7815</v>
      </c>
      <c r="H173" s="112">
        <v>7815</v>
      </c>
      <c r="I173" s="112">
        <v>8293</v>
      </c>
      <c r="J173" s="112">
        <v>8885</v>
      </c>
      <c r="K173" s="112">
        <v>9895</v>
      </c>
      <c r="L173" s="112">
        <v>10057</v>
      </c>
      <c r="M173" s="112">
        <v>9652</v>
      </c>
      <c r="N173" s="112">
        <v>10070</v>
      </c>
      <c r="O173" s="144">
        <f>BE173</f>
        <v>10022</v>
      </c>
      <c r="P173" s="144">
        <f>BF173</f>
        <v>9940</v>
      </c>
      <c r="R173" s="112">
        <v>3685</v>
      </c>
      <c r="S173" s="112">
        <v>4184</v>
      </c>
      <c r="T173" s="112">
        <v>4508</v>
      </c>
      <c r="U173" s="144">
        <f>E173</f>
        <v>4809</v>
      </c>
      <c r="V173" s="112">
        <v>5121</v>
      </c>
      <c r="W173" s="112">
        <v>5759</v>
      </c>
      <c r="X173" s="112">
        <v>6194</v>
      </c>
      <c r="Y173" s="144">
        <f>F173</f>
        <v>6543</v>
      </c>
      <c r="Z173" s="112">
        <v>6862</v>
      </c>
      <c r="AA173" s="112">
        <v>7176</v>
      </c>
      <c r="AB173" s="112">
        <v>7444</v>
      </c>
      <c r="AC173" s="144">
        <f>G173</f>
        <v>7815</v>
      </c>
      <c r="AD173" s="112">
        <v>7972</v>
      </c>
      <c r="AE173" s="112">
        <v>7887</v>
      </c>
      <c r="AF173" s="112">
        <v>7936</v>
      </c>
      <c r="AG173" s="112">
        <f>I173</f>
        <v>8293</v>
      </c>
      <c r="AH173" s="112">
        <v>8340</v>
      </c>
      <c r="AI173" s="112">
        <v>8000</v>
      </c>
      <c r="AJ173" s="112">
        <v>8357</v>
      </c>
      <c r="AK173" s="112">
        <f>J173</f>
        <v>8885</v>
      </c>
      <c r="AL173" s="112">
        <v>9171</v>
      </c>
      <c r="AM173" s="112">
        <v>9547</v>
      </c>
      <c r="AN173" s="112">
        <v>9731</v>
      </c>
      <c r="AO173" s="112">
        <f>K173</f>
        <v>9895</v>
      </c>
      <c r="AP173" s="112">
        <v>9609</v>
      </c>
      <c r="AQ173" s="112">
        <v>9755</v>
      </c>
      <c r="AR173" s="112">
        <v>9893</v>
      </c>
      <c r="AS173" s="112">
        <f>L173</f>
        <v>10057</v>
      </c>
      <c r="AT173" s="112">
        <v>9795</v>
      </c>
      <c r="AU173" s="112">
        <v>9772</v>
      </c>
      <c r="AV173" s="112">
        <v>9701</v>
      </c>
      <c r="AW173" s="112">
        <f>M173</f>
        <v>9652</v>
      </c>
      <c r="AX173" s="112">
        <v>9746</v>
      </c>
      <c r="AY173" s="112">
        <v>9729</v>
      </c>
      <c r="AZ173" s="112">
        <v>9956</v>
      </c>
      <c r="BA173" s="112">
        <v>10070</v>
      </c>
      <c r="BB173" s="112">
        <v>10120</v>
      </c>
      <c r="BC173" s="112">
        <v>10166.759</v>
      </c>
      <c r="BD173" s="112">
        <v>10303</v>
      </c>
      <c r="BE173" s="112">
        <v>10022</v>
      </c>
      <c r="BF173" s="112">
        <v>9940</v>
      </c>
    </row>
    <row r="174" spans="2:58">
      <c r="B174" s="5" t="s">
        <v>445</v>
      </c>
      <c r="C174" s="142">
        <f t="shared" ref="C174:Z174" si="116">+C170+C171+C172+C173</f>
        <v>11840</v>
      </c>
      <c r="D174" s="142">
        <f t="shared" si="116"/>
        <v>12900</v>
      </c>
      <c r="E174" s="142">
        <f t="shared" si="116"/>
        <v>14323</v>
      </c>
      <c r="F174" s="142">
        <f t="shared" si="116"/>
        <v>15540</v>
      </c>
      <c r="G174" s="142">
        <f t="shared" si="116"/>
        <v>17075</v>
      </c>
      <c r="H174" s="142">
        <f t="shared" ref="H174:M174" si="117">+H170+H171+H172+H173</f>
        <v>17075</v>
      </c>
      <c r="I174" s="142">
        <f t="shared" si="117"/>
        <v>17386</v>
      </c>
      <c r="J174" s="142">
        <f t="shared" si="117"/>
        <v>17070</v>
      </c>
      <c r="K174" s="142">
        <f t="shared" si="117"/>
        <v>20062</v>
      </c>
      <c r="L174" s="142">
        <f t="shared" si="117"/>
        <v>20477</v>
      </c>
      <c r="M174" s="142">
        <f t="shared" si="117"/>
        <v>20246</v>
      </c>
      <c r="N174" s="142">
        <f>+N170+N171+N172+N173</f>
        <v>20769</v>
      </c>
      <c r="O174" s="142">
        <f>+O170+O171+O172+O173</f>
        <v>20285</v>
      </c>
      <c r="P174" s="142">
        <f>+P170+P171+P172+P173</f>
        <v>20251</v>
      </c>
      <c r="R174" s="142">
        <f t="shared" si="116"/>
        <v>13553</v>
      </c>
      <c r="S174" s="142">
        <f t="shared" si="116"/>
        <v>13886</v>
      </c>
      <c r="T174" s="142">
        <f t="shared" si="116"/>
        <v>13997</v>
      </c>
      <c r="U174" s="142">
        <f t="shared" si="116"/>
        <v>14323</v>
      </c>
      <c r="V174" s="142">
        <f t="shared" si="116"/>
        <v>14520</v>
      </c>
      <c r="W174" s="142">
        <f t="shared" si="116"/>
        <v>14639</v>
      </c>
      <c r="X174" s="142">
        <f t="shared" si="116"/>
        <v>14969</v>
      </c>
      <c r="Y174" s="142">
        <f t="shared" si="116"/>
        <v>15540</v>
      </c>
      <c r="Z174" s="142">
        <f t="shared" si="116"/>
        <v>16135</v>
      </c>
      <c r="AA174" s="142">
        <f t="shared" ref="AA174:AF174" si="118">+AA170+AA171+AA172+AA173</f>
        <v>16507</v>
      </c>
      <c r="AB174" s="142">
        <f t="shared" si="118"/>
        <v>16524</v>
      </c>
      <c r="AC174" s="142">
        <f t="shared" si="118"/>
        <v>17075</v>
      </c>
      <c r="AD174" s="142">
        <f t="shared" si="118"/>
        <v>17330</v>
      </c>
      <c r="AE174" s="142">
        <f t="shared" si="118"/>
        <v>17178</v>
      </c>
      <c r="AF174" s="142">
        <f t="shared" si="118"/>
        <v>17175</v>
      </c>
      <c r="AG174" s="142">
        <f t="shared" ref="AG174:AM174" si="119">+AG170+AG171+AG172+AG173</f>
        <v>17386</v>
      </c>
      <c r="AH174" s="142">
        <f t="shared" si="119"/>
        <v>17323</v>
      </c>
      <c r="AI174" s="142">
        <f t="shared" si="119"/>
        <v>16775</v>
      </c>
      <c r="AJ174" s="142">
        <f t="shared" si="119"/>
        <v>13166</v>
      </c>
      <c r="AK174" s="142">
        <f t="shared" si="119"/>
        <v>17070</v>
      </c>
      <c r="AL174" s="142">
        <f t="shared" si="119"/>
        <v>18737</v>
      </c>
      <c r="AM174" s="142">
        <f t="shared" si="119"/>
        <v>19349</v>
      </c>
      <c r="AN174" s="142">
        <f t="shared" ref="AN174:AS174" si="120">+AN170+AN171+AN172+AN173</f>
        <v>19683</v>
      </c>
      <c r="AO174" s="142">
        <f t="shared" si="120"/>
        <v>20062</v>
      </c>
      <c r="AP174" s="142">
        <f t="shared" si="120"/>
        <v>19907</v>
      </c>
      <c r="AQ174" s="142">
        <f t="shared" si="120"/>
        <v>19903</v>
      </c>
      <c r="AR174" s="142">
        <f t="shared" si="120"/>
        <v>20070</v>
      </c>
      <c r="AS174" s="142">
        <f t="shared" si="120"/>
        <v>20477</v>
      </c>
      <c r="AT174" s="142">
        <f t="shared" ref="AT174:AY174" si="121">+AT170+AT171+AT172+AT173</f>
        <v>20322</v>
      </c>
      <c r="AU174" s="142">
        <f t="shared" si="121"/>
        <v>20239</v>
      </c>
      <c r="AV174" s="142">
        <f t="shared" si="121"/>
        <v>20358</v>
      </c>
      <c r="AW174" s="142">
        <f t="shared" si="121"/>
        <v>20246</v>
      </c>
      <c r="AX174" s="142">
        <f t="shared" si="121"/>
        <v>20198</v>
      </c>
      <c r="AY174" s="142">
        <f t="shared" si="121"/>
        <v>20035</v>
      </c>
      <c r="AZ174" s="142">
        <f t="shared" ref="AZ174:BF174" si="122">+AZ170+AZ171+AZ172+AZ173</f>
        <v>20450</v>
      </c>
      <c r="BA174" s="142">
        <f t="shared" si="122"/>
        <v>20769</v>
      </c>
      <c r="BB174" s="142">
        <f t="shared" si="122"/>
        <v>20679</v>
      </c>
      <c r="BC174" s="142">
        <f t="shared" si="122"/>
        <v>20351.758999999998</v>
      </c>
      <c r="BD174" s="142">
        <f t="shared" si="122"/>
        <v>20489</v>
      </c>
      <c r="BE174" s="142">
        <f t="shared" si="122"/>
        <v>20285</v>
      </c>
      <c r="BF174" s="142">
        <f t="shared" si="122"/>
        <v>20251</v>
      </c>
    </row>
    <row r="177" spans="42:58">
      <c r="AP177" s="144">
        <f>AP174+AP125</f>
        <v>30205</v>
      </c>
      <c r="AQ177" s="144">
        <f>AQ174+AQ125</f>
        <v>30052</v>
      </c>
      <c r="AR177" s="144">
        <f>AR174+AR125</f>
        <v>30246</v>
      </c>
      <c r="AS177" s="144">
        <f>AS174+AS125</f>
        <v>30897</v>
      </c>
      <c r="AT177" s="144">
        <f>AT174+AT125</f>
        <v>30849</v>
      </c>
      <c r="AU177" s="144"/>
      <c r="AV177" s="144"/>
      <c r="AW177" s="144"/>
      <c r="AX177" s="144"/>
      <c r="AY177" s="144"/>
      <c r="AZ177" s="144"/>
      <c r="BA177" s="144"/>
      <c r="BB177" s="144"/>
      <c r="BC177" s="144"/>
      <c r="BD177" s="144"/>
      <c r="BE177" s="144"/>
      <c r="BF177" s="144"/>
    </row>
  </sheetData>
  <pageMargins left="0.7" right="0.7" top="0.75" bottom="0.75" header="0.3" footer="0.3"/>
  <pageSetup paperSize="9"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A00EECCAA3DB94895FACE15614ECBE0" ma:contentTypeVersion="3" ma:contentTypeDescription="Create a new document." ma:contentTypeScope="" ma:versionID="df48d4251bee182ecc7fb5dcb95088a2">
  <xsd:schema xmlns:xsd="http://www.w3.org/2001/XMLSchema" xmlns:xs="http://www.w3.org/2001/XMLSchema" xmlns:p="http://schemas.microsoft.com/office/2006/metadata/properties" xmlns:ns2="aa33d72f-12a9-4590-815a-2b1f92f4a722" targetNamespace="http://schemas.microsoft.com/office/2006/metadata/properties" ma:root="true" ma:fieldsID="e53bcbeb5cc26077ba81130311515115" ns2:_="">
    <xsd:import namespace="aa33d72f-12a9-4590-815a-2b1f92f4a7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33d72f-12a9-4590-815a-2b1f92f4a7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E94BCE9-5FDC-49A3-9C12-92FBC81B475C}"/>
</file>

<file path=customXml/itemProps2.xml><?xml version="1.0" encoding="utf-8"?>
<ds:datastoreItem xmlns:ds="http://schemas.openxmlformats.org/officeDocument/2006/customXml" ds:itemID="{421317C5-1633-418E-B6CE-425F5A9C5BC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MassMutual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MAB</dc:creator>
  <cp:keywords/>
  <dc:description/>
  <cp:lastModifiedBy>X</cp:lastModifiedBy>
  <cp:revision/>
  <dcterms:created xsi:type="dcterms:W3CDTF">2008-03-12T15:44:19Z</dcterms:created>
  <dcterms:modified xsi:type="dcterms:W3CDTF">2026-10-14T13:05:18Z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{4EBE290E-4DA3-4A86-A5CA-D651638D9392}</vt:lpwstr>
  </property>
  <property fmtid="{D5CDD505-2E9C-101B-9397-08002B2CF9AE}" pid="3" name="WorkbookGuid">
    <vt:lpwstr>8a30cc8c-2ff7-4ab2-a1f4-0f166096592b</vt:lpwstr>
  </property>
</Properties>
</file>